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iosi\Desktop\Proyectos\XPERT-CONNECT\docs\"/>
    </mc:Choice>
  </mc:AlternateContent>
  <xr:revisionPtr revIDLastSave="0" documentId="13_ncr:1_{07C2EED9-B36F-4BD6-8C3A-FFB4B791189D}" xr6:coauthVersionLast="47" xr6:coauthVersionMax="47" xr10:uidLastSave="{00000000-0000-0000-0000-000000000000}"/>
  <bookViews>
    <workbookView xWindow="-108" yWindow="-108" windowWidth="23256" windowHeight="13896" xr2:uid="{00000000-000D-0000-FFFF-FFFF00000000}"/>
  </bookViews>
  <sheets>
    <sheet name="Summary" sheetId="1" r:id="rId1"/>
    <sheet name="All Clinics" sheetId="2" r:id="rId2"/>
    <sheet name="Injury Physicians" sheetId="3" r:id="rId3"/>
    <sheet name="Chiropractic" sheetId="4" r:id="rId4"/>
    <sheet name="Physical Therapy" sheetId="5" r:id="rId5"/>
    <sheet name="Imaging" sheetId="6" r:id="rId6"/>
    <sheet name="TMJ Specialists" sheetId="7" r:id="rId7"/>
    <sheet name="Oral Surgery" sheetId="8" r:id="rId8"/>
    <sheet name="Older Entries" sheetId="9" r:id="rId9"/>
    <sheet name="About" sheetId="10" r:id="rId10"/>
  </sheets>
  <definedNames>
    <definedName name="_xlnm.Print_Titles" localSheetId="1">'All Clinics'!$1:$1</definedName>
    <definedName name="_xlnm.Print_Titles" localSheetId="3">'Chiropractic'!$1:$1</definedName>
    <definedName name="_xlnm.Print_Titles" localSheetId="5">Imaging!$1:$1</definedName>
    <definedName name="_xlnm.Print_Titles" localSheetId="2">'Injury Physicians'!$1:$1</definedName>
    <definedName name="_xlnm.Print_Titles" localSheetId="8">'Older Entries'!$1:$1</definedName>
    <definedName name="_xlnm.Print_Titles" localSheetId="7">'Oral Surgery'!$1:$1</definedName>
    <definedName name="_xlnm.Print_Titles" localSheetId="4">'Physical Therapy'!$1:$1</definedName>
    <definedName name="_xlnm.Print_Titles" localSheetId="6">'TMJ Specialists'!$1:$1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8" i="1" l="1"/>
  <c r="H118" i="1"/>
  <c r="G118" i="1"/>
  <c r="F118" i="1"/>
  <c r="E118" i="1"/>
  <c r="D118" i="1"/>
  <c r="C118" i="1"/>
  <c r="I118" i="1" s="1"/>
  <c r="J117" i="1"/>
  <c r="H117" i="1"/>
  <c r="G117" i="1"/>
  <c r="F117" i="1"/>
  <c r="E117" i="1"/>
  <c r="D117" i="1"/>
  <c r="C117" i="1"/>
  <c r="I117" i="1" s="1"/>
  <c r="J116" i="1"/>
  <c r="H116" i="1"/>
  <c r="G116" i="1"/>
  <c r="F116" i="1"/>
  <c r="E116" i="1"/>
  <c r="D116" i="1"/>
  <c r="C116" i="1"/>
  <c r="I116" i="1" s="1"/>
  <c r="J115" i="1"/>
  <c r="H115" i="1"/>
  <c r="G115" i="1"/>
  <c r="F115" i="1"/>
  <c r="E115" i="1"/>
  <c r="D115" i="1"/>
  <c r="C115" i="1"/>
  <c r="I115" i="1" s="1"/>
  <c r="J114" i="1"/>
  <c r="H114" i="1"/>
  <c r="G114" i="1"/>
  <c r="F114" i="1"/>
  <c r="E114" i="1"/>
  <c r="D114" i="1"/>
  <c r="C114" i="1"/>
  <c r="I114" i="1" s="1"/>
  <c r="J113" i="1"/>
  <c r="H113" i="1"/>
  <c r="G113" i="1"/>
  <c r="F113" i="1"/>
  <c r="E113" i="1"/>
  <c r="D113" i="1"/>
  <c r="C113" i="1"/>
  <c r="I113" i="1" s="1"/>
  <c r="J112" i="1"/>
  <c r="H112" i="1"/>
  <c r="G112" i="1"/>
  <c r="F112" i="1"/>
  <c r="E112" i="1"/>
  <c r="D112" i="1"/>
  <c r="C112" i="1"/>
  <c r="I112" i="1" s="1"/>
  <c r="J111" i="1"/>
  <c r="H111" i="1"/>
  <c r="G111" i="1"/>
  <c r="F111" i="1"/>
  <c r="E111" i="1"/>
  <c r="D111" i="1"/>
  <c r="C111" i="1"/>
  <c r="I111" i="1" s="1"/>
  <c r="J110" i="1"/>
  <c r="H110" i="1"/>
  <c r="G110" i="1"/>
  <c r="F110" i="1"/>
  <c r="E110" i="1"/>
  <c r="D110" i="1"/>
  <c r="C110" i="1"/>
  <c r="I110" i="1" s="1"/>
  <c r="J109" i="1"/>
  <c r="H109" i="1"/>
  <c r="G109" i="1"/>
  <c r="F109" i="1"/>
  <c r="E109" i="1"/>
  <c r="D109" i="1"/>
  <c r="C109" i="1"/>
  <c r="I109" i="1" s="1"/>
  <c r="J108" i="1"/>
  <c r="H108" i="1"/>
  <c r="G108" i="1"/>
  <c r="F108" i="1"/>
  <c r="E108" i="1"/>
  <c r="D108" i="1"/>
  <c r="C108" i="1"/>
  <c r="I108" i="1" s="1"/>
  <c r="J107" i="1"/>
  <c r="H107" i="1"/>
  <c r="G107" i="1"/>
  <c r="F107" i="1"/>
  <c r="E107" i="1"/>
  <c r="D107" i="1"/>
  <c r="C107" i="1"/>
  <c r="I107" i="1" s="1"/>
  <c r="J106" i="1"/>
  <c r="H106" i="1"/>
  <c r="G106" i="1"/>
  <c r="F106" i="1"/>
  <c r="E106" i="1"/>
  <c r="D106" i="1"/>
  <c r="C106" i="1"/>
  <c r="I106" i="1" s="1"/>
  <c r="J105" i="1"/>
  <c r="H105" i="1"/>
  <c r="G105" i="1"/>
  <c r="F105" i="1"/>
  <c r="E105" i="1"/>
  <c r="D105" i="1"/>
  <c r="C105" i="1"/>
  <c r="I105" i="1" s="1"/>
  <c r="J104" i="1"/>
  <c r="H104" i="1"/>
  <c r="G104" i="1"/>
  <c r="F104" i="1"/>
  <c r="E104" i="1"/>
  <c r="D104" i="1"/>
  <c r="C104" i="1"/>
  <c r="I104" i="1" s="1"/>
  <c r="J103" i="1"/>
  <c r="H103" i="1"/>
  <c r="G103" i="1"/>
  <c r="F103" i="1"/>
  <c r="E103" i="1"/>
  <c r="D103" i="1"/>
  <c r="C103" i="1"/>
  <c r="I103" i="1" s="1"/>
  <c r="J102" i="1"/>
  <c r="H102" i="1"/>
  <c r="G102" i="1"/>
  <c r="F102" i="1"/>
  <c r="E102" i="1"/>
  <c r="D102" i="1"/>
  <c r="C102" i="1"/>
  <c r="I102" i="1" s="1"/>
  <c r="J101" i="1"/>
  <c r="H101" i="1"/>
  <c r="G101" i="1"/>
  <c r="F101" i="1"/>
  <c r="E101" i="1"/>
  <c r="D101" i="1"/>
  <c r="C101" i="1"/>
  <c r="I101" i="1" s="1"/>
  <c r="J100" i="1"/>
  <c r="H100" i="1"/>
  <c r="G100" i="1"/>
  <c r="F100" i="1"/>
  <c r="E100" i="1"/>
  <c r="D100" i="1"/>
  <c r="C100" i="1"/>
  <c r="I100" i="1" s="1"/>
  <c r="J99" i="1"/>
  <c r="H99" i="1"/>
  <c r="G99" i="1"/>
  <c r="F99" i="1"/>
  <c r="E99" i="1"/>
  <c r="D99" i="1"/>
  <c r="C99" i="1"/>
  <c r="I99" i="1" s="1"/>
  <c r="J98" i="1"/>
  <c r="H98" i="1"/>
  <c r="G98" i="1"/>
  <c r="F98" i="1"/>
  <c r="E98" i="1"/>
  <c r="D98" i="1"/>
  <c r="C98" i="1"/>
  <c r="I98" i="1" s="1"/>
  <c r="J97" i="1"/>
  <c r="H97" i="1"/>
  <c r="G97" i="1"/>
  <c r="F97" i="1"/>
  <c r="E97" i="1"/>
  <c r="D97" i="1"/>
  <c r="C97" i="1"/>
  <c r="I97" i="1" s="1"/>
  <c r="J96" i="1"/>
  <c r="H96" i="1"/>
  <c r="G96" i="1"/>
  <c r="F96" i="1"/>
  <c r="E96" i="1"/>
  <c r="D96" i="1"/>
  <c r="C96" i="1"/>
  <c r="I96" i="1" s="1"/>
  <c r="J95" i="1"/>
  <c r="H95" i="1"/>
  <c r="G95" i="1"/>
  <c r="F95" i="1"/>
  <c r="E95" i="1"/>
  <c r="D95" i="1"/>
  <c r="C95" i="1"/>
  <c r="I95" i="1" s="1"/>
  <c r="J94" i="1"/>
  <c r="H94" i="1"/>
  <c r="I94" i="1" s="1"/>
  <c r="G94" i="1"/>
  <c r="F94" i="1"/>
  <c r="E94" i="1"/>
  <c r="D94" i="1"/>
  <c r="C94" i="1"/>
  <c r="J93" i="1"/>
  <c r="H93" i="1"/>
  <c r="G93" i="1"/>
  <c r="F93" i="1"/>
  <c r="E93" i="1"/>
  <c r="D93" i="1"/>
  <c r="C93" i="1"/>
  <c r="I93" i="1" s="1"/>
  <c r="J92" i="1"/>
  <c r="H92" i="1"/>
  <c r="G92" i="1"/>
  <c r="F92" i="1"/>
  <c r="E92" i="1"/>
  <c r="D92" i="1"/>
  <c r="C92" i="1"/>
  <c r="I92" i="1" s="1"/>
  <c r="J91" i="1"/>
  <c r="H91" i="1"/>
  <c r="G91" i="1"/>
  <c r="F91" i="1"/>
  <c r="E91" i="1"/>
  <c r="D91" i="1"/>
  <c r="C91" i="1"/>
  <c r="I91" i="1" s="1"/>
  <c r="J90" i="1"/>
  <c r="H90" i="1"/>
  <c r="G90" i="1"/>
  <c r="F90" i="1"/>
  <c r="E90" i="1"/>
  <c r="D90" i="1"/>
  <c r="C90" i="1"/>
  <c r="I90" i="1" s="1"/>
  <c r="J89" i="1"/>
  <c r="H89" i="1"/>
  <c r="G89" i="1"/>
  <c r="F89" i="1"/>
  <c r="E89" i="1"/>
  <c r="D89" i="1"/>
  <c r="C89" i="1"/>
  <c r="I89" i="1" s="1"/>
  <c r="J88" i="1"/>
  <c r="H88" i="1"/>
  <c r="I88" i="1" s="1"/>
  <c r="G88" i="1"/>
  <c r="F88" i="1"/>
  <c r="E88" i="1"/>
  <c r="D88" i="1"/>
  <c r="C88" i="1"/>
  <c r="J87" i="1"/>
  <c r="H87" i="1"/>
  <c r="G87" i="1"/>
  <c r="F87" i="1"/>
  <c r="E87" i="1"/>
  <c r="D87" i="1"/>
  <c r="C87" i="1"/>
  <c r="I87" i="1" s="1"/>
  <c r="J86" i="1"/>
  <c r="H86" i="1"/>
  <c r="G86" i="1"/>
  <c r="F86" i="1"/>
  <c r="E86" i="1"/>
  <c r="D86" i="1"/>
  <c r="C86" i="1"/>
  <c r="J85" i="1"/>
  <c r="H85" i="1"/>
  <c r="G85" i="1"/>
  <c r="F85" i="1"/>
  <c r="E85" i="1"/>
  <c r="D85" i="1"/>
  <c r="C85" i="1"/>
  <c r="J84" i="1"/>
  <c r="H84" i="1"/>
  <c r="G84" i="1"/>
  <c r="F84" i="1"/>
  <c r="E84" i="1"/>
  <c r="D84" i="1"/>
  <c r="C84" i="1"/>
  <c r="I84" i="1" s="1"/>
  <c r="J83" i="1"/>
  <c r="H83" i="1"/>
  <c r="G83" i="1"/>
  <c r="F83" i="1"/>
  <c r="E83" i="1"/>
  <c r="D83" i="1"/>
  <c r="C83" i="1"/>
  <c r="I83" i="1" s="1"/>
  <c r="J82" i="1"/>
  <c r="H82" i="1"/>
  <c r="G82" i="1"/>
  <c r="I82" i="1" s="1"/>
  <c r="F82" i="1"/>
  <c r="E82" i="1"/>
  <c r="D82" i="1"/>
  <c r="C82" i="1"/>
  <c r="J81" i="1"/>
  <c r="H81" i="1"/>
  <c r="G81" i="1"/>
  <c r="F81" i="1"/>
  <c r="E81" i="1"/>
  <c r="D81" i="1"/>
  <c r="C81" i="1"/>
  <c r="I81" i="1" s="1"/>
  <c r="J80" i="1"/>
  <c r="H80" i="1"/>
  <c r="G80" i="1"/>
  <c r="F80" i="1"/>
  <c r="E80" i="1"/>
  <c r="D80" i="1"/>
  <c r="C80" i="1"/>
  <c r="I80" i="1" s="1"/>
  <c r="J79" i="1"/>
  <c r="H79" i="1"/>
  <c r="G79" i="1"/>
  <c r="F79" i="1"/>
  <c r="E79" i="1"/>
  <c r="D79" i="1"/>
  <c r="C79" i="1"/>
  <c r="I79" i="1" s="1"/>
  <c r="J78" i="1"/>
  <c r="H78" i="1"/>
  <c r="G78" i="1"/>
  <c r="F78" i="1"/>
  <c r="E78" i="1"/>
  <c r="D78" i="1"/>
  <c r="C78" i="1"/>
  <c r="I78" i="1" s="1"/>
  <c r="J77" i="1"/>
  <c r="H77" i="1"/>
  <c r="G77" i="1"/>
  <c r="F77" i="1"/>
  <c r="E77" i="1"/>
  <c r="D77" i="1"/>
  <c r="C77" i="1"/>
  <c r="I77" i="1" s="1"/>
  <c r="J76" i="1"/>
  <c r="H76" i="1"/>
  <c r="G76" i="1"/>
  <c r="F76" i="1"/>
  <c r="E76" i="1"/>
  <c r="D76" i="1"/>
  <c r="C76" i="1"/>
  <c r="J75" i="1"/>
  <c r="H75" i="1"/>
  <c r="G75" i="1"/>
  <c r="F75" i="1"/>
  <c r="E75" i="1"/>
  <c r="D75" i="1"/>
  <c r="C75" i="1"/>
  <c r="I75" i="1" s="1"/>
  <c r="J74" i="1"/>
  <c r="H74" i="1"/>
  <c r="G74" i="1"/>
  <c r="F74" i="1"/>
  <c r="E74" i="1"/>
  <c r="D74" i="1"/>
  <c r="C74" i="1"/>
  <c r="I74" i="1" s="1"/>
  <c r="J73" i="1"/>
  <c r="H73" i="1"/>
  <c r="G73" i="1"/>
  <c r="F73" i="1"/>
  <c r="E73" i="1"/>
  <c r="D73" i="1"/>
  <c r="C73" i="1"/>
  <c r="I73" i="1" s="1"/>
  <c r="J72" i="1"/>
  <c r="H72" i="1"/>
  <c r="G72" i="1"/>
  <c r="F72" i="1"/>
  <c r="E72" i="1"/>
  <c r="D72" i="1"/>
  <c r="C72" i="1"/>
  <c r="I72" i="1" s="1"/>
  <c r="J71" i="1"/>
  <c r="H71" i="1"/>
  <c r="G71" i="1"/>
  <c r="F71" i="1"/>
  <c r="E71" i="1"/>
  <c r="D71" i="1"/>
  <c r="C71" i="1"/>
  <c r="I71" i="1" s="1"/>
  <c r="J70" i="1"/>
  <c r="H70" i="1"/>
  <c r="G70" i="1"/>
  <c r="F70" i="1"/>
  <c r="E70" i="1"/>
  <c r="D70" i="1"/>
  <c r="C70" i="1"/>
  <c r="J69" i="1"/>
  <c r="H69" i="1"/>
  <c r="G69" i="1"/>
  <c r="F69" i="1"/>
  <c r="E69" i="1"/>
  <c r="D69" i="1"/>
  <c r="C69" i="1"/>
  <c r="I69" i="1" s="1"/>
  <c r="J68" i="1"/>
  <c r="H68" i="1"/>
  <c r="G68" i="1"/>
  <c r="F68" i="1"/>
  <c r="E68" i="1"/>
  <c r="D68" i="1"/>
  <c r="C68" i="1"/>
  <c r="I68" i="1" s="1"/>
  <c r="J67" i="1"/>
  <c r="H67" i="1"/>
  <c r="G67" i="1"/>
  <c r="F67" i="1"/>
  <c r="E67" i="1"/>
  <c r="D67" i="1"/>
  <c r="C67" i="1"/>
  <c r="I67" i="1" s="1"/>
  <c r="J66" i="1"/>
  <c r="H66" i="1"/>
  <c r="G66" i="1"/>
  <c r="F66" i="1"/>
  <c r="E66" i="1"/>
  <c r="D66" i="1"/>
  <c r="C66" i="1"/>
  <c r="I66" i="1" s="1"/>
  <c r="J65" i="1"/>
  <c r="H65" i="1"/>
  <c r="G65" i="1"/>
  <c r="F65" i="1"/>
  <c r="E65" i="1"/>
  <c r="D65" i="1"/>
  <c r="C65" i="1"/>
  <c r="I65" i="1" s="1"/>
  <c r="J64" i="1"/>
  <c r="H64" i="1"/>
  <c r="G64" i="1"/>
  <c r="F64" i="1"/>
  <c r="E64" i="1"/>
  <c r="I64" i="1" s="1"/>
  <c r="D64" i="1"/>
  <c r="C64" i="1"/>
  <c r="J63" i="1"/>
  <c r="H63" i="1"/>
  <c r="G63" i="1"/>
  <c r="F63" i="1"/>
  <c r="E63" i="1"/>
  <c r="D63" i="1"/>
  <c r="C63" i="1"/>
  <c r="I63" i="1" s="1"/>
  <c r="J62" i="1"/>
  <c r="H62" i="1"/>
  <c r="G62" i="1"/>
  <c r="F62" i="1"/>
  <c r="E62" i="1"/>
  <c r="D62" i="1"/>
  <c r="C62" i="1"/>
  <c r="I62" i="1" s="1"/>
  <c r="J61" i="1"/>
  <c r="H61" i="1"/>
  <c r="G61" i="1"/>
  <c r="F61" i="1"/>
  <c r="E61" i="1"/>
  <c r="D61" i="1"/>
  <c r="C61" i="1"/>
  <c r="I61" i="1" s="1"/>
  <c r="J60" i="1"/>
  <c r="H60" i="1"/>
  <c r="G60" i="1"/>
  <c r="F60" i="1"/>
  <c r="E60" i="1"/>
  <c r="D60" i="1"/>
  <c r="C60" i="1"/>
  <c r="I60" i="1" s="1"/>
  <c r="J59" i="1"/>
  <c r="H59" i="1"/>
  <c r="G59" i="1"/>
  <c r="F59" i="1"/>
  <c r="E59" i="1"/>
  <c r="D59" i="1"/>
  <c r="C59" i="1"/>
  <c r="I59" i="1" s="1"/>
  <c r="J58" i="1"/>
  <c r="H58" i="1"/>
  <c r="G58" i="1"/>
  <c r="F58" i="1"/>
  <c r="E58" i="1"/>
  <c r="D58" i="1"/>
  <c r="C58" i="1"/>
  <c r="J57" i="1"/>
  <c r="H57" i="1"/>
  <c r="G57" i="1"/>
  <c r="F57" i="1"/>
  <c r="E57" i="1"/>
  <c r="D57" i="1"/>
  <c r="C57" i="1"/>
  <c r="I57" i="1" s="1"/>
  <c r="J56" i="1"/>
  <c r="H56" i="1"/>
  <c r="G56" i="1"/>
  <c r="F56" i="1"/>
  <c r="E56" i="1"/>
  <c r="D56" i="1"/>
  <c r="C56" i="1"/>
  <c r="I56" i="1" s="1"/>
  <c r="J55" i="1"/>
  <c r="H55" i="1"/>
  <c r="G55" i="1"/>
  <c r="F55" i="1"/>
  <c r="E55" i="1"/>
  <c r="D55" i="1"/>
  <c r="C55" i="1"/>
  <c r="I55" i="1" s="1"/>
  <c r="J54" i="1"/>
  <c r="H54" i="1"/>
  <c r="G54" i="1"/>
  <c r="F54" i="1"/>
  <c r="E54" i="1"/>
  <c r="D54" i="1"/>
  <c r="C54" i="1"/>
  <c r="I54" i="1" s="1"/>
  <c r="J53" i="1"/>
  <c r="H53" i="1"/>
  <c r="G53" i="1"/>
  <c r="F53" i="1"/>
  <c r="E53" i="1"/>
  <c r="D53" i="1"/>
  <c r="C53" i="1"/>
  <c r="I53" i="1" s="1"/>
  <c r="J52" i="1"/>
  <c r="H52" i="1"/>
  <c r="G52" i="1"/>
  <c r="F52" i="1"/>
  <c r="E52" i="1"/>
  <c r="D52" i="1"/>
  <c r="C52" i="1"/>
  <c r="J51" i="1"/>
  <c r="H51" i="1"/>
  <c r="G51" i="1"/>
  <c r="F51" i="1"/>
  <c r="E51" i="1"/>
  <c r="D51" i="1"/>
  <c r="C51" i="1"/>
  <c r="I51" i="1" s="1"/>
  <c r="J50" i="1"/>
  <c r="H50" i="1"/>
  <c r="G50" i="1"/>
  <c r="F50" i="1"/>
  <c r="E50" i="1"/>
  <c r="D50" i="1"/>
  <c r="C50" i="1"/>
  <c r="I50" i="1" s="1"/>
  <c r="J49" i="1"/>
  <c r="H49" i="1"/>
  <c r="G49" i="1"/>
  <c r="F49" i="1"/>
  <c r="E49" i="1"/>
  <c r="D49" i="1"/>
  <c r="C49" i="1"/>
  <c r="I49" i="1" s="1"/>
  <c r="J48" i="1"/>
  <c r="H48" i="1"/>
  <c r="G48" i="1"/>
  <c r="F48" i="1"/>
  <c r="E48" i="1"/>
  <c r="D48" i="1"/>
  <c r="C48" i="1"/>
  <c r="I48" i="1" s="1"/>
  <c r="J47" i="1"/>
  <c r="H47" i="1"/>
  <c r="G47" i="1"/>
  <c r="F47" i="1"/>
  <c r="E47" i="1"/>
  <c r="D47" i="1"/>
  <c r="C47" i="1"/>
  <c r="J46" i="1"/>
  <c r="H46" i="1"/>
  <c r="G46" i="1"/>
  <c r="F46" i="1"/>
  <c r="E46" i="1"/>
  <c r="D46" i="1"/>
  <c r="C46" i="1"/>
  <c r="J45" i="1"/>
  <c r="H45" i="1"/>
  <c r="G45" i="1"/>
  <c r="F45" i="1"/>
  <c r="E45" i="1"/>
  <c r="D45" i="1"/>
  <c r="C45" i="1"/>
  <c r="I45" i="1" s="1"/>
  <c r="J44" i="1"/>
  <c r="H44" i="1"/>
  <c r="G44" i="1"/>
  <c r="F44" i="1"/>
  <c r="E44" i="1"/>
  <c r="D44" i="1"/>
  <c r="C44" i="1"/>
  <c r="I44" i="1" s="1"/>
  <c r="J43" i="1"/>
  <c r="H43" i="1"/>
  <c r="G43" i="1"/>
  <c r="F43" i="1"/>
  <c r="E43" i="1"/>
  <c r="D43" i="1"/>
  <c r="C43" i="1"/>
  <c r="I43" i="1" s="1"/>
  <c r="J42" i="1"/>
  <c r="H42" i="1"/>
  <c r="G42" i="1"/>
  <c r="F42" i="1"/>
  <c r="E42" i="1"/>
  <c r="D42" i="1"/>
  <c r="C42" i="1"/>
  <c r="I42" i="1" s="1"/>
  <c r="J41" i="1"/>
  <c r="H41" i="1"/>
  <c r="G41" i="1"/>
  <c r="F41" i="1"/>
  <c r="E41" i="1"/>
  <c r="D41" i="1"/>
  <c r="C41" i="1"/>
  <c r="I41" i="1" s="1"/>
  <c r="J40" i="1"/>
  <c r="H40" i="1"/>
  <c r="G40" i="1"/>
  <c r="F40" i="1"/>
  <c r="E40" i="1"/>
  <c r="D40" i="1"/>
  <c r="C40" i="1"/>
  <c r="I40" i="1" s="1"/>
  <c r="J39" i="1"/>
  <c r="H39" i="1"/>
  <c r="G39" i="1"/>
  <c r="F39" i="1"/>
  <c r="E39" i="1"/>
  <c r="D39" i="1"/>
  <c r="C39" i="1"/>
  <c r="I39" i="1" s="1"/>
  <c r="J38" i="1"/>
  <c r="H38" i="1"/>
  <c r="G38" i="1"/>
  <c r="F38" i="1"/>
  <c r="E38" i="1"/>
  <c r="D38" i="1"/>
  <c r="C38" i="1"/>
  <c r="I38" i="1" s="1"/>
  <c r="J37" i="1"/>
  <c r="H37" i="1"/>
  <c r="G37" i="1"/>
  <c r="F37" i="1"/>
  <c r="E37" i="1"/>
  <c r="D37" i="1"/>
  <c r="C37" i="1"/>
  <c r="I37" i="1" s="1"/>
  <c r="J36" i="1"/>
  <c r="H36" i="1"/>
  <c r="G36" i="1"/>
  <c r="F36" i="1"/>
  <c r="E36" i="1"/>
  <c r="D36" i="1"/>
  <c r="C36" i="1"/>
  <c r="I36" i="1" s="1"/>
  <c r="J35" i="1"/>
  <c r="H35" i="1"/>
  <c r="G35" i="1"/>
  <c r="F35" i="1"/>
  <c r="E35" i="1"/>
  <c r="D35" i="1"/>
  <c r="C35" i="1"/>
  <c r="J34" i="1"/>
  <c r="H34" i="1"/>
  <c r="G34" i="1"/>
  <c r="F34" i="1"/>
  <c r="E34" i="1"/>
  <c r="D34" i="1"/>
  <c r="C34" i="1"/>
  <c r="I34" i="1" s="1"/>
  <c r="J33" i="1"/>
  <c r="H33" i="1"/>
  <c r="G33" i="1"/>
  <c r="F33" i="1"/>
  <c r="E33" i="1"/>
  <c r="D33" i="1"/>
  <c r="C33" i="1"/>
  <c r="I33" i="1" s="1"/>
  <c r="J32" i="1"/>
  <c r="H32" i="1"/>
  <c r="G32" i="1"/>
  <c r="F32" i="1"/>
  <c r="E32" i="1"/>
  <c r="D32" i="1"/>
  <c r="C32" i="1"/>
  <c r="I32" i="1" s="1"/>
  <c r="G27" i="1"/>
  <c r="F27" i="1"/>
  <c r="E27" i="1"/>
  <c r="D27" i="1"/>
  <c r="C27" i="1"/>
  <c r="B27" i="1"/>
  <c r="H27" i="1" s="1"/>
  <c r="G26" i="1"/>
  <c r="F26" i="1"/>
  <c r="E26" i="1"/>
  <c r="D26" i="1"/>
  <c r="C26" i="1"/>
  <c r="B26" i="1"/>
  <c r="G25" i="1"/>
  <c r="F25" i="1"/>
  <c r="E25" i="1"/>
  <c r="D25" i="1"/>
  <c r="C25" i="1"/>
  <c r="B25" i="1"/>
  <c r="G24" i="1"/>
  <c r="F24" i="1"/>
  <c r="E24" i="1"/>
  <c r="D24" i="1"/>
  <c r="C24" i="1"/>
  <c r="B24" i="1"/>
  <c r="G23" i="1"/>
  <c r="F23" i="1"/>
  <c r="E23" i="1"/>
  <c r="D23" i="1"/>
  <c r="C23" i="1"/>
  <c r="B23" i="1"/>
  <c r="G22" i="1"/>
  <c r="F22" i="1"/>
  <c r="E22" i="1"/>
  <c r="D22" i="1"/>
  <c r="C22" i="1"/>
  <c r="B22" i="1"/>
  <c r="H22" i="1" s="1"/>
  <c r="G21" i="1"/>
  <c r="F21" i="1"/>
  <c r="E21" i="1"/>
  <c r="D21" i="1"/>
  <c r="C21" i="1"/>
  <c r="B21" i="1"/>
  <c r="H21" i="1" s="1"/>
  <c r="G20" i="1"/>
  <c r="F20" i="1"/>
  <c r="E20" i="1"/>
  <c r="D20" i="1"/>
  <c r="C20" i="1"/>
  <c r="B20" i="1"/>
  <c r="D15" i="1"/>
  <c r="C15" i="1"/>
  <c r="B15" i="1"/>
  <c r="D14" i="1"/>
  <c r="C14" i="1"/>
  <c r="B14" i="1"/>
  <c r="D13" i="1"/>
  <c r="C13" i="1"/>
  <c r="B13" i="1"/>
  <c r="D12" i="1"/>
  <c r="C12" i="1"/>
  <c r="B12" i="1"/>
  <c r="D11" i="1"/>
  <c r="C11" i="1"/>
  <c r="B11" i="1"/>
  <c r="D10" i="1"/>
  <c r="C10" i="1"/>
  <c r="B10" i="1"/>
  <c r="A6" i="1"/>
  <c r="C4" i="1"/>
  <c r="A4" i="1"/>
  <c r="H25" i="1" l="1"/>
  <c r="I86" i="1"/>
  <c r="I85" i="1"/>
  <c r="I47" i="1"/>
  <c r="I35" i="1"/>
  <c r="I76" i="1"/>
  <c r="I70" i="1"/>
  <c r="H24" i="1"/>
  <c r="I58" i="1"/>
  <c r="I52" i="1"/>
  <c r="I46" i="1"/>
  <c r="H26" i="1"/>
  <c r="H23" i="1"/>
  <c r="G28" i="1"/>
  <c r="F28" i="1"/>
  <c r="E28" i="1"/>
  <c r="D28" i="1"/>
  <c r="C28" i="1"/>
  <c r="B28" i="1"/>
  <c r="H20" i="1"/>
  <c r="H28" i="1" l="1"/>
</calcChain>
</file>

<file path=xl/sharedStrings.xml><?xml version="1.0" encoding="utf-8"?>
<sst xmlns="http://schemas.openxmlformats.org/spreadsheetml/2006/main" count="59407" uniqueCount="12646">
  <si>
    <t>Minnesota Specialist Clinics</t>
  </si>
  <si>
    <t>Every organization registered in the federal NPI Registry (CMS) under these specialties with a Minnesota practice address, its own name and a phone number. Pulled September 24, 2026. TMJ specialists and oral surgeons added October 19, 2026, each one checked on the web.</t>
  </si>
  <si>
    <t>clinic locations across Minnesota</t>
  </si>
  <si>
    <t>of them are not on Xpert Connect yet</t>
  </si>
  <si>
    <t>By specialty group</t>
  </si>
  <si>
    <t>Group</t>
  </si>
  <si>
    <t>Clinics</t>
  </si>
  <si>
    <t>Not on Xpert Connect</t>
  </si>
  <si>
    <t>Older entries</t>
  </si>
  <si>
    <t>What it includes</t>
  </si>
  <si>
    <t>Injury Physicians</t>
  </si>
  <si>
    <t>Orthopedics, spine, sports medicine, neurosurgery, pain, PM&amp;R, neurology</t>
  </si>
  <si>
    <t>Chiropractic</t>
  </si>
  <si>
    <t>Chiropractic clinics</t>
  </si>
  <si>
    <t>Physical Therapy</t>
  </si>
  <si>
    <t>Physical therapy clinics</t>
  </si>
  <si>
    <t>Imaging</t>
  </si>
  <si>
    <t>Radiology and MRI centers</t>
  </si>
  <si>
    <t>TMJ Specialists</t>
  </si>
  <si>
    <t>TMJ and orofacial pain specialists and clinics</t>
  </si>
  <si>
    <t>Oral Surgery</t>
  </si>
  <si>
    <t>Oral and maxillofacial surgeons (TMJ and jaw surgery)</t>
  </si>
  <si>
    <t>A multi-specialty clinic is listed in each of its groups, so the groups add up to more than the total.</t>
  </si>
  <si>
    <t>By region (each clinic counted once, under its main specialty group)</t>
  </si>
  <si>
    <t>Region</t>
  </si>
  <si>
    <t>Total</t>
  </si>
  <si>
    <t>Twin Cities Metro</t>
  </si>
  <si>
    <t>Central Minnesota</t>
  </si>
  <si>
    <t>Northeast Minnesota</t>
  </si>
  <si>
    <t>Northwest Minnesota</t>
  </si>
  <si>
    <t>West Central Minnesota</t>
  </si>
  <si>
    <t>South Central Minnesota</t>
  </si>
  <si>
    <t>Southeast Minnesota</t>
  </si>
  <si>
    <t>Southwest Minnesota</t>
  </si>
  <si>
    <t>By county (all 87 Minnesota counties)</t>
  </si>
  <si>
    <t>County</t>
  </si>
  <si>
    <t>Hennepin</t>
  </si>
  <si>
    <t>Ramsey</t>
  </si>
  <si>
    <t>Dakota</t>
  </si>
  <si>
    <t>Washington</t>
  </si>
  <si>
    <t>Anoka</t>
  </si>
  <si>
    <t>St. Louis</t>
  </si>
  <si>
    <t>Olmsted</t>
  </si>
  <si>
    <t>Wright</t>
  </si>
  <si>
    <t>Stearns</t>
  </si>
  <si>
    <t>Douglas</t>
  </si>
  <si>
    <t>Carver</t>
  </si>
  <si>
    <t>Scott</t>
  </si>
  <si>
    <t>Otter Tail</t>
  </si>
  <si>
    <t>Beltrami</t>
  </si>
  <si>
    <t>Blue Earth</t>
  </si>
  <si>
    <t>Itasca</t>
  </si>
  <si>
    <t>Sherburne</t>
  </si>
  <si>
    <t>Clay</t>
  </si>
  <si>
    <t>Crow Wing</t>
  </si>
  <si>
    <t>Lyon</t>
  </si>
  <si>
    <t>Rice</t>
  </si>
  <si>
    <t>Goodhue</t>
  </si>
  <si>
    <t>Mille Lacs</t>
  </si>
  <si>
    <t>Polk</t>
  </si>
  <si>
    <t>Carlton</t>
  </si>
  <si>
    <t>Chisago</t>
  </si>
  <si>
    <t>Jackson</t>
  </si>
  <si>
    <t>Steele</t>
  </si>
  <si>
    <t>Hubbard</t>
  </si>
  <si>
    <t>Nobles</t>
  </si>
  <si>
    <t>Isanti</t>
  </si>
  <si>
    <t>Kandiyohi</t>
  </si>
  <si>
    <t>Martin</t>
  </si>
  <si>
    <t>Nicollet</t>
  </si>
  <si>
    <t>Pennington</t>
  </si>
  <si>
    <t>Becker</t>
  </si>
  <si>
    <t>Brown</t>
  </si>
  <si>
    <t>Chippewa</t>
  </si>
  <si>
    <t>Cottonwood</t>
  </si>
  <si>
    <t>Dodge</t>
  </si>
  <si>
    <t>Faribault</t>
  </si>
  <si>
    <t>Morrison</t>
  </si>
  <si>
    <t>Rock</t>
  </si>
  <si>
    <t>Yellow Medicine</t>
  </si>
  <si>
    <t>Benton</t>
  </si>
  <si>
    <t>Fillmore</t>
  </si>
  <si>
    <t>Freeborn</t>
  </si>
  <si>
    <t>Houston</t>
  </si>
  <si>
    <t>Le Sueur</t>
  </si>
  <si>
    <t>Pine</t>
  </si>
  <si>
    <t>Pipestone</t>
  </si>
  <si>
    <t>Roseau</t>
  </si>
  <si>
    <t>Stevens</t>
  </si>
  <si>
    <t>Watonwan</t>
  </si>
  <si>
    <t>Winona</t>
  </si>
  <si>
    <t>Aitkin</t>
  </si>
  <si>
    <t>Big Stone</t>
  </si>
  <si>
    <t>Cass</t>
  </si>
  <si>
    <t>Clearwater</t>
  </si>
  <si>
    <t>Kittson</t>
  </si>
  <si>
    <t>Marshall</t>
  </si>
  <si>
    <t>McLeod</t>
  </si>
  <si>
    <t>Mower</t>
  </si>
  <si>
    <t>Murray</t>
  </si>
  <si>
    <t>Pope</t>
  </si>
  <si>
    <t>Redwood</t>
  </si>
  <si>
    <t>Swift</t>
  </si>
  <si>
    <t>Traverse</t>
  </si>
  <si>
    <t>Wadena</t>
  </si>
  <si>
    <t>Waseca</t>
  </si>
  <si>
    <t>Cook</t>
  </si>
  <si>
    <t>Grant</t>
  </si>
  <si>
    <t>Kanabec</t>
  </si>
  <si>
    <t>Koochiching</t>
  </si>
  <si>
    <t>Lac qui Parle</t>
  </si>
  <si>
    <t>Lake</t>
  </si>
  <si>
    <t>Lake of the Woods</t>
  </si>
  <si>
    <t>Lincoln</t>
  </si>
  <si>
    <t>Mahnomen</t>
  </si>
  <si>
    <t>Meeker</t>
  </si>
  <si>
    <t>Norman</t>
  </si>
  <si>
    <t>Red Lake</t>
  </si>
  <si>
    <t>Renville</t>
  </si>
  <si>
    <t>Sibley</t>
  </si>
  <si>
    <t>Todd</t>
  </si>
  <si>
    <t>Wabasha</t>
  </si>
  <si>
    <t>Wilkin</t>
  </si>
  <si>
    <t>Clinic Name</t>
  </si>
  <si>
    <t>Specialty Group</t>
  </si>
  <si>
    <t>Also In</t>
  </si>
  <si>
    <t>Specialties</t>
  </si>
  <si>
    <t>Street</t>
  </si>
  <si>
    <t>Suite</t>
  </si>
  <si>
    <t>City</t>
  </si>
  <si>
    <t>ZIP</t>
  </si>
  <si>
    <t>Phone</t>
  </si>
  <si>
    <t>Providers at Address</t>
  </si>
  <si>
    <t>On Xpert Connect</t>
  </si>
  <si>
    <t>Registry Updated</t>
  </si>
  <si>
    <t>Legal Name</t>
  </si>
  <si>
    <t>NPI</t>
  </si>
  <si>
    <t>Map</t>
  </si>
  <si>
    <t>NPPES Record</t>
  </si>
  <si>
    <t>Health and Healing Family Chiropractic</t>
  </si>
  <si>
    <t>1883 Station Pkwy NW</t>
  </si>
  <si>
    <t>Andover</t>
  </si>
  <si>
    <t>55304</t>
  </si>
  <si>
    <t>(763) 323-0061</t>
  </si>
  <si>
    <t>No</t>
  </si>
  <si>
    <t>1366657280</t>
  </si>
  <si>
    <t>Record</t>
  </si>
  <si>
    <t>Moore Therapies, PLLC</t>
  </si>
  <si>
    <t>16817 Zion St NW</t>
  </si>
  <si>
    <t>(651) 955-3327</t>
  </si>
  <si>
    <t>1225884661</t>
  </si>
  <si>
    <t>7th Avenue Chiropractic</t>
  </si>
  <si>
    <t>3722 7th Ave</t>
  </si>
  <si>
    <t>55303</t>
  </si>
  <si>
    <t>(763) 312-1257</t>
  </si>
  <si>
    <t>1053120220</t>
  </si>
  <si>
    <t>HealthPartners Riverway Pain Clinic</t>
  </si>
  <si>
    <t>Pain Management</t>
  </si>
  <si>
    <t>2621 Greenhaven Rd</t>
  </si>
  <si>
    <t>(763) 587-4488</t>
  </si>
  <si>
    <t>Group Health, INC.</t>
  </si>
  <si>
    <t>1689068462</t>
  </si>
  <si>
    <t>Kuss Chiropractic</t>
  </si>
  <si>
    <t>440 Bunker Lake Blvd NW</t>
  </si>
  <si>
    <t>Ste 105</t>
  </si>
  <si>
    <t>(763) 330-0393</t>
  </si>
  <si>
    <t>Kuss Company LLC</t>
  </si>
  <si>
    <t>1821895756</t>
  </si>
  <si>
    <t>Unison Chiropractic Center PLLC</t>
  </si>
  <si>
    <t>2006 1st Ave</t>
  </si>
  <si>
    <t>Ste 209</t>
  </si>
  <si>
    <t>(763) 421-0436</t>
  </si>
  <si>
    <t>1538644885</t>
  </si>
  <si>
    <t>Blaine Chiropractic Center PA</t>
  </si>
  <si>
    <t>11919 Central Ave NE</t>
  </si>
  <si>
    <t>Blaine</t>
  </si>
  <si>
    <t>55434</t>
  </si>
  <si>
    <t>(763) 757-1660</t>
  </si>
  <si>
    <t>1376759589</t>
  </si>
  <si>
    <t>Club West Chiropractic PA</t>
  </si>
  <si>
    <t>Chiropractic, Physical Therapy</t>
  </si>
  <si>
    <t>10950 Club West Pkwy</t>
  </si>
  <si>
    <t>Ste 190</t>
  </si>
  <si>
    <t>55449</t>
  </si>
  <si>
    <t>(763) 400-4940</t>
  </si>
  <si>
    <t>1427447432</t>
  </si>
  <si>
    <t>Concentra Medical Center</t>
  </si>
  <si>
    <t>10190 Baltimore St NE</t>
  </si>
  <si>
    <t>Ste 100</t>
  </si>
  <si>
    <t>(763) 780-8264</t>
  </si>
  <si>
    <t>Occupational Health Centers of Minnesota PC</t>
  </si>
  <si>
    <t>1508347964</t>
  </si>
  <si>
    <t>Metro Dentalcare Blaine 10</t>
  </si>
  <si>
    <t>Oral &amp; Maxillofacial Surgery</t>
  </si>
  <si>
    <t>261 County Road 10 NE</t>
  </si>
  <si>
    <t>Ste 10</t>
  </si>
  <si>
    <t>(763) 786-9644</t>
  </si>
  <si>
    <t>Family Oral Surgery Specialists, PLC</t>
  </si>
  <si>
    <t>1730838186</t>
  </si>
  <si>
    <t>Novacare Rehabilitation</t>
  </si>
  <si>
    <t>11855 Ulysses St NE</t>
  </si>
  <si>
    <t>Ste 20</t>
  </si>
  <si>
    <t>(763) 767-3140</t>
  </si>
  <si>
    <t>Novacare Outpatient Rehabilitation East, INC.</t>
  </si>
  <si>
    <t>1235950957</t>
  </si>
  <si>
    <t>OMS Specialists</t>
  </si>
  <si>
    <t>11855 Ulysses Street NE</t>
  </si>
  <si>
    <t>130</t>
  </si>
  <si>
    <t>(763) 757-2220</t>
  </si>
  <si>
    <t>Oral &amp; Maxillofacial Surgery Specialists, PA</t>
  </si>
  <si>
    <t>1467563510</t>
  </si>
  <si>
    <t>Open Heart Chiropractic PA</t>
  </si>
  <si>
    <t>12265 Central Ave NE</t>
  </si>
  <si>
    <t>(763) 757-8511</t>
  </si>
  <si>
    <t>1811687015</t>
  </si>
  <si>
    <t>Summit Orthopedics, LTD</t>
  </si>
  <si>
    <t>Orthopedics, Sports Medicine</t>
  </si>
  <si>
    <t>10230 Baltimore St NE</t>
  </si>
  <si>
    <t>Ste 300</t>
  </si>
  <si>
    <t>(651) 968-5200</t>
  </si>
  <si>
    <t>Yes</t>
  </si>
  <si>
    <t>1043566045</t>
  </si>
  <si>
    <t>The Facial Pain Center</t>
  </si>
  <si>
    <t>TMJ Treatment</t>
  </si>
  <si>
    <t>4190 108th Ave NE</t>
  </si>
  <si>
    <t>Ste 130</t>
  </si>
  <si>
    <t>(651) 636-2016</t>
  </si>
  <si>
    <t>Facial Pain Center PLLC</t>
  </si>
  <si>
    <t>1407325830</t>
  </si>
  <si>
    <t>Allina Health Brain and Spine Institute - Coon Rapids</t>
  </si>
  <si>
    <t>Neurosurgery</t>
  </si>
  <si>
    <t>11850 Blackfoot St NW</t>
  </si>
  <si>
    <t>Ste 490</t>
  </si>
  <si>
    <t>Coon Rapids</t>
  </si>
  <si>
    <t>55433</t>
  </si>
  <si>
    <t>(612) 871-7278</t>
  </si>
  <si>
    <t>Allina Health System</t>
  </si>
  <si>
    <t>1275351413</t>
  </si>
  <si>
    <t>Associated Oral &amp; Maxillofacial Surgeons (Associated OMS)</t>
  </si>
  <si>
    <t>3833 Coon Rapids Blvd NW</t>
  </si>
  <si>
    <t>(763) 421-6271</t>
  </si>
  <si>
    <t>MN Dental Service Providers LLC</t>
  </si>
  <si>
    <t>1649043662</t>
  </si>
  <si>
    <t>Caring Chiropractic Center, PA.</t>
  </si>
  <si>
    <t>10811 Xavis St NW</t>
  </si>
  <si>
    <t>(763) 421-1905</t>
  </si>
  <si>
    <t>1134494818</t>
  </si>
  <si>
    <t>600 Coon Rapids Blvd NW</t>
  </si>
  <si>
    <t>Ste 2</t>
  </si>
  <si>
    <t>(651) 968-5273</t>
  </si>
  <si>
    <t>1326966300</t>
  </si>
  <si>
    <t>Courage Kenny Rehabilitation Associates</t>
  </si>
  <si>
    <t>Physical Medicine &amp; Rehabilitation</t>
  </si>
  <si>
    <t>Ste 405</t>
  </si>
  <si>
    <t>(763) 236-0888</t>
  </si>
  <si>
    <t>1770034670</t>
  </si>
  <si>
    <t>Fit Family Chiropractic</t>
  </si>
  <si>
    <t>1835 Gateway Dr</t>
  </si>
  <si>
    <t>Ste 104</t>
  </si>
  <si>
    <t>55448</t>
  </si>
  <si>
    <t>(763) 710-8888</t>
  </si>
  <si>
    <t>Moe Chiro Tres PLLC</t>
  </si>
  <si>
    <t>1063054302</t>
  </si>
  <si>
    <t>Mary T Outpatient</t>
  </si>
  <si>
    <t>11800 Xeon Blvd NW</t>
  </si>
  <si>
    <t>(763) 489-3638</t>
  </si>
  <si>
    <t>1396475927</t>
  </si>
  <si>
    <t>Metropolitan Neurosurgery, PA</t>
  </si>
  <si>
    <t>(763) 427-1137</t>
  </si>
  <si>
    <t>1386690543</t>
  </si>
  <si>
    <t>Minnesota Neurosurgical Trauma Associates, PLLC</t>
  </si>
  <si>
    <t>1922241884</t>
  </si>
  <si>
    <t>Northside Minnesota Oral and Maxillofacial Surgeons, PLLC</t>
  </si>
  <si>
    <t>11441 Osage St NW</t>
  </si>
  <si>
    <t>(763) 862-6442</t>
  </si>
  <si>
    <t>1245809458</t>
  </si>
  <si>
    <t>2104 Northdale Blvd NW</t>
  </si>
  <si>
    <t>(763) 755-5495</t>
  </si>
  <si>
    <t>1386466886</t>
  </si>
  <si>
    <t>10091 Dogwood St NW</t>
  </si>
  <si>
    <t>(763) 450-0298</t>
  </si>
  <si>
    <t>1982246013</t>
  </si>
  <si>
    <t>Pdr Coon Rapids, INC</t>
  </si>
  <si>
    <t>Physical Medicine &amp; Rehabilitation, Chiropractic, Physical Therapy</t>
  </si>
  <si>
    <t>320 Coon Rapids Blvd NW</t>
  </si>
  <si>
    <t>#100</t>
  </si>
  <si>
    <t>(952) 908-2580</t>
  </si>
  <si>
    <t>1477666428</t>
  </si>
  <si>
    <t>Restoring Wellness Chiropractic</t>
  </si>
  <si>
    <t>(763) 285-6475</t>
  </si>
  <si>
    <t>Restoring Wellness Chiropractic, LLC</t>
  </si>
  <si>
    <t>1447934385</t>
  </si>
  <si>
    <t>Summit Orthopedics, LTD.</t>
  </si>
  <si>
    <t>Ste 150</t>
  </si>
  <si>
    <t>(651) 968-5201</t>
  </si>
  <si>
    <t>1770207193</t>
  </si>
  <si>
    <t>The Dental Specialists - Coon Rapids / Riverdale</t>
  </si>
  <si>
    <t>3360 Northdale Blvd.</t>
  </si>
  <si>
    <t>(763) 233-3390</t>
  </si>
  <si>
    <t>Dental Specialists of Minnesota, PLLC</t>
  </si>
  <si>
    <t>1396095048</t>
  </si>
  <si>
    <t>The Dental Specialists - Coon Rapids Riverdale</t>
  </si>
  <si>
    <t>3360 Northdale Blvd NW</t>
  </si>
  <si>
    <t>(763) 201-6962</t>
  </si>
  <si>
    <t>1518200286</t>
  </si>
  <si>
    <t>Therapy Partners INC</t>
  </si>
  <si>
    <t>1306606397</t>
  </si>
  <si>
    <t>Therapy Partners, INC.</t>
  </si>
  <si>
    <t>8770 Springbrook Dr NW</t>
  </si>
  <si>
    <t>(763) 231-1824</t>
  </si>
  <si>
    <t>1407809494</t>
  </si>
  <si>
    <t>Rooted In Wellness Chiropractic LLC</t>
  </si>
  <si>
    <t>20730 Hamlet Ave N</t>
  </si>
  <si>
    <t>Forest Lake</t>
  </si>
  <si>
    <t>55025</t>
  </si>
  <si>
    <t>(651) 248-1841</t>
  </si>
  <si>
    <t>1538970660</t>
  </si>
  <si>
    <t>Heim Chiropractic, PA</t>
  </si>
  <si>
    <t>7101 Highway 65 NE</t>
  </si>
  <si>
    <t>Ste 4</t>
  </si>
  <si>
    <t>Fridley</t>
  </si>
  <si>
    <t>55432</t>
  </si>
  <si>
    <t>(651) 482-9160</t>
  </si>
  <si>
    <t>1073675047</t>
  </si>
  <si>
    <t>Minnesota Chiroworks, PLLC</t>
  </si>
  <si>
    <t>7400 University Ave NE</t>
  </si>
  <si>
    <t>(637) 571-0239</t>
  </si>
  <si>
    <t>1750917068</t>
  </si>
  <si>
    <t>480 Osborne Road</t>
  </si>
  <si>
    <t>Number 280</t>
  </si>
  <si>
    <t>(763) 784-3155</t>
  </si>
  <si>
    <t>Novacare Outpatient Rehabilitation East INC</t>
  </si>
  <si>
    <t>1558610519</t>
  </si>
  <si>
    <t>480 Osborne Rd NE</t>
  </si>
  <si>
    <t>Ste 280</t>
  </si>
  <si>
    <t>1356162051</t>
  </si>
  <si>
    <t>Spinecare Fridley, PC</t>
  </si>
  <si>
    <t>7872 University Ave NE</t>
  </si>
  <si>
    <t>(763) 780-4300</t>
  </si>
  <si>
    <t>A Plus Chiropractic, PC</t>
  </si>
  <si>
    <t>1265953061</t>
  </si>
  <si>
    <t>The Minnesota Chiroworks, PC</t>
  </si>
  <si>
    <t>1720874860</t>
  </si>
  <si>
    <t>Exceptional Chiropractic P A</t>
  </si>
  <si>
    <t>16230 Aberdeen St NE</t>
  </si>
  <si>
    <t>Ste B</t>
  </si>
  <si>
    <t>Ham Lake</t>
  </si>
  <si>
    <t>(763) 208-5382</t>
  </si>
  <si>
    <t>1881795961</t>
  </si>
  <si>
    <t>2415 149th Ave NE</t>
  </si>
  <si>
    <t>(612) 418-3587</t>
  </si>
  <si>
    <t>Silver View Chiropractic Center, PA.</t>
  </si>
  <si>
    <t>4137 Woodland Road</t>
  </si>
  <si>
    <t>Lexington</t>
  </si>
  <si>
    <t>55014</t>
  </si>
  <si>
    <t>(763) 786-5581</t>
  </si>
  <si>
    <t>1740453968</t>
  </si>
  <si>
    <t>Sprout Chiropractic &amp; Wellness</t>
  </si>
  <si>
    <t>7525 Village Dr</t>
  </si>
  <si>
    <t>Ste 110</t>
  </si>
  <si>
    <t>Lino Lakes</t>
  </si>
  <si>
    <t>(651) 247-0941</t>
  </si>
  <si>
    <t>Roseville Chiropractic Clinic, LLC</t>
  </si>
  <si>
    <t>1699054304</t>
  </si>
  <si>
    <t>Nura PLLC</t>
  </si>
  <si>
    <t>2104 Northdale Boulevard NW</t>
  </si>
  <si>
    <t>Ste 220</t>
  </si>
  <si>
    <t>Minneapolis</t>
  </si>
  <si>
    <t>(763) 537-6000</t>
  </si>
  <si>
    <t>1750316014</t>
  </si>
  <si>
    <t>Meraki Chiropractic PLLC</t>
  </si>
  <si>
    <t>19201 Lake George Blvd</t>
  </si>
  <si>
    <t>Ste C</t>
  </si>
  <si>
    <t>Oak Grove</t>
  </si>
  <si>
    <t>(763) 200-3370</t>
  </si>
  <si>
    <t>1750142360</t>
  </si>
  <si>
    <t>Hands Hooves and Hearts Therapeutic Services LLC</t>
  </si>
  <si>
    <t>9457 Highway 10 NW</t>
  </si>
  <si>
    <t>(612) 230-0308</t>
  </si>
  <si>
    <t>1891332599</t>
  </si>
  <si>
    <t>Opp Family Chiropractic PA.</t>
  </si>
  <si>
    <t>23168 Saint Francis Blvd NW</t>
  </si>
  <si>
    <t>#600</t>
  </si>
  <si>
    <t>St. Francis</t>
  </si>
  <si>
    <t>55070</t>
  </si>
  <si>
    <t>(763) 213-0615</t>
  </si>
  <si>
    <t>1982890810</t>
  </si>
  <si>
    <t>St Lukes Chiropractic</t>
  </si>
  <si>
    <t>3220 Bridge St NW</t>
  </si>
  <si>
    <t>Ste 108</t>
  </si>
  <si>
    <t>(763) 452-0171</t>
  </si>
  <si>
    <t>1235715574</t>
  </si>
  <si>
    <t>Backed Chiropractic</t>
  </si>
  <si>
    <t>1286 Park Rd</t>
  </si>
  <si>
    <t># B</t>
  </si>
  <si>
    <t>Chanhassen</t>
  </si>
  <si>
    <t>55317</t>
  </si>
  <si>
    <t>(952) 451-8571</t>
  </si>
  <si>
    <t>Backed Chiropractic PLLC</t>
  </si>
  <si>
    <t>1720862931</t>
  </si>
  <si>
    <t>Chanhassen Chiropractic</t>
  </si>
  <si>
    <t>7800 Market Blvd</t>
  </si>
  <si>
    <t>(952) 934-4500</t>
  </si>
  <si>
    <t>Active Mobility Practitioner PA</t>
  </si>
  <si>
    <t>1639528508</t>
  </si>
  <si>
    <t>Kandor Physical Therapy &amp; Pelvic Health LLC</t>
  </si>
  <si>
    <t>8951 Crossroads Blvd</t>
  </si>
  <si>
    <t>Ste 213</t>
  </si>
  <si>
    <t>(952) 395-7461</t>
  </si>
  <si>
    <t>1114885357</t>
  </si>
  <si>
    <t>600 Market St</t>
  </si>
  <si>
    <t>(952) 491-4700</t>
  </si>
  <si>
    <t>Ahc Medical, PC</t>
  </si>
  <si>
    <t>1476 White Oak Dr</t>
  </si>
  <si>
    <t>Chaska</t>
  </si>
  <si>
    <t>55318</t>
  </si>
  <si>
    <t>(952) 448-3900</t>
  </si>
  <si>
    <t>1336846955</t>
  </si>
  <si>
    <t>1580 White Oak Dr</t>
  </si>
  <si>
    <t>(952) 544-8800</t>
  </si>
  <si>
    <t>1790266153</t>
  </si>
  <si>
    <t>Discover Chiropractic</t>
  </si>
  <si>
    <t>1107 Hazeltine Blvd</t>
  </si>
  <si>
    <t>(952) 368-4700</t>
  </si>
  <si>
    <t>Coombs Chiropractic PLLC</t>
  </si>
  <si>
    <t>1861317349</t>
  </si>
  <si>
    <t>Inmind Health, LLC</t>
  </si>
  <si>
    <t>Ste 496, MD 45</t>
  </si>
  <si>
    <t>(952) 240-3344</t>
  </si>
  <si>
    <t>1912782749</t>
  </si>
  <si>
    <t>Lake Life Chiropractic LLC</t>
  </si>
  <si>
    <t>3650 N Chestnut St</t>
  </si>
  <si>
    <t>Ste 101A</t>
  </si>
  <si>
    <t>(612) 562-8384</t>
  </si>
  <si>
    <t>1952826778</t>
  </si>
  <si>
    <t>Peak Chiropractic LLC</t>
  </si>
  <si>
    <t>Ste 420</t>
  </si>
  <si>
    <t>(952) 600-5584</t>
  </si>
  <si>
    <t>1215773049</t>
  </si>
  <si>
    <t>Twin Cities Pain Clinic</t>
  </si>
  <si>
    <t>Pain Management, Physical Medicine &amp; Rehabilitation</t>
  </si>
  <si>
    <t>584 Bavaria Ln</t>
  </si>
  <si>
    <t>(952) 841-2345</t>
  </si>
  <si>
    <t>Andrew J Will MD PA</t>
  </si>
  <si>
    <t>1669167920</t>
  </si>
  <si>
    <t>Sports Performance Chiropractic</t>
  </si>
  <si>
    <t>350 Highway 7</t>
  </si>
  <si>
    <t>Ste 200</t>
  </si>
  <si>
    <t>Excelsior</t>
  </si>
  <si>
    <t>55331</t>
  </si>
  <si>
    <t>(952) 529-3905</t>
  </si>
  <si>
    <t>1649113804</t>
  </si>
  <si>
    <t>Power of Life Alternative and Holistic Health</t>
  </si>
  <si>
    <t>1700 Stieger Lake Ln</t>
  </si>
  <si>
    <t>Ste 103</t>
  </si>
  <si>
    <t>Victoria</t>
  </si>
  <si>
    <t>55386</t>
  </si>
  <si>
    <t>(952) 443-9000</t>
  </si>
  <si>
    <t>Power of Life Chiropractic, PA.</t>
  </si>
  <si>
    <t>1316120272</t>
  </si>
  <si>
    <t>Movewell Chiropractc &amp; Wellness</t>
  </si>
  <si>
    <t>9360 Oak Ave</t>
  </si>
  <si>
    <t>Waconia</t>
  </si>
  <si>
    <t>55387</t>
  </si>
  <si>
    <t>(952) 466-6533</t>
  </si>
  <si>
    <t>1972142081</t>
  </si>
  <si>
    <t>490 S Maple St</t>
  </si>
  <si>
    <t>Ste 102</t>
  </si>
  <si>
    <t>(952) 442-5448</t>
  </si>
  <si>
    <t>1770694812</t>
  </si>
  <si>
    <t>Ridgeview Medical Center</t>
  </si>
  <si>
    <t>Radiology</t>
  </si>
  <si>
    <t>500 S Maple St</t>
  </si>
  <si>
    <t>(952) 442-2191</t>
  </si>
  <si>
    <t>1811174923</t>
  </si>
  <si>
    <t>Sunnydays Therapy INC</t>
  </si>
  <si>
    <t>9346 Oak Ave</t>
  </si>
  <si>
    <t>(952) 223-2506</t>
  </si>
  <si>
    <t>1891914412</t>
  </si>
  <si>
    <t>Watertown Family Chiropractic</t>
  </si>
  <si>
    <t>204 Lewis Ave S</t>
  </si>
  <si>
    <t>Sutie 203</t>
  </si>
  <si>
    <t>Watertown</t>
  </si>
  <si>
    <t>55388</t>
  </si>
  <si>
    <t>(515) 320-3841</t>
  </si>
  <si>
    <t>Ryan Goetz, PA.</t>
  </si>
  <si>
    <t>1316185036</t>
  </si>
  <si>
    <t>North Branch Family Chiropractic LLC</t>
  </si>
  <si>
    <t>6241 Main St</t>
  </si>
  <si>
    <t>North Branch</t>
  </si>
  <si>
    <t>55056</t>
  </si>
  <si>
    <t>(651) 470-5422</t>
  </si>
  <si>
    <t>1437943677</t>
  </si>
  <si>
    <t>Revive Chiropractic</t>
  </si>
  <si>
    <t>6272 Main St</t>
  </si>
  <si>
    <t>(651) 674-2700</t>
  </si>
  <si>
    <t>Wurdemann Chiropractic PA</t>
  </si>
  <si>
    <t>1578850061</t>
  </si>
  <si>
    <t>Sage Spine Pain and Nerve Center</t>
  </si>
  <si>
    <t>38500 Tanger Dr</t>
  </si>
  <si>
    <t>(651) 337-8201</t>
  </si>
  <si>
    <t>1588536197</t>
  </si>
  <si>
    <t>Weierke Chiropractic PA</t>
  </si>
  <si>
    <t>386 Bench St</t>
  </si>
  <si>
    <t>Taylors Falls</t>
  </si>
  <si>
    <t>55084</t>
  </si>
  <si>
    <t>(651) 465-3811</t>
  </si>
  <si>
    <t>1568876993</t>
  </si>
  <si>
    <t>Fairview Express Care</t>
  </si>
  <si>
    <t>5200 Fairview Blvd</t>
  </si>
  <si>
    <t>Ste F</t>
  </si>
  <si>
    <t>Wyoming</t>
  </si>
  <si>
    <t>55092</t>
  </si>
  <si>
    <t>(612) 273-5400</t>
  </si>
  <si>
    <t>1386193613</t>
  </si>
  <si>
    <t>5130 Fairview Blvd</t>
  </si>
  <si>
    <t>Ste 101</t>
  </si>
  <si>
    <t>(912) 273-5400</t>
  </si>
  <si>
    <t>Apex Family Chiropractic LLC</t>
  </si>
  <si>
    <t>15678 Pilot Knob Road</t>
  </si>
  <si>
    <t>Ste 120</t>
  </si>
  <si>
    <t>Apple Valley</t>
  </si>
  <si>
    <t>55124</t>
  </si>
  <si>
    <t>(651) 456-8744</t>
  </si>
  <si>
    <t>1982126926</t>
  </si>
  <si>
    <t>Children's Therapy Center, INC</t>
  </si>
  <si>
    <t>14635 Pennock Ave</t>
  </si>
  <si>
    <t>(651) 994-9644</t>
  </si>
  <si>
    <t>1295809366</t>
  </si>
  <si>
    <t>Johnson Spinal Care Associates, PA.</t>
  </si>
  <si>
    <t>14859 Energy Way</t>
  </si>
  <si>
    <t>(952) 432-3333</t>
  </si>
  <si>
    <t>1285711663</t>
  </si>
  <si>
    <t>Liberty Physical Therapy LLC</t>
  </si>
  <si>
    <t>272 Cimarron Rd</t>
  </si>
  <si>
    <t>(715) 495-6918</t>
  </si>
  <si>
    <t>1497474274</t>
  </si>
  <si>
    <t>Lifeway Chiropractic and Wellness LLC</t>
  </si>
  <si>
    <t>7300 147th St W</t>
  </si>
  <si>
    <t>(612) 508-2454</t>
  </si>
  <si>
    <t>1962568576</t>
  </si>
  <si>
    <t>Niko Physical Therapy LLC</t>
  </si>
  <si>
    <t>Ste 403</t>
  </si>
  <si>
    <t>(952) 214-8724</t>
  </si>
  <si>
    <t>1770440810</t>
  </si>
  <si>
    <t>North Star Balance LLC</t>
  </si>
  <si>
    <t>15083 Flagstaff Ave</t>
  </si>
  <si>
    <t>Ste A</t>
  </si>
  <si>
    <t>(612) 246-6900</t>
  </si>
  <si>
    <t>1023959228</t>
  </si>
  <si>
    <t>15290 Pennock Ln</t>
  </si>
  <si>
    <t>(952) 953-3711</t>
  </si>
  <si>
    <t>1669668026</t>
  </si>
  <si>
    <t>Spinefocus Physical Therapy LLC</t>
  </si>
  <si>
    <t>(651) 363-1449</t>
  </si>
  <si>
    <t>1013859305</t>
  </si>
  <si>
    <t>15160 Foliage Ave</t>
  </si>
  <si>
    <t>Ste 170</t>
  </si>
  <si>
    <t>(952) 683-1745</t>
  </si>
  <si>
    <t>14665 Galaxie Ave</t>
  </si>
  <si>
    <t>Ste 320</t>
  </si>
  <si>
    <t>(952) 892-6777</t>
  </si>
  <si>
    <t>Twin Cities Oral &amp; Maxillofacial Surgery</t>
  </si>
  <si>
    <t>#250</t>
  </si>
  <si>
    <t>(952) 432-1514</t>
  </si>
  <si>
    <t>Twin Cities Oral &amp; Maxillofacial Surgery PA</t>
  </si>
  <si>
    <t>1821299041</t>
  </si>
  <si>
    <t>Bloom Chiropractic Center PA</t>
  </si>
  <si>
    <t>1606 Cliff Rd E</t>
  </si>
  <si>
    <t>Burnsville</t>
  </si>
  <si>
    <t>55337</t>
  </si>
  <si>
    <t>(952) 894-6300</t>
  </si>
  <si>
    <t>1417075532</t>
  </si>
  <si>
    <t>Chiroflex PLLC</t>
  </si>
  <si>
    <t>1103 W Burnsville Pkwy</t>
  </si>
  <si>
    <t>(320) 699-0695</t>
  </si>
  <si>
    <t>1114618618</t>
  </si>
  <si>
    <t>Healthpro Chiropractic PC</t>
  </si>
  <si>
    <t>150 E Travelers Trl</t>
  </si>
  <si>
    <t>(651) 463-8222</t>
  </si>
  <si>
    <t>1730320276</t>
  </si>
  <si>
    <t>Heartlight Chiropractic, PA.</t>
  </si>
  <si>
    <t>2960 Judicial Rd</t>
  </si>
  <si>
    <t>Ste 210</t>
  </si>
  <si>
    <t>(952) 890-5694</t>
  </si>
  <si>
    <t>1912184573</t>
  </si>
  <si>
    <t>13955 W Preserve Blvd</t>
  </si>
  <si>
    <t>Inspired Spine Health / Tristate Brain &amp; Spine Institute</t>
  </si>
  <si>
    <t>Orthopedics, Spine</t>
  </si>
  <si>
    <t>1601 Highway 13 E</t>
  </si>
  <si>
    <t>(320) 763-8888</t>
  </si>
  <si>
    <t>Sunny S. Kim, MD PA</t>
  </si>
  <si>
    <t>1205481041</t>
  </si>
  <si>
    <t>Institute For Orthopedics &amp; Chiropractic, PLLC</t>
  </si>
  <si>
    <t>14300 Buck Hill Rd</t>
  </si>
  <si>
    <t>Ste E</t>
  </si>
  <si>
    <t>55306</t>
  </si>
  <si>
    <t>(952) 941-3311</t>
  </si>
  <si>
    <t>1710216858</t>
  </si>
  <si>
    <t>Integrate Chiropractic PLLC</t>
  </si>
  <si>
    <t>(952) 300-1461</t>
  </si>
  <si>
    <t>1295366888</t>
  </si>
  <si>
    <t>Integrative Orthopedic Clinics, PLLC</t>
  </si>
  <si>
    <t>1558208033</t>
  </si>
  <si>
    <t>Limitless, PLLC</t>
  </si>
  <si>
    <t>14612 Burnell Park Dr</t>
  </si>
  <si>
    <t>(952) 314-8449</t>
  </si>
  <si>
    <t>1750871372</t>
  </si>
  <si>
    <t>Metro Dentalcare Specialty Center Burnsville - Oral Surgery</t>
  </si>
  <si>
    <t>14344 Burnhaven Dr</t>
  </si>
  <si>
    <t>(612) 638-1238</t>
  </si>
  <si>
    <t>1407505829</t>
  </si>
  <si>
    <t>Minnesota Head and Neck Pain Clinic, PA</t>
  </si>
  <si>
    <t>TMJ Clinic</t>
  </si>
  <si>
    <t>675 E Nicollet Blvd</t>
  </si>
  <si>
    <t>Ste 255</t>
  </si>
  <si>
    <t>(952) 892-6222</t>
  </si>
  <si>
    <t>1255715181</t>
  </si>
  <si>
    <t>Mprove Physical Therapy, LLC</t>
  </si>
  <si>
    <t>1538842711</t>
  </si>
  <si>
    <t>Nova Chiropractic and Wellness</t>
  </si>
  <si>
    <t>2424 E 117th St</t>
  </si>
  <si>
    <t>(952) 894-5108</t>
  </si>
  <si>
    <t>1871212951</t>
  </si>
  <si>
    <t>Pdr Burnsville, INC</t>
  </si>
  <si>
    <t>14050 Nicollet Ave</t>
  </si>
  <si>
    <t>#114</t>
  </si>
  <si>
    <t>(952) 908-2710</t>
  </si>
  <si>
    <t>1952414971</t>
  </si>
  <si>
    <t>Peak Performance Chiropractic Center</t>
  </si>
  <si>
    <t>12750 Nicollet Ave</t>
  </si>
  <si>
    <t>Ste 303</t>
  </si>
  <si>
    <t>(507) 476-7345</t>
  </si>
  <si>
    <t>1144031675</t>
  </si>
  <si>
    <t>Resurgence Chiropractic Clinic LLC</t>
  </si>
  <si>
    <t>1602 Cliff Rd E</t>
  </si>
  <si>
    <t>(612) 710-7756</t>
  </si>
  <si>
    <t>1124919071</t>
  </si>
  <si>
    <t>Revibe Chiropractic and Rehabilitation</t>
  </si>
  <si>
    <t>(952) 866-9010</t>
  </si>
  <si>
    <t>Wyn Chiropractic &amp; Rehabilitation PLLC</t>
  </si>
  <si>
    <t>1053253781</t>
  </si>
  <si>
    <t>South Suburban Oral &amp; Maxillofacial Surgeons LTD</t>
  </si>
  <si>
    <t>625 East Nicollet Boulevard</t>
  </si>
  <si>
    <t>Ste 205</t>
  </si>
  <si>
    <t>(952) 435-0310</t>
  </si>
  <si>
    <t>1134103674</t>
  </si>
  <si>
    <t>Orthopedics</t>
  </si>
  <si>
    <t>14101 Fairview Dr</t>
  </si>
  <si>
    <t>1376403857</t>
  </si>
  <si>
    <t>Orthopedics, Spine, Neurosurgery</t>
  </si>
  <si>
    <t>1659301992</t>
  </si>
  <si>
    <t>The Dental Specialists</t>
  </si>
  <si>
    <t>40 W Nicollet Blvd</t>
  </si>
  <si>
    <t>(952) 241-5901</t>
  </si>
  <si>
    <t>1508932344</t>
  </si>
  <si>
    <t>(952) 926-3858</t>
  </si>
  <si>
    <t>Pdg, PA.</t>
  </si>
  <si>
    <t>1821473927</t>
  </si>
  <si>
    <t>1351 Larc Industrial Blvd</t>
  </si>
  <si>
    <t>Thrive Chiropractic &amp; Health LLC</t>
  </si>
  <si>
    <t>511 County Road 42 E</t>
  </si>
  <si>
    <t>(612) 720-7436</t>
  </si>
  <si>
    <t>1457081275</t>
  </si>
  <si>
    <t>Vector Sport and Spine : Chiro &amp; Rehab PLLC</t>
  </si>
  <si>
    <t>12919 Oliver Ave S</t>
  </si>
  <si>
    <t>(952) 222-5770</t>
  </si>
  <si>
    <t>1447901996</t>
  </si>
  <si>
    <t>A.m. Family Chiropractic and Nutrition PLLC.</t>
  </si>
  <si>
    <t>1121 Town Centre Dr</t>
  </si>
  <si>
    <t>Eagan</t>
  </si>
  <si>
    <t>55123</t>
  </si>
  <si>
    <t>(651) 500-8897</t>
  </si>
  <si>
    <t>1912833070</t>
  </si>
  <si>
    <t>2795 Pilot Knob Rd</t>
  </si>
  <si>
    <t>55121</t>
  </si>
  <si>
    <t>Chris Johnson DC</t>
  </si>
  <si>
    <t>2119 Cliff Rd</t>
  </si>
  <si>
    <t>55122</t>
  </si>
  <si>
    <t>(612) 251-8173</t>
  </si>
  <si>
    <t>Chris Johnson DC LLC</t>
  </si>
  <si>
    <t>1962215087</t>
  </si>
  <si>
    <t>1400 Corporate Center Curv</t>
  </si>
  <si>
    <t>(651) 968-5732</t>
  </si>
  <si>
    <t>1174441083</t>
  </si>
  <si>
    <t>Cornerstone Family Chiropractic, PLLC</t>
  </si>
  <si>
    <t>1590 Thomas Center Dr</t>
  </si>
  <si>
    <t>(651) 209-9710</t>
  </si>
  <si>
    <t>1487848719</t>
  </si>
  <si>
    <t>Genesis Chiropractic Health Center</t>
  </si>
  <si>
    <t>4678 Slater Rd</t>
  </si>
  <si>
    <t>(651) 905-0330</t>
  </si>
  <si>
    <t>1831411727</t>
  </si>
  <si>
    <t>M Health Fairview Rehabilitation</t>
  </si>
  <si>
    <t>3305 Central Park Village Drive</t>
  </si>
  <si>
    <t>(651) 406-8868</t>
  </si>
  <si>
    <t>1881141349</t>
  </si>
  <si>
    <t>Medlinq Clinics</t>
  </si>
  <si>
    <t>860 Blue Gentian Rd</t>
  </si>
  <si>
    <t>(888) 447-8248</t>
  </si>
  <si>
    <t>Medlinq</t>
  </si>
  <si>
    <t>1689150120</t>
  </si>
  <si>
    <t>Orthopedics, Physical Therapy</t>
  </si>
  <si>
    <t>2620 Eagan Woods Dr</t>
  </si>
  <si>
    <t>1063563518</t>
  </si>
  <si>
    <t>Synapse</t>
  </si>
  <si>
    <t>4490 Erin Dr</t>
  </si>
  <si>
    <t>(651) 209-9906</t>
  </si>
  <si>
    <t>Center For Health &amp; Healing INC</t>
  </si>
  <si>
    <t>1285761825</t>
  </si>
  <si>
    <t>(651) 688-7500</t>
  </si>
  <si>
    <t>19685 Pilot Knob Rd</t>
  </si>
  <si>
    <t>Ste 260</t>
  </si>
  <si>
    <t>Farmington</t>
  </si>
  <si>
    <t>55024</t>
  </si>
  <si>
    <t>The Next Level Physio, LLC</t>
  </si>
  <si>
    <t>21210 Eaton Ave</t>
  </si>
  <si>
    <t>(612) 226-7885</t>
  </si>
  <si>
    <t>1760263461</t>
  </si>
  <si>
    <t>Allina Health Nininger Road Clinic</t>
  </si>
  <si>
    <t>Sports Medicine</t>
  </si>
  <si>
    <t>1285 Nininger Rd</t>
  </si>
  <si>
    <t>Hastings</t>
  </si>
  <si>
    <t>55033</t>
  </si>
  <si>
    <t>(651) 480-4200</t>
  </si>
  <si>
    <t>1578869293</t>
  </si>
  <si>
    <t>Hastings Sport and Spine LLC</t>
  </si>
  <si>
    <t>1806 Vermillion St</t>
  </si>
  <si>
    <t>(563) 449-6651</t>
  </si>
  <si>
    <t>1336505551</t>
  </si>
  <si>
    <t>Optimal Health Chiropractic</t>
  </si>
  <si>
    <t>1260 S Frontage Rd.</t>
  </si>
  <si>
    <t>(651) 243-0633</t>
  </si>
  <si>
    <t>Optimal Health Chiropractic, PC.</t>
  </si>
  <si>
    <t>1194453365</t>
  </si>
  <si>
    <t>Power Within Chiropractic PA</t>
  </si>
  <si>
    <t>925 Highway 55</t>
  </si>
  <si>
    <t>(651) 437-6778</t>
  </si>
  <si>
    <t>1467517953</t>
  </si>
  <si>
    <t>Therapy Ops, LLC</t>
  </si>
  <si>
    <t>1312 S Frontage Rd</t>
  </si>
  <si>
    <t>(651) 455-0561</t>
  </si>
  <si>
    <t>1013323559</t>
  </si>
  <si>
    <t>Twin Cities Oral &amp; Maxillofacial Surgery PA.</t>
  </si>
  <si>
    <t>202</t>
  </si>
  <si>
    <t>(651) 437-3262</t>
  </si>
  <si>
    <t>1083792279</t>
  </si>
  <si>
    <t>Compcare Occupational Medicine &amp; Urgent Care</t>
  </si>
  <si>
    <t>7635 Addisen Path</t>
  </si>
  <si>
    <t>Inver Grove Heights</t>
  </si>
  <si>
    <t>55077</t>
  </si>
  <si>
    <t>(805) 698-8480</t>
  </si>
  <si>
    <t>Presence Telehealth PLLC</t>
  </si>
  <si>
    <t>1780162552</t>
  </si>
  <si>
    <t>Inver Grove Chiropractic P A</t>
  </si>
  <si>
    <t>2940 65th St E</t>
  </si>
  <si>
    <t>55076</t>
  </si>
  <si>
    <t>(651) 451-1012</t>
  </si>
  <si>
    <t>1194904417</t>
  </si>
  <si>
    <t>Limitless Chiropractic LLC</t>
  </si>
  <si>
    <t>9086 Buchanan Trl</t>
  </si>
  <si>
    <t>(651) 300-4500</t>
  </si>
  <si>
    <t>1679392781</t>
  </si>
  <si>
    <t>Optimum Health</t>
  </si>
  <si>
    <t>7781 Amana Trl</t>
  </si>
  <si>
    <t>(651) 237-3799</t>
  </si>
  <si>
    <t>Optimum Health PLLC</t>
  </si>
  <si>
    <t>1578375630</t>
  </si>
  <si>
    <t>Oyespa LLC</t>
  </si>
  <si>
    <t>7741 Amana Trl</t>
  </si>
  <si>
    <t>(651) 371-9100</t>
  </si>
  <si>
    <t>Starnovus LLC</t>
  </si>
  <si>
    <t>1639926942</t>
  </si>
  <si>
    <t>2925 Buckley Way</t>
  </si>
  <si>
    <t>(612) 360-4289</t>
  </si>
  <si>
    <t>Twin Cities Movement Chiropractic and Rehabilitation PLLC</t>
  </si>
  <si>
    <t>5844 Blaine Ave</t>
  </si>
  <si>
    <t>(651) 867-2937</t>
  </si>
  <si>
    <t>1881534220</t>
  </si>
  <si>
    <t>Zero Distance Acupuncture LLC</t>
  </si>
  <si>
    <t>5810 Blackshire Path</t>
  </si>
  <si>
    <t>(612) 261-7300</t>
  </si>
  <si>
    <t>1194496471</t>
  </si>
  <si>
    <t>Advanced Oral Surgery &amp; Periodontics</t>
  </si>
  <si>
    <t>19925 Idealic Ave</t>
  </si>
  <si>
    <t>Lakeville</t>
  </si>
  <si>
    <t>55044</t>
  </si>
  <si>
    <t>(952) 683-9884</t>
  </si>
  <si>
    <t>Advanced Oral Surgery</t>
  </si>
  <si>
    <t>1295218303</t>
  </si>
  <si>
    <t>Align Chiropractic PA</t>
  </si>
  <si>
    <t>16301 Kenrick Ave</t>
  </si>
  <si>
    <t>(952) 594-3137</t>
  </si>
  <si>
    <t>1679098172</t>
  </si>
  <si>
    <t>Allina Health Brain and Spine Institute</t>
  </si>
  <si>
    <t>18465 Orchard Trl</t>
  </si>
  <si>
    <t>(800) 827-8313</t>
  </si>
  <si>
    <t>1144264540</t>
  </si>
  <si>
    <t>Allina Health Lakeville Specialty Center</t>
  </si>
  <si>
    <t>(952) 428-0950</t>
  </si>
  <si>
    <t>1003683244</t>
  </si>
  <si>
    <t>Alpha Spine Health &amp; Injury Center</t>
  </si>
  <si>
    <t>7644 160th St. West</t>
  </si>
  <si>
    <t>(952) 985-5444</t>
  </si>
  <si>
    <t>Betzina Clinics , LLC</t>
  </si>
  <si>
    <t>1205083540</t>
  </si>
  <si>
    <t>Fyzical Therapy &amp; Balance</t>
  </si>
  <si>
    <t>17761 Kenwood Trl</t>
  </si>
  <si>
    <t>(612) 203-9115</t>
  </si>
  <si>
    <t>Pink Skies Corporation</t>
  </si>
  <si>
    <t>1871294538</t>
  </si>
  <si>
    <t>Lakeville Integrated Health Clinic INC.</t>
  </si>
  <si>
    <t>16283 Ipava Ave</t>
  </si>
  <si>
    <t>(952) 898-2287</t>
  </si>
  <si>
    <t>1639710957</t>
  </si>
  <si>
    <t>Lakeville Spine &amp; Health</t>
  </si>
  <si>
    <t>20176 Heritage Dr</t>
  </si>
  <si>
    <t>(952) 985-8808</t>
  </si>
  <si>
    <t>Carder Chiropractic and Health PLLC</t>
  </si>
  <si>
    <t>1043873821</t>
  </si>
  <si>
    <t>Midwest Integrated Health Clinic</t>
  </si>
  <si>
    <t>The Chiropractic Clinic PLLC</t>
  </si>
  <si>
    <t>1669281341</t>
  </si>
  <si>
    <t>New Life Chiropractic</t>
  </si>
  <si>
    <t>17595 Kenwood Trl</t>
  </si>
  <si>
    <t>(651) 401-6494</t>
  </si>
  <si>
    <t>New Life Chiropractic LLC</t>
  </si>
  <si>
    <t>1306555719</t>
  </si>
  <si>
    <t>17305 Cedar Ave S</t>
  </si>
  <si>
    <t>1356162143</t>
  </si>
  <si>
    <t>Rozmarin Family Chiropractic, P. A.</t>
  </si>
  <si>
    <t>18476 Kenrick Ave</t>
  </si>
  <si>
    <t>Ste 201</t>
  </si>
  <si>
    <t>(952) 220-9554</t>
  </si>
  <si>
    <t>1215197397</t>
  </si>
  <si>
    <t>Orthopedics, MRI</t>
  </si>
  <si>
    <t>17210 Kenyon Ave</t>
  </si>
  <si>
    <t>1629740949</t>
  </si>
  <si>
    <t>Turning Leaf Chiropractic, PA.</t>
  </si>
  <si>
    <t>10438 185th St W</t>
  </si>
  <si>
    <t>(952) 898-0525</t>
  </si>
  <si>
    <t>1528110376</t>
  </si>
  <si>
    <t>2520 Pilot Knob Rd</t>
  </si>
  <si>
    <t>Ste 250</t>
  </si>
  <si>
    <t>Mendota Heights</t>
  </si>
  <si>
    <t>55120</t>
  </si>
  <si>
    <t>(651) 224-8264</t>
  </si>
  <si>
    <t>1407337868</t>
  </si>
  <si>
    <t>Heights PT PLLC</t>
  </si>
  <si>
    <t>665 Woodridge Dr</t>
  </si>
  <si>
    <t>55118</t>
  </si>
  <si>
    <t>(612) 237-1072</t>
  </si>
  <si>
    <t>1407727191</t>
  </si>
  <si>
    <t>Inspire Life Chiropractic Center, PLLC</t>
  </si>
  <si>
    <t>750 Main St</t>
  </si>
  <si>
    <t>(651) 756-1218</t>
  </si>
  <si>
    <t>1598293201</t>
  </si>
  <si>
    <t>Lifestyle Chiropractic and Wellness, PA</t>
  </si>
  <si>
    <t>750 S Plaza Dr</t>
  </si>
  <si>
    <t>(612) 710-8798</t>
  </si>
  <si>
    <t>1376104901</t>
  </si>
  <si>
    <t>Mendota Physical Therapy LLC</t>
  </si>
  <si>
    <t>1270 Northland Dr</t>
  </si>
  <si>
    <t>Ste 175</t>
  </si>
  <si>
    <t>(651) 905-9000</t>
  </si>
  <si>
    <t>1487064507</t>
  </si>
  <si>
    <t>2930 146th St W</t>
  </si>
  <si>
    <t>Rosemount</t>
  </si>
  <si>
    <t>55068</t>
  </si>
  <si>
    <t>Nielson Family Chiropractic PLLC</t>
  </si>
  <si>
    <t>14450 S Robert Trl</t>
  </si>
  <si>
    <t>Ste 208</t>
  </si>
  <si>
    <t>(651) 423-2251</t>
  </si>
  <si>
    <t>1467736231</t>
  </si>
  <si>
    <t>Dakota Valley Oral and Maxillofacial Surgery, PLLC</t>
  </si>
  <si>
    <t>2130 Cliff Rd</t>
  </si>
  <si>
    <t>St. Paul</t>
  </si>
  <si>
    <t>(651) 452-6933</t>
  </si>
  <si>
    <t>1366568206</t>
  </si>
  <si>
    <t>Entira Family Clinics-West St. Paul</t>
  </si>
  <si>
    <t>Sports Medicine, Physical Medicine &amp; Rehabilitation</t>
  </si>
  <si>
    <t>234 Wentworth Ave E</t>
  </si>
  <si>
    <t>West St Paul</t>
  </si>
  <si>
    <t>(651) 788-4444</t>
  </si>
  <si>
    <t>Family Healthservices Minnesota, PA.</t>
  </si>
  <si>
    <t>1801076526</t>
  </si>
  <si>
    <t>60 Marie Ave E</t>
  </si>
  <si>
    <t>Ste 105, 2ND Floor</t>
  </si>
  <si>
    <t>(651) 451-6156</t>
  </si>
  <si>
    <t>Select Physical Therapy Holdings INC</t>
  </si>
  <si>
    <t>1689634131</t>
  </si>
  <si>
    <t>Restore-U Chiropractic</t>
  </si>
  <si>
    <t>200 Thompson Ave E</t>
  </si>
  <si>
    <t>(651) 451-6839</t>
  </si>
  <si>
    <t>Allen Rydberg PA.</t>
  </si>
  <si>
    <t>1164724332</t>
  </si>
  <si>
    <t>Bloomington Wellness Center, PA</t>
  </si>
  <si>
    <t>5143 W 98th St</t>
  </si>
  <si>
    <t>Bloomington</t>
  </si>
  <si>
    <t>55437</t>
  </si>
  <si>
    <t>(952) 881-2800</t>
  </si>
  <si>
    <t>1225175755</t>
  </si>
  <si>
    <t>Cdm, PLLC</t>
  </si>
  <si>
    <t>8120 Penn Ave S</t>
  </si>
  <si>
    <t>Ste 580A</t>
  </si>
  <si>
    <t>55431</t>
  </si>
  <si>
    <t>(952) 213-4008</t>
  </si>
  <si>
    <t>1871432906</t>
  </si>
  <si>
    <t>Dr. Cassie Mcguire, Holistic Chiropractic &amp; Wellness</t>
  </si>
  <si>
    <t>1669333902</t>
  </si>
  <si>
    <t>Elysium Chiropractic PLLC</t>
  </si>
  <si>
    <t>10800 Lyndale Ave S</t>
  </si>
  <si>
    <t>Ste 151</t>
  </si>
  <si>
    <t>55420</t>
  </si>
  <si>
    <t>(715) 212-7148</t>
  </si>
  <si>
    <t>1003751603</t>
  </si>
  <si>
    <t>Freitag Family Chiropractic</t>
  </si>
  <si>
    <t>140 W 98th St</t>
  </si>
  <si>
    <t>Ste 111</t>
  </si>
  <si>
    <t>(952) 818-2485</t>
  </si>
  <si>
    <t>Freitag Family Chiropractic LLC</t>
  </si>
  <si>
    <t>1427633080</t>
  </si>
  <si>
    <t>Good Bones Chiropractic</t>
  </si>
  <si>
    <t>8500 Normandale,</t>
  </si>
  <si>
    <t>Ste 350, Ste 350</t>
  </si>
  <si>
    <t>55429</t>
  </si>
  <si>
    <t>(818) 510-5150</t>
  </si>
  <si>
    <t>1144041294</t>
  </si>
  <si>
    <t>Infinite Health Collaborative, PA</t>
  </si>
  <si>
    <t>Physical Therapy, Imaging</t>
  </si>
  <si>
    <t>Orthopedics, Physical Therapy, Radiology</t>
  </si>
  <si>
    <t>3500 American Blvd W</t>
  </si>
  <si>
    <t>(952) 512-5600</t>
  </si>
  <si>
    <t>1265675870</t>
  </si>
  <si>
    <t>Jbc Services PLLC</t>
  </si>
  <si>
    <t>1700 Haeg Dr</t>
  </si>
  <si>
    <t>(712) 298-0776</t>
  </si>
  <si>
    <t>1093640906</t>
  </si>
  <si>
    <t>Ltc Professionals, PLLC</t>
  </si>
  <si>
    <t>7801 East Bush Lake Rd</t>
  </si>
  <si>
    <t>Ste 400</t>
  </si>
  <si>
    <t>55439</t>
  </si>
  <si>
    <t>(952) 479-4261</t>
  </si>
  <si>
    <t>1417251935</t>
  </si>
  <si>
    <t>National Dizzy &amp; Balance Center,ltd.</t>
  </si>
  <si>
    <t>Physical Medicine &amp; Rehabilitation, Physical Therapy</t>
  </si>
  <si>
    <t>4801 W 81st St</t>
  </si>
  <si>
    <t>Ste 112</t>
  </si>
  <si>
    <t>(952) 345-3000</t>
  </si>
  <si>
    <t>1023021938</t>
  </si>
  <si>
    <t>Planet Gratitude Chiropractic</t>
  </si>
  <si>
    <t>220 W 98th St</t>
  </si>
  <si>
    <t>Ste 7</t>
  </si>
  <si>
    <t>(952) 922-1478</t>
  </si>
  <si>
    <t>Golden Sun Chiropractic Wellness Center, PLLC</t>
  </si>
  <si>
    <t>1982744140</t>
  </si>
  <si>
    <t>Resonance Chiropractic and Hoistic Health PLLC</t>
  </si>
  <si>
    <t>215 E 78th St</t>
  </si>
  <si>
    <t>(763) 614-0953</t>
  </si>
  <si>
    <t>1952120800</t>
  </si>
  <si>
    <t>Saunders Therapy Centers INC</t>
  </si>
  <si>
    <t>(952) 924-0199</t>
  </si>
  <si>
    <t>1952554495</t>
  </si>
  <si>
    <t>Shooting Star Pediatric Physical Therapy LLC</t>
  </si>
  <si>
    <t>Ste 500C</t>
  </si>
  <si>
    <t>(952) 373-1180</t>
  </si>
  <si>
    <t>1952091464</t>
  </si>
  <si>
    <t>Orofacial Pain</t>
  </si>
  <si>
    <t>4200 W Old Shakopee Rd</t>
  </si>
  <si>
    <t>Davina Kumar, DMD</t>
  </si>
  <si>
    <t>1043839574</t>
  </si>
  <si>
    <t>Tria Orthopaedic Center LLC</t>
  </si>
  <si>
    <t>Orthopedics, Pain Management, Physical Therapy</t>
  </si>
  <si>
    <t>8100 Northland Dr</t>
  </si>
  <si>
    <t>(952) 831-8742</t>
  </si>
  <si>
    <t>1346624384</t>
  </si>
  <si>
    <t>Tria Orthopaedic Clinic</t>
  </si>
  <si>
    <t>1518273085</t>
  </si>
  <si>
    <t>Viverant PT LLC</t>
  </si>
  <si>
    <t>5107 W 98th St</t>
  </si>
  <si>
    <t>(952) 835-4512</t>
  </si>
  <si>
    <t>1346553179</t>
  </si>
  <si>
    <t>Wellness Centers, PLLC</t>
  </si>
  <si>
    <t>11133 France Ave S</t>
  </si>
  <si>
    <t>(612) 545-7099</t>
  </si>
  <si>
    <t>1902327547</t>
  </si>
  <si>
    <t>Dettling Chiropractic Rehab and Performance PLLC</t>
  </si>
  <si>
    <t>615 66th Ave N</t>
  </si>
  <si>
    <t>Brooklyn Center</t>
  </si>
  <si>
    <t>55430</t>
  </si>
  <si>
    <t>(763) 560-8980</t>
  </si>
  <si>
    <t>1083081418</t>
  </si>
  <si>
    <t>Icare Diagnostic Imaging</t>
  </si>
  <si>
    <t>MRI</t>
  </si>
  <si>
    <t>2781 Freeway Blvd</t>
  </si>
  <si>
    <t>Ste 160</t>
  </si>
  <si>
    <t>(763) 244-8020</t>
  </si>
  <si>
    <t>1336580018</t>
  </si>
  <si>
    <t>Allina Health Orthopedics</t>
  </si>
  <si>
    <t>6001 96th Ln N</t>
  </si>
  <si>
    <t>Brooklyn Park</t>
  </si>
  <si>
    <t>55445</t>
  </si>
  <si>
    <t>(952) 946-9777</t>
  </si>
  <si>
    <t>1508099656</t>
  </si>
  <si>
    <t>Drift North Therapy Co. PLLC</t>
  </si>
  <si>
    <t>5320 95th Ln N</t>
  </si>
  <si>
    <t>55443</t>
  </si>
  <si>
    <t>(763) 258-9803</t>
  </si>
  <si>
    <t>1497602551</t>
  </si>
  <si>
    <t>Family Chiropractic Health Service</t>
  </si>
  <si>
    <t>8465 W Broadway Ave</t>
  </si>
  <si>
    <t>(763) 424-7750</t>
  </si>
  <si>
    <t>Jo G Theisen DC, PA</t>
  </si>
  <si>
    <t>1952484602</t>
  </si>
  <si>
    <t>Park East Chiropractic, PC</t>
  </si>
  <si>
    <t>4632 85th Ave N</t>
  </si>
  <si>
    <t>(763) 494-4900</t>
  </si>
  <si>
    <t>1285154542</t>
  </si>
  <si>
    <t>Rooted Wellness Chiropractic, PLLC</t>
  </si>
  <si>
    <t>1588555494</t>
  </si>
  <si>
    <t>Tozer Chiropractic PA</t>
  </si>
  <si>
    <t>8500 Edinbrook Pkwy</t>
  </si>
  <si>
    <t>(763) 493-8449</t>
  </si>
  <si>
    <t>1912147281</t>
  </si>
  <si>
    <t>11660 Theatre Dr N</t>
  </si>
  <si>
    <t>Ste 115</t>
  </si>
  <si>
    <t>Champlin</t>
  </si>
  <si>
    <t>55316</t>
  </si>
  <si>
    <t>Summit Chiropractic, INC</t>
  </si>
  <si>
    <t>11030 Douglas Dr N</t>
  </si>
  <si>
    <t>(763) 571-2115</t>
  </si>
  <si>
    <t>1326273798</t>
  </si>
  <si>
    <t>Team Care Clinic</t>
  </si>
  <si>
    <t>Sports Medicine, Chiropractic</t>
  </si>
  <si>
    <t>12217 Champlin Dr</t>
  </si>
  <si>
    <t>(763) 323-1492</t>
  </si>
  <si>
    <t>Team Health Care Clinic PC</t>
  </si>
  <si>
    <t>1457458689</t>
  </si>
  <si>
    <t>7770 Dell Rd</t>
  </si>
  <si>
    <t>Ste 140</t>
  </si>
  <si>
    <t>(952) 934-3301</t>
  </si>
  <si>
    <t>Oral and Maxillofacial Surgical Consultants PA</t>
  </si>
  <si>
    <t>7770 Dell Road</t>
  </si>
  <si>
    <t>(952) 975-0605</t>
  </si>
  <si>
    <t>1720206428</t>
  </si>
  <si>
    <t>18872 Lake Dr E</t>
  </si>
  <si>
    <t>5700 Bottineau Blvd</t>
  </si>
  <si>
    <t>Crystal</t>
  </si>
  <si>
    <t>(763) 535-7607</t>
  </si>
  <si>
    <t>1518963909</t>
  </si>
  <si>
    <t>Chirostrength Twin Cities LLC</t>
  </si>
  <si>
    <t>11311 Dayton River Rd</t>
  </si>
  <si>
    <t>Dayton</t>
  </si>
  <si>
    <t>55327</t>
  </si>
  <si>
    <t>(612) 314-0268</t>
  </si>
  <si>
    <t>1972264083</t>
  </si>
  <si>
    <t>Active Therapy MN</t>
  </si>
  <si>
    <t>10300 Hennepin Town Rd</t>
  </si>
  <si>
    <t>Eden Prairie</t>
  </si>
  <si>
    <t>55347</t>
  </si>
  <si>
    <t>(612) 562-8204</t>
  </si>
  <si>
    <t>1730835257</t>
  </si>
  <si>
    <t>Allina Health Eden Prairie Clinic</t>
  </si>
  <si>
    <t>775 Prairie Center Dr</t>
  </si>
  <si>
    <t>55344</t>
  </si>
  <si>
    <t>(612) 262-1166</t>
  </si>
  <si>
    <t>1699501601</t>
  </si>
  <si>
    <t>Atrium Physical Therapy</t>
  </si>
  <si>
    <t>6400 Flying Cloud Dr</t>
  </si>
  <si>
    <t>(952) 457-2811</t>
  </si>
  <si>
    <t>Mobilerehabmn</t>
  </si>
  <si>
    <t>1306496278</t>
  </si>
  <si>
    <t>Dauntless Health Services PLLC</t>
  </si>
  <si>
    <t>8577 Columbine Rd</t>
  </si>
  <si>
    <t>(507) 318-0979</t>
  </si>
  <si>
    <t>1578296208</t>
  </si>
  <si>
    <t>Eden Prairie Chirocenter</t>
  </si>
  <si>
    <t>7820 Terrey Pine Ct</t>
  </si>
  <si>
    <t>(952) 937-1226</t>
  </si>
  <si>
    <t>Eden Prairie Chiropractic Clinic INC</t>
  </si>
  <si>
    <t>1043929813</t>
  </si>
  <si>
    <t>Elite Spine Chiropractic</t>
  </si>
  <si>
    <t>14675 Martin Dr</t>
  </si>
  <si>
    <t>(952) 797-3045</t>
  </si>
  <si>
    <t>Dejong Clinic PLLC</t>
  </si>
  <si>
    <t>1932856457</t>
  </si>
  <si>
    <t>Ellis Performance &amp; Injury Center</t>
  </si>
  <si>
    <t>6640 Shady Oak Rd</t>
  </si>
  <si>
    <t>Ste 325</t>
  </si>
  <si>
    <t>(952) 600-5329</t>
  </si>
  <si>
    <t>1033981261</t>
  </si>
  <si>
    <t>EOS Expert Oral Surgery</t>
  </si>
  <si>
    <t>11800 Singletree Ln</t>
  </si>
  <si>
    <t>Ste 404</t>
  </si>
  <si>
    <t>(952) 452-9151</t>
  </si>
  <si>
    <t>Midwest Oral &amp; Facial Surgery PLLC</t>
  </si>
  <si>
    <t>1063122976</t>
  </si>
  <si>
    <t>Flying Cloud Spine &amp; Sport, PA.</t>
  </si>
  <si>
    <t>7707 Flying Cloud Dr</t>
  </si>
  <si>
    <t>(952) 829-7814</t>
  </si>
  <si>
    <t>1861405128</t>
  </si>
  <si>
    <t>Gallagher Dentistry &amp; Facial Pain Center</t>
  </si>
  <si>
    <t>(952) 942-9600</t>
  </si>
  <si>
    <t>Gallagher Cosmetic &amp;family Dentistry, PA</t>
  </si>
  <si>
    <t>1841353992</t>
  </si>
  <si>
    <t>HealthPartners Dental Clinic Eden Prairie</t>
  </si>
  <si>
    <t>8455 Flying Cloud Dr</t>
  </si>
  <si>
    <t>(952) 883-9040</t>
  </si>
  <si>
    <t>1164959938</t>
  </si>
  <si>
    <t>6545 Flying Cloud Dr</t>
  </si>
  <si>
    <t>Midwest Chiropractic and Wellness</t>
  </si>
  <si>
    <t>8941 Aztec Dr</t>
  </si>
  <si>
    <t>(701) 388-2000</t>
  </si>
  <si>
    <t>1144551383</t>
  </si>
  <si>
    <t>Odom Health &amp; Wellness</t>
  </si>
  <si>
    <t>(952) 224-1919</t>
  </si>
  <si>
    <t>Odom Sports Medicine, PA.</t>
  </si>
  <si>
    <t>1275557886</t>
  </si>
  <si>
    <t>Orthology</t>
  </si>
  <si>
    <t>11995 Singletree Lane</t>
  </si>
  <si>
    <t>(952) 491-4442</t>
  </si>
  <si>
    <t>Perham Physical Therapy LTD.</t>
  </si>
  <si>
    <t>1437451853</t>
  </si>
  <si>
    <t>Platinum Chiropractoc</t>
  </si>
  <si>
    <t>12300 Singletree Ln</t>
  </si>
  <si>
    <t>(952) 941-2225</t>
  </si>
  <si>
    <t>Pennebaker Clinic of Chiropractic,llc</t>
  </si>
  <si>
    <t>1669527636</t>
  </si>
  <si>
    <t>Rayus Radiology</t>
  </si>
  <si>
    <t>(952) 345-3805</t>
  </si>
  <si>
    <t>Medical Scanning Consultants PA</t>
  </si>
  <si>
    <t>1699706176</t>
  </si>
  <si>
    <t>Sartorial Physical Therapy and Wellness</t>
  </si>
  <si>
    <t>9642 Jonathan Ln</t>
  </si>
  <si>
    <t>(217) 313-9833</t>
  </si>
  <si>
    <t>1104574763</t>
  </si>
  <si>
    <t>Southwest Chiropractic. LLC</t>
  </si>
  <si>
    <t>7565 Office Ridge Cir</t>
  </si>
  <si>
    <t>(952) 943-1188</t>
  </si>
  <si>
    <t>1487864906</t>
  </si>
  <si>
    <t>Sturm Physical Therapy &amp; Lymphatic Health LLC</t>
  </si>
  <si>
    <t>8901 Aztec Dr</t>
  </si>
  <si>
    <t>(612) 234-1181</t>
  </si>
  <si>
    <t>1447190202</t>
  </si>
  <si>
    <t>Summit Orthopedics LTD</t>
  </si>
  <si>
    <t>11995 Singletree Ln</t>
  </si>
  <si>
    <t>1417639626</t>
  </si>
  <si>
    <t>(952) 373-5720</t>
  </si>
  <si>
    <t>Wellness Way Eden Prairie LLC</t>
  </si>
  <si>
    <t>6805 Flying Cloud Dr</t>
  </si>
  <si>
    <t>(952) 255-6980</t>
  </si>
  <si>
    <t>1336650043</t>
  </si>
  <si>
    <t>Zen Healing Center</t>
  </si>
  <si>
    <t>(952) 500-8733</t>
  </si>
  <si>
    <t>Zen Chiropractic Incoporated</t>
  </si>
  <si>
    <t>1750671277</t>
  </si>
  <si>
    <t>Active Life Physical Therapy and Wellness LLC</t>
  </si>
  <si>
    <t>5200 Willson Rd</t>
  </si>
  <si>
    <t>Edina</t>
  </si>
  <si>
    <t>55424</t>
  </si>
  <si>
    <t>(952) 232-5020</t>
  </si>
  <si>
    <t>1205694742</t>
  </si>
  <si>
    <t>8100 W 78th St</t>
  </si>
  <si>
    <t>Ste 230</t>
  </si>
  <si>
    <t>Awaken Life Chiropractic, LLC</t>
  </si>
  <si>
    <t>7401 Metro Blvd</t>
  </si>
  <si>
    <t>(952) 314-5454</t>
  </si>
  <si>
    <t>1952105694</t>
  </si>
  <si>
    <t>Bethany Hansen, LLC</t>
  </si>
  <si>
    <t>7250 Metro Blvd</t>
  </si>
  <si>
    <t>(612) 778-6240</t>
  </si>
  <si>
    <t>1811661747</t>
  </si>
  <si>
    <t>Bewell</t>
  </si>
  <si>
    <t>(612) 501-6587</t>
  </si>
  <si>
    <t>1902720857</t>
  </si>
  <si>
    <t>Center For Pediatric Movement LLC</t>
  </si>
  <si>
    <t>6600 France Ave S</t>
  </si>
  <si>
    <t>Ste 164</t>
  </si>
  <si>
    <t>55435</t>
  </si>
  <si>
    <t>(612) 889-0973</t>
  </si>
  <si>
    <t>1881307932</t>
  </si>
  <si>
    <t>Clarity Chiropractic PLLC</t>
  </si>
  <si>
    <t>3209 W 76th St</t>
  </si>
  <si>
    <t>(218) 966-8000</t>
  </si>
  <si>
    <t>1659238806</t>
  </si>
  <si>
    <t>Diagnostic Imaging, INC</t>
  </si>
  <si>
    <t>6500 Barrie Rd</t>
  </si>
  <si>
    <t>(952) 920-6500</t>
  </si>
  <si>
    <t>1558406074</t>
  </si>
  <si>
    <t>Edina Family Chiropractic, LLC</t>
  </si>
  <si>
    <t>3925 W 50th St</t>
  </si>
  <si>
    <t>Ste 202</t>
  </si>
  <si>
    <t>(952) 388-0868</t>
  </si>
  <si>
    <t>1255685624</t>
  </si>
  <si>
    <t>Evexia Metabolic Health and Longevity Clinic</t>
  </si>
  <si>
    <t>7200 Metro Blvd</t>
  </si>
  <si>
    <t>(952) 486-3869</t>
  </si>
  <si>
    <t>1679415541</t>
  </si>
  <si>
    <t>Fyzical Therapy and Balance Centers Edina</t>
  </si>
  <si>
    <t>5227 W 73rd St</t>
  </si>
  <si>
    <t>(952) 207-2997</t>
  </si>
  <si>
    <t>Therex Rehab Specialists, LLC</t>
  </si>
  <si>
    <t>1629004692</t>
  </si>
  <si>
    <t>Global Chiropractic LLC</t>
  </si>
  <si>
    <t>Ste 206</t>
  </si>
  <si>
    <t>(612) 964-2811</t>
  </si>
  <si>
    <t>1265374862</t>
  </si>
  <si>
    <t>Healthpro Heritage Rehab &amp; Fitness, LLC</t>
  </si>
  <si>
    <t>7128 France Ave S</t>
  </si>
  <si>
    <t>(651) 422-8987</t>
  </si>
  <si>
    <t>1841063872</t>
  </si>
  <si>
    <t>Healthsource Chiropractic and Progressive Rehab-Richfield, PA.</t>
  </si>
  <si>
    <t>3300 Edinborough Way</t>
  </si>
  <si>
    <t>(612) 383-6909</t>
  </si>
  <si>
    <t>1588915722</t>
  </si>
  <si>
    <t>Innerwell</t>
  </si>
  <si>
    <t>5201 Eden Ave</t>
  </si>
  <si>
    <t>55436</t>
  </si>
  <si>
    <t>(909) 679-3482</t>
  </si>
  <si>
    <t>Kbs Medical PA</t>
  </si>
  <si>
    <t>1295461036</t>
  </si>
  <si>
    <t>6550 York Ave S</t>
  </si>
  <si>
    <t>Ste 600</t>
  </si>
  <si>
    <t>Integrated Provider Group of Minnesota</t>
  </si>
  <si>
    <t>7373 France Ave S</t>
  </si>
  <si>
    <t>(877) 414-2533</t>
  </si>
  <si>
    <t>1023880911</t>
  </si>
  <si>
    <t>Joint Relief Institute</t>
  </si>
  <si>
    <t>7201 Ohms Ln</t>
  </si>
  <si>
    <t>(708) 726-6694</t>
  </si>
  <si>
    <t>Karas PLLC</t>
  </si>
  <si>
    <t>1811778533</t>
  </si>
  <si>
    <t>Minnesota Neurorehabilitation Institute, PLLC</t>
  </si>
  <si>
    <t>7400 Metro Blvd</t>
  </si>
  <si>
    <t>(612) 999-1908</t>
  </si>
  <si>
    <t>1083253991</t>
  </si>
  <si>
    <t>Minworx Health, LLC</t>
  </si>
  <si>
    <t>7505 Metro Blvd</t>
  </si>
  <si>
    <t>Ste 510</t>
  </si>
  <si>
    <t>(612) 808-9870</t>
  </si>
  <si>
    <t>1225916745</t>
  </si>
  <si>
    <t>Moe Chiropractic PA</t>
  </si>
  <si>
    <t>7108 Ohms Ln</t>
  </si>
  <si>
    <t>(952) 833-3038</t>
  </si>
  <si>
    <t>1538925292</t>
  </si>
  <si>
    <t>Nordic Rehab and Chiropractic</t>
  </si>
  <si>
    <t>5250 W 74th St</t>
  </si>
  <si>
    <t>Ste 8</t>
  </si>
  <si>
    <t>(952) 479-0743</t>
  </si>
  <si>
    <t>1780547406</t>
  </si>
  <si>
    <t>6515 Barrie Rd</t>
  </si>
  <si>
    <t>(952) 922-5019</t>
  </si>
  <si>
    <t>7400 France Ave S</t>
  </si>
  <si>
    <t>Olympus Chiropractic PLLC</t>
  </si>
  <si>
    <t>(952) 926-7515</t>
  </si>
  <si>
    <t>1013899764</t>
  </si>
  <si>
    <t>Ste 602</t>
  </si>
  <si>
    <t>(952) 835-5003</t>
  </si>
  <si>
    <t>1619049921</t>
  </si>
  <si>
    <t>Orthopaedic Institute Surgery Center</t>
  </si>
  <si>
    <t>(952) 248-5970</t>
  </si>
  <si>
    <t>Southwest Surgical Center LLC</t>
  </si>
  <si>
    <t>1306829866</t>
  </si>
  <si>
    <t>Pdr Southdale, INC</t>
  </si>
  <si>
    <t>3400 W 66th St</t>
  </si>
  <si>
    <t>Ste 450</t>
  </si>
  <si>
    <t>(952) 908-2700</t>
  </si>
  <si>
    <t>1073626008</t>
  </si>
  <si>
    <t>Premier Spine and Pain Clinics, PLLC</t>
  </si>
  <si>
    <t>7450 S France Ave</t>
  </si>
  <si>
    <t>Ste 240</t>
  </si>
  <si>
    <t>(612) 353-4238</t>
  </si>
  <si>
    <t>1598414997</t>
  </si>
  <si>
    <t>Romanie Health Services, PA</t>
  </si>
  <si>
    <t>5325 W 74th St</t>
  </si>
  <si>
    <t>Ste 9</t>
  </si>
  <si>
    <t>(952) 835-6653</t>
  </si>
  <si>
    <t>1912551185</t>
  </si>
  <si>
    <t>4510 77th St W</t>
  </si>
  <si>
    <t>1316780349</t>
  </si>
  <si>
    <t>Statera Health PLLC</t>
  </si>
  <si>
    <t>4820 77th St W</t>
  </si>
  <si>
    <t>(952) 213-6386</t>
  </si>
  <si>
    <t>1184256125</t>
  </si>
  <si>
    <t>6545 France Ave S</t>
  </si>
  <si>
    <t>Ste 366</t>
  </si>
  <si>
    <t>(952) 241-5863</t>
  </si>
  <si>
    <t>1376619114</t>
  </si>
  <si>
    <t>6529 Cecilia Cir</t>
  </si>
  <si>
    <t>(651) 348-7428</t>
  </si>
  <si>
    <t>4956 Lincoln Dr</t>
  </si>
  <si>
    <t>(952) 936-9600</t>
  </si>
  <si>
    <t>Transcend Chiropractic &amp; Wellness, PLLC</t>
  </si>
  <si>
    <t>(612) 353-7225</t>
  </si>
  <si>
    <t>1356064323</t>
  </si>
  <si>
    <t>Twin Cities TMJ &amp; Facial Pain Clinic</t>
  </si>
  <si>
    <t>(952) 931-9961</t>
  </si>
  <si>
    <t>Twin Cities TMJ &amp; Facial Pain Clinic, LTD.</t>
  </si>
  <si>
    <t>1225201213</t>
  </si>
  <si>
    <t>4570 West 77th Street</t>
  </si>
  <si>
    <t>4950 Lincoln Dr</t>
  </si>
  <si>
    <t>Mcsharry Chiro LLC</t>
  </si>
  <si>
    <t>373 George St</t>
  </si>
  <si>
    <t>(630) 673-4294</t>
  </si>
  <si>
    <t>1487505426</t>
  </si>
  <si>
    <t>Momentum Health &amp; Wellness, PLLC</t>
  </si>
  <si>
    <t>261 School Ave</t>
  </si>
  <si>
    <t>(612) 208-3225</t>
  </si>
  <si>
    <t>1316506678</t>
  </si>
  <si>
    <t>Rehabilitation Medicine Associates, LLC</t>
  </si>
  <si>
    <t>464 2nd St</t>
  </si>
  <si>
    <t>Ste 204</t>
  </si>
  <si>
    <t>(312) 262-6434</t>
  </si>
  <si>
    <t>1093103145</t>
  </si>
  <si>
    <t>Forward Spine Center</t>
  </si>
  <si>
    <t>701 Decatur Ave N</t>
  </si>
  <si>
    <t>Golden Valley</t>
  </si>
  <si>
    <t>55427</t>
  </si>
  <si>
    <t>(763) 332-2680</t>
  </si>
  <si>
    <t>Forward Spine Center LLC</t>
  </si>
  <si>
    <t>1114517380</t>
  </si>
  <si>
    <t>Intrinsic Physical Therapy &amp; Wellness</t>
  </si>
  <si>
    <t>4250 Dahlberg Dr</t>
  </si>
  <si>
    <t>55422</t>
  </si>
  <si>
    <t>(612) 440-8455</t>
  </si>
  <si>
    <t>Intrinsic Physical Therapy, LLC</t>
  </si>
  <si>
    <t>1770264426</t>
  </si>
  <si>
    <t>Zoya's Orofacial Pain and Dental Sleep Remedies PLLC</t>
  </si>
  <si>
    <t>Orofacial Pain, TMJ Clinic, TMJ Treatment, Oral &amp; Maxillofacial Surgery</t>
  </si>
  <si>
    <t>1405 Lilac Lane Drive North</t>
  </si>
  <si>
    <t>Ste 150 K</t>
  </si>
  <si>
    <t>(763) 762-6549</t>
  </si>
  <si>
    <t>1306513023</t>
  </si>
  <si>
    <t>Sota Chiropractic LLC</t>
  </si>
  <si>
    <t>833 Meander Ct</t>
  </si>
  <si>
    <t>Hamel</t>
  </si>
  <si>
    <t>55340</t>
  </si>
  <si>
    <t>(612) 470-0635</t>
  </si>
  <si>
    <t>1922733500</t>
  </si>
  <si>
    <t>Dmr Methods</t>
  </si>
  <si>
    <t>15 8th Ave N</t>
  </si>
  <si>
    <t>Hopkins</t>
  </si>
  <si>
    <t>55343</t>
  </si>
  <si>
    <t>(952) 207-2768</t>
  </si>
  <si>
    <t>1720969785</t>
  </si>
  <si>
    <t>Redbird Wellness, PA</t>
  </si>
  <si>
    <t>7900 Excelsior Blvd</t>
  </si>
  <si>
    <t>(952) 931-9867</t>
  </si>
  <si>
    <t>1679534812</t>
  </si>
  <si>
    <t>Sipple Medical Innovations LLC</t>
  </si>
  <si>
    <t>10285 Yellow Circle Dr</t>
  </si>
  <si>
    <t>(612) 470-3128</t>
  </si>
  <si>
    <t>1861866816</t>
  </si>
  <si>
    <t>Chirocenter INC.</t>
  </si>
  <si>
    <t>1865 W Wayzata Blvd</t>
  </si>
  <si>
    <t>Long Lake</t>
  </si>
  <si>
    <t>55356</t>
  </si>
  <si>
    <t>(952) 473-3588</t>
  </si>
  <si>
    <t>1871025031</t>
  </si>
  <si>
    <t>Advanced Hand and Upper Extremity Center PC</t>
  </si>
  <si>
    <t>9325 Upland Ln N</t>
  </si>
  <si>
    <t># 255</t>
  </si>
  <si>
    <t>Maple Grove</t>
  </si>
  <si>
    <t>55369</t>
  </si>
  <si>
    <t>(701) 388-2196</t>
  </si>
  <si>
    <t>1689343600</t>
  </si>
  <si>
    <t>Associated Oral &amp; Maxillofacial Surgeons</t>
  </si>
  <si>
    <t>12000 Elm Creek Blvd N</t>
  </si>
  <si>
    <t>(763) 416-9990</t>
  </si>
  <si>
    <t>Fix It Physical Therapy, LLC</t>
  </si>
  <si>
    <t>11102 91st Ave N</t>
  </si>
  <si>
    <t>(612) 222-3029</t>
  </si>
  <si>
    <t>1356277511</t>
  </si>
  <si>
    <t>Interventional Spine and Pain Physicians, PA</t>
  </si>
  <si>
    <t>Pain Management, Physical Medicine &amp; Rehabilitation, Physical Therapy</t>
  </si>
  <si>
    <t>9645 Grove Cir N</t>
  </si>
  <si>
    <t>(763) 201-8191</t>
  </si>
  <si>
    <t>1326398561</t>
  </si>
  <si>
    <t>Lopez Health Center, LLC</t>
  </si>
  <si>
    <t>7200 Hemlock Ln N</t>
  </si>
  <si>
    <t>(763) 521-8869</t>
  </si>
  <si>
    <t>1801167804</t>
  </si>
  <si>
    <t>Metropolitan Surgical Center, LLC</t>
  </si>
  <si>
    <t>1144745951</t>
  </si>
  <si>
    <t>Movement Lab Physical Therapy LLC</t>
  </si>
  <si>
    <t>6274 Fountain Ln N</t>
  </si>
  <si>
    <t>55311</t>
  </si>
  <si>
    <t>(612) 703-4888</t>
  </si>
  <si>
    <t>1184543001</t>
  </si>
  <si>
    <t>16366 County Road 30</t>
  </si>
  <si>
    <t>(763) 559-0356</t>
  </si>
  <si>
    <t>1366084402</t>
  </si>
  <si>
    <t>13950 Grove Dr</t>
  </si>
  <si>
    <t>(763) 494-8825</t>
  </si>
  <si>
    <t>1902917057</t>
  </si>
  <si>
    <t>Renew Spine and Health</t>
  </si>
  <si>
    <t>(763) 432-2942</t>
  </si>
  <si>
    <t>Danielson Chiropractic LLC</t>
  </si>
  <si>
    <t>1487213377</t>
  </si>
  <si>
    <t>Restore Chiropractic LLC</t>
  </si>
  <si>
    <t>15507 Grove Cir N</t>
  </si>
  <si>
    <t>(612) 516-3090</t>
  </si>
  <si>
    <t>1922529528</t>
  </si>
  <si>
    <t>10900 73rd Ave N</t>
  </si>
  <si>
    <t>(763) 315-1296</t>
  </si>
  <si>
    <t>9825 Hospital Dr</t>
  </si>
  <si>
    <t>1295402774</t>
  </si>
  <si>
    <t>6433 Sycamore Ct N</t>
  </si>
  <si>
    <t>The Dental Specialists - Maple Grove</t>
  </si>
  <si>
    <t>15701 Grove Circle N</t>
  </si>
  <si>
    <t>(763) 233-3321</t>
  </si>
  <si>
    <t>1912143843</t>
  </si>
  <si>
    <t>(763) 315-0466</t>
  </si>
  <si>
    <t>Trillium Chiropractic, PLLC</t>
  </si>
  <si>
    <t>13700 Reimer Dr N</t>
  </si>
  <si>
    <t>(651) 245-7629</t>
  </si>
  <si>
    <t>1942957972</t>
  </si>
  <si>
    <t>Twin Cities Functional Neurology &amp; Chiropractic, PLLC</t>
  </si>
  <si>
    <t>6543 Bluebird Dr</t>
  </si>
  <si>
    <t>(715) 417-0687</t>
  </si>
  <si>
    <t>1578483848</t>
  </si>
  <si>
    <t>1750797072</t>
  </si>
  <si>
    <t>Vitalign Spine Clinic PLLC</t>
  </si>
  <si>
    <t>7835 Main St N</t>
  </si>
  <si>
    <t>(763) 600-6450</t>
  </si>
  <si>
    <t>1043964471</t>
  </si>
  <si>
    <t>Waypoint Minnesota PC</t>
  </si>
  <si>
    <t>1699112805</t>
  </si>
  <si>
    <t>Northbound Chiropractic PLLC</t>
  </si>
  <si>
    <t>1532 Meadow Ln</t>
  </si>
  <si>
    <t>Maple Plain</t>
  </si>
  <si>
    <t>55359</t>
  </si>
  <si>
    <t>(906) 369-0905</t>
  </si>
  <si>
    <t>1255060141</t>
  </si>
  <si>
    <t>Advanced Spine and Pain Clinics of Minnesota LLC</t>
  </si>
  <si>
    <t>2801 Wayzata Blvd</t>
  </si>
  <si>
    <t>55405</t>
  </si>
  <si>
    <t>(612) 207-7463</t>
  </si>
  <si>
    <t>1891055851</t>
  </si>
  <si>
    <t>All Care Health and Wellness Center</t>
  </si>
  <si>
    <t>1010 Park Ave</t>
  </si>
  <si>
    <t># M2</t>
  </si>
  <si>
    <t>55404</t>
  </si>
  <si>
    <t>(612) 840-1483</t>
  </si>
  <si>
    <t>1952092942</t>
  </si>
  <si>
    <t>913 E 26th St</t>
  </si>
  <si>
    <t>Ste 304</t>
  </si>
  <si>
    <t>(612) 863-3200</t>
  </si>
  <si>
    <t>2800 Chicago Ave</t>
  </si>
  <si>
    <t>55407</t>
  </si>
  <si>
    <t>2833 Chicago Ave</t>
  </si>
  <si>
    <t>(612) 863-3333</t>
  </si>
  <si>
    <t>1528259132</t>
  </si>
  <si>
    <t>Arlo Physical Therapy &amp; Wellness</t>
  </si>
  <si>
    <t>575 9th St SE</t>
  </si>
  <si>
    <t>Ste 52</t>
  </si>
  <si>
    <t>55414</t>
  </si>
  <si>
    <t>(612) 300-2232</t>
  </si>
  <si>
    <t>Arlo Physical Therapy LLC</t>
  </si>
  <si>
    <t>1831948199</t>
  </si>
  <si>
    <t>5646 Interlachen Cir</t>
  </si>
  <si>
    <t>Bloomington Sleep and TMD Care PLLC</t>
  </si>
  <si>
    <t>TMJ Clinic, TMJ Treatment</t>
  </si>
  <si>
    <t>9820 Nicollet Ave S</t>
  </si>
  <si>
    <t>(952) 856-0058</t>
  </si>
  <si>
    <t>1922947142</t>
  </si>
  <si>
    <t>Chronic Pain Management</t>
  </si>
  <si>
    <t>800 E 28th St</t>
  </si>
  <si>
    <t>(612) 863-4495</t>
  </si>
  <si>
    <t>1316980386</t>
  </si>
  <si>
    <t>City Chiropractic</t>
  </si>
  <si>
    <t>1931 University Ave NE</t>
  </si>
  <si>
    <t>55418</t>
  </si>
  <si>
    <t>(612) 706-8900</t>
  </si>
  <si>
    <t>City Chiropractic, PC</t>
  </si>
  <si>
    <t>1538341953</t>
  </si>
  <si>
    <t>7550 34th Ave S</t>
  </si>
  <si>
    <t>55450</t>
  </si>
  <si>
    <t>(612) 727-1167</t>
  </si>
  <si>
    <t>1427539881</t>
  </si>
  <si>
    <t>Core Lifestyle Clinic</t>
  </si>
  <si>
    <t>2837 Lyndale Ave S</t>
  </si>
  <si>
    <t>55408</t>
  </si>
  <si>
    <t>(612) 872-9596</t>
  </si>
  <si>
    <t>Bronson Chiropractic LLC</t>
  </si>
  <si>
    <t>1801594619</t>
  </si>
  <si>
    <t>Courage Kenny Rehab Associates</t>
  </si>
  <si>
    <t>Ste 1750</t>
  </si>
  <si>
    <t>1275577215</t>
  </si>
  <si>
    <t>Downtown Chiropractic Clinic</t>
  </si>
  <si>
    <t>825 Hennepin Ave</t>
  </si>
  <si>
    <t>Ste 216</t>
  </si>
  <si>
    <t>55402</t>
  </si>
  <si>
    <t>(612) 333-9144</t>
  </si>
  <si>
    <t>Ihs Regency PC</t>
  </si>
  <si>
    <t>1235456054</t>
  </si>
  <si>
    <t>Embrace Life Chiropractic PLLC</t>
  </si>
  <si>
    <t>10500 Kentucky Ave S</t>
  </si>
  <si>
    <t>55438</t>
  </si>
  <si>
    <t>(612) 703-1252</t>
  </si>
  <si>
    <t>1023845211</t>
  </si>
  <si>
    <t>Fairview Specialty Services</t>
  </si>
  <si>
    <t>2450 Riverside Ave</t>
  </si>
  <si>
    <t>55454</t>
  </si>
  <si>
    <t>(855) 324-7843</t>
  </si>
  <si>
    <t>1043199334</t>
  </si>
  <si>
    <t>Healthy Roots Chiropractic</t>
  </si>
  <si>
    <t>3115 Hennepin Ave</t>
  </si>
  <si>
    <t># 205</t>
  </si>
  <si>
    <t>(612) 367-7216</t>
  </si>
  <si>
    <t>1407469935</t>
  </si>
  <si>
    <t>Hennepin Healthcare Dental &amp; Oral Surgery</t>
  </si>
  <si>
    <t>715 S 8th St</t>
  </si>
  <si>
    <t>(612) 873-6963</t>
  </si>
  <si>
    <t>Dennis Haley, DDS</t>
  </si>
  <si>
    <t>1902850738</t>
  </si>
  <si>
    <t>Lakes Holistic Care LLC</t>
  </si>
  <si>
    <t>5601 Chicago Ave</t>
  </si>
  <si>
    <t>55417</t>
  </si>
  <si>
    <t>(612) 259-7220</t>
  </si>
  <si>
    <t>1467978247</t>
  </si>
  <si>
    <t>Ls Pain Relief Center PA</t>
  </si>
  <si>
    <t>515 W Lake St</t>
  </si>
  <si>
    <t>(612) 827-7246</t>
  </si>
  <si>
    <t>1316793912</t>
  </si>
  <si>
    <t>Lyn Lake Chiropractic</t>
  </si>
  <si>
    <t>2937 Lyndale Ave S</t>
  </si>
  <si>
    <t>201</t>
  </si>
  <si>
    <t>(612) 879-8000</t>
  </si>
  <si>
    <t>Schreifels &amp; Associates PA</t>
  </si>
  <si>
    <t>1073941928</t>
  </si>
  <si>
    <t>M Health Fairview Neurosurgery Clinic Minneapolis</t>
  </si>
  <si>
    <t>909 Fulton St SE</t>
  </si>
  <si>
    <t>Floor 3</t>
  </si>
  <si>
    <t>55455</t>
  </si>
  <si>
    <t>(651) 232-3900</t>
  </si>
  <si>
    <t>Web</t>
  </si>
  <si>
    <t>M Health Fairview Pain Clinic - Minneapolis</t>
  </si>
  <si>
    <t>606 24th Ave S</t>
  </si>
  <si>
    <t>1457397150</t>
  </si>
  <si>
    <t>Millennium Chiropractic Clinic</t>
  </si>
  <si>
    <t>2722 Park Ave</t>
  </si>
  <si>
    <t>Ste 1</t>
  </si>
  <si>
    <t>(952) 944-5516</t>
  </si>
  <si>
    <t>1851115125</t>
  </si>
  <si>
    <t>Minnesota Orthopedic Performance and Prevention LLC</t>
  </si>
  <si>
    <t>2721 E Franklin Ave</t>
  </si>
  <si>
    <t>55406</t>
  </si>
  <si>
    <t>(651) 412-3072</t>
  </si>
  <si>
    <t>1770238396</t>
  </si>
  <si>
    <t>Minnesota Pain Prevention Clinic, PA.</t>
  </si>
  <si>
    <t>3475 Plymouth Blvd</t>
  </si>
  <si>
    <t>55447</t>
  </si>
  <si>
    <t>(612) 619-1678</t>
  </si>
  <si>
    <t>1285368514</t>
  </si>
  <si>
    <t>Motion Forward Physical Therapy and Wellness LLC</t>
  </si>
  <si>
    <t>305 1st Ave NE</t>
  </si>
  <si>
    <t>55413</t>
  </si>
  <si>
    <t>(612) 482-1086</t>
  </si>
  <si>
    <t>1073361283</t>
  </si>
  <si>
    <t>Neura Health</t>
  </si>
  <si>
    <t>Neurology</t>
  </si>
  <si>
    <t>333 Washington Ave N</t>
  </si>
  <si>
    <t>FL 3</t>
  </si>
  <si>
    <t>55401</t>
  </si>
  <si>
    <t>(313) 887-0960</t>
  </si>
  <si>
    <t>On Demand Neurology PA</t>
  </si>
  <si>
    <t>1265016174</t>
  </si>
  <si>
    <t>Neurosurgical Associates</t>
  </si>
  <si>
    <t>Ste 305</t>
  </si>
  <si>
    <t>1730532631</t>
  </si>
  <si>
    <t>Northeast Chiropractic PLLC</t>
  </si>
  <si>
    <t>34 13th Ave NE</t>
  </si>
  <si>
    <t>Ste 109</t>
  </si>
  <si>
    <t>(612) 378-1050</t>
  </si>
  <si>
    <t>1205370285</t>
  </si>
  <si>
    <t>7390 France Ave S</t>
  </si>
  <si>
    <t>Pain &amp; Injury Center PLLC</t>
  </si>
  <si>
    <t>825 Nicollet Mall</t>
  </si>
  <si>
    <t>Ste #1453</t>
  </si>
  <si>
    <t>(612) 886-1562</t>
  </si>
  <si>
    <t>1063842243</t>
  </si>
  <si>
    <t>Pointcare Family and Behavioral Health INC.</t>
  </si>
  <si>
    <t>Ste 401</t>
  </si>
  <si>
    <t>(612) 286-8674</t>
  </si>
  <si>
    <t>1740035153</t>
  </si>
  <si>
    <t>Prescott Therapies LLC</t>
  </si>
  <si>
    <t>Ste 1947</t>
  </si>
  <si>
    <t>(952) 200-0215</t>
  </si>
  <si>
    <t>1487240693</t>
  </si>
  <si>
    <t>Pure Health, LLC</t>
  </si>
  <si>
    <t>945 Broadway St NE</t>
  </si>
  <si>
    <t>Ste 275</t>
  </si>
  <si>
    <t>(612) 345-8004</t>
  </si>
  <si>
    <t>1073855953</t>
  </si>
  <si>
    <t>Rebound Chiropractic &amp; Rehab LLC</t>
  </si>
  <si>
    <t>811 SE 9th St.</t>
  </si>
  <si>
    <t>(651) 235-4756</t>
  </si>
  <si>
    <t>1487512018</t>
  </si>
  <si>
    <t>Resilience Physical Therapy</t>
  </si>
  <si>
    <t>2703 Girard Ave S</t>
  </si>
  <si>
    <t>Unit 330</t>
  </si>
  <si>
    <t>(651) 387-0417</t>
  </si>
  <si>
    <t>1609744002</t>
  </si>
  <si>
    <t>Revitalize Health &amp; Wellness, LLC</t>
  </si>
  <si>
    <t>3018 W 56th St</t>
  </si>
  <si>
    <t>55410</t>
  </si>
  <si>
    <t>(817) 357-0711</t>
  </si>
  <si>
    <t>1619609781</t>
  </si>
  <si>
    <t>6125 Upton Ave S</t>
  </si>
  <si>
    <t>(612) 361-0068</t>
  </si>
  <si>
    <t>Salita Healing, LLC</t>
  </si>
  <si>
    <t>3041 Aldrich Ave S</t>
  </si>
  <si>
    <t>(612) 429-6929</t>
  </si>
  <si>
    <t>1447174081</t>
  </si>
  <si>
    <t>Southpointe Physical Therapy LLC</t>
  </si>
  <si>
    <t>1305 E 24th St</t>
  </si>
  <si>
    <t>(612) 223-8879</t>
  </si>
  <si>
    <t>1053791905</t>
  </si>
  <si>
    <t>Studio Me, LLC</t>
  </si>
  <si>
    <t>(612) 656-9306</t>
  </si>
  <si>
    <t>1154100667</t>
  </si>
  <si>
    <t>Orofacial Pain, TMJ Clinic</t>
  </si>
  <si>
    <t>5000 W 36th St</t>
  </si>
  <si>
    <t>55416</t>
  </si>
  <si>
    <t>The Haven Chiropractic Health Center PLLC</t>
  </si>
  <si>
    <t>643 N 5th St</t>
  </si>
  <si>
    <t>(920) 253-9244</t>
  </si>
  <si>
    <t>1477388726</t>
  </si>
  <si>
    <t>383 W 60th St</t>
  </si>
  <si>
    <t>55419</t>
  </si>
  <si>
    <t>2125 E Hennepin Ave</t>
  </si>
  <si>
    <t>(612) 767-9917</t>
  </si>
  <si>
    <t>Treadwell, Dpt</t>
  </si>
  <si>
    <t>2500 Highway 88</t>
  </si>
  <si>
    <t>Ste 214</t>
  </si>
  <si>
    <t>(901) 626-8996</t>
  </si>
  <si>
    <t>Treadwell, Dpt Limited Liability Company</t>
  </si>
  <si>
    <t>1669365839</t>
  </si>
  <si>
    <t>University Anesthesia Providers, LLC</t>
  </si>
  <si>
    <t>(612) 273-3000</t>
  </si>
  <si>
    <t>1699711143</t>
  </si>
  <si>
    <t>University of Minnesota Dental Clinics – Oral &amp; Maxillofacial Surgery</t>
  </si>
  <si>
    <t>515 Delaware St SE</t>
  </si>
  <si>
    <t>7TH Floor Moos Tower</t>
  </si>
  <si>
    <t>(612) 626-6529</t>
  </si>
  <si>
    <t>Regents of the University of Minnesota</t>
  </si>
  <si>
    <t>1164763629</t>
  </si>
  <si>
    <t>University of Minnesota TMD, Orofacial Pain &amp; Dental Sleep Medicine Clinic</t>
  </si>
  <si>
    <t>7-530 Moos Tower</t>
  </si>
  <si>
    <t>(612) 626-0140</t>
  </si>
  <si>
    <t>1457448615</t>
  </si>
  <si>
    <t>Uptown Chirocenter</t>
  </si>
  <si>
    <t>1936 Lyndale Ave S</t>
  </si>
  <si>
    <t>55403</t>
  </si>
  <si>
    <t>(612) 874-1313</t>
  </si>
  <si>
    <t>Chirocenter MN, INC.</t>
  </si>
  <si>
    <t>1750673117</t>
  </si>
  <si>
    <t>Apex Performance Clinic PLLC</t>
  </si>
  <si>
    <t>13911 Ridgedale Dr</t>
  </si>
  <si>
    <t>Ste 235</t>
  </si>
  <si>
    <t>Minnetonka</t>
  </si>
  <si>
    <t>55305</t>
  </si>
  <si>
    <t>(763) 400-3674</t>
  </si>
  <si>
    <t>1538850391</t>
  </si>
  <si>
    <t>Downtown Orthopedics, PA.</t>
  </si>
  <si>
    <t>Ste 402</t>
  </si>
  <si>
    <t>(763) 545-9130</t>
  </si>
  <si>
    <t>1295841625</t>
  </si>
  <si>
    <t>Facial Designs, P.A.</t>
  </si>
  <si>
    <t>11601 Minnetonka Mills Rd</t>
  </si>
  <si>
    <t>(952) 935-8420</t>
  </si>
  <si>
    <t>Affiliated Oral and Maxillofacial Surgeons PA.</t>
  </si>
  <si>
    <t>1679620801</t>
  </si>
  <si>
    <t>Gameday Sport and Spine</t>
  </si>
  <si>
    <t>11545 K-Tel Drive</t>
  </si>
  <si>
    <t>(952) 913-1637</t>
  </si>
  <si>
    <t>Doctopher &amp; Co LLC</t>
  </si>
  <si>
    <t>1124841028</t>
  </si>
  <si>
    <t>Moderni Spine PLLC</t>
  </si>
  <si>
    <t>3454 County Road 101</t>
  </si>
  <si>
    <t>55345</t>
  </si>
  <si>
    <t>(651) 323-0850</t>
  </si>
  <si>
    <t>1275231698</t>
  </si>
  <si>
    <t>2000 Plymouth Rd</t>
  </si>
  <si>
    <t>(952) 545-0663</t>
  </si>
  <si>
    <t>1457172140</t>
  </si>
  <si>
    <t>Relief Plus Chiropractic</t>
  </si>
  <si>
    <t>5810 Baker Rd</t>
  </si>
  <si>
    <t>(952) 681-2863</t>
  </si>
  <si>
    <t>Hillesheim Chiropractic, PA.</t>
  </si>
  <si>
    <t>1316285935</t>
  </si>
  <si>
    <t>St. David's Center For Child &amp; Family Development</t>
  </si>
  <si>
    <t>3395 Plymouth Rd</t>
  </si>
  <si>
    <t>(952) 939-0396</t>
  </si>
  <si>
    <t>St. David's Center</t>
  </si>
  <si>
    <t>1376752337</t>
  </si>
  <si>
    <t>15450 Highway 7</t>
  </si>
  <si>
    <t>Ste 125</t>
  </si>
  <si>
    <t>1457028946</t>
  </si>
  <si>
    <t>Sundial Chiropractic PLLC.</t>
  </si>
  <si>
    <t>5757 Sanibel Dr</t>
  </si>
  <si>
    <t>Ste 11</t>
  </si>
  <si>
    <t>(952) 939-0297</t>
  </si>
  <si>
    <t>1598530891</t>
  </si>
  <si>
    <t>15265 Minnetonka Boulevard</t>
  </si>
  <si>
    <t>Sunu Wellness Center</t>
  </si>
  <si>
    <t>12455 Ridgedale Dr</t>
  </si>
  <si>
    <t>Ste 203</t>
  </si>
  <si>
    <t>(952) 314-7035</t>
  </si>
  <si>
    <t>Sunu Chiropractic, INC.</t>
  </si>
  <si>
    <t>1992002661</t>
  </si>
  <si>
    <t>13059 Ridgedale Dr</t>
  </si>
  <si>
    <t>The Functional Neurology Center</t>
  </si>
  <si>
    <t>11055 Wayzata Blvd</t>
  </si>
  <si>
    <t>(612) 223-8590</t>
  </si>
  <si>
    <t>Minnesota Functional Neurology and Chiropractic, LLC</t>
  </si>
  <si>
    <t>1912292616</t>
  </si>
  <si>
    <t>Therapeutic Intervention Programs, INC.</t>
  </si>
  <si>
    <t>10721 Smetana Rd</t>
  </si>
  <si>
    <t>(952) 936-9215</t>
  </si>
  <si>
    <t>1518950815</t>
  </si>
  <si>
    <t>10650 Red Circle Dr</t>
  </si>
  <si>
    <t>Viverant, LLC</t>
  </si>
  <si>
    <t>12324 Wayzata Blvd</t>
  </si>
  <si>
    <t>1023530862</t>
  </si>
  <si>
    <t>Wise Decision Wisdom Teeth Specialists</t>
  </si>
  <si>
    <t>10653 Wayzata Blvd</t>
  </si>
  <si>
    <t>(952) 952-1100</t>
  </si>
  <si>
    <t>Wise Option Dental PLLC</t>
  </si>
  <si>
    <t>1407613375</t>
  </si>
  <si>
    <t>Healthsource Chiropractic of Mound</t>
  </si>
  <si>
    <t>2204 Commerce Blvd</t>
  </si>
  <si>
    <t>Mound</t>
  </si>
  <si>
    <t>55364</t>
  </si>
  <si>
    <t>(952) 297-1010</t>
  </si>
  <si>
    <t>Dynamic Chiropractic and Rehab PLLC</t>
  </si>
  <si>
    <t>1710698477</t>
  </si>
  <si>
    <t>Meridian Chiropractic, INC</t>
  </si>
  <si>
    <t>4900 Highway 169 N</t>
  </si>
  <si>
    <t># 250</t>
  </si>
  <si>
    <t>New Hope</t>
  </si>
  <si>
    <t>55428</t>
  </si>
  <si>
    <t>(763) 432-0116</t>
  </si>
  <si>
    <t>1104383058</t>
  </si>
  <si>
    <t>518 Central Ave</t>
  </si>
  <si>
    <t>Osseo</t>
  </si>
  <si>
    <t>(763) 425-5525</t>
  </si>
  <si>
    <t>Advanced Chiropractic Health PA</t>
  </si>
  <si>
    <t>4205 Lancaster Ln N</t>
  </si>
  <si>
    <t>Plymouth</t>
  </si>
  <si>
    <t>55441</t>
  </si>
  <si>
    <t>(763) 536-1112</t>
  </si>
  <si>
    <t>1568679264</t>
  </si>
  <si>
    <t>2855 Campus Dr</t>
  </si>
  <si>
    <t>Ste 610</t>
  </si>
  <si>
    <t>Allina Health Medical Spine</t>
  </si>
  <si>
    <t>1063279677</t>
  </si>
  <si>
    <t>Allina Health Neuroscience, Spine, and Pain</t>
  </si>
  <si>
    <t>Orthopedics, Neurosurgery</t>
  </si>
  <si>
    <t>1518735331</t>
  </si>
  <si>
    <t>2805 Campus Dr</t>
  </si>
  <si>
    <t>Ste 465</t>
  </si>
  <si>
    <t>(763) 577-7425</t>
  </si>
  <si>
    <t>2700 Annapolis Cir N</t>
  </si>
  <si>
    <t>Ste D</t>
  </si>
  <si>
    <t>(612) 354-2509</t>
  </si>
  <si>
    <t>Wagner Health LLC</t>
  </si>
  <si>
    <t>1811694631</t>
  </si>
  <si>
    <t>Dpc Medical</t>
  </si>
  <si>
    <t>28 Nathan Ln N</t>
  </si>
  <si>
    <t>(763) 588-7099</t>
  </si>
  <si>
    <t>Dodson Pain Consultants PA Corp</t>
  </si>
  <si>
    <t>1275881971</t>
  </si>
  <si>
    <t>Experience Wellness Chiropractic PA</t>
  </si>
  <si>
    <t>3001 Harbor Ln N</t>
  </si>
  <si>
    <t>(763) 383-5109</t>
  </si>
  <si>
    <t>1275370215</t>
  </si>
  <si>
    <t>Ibackcheck Sport Therapy</t>
  </si>
  <si>
    <t>3650 Plymouth Blvd</t>
  </si>
  <si>
    <t>55446</t>
  </si>
  <si>
    <t>(763) 634-8500</t>
  </si>
  <si>
    <t>Ibackcheck Chiropractic</t>
  </si>
  <si>
    <t>1831587930</t>
  </si>
  <si>
    <t>Infusion Associates</t>
  </si>
  <si>
    <t>15655 37th Ave N</t>
  </si>
  <si>
    <t>(763) 316-0750</t>
  </si>
  <si>
    <t>Midwest Immunology Clinics, PLLC</t>
  </si>
  <si>
    <t>1457417933</t>
  </si>
  <si>
    <t>Midwest Physical Therapy LLC</t>
  </si>
  <si>
    <t>14440 28th Pl N</t>
  </si>
  <si>
    <t>(612) 707-0169</t>
  </si>
  <si>
    <t>1871037630</t>
  </si>
  <si>
    <t>(763) 577-2484</t>
  </si>
  <si>
    <t>1871975607</t>
  </si>
  <si>
    <t>Minnesota Maxillofacial and Oral Consultants</t>
  </si>
  <si>
    <t>15600 36th Ave N</t>
  </si>
  <si>
    <t>(763) 559-7688</t>
  </si>
  <si>
    <t>1417034661</t>
  </si>
  <si>
    <t>Minnesota Therapy &amp; Balance Center LLC</t>
  </si>
  <si>
    <t>12805 Highway 55</t>
  </si>
  <si>
    <t>Ste 135</t>
  </si>
  <si>
    <t>(763) 465-6822</t>
  </si>
  <si>
    <t>1639896913</t>
  </si>
  <si>
    <t>Natural Chiropractic Center</t>
  </si>
  <si>
    <t>Ste 310</t>
  </si>
  <si>
    <t>(763) 476-4770</t>
  </si>
  <si>
    <t>Bruce Pearson PA</t>
  </si>
  <si>
    <t>1508032376</t>
  </si>
  <si>
    <t>1465 County Road N</t>
  </si>
  <si>
    <t>(763) 473-1488</t>
  </si>
  <si>
    <t>1306668702</t>
  </si>
  <si>
    <t>Plymouth Chirocenter LLC</t>
  </si>
  <si>
    <t>3900 Vinewood Ln N</t>
  </si>
  <si>
    <t>Ste 19</t>
  </si>
  <si>
    <t>(763) 559-9236</t>
  </si>
  <si>
    <t>1063013340</t>
  </si>
  <si>
    <t>18872 42nd Ave N</t>
  </si>
  <si>
    <t>(952) 807-7312</t>
  </si>
  <si>
    <t>6050 Sycamore Lane N.</t>
  </si>
  <si>
    <t>55442</t>
  </si>
  <si>
    <t>1952103905</t>
  </si>
  <si>
    <t>Therapy Junction</t>
  </si>
  <si>
    <t>14130 23rd Ave N</t>
  </si>
  <si>
    <t>(763) 383-7666</t>
  </si>
  <si>
    <t>1184958704</t>
  </si>
  <si>
    <t>15010 23rd Ave N</t>
  </si>
  <si>
    <t>(952) 521-0055</t>
  </si>
  <si>
    <t>14100 Carlson Pkwy</t>
  </si>
  <si>
    <t>(763) 519-7900</t>
  </si>
  <si>
    <t>Uptown Healing Clinic LLC</t>
  </si>
  <si>
    <t>Ste 200B</t>
  </si>
  <si>
    <t>(612) 353-4486</t>
  </si>
  <si>
    <t>1710322086</t>
  </si>
  <si>
    <t>Body Techs Rx Wellness and Rehab</t>
  </si>
  <si>
    <t>1415 E 66th St</t>
  </si>
  <si>
    <t>Richfield</t>
  </si>
  <si>
    <t>55423</t>
  </si>
  <si>
    <t>(612) 345-5963</t>
  </si>
  <si>
    <t>Kst LLC</t>
  </si>
  <si>
    <t>1609503291</t>
  </si>
  <si>
    <t>Moms In Motion PT</t>
  </si>
  <si>
    <t>7420 4th Ave S</t>
  </si>
  <si>
    <t>(641) 521-4590</t>
  </si>
  <si>
    <t>Wall Works PT LLC</t>
  </si>
  <si>
    <t>1326638289</t>
  </si>
  <si>
    <t>6605 Nicollet Ave</t>
  </si>
  <si>
    <t>(612) 872-2700</t>
  </si>
  <si>
    <t>1720620867</t>
  </si>
  <si>
    <t>Tara Schug DC PLLC</t>
  </si>
  <si>
    <t>6640 Lyndale Ave S</t>
  </si>
  <si>
    <t>(612) 720-8836</t>
  </si>
  <si>
    <t>1568302867</t>
  </si>
  <si>
    <t>4080 W Broadway Ave</t>
  </si>
  <si>
    <t>Robbinsdale</t>
  </si>
  <si>
    <t>(763) 398-8888</t>
  </si>
  <si>
    <t>1891276259</t>
  </si>
  <si>
    <t>Revival Physical Therapy and Wellness</t>
  </si>
  <si>
    <t>4123 W Broadway Ave</t>
  </si>
  <si>
    <t>(612) 605-7594</t>
  </si>
  <si>
    <t>1730943424</t>
  </si>
  <si>
    <t>Ageility Physical Therapy Solutions At the Wellstead of Rogers</t>
  </si>
  <si>
    <t>20600 S Diamond Lake Rd</t>
  </si>
  <si>
    <t>Rogers</t>
  </si>
  <si>
    <t>55374</t>
  </si>
  <si>
    <t>(763) 428-1981</t>
  </si>
  <si>
    <t>Five Star Rehabilitation and Wellness Services, LLC.</t>
  </si>
  <si>
    <t>1326289422</t>
  </si>
  <si>
    <t>Kusin II LLC</t>
  </si>
  <si>
    <t>21897 S Diamond Lake Rd</t>
  </si>
  <si>
    <t>(763) 370-7755</t>
  </si>
  <si>
    <t>1619718186</t>
  </si>
  <si>
    <t>21395 John Milless Dr</t>
  </si>
  <si>
    <t>(763) 428-2589</t>
  </si>
  <si>
    <t>1609872522</t>
  </si>
  <si>
    <t>True Movement PLLC</t>
  </si>
  <si>
    <t>21151 John Milless Dr</t>
  </si>
  <si>
    <t>(763) 496-6172</t>
  </si>
  <si>
    <t>1730030016</t>
  </si>
  <si>
    <t>23490 Highway 7</t>
  </si>
  <si>
    <t>Shorewood</t>
  </si>
  <si>
    <t>(612) 888-9882</t>
  </si>
  <si>
    <t>Aagesen Chiropractic Clinic PA</t>
  </si>
  <si>
    <t>5050 W 36th St</t>
  </si>
  <si>
    <t>St. Louis Park</t>
  </si>
  <si>
    <t>(612) 920-1092</t>
  </si>
  <si>
    <t>1457431827</t>
  </si>
  <si>
    <t>Ascend Rehab, LLC</t>
  </si>
  <si>
    <t>1660 Highway 100 S</t>
  </si>
  <si>
    <t>(952) 292-5801</t>
  </si>
  <si>
    <t>1437403110</t>
  </si>
  <si>
    <t>Center For Diagnostic Imaging</t>
  </si>
  <si>
    <t>5775 Wayzata Blvd</t>
  </si>
  <si>
    <t>(952) 525-6338</t>
  </si>
  <si>
    <t>Rai Keystone Imaging Services, LLC</t>
  </si>
  <si>
    <t>1609392349</t>
  </si>
  <si>
    <t>Christopher J. Foley DC. , PA.</t>
  </si>
  <si>
    <t>8700 W 36th St</t>
  </si>
  <si>
    <t>55426</t>
  </si>
  <si>
    <t>(612) 730-4091</t>
  </si>
  <si>
    <t>1124108170</t>
  </si>
  <si>
    <t>Cities Chiropractic and Acupuncture</t>
  </si>
  <si>
    <t>5806 W 36th St</t>
  </si>
  <si>
    <t>(952) 856-8596</t>
  </si>
  <si>
    <t>Janson Family Chiropractic PC</t>
  </si>
  <si>
    <t>1023223682</t>
  </si>
  <si>
    <t>Excelsior and Grand Chiropractic</t>
  </si>
  <si>
    <t>5605 W 36th St</t>
  </si>
  <si>
    <t>Ste 100C</t>
  </si>
  <si>
    <t>(952) 920-9247</t>
  </si>
  <si>
    <t>1932691714</t>
  </si>
  <si>
    <t>Guidestar Eldercare - MN</t>
  </si>
  <si>
    <t>1650 W End Blvd</t>
  </si>
  <si>
    <t>(574) 546-1900</t>
  </si>
  <si>
    <t>1710809769</t>
  </si>
  <si>
    <t>HealthPartners Dental Clinic St. Louis Park</t>
  </si>
  <si>
    <t>5500 Excelsior Blvd</t>
  </si>
  <si>
    <t>(952) 853-9120</t>
  </si>
  <si>
    <t>1699272427</t>
  </si>
  <si>
    <t>Minnesota Medical and Rehabilitation</t>
  </si>
  <si>
    <t>4201 Excelsior Blvd</t>
  </si>
  <si>
    <t>(952) 564-3880</t>
  </si>
  <si>
    <t>Minnesota Medical and Rehabilitative Services, LLC</t>
  </si>
  <si>
    <t>1154302545</t>
  </si>
  <si>
    <t>Northern Star Oral and Maxillofacial Surgery PLLC</t>
  </si>
  <si>
    <t>Ste 145</t>
  </si>
  <si>
    <t>(952) 465-0105</t>
  </si>
  <si>
    <t>1699901140</t>
  </si>
  <si>
    <t>1665 Utica Ave S</t>
  </si>
  <si>
    <t>(952) 545-6403</t>
  </si>
  <si>
    <t>Premier Health of St. Louis Park</t>
  </si>
  <si>
    <t>(952) 925-4085</t>
  </si>
  <si>
    <t>(952) 541-1840</t>
  </si>
  <si>
    <t>1659348092</t>
  </si>
  <si>
    <t>West End Chiropractic</t>
  </si>
  <si>
    <t>Ste 146B</t>
  </si>
  <si>
    <t>(952) 500-8477</t>
  </si>
  <si>
    <t>Minnesota Chirohealth of West End LLC</t>
  </si>
  <si>
    <t>1760128169</t>
  </si>
  <si>
    <t>Greenberg Chiropractic Care LLC</t>
  </si>
  <si>
    <t>5407 Excelsior Blvd</t>
  </si>
  <si>
    <t>St. Louis Pk</t>
  </si>
  <si>
    <t>1194811299</t>
  </si>
  <si>
    <t>Lake Minnetonka Chiropractic LLC</t>
  </si>
  <si>
    <t>3701 Shoreline Dr</t>
  </si>
  <si>
    <t>Ste 100A</t>
  </si>
  <si>
    <t>Wayzata</t>
  </si>
  <si>
    <t>55391</t>
  </si>
  <si>
    <t>(612) 442-5349</t>
  </si>
  <si>
    <t>1104562602</t>
  </si>
  <si>
    <t>250 Central Ave N</t>
  </si>
  <si>
    <t>Suite126</t>
  </si>
  <si>
    <t>(952) 475-2266</t>
  </si>
  <si>
    <t>1265650956</t>
  </si>
  <si>
    <t>Reneu Sport and Health</t>
  </si>
  <si>
    <t>101 Lake St W</t>
  </si>
  <si>
    <t>(612) 562-6581</t>
  </si>
  <si>
    <t>Reneu Physical Therapy LLC</t>
  </si>
  <si>
    <t>1861948739</t>
  </si>
  <si>
    <t>Restore Family Chiropractic LLC</t>
  </si>
  <si>
    <t>3311 County Road 101 S</t>
  </si>
  <si>
    <t>(712) 480-0444</t>
  </si>
  <si>
    <t>1154191377</t>
  </si>
  <si>
    <t>Ropan Surgical Services LLC</t>
  </si>
  <si>
    <t>1382 Hunter Dr</t>
  </si>
  <si>
    <t>(612) 961-2672</t>
  </si>
  <si>
    <t>1609787530</t>
  </si>
  <si>
    <t>The Dental Specialists - Deephaven</t>
  </si>
  <si>
    <t>18258 Minnetonka Blvd</t>
  </si>
  <si>
    <t>(952) 241-5815</t>
  </si>
  <si>
    <t>Dental Specialist of Minnesota, PLLC</t>
  </si>
  <si>
    <t>1568071199</t>
  </si>
  <si>
    <t>Cambridge Chiropractic</t>
  </si>
  <si>
    <t>137 2nd Ave SW</t>
  </si>
  <si>
    <t>Cambridge</t>
  </si>
  <si>
    <t>55008</t>
  </si>
  <si>
    <t>(763) 689-2642</t>
  </si>
  <si>
    <t>Comprehensive Health Clinics, PA.</t>
  </si>
  <si>
    <t>1083785679</t>
  </si>
  <si>
    <t>1595 2nd Ave NE</t>
  </si>
  <si>
    <t>(763) 691-8827</t>
  </si>
  <si>
    <t>1508160060</t>
  </si>
  <si>
    <t>Volker Sports &amp; Physical Medicine PLLC</t>
  </si>
  <si>
    <t>236 2nd Ave SW</t>
  </si>
  <si>
    <t>(763) 689-2462</t>
  </si>
  <si>
    <t>1942161054</t>
  </si>
  <si>
    <t>Ohana Chiropractic and Wellness, PLLC</t>
  </si>
  <si>
    <t>4 Enterprise Ave NE</t>
  </si>
  <si>
    <t>Ste 6</t>
  </si>
  <si>
    <t>55040</t>
  </si>
  <si>
    <t>(763) 200-0767</t>
  </si>
  <si>
    <t>1609790807</t>
  </si>
  <si>
    <t>ClearChoice Dental Implant Center - Roseville</t>
  </si>
  <si>
    <t>3130 Cleveland Ave N</t>
  </si>
  <si>
    <t>Arden Hills</t>
  </si>
  <si>
    <t>55112</t>
  </si>
  <si>
    <t>(651) 605-6944</t>
  </si>
  <si>
    <t>Clearchoice Dental Implant Center</t>
  </si>
  <si>
    <t>1538963590</t>
  </si>
  <si>
    <t>Sorenson Chiropractic, LLC</t>
  </si>
  <si>
    <t>3673 Lexington Ave N</t>
  </si>
  <si>
    <t>55126</t>
  </si>
  <si>
    <t>(507) 450-9974</t>
  </si>
  <si>
    <t>1548068513</t>
  </si>
  <si>
    <t>Bartlett Family Chiropractic LLC</t>
  </si>
  <si>
    <t>3035 White Bear Ave N</t>
  </si>
  <si>
    <t>Maplewood</t>
  </si>
  <si>
    <t>55109</t>
  </si>
  <si>
    <t>(651) 386-1702</t>
  </si>
  <si>
    <t>1487337044</t>
  </si>
  <si>
    <t>Discovery Chiropractic PLLC</t>
  </si>
  <si>
    <t>2785 White Bear Ave N</t>
  </si>
  <si>
    <t>Ste 107</t>
  </si>
  <si>
    <t>(651) 398-0243</t>
  </si>
  <si>
    <t>1700406345</t>
  </si>
  <si>
    <t>1650 Beam Ave</t>
  </si>
  <si>
    <t>(651) 221-9051</t>
  </si>
  <si>
    <t>1902311210</t>
  </si>
  <si>
    <t>Johnson Spine and Joint PLLC</t>
  </si>
  <si>
    <t>1636 Gervais Ave</t>
  </si>
  <si>
    <t>Ste 13</t>
  </si>
  <si>
    <t>(651) 615-6005</t>
  </si>
  <si>
    <t>1750299079</t>
  </si>
  <si>
    <t>Maplewood Imaging Center LLC</t>
  </si>
  <si>
    <t>2945 Hazelwood St</t>
  </si>
  <si>
    <t>(651) 292-2000</t>
  </si>
  <si>
    <t>1164604146</t>
  </si>
  <si>
    <t>Pdr Maplewood, INC</t>
  </si>
  <si>
    <t>2520 White Bear Ave N</t>
  </si>
  <si>
    <t>(651) 777-6507</t>
  </si>
  <si>
    <t>1356454391</t>
  </si>
  <si>
    <t>Peterson Chiropractic Center</t>
  </si>
  <si>
    <t>2599 White Bear Ave N</t>
  </si>
  <si>
    <t>(651) 779-8115</t>
  </si>
  <si>
    <t>1437290871</t>
  </si>
  <si>
    <t>Twin Cities Oral &amp; Maxillofacial Surgery, PA</t>
  </si>
  <si>
    <t>1655 Beam Ave</t>
  </si>
  <si>
    <t>(651) 770-7703</t>
  </si>
  <si>
    <t>1356542575</t>
  </si>
  <si>
    <t>1725 Legacy Pkwy E</t>
  </si>
  <si>
    <t>1467157826</t>
  </si>
  <si>
    <t>1736 Cope Ave E</t>
  </si>
  <si>
    <t>Ste A2</t>
  </si>
  <si>
    <t>Institute For Athletic Medicine</t>
  </si>
  <si>
    <t>2600 39th Ave NE</t>
  </si>
  <si>
    <t>55421</t>
  </si>
  <si>
    <t>(612) 789-0417</t>
  </si>
  <si>
    <t>1407834302</t>
  </si>
  <si>
    <t>550 County Road D</t>
  </si>
  <si>
    <t>Ste 12</t>
  </si>
  <si>
    <t>New Brighton</t>
  </si>
  <si>
    <t>(612) 788-9246</t>
  </si>
  <si>
    <t>1982634010</t>
  </si>
  <si>
    <t>Momenta Oral &amp; Maxillofacial Surgery</t>
  </si>
  <si>
    <t>700 Village Center Dr</t>
  </si>
  <si>
    <t>North Oaks</t>
  </si>
  <si>
    <t>55127</t>
  </si>
  <si>
    <t>(651) 482-0065</t>
  </si>
  <si>
    <t>Momenta, PC</t>
  </si>
  <si>
    <t>1497814032</t>
  </si>
  <si>
    <t>Entira Family Clinics-North St. Paul</t>
  </si>
  <si>
    <t>2601 Centennial Dr</t>
  </si>
  <si>
    <t>North St Paul</t>
  </si>
  <si>
    <t>1083894711</t>
  </si>
  <si>
    <t>Gateway Physical Therapy, INC</t>
  </si>
  <si>
    <t>(651) 748-0372</t>
  </si>
  <si>
    <t>1386830768</t>
  </si>
  <si>
    <t>Bandana Chiropractic &amp; Wellness Center PA</t>
  </si>
  <si>
    <t>1912 Lexington Ave N</t>
  </si>
  <si>
    <t>Roseville</t>
  </si>
  <si>
    <t>55113</t>
  </si>
  <si>
    <t>(651) 646-2050</t>
  </si>
  <si>
    <t>1215123856</t>
  </si>
  <si>
    <t>Minnesota Epilepsy Group PA</t>
  </si>
  <si>
    <t>2720 Fairview Ave N</t>
  </si>
  <si>
    <t>(651) 241-5290</t>
  </si>
  <si>
    <t>1932118056</t>
  </si>
  <si>
    <t>Minnesota Institute For Pain Management, LLC</t>
  </si>
  <si>
    <t>2780 Snelling Ave N</t>
  </si>
  <si>
    <t>(651) 789-3141</t>
  </si>
  <si>
    <t>1366751562</t>
  </si>
  <si>
    <t>1835 County Road C W</t>
  </si>
  <si>
    <t>(651) 638-0080</t>
  </si>
  <si>
    <t>Platinum Health Solutions</t>
  </si>
  <si>
    <t>2780 E Snelling Service Drive</t>
  </si>
  <si>
    <t>(651) 779-8883</t>
  </si>
  <si>
    <t>Midwest Health Solutions PA</t>
  </si>
  <si>
    <t>1881314672</t>
  </si>
  <si>
    <t>The Dental Specialists - Roseville</t>
  </si>
  <si>
    <t>1835 County Road C-West</t>
  </si>
  <si>
    <t>(651) 760-3610</t>
  </si>
  <si>
    <t>1780750539</t>
  </si>
  <si>
    <t>Orofacial Pain, TMJ Clinic, TMJ Treatment</t>
  </si>
  <si>
    <t>1790 Lexington Ave N</t>
  </si>
  <si>
    <t>(651) 488-9884</t>
  </si>
  <si>
    <t>Twin Cities Oral &amp; Maxillofaical Surgery PA</t>
  </si>
  <si>
    <t>1154522373</t>
  </si>
  <si>
    <t>Entira Family Clinics-Shoreview</t>
  </si>
  <si>
    <t>404 Highway 96 W</t>
  </si>
  <si>
    <t>Shoreview</t>
  </si>
  <si>
    <t>1619157344</t>
  </si>
  <si>
    <t>225 Smith Ave N</t>
  </si>
  <si>
    <t>55102</t>
  </si>
  <si>
    <t>(651) 241-8920</t>
  </si>
  <si>
    <t>255 Smith Ave N</t>
  </si>
  <si>
    <t>310 Smith Ave N</t>
  </si>
  <si>
    <t>(952) 946-9888</t>
  </si>
  <si>
    <t>Arete Networks of Minnesota LLC</t>
  </si>
  <si>
    <t>1021 Bandana Blvd E</t>
  </si>
  <si>
    <t>55108</t>
  </si>
  <si>
    <t>1952111387</t>
  </si>
  <si>
    <t>Back To Wellness Chiropractic and Nutrition</t>
  </si>
  <si>
    <t>1173 7th St W</t>
  </si>
  <si>
    <t>(952) 693-1565</t>
  </si>
  <si>
    <t>Back To Wellness Chiropractic</t>
  </si>
  <si>
    <t>1699913970</t>
  </si>
  <si>
    <t>Berres PT and Yoga LLC</t>
  </si>
  <si>
    <t>165 Dunlap St N</t>
  </si>
  <si>
    <t>55104</t>
  </si>
  <si>
    <t>(651) 253-8903</t>
  </si>
  <si>
    <t>1033020722</t>
  </si>
  <si>
    <t>Capitol Health &amp; Injury Center, PA.</t>
  </si>
  <si>
    <t>1973 Sloan Pl</t>
  </si>
  <si>
    <t>55117</t>
  </si>
  <si>
    <t>(651) 771-2012</t>
  </si>
  <si>
    <t>1124562616</t>
  </si>
  <si>
    <t>Cathedral Hill Chiropractic</t>
  </si>
  <si>
    <t>400 Selby Ave</t>
  </si>
  <si>
    <t>Ste N</t>
  </si>
  <si>
    <t>(651) 735-1088</t>
  </si>
  <si>
    <t>Family Chiropractic Plus PA</t>
  </si>
  <si>
    <t>1952521676</t>
  </si>
  <si>
    <t>Chiropractic House PLLC</t>
  </si>
  <si>
    <t>(612) 229-7262</t>
  </si>
  <si>
    <t>1437070596</t>
  </si>
  <si>
    <t>1661 Saint Anthony Ave</t>
  </si>
  <si>
    <t>(651) 968-5293</t>
  </si>
  <si>
    <t>1972421873</t>
  </si>
  <si>
    <t>280 Smith Ave N</t>
  </si>
  <si>
    <t>(651) 241-8295</t>
  </si>
  <si>
    <t>1962659094</t>
  </si>
  <si>
    <t>Elite Radiology PA.</t>
  </si>
  <si>
    <t>Radiology, MRI</t>
  </si>
  <si>
    <t>441 University Ave W</t>
  </si>
  <si>
    <t>55103</t>
  </si>
  <si>
    <t>(651) 330-9270</t>
  </si>
  <si>
    <t>1316852908</t>
  </si>
  <si>
    <t>Empower Physical Therapy</t>
  </si>
  <si>
    <t>1999 Pinehurst Ave</t>
  </si>
  <si>
    <t>55116</t>
  </si>
  <si>
    <t>(312) 857-8485</t>
  </si>
  <si>
    <t>1952267510</t>
  </si>
  <si>
    <t>Entira Family Clinics-Como/roseville</t>
  </si>
  <si>
    <t>1050 Larpenteur Ave W</t>
  </si>
  <si>
    <t>1629258355</t>
  </si>
  <si>
    <t>Entira Family Clinics-East Side</t>
  </si>
  <si>
    <t>1385 Phalen Blvd</t>
  </si>
  <si>
    <t>55106</t>
  </si>
  <si>
    <t>1174703805</t>
  </si>
  <si>
    <t>Entira Family Clinics-Highland</t>
  </si>
  <si>
    <t>280 Snelling Ave N</t>
  </si>
  <si>
    <t>(651) 699-8333</t>
  </si>
  <si>
    <t>1629258348</t>
  </si>
  <si>
    <t>Evergreen Chiropractic</t>
  </si>
  <si>
    <t>3454 Rice St</t>
  </si>
  <si>
    <t>(651) 483-4321</t>
  </si>
  <si>
    <t>1548959737</t>
  </si>
  <si>
    <t>2025 Sloan Pl</t>
  </si>
  <si>
    <t>Ste 35</t>
  </si>
  <si>
    <t>(651) 772-1572</t>
  </si>
  <si>
    <t>1124206677</t>
  </si>
  <si>
    <t>HealthPartners Dental Specialty Center (Como)</t>
  </si>
  <si>
    <t>2500 Como Ave</t>
  </si>
  <si>
    <t>(651) 647-2500</t>
  </si>
  <si>
    <t>1780739417</t>
  </si>
  <si>
    <t>HealthPartners St. Paul (Wabasha) Dental Clinic</t>
  </si>
  <si>
    <t>Orofacial Pain, Oral &amp; Maxillofacial Surgery</t>
  </si>
  <si>
    <t>205 Wabasha St S</t>
  </si>
  <si>
    <t>55107</t>
  </si>
  <si>
    <t>(651) 254-7373</t>
  </si>
  <si>
    <t>1952042053</t>
  </si>
  <si>
    <t>Healthquest</t>
  </si>
  <si>
    <t>1053 Grand Ave</t>
  </si>
  <si>
    <t>Ste 114</t>
  </si>
  <si>
    <t>55105</t>
  </si>
  <si>
    <t>(651) 292-9247</t>
  </si>
  <si>
    <t>Bryan Chiropractic, PA.</t>
  </si>
  <si>
    <t>1104021435</t>
  </si>
  <si>
    <t>Impact Physical Medicine</t>
  </si>
  <si>
    <t>1600 University Ave W</t>
  </si>
  <si>
    <t>(651) 592-9402</t>
  </si>
  <si>
    <t>Impact Physical Medicine of St. Paul</t>
  </si>
  <si>
    <t>1487294401</t>
  </si>
  <si>
    <t>2550 University Ave W</t>
  </si>
  <si>
    <t>Ste 143N</t>
  </si>
  <si>
    <t>55114</t>
  </si>
  <si>
    <t>(651) 340-3959</t>
  </si>
  <si>
    <t>Jason A Smith DC PA</t>
  </si>
  <si>
    <t>1820 Rice St</t>
  </si>
  <si>
    <t>(651) 489-6550</t>
  </si>
  <si>
    <t>1336344738</t>
  </si>
  <si>
    <t>John Nasseff Neuroscience Specialty Clinic</t>
  </si>
  <si>
    <t>Ste 440</t>
  </si>
  <si>
    <t>(651) 241-6555</t>
  </si>
  <si>
    <t>1619914207</t>
  </si>
  <si>
    <t>Midway Chiropractic and Health Services PA</t>
  </si>
  <si>
    <t>464 Hamline Ave S</t>
  </si>
  <si>
    <t>(651) 644-7207</t>
  </si>
  <si>
    <t>1912195124</t>
  </si>
  <si>
    <t>Minnesota Craniofacial Center for TMJ &amp; Sleep Treatment</t>
  </si>
  <si>
    <t>(651) 642-1013</t>
  </si>
  <si>
    <t>Minnesota Craniofacial Center Midway, PA.</t>
  </si>
  <si>
    <t>1285757864</t>
  </si>
  <si>
    <t>Ste 189S</t>
  </si>
  <si>
    <t>(651) 332-7474</t>
  </si>
  <si>
    <t>1104850155</t>
  </si>
  <si>
    <t>Minnesota Luna Care Physical Therapy LLC</t>
  </si>
  <si>
    <t>428 Minnesota St</t>
  </si>
  <si>
    <t>Ste 500</t>
  </si>
  <si>
    <t>55101</t>
  </si>
  <si>
    <t>(866) 525-3175</t>
  </si>
  <si>
    <t>1780288134</t>
  </si>
  <si>
    <t>MN Chiropractic &amp; Acupuncture, PA</t>
  </si>
  <si>
    <t>970 Raymond Ave</t>
  </si>
  <si>
    <t>(651) 315-5495</t>
  </si>
  <si>
    <t>1154715340</t>
  </si>
  <si>
    <t>Mounds View Chiropractic, PA</t>
  </si>
  <si>
    <t>5372 Edgewood Dr</t>
  </si>
  <si>
    <t>(763) 398-7770</t>
  </si>
  <si>
    <t>1306053673</t>
  </si>
  <si>
    <t>1932920725</t>
  </si>
  <si>
    <t>1387 Phalen Boulevard</t>
  </si>
  <si>
    <t>(952) 388-5520</t>
  </si>
  <si>
    <t>1215556998</t>
  </si>
  <si>
    <t>Pain and Joint Care PLLC</t>
  </si>
  <si>
    <t>1440 Arcade St</t>
  </si>
  <si>
    <t>(651) 418-5940</t>
  </si>
  <si>
    <t>1902692585</t>
  </si>
  <si>
    <t>Premier Health of West Saint Paul LTD</t>
  </si>
  <si>
    <t>205 Cesar Chavez St</t>
  </si>
  <si>
    <t>(651) 797-4567</t>
  </si>
  <si>
    <t>1245983097</t>
  </si>
  <si>
    <t>Pure Health MN LLC</t>
  </si>
  <si>
    <t>2059 Randolph Ave</t>
  </si>
  <si>
    <t>1144093667</t>
  </si>
  <si>
    <t>Purity Chiropractic Clinic, LLC</t>
  </si>
  <si>
    <t>1200 Galtier St</t>
  </si>
  <si>
    <t>(651) 621-9204</t>
  </si>
  <si>
    <t>1255191474</t>
  </si>
  <si>
    <t>Restoration Chiropractic PLLC</t>
  </si>
  <si>
    <t>2103 County Road D E</t>
  </si>
  <si>
    <t>Unit A</t>
  </si>
  <si>
    <t>(612) 295-0180</t>
  </si>
  <si>
    <t>1467233478</t>
  </si>
  <si>
    <t>Rooted Health and Research, INC.</t>
  </si>
  <si>
    <t>(507) 412-0233</t>
  </si>
  <si>
    <t>1144189648</t>
  </si>
  <si>
    <t>Sakura Pelvic Health and Wellness</t>
  </si>
  <si>
    <t>1504 Eleanor Ave</t>
  </si>
  <si>
    <t>(978) 760-6800</t>
  </si>
  <si>
    <t>1972476836</t>
  </si>
  <si>
    <t>755 Prior Ave N</t>
  </si>
  <si>
    <t>Ste 235E</t>
  </si>
  <si>
    <t>(651) 645-8083</t>
  </si>
  <si>
    <t>Spinal Health LLC</t>
  </si>
  <si>
    <t>1204 Grand Ave</t>
  </si>
  <si>
    <t>(612) 461-5779</t>
  </si>
  <si>
    <t>1710612023</t>
  </si>
  <si>
    <t>St. Paul Oral Surgery</t>
  </si>
  <si>
    <t>Ste 115N</t>
  </si>
  <si>
    <t>(651) 645-6429</t>
  </si>
  <si>
    <t>St Paul Oral Surgery and Dental Implants LLC</t>
  </si>
  <si>
    <t>1043870645</t>
  </si>
  <si>
    <t>Summit Hill Chiropractic LLC</t>
  </si>
  <si>
    <t>976 Grand Ave</t>
  </si>
  <si>
    <t>(651) 292-0050</t>
  </si>
  <si>
    <t>1336762897</t>
  </si>
  <si>
    <t>Physical Therapy, MRI</t>
  </si>
  <si>
    <t>(651) 968-5335</t>
  </si>
  <si>
    <t>1477604320</t>
  </si>
  <si>
    <t>The Good Movement Pelvic Health &amp; Wellness</t>
  </si>
  <si>
    <t>2327 Wycliff St</t>
  </si>
  <si>
    <t>(612) 217-2440</t>
  </si>
  <si>
    <t>1225908577</t>
  </si>
  <si>
    <t>The Spinery PLLC</t>
  </si>
  <si>
    <t>2050 Saint Clair Ave</t>
  </si>
  <si>
    <t>(651) 888-2294</t>
  </si>
  <si>
    <t>1528753712</t>
  </si>
  <si>
    <t>Therapy Partners, INC</t>
  </si>
  <si>
    <t>360 Sherman St</t>
  </si>
  <si>
    <t>(651) 702-6932</t>
  </si>
  <si>
    <t>1962429779</t>
  </si>
  <si>
    <t>1939 Minnehaha Ave W</t>
  </si>
  <si>
    <t>375 Selby Ave</t>
  </si>
  <si>
    <t>Ste 63</t>
  </si>
  <si>
    <t>333 Grand Ave</t>
  </si>
  <si>
    <t>(651) 294-2316</t>
  </si>
  <si>
    <t>Tria@work</t>
  </si>
  <si>
    <t>640 Jackson St</t>
  </si>
  <si>
    <t>1659849735</t>
  </si>
  <si>
    <t>Twin Cities Headache &amp; Neck, LTD.</t>
  </si>
  <si>
    <t>245 Ruth St N</t>
  </si>
  <si>
    <t>55119</t>
  </si>
  <si>
    <t>(651) 925-5530</t>
  </si>
  <si>
    <t>1043457997</t>
  </si>
  <si>
    <t>United Family Chiropractic LLC</t>
  </si>
  <si>
    <t>995 University Ave W</t>
  </si>
  <si>
    <t>Ste 254</t>
  </si>
  <si>
    <t>(651) 666-3428</t>
  </si>
  <si>
    <t>1912751496</t>
  </si>
  <si>
    <t>United Hospital - Midwest Spine &amp; Brain Institute</t>
  </si>
  <si>
    <t>Orthopedics, Spine, Neurosurgery, Physical Medicine &amp; Rehabilitation</t>
  </si>
  <si>
    <t>(651) 430-3827</t>
  </si>
  <si>
    <t>1366221491</t>
  </si>
  <si>
    <t>United Pain Center</t>
  </si>
  <si>
    <t>(651) 241-7246</t>
  </si>
  <si>
    <t>1962447995</t>
  </si>
  <si>
    <t>Voyageur Imaging,llc</t>
  </si>
  <si>
    <t>393 Dunlap St N</t>
  </si>
  <si>
    <t>Ste Ll40</t>
  </si>
  <si>
    <t>(651) 647-0000</t>
  </si>
  <si>
    <t>1043643059</t>
  </si>
  <si>
    <t>Wellness Chiropractic Center PC</t>
  </si>
  <si>
    <t>621 Cleveland Ave S</t>
  </si>
  <si>
    <t>(651) 698-9123</t>
  </si>
  <si>
    <t>1578854048</t>
  </si>
  <si>
    <t>Willow Family Chiropractic</t>
  </si>
  <si>
    <t>730 Cleveland Ave S</t>
  </si>
  <si>
    <t>(651) 699-8610</t>
  </si>
  <si>
    <t>Langford Chiropractic , PA</t>
  </si>
  <si>
    <t>1871507772</t>
  </si>
  <si>
    <t>Entira Family Clinics-Vadnais Heights</t>
  </si>
  <si>
    <t>3550 Labore Rd</t>
  </si>
  <si>
    <t>Vadnais Heights</t>
  </si>
  <si>
    <t>55110</t>
  </si>
  <si>
    <t>1528248259</t>
  </si>
  <si>
    <t>3485 Willow Lake Blvd</t>
  </si>
  <si>
    <t>(651) 797-4430</t>
  </si>
  <si>
    <t>480 Highway 96 E</t>
  </si>
  <si>
    <t>(651) 482-8486</t>
  </si>
  <si>
    <t>Olive Me Chiropractic, Corporation</t>
  </si>
  <si>
    <t>1468 County Road E E</t>
  </si>
  <si>
    <t>(651) 340-3013</t>
  </si>
  <si>
    <t>1952779605</t>
  </si>
  <si>
    <t>3580 Arcade St</t>
  </si>
  <si>
    <t>1215358346</t>
  </si>
  <si>
    <t>Dehaven Chiropractic Clinic, INC</t>
  </si>
  <si>
    <t>4505 White Bear Pkwy</t>
  </si>
  <si>
    <t>Ste 2200</t>
  </si>
  <si>
    <t>White Bear Lake</t>
  </si>
  <si>
    <t>(651) 429-3015</t>
  </si>
  <si>
    <t>1851525893</t>
  </si>
  <si>
    <t>Fyzical Therapy and Balance Centers</t>
  </si>
  <si>
    <t>2680 County Road E E</t>
  </si>
  <si>
    <t>(651) 504-2212</t>
  </si>
  <si>
    <t>Soleck Ventures INC</t>
  </si>
  <si>
    <t>1821979642</t>
  </si>
  <si>
    <t>North Star Medical PLLC</t>
  </si>
  <si>
    <t>1330 Highway 96 E</t>
  </si>
  <si>
    <t>(763) 999-4340</t>
  </si>
  <si>
    <t>1548068968</t>
  </si>
  <si>
    <t>Quaas Chiropractic Center</t>
  </si>
  <si>
    <t>4651 White Bear Pkwy</t>
  </si>
  <si>
    <t>(651) 426-5459</t>
  </si>
  <si>
    <t>Kevin M Quaas INC</t>
  </si>
  <si>
    <t>1952479651</t>
  </si>
  <si>
    <t>Rhivive Physical Therapy</t>
  </si>
  <si>
    <t>1011 Meadowlands Dr</t>
  </si>
  <si>
    <t>(651) 894-4585</t>
  </si>
  <si>
    <t>1558099747</t>
  </si>
  <si>
    <t>Soul Chiropractic</t>
  </si>
  <si>
    <t>4760 Banning Ave</t>
  </si>
  <si>
    <t>Ste 217</t>
  </si>
  <si>
    <t>(612) 568-7685</t>
  </si>
  <si>
    <t>1851005060</t>
  </si>
  <si>
    <t>Therapy Partners, Ins</t>
  </si>
  <si>
    <t>4800 White Bear Pkwy</t>
  </si>
  <si>
    <t>(651) 426-3800</t>
  </si>
  <si>
    <t>1245315704</t>
  </si>
  <si>
    <t>Wildwood Chiropractic Center</t>
  </si>
  <si>
    <t>3580 Linden Ave</t>
  </si>
  <si>
    <t>(651) 779-4263</t>
  </si>
  <si>
    <t>Hmms Holdings, PLLC</t>
  </si>
  <si>
    <t>1326773748</t>
  </si>
  <si>
    <t>Triage Wellness Institute PA</t>
  </si>
  <si>
    <t>115 Old Town Rd</t>
  </si>
  <si>
    <t>Elko New Market</t>
  </si>
  <si>
    <t>55054</t>
  </si>
  <si>
    <t>(952) 226-4325</t>
  </si>
  <si>
    <t>1548637739</t>
  </si>
  <si>
    <t>Total Health Advantage</t>
  </si>
  <si>
    <t>150 El Dorado Drive</t>
  </si>
  <si>
    <t>Jordan</t>
  </si>
  <si>
    <t>55352</t>
  </si>
  <si>
    <t>(952) 492-3222</t>
  </si>
  <si>
    <t>1659551869</t>
  </si>
  <si>
    <t>Domier Chiropractic, PLLC</t>
  </si>
  <si>
    <t>16180 Hastings Ave SE</t>
  </si>
  <si>
    <t>Prior Lake</t>
  </si>
  <si>
    <t>55372</t>
  </si>
  <si>
    <t>(952) 991-1353</t>
  </si>
  <si>
    <t>1114615150</t>
  </si>
  <si>
    <t>Hyva Elama, PA.</t>
  </si>
  <si>
    <t>4207 Quaker Trl NE</t>
  </si>
  <si>
    <t>(612) 384-7250</t>
  </si>
  <si>
    <t>1215086384</t>
  </si>
  <si>
    <t>Lakeside Chiropractic LLC</t>
  </si>
  <si>
    <t>6885 Boudin St NE</t>
  </si>
  <si>
    <t>(651) 583-8971</t>
  </si>
  <si>
    <t>1144063447</t>
  </si>
  <si>
    <t>Shakopee Dakota Clinic</t>
  </si>
  <si>
    <t>2330 Sioux Trl NW</t>
  </si>
  <si>
    <t>(952) 496-6150</t>
  </si>
  <si>
    <t>Shakopee Mdewakanton Sioux Community</t>
  </si>
  <si>
    <t>1013933381</t>
  </si>
  <si>
    <t>4646 Colorado St SE</t>
  </si>
  <si>
    <t>EOS Oral Surgery</t>
  </si>
  <si>
    <t>13875 Hwy 13 Frontage Rd</t>
  </si>
  <si>
    <t>Ste 50</t>
  </si>
  <si>
    <t>Savage</t>
  </si>
  <si>
    <t>55378</t>
  </si>
  <si>
    <t>7447 Egan Dr</t>
  </si>
  <si>
    <t>Mpower PT</t>
  </si>
  <si>
    <t>13116 Zinran Pl</t>
  </si>
  <si>
    <t>(651) 895-0826</t>
  </si>
  <si>
    <t>J&amp;m Nelson LLC</t>
  </si>
  <si>
    <t>1144900176</t>
  </si>
  <si>
    <t>Pathways Chiropractic Health Center of Savage, PA.</t>
  </si>
  <si>
    <t>14233 Oconnell Ct</t>
  </si>
  <si>
    <t>(952) 226-5502</t>
  </si>
  <si>
    <t>1508984105</t>
  </si>
  <si>
    <t>TMJ &amp; Sleep Therapy Centre of St. Paul (at Smiles of Distinction Dentistry)</t>
  </si>
  <si>
    <t>4300 Egan Dr</t>
  </si>
  <si>
    <t>(952) 894-2545</t>
  </si>
  <si>
    <t>4360 12th Ave E</t>
  </si>
  <si>
    <t>Shakopee</t>
  </si>
  <si>
    <t>55379</t>
  </si>
  <si>
    <t>(651) 968-5952</t>
  </si>
  <si>
    <t>1467370361</t>
  </si>
  <si>
    <t>EOS: Expert Oral Surgery</t>
  </si>
  <si>
    <t>403 East First Avenue</t>
  </si>
  <si>
    <t>Mission Chiropractic &amp; Acupuncture PLLC</t>
  </si>
  <si>
    <t>4109 Dean Lakes Blvd</t>
  </si>
  <si>
    <t>(612) 767-2800</t>
  </si>
  <si>
    <t>1457156366</t>
  </si>
  <si>
    <t>1053955385</t>
  </si>
  <si>
    <t>4155 Dean Lakes Blvd</t>
  </si>
  <si>
    <t>Jag Health LLC</t>
  </si>
  <si>
    <t>13640 Olivia Ct</t>
  </si>
  <si>
    <t>55308</t>
  </si>
  <si>
    <t>(763) 299-5677</t>
  </si>
  <si>
    <t>1407555758</t>
  </si>
  <si>
    <t>18055 198th Ave NW</t>
  </si>
  <si>
    <t>Unit B161</t>
  </si>
  <si>
    <t>Big Lake</t>
  </si>
  <si>
    <t>55309</t>
  </si>
  <si>
    <t>(612) 200-0619</t>
  </si>
  <si>
    <t>Tune Chiropractic LTD</t>
  </si>
  <si>
    <t>17177 Trillium Ln</t>
  </si>
  <si>
    <t>(507) 304-3000</t>
  </si>
  <si>
    <t>1699294645</t>
  </si>
  <si>
    <t>Associated Oral &amp; Maxillofacial Surgeons (Elk River)</t>
  </si>
  <si>
    <t>501 Main St NW</t>
  </si>
  <si>
    <t>Elk River</t>
  </si>
  <si>
    <t>55330</t>
  </si>
  <si>
    <t>(763) 274-1092</t>
  </si>
  <si>
    <t>Healthsource Chiropractic of Elk River</t>
  </si>
  <si>
    <t>18157 Carson Ct NW</t>
  </si>
  <si>
    <t>(763) 441-0644</t>
  </si>
  <si>
    <t>Directcare Chiropractic, PA</t>
  </si>
  <si>
    <t>1740406685</t>
  </si>
  <si>
    <t>1000 School St NW</t>
  </si>
  <si>
    <t>(763) 400-7438</t>
  </si>
  <si>
    <t>Ibackcheck Physical Therapy, PLLC</t>
  </si>
  <si>
    <t>1053753095</t>
  </si>
  <si>
    <t>Momentum Health and Wellness Minnesota, PLLC.</t>
  </si>
  <si>
    <t>231 Main St NW</t>
  </si>
  <si>
    <t>(763) 760-9176</t>
  </si>
  <si>
    <t>1649136250</t>
  </si>
  <si>
    <t>555 Railroad Dr NW</t>
  </si>
  <si>
    <t>(763) 441-8111</t>
  </si>
  <si>
    <t>1780405480</t>
  </si>
  <si>
    <t>Power Within Chiropractic of Elk River</t>
  </si>
  <si>
    <t>630 Freeport Ave NW</t>
  </si>
  <si>
    <t>(763) 441-3830</t>
  </si>
  <si>
    <t>1083882740</t>
  </si>
  <si>
    <t>800 Freeport Ave NW</t>
  </si>
  <si>
    <t>1124795612</t>
  </si>
  <si>
    <t>18336 Joplin St NW</t>
  </si>
  <si>
    <t>(763) 441-0999</t>
  </si>
  <si>
    <t>On the Move Therapy &amp; Wellness</t>
  </si>
  <si>
    <t>6471 Inspire Cir S</t>
  </si>
  <si>
    <t>Cottage Grove</t>
  </si>
  <si>
    <t>55016</t>
  </si>
  <si>
    <t>(612) 708-1261</t>
  </si>
  <si>
    <t>1699512806</t>
  </si>
  <si>
    <t>The New Art of Chiropractic</t>
  </si>
  <si>
    <t>7501 80th St S</t>
  </si>
  <si>
    <t>(651) 459-2225</t>
  </si>
  <si>
    <t>Family Wellness Center of C G PA.</t>
  </si>
  <si>
    <t>1427097849</t>
  </si>
  <si>
    <t>Whole Health Chiropractic PC</t>
  </si>
  <si>
    <t>8617 W Point Douglas Rd S</t>
  </si>
  <si>
    <t>(651) 459-2000</t>
  </si>
  <si>
    <t>1851702237</t>
  </si>
  <si>
    <t>Prosper Physical Therapy, LLC</t>
  </si>
  <si>
    <t>168 Lake St S</t>
  </si>
  <si>
    <t>(612) 718-2669</t>
  </si>
  <si>
    <t>Amy Goehner</t>
  </si>
  <si>
    <t>1841888054</t>
  </si>
  <si>
    <t>Ross Orthodontics (Dr. Gregory Ross)</t>
  </si>
  <si>
    <t>368 Lake St S</t>
  </si>
  <si>
    <t>(651) 464-6988</t>
  </si>
  <si>
    <t>Rossodontics Dental Sleep Medicine</t>
  </si>
  <si>
    <t>1588094171</t>
  </si>
  <si>
    <t>Entira Family Clinics - Hugo</t>
  </si>
  <si>
    <t>14688 Everton Ave N</t>
  </si>
  <si>
    <t>Hugo</t>
  </si>
  <si>
    <t>55038</t>
  </si>
  <si>
    <t>1639359359</t>
  </si>
  <si>
    <t>Hugo Chiropractic Clinic</t>
  </si>
  <si>
    <t>5673 147th St N</t>
  </si>
  <si>
    <t>(218) 391-0997</t>
  </si>
  <si>
    <t>Foxboro Solutions PLLC</t>
  </si>
  <si>
    <t>1588426878</t>
  </si>
  <si>
    <t>HealthPartners Dental Specialty Center Woodbury - Lake Elmo</t>
  </si>
  <si>
    <t>8515 Eagle Point Blvd</t>
  </si>
  <si>
    <t>Lake Elmo</t>
  </si>
  <si>
    <t>55042</t>
  </si>
  <si>
    <t>(651) 523-9950</t>
  </si>
  <si>
    <t>1093261190</t>
  </si>
  <si>
    <t>HealthPartners TMD Lake Elmo</t>
  </si>
  <si>
    <t>(651) 523-9951</t>
  </si>
  <si>
    <t>1811288269</t>
  </si>
  <si>
    <t>Steady Strides LLC</t>
  </si>
  <si>
    <t>3394 Lake Elmo Ave N</t>
  </si>
  <si>
    <t>(651) 900-5629</t>
  </si>
  <si>
    <t>1225918279</t>
  </si>
  <si>
    <t>Thrive Hq</t>
  </si>
  <si>
    <t>3511 Lake Elmo Ave N</t>
  </si>
  <si>
    <t>(651) 383-2626</t>
  </si>
  <si>
    <t>1023609799</t>
  </si>
  <si>
    <t>Core Chiropractic &amp; Health</t>
  </si>
  <si>
    <t>219 Wedgewood Dr</t>
  </si>
  <si>
    <t>Mahtomedi</t>
  </si>
  <si>
    <t>55115</t>
  </si>
  <si>
    <t>(516) 493-0701</t>
  </si>
  <si>
    <t>1972968337</t>
  </si>
  <si>
    <t>Fitness Focus</t>
  </si>
  <si>
    <t>688 Wildwood Road</t>
  </si>
  <si>
    <t>(651) 429-9947</t>
  </si>
  <si>
    <t>Fitness Focus, INC.</t>
  </si>
  <si>
    <t>1720156680</t>
  </si>
  <si>
    <t>Wildwood Wellness LLC</t>
  </si>
  <si>
    <t>744 Wildwood Rd</t>
  </si>
  <si>
    <t>(651) 300-4377</t>
  </si>
  <si>
    <t>1730816661</t>
  </si>
  <si>
    <t>303 21st St</t>
  </si>
  <si>
    <t>Ste 152</t>
  </si>
  <si>
    <t>Newport</t>
  </si>
  <si>
    <t>55055</t>
  </si>
  <si>
    <t>(651) 455-3405</t>
  </si>
  <si>
    <t>Healthsource of Oakdale</t>
  </si>
  <si>
    <t>5705 Hadley Ave N</t>
  </si>
  <si>
    <t>Oakdale</t>
  </si>
  <si>
    <t>55128</t>
  </si>
  <si>
    <t>(651) 538-5448</t>
  </si>
  <si>
    <t>Kelsey Chiropractic, PLLC</t>
  </si>
  <si>
    <t>1275736613</t>
  </si>
  <si>
    <t>Mccarron Lake Chiropractic</t>
  </si>
  <si>
    <t>1971 Geneva Ave N</t>
  </si>
  <si>
    <t>(651) 340-8834</t>
  </si>
  <si>
    <t>Mlc Too LLC</t>
  </si>
  <si>
    <t>1447017959</t>
  </si>
  <si>
    <t>7825 3rd St N</t>
  </si>
  <si>
    <t>(208) 834-1864</t>
  </si>
  <si>
    <t>Peak Physical Therapy, PLLC</t>
  </si>
  <si>
    <t>611 Bielenberg Dr</t>
  </si>
  <si>
    <t>55125</t>
  </si>
  <si>
    <t>(612) 208-3125</t>
  </si>
  <si>
    <t>1942126792</t>
  </si>
  <si>
    <t>Adjust Today Chiropractic</t>
  </si>
  <si>
    <t>321 Broadway Ave</t>
  </si>
  <si>
    <t>St. Paul Park</t>
  </si>
  <si>
    <t>55071</t>
  </si>
  <si>
    <t>(612) 314-9482</t>
  </si>
  <si>
    <t>Today Evolved LTD.</t>
  </si>
  <si>
    <t>1093315855</t>
  </si>
  <si>
    <t>Carlson Dental Group</t>
  </si>
  <si>
    <t>1701 Curve Crest Blvd W</t>
  </si>
  <si>
    <t>Stillwater</t>
  </si>
  <si>
    <t>55082</t>
  </si>
  <si>
    <t>(651) 439-8840</t>
  </si>
  <si>
    <t>Carlson Distinctive Dentistry, PLLC</t>
  </si>
  <si>
    <t>1598243990</t>
  </si>
  <si>
    <t>Clarity Chiropractic LLC</t>
  </si>
  <si>
    <t>5898 Omaha Ave N</t>
  </si>
  <si>
    <t>Ste 1A</t>
  </si>
  <si>
    <t>(651) 239-4330</t>
  </si>
  <si>
    <t>1770398059</t>
  </si>
  <si>
    <t>Enhance PT LLC</t>
  </si>
  <si>
    <t>1826 Northwestern Ave S</t>
  </si>
  <si>
    <t>(651) 369-1196</t>
  </si>
  <si>
    <t>1720970759</t>
  </si>
  <si>
    <t>Fluid Health and Fitness</t>
  </si>
  <si>
    <t>5639 Memorial Ave N</t>
  </si>
  <si>
    <t>(844) 358-4343</t>
  </si>
  <si>
    <t>1760096424</t>
  </si>
  <si>
    <t>Leif Erik Schley DC LLC</t>
  </si>
  <si>
    <t>105 New England Place</t>
  </si>
  <si>
    <t>(651) 342-2083</t>
  </si>
  <si>
    <t>1184823890</t>
  </si>
  <si>
    <t>Lifetime Fat Loss Centers of Hugo LLC</t>
  </si>
  <si>
    <t>1290 Frontage Rd W</t>
  </si>
  <si>
    <t>(651) 342-2681</t>
  </si>
  <si>
    <t>1043168313</t>
  </si>
  <si>
    <t>Northland Chiropractic Clinic, LLC</t>
  </si>
  <si>
    <t>1940 Greeley St S</t>
  </si>
  <si>
    <t># 112</t>
  </si>
  <si>
    <t>(651) 430-2727</t>
  </si>
  <si>
    <t>1477709814</t>
  </si>
  <si>
    <t>Oswald LLC</t>
  </si>
  <si>
    <t>11233 Neal Ave N</t>
  </si>
  <si>
    <t>(612) 968-7563</t>
  </si>
  <si>
    <t>1740035401</t>
  </si>
  <si>
    <t>Saint Croix Oral Surgery</t>
  </si>
  <si>
    <t>(651) 439-8030</t>
  </si>
  <si>
    <t>St Croix Oral, Maxillofacial &amp; Implant Surgery, PA.</t>
  </si>
  <si>
    <t>1427129717</t>
  </si>
  <si>
    <t>The Oral Surgery Center</t>
  </si>
  <si>
    <t>2850 Curve Crest Blvd</t>
  </si>
  <si>
    <t>(651) 233-2141</t>
  </si>
  <si>
    <t>Great Lakes Oral &amp; Maxillofacial Surgery, PA.</t>
  </si>
  <si>
    <t>1508058322</t>
  </si>
  <si>
    <t>Aroramd LLC</t>
  </si>
  <si>
    <t>2042 Wooddale Drive</t>
  </si>
  <si>
    <t>Woodbury</t>
  </si>
  <si>
    <t>(651) 273-3340</t>
  </si>
  <si>
    <t>1841811163</t>
  </si>
  <si>
    <t>Ascend Sport and Spine, PA</t>
  </si>
  <si>
    <t>2379 Windsor Ln</t>
  </si>
  <si>
    <t>(763) 242-2738</t>
  </si>
  <si>
    <t>1467266171</t>
  </si>
  <si>
    <t>Awake Pelvic Health and Wellness LLC</t>
  </si>
  <si>
    <t>700 Commerce Dr</t>
  </si>
  <si>
    <t>(651) 432-0250</t>
  </si>
  <si>
    <t>1861066789</t>
  </si>
  <si>
    <t>3213 Countryside Ct</t>
  </si>
  <si>
    <t>Unit C</t>
  </si>
  <si>
    <t>55129</t>
  </si>
  <si>
    <t>(651) 746-9499</t>
  </si>
  <si>
    <t>10150 Hudson Rd</t>
  </si>
  <si>
    <t>#162</t>
  </si>
  <si>
    <t>Bluewater Chiropractic PC</t>
  </si>
  <si>
    <t>6445 Lake Road Ter</t>
  </si>
  <si>
    <t>Ste 302</t>
  </si>
  <si>
    <t>(651) 294-2332</t>
  </si>
  <si>
    <t>1548527872</t>
  </si>
  <si>
    <t>Brain Balance of Woodbury</t>
  </si>
  <si>
    <t>(651) 371-5992</t>
  </si>
  <si>
    <t>Ability Bb Woodbury LLC</t>
  </si>
  <si>
    <t>1710867452</t>
  </si>
  <si>
    <t>Entira Family Clinics-Woodbury</t>
  </si>
  <si>
    <t>8325 City Centre Dr</t>
  </si>
  <si>
    <t>1982884615</t>
  </si>
  <si>
    <t>9680 Tamarack Rd</t>
  </si>
  <si>
    <t>(612) 273-1172</t>
  </si>
  <si>
    <t>1700235587</t>
  </si>
  <si>
    <t>Functional Health Unlimited</t>
  </si>
  <si>
    <t>724 Bielenberg Dr</t>
  </si>
  <si>
    <t># 152</t>
  </si>
  <si>
    <t>(612) 708-1676</t>
  </si>
  <si>
    <t>1154122950</t>
  </si>
  <si>
    <t>Fyzical Therapy and Balance Centers Woodbury</t>
  </si>
  <si>
    <t>670 Commerce Dr</t>
  </si>
  <si>
    <t>(651) 501-2010</t>
  </si>
  <si>
    <t>652 Bielenberg Dr</t>
  </si>
  <si>
    <t>(651) 867-1618</t>
  </si>
  <si>
    <t>Live Well Adjusted, PA.</t>
  </si>
  <si>
    <t>7803 Afton Rd</t>
  </si>
  <si>
    <t>(651) 261-5020</t>
  </si>
  <si>
    <t>1447853585</t>
  </si>
  <si>
    <t>Merit Spine LLC</t>
  </si>
  <si>
    <t>3715 Fairway Pt</t>
  </si>
  <si>
    <t>(651) 208-5312</t>
  </si>
  <si>
    <t>1710785233</t>
  </si>
  <si>
    <t>Miles of Cares LLC</t>
  </si>
  <si>
    <t>6043 Hudson Rd</t>
  </si>
  <si>
    <t>Ste 140E</t>
  </si>
  <si>
    <t>(651) 500-4432</t>
  </si>
  <si>
    <t>1942174644</t>
  </si>
  <si>
    <t>9950 Valley Creek Rd</t>
  </si>
  <si>
    <t>1710854369</t>
  </si>
  <si>
    <t>707 Bielenberg Dr</t>
  </si>
  <si>
    <t>Parno Family Chiropractic PLLC</t>
  </si>
  <si>
    <t>7650 Currell Blvd</t>
  </si>
  <si>
    <t>Ste 270</t>
  </si>
  <si>
    <t>(612) 558-2396</t>
  </si>
  <si>
    <t>1538473152</t>
  </si>
  <si>
    <t>Shriners Hospitals For Children</t>
  </si>
  <si>
    <t>Orthopedics, Neurosurgery, Physical Medicine &amp; Rehabilitation, Neurology</t>
  </si>
  <si>
    <t>215 Radio Dr</t>
  </si>
  <si>
    <t>(813) 518-7679</t>
  </si>
  <si>
    <t>1275271462</t>
  </si>
  <si>
    <t>4123 Radio Dr</t>
  </si>
  <si>
    <t>1386007417</t>
  </si>
  <si>
    <t>710 Commerce Dr</t>
  </si>
  <si>
    <t>(651) 968-5042</t>
  </si>
  <si>
    <t>1306899463</t>
  </si>
  <si>
    <t>The Dental Specialists - Woodbury</t>
  </si>
  <si>
    <t>241 Radio Drive</t>
  </si>
  <si>
    <t>A</t>
  </si>
  <si>
    <t>(651) 760-3661</t>
  </si>
  <si>
    <t>1346316189</t>
  </si>
  <si>
    <t>241 Radio Dr</t>
  </si>
  <si>
    <t>748 Bielenberg Drive</t>
  </si>
  <si>
    <t>(651) 233-2140</t>
  </si>
  <si>
    <t>1104864529</t>
  </si>
  <si>
    <t>The Wellness Way Woodbury</t>
  </si>
  <si>
    <t>(651) 330-9453</t>
  </si>
  <si>
    <t>Empower Health Chiropractic</t>
  </si>
  <si>
    <t>1487293981</t>
  </si>
  <si>
    <t>257 Rivertown Dr</t>
  </si>
  <si>
    <t>(651) 528-6461</t>
  </si>
  <si>
    <t>True North Oral Surgery &amp; Implants</t>
  </si>
  <si>
    <t>(651) 578-7000</t>
  </si>
  <si>
    <t>Maplewood Oral and Maxillofacial Surgery, PA.</t>
  </si>
  <si>
    <t>1003993304</t>
  </si>
  <si>
    <t>Valley Chiropractic Clinic, LTD</t>
  </si>
  <si>
    <t>7975 Afton Rd</t>
  </si>
  <si>
    <t>(651) 730-7302</t>
  </si>
  <si>
    <t>1932325578</t>
  </si>
  <si>
    <t>Woodbury Chiropractic &amp; Wellness Center INC</t>
  </si>
  <si>
    <t>1951 Woodlane Dr</t>
  </si>
  <si>
    <t>(651) 502-1047</t>
  </si>
  <si>
    <t>1518272822</t>
  </si>
  <si>
    <t>Woodbury Family Chiropractic</t>
  </si>
  <si>
    <t>2110 Eagle Creek Ln</t>
  </si>
  <si>
    <t>(612) 600-0819</t>
  </si>
  <si>
    <t>1427479617</t>
  </si>
  <si>
    <t>Woodbury Spine Wellness Center</t>
  </si>
  <si>
    <t>8147 Globe Dr</t>
  </si>
  <si>
    <t>(651) 731-0505</t>
  </si>
  <si>
    <t>Woodbury Spine and Injury Center</t>
  </si>
  <si>
    <t>1477868891</t>
  </si>
  <si>
    <t>Elevate Physical Therapy LLC</t>
  </si>
  <si>
    <t>6589 Laketowne Pl</t>
  </si>
  <si>
    <t>Albertville</t>
  </si>
  <si>
    <t>55301</t>
  </si>
  <si>
    <t>(763) 220-1962</t>
  </si>
  <si>
    <t>1497564181</t>
  </si>
  <si>
    <t>Gusto Integrative Therapies</t>
  </si>
  <si>
    <t>5232 Kyler Ave NE</t>
  </si>
  <si>
    <t>(763) 260-5313</t>
  </si>
  <si>
    <t>Orthopedic &amp; Spine Therapy of Albertville, LLC</t>
  </si>
  <si>
    <t>1235674037</t>
  </si>
  <si>
    <t>Mobilize Chiropractic PLLC</t>
  </si>
  <si>
    <t>711 Morrison Ave S</t>
  </si>
  <si>
    <t>Annandale</t>
  </si>
  <si>
    <t>55302</t>
  </si>
  <si>
    <t>(612) 599-2605</t>
  </si>
  <si>
    <t>1588523377</t>
  </si>
  <si>
    <t>Skilled Fitness &amp; Therapy LLC</t>
  </si>
  <si>
    <t>170 Willow Dr W</t>
  </si>
  <si>
    <t>(612) 805-8833</t>
  </si>
  <si>
    <t>1154144087</t>
  </si>
  <si>
    <t>Allina Health Buffalo Specialty Clinic</t>
  </si>
  <si>
    <t>303 Catlin St</t>
  </si>
  <si>
    <t>Buffalo</t>
  </si>
  <si>
    <t>55313</t>
  </si>
  <si>
    <t>(763) 684-6160</t>
  </si>
  <si>
    <t>1295272342</t>
  </si>
  <si>
    <t>215 Highway 55 E</t>
  </si>
  <si>
    <t>(763) 682-3410</t>
  </si>
  <si>
    <t>Awaken Life Recovery, LLC</t>
  </si>
  <si>
    <t>8150 20th St SE</t>
  </si>
  <si>
    <t>(844) 815-7625</t>
  </si>
  <si>
    <t>1790589430</t>
  </si>
  <si>
    <t>Freedom Chiropractic PC</t>
  </si>
  <si>
    <t>1111 Highway 25 N</t>
  </si>
  <si>
    <t>(763) 600-1111</t>
  </si>
  <si>
    <t>1427828961</t>
  </si>
  <si>
    <t>Hanson Dental</t>
  </si>
  <si>
    <t>1100 Highway 25 North</t>
  </si>
  <si>
    <t>(763) 682-9796</t>
  </si>
  <si>
    <t>Thomas M Hanson Dds PA</t>
  </si>
  <si>
    <t>1871663831</t>
  </si>
  <si>
    <t>Healthsource of Buffalo</t>
  </si>
  <si>
    <t>701 Hwy 55 E</t>
  </si>
  <si>
    <t>(763) 600-8355</t>
  </si>
  <si>
    <t>Total Health and Wellness, PC.</t>
  </si>
  <si>
    <t>1134531395</t>
  </si>
  <si>
    <t>Inmotion Chiropractic</t>
  </si>
  <si>
    <t>101 Marty Dr</t>
  </si>
  <si>
    <t>(763) 682-4000</t>
  </si>
  <si>
    <t>Marty Chiropractic Healing Center, PA.</t>
  </si>
  <si>
    <t>1730176637</t>
  </si>
  <si>
    <t>Mangas Family Chiropractic PLLC</t>
  </si>
  <si>
    <t>(763) 247-8778</t>
  </si>
  <si>
    <t>1972426799</t>
  </si>
  <si>
    <t>300 Catlin St</t>
  </si>
  <si>
    <t>(320) 685-7269</t>
  </si>
  <si>
    <t>1679394357</t>
  </si>
  <si>
    <t>Olson Chiropractic Clinic, INC</t>
  </si>
  <si>
    <t>130 Lake Boulevard South</t>
  </si>
  <si>
    <t>(763) 682-1849</t>
  </si>
  <si>
    <t>1316075799</t>
  </si>
  <si>
    <t>Healthsource of Delano</t>
  </si>
  <si>
    <t>128 River St N</t>
  </si>
  <si>
    <t>Delano</t>
  </si>
  <si>
    <t>55328</t>
  </si>
  <si>
    <t>(763) 972-9355</t>
  </si>
  <si>
    <t>Meyer Chiropractic Health Clinic</t>
  </si>
  <si>
    <t>1417273665</t>
  </si>
  <si>
    <t>Thompson Chiropractic Clinic PA</t>
  </si>
  <si>
    <t>1262 Crossing Dr</t>
  </si>
  <si>
    <t>(763) 972-3447</t>
  </si>
  <si>
    <t>1932338019</t>
  </si>
  <si>
    <t>Freedom Chiropractic LLC</t>
  </si>
  <si>
    <t>10981 4th St NE</t>
  </si>
  <si>
    <t>Ste 106</t>
  </si>
  <si>
    <t>Hanover</t>
  </si>
  <si>
    <t>55341</t>
  </si>
  <si>
    <t>(763) 568-2412</t>
  </si>
  <si>
    <t>1073394797</t>
  </si>
  <si>
    <t>114 W 3rd St</t>
  </si>
  <si>
    <t>Monticello</t>
  </si>
  <si>
    <t>55362</t>
  </si>
  <si>
    <t>(763) 271-6770</t>
  </si>
  <si>
    <t>Polaris Chiropractic LLC</t>
  </si>
  <si>
    <t>1539 E 7th St</t>
  </si>
  <si>
    <t>(763) 296-4340</t>
  </si>
  <si>
    <t>1598496176</t>
  </si>
  <si>
    <t>1344 E 7th St</t>
  </si>
  <si>
    <t>106 W Broadway St</t>
  </si>
  <si>
    <t>MN Center for Dental Care</t>
  </si>
  <si>
    <t>9075 Quaday Ave NE</t>
  </si>
  <si>
    <t>Otsego</t>
  </si>
  <si>
    <t>(763) 972-0440</t>
  </si>
  <si>
    <t>Minnesota Dental Implants</t>
  </si>
  <si>
    <t>1386312411</t>
  </si>
  <si>
    <t>Ripple Health Clinic</t>
  </si>
  <si>
    <t>9000 Quantrelle Ave NE</t>
  </si>
  <si>
    <t>(763) 432-9866</t>
  </si>
  <si>
    <t>Dmr Clinic Rogers LLC</t>
  </si>
  <si>
    <t>1356892285</t>
  </si>
  <si>
    <t>601 Central Ave W</t>
  </si>
  <si>
    <t>St. Michael</t>
  </si>
  <si>
    <t>55376</t>
  </si>
  <si>
    <t>(763) 595-1300</t>
  </si>
  <si>
    <t>Mcneil Family Chiropractic</t>
  </si>
  <si>
    <t>1061 Highway 23</t>
  </si>
  <si>
    <t>Foley</t>
  </si>
  <si>
    <t>56329</t>
  </si>
  <si>
    <t>(320) 968-6023</t>
  </si>
  <si>
    <t>Mcneil Family Chiropractic, LLC.</t>
  </si>
  <si>
    <t>1770712135</t>
  </si>
  <si>
    <t>True North Family Clinic</t>
  </si>
  <si>
    <t>471 Highway 23</t>
  </si>
  <si>
    <t>(320) 968-7234</t>
  </si>
  <si>
    <t>True North Family Clinic, LLC</t>
  </si>
  <si>
    <t>1679407068</t>
  </si>
  <si>
    <t>Natural Touch Chiropractic and Wellness, PLLC</t>
  </si>
  <si>
    <t>1250 Highway 15 S</t>
  </si>
  <si>
    <t>Hutchinson</t>
  </si>
  <si>
    <t>55350</t>
  </si>
  <si>
    <t>(507) 236-9816</t>
  </si>
  <si>
    <t>1245146620</t>
  </si>
  <si>
    <t>Mille Lacs Chiropractic</t>
  </si>
  <si>
    <t>150 10th St NW</t>
  </si>
  <si>
    <t>Milaca</t>
  </si>
  <si>
    <t>56353</t>
  </si>
  <si>
    <t>(320) 532-3154</t>
  </si>
  <si>
    <t>Mille Lacs Health System</t>
  </si>
  <si>
    <t>1417108531</t>
  </si>
  <si>
    <t>1010 5th St SE</t>
  </si>
  <si>
    <t>(320) 983-2728</t>
  </si>
  <si>
    <t>Mille Lacs Health System Milaca Family Clinic</t>
  </si>
  <si>
    <t>1942932264</t>
  </si>
  <si>
    <t>St Raphaels Chiropractic Care Center PLLC</t>
  </si>
  <si>
    <t>120 Central Ave N</t>
  </si>
  <si>
    <t>(320) 362-7900</t>
  </si>
  <si>
    <t>1740816941</t>
  </si>
  <si>
    <t>115 1st St W</t>
  </si>
  <si>
    <t># 3</t>
  </si>
  <si>
    <t>Flexed Mettle MN, LLC</t>
  </si>
  <si>
    <t>111 N Rum River Dr</t>
  </si>
  <si>
    <t>Princeton</t>
  </si>
  <si>
    <t>55371</t>
  </si>
  <si>
    <t>(612) 232-8532</t>
  </si>
  <si>
    <t>1164353827</t>
  </si>
  <si>
    <t>Knafla Chiropractic Clinic, LTD</t>
  </si>
  <si>
    <t>900 S Rum River Dr</t>
  </si>
  <si>
    <t>(763) 389-5803</t>
  </si>
  <si>
    <t>1720167117</t>
  </si>
  <si>
    <t>Allison Zak, DC., LLC</t>
  </si>
  <si>
    <t>220 1st St SE</t>
  </si>
  <si>
    <t>Little Falls</t>
  </si>
  <si>
    <t>56345</t>
  </si>
  <si>
    <t>(320) 631-0258</t>
  </si>
  <si>
    <t>1457674780</t>
  </si>
  <si>
    <t>72 E Broadway</t>
  </si>
  <si>
    <t>Healthsource of Little Falls</t>
  </si>
  <si>
    <t>109 5th St NE</t>
  </si>
  <si>
    <t># 1/2</t>
  </si>
  <si>
    <t>(320) 632-9224</t>
  </si>
  <si>
    <t>Mason Orth PC MN</t>
  </si>
  <si>
    <t>1407160534</t>
  </si>
  <si>
    <t>Northern Roots Chiropractic</t>
  </si>
  <si>
    <t>805 Main St S</t>
  </si>
  <si>
    <t>Pine City</t>
  </si>
  <si>
    <t>55063</t>
  </si>
  <si>
    <t>(320) 629-5288</t>
  </si>
  <si>
    <t>Pine City Chiropractic PLLC</t>
  </si>
  <si>
    <t>1801495957</t>
  </si>
  <si>
    <t>Gateway Family Health Clinic, LTD.</t>
  </si>
  <si>
    <t>707 Lundorff Dr</t>
  </si>
  <si>
    <t>Sandstone</t>
  </si>
  <si>
    <t>55072</t>
  </si>
  <si>
    <t>(320) 245-2250</t>
  </si>
  <si>
    <t>1790772259</t>
  </si>
  <si>
    <t>600 County Road 75</t>
  </si>
  <si>
    <t>55320</t>
  </si>
  <si>
    <t>(320) 558-6661</t>
  </si>
  <si>
    <t>1295557692</t>
  </si>
  <si>
    <t>402 Red River Ave N</t>
  </si>
  <si>
    <t>Cold Spring</t>
  </si>
  <si>
    <t>56320</t>
  </si>
  <si>
    <t>1649091315</t>
  </si>
  <si>
    <t>Regional Health Center of Richmond, INC.</t>
  </si>
  <si>
    <t>307 Ivy Ave SE</t>
  </si>
  <si>
    <t>Richmond</t>
  </si>
  <si>
    <t>56368</t>
  </si>
  <si>
    <t>(320) 597-8999</t>
  </si>
  <si>
    <t>1902862592</t>
  </si>
  <si>
    <t>Center For Outpatient Surgery</t>
  </si>
  <si>
    <t>2000 Abbott Northwestern Ct</t>
  </si>
  <si>
    <t>Sartell</t>
  </si>
  <si>
    <t>56377</t>
  </si>
  <si>
    <t>(320) 534-2200</t>
  </si>
  <si>
    <t>St Cloud Area Surgery Ctr</t>
  </si>
  <si>
    <t>1447235031</t>
  </si>
  <si>
    <t>Center For Pain Management Ambulatory Surgery, LTD</t>
  </si>
  <si>
    <t>804 23rd Street South</t>
  </si>
  <si>
    <t>56308</t>
  </si>
  <si>
    <t>(320) 230-7788</t>
  </si>
  <si>
    <t>1871104836</t>
  </si>
  <si>
    <t>Minnesota Oral &amp; Facial Surgery</t>
  </si>
  <si>
    <t>2380 Troop Drive</t>
  </si>
  <si>
    <t>(320) 257-9555</t>
  </si>
  <si>
    <t>Central Lakes Oral &amp; Facial Surgery</t>
  </si>
  <si>
    <t>1386723575</t>
  </si>
  <si>
    <t>Northern Plains Physical Therapy</t>
  </si>
  <si>
    <t>1301 Mockingbird Loop</t>
  </si>
  <si>
    <t>(701) 721-4229</t>
  </si>
  <si>
    <t>1285486944</t>
  </si>
  <si>
    <t>2251 Connecticut Ave S</t>
  </si>
  <si>
    <t>Ste 3600</t>
  </si>
  <si>
    <t>(320) 529-0036</t>
  </si>
  <si>
    <t>1538165881</t>
  </si>
  <si>
    <t>Williams Integracare Clinic</t>
  </si>
  <si>
    <t>Ste 2100</t>
  </si>
  <si>
    <t>(320) 251-2600</t>
  </si>
  <si>
    <t>Integracare LTD</t>
  </si>
  <si>
    <t>1770646937</t>
  </si>
  <si>
    <t>Arrow Health PC</t>
  </si>
  <si>
    <t>519 Main St S</t>
  </si>
  <si>
    <t>Sauk Centre</t>
  </si>
  <si>
    <t>56378</t>
  </si>
  <si>
    <t>(320) 352-6889</t>
  </si>
  <si>
    <t>1033766654</t>
  </si>
  <si>
    <t>Advantage Chiropractic</t>
  </si>
  <si>
    <t>32 32nd Ave S</t>
  </si>
  <si>
    <t>St. Cloud</t>
  </si>
  <si>
    <t>56301</t>
  </si>
  <si>
    <t>(320) 251-1080</t>
  </si>
  <si>
    <t>Advantage Chiropractic Center PA</t>
  </si>
  <si>
    <t>1487754842</t>
  </si>
  <si>
    <t>Centrasota Oral Surgeons</t>
  </si>
  <si>
    <t>3950 Veterans Dr</t>
  </si>
  <si>
    <t>56303</t>
  </si>
  <si>
    <t>(320) 252-3611</t>
  </si>
  <si>
    <t>Centrasota Oral &amp; Maxillofacial Surgeons, PA.</t>
  </si>
  <si>
    <t>1598710477</t>
  </si>
  <si>
    <t>Communitywise Services, INC.</t>
  </si>
  <si>
    <t>3339 W Saint Germain St</t>
  </si>
  <si>
    <t>Ste 250E</t>
  </si>
  <si>
    <t>(320) 281-3037</t>
  </si>
  <si>
    <t>1760155881</t>
  </si>
  <si>
    <t>Family Achievement Center of Central Minnesota</t>
  </si>
  <si>
    <t>2904 Roosevelt Rd</t>
  </si>
  <si>
    <t>(651) 343-3776</t>
  </si>
  <si>
    <t>Grazia, LLC</t>
  </si>
  <si>
    <t>1184488280</t>
  </si>
  <si>
    <t>Hjort Chiropractic, PA.</t>
  </si>
  <si>
    <t>3700 W Division St</t>
  </si>
  <si>
    <t>(320) 251-3450</t>
  </si>
  <si>
    <t>1104376169</t>
  </si>
  <si>
    <t>Jamie Jones Therapy, LLC</t>
  </si>
  <si>
    <t>14 7th Ave N</t>
  </si>
  <si>
    <t>(218) 556-9914</t>
  </si>
  <si>
    <t>1871365411</t>
  </si>
  <si>
    <t>Kinesis Physical Therapy, INC</t>
  </si>
  <si>
    <t>1521 Northway Dr</t>
  </si>
  <si>
    <t>Ste #116</t>
  </si>
  <si>
    <t>(320) 654-9838</t>
  </si>
  <si>
    <t>1427146737</t>
  </si>
  <si>
    <t>Minnesota Head &amp; Neck Pain Clinic</t>
  </si>
  <si>
    <t>622 Roosevelt Rd</t>
  </si>
  <si>
    <t>(763) 233-7252</t>
  </si>
  <si>
    <t>1003316852</t>
  </si>
  <si>
    <t>Wellness Way St Cloud LLC</t>
  </si>
  <si>
    <t>3400 1st St N</t>
  </si>
  <si>
    <t>(320) 774-1355</t>
  </si>
  <si>
    <t>1437884905</t>
  </si>
  <si>
    <t>Exponential Chiropractic Healing Center PLLC</t>
  </si>
  <si>
    <t>103 College Ave N</t>
  </si>
  <si>
    <t>St. Joseph</t>
  </si>
  <si>
    <t>56374</t>
  </si>
  <si>
    <t>(320) 363-4573</t>
  </si>
  <si>
    <t>1689156358</t>
  </si>
  <si>
    <t>Legacy Family Chiropractic, LLC</t>
  </si>
  <si>
    <t>171 7th Ave S</t>
  </si>
  <si>
    <t>Waite Park</t>
  </si>
  <si>
    <t>56387</t>
  </si>
  <si>
    <t>(320) 774-1013</t>
  </si>
  <si>
    <t>1205183050</t>
  </si>
  <si>
    <t>Comfort Corner Massage</t>
  </si>
  <si>
    <t>315 Jefferson St S</t>
  </si>
  <si>
    <t>56482</t>
  </si>
  <si>
    <t>(240) 460-8845</t>
  </si>
  <si>
    <t>1669127726</t>
  </si>
  <si>
    <t>Cardinal Chiropractic</t>
  </si>
  <si>
    <t>92 N Maddy Street</t>
  </si>
  <si>
    <t>Mcgregor</t>
  </si>
  <si>
    <t>55760</t>
  </si>
  <si>
    <t>(218) 644-7005</t>
  </si>
  <si>
    <t>Tast Chiropractic LLC</t>
  </si>
  <si>
    <t>1760185128</t>
  </si>
  <si>
    <t>Dakota Clinic, LTD. Detroit Lakes</t>
  </si>
  <si>
    <t>125 Frazee St E</t>
  </si>
  <si>
    <t>Detroit Lakes</t>
  </si>
  <si>
    <t>56501</t>
  </si>
  <si>
    <t>(218) 844-2300</t>
  </si>
  <si>
    <t>Dakota Clinic, LTD.</t>
  </si>
  <si>
    <t>1437228574</t>
  </si>
  <si>
    <t>Skadsem Weum Chiropractic PLLC</t>
  </si>
  <si>
    <t>1225 Washington Ave</t>
  </si>
  <si>
    <t>(218) 847-9235</t>
  </si>
  <si>
    <t>1831118918</t>
  </si>
  <si>
    <t>1325 Pelican Ln</t>
  </si>
  <si>
    <t>(218) 847-7777</t>
  </si>
  <si>
    <t>Bemidji Health and Wellness Center, PC.</t>
  </si>
  <si>
    <t>403 America Ave NW</t>
  </si>
  <si>
    <t>Bemidji</t>
  </si>
  <si>
    <t>56601</t>
  </si>
  <si>
    <t>(218) 444-8727</t>
  </si>
  <si>
    <t>1780681437</t>
  </si>
  <si>
    <t>Choice Therapy, PA.</t>
  </si>
  <si>
    <t>3835 Supreme Ct NW</t>
  </si>
  <si>
    <t>(218) 444-8280</t>
  </si>
  <si>
    <t>1831325620</t>
  </si>
  <si>
    <t>Fox and Fern Chiropractic</t>
  </si>
  <si>
    <t>612 5th St NW</t>
  </si>
  <si>
    <t>(303) 656-5752</t>
  </si>
  <si>
    <t>Costanzo Chiropractic</t>
  </si>
  <si>
    <t>1831058593</t>
  </si>
  <si>
    <t>Horn Health PLLC</t>
  </si>
  <si>
    <t>2300 24th St NW</t>
  </si>
  <si>
    <t>(218) 358-1018</t>
  </si>
  <si>
    <t>1952266041</t>
  </si>
  <si>
    <t>Lakeview Health and Wellness PLLC</t>
  </si>
  <si>
    <t>118 Paul Bunyan Dr S</t>
  </si>
  <si>
    <t>(218) 751-2150</t>
  </si>
  <si>
    <t>1962774158</t>
  </si>
  <si>
    <t>Life Quest Chiropractic Center Bemidji PC</t>
  </si>
  <si>
    <t>519 Anne St NW</t>
  </si>
  <si>
    <t>(218) 444-5700</t>
  </si>
  <si>
    <t>1942490750</t>
  </si>
  <si>
    <t>Mcdonald Chiropractic PLLC</t>
  </si>
  <si>
    <t>1900 Division St W</t>
  </si>
  <si>
    <t>Unit 7</t>
  </si>
  <si>
    <t>(218) 444-5911</t>
  </si>
  <si>
    <t>1063305274</t>
  </si>
  <si>
    <t>Origin Physical Therapy and Performance</t>
  </si>
  <si>
    <t>772 Mag Seven Ct SW</t>
  </si>
  <si>
    <t>(701) 330-2558</t>
  </si>
  <si>
    <t>1659298016</t>
  </si>
  <si>
    <t>Sanford Bemidji East Clinic</t>
  </si>
  <si>
    <t>3604 Bemidji Ave N</t>
  </si>
  <si>
    <t>(218) 333-5111</t>
  </si>
  <si>
    <t>Sanford Clinic North</t>
  </si>
  <si>
    <t>1407878424</t>
  </si>
  <si>
    <t>Sanford Bemidji Main Clinic</t>
  </si>
  <si>
    <t>1233 34th St NW</t>
  </si>
  <si>
    <t>(218) 333-5000</t>
  </si>
  <si>
    <t>Sanford Medical Center Fargo</t>
  </si>
  <si>
    <t>1093095382</t>
  </si>
  <si>
    <t>Sanford Bemidji Main Clinic Outreach For Cook</t>
  </si>
  <si>
    <t>Sanford Health of Northern Minnesota</t>
  </si>
  <si>
    <t>1780628149</t>
  </si>
  <si>
    <t>Blackduck Chiropractic, LLC</t>
  </si>
  <si>
    <t>22388 Blackduck Lake Rd NE</t>
  </si>
  <si>
    <t>Blackduck</t>
  </si>
  <si>
    <t>56630</t>
  </si>
  <si>
    <t>(218) 835-8837</t>
  </si>
  <si>
    <t>1114465366</t>
  </si>
  <si>
    <t>Ellison Family Chiropractic</t>
  </si>
  <si>
    <t>123 Avenue C</t>
  </si>
  <si>
    <t>Cloquet</t>
  </si>
  <si>
    <t>55720</t>
  </si>
  <si>
    <t>(218) 879-1556</t>
  </si>
  <si>
    <t>Leno Chiropractic Clinic LTD</t>
  </si>
  <si>
    <t>1306144100</t>
  </si>
  <si>
    <t>First Steps Pediatric Physical Therapy, LLC</t>
  </si>
  <si>
    <t>1565 Red Pine Trl</t>
  </si>
  <si>
    <t>(218) 591-8768</t>
  </si>
  <si>
    <t>1558030098</t>
  </si>
  <si>
    <t>1220 Villa Court Dr</t>
  </si>
  <si>
    <t>Cromwell</t>
  </si>
  <si>
    <t>55726</t>
  </si>
  <si>
    <t>(218) 644-0910</t>
  </si>
  <si>
    <t>5568 Clark Ave</t>
  </si>
  <si>
    <t>4570 Cty Hwy 61</t>
  </si>
  <si>
    <t>Moose Lake</t>
  </si>
  <si>
    <t>55767</t>
  </si>
  <si>
    <t>(218) 485-4491</t>
  </si>
  <si>
    <t>1356344451</t>
  </si>
  <si>
    <t>4791 County Road 10</t>
  </si>
  <si>
    <t>(218) 485-2020</t>
  </si>
  <si>
    <t>Healthfirst Chiropractic INC</t>
  </si>
  <si>
    <t>2594 Tilden Trl SW</t>
  </si>
  <si>
    <t>Pine River</t>
  </si>
  <si>
    <t>56474</t>
  </si>
  <si>
    <t>(218) 587-4681</t>
  </si>
  <si>
    <t>1891857959</t>
  </si>
  <si>
    <t>Klettenberg Chiropractic PLLC</t>
  </si>
  <si>
    <t>119 Main Ave N</t>
  </si>
  <si>
    <t>Bagley</t>
  </si>
  <si>
    <t>56621</t>
  </si>
  <si>
    <t>(218) 252-9455</t>
  </si>
  <si>
    <t>1104399708</t>
  </si>
  <si>
    <t>Big Stone Therapies Baxter, LLC</t>
  </si>
  <si>
    <t>15620 Edgewood Dr</t>
  </si>
  <si>
    <t>Baxter</t>
  </si>
  <si>
    <t>56425</t>
  </si>
  <si>
    <t>(218) 454-7012</t>
  </si>
  <si>
    <t>1194020669</t>
  </si>
  <si>
    <t>Family Chiropractic Clinic and Physical Therapy</t>
  </si>
  <si>
    <t>15574 Edgewood Dr</t>
  </si>
  <si>
    <t>(218) 829-2665</t>
  </si>
  <si>
    <t>Holbrook Family Chiropractic PLLC</t>
  </si>
  <si>
    <t>1578664660</t>
  </si>
  <si>
    <t>Health First Chiropractic of Baxter</t>
  </si>
  <si>
    <t>14213 Golf Course Drive</t>
  </si>
  <si>
    <t>(218) 829-8414</t>
  </si>
  <si>
    <t>1578624839</t>
  </si>
  <si>
    <t>Lakes Chiropractic</t>
  </si>
  <si>
    <t>413 S 6th St</t>
  </si>
  <si>
    <t>Brainerd</t>
  </si>
  <si>
    <t>56401</t>
  </si>
  <si>
    <t>(218) 828-4418</t>
  </si>
  <si>
    <t>Lang Chiropractic Clinic PA</t>
  </si>
  <si>
    <t>1861591737</t>
  </si>
  <si>
    <t>Oral and Maxillofacial Surgery Associates, LTD</t>
  </si>
  <si>
    <t>1903 S 6th St</t>
  </si>
  <si>
    <t>(218) 829-1728</t>
  </si>
  <si>
    <t>1942382379</t>
  </si>
  <si>
    <t>Smart Chiropractic, PA.</t>
  </si>
  <si>
    <t>19513 State Highway 371</t>
  </si>
  <si>
    <t>(218) 963-2944</t>
  </si>
  <si>
    <t>Redebaugh Chiropractic, PA.</t>
  </si>
  <si>
    <t>1952598534</t>
  </si>
  <si>
    <t>Garrison Family Chiropractic</t>
  </si>
  <si>
    <t>27180 Allen Rd</t>
  </si>
  <si>
    <t>Garrison</t>
  </si>
  <si>
    <t>56450</t>
  </si>
  <si>
    <t>(605) 254-6269</t>
  </si>
  <si>
    <t>1376284372</t>
  </si>
  <si>
    <t>Select Therapy, INC.</t>
  </si>
  <si>
    <t>31170 Government Dr</t>
  </si>
  <si>
    <t>Pequot Lakes</t>
  </si>
  <si>
    <t>56472</t>
  </si>
  <si>
    <t>(218) 824-5027</t>
  </si>
  <si>
    <t>1437011996</t>
  </si>
  <si>
    <t>Essentia Health Park Rapids Therapy</t>
  </si>
  <si>
    <t>1103 1st St E</t>
  </si>
  <si>
    <t>Park Rapids</t>
  </si>
  <si>
    <t>56470</t>
  </si>
  <si>
    <t>(218) 732-2858</t>
  </si>
  <si>
    <t>St Mary's Regional Health Center</t>
  </si>
  <si>
    <t>1669998571</t>
  </si>
  <si>
    <t>Fulfilled Family Chiropractic PLLC</t>
  </si>
  <si>
    <t>21427 County 7</t>
  </si>
  <si>
    <t>(218) 839-4262</t>
  </si>
  <si>
    <t>1124649108</t>
  </si>
  <si>
    <t>Heartland Center of Natural Healing, PLLC</t>
  </si>
  <si>
    <t>1202 1st St E</t>
  </si>
  <si>
    <t>(218) 237-3771</t>
  </si>
  <si>
    <t>1376894014</t>
  </si>
  <si>
    <t>Park Performance Chiropractic, PLC</t>
  </si>
  <si>
    <t>716 1st St E</t>
  </si>
  <si>
    <t>(182) 366-2174</t>
  </si>
  <si>
    <t>1417358490</t>
  </si>
  <si>
    <t>19037 US Hwy 71</t>
  </si>
  <si>
    <t>(218) 366-2174</t>
  </si>
  <si>
    <t>Bergren Family Chiropractic, PA</t>
  </si>
  <si>
    <t>41025 Scenic Hwy</t>
  </si>
  <si>
    <t>Bovey</t>
  </si>
  <si>
    <t>55709</t>
  </si>
  <si>
    <t>(218) 245-2176</t>
  </si>
  <si>
    <t>1558513879</t>
  </si>
  <si>
    <t>Alliance Chiropractic &amp; Wellness PA</t>
  </si>
  <si>
    <t>504 NW 1st Ave</t>
  </si>
  <si>
    <t>Grand Rapids</t>
  </si>
  <si>
    <t>55744</t>
  </si>
  <si>
    <t>(218) 326-3603</t>
  </si>
  <si>
    <t>1639036205</t>
  </si>
  <si>
    <t>Always In Motion Chiropractic</t>
  </si>
  <si>
    <t>1235 S Pokegama Ave</t>
  </si>
  <si>
    <t>Ste 17</t>
  </si>
  <si>
    <t>(612) 741-5181</t>
  </si>
  <si>
    <t>Always In Motion Chiropractic and Wellness, PA</t>
  </si>
  <si>
    <t>1306592829</t>
  </si>
  <si>
    <t>Blue Water Oral and Facial Surgery</t>
  </si>
  <si>
    <t>303 SE 1st St</t>
  </si>
  <si>
    <t>(218) 326-0349</t>
  </si>
  <si>
    <t>Oral and Maxillofacial Surgical Associates PA</t>
  </si>
  <si>
    <t>1679668529</t>
  </si>
  <si>
    <t>Flourish Health and Wellness LLC</t>
  </si>
  <si>
    <t>1833 W US Highway 2</t>
  </si>
  <si>
    <t>(218) 969-8226</t>
  </si>
  <si>
    <t>1245056365</t>
  </si>
  <si>
    <t>Freedom Chiropractic PLLC</t>
  </si>
  <si>
    <t>104 NE 3rd St</t>
  </si>
  <si>
    <t>(218) 301-7226</t>
  </si>
  <si>
    <t>1164256582</t>
  </si>
  <si>
    <t>Healing Hands Chiropractic Center</t>
  </si>
  <si>
    <t>1007 NW 4th St</t>
  </si>
  <si>
    <t>(218) 326-0046</t>
  </si>
  <si>
    <t>Shari E. Aultman DC</t>
  </si>
  <si>
    <t>1477638310</t>
  </si>
  <si>
    <t>Healing Hands Chiropractic Ctr LLC</t>
  </si>
  <si>
    <t>1659205391</t>
  </si>
  <si>
    <t>North Lakes Chiropractic</t>
  </si>
  <si>
    <t>1200 S Pokegama Ave</t>
  </si>
  <si>
    <t>(218) 999-7006</t>
  </si>
  <si>
    <t>1760872717</t>
  </si>
  <si>
    <t>Roots Chiropractic Center LLC</t>
  </si>
  <si>
    <t>350 NW 1st Ave</t>
  </si>
  <si>
    <t>Ste H</t>
  </si>
  <si>
    <t>(712) 229-1699</t>
  </si>
  <si>
    <t>1891478988</t>
  </si>
  <si>
    <t>1614 Golf Course Rd</t>
  </si>
  <si>
    <t>(218) 999-7776</t>
  </si>
  <si>
    <t>Journey Physical Therapy &amp; Childbirth Services LLC</t>
  </si>
  <si>
    <t>8947 Austin Rd</t>
  </si>
  <si>
    <t>Alborn</t>
  </si>
  <si>
    <t>55702</t>
  </si>
  <si>
    <t>(218) 206-6644</t>
  </si>
  <si>
    <t>1427795558</t>
  </si>
  <si>
    <t>River Iron Therapy, LLC</t>
  </si>
  <si>
    <t>337 Forestry Rd</t>
  </si>
  <si>
    <t>Aurora</t>
  </si>
  <si>
    <t>55705</t>
  </si>
  <si>
    <t>(510) 519-9831</t>
  </si>
  <si>
    <t>1881431419</t>
  </si>
  <si>
    <t>Aspirus St Lukes Clinic Duluth Interventional Pain Management</t>
  </si>
  <si>
    <t>1015 E 1st St</t>
  </si>
  <si>
    <t>Duluth</t>
  </si>
  <si>
    <t>55805</t>
  </si>
  <si>
    <t>(218) 249-7860</t>
  </si>
  <si>
    <t>St. Luke's Hospital of Duluth</t>
  </si>
  <si>
    <t>1982062550</t>
  </si>
  <si>
    <t>Aspirus St Lukes Clinic Duluth Orthopedic &amp; Sports Medicine</t>
  </si>
  <si>
    <t>(218) 249-6360</t>
  </si>
  <si>
    <t>1497904064</t>
  </si>
  <si>
    <t>Aspirus St. Luke's Clinic Duluth Neurology</t>
  </si>
  <si>
    <t>(218) 249-7655</t>
  </si>
  <si>
    <t>1679961551</t>
  </si>
  <si>
    <t>Aspirus St. Luke's Clinic Duluth Neurosurgery</t>
  </si>
  <si>
    <t>(218) 249-2450</t>
  </si>
  <si>
    <t>1285688986</t>
  </si>
  <si>
    <t>Aspirus St. Luke's Clinic Duluth Physical Med &amp; Rehab</t>
  </si>
  <si>
    <t>(218) 249-6980</t>
  </si>
  <si>
    <t>1366496069</t>
  </si>
  <si>
    <t>Big Stone Therapies, INC</t>
  </si>
  <si>
    <t>724 Maple Grove Rd</t>
  </si>
  <si>
    <t>55811</t>
  </si>
  <si>
    <t>(218) 279-4209</t>
  </si>
  <si>
    <t>1124044656</t>
  </si>
  <si>
    <t>1000 E 1st St</t>
  </si>
  <si>
    <t>(218) 722-1854</t>
  </si>
  <si>
    <t>1104911056</t>
  </si>
  <si>
    <t>Chiropractic Health Center P A</t>
  </si>
  <si>
    <t>5807 Grand Ave</t>
  </si>
  <si>
    <t>55807</t>
  </si>
  <si>
    <t>(218) 628-0646</t>
  </si>
  <si>
    <t>1376757682</t>
  </si>
  <si>
    <t>Duluth Chiropractic Clinic, PA</t>
  </si>
  <si>
    <t>(218) 624-2452</t>
  </si>
  <si>
    <t>1457441800</t>
  </si>
  <si>
    <t>Fascial Connections PT, LLC</t>
  </si>
  <si>
    <t>4292 Turner Rd</t>
  </si>
  <si>
    <t>55803</t>
  </si>
  <si>
    <t>(360) 770-4164</t>
  </si>
  <si>
    <t>1881429850</t>
  </si>
  <si>
    <t>Janzen Chiropractic PA</t>
  </si>
  <si>
    <t>4731 E Superior St</t>
  </si>
  <si>
    <t>55804</t>
  </si>
  <si>
    <t>(218) 525-6060</t>
  </si>
  <si>
    <t>1285831040</t>
  </si>
  <si>
    <t>Jonker Chiropractic Sc</t>
  </si>
  <si>
    <t>1730 E Superior St</t>
  </si>
  <si>
    <t>55812</t>
  </si>
  <si>
    <t>(218) 269-1124</t>
  </si>
  <si>
    <t>1558702894</t>
  </si>
  <si>
    <t>1620 London Rd</t>
  </si>
  <si>
    <t>Lighthouse Center For Vital Living</t>
  </si>
  <si>
    <t>309 West 1st Street</t>
  </si>
  <si>
    <t>55802</t>
  </si>
  <si>
    <t>(218) 624-4828</t>
  </si>
  <si>
    <t>1811395874</t>
  </si>
  <si>
    <t>Nels Torgrimson DC</t>
  </si>
  <si>
    <t>1320 Kenwood Ave</t>
  </si>
  <si>
    <t>(218) 728-3686</t>
  </si>
  <si>
    <t>Hands On Solutions Pplc</t>
  </si>
  <si>
    <t>1205526571</t>
  </si>
  <si>
    <t>2510 Maple Grove Rd</t>
  </si>
  <si>
    <t>(218) 722-9300</t>
  </si>
  <si>
    <t>Northern Movement</t>
  </si>
  <si>
    <t>5726 Wyoming St</t>
  </si>
  <si>
    <t>(763) 370-5497</t>
  </si>
  <si>
    <t>1417632308</t>
  </si>
  <si>
    <t>Northern Oral Surgery &amp; Implant Center</t>
  </si>
  <si>
    <t>3617 W Arrowhead Rd</t>
  </si>
  <si>
    <t>(218) 722-8377</t>
  </si>
  <si>
    <t>Northern Oral &amp; Maxillofacial Surgeons, PA</t>
  </si>
  <si>
    <t>1457401820</t>
  </si>
  <si>
    <t>Omnia Wellness and Recovery</t>
  </si>
  <si>
    <t>4632 W 6th St</t>
  </si>
  <si>
    <t>(320) 491-0321</t>
  </si>
  <si>
    <t>1063231017</t>
  </si>
  <si>
    <t>Panj Aab Neurovascular Associates</t>
  </si>
  <si>
    <t>915 E 1st St</t>
  </si>
  <si>
    <t>(573) 529-7510</t>
  </si>
  <si>
    <t>1851234793</t>
  </si>
  <si>
    <t>66 E Saint Marie St</t>
  </si>
  <si>
    <t>(218) 313-1387</t>
  </si>
  <si>
    <t>4316 Rice Lake Rd</t>
  </si>
  <si>
    <t>(218) 727-1180</t>
  </si>
  <si>
    <t>2701 W Superior St</t>
  </si>
  <si>
    <t>55806</t>
  </si>
  <si>
    <t>1029 W Central Entrance</t>
  </si>
  <si>
    <t>(218) 260-7775</t>
  </si>
  <si>
    <t>227 Mckinley Ave</t>
  </si>
  <si>
    <t>Eveleth</t>
  </si>
  <si>
    <t>55734</t>
  </si>
  <si>
    <t>(218) 481-7603</t>
  </si>
  <si>
    <t>Excel North Chiropractic PA.</t>
  </si>
  <si>
    <t>4135 Richard Ave</t>
  </si>
  <si>
    <t>Hermantown</t>
  </si>
  <si>
    <t>(218) 206-7775</t>
  </si>
  <si>
    <t>1063394609</t>
  </si>
  <si>
    <t>True North Spinal Care, PLLC</t>
  </si>
  <si>
    <t>5094 Miller Trunk Hwy</t>
  </si>
  <si>
    <t>Ste 900</t>
  </si>
  <si>
    <t>(218) 729-7077</t>
  </si>
  <si>
    <t>1992193825</t>
  </si>
  <si>
    <t>3899 Highway 73</t>
  </si>
  <si>
    <t>Ste 5-6</t>
  </si>
  <si>
    <t>Hibbing</t>
  </si>
  <si>
    <t>55746</t>
  </si>
  <si>
    <t>(218) 293-0691</t>
  </si>
  <si>
    <t>1588715163</t>
  </si>
  <si>
    <t>Sister Strength PT</t>
  </si>
  <si>
    <t>2121 1st Ave</t>
  </si>
  <si>
    <t>(218) 208-3855</t>
  </si>
  <si>
    <t>1497597371</t>
  </si>
  <si>
    <t>402 Spruce St</t>
  </si>
  <si>
    <t>Tower</t>
  </si>
  <si>
    <t>55790</t>
  </si>
  <si>
    <t>505 S 12th Ave W</t>
  </si>
  <si>
    <t>Virginia</t>
  </si>
  <si>
    <t>55792</t>
  </si>
  <si>
    <t>(218) 741-0894</t>
  </si>
  <si>
    <t>1417042367</t>
  </si>
  <si>
    <t>Karlstad Family Chiropractic</t>
  </si>
  <si>
    <t>205 Roosevelt Ave W</t>
  </si>
  <si>
    <t>Karlstad</t>
  </si>
  <si>
    <t>56732</t>
  </si>
  <si>
    <t>(218) 436-4264</t>
  </si>
  <si>
    <t>1588118202</t>
  </si>
  <si>
    <t>Renewed Therapy LLC</t>
  </si>
  <si>
    <t>505 W 2nd St</t>
  </si>
  <si>
    <t>Argyle</t>
  </si>
  <si>
    <t>56713</t>
  </si>
  <si>
    <t>(218) 478-4145</t>
  </si>
  <si>
    <t>1568307403</t>
  </si>
  <si>
    <t>Dakota Clinic, LTD. Thief River Falls</t>
  </si>
  <si>
    <t>1720 Highway 59 S</t>
  </si>
  <si>
    <t>Thief River Falls</t>
  </si>
  <si>
    <t>56701</t>
  </si>
  <si>
    <t>(218) 681-4747</t>
  </si>
  <si>
    <t>1003985516</t>
  </si>
  <si>
    <t>North Born Physical Therapy PC</t>
  </si>
  <si>
    <t>218 Horace Ave. North</t>
  </si>
  <si>
    <t>(218) 653-1004</t>
  </si>
  <si>
    <t>1174263743</t>
  </si>
  <si>
    <t>Pediatric Therapy Partners, INC.</t>
  </si>
  <si>
    <t>419 Atlantic Ave</t>
  </si>
  <si>
    <t>(701) 232-2340</t>
  </si>
  <si>
    <t>1457479958</t>
  </si>
  <si>
    <t>Sanford Thief River Falls</t>
  </si>
  <si>
    <t>Orthopedics, Chiropractic</t>
  </si>
  <si>
    <t>3001 Sanford Parkway</t>
  </si>
  <si>
    <t>Sanford Health Network North</t>
  </si>
  <si>
    <t>1144401514</t>
  </si>
  <si>
    <t>Biermaier Chiropractic PLLC</t>
  </si>
  <si>
    <t>1226 University Ave</t>
  </si>
  <si>
    <t>Crookston</t>
  </si>
  <si>
    <t>56716</t>
  </si>
  <si>
    <t>(218) 281-6311</t>
  </si>
  <si>
    <t>1275306102</t>
  </si>
  <si>
    <t>Choice Therapy Crookston LLC</t>
  </si>
  <si>
    <t>1728 N Front St</t>
  </si>
  <si>
    <t>(218) 470-0132</t>
  </si>
  <si>
    <t>1821870643</t>
  </si>
  <si>
    <t>Achieve Therapy of Park Rapids</t>
  </si>
  <si>
    <t>1421 Central Ave NW</t>
  </si>
  <si>
    <t>East Grand Forks</t>
  </si>
  <si>
    <t>56721</t>
  </si>
  <si>
    <t>(218) 773-3388</t>
  </si>
  <si>
    <t>Achieve Therapy LLC</t>
  </si>
  <si>
    <t>1407919210</t>
  </si>
  <si>
    <t>Local Roots Chiropractic PLLC</t>
  </si>
  <si>
    <t>1406 Central Ave NE</t>
  </si>
  <si>
    <t>(701) 335-6373</t>
  </si>
  <si>
    <t>1811814122</t>
  </si>
  <si>
    <t>216 4th St NW</t>
  </si>
  <si>
    <t>Pine Peak Audiology</t>
  </si>
  <si>
    <t>903 Hilligoss Blvd SE</t>
  </si>
  <si>
    <t>Fosston</t>
  </si>
  <si>
    <t>56542</t>
  </si>
  <si>
    <t>(218) 435-1210</t>
  </si>
  <si>
    <t>Pine Peak Therapy LLC</t>
  </si>
  <si>
    <t>1982477030</t>
  </si>
  <si>
    <t>103 1st St W</t>
  </si>
  <si>
    <t>(218) 431-0009</t>
  </si>
  <si>
    <t>Family Chiropractic Center</t>
  </si>
  <si>
    <t>1013 3rd St NE</t>
  </si>
  <si>
    <t>56751</t>
  </si>
  <si>
    <t>(218) 463-3880</t>
  </si>
  <si>
    <t>Lew A. Erickson, LTD</t>
  </si>
  <si>
    <t>1982886024</t>
  </si>
  <si>
    <t>Warroad Physical Therapy</t>
  </si>
  <si>
    <t>608 Emily Ave NW</t>
  </si>
  <si>
    <t>Warroad</t>
  </si>
  <si>
    <t>56763</t>
  </si>
  <si>
    <t>(218) 242-4633</t>
  </si>
  <si>
    <t>Up North Physical Therapy</t>
  </si>
  <si>
    <t>1063113470</t>
  </si>
  <si>
    <t>Rehabplus and Fitness LLC</t>
  </si>
  <si>
    <t>220 Front St S</t>
  </si>
  <si>
    <t>Barnesville</t>
  </si>
  <si>
    <t>56514</t>
  </si>
  <si>
    <t>(218) 354-7080</t>
  </si>
  <si>
    <t>1679766802</t>
  </si>
  <si>
    <t>True Wellness Chiropractic &amp; Acupuncture PC</t>
  </si>
  <si>
    <t>421 Front St S</t>
  </si>
  <si>
    <t>(651) 587-4747</t>
  </si>
  <si>
    <t>1598371635</t>
  </si>
  <si>
    <t>Downtown Health &amp; Wellness PA</t>
  </si>
  <si>
    <t>22 6th St N</t>
  </si>
  <si>
    <t>Moorhead</t>
  </si>
  <si>
    <t>56560</t>
  </si>
  <si>
    <t>(218) 236-5151</t>
  </si>
  <si>
    <t>1144381187</t>
  </si>
  <si>
    <t>Forward Physical Therapy</t>
  </si>
  <si>
    <t>685 Appletree Ln</t>
  </si>
  <si>
    <t>Unit 1</t>
  </si>
  <si>
    <t>(218) 639-8191</t>
  </si>
  <si>
    <t>1275498644</t>
  </si>
  <si>
    <t>Foss Spine and Wellness</t>
  </si>
  <si>
    <t>2921 S Frontage Rd</t>
  </si>
  <si>
    <t>Ste 3</t>
  </si>
  <si>
    <t>(218) 233-8544</t>
  </si>
  <si>
    <t>Med-Plus Health Care, PLLC</t>
  </si>
  <si>
    <t>1114028503</t>
  </si>
  <si>
    <t>Integrix Health, LLC</t>
  </si>
  <si>
    <t>(701) 347-1968</t>
  </si>
  <si>
    <t>1841160991</t>
  </si>
  <si>
    <t>Med-Plus Physical Therapy</t>
  </si>
  <si>
    <t>2901 S Frontage Rd</t>
  </si>
  <si>
    <t>(218) 233-7029</t>
  </si>
  <si>
    <t>Med-Plus Therapy LTD</t>
  </si>
  <si>
    <t>1528303310</t>
  </si>
  <si>
    <t>312 Highway 75 N</t>
  </si>
  <si>
    <t>Recharge Physical Therapy &amp; Wellness</t>
  </si>
  <si>
    <t>1518 29th Ave S</t>
  </si>
  <si>
    <t>(701) 922-9288</t>
  </si>
  <si>
    <t>Recharge Physical Therapy and Wellness, PLLC</t>
  </si>
  <si>
    <t>1306319389</t>
  </si>
  <si>
    <t>Activecare Chiropractic</t>
  </si>
  <si>
    <t>1804 Broadway St</t>
  </si>
  <si>
    <t>Alexandria</t>
  </si>
  <si>
    <t>(320) 763-0313</t>
  </si>
  <si>
    <t>1861573974</t>
  </si>
  <si>
    <t>Alex PT LLC</t>
  </si>
  <si>
    <t>591 Northside Dr</t>
  </si>
  <si>
    <t>(320) 445-0100</t>
  </si>
  <si>
    <t>1730988817</t>
  </si>
  <si>
    <t>Alomere Health</t>
  </si>
  <si>
    <t>111 17th Ave E</t>
  </si>
  <si>
    <t>(320) 762-0857</t>
  </si>
  <si>
    <t>1558236091</t>
  </si>
  <si>
    <t>Bst Alexandria LLC</t>
  </si>
  <si>
    <t>6600 State Highway 29 S</t>
  </si>
  <si>
    <t>(320) 759-3154</t>
  </si>
  <si>
    <t>1003465147</t>
  </si>
  <si>
    <t>519 22nd Ave E</t>
  </si>
  <si>
    <t>(320) 219-7611</t>
  </si>
  <si>
    <t>1912329871</t>
  </si>
  <si>
    <t>Heartland Orthopedic Specialists, A Service of Alomere Health</t>
  </si>
  <si>
    <t>Orthopedics, Sports Medicine, Neurosurgery, Physical Medicine &amp; Rehabilitation</t>
  </si>
  <si>
    <t>(320) 762-1144</t>
  </si>
  <si>
    <t>1821963398</t>
  </si>
  <si>
    <t>6600 Highway 29 S</t>
  </si>
  <si>
    <t>(952) 405-9760</t>
  </si>
  <si>
    <t>Johnson Chiropractic and Sports Clinic</t>
  </si>
  <si>
    <t>503 Hawthorne St</t>
  </si>
  <si>
    <t>(320) 763-9499</t>
  </si>
  <si>
    <t>1578215612</t>
  </si>
  <si>
    <t>Life Quest Chiropractic &amp; Sports</t>
  </si>
  <si>
    <t>123 3rd Ave E</t>
  </si>
  <si>
    <t>(320) 762-0683</t>
  </si>
  <si>
    <t>Lqcr, PLLC</t>
  </si>
  <si>
    <t>1972725729</t>
  </si>
  <si>
    <t>Medical X-Ray Consultants, LTD</t>
  </si>
  <si>
    <t>(715) 295-9431</t>
  </si>
  <si>
    <t>1386601383</t>
  </si>
  <si>
    <t>Mxc Neurosurgical Services</t>
  </si>
  <si>
    <t>Medical Xray Consultants, LTD</t>
  </si>
  <si>
    <t>1679838023</t>
  </si>
  <si>
    <t>Resonance Physical Therapy</t>
  </si>
  <si>
    <t>510 22nd Ave E</t>
  </si>
  <si>
    <t>(320) 808-9323</t>
  </si>
  <si>
    <t>Dr. Tom Tardif, LLC</t>
  </si>
  <si>
    <t>1255897765</t>
  </si>
  <si>
    <t>Soderholm Oral Surgery and Implants</t>
  </si>
  <si>
    <t>120 12th Ave E</t>
  </si>
  <si>
    <t>(320) 298-1000</t>
  </si>
  <si>
    <t>1841991262</t>
  </si>
  <si>
    <t>Summit Chiropractic Care PLLC</t>
  </si>
  <si>
    <t>324 Broadway St</t>
  </si>
  <si>
    <t>Ste 218</t>
  </si>
  <si>
    <t>(320) 391-0499</t>
  </si>
  <si>
    <t>1477317196</t>
  </si>
  <si>
    <t>6600 State Highway 29 South</t>
  </si>
  <si>
    <t>The Wellness PT LLC</t>
  </si>
  <si>
    <t>(763) 772-6373</t>
  </si>
  <si>
    <t>1497499768</t>
  </si>
  <si>
    <t>True Freedom Physical Therapy LLC</t>
  </si>
  <si>
    <t>1103 Broadway St</t>
  </si>
  <si>
    <t>(320) 460-8868</t>
  </si>
  <si>
    <t>1275268799</t>
  </si>
  <si>
    <t>301 30th Ave W</t>
  </si>
  <si>
    <t>(320) 270-5025</t>
  </si>
  <si>
    <t>West Central Chiropractic &amp; Wellness, LLC</t>
  </si>
  <si>
    <t>123 3rd Ave. E</t>
  </si>
  <si>
    <t>1639538051</t>
  </si>
  <si>
    <t>Core Chiropractic PLLC</t>
  </si>
  <si>
    <t>233 Main St</t>
  </si>
  <si>
    <t>Miltona</t>
  </si>
  <si>
    <t>56354</t>
  </si>
  <si>
    <t>(320) 304-3756</t>
  </si>
  <si>
    <t>1548093735</t>
  </si>
  <si>
    <t>Total Body Therapy</t>
  </si>
  <si>
    <t>110 W Henning St Apt 121</t>
  </si>
  <si>
    <t>Battle Lake</t>
  </si>
  <si>
    <t>56515</t>
  </si>
  <si>
    <t>(218) 282-0455</t>
  </si>
  <si>
    <t>Total Body LLC</t>
  </si>
  <si>
    <t>1104636299</t>
  </si>
  <si>
    <t>Carlson Chiropractic Group, PA</t>
  </si>
  <si>
    <t>301 E Lincoln Ave</t>
  </si>
  <si>
    <t>Fergus Falls</t>
  </si>
  <si>
    <t>56537</t>
  </si>
  <si>
    <t>(218) 736-3972</t>
  </si>
  <si>
    <t>1700062718</t>
  </si>
  <si>
    <t>Core Family Chiropractic</t>
  </si>
  <si>
    <t>909 N Cleveland Ave</t>
  </si>
  <si>
    <t>(218) 731-7633</t>
  </si>
  <si>
    <t>Erlandson PLLC</t>
  </si>
  <si>
    <t>1841945573</t>
  </si>
  <si>
    <t>2609 Cenex Dr</t>
  </si>
  <si>
    <t>Lake Region Healthcare Corporation</t>
  </si>
  <si>
    <t>1265148480</t>
  </si>
  <si>
    <t>Quad Cities Chiropractic Center, LLC</t>
  </si>
  <si>
    <t>3509 Pebble Hills Dr</t>
  </si>
  <si>
    <t>(563) 449-2881</t>
  </si>
  <si>
    <t>1881849040</t>
  </si>
  <si>
    <t>Riverfront Dental</t>
  </si>
  <si>
    <t>124 E Lincoln Ave</t>
  </si>
  <si>
    <t>(218) 736-5627</t>
  </si>
  <si>
    <t>Scott Wagnild Dds,llc</t>
  </si>
  <si>
    <t>1033723309</t>
  </si>
  <si>
    <t>215 N Tower Rd</t>
  </si>
  <si>
    <t>Touching Lives Chiropractic, PC.</t>
  </si>
  <si>
    <t>1515 W Lincoln Ave</t>
  </si>
  <si>
    <t>(218) 739-3216</t>
  </si>
  <si>
    <t>1972519528</t>
  </si>
  <si>
    <t>106 Main St</t>
  </si>
  <si>
    <t>Ottertail</t>
  </si>
  <si>
    <t>56571</t>
  </si>
  <si>
    <t>(218) 282-1793</t>
  </si>
  <si>
    <t>46 N Broadway</t>
  </si>
  <si>
    <t>Pelican Rapids</t>
  </si>
  <si>
    <t>56572</t>
  </si>
  <si>
    <t>(218) 863-1981</t>
  </si>
  <si>
    <t>Revive and Thrive Therapy LLC</t>
  </si>
  <si>
    <t>139 1st Ave S</t>
  </si>
  <si>
    <t>Perham</t>
  </si>
  <si>
    <t>56573</t>
  </si>
  <si>
    <t>(507) 360-6877</t>
  </si>
  <si>
    <t>1134001670</t>
  </si>
  <si>
    <t>940 Market St</t>
  </si>
  <si>
    <t>117 W 5th St</t>
  </si>
  <si>
    <t>Starbuck</t>
  </si>
  <si>
    <t>56381</t>
  </si>
  <si>
    <t>(320) 239-4848</t>
  </si>
  <si>
    <t>Healthsource of Morris</t>
  </si>
  <si>
    <t>210 Atlantic Ave</t>
  </si>
  <si>
    <t>Morris</t>
  </si>
  <si>
    <t>56267</t>
  </si>
  <si>
    <t>(320) 589-1541</t>
  </si>
  <si>
    <t>Morris Chiropractic Clinic, Chartered</t>
  </si>
  <si>
    <t>1265640544</t>
  </si>
  <si>
    <t>Morris Chiropractic Clinic</t>
  </si>
  <si>
    <t>Stottler Management, PLLC</t>
  </si>
  <si>
    <t>1407708373</t>
  </si>
  <si>
    <t>Eagle Lake Chiropractic, PLLC</t>
  </si>
  <si>
    <t>213 Parkway Ave</t>
  </si>
  <si>
    <t>Eagle Lake</t>
  </si>
  <si>
    <t>56024</t>
  </si>
  <si>
    <t>(507) 720-4194</t>
  </si>
  <si>
    <t>1194648543</t>
  </si>
  <si>
    <t>Freedom Health Center of Minnesota PLLC</t>
  </si>
  <si>
    <t>1635 N Riverfront Dr</t>
  </si>
  <si>
    <t>Mankato</t>
  </si>
  <si>
    <t>56001</t>
  </si>
  <si>
    <t>(507) 317-9394</t>
  </si>
  <si>
    <t>1053274779</t>
  </si>
  <si>
    <t>Healthsource of Mankato</t>
  </si>
  <si>
    <t>1400 Madison Ave</t>
  </si>
  <si>
    <t>Ste 700</t>
  </si>
  <si>
    <t>(763) 354-8468</t>
  </si>
  <si>
    <t>Fussy Chiropractic Health and Wellness PLLC</t>
  </si>
  <si>
    <t>1083474571</t>
  </si>
  <si>
    <t>Hyland Dental</t>
  </si>
  <si>
    <t>810 Independence Dr</t>
  </si>
  <si>
    <t>(507) 387-3249</t>
  </si>
  <si>
    <t>Amanda L. Hyland D.d.s. PA</t>
  </si>
  <si>
    <t>1780108209</t>
  </si>
  <si>
    <t>Kato Family Chiropractic, PA.</t>
  </si>
  <si>
    <t>99 Navaho Ave</t>
  </si>
  <si>
    <t>(507) 594-9100</t>
  </si>
  <si>
    <t>1912366030</t>
  </si>
  <si>
    <t>Kuch Chiropractic</t>
  </si>
  <si>
    <t>1704 N Riverfront Dr</t>
  </si>
  <si>
    <t>(507) 387-1222</t>
  </si>
  <si>
    <t>Keith Kuch</t>
  </si>
  <si>
    <t>1649902891</t>
  </si>
  <si>
    <t>Mankato Clinic LTD</t>
  </si>
  <si>
    <t>Neurology, Radiology</t>
  </si>
  <si>
    <t>1230 E Main St</t>
  </si>
  <si>
    <t>(800) 657-6944</t>
  </si>
  <si>
    <t>1629044029</t>
  </si>
  <si>
    <t>Minnesota Institue of Wellness</t>
  </si>
  <si>
    <t>1400 E Madison Ave</t>
  </si>
  <si>
    <t>(507) 388-8883</t>
  </si>
  <si>
    <t>Mankato Institute of Wellness</t>
  </si>
  <si>
    <t>1225230337</t>
  </si>
  <si>
    <t>Orthopaedic &amp; Fracture Clinic, PA.</t>
  </si>
  <si>
    <t>1431 Premier Dr</t>
  </si>
  <si>
    <t>(507) 386-6600</t>
  </si>
  <si>
    <t>1659346609</t>
  </si>
  <si>
    <t>Southeastern Minnesota Oral &amp; Maxillofacial Surgery Associates, PLLC</t>
  </si>
  <si>
    <t>1410 Madison Ave</t>
  </si>
  <si>
    <t>(507) 344-8698</t>
  </si>
  <si>
    <t>1659492312</t>
  </si>
  <si>
    <t>Stenzel Chiropractic Clinic, PLLC</t>
  </si>
  <si>
    <t>1336830678</t>
  </si>
  <si>
    <t>313 Main St NE</t>
  </si>
  <si>
    <t>Mapleton</t>
  </si>
  <si>
    <t>56065</t>
  </si>
  <si>
    <t>(507) 524-4000</t>
  </si>
  <si>
    <t>Axis Chiropractic, PA.</t>
  </si>
  <si>
    <t>510 1st St N</t>
  </si>
  <si>
    <t>New Ulm</t>
  </si>
  <si>
    <t>56073</t>
  </si>
  <si>
    <t>(507) 359-9580</t>
  </si>
  <si>
    <t>1891298865</t>
  </si>
  <si>
    <t>Legacy Chiropractic</t>
  </si>
  <si>
    <t>511 16th South St</t>
  </si>
  <si>
    <t>(507) 359-1818</t>
  </si>
  <si>
    <t>Landsteiner Chiropractic PLLC</t>
  </si>
  <si>
    <t>1386408979</t>
  </si>
  <si>
    <t>New Ulm Medical Center</t>
  </si>
  <si>
    <t>1217 8th St N</t>
  </si>
  <si>
    <t>(507) 217-5011</t>
  </si>
  <si>
    <t>1619911658</t>
  </si>
  <si>
    <t>Progressive Chiropractic</t>
  </si>
  <si>
    <t>304 10th St N</t>
  </si>
  <si>
    <t>Mountain Lake</t>
  </si>
  <si>
    <t>56159</t>
  </si>
  <si>
    <t>(507) 427-3878</t>
  </si>
  <si>
    <t>Progressive Chiropractic LLC</t>
  </si>
  <si>
    <t>1891335790</t>
  </si>
  <si>
    <t>Sanford Clinic</t>
  </si>
  <si>
    <t>920 Bell Ave</t>
  </si>
  <si>
    <t>Westbrook</t>
  </si>
  <si>
    <t>56183</t>
  </si>
  <si>
    <t>(507) 274-6121</t>
  </si>
  <si>
    <t>1699968057</t>
  </si>
  <si>
    <t>2150 Hospital Dr</t>
  </si>
  <si>
    <t>Windom</t>
  </si>
  <si>
    <t>56101</t>
  </si>
  <si>
    <t>(605) 328-2663</t>
  </si>
  <si>
    <t>Optimal Performance Specialists Clinics, LLC</t>
  </si>
  <si>
    <t>220 S Main St</t>
  </si>
  <si>
    <t>56013</t>
  </si>
  <si>
    <t>(507) 526-2211</t>
  </si>
  <si>
    <t>1942459987</t>
  </si>
  <si>
    <t>Wells Chiropractic Clinic INC</t>
  </si>
  <si>
    <t>105 N Grove St</t>
  </si>
  <si>
    <t>(507) 526-5656</t>
  </si>
  <si>
    <t>1063696540</t>
  </si>
  <si>
    <t>Swea City Chiropractic PLLC</t>
  </si>
  <si>
    <t>1 Main St N</t>
  </si>
  <si>
    <t>Winnebago</t>
  </si>
  <si>
    <t>56098</t>
  </si>
  <si>
    <t>(507) 236-4218</t>
  </si>
  <si>
    <t>Complete Wellness Chiropractic PLLC</t>
  </si>
  <si>
    <t>1134931926</t>
  </si>
  <si>
    <t>Optimal Health Chiropractic &amp; Acupuncture, PA</t>
  </si>
  <si>
    <t>405 2nd St</t>
  </si>
  <si>
    <t>56143</t>
  </si>
  <si>
    <t>(507) 478-2112</t>
  </si>
  <si>
    <t>1972854040</t>
  </si>
  <si>
    <t>Prairie Rehabilitation Services, INC</t>
  </si>
  <si>
    <t>816 3rd St</t>
  </si>
  <si>
    <t>(507) 847-4333</t>
  </si>
  <si>
    <t>1386358141</t>
  </si>
  <si>
    <t>Restore Chiropractic and Wellness</t>
  </si>
  <si>
    <t>711 3rd St</t>
  </si>
  <si>
    <t>(402) 518-1444</t>
  </si>
  <si>
    <t>1487453239</t>
  </si>
  <si>
    <t>1430 North Hwy</t>
  </si>
  <si>
    <t>(507) 847-2200</t>
  </si>
  <si>
    <t>Liepold Consulting, LLC</t>
  </si>
  <si>
    <t>80348 410th Ave</t>
  </si>
  <si>
    <t>Lakefield</t>
  </si>
  <si>
    <t>56150</t>
  </si>
  <si>
    <t>(712) 330-7943</t>
  </si>
  <si>
    <t>1760278782</t>
  </si>
  <si>
    <t>403 Colonial Ave</t>
  </si>
  <si>
    <t>(507) 662-6646</t>
  </si>
  <si>
    <t>1912611773</t>
  </si>
  <si>
    <t>Align Chiropractic &amp; Wellness PLC</t>
  </si>
  <si>
    <t>204 Lake Ave</t>
  </si>
  <si>
    <t>Fairmont</t>
  </si>
  <si>
    <t>56031</t>
  </si>
  <si>
    <t>(507) 235-8485</t>
  </si>
  <si>
    <t>1871915421</t>
  </si>
  <si>
    <t>Journey Chiropractic PLC</t>
  </si>
  <si>
    <t>1125 Spruce St</t>
  </si>
  <si>
    <t>(507) 235-6629</t>
  </si>
  <si>
    <t>1790521722</t>
  </si>
  <si>
    <t>Zebedee Chiropractic, PLLC</t>
  </si>
  <si>
    <t>118 W 2nd St</t>
  </si>
  <si>
    <t>(507) 327-9564</t>
  </si>
  <si>
    <t>1215638051</t>
  </si>
  <si>
    <t>412 Fox Lake Avenue</t>
  </si>
  <si>
    <t>Sherburn</t>
  </si>
  <si>
    <t>56171</t>
  </si>
  <si>
    <t>(507) 764-2933</t>
  </si>
  <si>
    <t>1790498962</t>
  </si>
  <si>
    <t>400 7th St NE</t>
  </si>
  <si>
    <t>Fulda</t>
  </si>
  <si>
    <t>56131</t>
  </si>
  <si>
    <t>(507) 425-3753</t>
  </si>
  <si>
    <t>1841903283</t>
  </si>
  <si>
    <t>Bluetail Medical Group, LLC.</t>
  </si>
  <si>
    <t>1575 Lookout Dr</t>
  </si>
  <si>
    <t>North Mankato</t>
  </si>
  <si>
    <t>56003</t>
  </si>
  <si>
    <t>(636) 778-2900</t>
  </si>
  <si>
    <t>1285986398</t>
  </si>
  <si>
    <t>Mecca Health Epicenter, LLC</t>
  </si>
  <si>
    <t>1761 Commerce Dr</t>
  </si>
  <si>
    <t>(507) 995-0226</t>
  </si>
  <si>
    <t>1093624587</t>
  </si>
  <si>
    <t>Back In Balance Health and Wellness PLLC</t>
  </si>
  <si>
    <t>220 Broadway Ave</t>
  </si>
  <si>
    <t>St. Peter</t>
  </si>
  <si>
    <t>56082</t>
  </si>
  <si>
    <t>(218) 451-0215</t>
  </si>
  <si>
    <t>1003669722</t>
  </si>
  <si>
    <t>Rising Sun Chiropractic, PLC</t>
  </si>
  <si>
    <t>1520 S Minnesota Ave</t>
  </si>
  <si>
    <t>(507) 934-3333</t>
  </si>
  <si>
    <t>1669769121</t>
  </si>
  <si>
    <t>422 Railroad Ave</t>
  </si>
  <si>
    <t>St. James</t>
  </si>
  <si>
    <t>56081</t>
  </si>
  <si>
    <t>St. James Area Rehabilitation Services</t>
  </si>
  <si>
    <t>1101 Moulton And Parsons Dr</t>
  </si>
  <si>
    <t>(507) 375-8682</t>
  </si>
  <si>
    <t>1932017746</t>
  </si>
  <si>
    <t>Whitmarsh Health and Wellness, LLC</t>
  </si>
  <si>
    <t>16 1st Ave NW</t>
  </si>
  <si>
    <t>Kasson</t>
  </si>
  <si>
    <t>55944</t>
  </si>
  <si>
    <t>(507) 339-5239</t>
  </si>
  <si>
    <t>1306556030</t>
  </si>
  <si>
    <t>Owl Therapy Services LLC</t>
  </si>
  <si>
    <t>61278 260th Ave</t>
  </si>
  <si>
    <t>Mantorville</t>
  </si>
  <si>
    <t>55955</t>
  </si>
  <si>
    <t>(218) 750-7653</t>
  </si>
  <si>
    <t>1811451701</t>
  </si>
  <si>
    <t>West Concord Chiropractic</t>
  </si>
  <si>
    <t>302 W Main St</t>
  </si>
  <si>
    <t>West Concord</t>
  </si>
  <si>
    <t>55985</t>
  </si>
  <si>
    <t>(507) 527-2201</t>
  </si>
  <si>
    <t>West Concord Chiropractic &amp; Wellness, PLLC</t>
  </si>
  <si>
    <t>1700625217</t>
  </si>
  <si>
    <t>Chatfield Family Chiropractic LLC</t>
  </si>
  <si>
    <t>119 Main St S</t>
  </si>
  <si>
    <t>Chatfield</t>
  </si>
  <si>
    <t>55923</t>
  </si>
  <si>
    <t>(507) 867-3558</t>
  </si>
  <si>
    <t>1255016978</t>
  </si>
  <si>
    <t>Serenity Family Chiropractic</t>
  </si>
  <si>
    <t>129 Fillmore St W</t>
  </si>
  <si>
    <t>Preston</t>
  </si>
  <si>
    <t>55965</t>
  </si>
  <si>
    <t>(507) 993-2447</t>
  </si>
  <si>
    <t>1427911122</t>
  </si>
  <si>
    <t>Albert Lea Chiropractic</t>
  </si>
  <si>
    <t>1340 W Main St</t>
  </si>
  <si>
    <t>Albert Lea</t>
  </si>
  <si>
    <t>56007</t>
  </si>
  <si>
    <t>(507) 377-3780</t>
  </si>
  <si>
    <t>Albert Lea Chiropractic and Massage, PLLC</t>
  </si>
  <si>
    <t>1538873591</t>
  </si>
  <si>
    <t>Bst Albert Lea, LLC</t>
  </si>
  <si>
    <t>2440 Bridge Ave</t>
  </si>
  <si>
    <t>(605) 541-1140</t>
  </si>
  <si>
    <t>1174107072</t>
  </si>
  <si>
    <t>Activept Corp</t>
  </si>
  <si>
    <t>1215 N 7th St</t>
  </si>
  <si>
    <t>Lake City</t>
  </si>
  <si>
    <t>55041</t>
  </si>
  <si>
    <t>(507) 322-3460</t>
  </si>
  <si>
    <t>1124205604</t>
  </si>
  <si>
    <t>Red Wing Chiropractic Clinic</t>
  </si>
  <si>
    <t>1660 Siewert St</t>
  </si>
  <si>
    <t>Red Wing</t>
  </si>
  <si>
    <t>55066</t>
  </si>
  <si>
    <t>(651) 214-3746</t>
  </si>
  <si>
    <t>Red Wing Chiropractic Wellness PA.</t>
  </si>
  <si>
    <t>1134351901</t>
  </si>
  <si>
    <t>Synergy Industrial Rehab</t>
  </si>
  <si>
    <t>1499 Hay Creek Valley Rd</t>
  </si>
  <si>
    <t>(651) 327-2880</t>
  </si>
  <si>
    <t>1801600036</t>
  </si>
  <si>
    <t>325 Bush St</t>
  </si>
  <si>
    <t>Global Family Chiropractic PLLC</t>
  </si>
  <si>
    <t>404 S Main St</t>
  </si>
  <si>
    <t>Zumbrota</t>
  </si>
  <si>
    <t>55992</t>
  </si>
  <si>
    <t>(507) 732-4200</t>
  </si>
  <si>
    <t>1154206506</t>
  </si>
  <si>
    <t>98 W 5th St</t>
  </si>
  <si>
    <t>(507) 732-4484</t>
  </si>
  <si>
    <t>Your Family Healthcare</t>
  </si>
  <si>
    <t>89 W 9th St</t>
  </si>
  <si>
    <t>(952) 239-9880</t>
  </si>
  <si>
    <t>Corcoran Family Chiropractic, LLC</t>
  </si>
  <si>
    <t>1689910291</t>
  </si>
  <si>
    <t>La Crescent Chiropractic, PC.</t>
  </si>
  <si>
    <t>306 Main St</t>
  </si>
  <si>
    <t>La Crescent</t>
  </si>
  <si>
    <t>55947</t>
  </si>
  <si>
    <t>(507) 895-6015</t>
  </si>
  <si>
    <t>1275553737</t>
  </si>
  <si>
    <t>Rocky Mountain Spine and Sport PLLC</t>
  </si>
  <si>
    <t>734 N 4th St</t>
  </si>
  <si>
    <t>(406) 885-8337</t>
  </si>
  <si>
    <t>1689589913</t>
  </si>
  <si>
    <t>Country Care Chiropractic</t>
  </si>
  <si>
    <t>41614 Gorman Lake Rd</t>
  </si>
  <si>
    <t>Le Center</t>
  </si>
  <si>
    <t>56057</t>
  </si>
  <si>
    <t>(952) 290-0308</t>
  </si>
  <si>
    <t>1922889724</t>
  </si>
  <si>
    <t>Healthsource Chiropractic of New Prague, PA</t>
  </si>
  <si>
    <t>314 Main St E</t>
  </si>
  <si>
    <t>New Prague</t>
  </si>
  <si>
    <t>56071</t>
  </si>
  <si>
    <t>(952) 758-4121</t>
  </si>
  <si>
    <t>1093469397</t>
  </si>
  <si>
    <t>K Chiropractic</t>
  </si>
  <si>
    <t>13 W Main St</t>
  </si>
  <si>
    <t>Adams</t>
  </si>
  <si>
    <t>55909</t>
  </si>
  <si>
    <t>(507) 582-3525</t>
  </si>
  <si>
    <t>1487127197</t>
  </si>
  <si>
    <t>3708 Hwy 63 N</t>
  </si>
  <si>
    <t>Rochester</t>
  </si>
  <si>
    <t>55906</t>
  </si>
  <si>
    <t>3265 19th St NW</t>
  </si>
  <si>
    <t>55901</t>
  </si>
  <si>
    <t>(800) 287-0171</t>
  </si>
  <si>
    <t>Aim Therapy PLLC</t>
  </si>
  <si>
    <t>613 Portland Ct NE</t>
  </si>
  <si>
    <t>(701) 371-6709</t>
  </si>
  <si>
    <t>1598366882</t>
  </si>
  <si>
    <t>Back To Health Chiropractic Clinic, PA</t>
  </si>
  <si>
    <t>5231 E. Frontage Hwy 52 Rd NW</t>
  </si>
  <si>
    <t>Ste 201 &amp;202</t>
  </si>
  <si>
    <t>(507) 280-6186</t>
  </si>
  <si>
    <t>1265521447</t>
  </si>
  <si>
    <t>5507 Chateau Rd NW</t>
  </si>
  <si>
    <t>(651) 508-0936</t>
  </si>
  <si>
    <t>Compcare Physical Therapy LLC</t>
  </si>
  <si>
    <t>4224 W Frontage Rd N</t>
  </si>
  <si>
    <t>1396476032</t>
  </si>
  <si>
    <t>Ea Therapeutic Health</t>
  </si>
  <si>
    <t>2530 Broadway Ave N</t>
  </si>
  <si>
    <t>(507) 259-7570</t>
  </si>
  <si>
    <t>Exercisabilities, INC.</t>
  </si>
  <si>
    <t>1265798037</t>
  </si>
  <si>
    <t>Elevate Chiropractic and Wellness</t>
  </si>
  <si>
    <t>2768 Superior Dr NW</t>
  </si>
  <si>
    <t>(507) 900-5516</t>
  </si>
  <si>
    <t>1265259451</t>
  </si>
  <si>
    <t>Elite Chiropractic PLLC</t>
  </si>
  <si>
    <t>1724 37th St NW</t>
  </si>
  <si>
    <t>(507) 424-1200</t>
  </si>
  <si>
    <t>1346659794</t>
  </si>
  <si>
    <t>Hartley Health and Chiropractic Clinic LLC</t>
  </si>
  <si>
    <t>3257 19th St NW</t>
  </si>
  <si>
    <t>(507) 292-1800</t>
  </si>
  <si>
    <t>1609696053</t>
  </si>
  <si>
    <t>Honor Dental</t>
  </si>
  <si>
    <t>2112 Viking Dr NW</t>
  </si>
  <si>
    <t>(507) 288-1101</t>
  </si>
  <si>
    <t>Honor Dental PLLC</t>
  </si>
  <si>
    <t>1003702408</t>
  </si>
  <si>
    <t>Interventional Orthopedic Solutions - Rochester, PLLC</t>
  </si>
  <si>
    <t>2560 2nd St SW</t>
  </si>
  <si>
    <t>55902</t>
  </si>
  <si>
    <t>(507) 361-0400</t>
  </si>
  <si>
    <t>Interventional Orthopedic Solutions-Rochester, PLLC</t>
  </si>
  <si>
    <t>1457005084</t>
  </si>
  <si>
    <t>Maxfield Family Chiropractic</t>
  </si>
  <si>
    <t>3456 E Circle Dr NE</t>
  </si>
  <si>
    <t>(507) 601-8661</t>
  </si>
  <si>
    <t>1558015545</t>
  </si>
  <si>
    <t>Mayo Clinic – Orofacial Pain (Dental Specialties)</t>
  </si>
  <si>
    <t>200 1st St SW</t>
  </si>
  <si>
    <t>55905</t>
  </si>
  <si>
    <t>(507) 284-2511</t>
  </si>
  <si>
    <t>Imran Patel</t>
  </si>
  <si>
    <t>1780066282</t>
  </si>
  <si>
    <t>Neuroglee Health</t>
  </si>
  <si>
    <t>221 1st Ave SW</t>
  </si>
  <si>
    <t>(857) 557-5777</t>
  </si>
  <si>
    <t>Neuroglee Care PLLC</t>
  </si>
  <si>
    <t>1336858232</t>
  </si>
  <si>
    <t>Nevsimal Chiropractic LLC</t>
  </si>
  <si>
    <t>2150 2nd St SW</t>
  </si>
  <si>
    <t>Unit 140</t>
  </si>
  <si>
    <t>(507) 251-0704</t>
  </si>
  <si>
    <t>1306532429</t>
  </si>
  <si>
    <t>Pratt Family Chiropractic LLC</t>
  </si>
  <si>
    <t>2766 Commerce Dr NW</t>
  </si>
  <si>
    <t>(507) 258-4100</t>
  </si>
  <si>
    <t>1649532698</t>
  </si>
  <si>
    <t>Psimos Oral Surgery</t>
  </si>
  <si>
    <t>1101 N Broadway</t>
  </si>
  <si>
    <t>(507) 288-0126</t>
  </si>
  <si>
    <t>Nicholas H. Psimos, Dds, PLC</t>
  </si>
  <si>
    <t>1770533531</t>
  </si>
  <si>
    <t>Rak Chiropractic</t>
  </si>
  <si>
    <t>3411 22nd Ave NW</t>
  </si>
  <si>
    <t>(507) 208-4305</t>
  </si>
  <si>
    <t>1912225624</t>
  </si>
  <si>
    <t>Respira</t>
  </si>
  <si>
    <t>1309 Salem Rd SW</t>
  </si>
  <si>
    <t>(507) 701-1127</t>
  </si>
  <si>
    <t>Respira, LTD</t>
  </si>
  <si>
    <t>1255928917</t>
  </si>
  <si>
    <t>Rochester Joint Injection, PLLC</t>
  </si>
  <si>
    <t>2156 17th St NE</t>
  </si>
  <si>
    <t>(720) 252-9624</t>
  </si>
  <si>
    <t>1740137793</t>
  </si>
  <si>
    <t>Sercc-Nexus</t>
  </si>
  <si>
    <t>2121 Campus Dr SE</t>
  </si>
  <si>
    <t>55904</t>
  </si>
  <si>
    <t>(763) 551-8640</t>
  </si>
  <si>
    <t>Nexus Family Healing</t>
  </si>
  <si>
    <t>1851905251</t>
  </si>
  <si>
    <t>Skare Spine and Performance PLLC</t>
  </si>
  <si>
    <t>1615 Broadway Ave N</t>
  </si>
  <si>
    <t>(507) 200-0449</t>
  </si>
  <si>
    <t>1487341749</t>
  </si>
  <si>
    <t>2519 Commerce Dr NW</t>
  </si>
  <si>
    <t>(507) 281-5000</t>
  </si>
  <si>
    <t>125 Elton Hills Dr NW</t>
  </si>
  <si>
    <t>(507) 923-2139</t>
  </si>
  <si>
    <t>401 16th St SE</t>
  </si>
  <si>
    <t>Vital Years Physical Therapy &amp; Rehabilitation</t>
  </si>
  <si>
    <t>3528 8th St NW</t>
  </si>
  <si>
    <t>(818) 274-2320</t>
  </si>
  <si>
    <t>1194645267</t>
  </si>
  <si>
    <t>Allina Health Orthopedic, Podiatry and Spine Clinic-Faribault</t>
  </si>
  <si>
    <t>35 State Ave</t>
  </si>
  <si>
    <t>55021</t>
  </si>
  <si>
    <t>(507) 497-3528</t>
  </si>
  <si>
    <t>1972006807</t>
  </si>
  <si>
    <t>1467989194</t>
  </si>
  <si>
    <t>1961 Cardinal Ln</t>
  </si>
  <si>
    <t>(507) 333-2986</t>
  </si>
  <si>
    <t>900 Cannon Valley Dr</t>
  </si>
  <si>
    <t>Ste A118</t>
  </si>
  <si>
    <t>Northfield</t>
  </si>
  <si>
    <t>55057</t>
  </si>
  <si>
    <t>(507) 646-9495</t>
  </si>
  <si>
    <t>Cannon Pointe Chiropractic</t>
  </si>
  <si>
    <t>150 Water St S</t>
  </si>
  <si>
    <t>(507) 645-8000</t>
  </si>
  <si>
    <t>1861771644</t>
  </si>
  <si>
    <t>Cram Chiropractic &amp; Wellness Center</t>
  </si>
  <si>
    <t>158 Water St N</t>
  </si>
  <si>
    <t>Ste #2</t>
  </si>
  <si>
    <t>(507) 663-1972</t>
  </si>
  <si>
    <t>E. Cram PA</t>
  </si>
  <si>
    <t>1699974006</t>
  </si>
  <si>
    <t>Northfield Hospital</t>
  </si>
  <si>
    <t>1381 Jefferson Rd</t>
  </si>
  <si>
    <t>(507) 646-8900</t>
  </si>
  <si>
    <t>1205862844</t>
  </si>
  <si>
    <t>1605 Heritage Dr</t>
  </si>
  <si>
    <t>Ste 369</t>
  </si>
  <si>
    <t>(651) 443-1918</t>
  </si>
  <si>
    <t>123 W Broadway St</t>
  </si>
  <si>
    <t>Owatonna</t>
  </si>
  <si>
    <t>55060</t>
  </si>
  <si>
    <t>(605) 541-1147</t>
  </si>
  <si>
    <t>Chiropractic Care of Owatonna</t>
  </si>
  <si>
    <t>317 N Cedar</t>
  </si>
  <si>
    <t>(507) 214-2584</t>
  </si>
  <si>
    <t>Chiropractic Care of Owatonna PA</t>
  </si>
  <si>
    <t>1821337577</t>
  </si>
  <si>
    <t>1232 S Oak Ave</t>
  </si>
  <si>
    <t>Fourth Trimester Physical Therapy LLC</t>
  </si>
  <si>
    <t>1590 Gray Fox Dr NE</t>
  </si>
  <si>
    <t>(507) 774-0167</t>
  </si>
  <si>
    <t>1295687150</t>
  </si>
  <si>
    <t>Owatonna Physical Therapy Center, INC</t>
  </si>
  <si>
    <t>1414 S Oak Ave</t>
  </si>
  <si>
    <t>(507) 451-8254</t>
  </si>
  <si>
    <t>1861495582</t>
  </si>
  <si>
    <t>Wellfit Chiropractic LLC</t>
  </si>
  <si>
    <t>685 W Bridge St</t>
  </si>
  <si>
    <t>(507) 413-8300</t>
  </si>
  <si>
    <t>1750912499</t>
  </si>
  <si>
    <t>Precision Chiropractic and Wellness</t>
  </si>
  <si>
    <t>104 22nd Ave NE</t>
  </si>
  <si>
    <t>56093</t>
  </si>
  <si>
    <t>(507) 835-1600</t>
  </si>
  <si>
    <t>Mairs Chiropractic INC</t>
  </si>
  <si>
    <t>1386922250</t>
  </si>
  <si>
    <t>Great River Chiropractic PLLC</t>
  </si>
  <si>
    <t>1215 Gilmore Ave</t>
  </si>
  <si>
    <t>55987</t>
  </si>
  <si>
    <t>(507) 474-6011</t>
  </si>
  <si>
    <t>1710248059</t>
  </si>
  <si>
    <t>Gudie Enterprises PLLC</t>
  </si>
  <si>
    <t>3930 W 6th St</t>
  </si>
  <si>
    <t>(507) 452-4490</t>
  </si>
  <si>
    <t>1659263754</t>
  </si>
  <si>
    <t>Big Stone Chiropractic Health Center PC</t>
  </si>
  <si>
    <t>16 2nd St NW</t>
  </si>
  <si>
    <t>Ortonville</t>
  </si>
  <si>
    <t>56278</t>
  </si>
  <si>
    <t>(320) 487-1010</t>
  </si>
  <si>
    <t>1649500984</t>
  </si>
  <si>
    <t>Ambient Chiropractic PA</t>
  </si>
  <si>
    <t>2302 E Highway 7</t>
  </si>
  <si>
    <t>Montevideo</t>
  </si>
  <si>
    <t>56265</t>
  </si>
  <si>
    <t>(320) 269-5000</t>
  </si>
  <si>
    <t>1831132687</t>
  </si>
  <si>
    <t>Madsen Family Chiropractic, PLLC</t>
  </si>
  <si>
    <t>1317 Grove Ave</t>
  </si>
  <si>
    <t>(320) 269-7135</t>
  </si>
  <si>
    <t>1811594567</t>
  </si>
  <si>
    <t>Opdahl Chiropractic</t>
  </si>
  <si>
    <t>551 SW 1st St</t>
  </si>
  <si>
    <t>(320) 321-1700</t>
  </si>
  <si>
    <t>Opdahl Chiropractic, PA.</t>
  </si>
  <si>
    <t>1336667492</t>
  </si>
  <si>
    <t>Acupuncture Chiropractic Clinic LLC</t>
  </si>
  <si>
    <t>130 Willmar Ave SE</t>
  </si>
  <si>
    <t>Willmar</t>
  </si>
  <si>
    <t>56201</t>
  </si>
  <si>
    <t>(320) 231-1010</t>
  </si>
  <si>
    <t>1720874100</t>
  </si>
  <si>
    <t>2800 1st St S</t>
  </si>
  <si>
    <t>(320) 214-7355</t>
  </si>
  <si>
    <t>Oral and Maxillofacial Surgery of Minnesota PLLC</t>
  </si>
  <si>
    <t>1029 19th Ave SW</t>
  </si>
  <si>
    <t>(320) 235-1803</t>
  </si>
  <si>
    <t>1942072871</t>
  </si>
  <si>
    <t>Transcend Rehab &amp; Wellness</t>
  </si>
  <si>
    <t>(320) 318-8812</t>
  </si>
  <si>
    <t>Transcend Rehab &amp; Wellness LLC</t>
  </si>
  <si>
    <t>1083176101</t>
  </si>
  <si>
    <t>Avera St. Luke's</t>
  </si>
  <si>
    <t>300 S Bruce St</t>
  </si>
  <si>
    <t>56258</t>
  </si>
  <si>
    <t>(605) 226-2663</t>
  </si>
  <si>
    <t>1124459391</t>
  </si>
  <si>
    <t>Avera Therapy Marshall</t>
  </si>
  <si>
    <t>1420 E College Dr</t>
  </si>
  <si>
    <t>Ste 704</t>
  </si>
  <si>
    <t>(507) 532-3393</t>
  </si>
  <si>
    <t>Avera Marshall</t>
  </si>
  <si>
    <t>1659838290</t>
  </si>
  <si>
    <t>Barberry Health &amp; Spine</t>
  </si>
  <si>
    <t>118 W College Dr</t>
  </si>
  <si>
    <t>(507) 532-3273</t>
  </si>
  <si>
    <t>1730979337</t>
  </si>
  <si>
    <t>Complete Health Center PA</t>
  </si>
  <si>
    <t>111 Jewett St</t>
  </si>
  <si>
    <t>(507) 532-4355</t>
  </si>
  <si>
    <t>1700093911</t>
  </si>
  <si>
    <t>Healthsource of Marshall</t>
  </si>
  <si>
    <t>317 W Main St</t>
  </si>
  <si>
    <t>(507) 337-2423</t>
  </si>
  <si>
    <t>Hennen Chiropractic PLLC.</t>
  </si>
  <si>
    <t>1346624947</t>
  </si>
  <si>
    <t>Preferred Health of Marshall, PA</t>
  </si>
  <si>
    <t>303 Oconnell St</t>
  </si>
  <si>
    <t>(507) 532-7458</t>
  </si>
  <si>
    <t>1336107671</t>
  </si>
  <si>
    <t>700 N Monroe St</t>
  </si>
  <si>
    <t>Minneota</t>
  </si>
  <si>
    <t>56264</t>
  </si>
  <si>
    <t>(507) 872-5308</t>
  </si>
  <si>
    <t>251 5th St E</t>
  </si>
  <si>
    <t>Tracy</t>
  </si>
  <si>
    <t>56175</t>
  </si>
  <si>
    <t>(507) 629-3200</t>
  </si>
  <si>
    <t>Functional Health and Wellness</t>
  </si>
  <si>
    <t>906 3rd Ave</t>
  </si>
  <si>
    <t>Worthington</t>
  </si>
  <si>
    <t>56187</t>
  </si>
  <si>
    <t>(507) 343-0602</t>
  </si>
  <si>
    <t>1275267775</t>
  </si>
  <si>
    <t>Gravon's Natural Chiropractic Center P A</t>
  </si>
  <si>
    <t>1024 Oxford St</t>
  </si>
  <si>
    <t>(507) 376-9771</t>
  </si>
  <si>
    <t>1205905924</t>
  </si>
  <si>
    <t>Prairie Rehabilitation Services, INC.</t>
  </si>
  <si>
    <t>1216 Ryans Rd 3rd</t>
  </si>
  <si>
    <t>Floor</t>
  </si>
  <si>
    <t>(507) 343-0068</t>
  </si>
  <si>
    <t>1023737715</t>
  </si>
  <si>
    <t>315 Oxford St</t>
  </si>
  <si>
    <t>(507) 372-2232</t>
  </si>
  <si>
    <t>1245959105</t>
  </si>
  <si>
    <t>Sanford Worthington Orthopedics &amp; Sports Medicine</t>
  </si>
  <si>
    <t>1018 6th Ave</t>
  </si>
  <si>
    <t>(507) 372-2941</t>
  </si>
  <si>
    <t>Sanford Health Network</t>
  </si>
  <si>
    <t>1679859912</t>
  </si>
  <si>
    <t>Pipestone County Medical Center Surgical Specialties Avera</t>
  </si>
  <si>
    <t>920 4th Ave SW</t>
  </si>
  <si>
    <t>56164</t>
  </si>
  <si>
    <t>(507) 825-5811</t>
  </si>
  <si>
    <t>Pipestone County Medical Center Avera</t>
  </si>
  <si>
    <t>1285047498</t>
  </si>
  <si>
    <t>Re Active Wellness LLC</t>
  </si>
  <si>
    <t>109 W Main St</t>
  </si>
  <si>
    <t>(507) 522-5717</t>
  </si>
  <si>
    <t>1033826003</t>
  </si>
  <si>
    <t>Chiro-Plus, PA.</t>
  </si>
  <si>
    <t>821 E Bridge St</t>
  </si>
  <si>
    <t>Redwood Falls</t>
  </si>
  <si>
    <t>56283</t>
  </si>
  <si>
    <t>(507) 637-8585</t>
  </si>
  <si>
    <t>1184613226</t>
  </si>
  <si>
    <t>106 N Cedar St</t>
  </si>
  <si>
    <t>Luverne</t>
  </si>
  <si>
    <t>56156</t>
  </si>
  <si>
    <t>(507) 449-2003</t>
  </si>
  <si>
    <t>1194438531</t>
  </si>
  <si>
    <t>1601 Sioux Valley Dr</t>
  </si>
  <si>
    <t>(507) 283-4476</t>
  </si>
  <si>
    <t>Sanford Luverne Clinic</t>
  </si>
  <si>
    <t>Orthopedics, Radiology</t>
  </si>
  <si>
    <t>(507) 283-2321</t>
  </si>
  <si>
    <t>1033495379</t>
  </si>
  <si>
    <t>Henderson Chiropractic</t>
  </si>
  <si>
    <t>220 13th St S</t>
  </si>
  <si>
    <t>Benson</t>
  </si>
  <si>
    <t>56215</t>
  </si>
  <si>
    <t>(320) 314-2368</t>
  </si>
  <si>
    <t>Henderson Chiropractic, P. A.</t>
  </si>
  <si>
    <t>1497575419</t>
  </si>
  <si>
    <t>Backman Chiropractic, PLLC</t>
  </si>
  <si>
    <t>702 Highway 75 S</t>
  </si>
  <si>
    <t>Wheaton</t>
  </si>
  <si>
    <t>56296</t>
  </si>
  <si>
    <t>(320) 563-4130</t>
  </si>
  <si>
    <t>1477240521</t>
  </si>
  <si>
    <t>112 Saint Olaf Ave S</t>
  </si>
  <si>
    <t>Canby</t>
  </si>
  <si>
    <t>56220</t>
  </si>
  <si>
    <t>(507) 223-7277</t>
  </si>
  <si>
    <t>Granite Family Chiropractic Center, PC</t>
  </si>
  <si>
    <t>868 Prentice St</t>
  </si>
  <si>
    <t>Granite Falls</t>
  </si>
  <si>
    <t>56241</t>
  </si>
  <si>
    <t>(320) 564-1209</t>
  </si>
  <si>
    <t>1093426462</t>
  </si>
  <si>
    <t>Handeland Chiropractic, LLC</t>
  </si>
  <si>
    <t>713 Prentice St</t>
  </si>
  <si>
    <t>(320) 379-1293</t>
  </si>
  <si>
    <t>1144523929</t>
  </si>
  <si>
    <t>TMJ Specialists Here</t>
  </si>
  <si>
    <t>Website</t>
  </si>
  <si>
    <t>Web Check</t>
  </si>
  <si>
    <t>Patricia Fernandes Boettner, DDS, MS</t>
  </si>
  <si>
    <t>thefacialpaincenter.com</t>
  </si>
  <si>
    <t>Confirmed</t>
  </si>
  <si>
    <t>James Fricton, DDS; Pathamas Mittman, DDS, MS; Saranya Varun, BDS, MDS; Thiago Nascimento, DDS</t>
  </si>
  <si>
    <t>mhnpc.com</t>
  </si>
  <si>
    <t>Davina Kumar, DMD, MS</t>
  </si>
  <si>
    <t>Michael Gallagher, DDS</t>
  </si>
  <si>
    <t>gallaghercosmeticdentistry.com</t>
  </si>
  <si>
    <t>Shanti Kaimal, BDS, MS; David Streif, DDS</t>
  </si>
  <si>
    <t>twincitiestmj.com</t>
  </si>
  <si>
    <t>New address</t>
  </si>
  <si>
    <t>Mariam Siddiqui, BDS, MS</t>
  </si>
  <si>
    <t>zoyaorofacialpaindentalsleep.org</t>
  </si>
  <si>
    <t>Unverified</t>
  </si>
  <si>
    <t>Dennis Haley, DDS; Maram Taema, BDS, MS</t>
  </si>
  <si>
    <t>hennepinhealthcare.org</t>
  </si>
  <si>
    <t>Donald Nixdorf, DDS, MS</t>
  </si>
  <si>
    <t>providers.mhealthfairview.org</t>
  </si>
  <si>
    <t>Alexander Crain, DDS; Benjaporn Krubsack, DDS, MS; Emilija Bezhoska; Jack Botros, DDS, MS; Julianne Yuziuk, DMD; Richard Van Gurp, DMD; Saranya Varun, BDS, MDS</t>
  </si>
  <si>
    <t>dentalclinics.umn.edu</t>
  </si>
  <si>
    <t>Cory Herman, DDS, MS; James Fricton, DDS, MS; Pathamas Mittman, DDS, MS; Preetanjali Thakur, BDS, MS</t>
  </si>
  <si>
    <t>Patricia Boettner, DDS, MS</t>
  </si>
  <si>
    <t>healthpartners.com</t>
  </si>
  <si>
    <t>Roy Hakala, DDS; Kim Ledermann</t>
  </si>
  <si>
    <t>mncranio.com</t>
  </si>
  <si>
    <t>James Fricton, DDS; Pathamas Mittman, DDS, MS; Preetanjali Thakur, BDS</t>
  </si>
  <si>
    <t>Bart Schultz, DDS</t>
  </si>
  <si>
    <t>tmjandsleeptherapycentreofminnesota.com</t>
  </si>
  <si>
    <t>my.officite.com</t>
  </si>
  <si>
    <t>Darrell Boychuk, DDS, MS</t>
  </si>
  <si>
    <t>Sarah Carlson, DDS</t>
  </si>
  <si>
    <t>stillwaterbeautifulsmiles.com</t>
  </si>
  <si>
    <t>hansondental.com</t>
  </si>
  <si>
    <t>Paul Sheils, DDS</t>
  </si>
  <si>
    <t>mncenterfordentalcare.com</t>
  </si>
  <si>
    <t>Pathamas Mittman, DDS, MS</t>
  </si>
  <si>
    <t>Grant Colling, DDS</t>
  </si>
  <si>
    <t>Amanda Hyland, DDS</t>
  </si>
  <si>
    <t>hylanddental.net</t>
  </si>
  <si>
    <t>Andrew Greenslade, DMD</t>
  </si>
  <si>
    <t>honordentalrochester.com</t>
  </si>
  <si>
    <t>Subha Giri, BDS, MS</t>
  </si>
  <si>
    <t>mayoclinic.org</t>
  </si>
  <si>
    <t>Ryan Henrichsen, DDS, MAGD</t>
  </si>
  <si>
    <t>respirawell.com</t>
  </si>
  <si>
    <t>Oral Surgeons Here</t>
  </si>
  <si>
    <t>Treats TMJ</t>
  </si>
  <si>
    <t>omsspecialists.com</t>
  </si>
  <si>
    <t>associatedoms.com</t>
  </si>
  <si>
    <t>northsideoms.com</t>
  </si>
  <si>
    <t>thedentalspecialists.com</t>
  </si>
  <si>
    <t>tcoralsurgery.com</t>
  </si>
  <si>
    <t>mdscburnsvilleoralsurgery.com</t>
  </si>
  <si>
    <t>advancedoralsurgerymn.com</t>
  </si>
  <si>
    <t>Cassandra Stacy, DMD</t>
  </si>
  <si>
    <t>dakotavalley-oms.com</t>
  </si>
  <si>
    <t>omscmn.com</t>
  </si>
  <si>
    <t>eosoralsurgery.com</t>
  </si>
  <si>
    <t>James Omlie, DDS</t>
  </si>
  <si>
    <t>facial-designs.com</t>
  </si>
  <si>
    <t>wisedecision.com</t>
  </si>
  <si>
    <t>mnmax.com</t>
  </si>
  <si>
    <t>northernstaroms.com</t>
  </si>
  <si>
    <t>clearchoice.com</t>
  </si>
  <si>
    <t>Emad Abdou, DDS</t>
  </si>
  <si>
    <t>momentaoms.com</t>
  </si>
  <si>
    <t>stpauloralsurgery.com</t>
  </si>
  <si>
    <t>Jee Hyun Lyu, DDS</t>
  </si>
  <si>
    <t>Krista Primley; Louis Christensen, DDS</t>
  </si>
  <si>
    <t>Martin Tahara, DMD, MD; Steven Johnson, DDS</t>
  </si>
  <si>
    <t>theoralsurgerycenter.com</t>
  </si>
  <si>
    <t>Emily Snodgrass, DDS</t>
  </si>
  <si>
    <t>Marshall Wade, DDS; Paul Vollmer, DDS</t>
  </si>
  <si>
    <t>truenorthoralsurgery.com</t>
  </si>
  <si>
    <t>mnofs.com</t>
  </si>
  <si>
    <t>Donald Primley, DDS, MS; Eric Stine, DDS, MS; Griffin Sonstegard, DDS; Harold Machesky, DDS, MS; Nicholas Kenning, DDS, MD; Sean Welander, DDS</t>
  </si>
  <si>
    <t>centrasotaoms.com</t>
  </si>
  <si>
    <t>omsabrainerd.com</t>
  </si>
  <si>
    <t>bluewateroral.surgery</t>
  </si>
  <si>
    <t>Eric Scotland, DDS; Scott Varland, DDS</t>
  </si>
  <si>
    <t>Mark Ash, DDS</t>
  </si>
  <si>
    <t>northernoralsurgeons.com</t>
  </si>
  <si>
    <t>Andrew Soderholm, DDS</t>
  </si>
  <si>
    <t>soderholmoralsurgery.com</t>
  </si>
  <si>
    <t>Courtney Anderson, DDS</t>
  </si>
  <si>
    <t>semoms.com</t>
  </si>
  <si>
    <t>psimosoralsurgery.com</t>
  </si>
  <si>
    <t>Dietrich Lawrenz, MD DDS</t>
  </si>
  <si>
    <t>Abeler Chiropractic of Andover, PA.</t>
  </si>
  <si>
    <t>2705 Bunker Lake Blvd NW</t>
  </si>
  <si>
    <t>(763) 754-2500</t>
  </si>
  <si>
    <t>1396864732</t>
  </si>
  <si>
    <t>Andover Family Chiropractic PA</t>
  </si>
  <si>
    <t>1573 154th Ave NW</t>
  </si>
  <si>
    <t>(763) 413-0032</t>
  </si>
  <si>
    <t>1043506454</t>
  </si>
  <si>
    <t>Andrews Chiropractic, PA.</t>
  </si>
  <si>
    <t>3368 Bunker Lake Blvd NW</t>
  </si>
  <si>
    <t>(763) 427-0820</t>
  </si>
  <si>
    <t>1992924526</t>
  </si>
  <si>
    <t>Essentials of Life Chiropractic</t>
  </si>
  <si>
    <t>15190 Bluebird St NW</t>
  </si>
  <si>
    <t>(763) 413-6934</t>
  </si>
  <si>
    <t>1437541430</t>
  </si>
  <si>
    <t>Sora Pediatric Therapy</t>
  </si>
  <si>
    <t>1891 Station Pkwy NW</t>
  </si>
  <si>
    <t>(763) 755-4275</t>
  </si>
  <si>
    <t>Family Speech &amp; Therapy Services, LLC</t>
  </si>
  <si>
    <t>1235285966</t>
  </si>
  <si>
    <t>Abeler Chiropractic Clinic, PA</t>
  </si>
  <si>
    <t>600 E Main St</t>
  </si>
  <si>
    <t>(763) 421-3722</t>
  </si>
  <si>
    <t>1225251770</t>
  </si>
  <si>
    <t>Anoka Chiropractic, PA.</t>
  </si>
  <si>
    <t>646 E River Rd</t>
  </si>
  <si>
    <t>(763) 421-1410</t>
  </si>
  <si>
    <t>1912055435</t>
  </si>
  <si>
    <t>Anoka Family Wellness</t>
  </si>
  <si>
    <t>3507 Round Lake Blvd NW</t>
  </si>
  <si>
    <t>(763) 427-2400</t>
  </si>
  <si>
    <t>Ak Chiropractic</t>
  </si>
  <si>
    <t>1770162174</t>
  </si>
  <si>
    <t>Anoka-Andover Chiropractic, PA</t>
  </si>
  <si>
    <t>(763) 427-7122</t>
  </si>
  <si>
    <t>1184766842</t>
  </si>
  <si>
    <t>Heil Chiropractic Center PA</t>
  </si>
  <si>
    <t>300</t>
  </si>
  <si>
    <t>(763) 323-4855</t>
  </si>
  <si>
    <t>1326246810</t>
  </si>
  <si>
    <t>Manuel Chiropractic Center</t>
  </si>
  <si>
    <t>2321 7th Ave</t>
  </si>
  <si>
    <t>(517) 256-1824</t>
  </si>
  <si>
    <t>1811169832</t>
  </si>
  <si>
    <t>North Country Chiropractic</t>
  </si>
  <si>
    <t>2321 7th Ave N</t>
  </si>
  <si>
    <t>(763) 439-4634</t>
  </si>
  <si>
    <t>Chad R. Young, DC. PLLC</t>
  </si>
  <si>
    <t>1407160294</t>
  </si>
  <si>
    <t>Wellspring Spinal Care, PC</t>
  </si>
  <si>
    <t>540 Greenhaven Rd</t>
  </si>
  <si>
    <t>(952) 303-9124</t>
  </si>
  <si>
    <t>1336512920</t>
  </si>
  <si>
    <t>Blaine Health and Wellness</t>
  </si>
  <si>
    <t>1360 101st Ave NE</t>
  </si>
  <si>
    <t>(763) 703-3509</t>
  </si>
  <si>
    <t>Lund Health Professional Corporation</t>
  </si>
  <si>
    <t>1194197368</t>
  </si>
  <si>
    <t>Build and Balance Chiropractic Center</t>
  </si>
  <si>
    <t>12203 Aberdeen St NE</t>
  </si>
  <si>
    <t>(763) 785-4120</t>
  </si>
  <si>
    <t>Dr. Rebecca R. Jackson LLC</t>
  </si>
  <si>
    <t>1821211210</t>
  </si>
  <si>
    <t>Club West Chiropractic</t>
  </si>
  <si>
    <t>10995 Club West Pkwy</t>
  </si>
  <si>
    <t>Lindstrom Chiropractic Center, PA</t>
  </si>
  <si>
    <t>1023499928</t>
  </si>
  <si>
    <t>Community Accident &amp; Injury Center</t>
  </si>
  <si>
    <t>13060 Central Ave NE</t>
  </si>
  <si>
    <t>(763) 566-8023</t>
  </si>
  <si>
    <t>Doc Djr PC</t>
  </si>
  <si>
    <t>1336515550</t>
  </si>
  <si>
    <t>Community Chiropractic Center</t>
  </si>
  <si>
    <t>Verdan PA</t>
  </si>
  <si>
    <t>1316127384</t>
  </si>
  <si>
    <t>Coon Rapids Chiropractic Health Services LTD</t>
  </si>
  <si>
    <t>9140 Baltimore St NE</t>
  </si>
  <si>
    <t>(763) 757-7220</t>
  </si>
  <si>
    <t>1679614010</t>
  </si>
  <si>
    <t>Corrective Care Chiropractic PC</t>
  </si>
  <si>
    <t>922 125th Ln NE</t>
  </si>
  <si>
    <t>(763) 754-6303</t>
  </si>
  <si>
    <t>1417024050</t>
  </si>
  <si>
    <t>Dr. Andrew Brown Chiropracitc PC</t>
  </si>
  <si>
    <t># 140</t>
  </si>
  <si>
    <t>1568507705</t>
  </si>
  <si>
    <t>Elevated Health Center</t>
  </si>
  <si>
    <t>10705 Town Square Dr NE</t>
  </si>
  <si>
    <t>(651) 216-1997</t>
  </si>
  <si>
    <t>1033526538</t>
  </si>
  <si>
    <t>Empowered Health Chiropractic &amp; Wellness, LLC</t>
  </si>
  <si>
    <t>12157 Dunkirk St NE</t>
  </si>
  <si>
    <t>(763) 267-1731</t>
  </si>
  <si>
    <t>1780072082</t>
  </si>
  <si>
    <t>Evolve Chiropractic LLC</t>
  </si>
  <si>
    <t>11820 Ulysses St NE</t>
  </si>
  <si>
    <t>(763) 330-1100</t>
  </si>
  <si>
    <t>1821763434</t>
  </si>
  <si>
    <t>Exodus Chiropractic, PA</t>
  </si>
  <si>
    <t>(763) 786-5585</t>
  </si>
  <si>
    <t>1316244882</t>
  </si>
  <si>
    <t>Family First Chiropractic Center PC</t>
  </si>
  <si>
    <t>1962738443</t>
  </si>
  <si>
    <t>Hart Family Chiropractic</t>
  </si>
  <si>
    <t>2331 108th Ln NE</t>
  </si>
  <si>
    <t>(763) 253-7777</t>
  </si>
  <si>
    <t>Hart Chiropractic PA.</t>
  </si>
  <si>
    <t>1538347547</t>
  </si>
  <si>
    <t>Healthsource of Blaine Chiropractic &amp; Progressive Rehab</t>
  </si>
  <si>
    <t>10904 Baltimore St NE</t>
  </si>
  <si>
    <t>(763) 205-3781</t>
  </si>
  <si>
    <t>Vaughn Chiropractic PLLC</t>
  </si>
  <si>
    <t>1023381043</t>
  </si>
  <si>
    <t>Lunzer Chiropractic LLC</t>
  </si>
  <si>
    <t>1847 129th Ave NE</t>
  </si>
  <si>
    <t>(612) 743-9488</t>
  </si>
  <si>
    <t>1154715787</t>
  </si>
  <si>
    <t>Maki Chiropractic LLC</t>
  </si>
  <si>
    <t>607 County Road 10 NE</t>
  </si>
  <si>
    <t>(763) 432-3921</t>
  </si>
  <si>
    <t>1063961779</t>
  </si>
  <si>
    <t>Minnesota Interventional Pain Associates</t>
  </si>
  <si>
    <t>(651) 430-3800</t>
  </si>
  <si>
    <t>1225237571</t>
  </si>
  <si>
    <t>Motion Rehab Physical Therapy</t>
  </si>
  <si>
    <t>12727 Leyte St NE</t>
  </si>
  <si>
    <t>(651) 808-3568</t>
  </si>
  <si>
    <t>Motion Rehab Physical Therapy LLC</t>
  </si>
  <si>
    <t>1861985178</t>
  </si>
  <si>
    <t>Northside Resource, INC.</t>
  </si>
  <si>
    <t>526 121st Ave NE</t>
  </si>
  <si>
    <t>(612) 709-1440</t>
  </si>
  <si>
    <t>1346647773</t>
  </si>
  <si>
    <t>Performance Healthcare</t>
  </si>
  <si>
    <t>10130 Davenport St NE</t>
  </si>
  <si>
    <t>Ste 180</t>
  </si>
  <si>
    <t>(763) 784-3004</t>
  </si>
  <si>
    <t>1568588689</t>
  </si>
  <si>
    <t>US. Healthworks Medical Group of Minnesota, PC</t>
  </si>
  <si>
    <t>(763) 780-8260</t>
  </si>
  <si>
    <t>1831634252</t>
  </si>
  <si>
    <t>Align Chiropractic LLC.</t>
  </si>
  <si>
    <t>3158 Viking Blvd NW</t>
  </si>
  <si>
    <t>Cedar</t>
  </si>
  <si>
    <t>55011</t>
  </si>
  <si>
    <t>(763) 753-0993</t>
  </si>
  <si>
    <t>1255619169</t>
  </si>
  <si>
    <t>Lake Drive Chiopractic Clinic</t>
  </si>
  <si>
    <t>8820 N Highway Dr</t>
  </si>
  <si>
    <t>Circle Pines</t>
  </si>
  <si>
    <t>(763) 786-0670</t>
  </si>
  <si>
    <t>1235413048</t>
  </si>
  <si>
    <t>Lexington Square Chiropractic</t>
  </si>
  <si>
    <t>4137 Woodland Rd</t>
  </si>
  <si>
    <t>(763) 784-5304</t>
  </si>
  <si>
    <t>1912242264</t>
  </si>
  <si>
    <t>Pine City Family Chiropractic</t>
  </si>
  <si>
    <t>620 Civic Heights Dr</t>
  </si>
  <si>
    <t>(763) 795-8300</t>
  </si>
  <si>
    <t>Dockter - Lutz Chiropractic, LLC</t>
  </si>
  <si>
    <t>1093816258</t>
  </si>
  <si>
    <t>Central Chiropractic Clinic, PLC</t>
  </si>
  <si>
    <t>999 50th Ave NE</t>
  </si>
  <si>
    <t>Columbia Heights</t>
  </si>
  <si>
    <t>(763) 572-9199</t>
  </si>
  <si>
    <t>1144240953</t>
  </si>
  <si>
    <t>Heights Chiropractic Clinic PA</t>
  </si>
  <si>
    <t>4111 Central Ave NE</t>
  </si>
  <si>
    <t>(763) 788-0515</t>
  </si>
  <si>
    <t>1992992788</t>
  </si>
  <si>
    <t>Mccallum Chiropractic INC.</t>
  </si>
  <si>
    <t>4911 Central Ave NE</t>
  </si>
  <si>
    <t>(763) 572-2322</t>
  </si>
  <si>
    <t>1417228214</t>
  </si>
  <si>
    <t>Minnesota Spine and Pain Institute, PA</t>
  </si>
  <si>
    <t>5174 Central Ave NE</t>
  </si>
  <si>
    <t>(651) 331-1460</t>
  </si>
  <si>
    <t>1972926707</t>
  </si>
  <si>
    <t>Odom Health and Wellness</t>
  </si>
  <si>
    <t>3801 Hart Blvd</t>
  </si>
  <si>
    <t>(763) 210-6697</t>
  </si>
  <si>
    <t>1295132454</t>
  </si>
  <si>
    <t>Paul D. Dingman PA</t>
  </si>
  <si>
    <t>3984 Central Ave NE</t>
  </si>
  <si>
    <t>(763) 788-9101</t>
  </si>
  <si>
    <t>1205115912</t>
  </si>
  <si>
    <t>Centered Health Chiropractic P A</t>
  </si>
  <si>
    <t>9920 Foley Blvd NW</t>
  </si>
  <si>
    <t>(763) 710-5523</t>
  </si>
  <si>
    <t>1114284064</t>
  </si>
  <si>
    <t>Due North Wellness Center PLLC</t>
  </si>
  <si>
    <t>1820 Coon Rapids Blvd NW</t>
  </si>
  <si>
    <t>(651) 323-8954</t>
  </si>
  <si>
    <t>1669840567</t>
  </si>
  <si>
    <t>Family Friendly Chiropractic, INC.</t>
  </si>
  <si>
    <t>1557 Coon Rapids Blvd NW</t>
  </si>
  <si>
    <t>(763) 767-7499</t>
  </si>
  <si>
    <t>1063546224</t>
  </si>
  <si>
    <t>Gray Duck Physical Therapy PLLC</t>
  </si>
  <si>
    <t>299 Coon Rapids Blvd NW</t>
  </si>
  <si>
    <t>(612) 217-2154</t>
  </si>
  <si>
    <t>1861067068</t>
  </si>
  <si>
    <t>Nolte Health and Healing</t>
  </si>
  <si>
    <t>199 Coon Rapids Blvd NW</t>
  </si>
  <si>
    <t>Ste 315</t>
  </si>
  <si>
    <t>(608) 797-0682</t>
  </si>
  <si>
    <t>Ryan W. Nolte, DC., PA.</t>
  </si>
  <si>
    <t>1215329362</t>
  </si>
  <si>
    <t>North Suburban Chiropractic Clinic PA.</t>
  </si>
  <si>
    <t>12045 Hanson Blvd NW</t>
  </si>
  <si>
    <t>(763) 754-2573</t>
  </si>
  <si>
    <t>1942425699</t>
  </si>
  <si>
    <t>Overstad Chiropractic,p.a.</t>
  </si>
  <si>
    <t>1425 Coon Rapids Blvd NW</t>
  </si>
  <si>
    <t>(612) 802-2580</t>
  </si>
  <si>
    <t>1740555143</t>
  </si>
  <si>
    <t>Premier Health of Coon Rapids, INC</t>
  </si>
  <si>
    <t>3340 Northdale Blvd NW</t>
  </si>
  <si>
    <t>(763) 270-5828</t>
  </si>
  <si>
    <t>1073915732</t>
  </si>
  <si>
    <t>Premier Physical Therapy Centers, INC.</t>
  </si>
  <si>
    <t>3867 Coon Rapids Blvd NW</t>
  </si>
  <si>
    <t>(763) 576-3030</t>
  </si>
  <si>
    <t>1952471336</t>
  </si>
  <si>
    <t>Startingblock Chiropractic LLC</t>
  </si>
  <si>
    <t>3200 Main St NW</t>
  </si>
  <si>
    <t>Ste 330</t>
  </si>
  <si>
    <t>(763) 280-7720</t>
  </si>
  <si>
    <t>1346886298</t>
  </si>
  <si>
    <t>Thomas W. Miller DC., INC.</t>
  </si>
  <si>
    <t>11417 Hanson Blvd NW</t>
  </si>
  <si>
    <t>(763) 754-1482</t>
  </si>
  <si>
    <t>1134175862</t>
  </si>
  <si>
    <t>William C. Gustafson, DC., PA.</t>
  </si>
  <si>
    <t>199 Coon Rapids Blvd</t>
  </si>
  <si>
    <t>(763) 717-9510</t>
  </si>
  <si>
    <t>1548497340</t>
  </si>
  <si>
    <t>Bracht Chiropractic, PA.</t>
  </si>
  <si>
    <t>15226 W Freeway Dr NE</t>
  </si>
  <si>
    <t>(651) 464-3643</t>
  </si>
  <si>
    <t>1073642567</t>
  </si>
  <si>
    <t>Lakewoods Chiropractic PA.</t>
  </si>
  <si>
    <t>255 Highway 97</t>
  </si>
  <si>
    <t>Unit 2A</t>
  </si>
  <si>
    <t>(651) 464-0800</t>
  </si>
  <si>
    <t>1437271129</t>
  </si>
  <si>
    <t>146 Lake St N</t>
  </si>
  <si>
    <t>1609927169</t>
  </si>
  <si>
    <t>(763) 957-5651</t>
  </si>
  <si>
    <t>1821179607</t>
  </si>
  <si>
    <t>Aagesen Chiropractic and Natural Therapies</t>
  </si>
  <si>
    <t>7245 University Ave NE</t>
  </si>
  <si>
    <t>(763) 331-1721</t>
  </si>
  <si>
    <t>1720582125</t>
  </si>
  <si>
    <t>Advanced Health PA</t>
  </si>
  <si>
    <t>6280 Hwy 65</t>
  </si>
  <si>
    <t>(763) 571-9499</t>
  </si>
  <si>
    <t>1942380613</t>
  </si>
  <si>
    <t>Columbia Park Medical Group, PA</t>
  </si>
  <si>
    <t>6401 University Ave NE</t>
  </si>
  <si>
    <t>(763) 572-5710</t>
  </si>
  <si>
    <t>1932150117</t>
  </si>
  <si>
    <t>North Metro Spinecare Specialists</t>
  </si>
  <si>
    <t>7699 Highway 65 NE</t>
  </si>
  <si>
    <t>1821278870</t>
  </si>
  <si>
    <t>Spine Care Specialists, PA.</t>
  </si>
  <si>
    <t>1760745491</t>
  </si>
  <si>
    <t>Wellspring Chiropractic Center INC.</t>
  </si>
  <si>
    <t>6425 Highway 65 NE</t>
  </si>
  <si>
    <t>(763) 571-1345</t>
  </si>
  <si>
    <t>1841612736</t>
  </si>
  <si>
    <t>Frach Chiropractic LLC</t>
  </si>
  <si>
    <t>13352 Aberdeen St. NE</t>
  </si>
  <si>
    <t>1114265600</t>
  </si>
  <si>
    <t>Ham Lake Physical Therapy</t>
  </si>
  <si>
    <t>16210 Aberdeen St NE</t>
  </si>
  <si>
    <t>(763) 413-0880</t>
  </si>
  <si>
    <t>Physical Therapy Consultants, INC.</t>
  </si>
  <si>
    <t>1366460719</t>
  </si>
  <si>
    <t>Made 2 Move Chiropractic &amp; Wellness PLLC</t>
  </si>
  <si>
    <t>14148 Lincoln St NE</t>
  </si>
  <si>
    <t>(612) 440-8270</t>
  </si>
  <si>
    <t>1639682610</t>
  </si>
  <si>
    <t>Buys Chiropractic</t>
  </si>
  <si>
    <t>7661 Lake Dr</t>
  </si>
  <si>
    <t>(651) 784-4423</t>
  </si>
  <si>
    <t>1730357682</t>
  </si>
  <si>
    <t>Centre For Upper Cervical Chiropractic Care LLC</t>
  </si>
  <si>
    <t>6776 Lake Dr</t>
  </si>
  <si>
    <t>(651) 784-7515</t>
  </si>
  <si>
    <t>1750573929</t>
  </si>
  <si>
    <t>Resonance Performance Solutions</t>
  </si>
  <si>
    <t>6702 E Shadow Lake Dr</t>
  </si>
  <si>
    <t>(612) 643-0019</t>
  </si>
  <si>
    <t>Thomas Tardif Performance Solutions</t>
  </si>
  <si>
    <t>1740887223</t>
  </si>
  <si>
    <t>Summit Wellness Center</t>
  </si>
  <si>
    <t>(651) 340-7511</t>
  </si>
  <si>
    <t>1407144579</t>
  </si>
  <si>
    <t>The Circle of Healing Arts</t>
  </si>
  <si>
    <t>7094 Lake Dr</t>
  </si>
  <si>
    <t>(651) 784-2527</t>
  </si>
  <si>
    <t>1174843981</t>
  </si>
  <si>
    <t>556 Lilac St</t>
  </si>
  <si>
    <t>(651) 784-7866</t>
  </si>
  <si>
    <t>1770811887</t>
  </si>
  <si>
    <t>Joy Chiropractic</t>
  </si>
  <si>
    <t>4550 Central Ave NE</t>
  </si>
  <si>
    <t>Lot 1527</t>
  </si>
  <si>
    <t>(763) 571-7520</t>
  </si>
  <si>
    <t>1295880268</t>
  </si>
  <si>
    <t>Back Into Life Chiropractic</t>
  </si>
  <si>
    <t>7533 Sunwood Dr NW</t>
  </si>
  <si>
    <t>Ste 212</t>
  </si>
  <si>
    <t>(763) 712-5986</t>
  </si>
  <si>
    <t>Back Into Life Chiropractic PA</t>
  </si>
  <si>
    <t>1922124528</t>
  </si>
  <si>
    <t>Performance Sports Chiropractic Center</t>
  </si>
  <si>
    <t>7876 Sunwood Dr NW</t>
  </si>
  <si>
    <t>(612) 367-6110</t>
  </si>
  <si>
    <t>1649741166</t>
  </si>
  <si>
    <t>8310 147th Ave NW</t>
  </si>
  <si>
    <t>Rum River Chiropractic LTD</t>
  </si>
  <si>
    <t>14037 Saint Francis Blvd</t>
  </si>
  <si>
    <t>(763) 422-1525</t>
  </si>
  <si>
    <t>1952474314</t>
  </si>
  <si>
    <t>Spinal Health Solutions PLLC</t>
  </si>
  <si>
    <t>5313 140th Ave NW</t>
  </si>
  <si>
    <t>(262) 707-9132</t>
  </si>
  <si>
    <t>1629557590</t>
  </si>
  <si>
    <t>Sourcepoint Chiropractic and Wellness Center, LLC</t>
  </si>
  <si>
    <t>405 Ash St</t>
  </si>
  <si>
    <t>(651) 470-4134</t>
  </si>
  <si>
    <t>1396085882</t>
  </si>
  <si>
    <t>Advanced Spine Associates PA</t>
  </si>
  <si>
    <t>Orthopedics, Spine, Pain Management, Physical Medicine &amp; Rehabilitation, Physical Therapy</t>
  </si>
  <si>
    <t>8232 Highway 65 NE</t>
  </si>
  <si>
    <t>Spring Lake Park</t>
  </si>
  <si>
    <t>(763) 577-1877</t>
  </si>
  <si>
    <t>1548253933</t>
  </si>
  <si>
    <t>Central Chiropractic &amp; Acupuncture, PA.</t>
  </si>
  <si>
    <t>1342 81st Ave NE</t>
  </si>
  <si>
    <t>(763) 784-3916</t>
  </si>
  <si>
    <t>1710902028</t>
  </si>
  <si>
    <t>Multicenter Physical Therapy, LLC</t>
  </si>
  <si>
    <t>7700 Highway 65 NE</t>
  </si>
  <si>
    <t>1346287158</t>
  </si>
  <si>
    <t>Revitalife Center</t>
  </si>
  <si>
    <t>8097 Highway 65 NE</t>
  </si>
  <si>
    <t>(763) 710-4085</t>
  </si>
  <si>
    <t>Revitalife Center, PA.</t>
  </si>
  <si>
    <t>1225306608</t>
  </si>
  <si>
    <t>Spring Lake Park Chiropractic PA</t>
  </si>
  <si>
    <t>1611 County Highway 10</t>
  </si>
  <si>
    <t>(763) 784-1540</t>
  </si>
  <si>
    <t>1003941030</t>
  </si>
  <si>
    <t>Live Well Chiropractic Spa and Acupuncture Center</t>
  </si>
  <si>
    <t>7975 Stone Creek Dr</t>
  </si>
  <si>
    <t>(952) 746-8150</t>
  </si>
  <si>
    <t>1225284342</t>
  </si>
  <si>
    <t>Nrg Chiropractic PA</t>
  </si>
  <si>
    <t>470 W 78th St</t>
  </si>
  <si>
    <t>(952) 949-0676</t>
  </si>
  <si>
    <t>1659304053</t>
  </si>
  <si>
    <t>Omega Chiropractic</t>
  </si>
  <si>
    <t>2675 W 78th St</t>
  </si>
  <si>
    <t>(952) 474-1544</t>
  </si>
  <si>
    <t>Restoration Chiropractic Company, PA.</t>
  </si>
  <si>
    <t>1578041471</t>
  </si>
  <si>
    <t>Oneil Chiropractic PA</t>
  </si>
  <si>
    <t>1740555879</t>
  </si>
  <si>
    <t>Osr Physical Therapy Limited Partnership</t>
  </si>
  <si>
    <t>7872 Century Blvd</t>
  </si>
  <si>
    <t>(952) 448-9088</t>
  </si>
  <si>
    <t>1336625326</t>
  </si>
  <si>
    <t>Requet Chiropractic Wellness Center</t>
  </si>
  <si>
    <t>Ste 260 Requet Chiropractic Wellness Center</t>
  </si>
  <si>
    <t>(952) 975-2959</t>
  </si>
  <si>
    <t>Edward L Requet DC PA</t>
  </si>
  <si>
    <t>1073617320</t>
  </si>
  <si>
    <t>Ridgeview Chanhassen Clinic/western Orthopaedics &amp; Sports Medicine Con</t>
  </si>
  <si>
    <t>7907 Powers Blvd</t>
  </si>
  <si>
    <t>(952) 934-0570</t>
  </si>
  <si>
    <t>Ridgeview Clinics</t>
  </si>
  <si>
    <t>1205988714</t>
  </si>
  <si>
    <t>Serk Family Chiropractic, PLLC</t>
  </si>
  <si>
    <t>7800 Market Boulevard</t>
  </si>
  <si>
    <t>1245413145</t>
  </si>
  <si>
    <t>Ttr Systems</t>
  </si>
  <si>
    <t>971 Saddlebrook Curv</t>
  </si>
  <si>
    <t>(952) 380-1180</t>
  </si>
  <si>
    <t>1790994507</t>
  </si>
  <si>
    <t>Western Orthopaedics &amp; Sports Medicine Consultants</t>
  </si>
  <si>
    <t>1003011768</t>
  </si>
  <si>
    <t>Chaska Chiropractic &amp; Wellness PLLC</t>
  </si>
  <si>
    <t>103 W 2nd St</t>
  </si>
  <si>
    <t>(952) 368-9958</t>
  </si>
  <si>
    <t>1912533480</t>
  </si>
  <si>
    <t>Chaska Family Chiropractic, INC.</t>
  </si>
  <si>
    <t>1174837892</t>
  </si>
  <si>
    <t>Chaska Lakes Chiropractic &amp; Rehabilitation PLLC</t>
  </si>
  <si>
    <t>570 Bavaria Ln</t>
  </si>
  <si>
    <t>(612) 437-7674</t>
  </si>
  <si>
    <t>1528380235</t>
  </si>
  <si>
    <t>Chaska Lakes Chiropractic, PA</t>
  </si>
  <si>
    <t>564 Bavaria Ln</t>
  </si>
  <si>
    <t>(952) 479-7297</t>
  </si>
  <si>
    <t>1144639949</t>
  </si>
  <si>
    <t>Dba Healthsource of Chaska</t>
  </si>
  <si>
    <t>122 Pioneer Trl</t>
  </si>
  <si>
    <t>(952) 361-4844</t>
  </si>
  <si>
    <t>Neubauer Chiropractic Health Center, PA</t>
  </si>
  <si>
    <t>1376832485</t>
  </si>
  <si>
    <t>Discover Chiropractic Life Center</t>
  </si>
  <si>
    <t>1902085806</t>
  </si>
  <si>
    <t>Hasse Chiropractic, PA.</t>
  </si>
  <si>
    <t>1336481498</t>
  </si>
  <si>
    <t>Joseph Sutcliffe PA.</t>
  </si>
  <si>
    <t>424 N Chestnut St</t>
  </si>
  <si>
    <t>(952) 448-4222</t>
  </si>
  <si>
    <t>1689868499</t>
  </si>
  <si>
    <t>Motion Is Life Chiropractic</t>
  </si>
  <si>
    <t>1063606879</t>
  </si>
  <si>
    <t>110105 Pioneer Trl W</t>
  </si>
  <si>
    <t>(952) 512-2470</t>
  </si>
  <si>
    <t>Riesgraf Chiropractor Clinic LTD</t>
  </si>
  <si>
    <t>1598933186</t>
  </si>
  <si>
    <t>Sd Neubauer Family Health &amp; Wellness PLLC</t>
  </si>
  <si>
    <t>1497090963</t>
  </si>
  <si>
    <t>Sugar Creek Chiropractic PA</t>
  </si>
  <si>
    <t>112 W 2nd St</t>
  </si>
  <si>
    <t>(952) 448-2722</t>
  </si>
  <si>
    <t>1316586829</t>
  </si>
  <si>
    <t>Wow Accident and Injury Centers</t>
  </si>
  <si>
    <t>758 Ashley Dr</t>
  </si>
  <si>
    <t>(952) 484-7520</t>
  </si>
  <si>
    <t>1245780329</t>
  </si>
  <si>
    <t>Wow Chiropractic, LLC</t>
  </si>
  <si>
    <t>1760849020</t>
  </si>
  <si>
    <t>Sacred Health Family Chiropractic</t>
  </si>
  <si>
    <t>306 W Highway 212</t>
  </si>
  <si>
    <t>Norwood Young America</t>
  </si>
  <si>
    <t>55368</t>
  </si>
  <si>
    <t>(952) 467-2132</t>
  </si>
  <si>
    <t>1649586645</t>
  </si>
  <si>
    <t>Schmidt Chiropractic Center P. A.</t>
  </si>
  <si>
    <t>320 Hill Street</t>
  </si>
  <si>
    <t>(952) 467-2505</t>
  </si>
  <si>
    <t>1477757490</t>
  </si>
  <si>
    <t>Abc Family Chiropractic, PA.</t>
  </si>
  <si>
    <t>1405 78th St</t>
  </si>
  <si>
    <t>(952) 443-3710</t>
  </si>
  <si>
    <t>1477764587</t>
  </si>
  <si>
    <t>Carver County Chiropractic Company PLC</t>
  </si>
  <si>
    <t>(952) 443-0015</t>
  </si>
  <si>
    <t>1821647025</t>
  </si>
  <si>
    <t>Susan Lecy-Lindall</t>
  </si>
  <si>
    <t>1750 Tower Blvd</t>
  </si>
  <si>
    <t>(952) 442-2409</t>
  </si>
  <si>
    <t>1992944425</t>
  </si>
  <si>
    <t>Berry Chiropractic PA</t>
  </si>
  <si>
    <t>137 W 1st St</t>
  </si>
  <si>
    <t>(952) 442-4555</t>
  </si>
  <si>
    <t>1902083967</t>
  </si>
  <si>
    <t>Healthsource of Chanhassen</t>
  </si>
  <si>
    <t>1429 Pond Curv</t>
  </si>
  <si>
    <t>(612) 558-8322</t>
  </si>
  <si>
    <t>Sd Neubauer Family Health &amp; Wellness, PLLC</t>
  </si>
  <si>
    <t>1053653683</t>
  </si>
  <si>
    <t>20 W Main St</t>
  </si>
  <si>
    <t>(952) 442-9876</t>
  </si>
  <si>
    <t>1851323752</t>
  </si>
  <si>
    <t>Sports Medicine, Physical Therapy</t>
  </si>
  <si>
    <t>500 S Cherry St</t>
  </si>
  <si>
    <t>(952) 856-4722</t>
  </si>
  <si>
    <t>1740625870</t>
  </si>
  <si>
    <t>Soltis Family Chiropractic</t>
  </si>
  <si>
    <t>32 E Main St</t>
  </si>
  <si>
    <t>(952) 442-9727</t>
  </si>
  <si>
    <t>1154520039</t>
  </si>
  <si>
    <t>Waconia Family Chiropractic</t>
  </si>
  <si>
    <t>9384 Oak Ave</t>
  </si>
  <si>
    <t>(952) 442-3220</t>
  </si>
  <si>
    <t>1598136830</t>
  </si>
  <si>
    <t>560 S Maple St</t>
  </si>
  <si>
    <t>Ste 30</t>
  </si>
  <si>
    <t>(952) 442-6525</t>
  </si>
  <si>
    <t>1598960247</t>
  </si>
  <si>
    <t>Chiropractic Specialists of Watertown PC</t>
  </si>
  <si>
    <t>142 Lewis Ave S</t>
  </si>
  <si>
    <t>(952) 955-2070</t>
  </si>
  <si>
    <t>1710027990</t>
  </si>
  <si>
    <t>Northwoods Chiropractic of Chisago City PA</t>
  </si>
  <si>
    <t>11185 Lake Blvd</t>
  </si>
  <si>
    <t>Chisago City</t>
  </si>
  <si>
    <t>55013</t>
  </si>
  <si>
    <t>(651) 257-3914</t>
  </si>
  <si>
    <t>1093868184</t>
  </si>
  <si>
    <t>Core Chiropractic, LLC</t>
  </si>
  <si>
    <t>1155 Anchor Ct</t>
  </si>
  <si>
    <t>Harris</t>
  </si>
  <si>
    <t>55032</t>
  </si>
  <si>
    <t>(763) 744-6605</t>
  </si>
  <si>
    <t>1447549498</t>
  </si>
  <si>
    <t>Kimberley M Johnson DC</t>
  </si>
  <si>
    <t>12814 Lake Boulevard</t>
  </si>
  <si>
    <t>Lindstrom</t>
  </si>
  <si>
    <t>55045</t>
  </si>
  <si>
    <t>(651) 257-3900</t>
  </si>
  <si>
    <t>1366516767</t>
  </si>
  <si>
    <t>Lakes Area Chiropractic Clinic</t>
  </si>
  <si>
    <t>12814 Lake Blvd</t>
  </si>
  <si>
    <t>(651) 233-0594</t>
  </si>
  <si>
    <t>Erik J. Peterson Chiropractic, LLC</t>
  </si>
  <si>
    <t>1346489176</t>
  </si>
  <si>
    <t>Lindstrom Chiropractic Center, PA.</t>
  </si>
  <si>
    <t>12099 Lake Blvd</t>
  </si>
  <si>
    <t>(651) 257-1103</t>
  </si>
  <si>
    <t>1043548951</t>
  </si>
  <si>
    <t>Virga Chiropractic Clinic PA</t>
  </si>
  <si>
    <t>12670 Lake Blvd</t>
  </si>
  <si>
    <t>(651) 257-1000</t>
  </si>
  <si>
    <t>1538215462</t>
  </si>
  <si>
    <t>Anderson Chiropractic Clinic, PA.</t>
  </si>
  <si>
    <t>38786 8th Ave</t>
  </si>
  <si>
    <t>(651) 674-8391</t>
  </si>
  <si>
    <t>1184832198</t>
  </si>
  <si>
    <t>Nebula Health Services LLC</t>
  </si>
  <si>
    <t>38460 Lincoln Trl</t>
  </si>
  <si>
    <t>Ste 106B</t>
  </si>
  <si>
    <t>(651) 277-4283</t>
  </si>
  <si>
    <t>1831542562</t>
  </si>
  <si>
    <t>Northstone Family Chiropractic PA.</t>
  </si>
  <si>
    <t>6041 Main St</t>
  </si>
  <si>
    <t>(763) 232-0326</t>
  </si>
  <si>
    <t>1194073346</t>
  </si>
  <si>
    <t>Perreault Chiropractic &amp; Acupuncture</t>
  </si>
  <si>
    <t>6361 Main St</t>
  </si>
  <si>
    <t>(651) 674-4833</t>
  </si>
  <si>
    <t>Perreault Chiropractic and Acupuncture Service Corporation</t>
  </si>
  <si>
    <t>1922541044</t>
  </si>
  <si>
    <t>Roger E Perreault</t>
  </si>
  <si>
    <t>263 W 4th St</t>
  </si>
  <si>
    <t>Rush City</t>
  </si>
  <si>
    <t>55069</t>
  </si>
  <si>
    <t>(320) 358-3441</t>
  </si>
  <si>
    <t>Perreault Chiropractic</t>
  </si>
  <si>
    <t>1235223694</t>
  </si>
  <si>
    <t>Andrew W Ulvin Dcpa</t>
  </si>
  <si>
    <t>30962 Fenway Ave N</t>
  </si>
  <si>
    <t>Unit 400</t>
  </si>
  <si>
    <t>Stacy</t>
  </si>
  <si>
    <t>55079</t>
  </si>
  <si>
    <t>(651) 462-3243</t>
  </si>
  <si>
    <t>1154639854</t>
  </si>
  <si>
    <t>Diagnostic Solutions</t>
  </si>
  <si>
    <t>33289 Forest Blvd</t>
  </si>
  <si>
    <t>(612) 756-4460</t>
  </si>
  <si>
    <t>1528269669</t>
  </si>
  <si>
    <t>Pfeiffer Chiropractic Clinic, INC.</t>
  </si>
  <si>
    <t>5321 E Viking Blvd</t>
  </si>
  <si>
    <t>(651) 462-7800</t>
  </si>
  <si>
    <t>1679707459</t>
  </si>
  <si>
    <t>A.b.l.e. Chiropractic PA.</t>
  </si>
  <si>
    <t>13335 Palomino Dr</t>
  </si>
  <si>
    <t>(952) 953-9898</t>
  </si>
  <si>
    <t>1861677809</t>
  </si>
  <si>
    <t>Achieve Health and Wellness, LLC</t>
  </si>
  <si>
    <t>14819 Energy Way</t>
  </si>
  <si>
    <t>1841678554</t>
  </si>
  <si>
    <t>Advanced Chiropractic of Apple Valley INC</t>
  </si>
  <si>
    <t>7700 145th St W</t>
  </si>
  <si>
    <t>(952) 953-6100</t>
  </si>
  <si>
    <t>1508078551</t>
  </si>
  <si>
    <t>Ameli Chiropractic Clinic PA.</t>
  </si>
  <si>
    <t>(952) 432-0700</t>
  </si>
  <si>
    <t>1104865179</t>
  </si>
  <si>
    <t>Apple Valley Chiropractic &amp; Rehab</t>
  </si>
  <si>
    <t>14501 Granada Dr</t>
  </si>
  <si>
    <t>(952) 431-3003</t>
  </si>
  <si>
    <t>1528108883</t>
  </si>
  <si>
    <t>Apple Valley Wellness Center PA.</t>
  </si>
  <si>
    <t>7373 147th St W</t>
  </si>
  <si>
    <t>(952) 432-1522</t>
  </si>
  <si>
    <t>1922341973</t>
  </si>
  <si>
    <t>Cedar South Chiropractic, PA.</t>
  </si>
  <si>
    <t>14135 Cedar Ave</t>
  </si>
  <si>
    <t>(952) 432-5550</t>
  </si>
  <si>
    <t>1508171497</t>
  </si>
  <si>
    <t>Chiropractic Wellness Center INC.</t>
  </si>
  <si>
    <t>1093943912</t>
  </si>
  <si>
    <t>Cmh Chiropractic, PLLC</t>
  </si>
  <si>
    <t>13735 Pennock Ave</t>
  </si>
  <si>
    <t>(612) 270-8938</t>
  </si>
  <si>
    <t>1487052361</t>
  </si>
  <si>
    <t>Comprehensive Health &amp; Wellness PC</t>
  </si>
  <si>
    <t>7668 150th St W</t>
  </si>
  <si>
    <t>(651) 233-2403</t>
  </si>
  <si>
    <t>1417221037</t>
  </si>
  <si>
    <t>Cornerstone Health and Wellness Center PLLC</t>
  </si>
  <si>
    <t>7300 147th St. W</t>
  </si>
  <si>
    <t>(952) 431-5330</t>
  </si>
  <si>
    <t>1871891523</t>
  </si>
  <si>
    <t>Discover Family Chiropractic</t>
  </si>
  <si>
    <t>5920 148th St W</t>
  </si>
  <si>
    <t>(952) 431-5655</t>
  </si>
  <si>
    <t>1336368638</t>
  </si>
  <si>
    <t>Ellen Weis Chiropractic LLC</t>
  </si>
  <si>
    <t>15368 Frost Path</t>
  </si>
  <si>
    <t>(612) 930-3646</t>
  </si>
  <si>
    <t>1609365865</t>
  </si>
  <si>
    <t>Essential Health Chiropractic, PA.</t>
  </si>
  <si>
    <t>7275 147th St W</t>
  </si>
  <si>
    <t>(952) 432-3833</t>
  </si>
  <si>
    <t>1497931513</t>
  </si>
  <si>
    <t>Hands On Health Family Chiropractic</t>
  </si>
  <si>
    <t>14750 Cedar Ave</t>
  </si>
  <si>
    <t>(952) 431-3133</t>
  </si>
  <si>
    <t>Daniel Evanson INC.</t>
  </si>
  <si>
    <t>1912112855</t>
  </si>
  <si>
    <t>Integrated Medical Rehabilitation of MN., LLC</t>
  </si>
  <si>
    <t>14655 Galaxie Ave</t>
  </si>
  <si>
    <t>(952) 431-5353</t>
  </si>
  <si>
    <t>Imr of MN., LLC</t>
  </si>
  <si>
    <t>1316940042</t>
  </si>
  <si>
    <t>Jocelyn Lian Pediatric Physical Therapy Services, LLC</t>
  </si>
  <si>
    <t>13889 Fawn Ridge Way</t>
  </si>
  <si>
    <t>(612) 280-6065</t>
  </si>
  <si>
    <t>1457718264</t>
  </si>
  <si>
    <t>Live Healthy PA</t>
  </si>
  <si>
    <t>Unit 304</t>
  </si>
  <si>
    <t>1750759072</t>
  </si>
  <si>
    <t>Lobash Chiropractic Clinic PLLC</t>
  </si>
  <si>
    <t>(952) 454-7745</t>
  </si>
  <si>
    <t>1841745098</t>
  </si>
  <si>
    <t>Mobilecare Chiropractic, PLLC</t>
  </si>
  <si>
    <t>15556 Flyboat Ln</t>
  </si>
  <si>
    <t>(612) 382-6343</t>
  </si>
  <si>
    <t>1427268275</t>
  </si>
  <si>
    <t>Natural Health Solutions</t>
  </si>
  <si>
    <t>14698 Galaxie Ave</t>
  </si>
  <si>
    <t>(952) 891-2225</t>
  </si>
  <si>
    <t>Apple Valley Chiropractic</t>
  </si>
  <si>
    <t>1366773384</t>
  </si>
  <si>
    <t>Premier Life Chiropractic PA.</t>
  </si>
  <si>
    <t>7000 151st St W</t>
  </si>
  <si>
    <t>(952) 431-2220</t>
  </si>
  <si>
    <t>1689979098</t>
  </si>
  <si>
    <t>Taffe Chiropractic, PA.</t>
  </si>
  <si>
    <t>1225203185</t>
  </si>
  <si>
    <t>Timewise Medical</t>
  </si>
  <si>
    <t>Pain Management, Chiropractic</t>
  </si>
  <si>
    <t>(651) 333-9133</t>
  </si>
  <si>
    <t>Rylie Medical PLLC</t>
  </si>
  <si>
    <t>1831540889</t>
  </si>
  <si>
    <t>Zeiszler Chiropractic Clinic, PA.</t>
  </si>
  <si>
    <t>1992813737</t>
  </si>
  <si>
    <t>Amesbarry Chiropractic PSC</t>
  </si>
  <si>
    <t>2500 County Road 42 W</t>
  </si>
  <si>
    <t>(952) 894-9888</t>
  </si>
  <si>
    <t>1689775181</t>
  </si>
  <si>
    <t>Ascend Chiropractic &amp; Wellness LLC</t>
  </si>
  <si>
    <t>200 E Travelers Trl</t>
  </si>
  <si>
    <t>(952) 412-2514</t>
  </si>
  <si>
    <t>1629435136</t>
  </si>
  <si>
    <t>Burnhaven Chiropractic</t>
  </si>
  <si>
    <t>14600 10th Ave S</t>
  </si>
  <si>
    <t>(952) 432-3777</t>
  </si>
  <si>
    <t>1598926859</t>
  </si>
  <si>
    <t>Burnsville Family Chiropractic</t>
  </si>
  <si>
    <t>13786 Frontier Ct</t>
  </si>
  <si>
    <t>(952) 891-1955</t>
  </si>
  <si>
    <t>1184904369</t>
  </si>
  <si>
    <t>Currier Group Limited</t>
  </si>
  <si>
    <t>1064 County Road 42 E</t>
  </si>
  <si>
    <t>(952) 432-4252</t>
  </si>
  <si>
    <t>1124321732</t>
  </si>
  <si>
    <t>Discover Chiropractic, PA.</t>
  </si>
  <si>
    <t>101 W Burnsville Pkwy</t>
  </si>
  <si>
    <t>(952) 224-9501</t>
  </si>
  <si>
    <t>1215058102</t>
  </si>
  <si>
    <t>Eagle Trace Wellness Center, PA</t>
  </si>
  <si>
    <t>12002 County Road 11</t>
  </si>
  <si>
    <t>(952) 808-2922</t>
  </si>
  <si>
    <t>1790932390</t>
  </si>
  <si>
    <t>Earth Touch Family Chiropractic</t>
  </si>
  <si>
    <t>(952) 890-5888</t>
  </si>
  <si>
    <t>1942400767</t>
  </si>
  <si>
    <t>Health For Living Chiropractic PC</t>
  </si>
  <si>
    <t>12400 Pillsbury Ave S</t>
  </si>
  <si>
    <t>(952) 890-9055</t>
  </si>
  <si>
    <t>1356474555</t>
  </si>
  <si>
    <t>Health Resources Chiropractic &amp; Naturopathic Clinic</t>
  </si>
  <si>
    <t>11970 Portland Ave</t>
  </si>
  <si>
    <t>(952) 895-7270</t>
  </si>
  <si>
    <t>Dr. Stephen A. Irestone, PA.</t>
  </si>
  <si>
    <t>1407124225</t>
  </si>
  <si>
    <t>Healthpro Chiropractic Burnsville PC</t>
  </si>
  <si>
    <t>1447882170</t>
  </si>
  <si>
    <t>Healthsource of Lakeville</t>
  </si>
  <si>
    <t>15024 Portland Ave</t>
  </si>
  <si>
    <t>(763) 772-8723</t>
  </si>
  <si>
    <t>1659619492</t>
  </si>
  <si>
    <t>Hidden Valley Chiropractic</t>
  </si>
  <si>
    <t>3701 Highway 13 W</t>
  </si>
  <si>
    <t>(952) 895-1120</t>
  </si>
  <si>
    <t>Fishtrap Lake Enterprises INC.</t>
  </si>
  <si>
    <t>1497052898</t>
  </si>
  <si>
    <t>(952) 925-5687</t>
  </si>
  <si>
    <t>1942203674</t>
  </si>
  <si>
    <t>Marty Chiropractic</t>
  </si>
  <si>
    <t>Marty-Mcdonald Health Services, PA.</t>
  </si>
  <si>
    <t>1598859381</t>
  </si>
  <si>
    <t>Mcgraw Family Chiropractic &amp; Wellness</t>
  </si>
  <si>
    <t>14300 E Buck Hill Rd</t>
  </si>
  <si>
    <t>(612) 481-0629</t>
  </si>
  <si>
    <t>1356845853</t>
  </si>
  <si>
    <t>Nelson Chiropractic, LTD</t>
  </si>
  <si>
    <t>14321 Nicollet Ct</t>
  </si>
  <si>
    <t>(952) 435-8879</t>
  </si>
  <si>
    <t>1730193715</t>
  </si>
  <si>
    <t>New Concept Chiropractic</t>
  </si>
  <si>
    <t>14031 Burnhaven Dr</t>
  </si>
  <si>
    <t>(952) 898-7250</t>
  </si>
  <si>
    <t>1548478480</t>
  </si>
  <si>
    <t>Northern Life Chiropractic, PA.</t>
  </si>
  <si>
    <t># 200</t>
  </si>
  <si>
    <t>(952) 890-0804</t>
  </si>
  <si>
    <t>1821182734</t>
  </si>
  <si>
    <t>Northern Life Wellness</t>
  </si>
  <si>
    <t>Piff Holdings, PC.</t>
  </si>
  <si>
    <t>1912325325</t>
  </si>
  <si>
    <t>Phoenix Physical Therapy</t>
  </si>
  <si>
    <t>3200 Corporate Center Dr</t>
  </si>
  <si>
    <t>Ste 113</t>
  </si>
  <si>
    <t>(952) 808-2222</t>
  </si>
  <si>
    <t>1477682110</t>
  </si>
  <si>
    <t>Physical Therapy Solutions, INC</t>
  </si>
  <si>
    <t>(952) 432-8677</t>
  </si>
  <si>
    <t>1700927191</t>
  </si>
  <si>
    <t>Pietila Chiropractic</t>
  </si>
  <si>
    <t>12358 River Ridge Blvd</t>
  </si>
  <si>
    <t>(952) 681-7746</t>
  </si>
  <si>
    <t>1083923460</t>
  </si>
  <si>
    <t>Professional Physical Therapy PA</t>
  </si>
  <si>
    <t>#102</t>
  </si>
  <si>
    <t>(952) 891-2645</t>
  </si>
  <si>
    <t>1508902636</t>
  </si>
  <si>
    <t>Robert T. Thiry</t>
  </si>
  <si>
    <t>1608 W 155th St</t>
  </si>
  <si>
    <t>(612) 695-4890</t>
  </si>
  <si>
    <t>1750445417</t>
  </si>
  <si>
    <t>Sailer Chiropractic Center</t>
  </si>
  <si>
    <t>403 W Burnsville Pkwy</t>
  </si>
  <si>
    <t>(952) 895-4085</t>
  </si>
  <si>
    <t>1881711984</t>
  </si>
  <si>
    <t>Skyline Chiropractic, PA.</t>
  </si>
  <si>
    <t>12940 Harriet Ave S</t>
  </si>
  <si>
    <t>(952) 707-8588</t>
  </si>
  <si>
    <t>1841366085</t>
  </si>
  <si>
    <t>South Metro Wellness Clinic PLLC</t>
  </si>
  <si>
    <t>100</t>
  </si>
  <si>
    <t>(952) 892-5006</t>
  </si>
  <si>
    <t>1992189542</t>
  </si>
  <si>
    <t>Southview Chiropractic Health &amp; Wellness Center</t>
  </si>
  <si>
    <t>200 E Travelers Trail</t>
  </si>
  <si>
    <t>(952) 707-0110</t>
  </si>
  <si>
    <t>Flikke Chiropractic PA</t>
  </si>
  <si>
    <t>1215120373</t>
  </si>
  <si>
    <t>Terry L. Franks, DC., PA.</t>
  </si>
  <si>
    <t>1386841781</t>
  </si>
  <si>
    <t>Total Body Chiropractic Care</t>
  </si>
  <si>
    <t>(952) 892-1628</t>
  </si>
  <si>
    <t>Total Body Chiropractic Care LLC</t>
  </si>
  <si>
    <t>1750823431</t>
  </si>
  <si>
    <t>14551 County Road 11</t>
  </si>
  <si>
    <t>1336655521</t>
  </si>
  <si>
    <t>Valley Medical and Wellness</t>
  </si>
  <si>
    <t>2428 E 117th St</t>
  </si>
  <si>
    <t>(612) 444-3000</t>
  </si>
  <si>
    <t>Valley Pain Relief and Wellness Center, PLLC</t>
  </si>
  <si>
    <t>1871915470</t>
  </si>
  <si>
    <t>White Chiropractic PA</t>
  </si>
  <si>
    <t>1980 Cliff Rd E</t>
  </si>
  <si>
    <t>(952) 895-0660</t>
  </si>
  <si>
    <t>1932110335</t>
  </si>
  <si>
    <t>Acu-Chiropractic Wellness Center, PA</t>
  </si>
  <si>
    <t>4590 Scott Trl</t>
  </si>
  <si>
    <t>Ste Number 110</t>
  </si>
  <si>
    <t>(651) 454-1000</t>
  </si>
  <si>
    <t>1396828299</t>
  </si>
  <si>
    <t>Back &amp; Body Chiropractic</t>
  </si>
  <si>
    <t>2020 Silver Bell Rd</t>
  </si>
  <si>
    <t>(651) 452-7018</t>
  </si>
  <si>
    <t>1588808992</t>
  </si>
  <si>
    <t>Baker Chiropractic, LLC</t>
  </si>
  <si>
    <t>2121 Cliff Dr</t>
  </si>
  <si>
    <t>(651) 756-1953</t>
  </si>
  <si>
    <t>1114206414</t>
  </si>
  <si>
    <t>Basic Balance Chiropractic</t>
  </si>
  <si>
    <t>3440 Federal Dr</t>
  </si>
  <si>
    <t>120</t>
  </si>
  <si>
    <t>(612) 787-2055</t>
  </si>
  <si>
    <t>1639415771</t>
  </si>
  <si>
    <t>Better Health Chiropractic LLC</t>
  </si>
  <si>
    <t>1831488089</t>
  </si>
  <si>
    <t>Care Chiropractic Body Wellness Center, LLC</t>
  </si>
  <si>
    <t>3390 Coachman Rd</t>
  </si>
  <si>
    <t>(651) 452-4220</t>
  </si>
  <si>
    <t>1891904793</t>
  </si>
  <si>
    <t>Chiropractic Wellness Innovations PLLC</t>
  </si>
  <si>
    <t>1427204650</t>
  </si>
  <si>
    <t>Cliff Road Chiropractic</t>
  </si>
  <si>
    <t>4555 Erin Dr</t>
  </si>
  <si>
    <t>(651) 452-2225</t>
  </si>
  <si>
    <t>1295817294</t>
  </si>
  <si>
    <t>Dakota Chiropractic</t>
  </si>
  <si>
    <t>3348 Sherman Ct</t>
  </si>
  <si>
    <t>(701) 320-9343</t>
  </si>
  <si>
    <t>1770948721</t>
  </si>
  <si>
    <t>Dba Cliff Road Chiropractic</t>
  </si>
  <si>
    <t>210</t>
  </si>
  <si>
    <t>Brandon Mannie DC. LLC</t>
  </si>
  <si>
    <t>1629135819</t>
  </si>
  <si>
    <t>Eagan Chiropractic</t>
  </si>
  <si>
    <t>1565 Cliff Rd</t>
  </si>
  <si>
    <t>(651) 688-0462</t>
  </si>
  <si>
    <t>Chiropractic Partners PA.</t>
  </si>
  <si>
    <t>1487779898</t>
  </si>
  <si>
    <t>Eagan Family Chiropractic &amp; Massage</t>
  </si>
  <si>
    <t>1260 Yankee Doodle Road</t>
  </si>
  <si>
    <t>(651) 405-3990</t>
  </si>
  <si>
    <t>1851692289</t>
  </si>
  <si>
    <t>Eagan Sports Chiropractic &amp; Wellness Center</t>
  </si>
  <si>
    <t>(612) 834-2779</t>
  </si>
  <si>
    <t>Dr. Kim Leis-Keeling, LLC</t>
  </si>
  <si>
    <t>1881902591</t>
  </si>
  <si>
    <t>Emergent Health Chiropractic Wellness, INC</t>
  </si>
  <si>
    <t>1895 Plaza Dr</t>
  </si>
  <si>
    <t>(651) 688-8886</t>
  </si>
  <si>
    <t>1194042135</t>
  </si>
  <si>
    <t>Gilman Chiropractic PA</t>
  </si>
  <si>
    <t>4640 Slater Rd</t>
  </si>
  <si>
    <t>(651) 681-8199</t>
  </si>
  <si>
    <t>1326197542</t>
  </si>
  <si>
    <t>Harmony Health Chiropractic</t>
  </si>
  <si>
    <t>3324 Promenade Ave</t>
  </si>
  <si>
    <t>(651) 456-8776</t>
  </si>
  <si>
    <t>Harmony Health Chiropractic PLC</t>
  </si>
  <si>
    <t>1982259685</t>
  </si>
  <si>
    <t>Hartley Chiropractic Wellness Center, LLC</t>
  </si>
  <si>
    <t>1417431610</t>
  </si>
  <si>
    <t>Haus Sports Chiropractics, LLC</t>
  </si>
  <si>
    <t>2645 Vikings Cir</t>
  </si>
  <si>
    <t>(952) 456-7600</t>
  </si>
  <si>
    <t>1558851683</t>
  </si>
  <si>
    <t>Healing Touch Chiropractic</t>
  </si>
  <si>
    <t>1570 Century Pt</t>
  </si>
  <si>
    <t>1639373319</t>
  </si>
  <si>
    <t>Healthsource of Apple Valley</t>
  </si>
  <si>
    <t>4315 Clemson Cir</t>
  </si>
  <si>
    <t>(507) 429-6480</t>
  </si>
  <si>
    <t>Felten Chiropractic PA</t>
  </si>
  <si>
    <t>1770856031</t>
  </si>
  <si>
    <t>Hilltop Family Chiropractic Center PA</t>
  </si>
  <si>
    <t>1121 Town Centre Drive</t>
  </si>
  <si>
    <t>(651) 452-7141</t>
  </si>
  <si>
    <t>1053828467</t>
  </si>
  <si>
    <t>Hilltop Family Chiropractic Clinic, PA</t>
  </si>
  <si>
    <t>1811029861</t>
  </si>
  <si>
    <t>Integrated Motion Pediatric Physical Therapy, INC.</t>
  </si>
  <si>
    <t>4660 Slater Rd</t>
  </si>
  <si>
    <t>Ste #130</t>
  </si>
  <si>
    <t>(651) 260-3774</t>
  </si>
  <si>
    <t>1942377411</t>
  </si>
  <si>
    <t>Joy Physical Therapy INC.</t>
  </si>
  <si>
    <t>1648 River Bluff Ct</t>
  </si>
  <si>
    <t>(651) 800-6978</t>
  </si>
  <si>
    <t>1447898358</t>
  </si>
  <si>
    <t>Life Wellness Center-Eagan, PA</t>
  </si>
  <si>
    <t>1699106773</t>
  </si>
  <si>
    <t>Pettis Chiropractic</t>
  </si>
  <si>
    <t>(651) 261-1923</t>
  </si>
  <si>
    <t>1316115934</t>
  </si>
  <si>
    <t>Rehabilitation Consultants, INC.</t>
  </si>
  <si>
    <t>880 Blue Gentian Rd</t>
  </si>
  <si>
    <t>(651) 379-1600</t>
  </si>
  <si>
    <t>1710040456</t>
  </si>
  <si>
    <t>Rehabilitation Specialists PA</t>
  </si>
  <si>
    <t>4152 Nicols Rd</t>
  </si>
  <si>
    <t>(612) 384-1849</t>
  </si>
  <si>
    <t>1316505712</t>
  </si>
  <si>
    <t>Rejuv Skin &amp; Laser Clinic</t>
  </si>
  <si>
    <t>1625 Lena Ct</t>
  </si>
  <si>
    <t>(651) 287-3080</t>
  </si>
  <si>
    <t>1669671152</t>
  </si>
  <si>
    <t>Rukavina Family Chiropractic PLLC</t>
  </si>
  <si>
    <t>4655 Nicols Rd</t>
  </si>
  <si>
    <t>(612) 321-8757</t>
  </si>
  <si>
    <t>1477154078</t>
  </si>
  <si>
    <t>Seo, LLC</t>
  </si>
  <si>
    <t>2113 Cliff Dr</t>
  </si>
  <si>
    <t>(218) 341-3198</t>
  </si>
  <si>
    <t>1700311321</t>
  </si>
  <si>
    <t>Silver Bell Chiropractic LLC</t>
  </si>
  <si>
    <t>1679177125</t>
  </si>
  <si>
    <t>South Lexington Chiropractic, PA.</t>
  </si>
  <si>
    <t>4250 Lexington Ave S</t>
  </si>
  <si>
    <t>(651) 454-6677</t>
  </si>
  <si>
    <t>1831450014</t>
  </si>
  <si>
    <t>Sports Orthopedic Advanced Rehabilitation, LLC</t>
  </si>
  <si>
    <t>(952) 223-3339</t>
  </si>
  <si>
    <t>1780910802</t>
  </si>
  <si>
    <t>1568843621</t>
  </si>
  <si>
    <t>Truecare Chiropractic</t>
  </si>
  <si>
    <t>1981 Silver Bell Rd</t>
  </si>
  <si>
    <t>(320) 291-5133</t>
  </si>
  <si>
    <t>1922572387</t>
  </si>
  <si>
    <t>3365 Central Park Village Dr</t>
  </si>
  <si>
    <t>1295257491</t>
  </si>
  <si>
    <t>Z Spine and Joint Center, LLC</t>
  </si>
  <si>
    <t>(651) 686-6686</t>
  </si>
  <si>
    <t>1083765234</t>
  </si>
  <si>
    <t>Farmington Chiropractic Clinic PA</t>
  </si>
  <si>
    <t>115 Elm St</t>
  </si>
  <si>
    <t>(651) 463-7662</t>
  </si>
  <si>
    <t>1619196698</t>
  </si>
  <si>
    <t>Imperial Family Chiropractic, PLLC</t>
  </si>
  <si>
    <t>(651) 478-6988</t>
  </si>
  <si>
    <t>1437699790</t>
  </si>
  <si>
    <t>Integrity Chiropractic</t>
  </si>
  <si>
    <t>18598 Elk River Trl</t>
  </si>
  <si>
    <t>(651) 428-2247</t>
  </si>
  <si>
    <t>Fink Family Chiropractic, PA</t>
  </si>
  <si>
    <t>1609920826</t>
  </si>
  <si>
    <t>Swedin Chiropractic Clinic PA</t>
  </si>
  <si>
    <t>315 4th St</t>
  </si>
  <si>
    <t>(651) 460-6868</t>
  </si>
  <si>
    <t>1427107655</t>
  </si>
  <si>
    <t>Hauck Chiropractic, LLC</t>
  </si>
  <si>
    <t>215 Ramsey St</t>
  </si>
  <si>
    <t>(414) 248-0011</t>
  </si>
  <si>
    <t>1053656157</t>
  </si>
  <si>
    <t>Millner and Loppnow PA.</t>
  </si>
  <si>
    <t>117 3rd St W</t>
  </si>
  <si>
    <t>(651) 437-1876</t>
  </si>
  <si>
    <t>1932309028</t>
  </si>
  <si>
    <t>Parker Chiropractic PA</t>
  </si>
  <si>
    <t>1320 S Frontage Rd</t>
  </si>
  <si>
    <t>(651) 480-2200</t>
  </si>
  <si>
    <t>1790944973</t>
  </si>
  <si>
    <t>Petterson Chiropractic Clinic PA</t>
  </si>
  <si>
    <t>825 Bahls Drive</t>
  </si>
  <si>
    <t>(651) 480-1128</t>
  </si>
  <si>
    <t>1750451639</t>
  </si>
  <si>
    <t>River Valley Spinal Health Center, PA.</t>
  </si>
  <si>
    <t>800 Oak St</t>
  </si>
  <si>
    <t>(651) 437-4555</t>
  </si>
  <si>
    <t>1407050891</t>
  </si>
  <si>
    <t>Saande Chiropractic LLC</t>
  </si>
  <si>
    <t>1300 Vermillion St</t>
  </si>
  <si>
    <t>(651) 438-0460</t>
  </si>
  <si>
    <t>1841561727</t>
  </si>
  <si>
    <t>(651) 968-5412</t>
  </si>
  <si>
    <t>1780735241</t>
  </si>
  <si>
    <t>Vermillion Street Chiropractic LLC</t>
  </si>
  <si>
    <t>(715) 338-7507</t>
  </si>
  <si>
    <t>1932601895</t>
  </si>
  <si>
    <t>Advantage Life Chiropractic</t>
  </si>
  <si>
    <t>7832 Cahill Ave</t>
  </si>
  <si>
    <t>(651) 330-6290</t>
  </si>
  <si>
    <t>1962948208</t>
  </si>
  <si>
    <t>Inver Family Chiropractic, INC.</t>
  </si>
  <si>
    <t>2125 Upper 55th St E</t>
  </si>
  <si>
    <t>(651) 451-3311</t>
  </si>
  <si>
    <t>1306047816</t>
  </si>
  <si>
    <t>Life Imaging, PA</t>
  </si>
  <si>
    <t>1932523768</t>
  </si>
  <si>
    <t>River Heights Clinic of Chiropractic, PA</t>
  </si>
  <si>
    <t>5759 Blaine Ave</t>
  </si>
  <si>
    <t>(651) 756-7941</t>
  </si>
  <si>
    <t>1487966651</t>
  </si>
  <si>
    <t>Synergy Chiropractic, PA</t>
  </si>
  <si>
    <t>1356701635</t>
  </si>
  <si>
    <t>Well Med, PA</t>
  </si>
  <si>
    <t>1841652468</t>
  </si>
  <si>
    <t>Alto Chiropractic LLC</t>
  </si>
  <si>
    <t>10880 175th Ct W</t>
  </si>
  <si>
    <t>(952) 693-8798</t>
  </si>
  <si>
    <t>1003185760</t>
  </si>
  <si>
    <t>Back To Health Chiropractic Center, PA.</t>
  </si>
  <si>
    <t>Ste #120</t>
  </si>
  <si>
    <t>(952) 892-0898</t>
  </si>
  <si>
    <t>1891913349</t>
  </si>
  <si>
    <t>Enlighten Chiropractic PC</t>
  </si>
  <si>
    <t>20772 Holyoke Ave</t>
  </si>
  <si>
    <t>(952) 232-1935</t>
  </si>
  <si>
    <t>1659937076</t>
  </si>
  <si>
    <t>Express Health</t>
  </si>
  <si>
    <t>(952) 594-2796</t>
  </si>
  <si>
    <t>1669570362</t>
  </si>
  <si>
    <t>Exuberance Chiropractic &amp; Wellness Center</t>
  </si>
  <si>
    <t>17787 Kenwood Trl</t>
  </si>
  <si>
    <t>(952) 435-3345</t>
  </si>
  <si>
    <t>1174946628</t>
  </si>
  <si>
    <t>Grace Chiropractic and Wellness PLLC</t>
  </si>
  <si>
    <t>(612) 747-7874</t>
  </si>
  <si>
    <t>1255751244</t>
  </si>
  <si>
    <t>Interstate Chiropractic, LLC</t>
  </si>
  <si>
    <t>11276 210 St W</t>
  </si>
  <si>
    <t>(952) 469-3443</t>
  </si>
  <si>
    <t>1598912818</t>
  </si>
  <si>
    <t>Invigorate Chiropractic, PA</t>
  </si>
  <si>
    <t>18449 Orchard Trail</t>
  </si>
  <si>
    <t>(952) 985-5251</t>
  </si>
  <si>
    <t>1164922373</t>
  </si>
  <si>
    <t>Kenrick Chiropractic</t>
  </si>
  <si>
    <t>16372 Kenrick Ave</t>
  </si>
  <si>
    <t>(952) 435-7017</t>
  </si>
  <si>
    <t>1831414523</t>
  </si>
  <si>
    <t>Lake Marion Chiropractic Center PA</t>
  </si>
  <si>
    <t>(952) 469-8385</t>
  </si>
  <si>
    <t>1225115405</t>
  </si>
  <si>
    <t>Lakeville Community Chiropractic</t>
  </si>
  <si>
    <t>(612) 360-3483</t>
  </si>
  <si>
    <t>1912156795</t>
  </si>
  <si>
    <t>Lakeville Family Health Clinic, LTD</t>
  </si>
  <si>
    <t>1295957058</t>
  </si>
  <si>
    <t>Life Wellness Center, INC.</t>
  </si>
  <si>
    <t>10551 165th St W</t>
  </si>
  <si>
    <t>(952) 435-5300</t>
  </si>
  <si>
    <t>1083646889</t>
  </si>
  <si>
    <t>Liv Health Center, PLLC</t>
  </si>
  <si>
    <t>Ste #210</t>
  </si>
  <si>
    <t>1417276718</t>
  </si>
  <si>
    <t>Lubovich Chiropractic, PA.</t>
  </si>
  <si>
    <t>(952) 898-4900</t>
  </si>
  <si>
    <t>1831211473</t>
  </si>
  <si>
    <t>Mahmood Ameli LLC</t>
  </si>
  <si>
    <t>1083857825</t>
  </si>
  <si>
    <t>Marty Chiropractic &amp; Wellness LLC</t>
  </si>
  <si>
    <t>(612) 440-5776</t>
  </si>
  <si>
    <t>1043761133</t>
  </si>
  <si>
    <t>Okeson Optimal Chiropractic</t>
  </si>
  <si>
    <t>1790947752</t>
  </si>
  <si>
    <t>Olson Family Chiropractic</t>
  </si>
  <si>
    <t>17502 Dodd Blvd</t>
  </si>
  <si>
    <t>(952) 431-7400</t>
  </si>
  <si>
    <t>Family Chiropractic and Wellness, PA.</t>
  </si>
  <si>
    <t>1700073657</t>
  </si>
  <si>
    <t>Synergy Physical Therapy, INC</t>
  </si>
  <si>
    <t>10657 165th St W</t>
  </si>
  <si>
    <t>(952) 435-0343</t>
  </si>
  <si>
    <t>1649502881</t>
  </si>
  <si>
    <t>Viverant</t>
  </si>
  <si>
    <t>21034 Heron Way</t>
  </si>
  <si>
    <t>1700237450</t>
  </si>
  <si>
    <t>612 Chiropractic &amp; Wellness</t>
  </si>
  <si>
    <t>(612) 578-6001</t>
  </si>
  <si>
    <t>1518414382</t>
  </si>
  <si>
    <t>Armeli Chiropractic LLC</t>
  </si>
  <si>
    <t>790 S Plaza Dr</t>
  </si>
  <si>
    <t>(651) 688-0736</t>
  </si>
  <si>
    <t>1124585161</t>
  </si>
  <si>
    <t>Lifestyle Chiropractic</t>
  </si>
  <si>
    <t>821 Sibley Memorial Hwy</t>
  </si>
  <si>
    <t>(651) 406-4454</t>
  </si>
  <si>
    <t>Fugleberg Chiropractic, PA</t>
  </si>
  <si>
    <t>1932341070</t>
  </si>
  <si>
    <t>Mendakota Chiropractic, PLLC</t>
  </si>
  <si>
    <t>776 North Plaza Drive</t>
  </si>
  <si>
    <t>(651) 452-8333</t>
  </si>
  <si>
    <t>1215428271</t>
  </si>
  <si>
    <t>Twin Cities Physical Therapy and Rehabilitation</t>
  </si>
  <si>
    <t>250</t>
  </si>
  <si>
    <t>1922056126</t>
  </si>
  <si>
    <t>1285179606</t>
  </si>
  <si>
    <t>Peter Family Chiropractic</t>
  </si>
  <si>
    <t>750 Highway 110</t>
  </si>
  <si>
    <t>Mendota Hgts</t>
  </si>
  <si>
    <t>1497893911</t>
  </si>
  <si>
    <t>Lon Lutz,md PA</t>
  </si>
  <si>
    <t>548 Foxwood Ln</t>
  </si>
  <si>
    <t>Mendota Hts</t>
  </si>
  <si>
    <t>(651) 313-8250</t>
  </si>
  <si>
    <t>1528350048</t>
  </si>
  <si>
    <t>Northfield Physical Therapy LLC</t>
  </si>
  <si>
    <t>2500 320th St W</t>
  </si>
  <si>
    <t>(507) 581-2452</t>
  </si>
  <si>
    <t>1235310913</t>
  </si>
  <si>
    <t>Bodyfix Physical Therapy LLC</t>
  </si>
  <si>
    <t>13956 Clover Ln</t>
  </si>
  <si>
    <t>(651) 417-2121</t>
  </si>
  <si>
    <t>1407356157</t>
  </si>
  <si>
    <t>Rapp Chiropractic LLC</t>
  </si>
  <si>
    <t>15170 Chippendale Ave W</t>
  </si>
  <si>
    <t>(651) 423-2900</t>
  </si>
  <si>
    <t>1922295542</t>
  </si>
  <si>
    <t>Scott Chiropractic Clinic PLLC</t>
  </si>
  <si>
    <t>15067 Crestone Ave W</t>
  </si>
  <si>
    <t>(701) 866-5206</t>
  </si>
  <si>
    <t>1356647382</t>
  </si>
  <si>
    <t>South St. Paul Family Chiropractic, LTD</t>
  </si>
  <si>
    <t>1345 Thompson Ave</t>
  </si>
  <si>
    <t>South St Paul</t>
  </si>
  <si>
    <t>55075</t>
  </si>
  <si>
    <t>(651) 450-2366</t>
  </si>
  <si>
    <t>1326056672</t>
  </si>
  <si>
    <t>Health 1st Chiropractic and Wellness Center, PC.</t>
  </si>
  <si>
    <t>1020 Marie Avenue</t>
  </si>
  <si>
    <t>South St. Paul</t>
  </si>
  <si>
    <t>(651) 455-5463</t>
  </si>
  <si>
    <t>1548314792</t>
  </si>
  <si>
    <t>910 Sibley Memorial Highway</t>
  </si>
  <si>
    <t>(661) 455-5500</t>
  </si>
  <si>
    <t>1427086255</t>
  </si>
  <si>
    <t>Corcoran Family Chiropractic</t>
  </si>
  <si>
    <t>1267 Stryker Ave</t>
  </si>
  <si>
    <t>(651) 797-2376</t>
  </si>
  <si>
    <t>1407987415</t>
  </si>
  <si>
    <t>433 Mendota Rd E</t>
  </si>
  <si>
    <t>(651) 552-5928</t>
  </si>
  <si>
    <t>1780765560</t>
  </si>
  <si>
    <t>Endris Chiropractic, PA</t>
  </si>
  <si>
    <t>1560 Livingston Ave</t>
  </si>
  <si>
    <t>West Saint Paul</t>
  </si>
  <si>
    <t>(651) 451-2229</t>
  </si>
  <si>
    <t>1831387794</t>
  </si>
  <si>
    <t>Premier Health of West St Paul</t>
  </si>
  <si>
    <t>1089 Robert St S</t>
  </si>
  <si>
    <t>(651) 457-5435</t>
  </si>
  <si>
    <t>1477762110</t>
  </si>
  <si>
    <t>Msk Chiropractic</t>
  </si>
  <si>
    <t>1551 Livingston Ave</t>
  </si>
  <si>
    <t>(612) 314-5929</t>
  </si>
  <si>
    <t>Garrity Optimum Health PA</t>
  </si>
  <si>
    <t>1538199757</t>
  </si>
  <si>
    <t>1970 Christensen Ave</t>
  </si>
  <si>
    <t>Bldg B Ste R-s</t>
  </si>
  <si>
    <t>(717) 972-1100</t>
  </si>
  <si>
    <t>1902063126</t>
  </si>
  <si>
    <t>Stoffels Chiropractic Office LTD</t>
  </si>
  <si>
    <t>130 Butler Ave E</t>
  </si>
  <si>
    <t>(651) 457-8646</t>
  </si>
  <si>
    <t>1326392143</t>
  </si>
  <si>
    <t>Wildenauer Chiropractic Clinic</t>
  </si>
  <si>
    <t>1525 Livingston Ave</t>
  </si>
  <si>
    <t>(651) 455-5264</t>
  </si>
  <si>
    <t>Back In Balance Chiropractic, PA</t>
  </si>
  <si>
    <t>1922289719</t>
  </si>
  <si>
    <t>Active Life Chiropractic</t>
  </si>
  <si>
    <t>8900 Penn Ave. S</t>
  </si>
  <si>
    <t>(952) 888-6000</t>
  </si>
  <si>
    <t>Lamppa Chiropractic, PA</t>
  </si>
  <si>
    <t>1417153925</t>
  </si>
  <si>
    <t>Advacare Clinics,ltd</t>
  </si>
  <si>
    <t>5001 American Blvd W</t>
  </si>
  <si>
    <t>Ste.945</t>
  </si>
  <si>
    <t>1265614242</t>
  </si>
  <si>
    <t>Allied Chiropractic Center of Eagan PA.</t>
  </si>
  <si>
    <t>3916 W 113th St</t>
  </si>
  <si>
    <t>(612) 709-3104</t>
  </si>
  <si>
    <t>1851464036</t>
  </si>
  <si>
    <t>Balanced Body Chiropractic MN PA</t>
  </si>
  <si>
    <t>5152 Balmoral Ln</t>
  </si>
  <si>
    <t>(952) 807-5397</t>
  </si>
  <si>
    <t>1487086153</t>
  </si>
  <si>
    <t>Beyond Family Chiropractic PLLC</t>
  </si>
  <si>
    <t>3701 W Old Shakopee Rd</t>
  </si>
  <si>
    <t>Ste 550</t>
  </si>
  <si>
    <t>(612) 293-8522</t>
  </si>
  <si>
    <t>1821641556</t>
  </si>
  <si>
    <t>Body Balance For Performance</t>
  </si>
  <si>
    <t>2070 W 96th St</t>
  </si>
  <si>
    <t>(952) 888-9549</t>
  </si>
  <si>
    <t>Body Balance Golf &amp; Physical Therapy, LLC</t>
  </si>
  <si>
    <t>1023014859</t>
  </si>
  <si>
    <t>Bodyworks Physical Therapy INC</t>
  </si>
  <si>
    <t>8120 Penn Avenue South</t>
  </si>
  <si>
    <t>Ste 480</t>
  </si>
  <si>
    <t>(952) 929-7000</t>
  </si>
  <si>
    <t>1992923023</t>
  </si>
  <si>
    <t>Brett Chiropractic &amp; Acupuncture</t>
  </si>
  <si>
    <t>200 W 98th St</t>
  </si>
  <si>
    <t>(952) 897-0324</t>
  </si>
  <si>
    <t>John C. Brett, PA.</t>
  </si>
  <si>
    <t>1568696672</t>
  </si>
  <si>
    <t>Center For Well Being, PC.</t>
  </si>
  <si>
    <t>7901 Xerxes Ave S</t>
  </si>
  <si>
    <t>(952) 885-0822</t>
  </si>
  <si>
    <t>1083719116</t>
  </si>
  <si>
    <t>Chiropractic Advantage, LLC</t>
  </si>
  <si>
    <t>8900 Penn Ave S</t>
  </si>
  <si>
    <t>Ste 116</t>
  </si>
  <si>
    <t>(952) 884-3700</t>
  </si>
  <si>
    <t>1841492428</t>
  </si>
  <si>
    <t>Chiropractic In Motion</t>
  </si>
  <si>
    <t>4951 American Blvd W</t>
  </si>
  <si>
    <t>(952) 842-8105</t>
  </si>
  <si>
    <t>1356553374</t>
  </si>
  <si>
    <t>Chirozone PA.</t>
  </si>
  <si>
    <t>9740 Irving Ave S</t>
  </si>
  <si>
    <t>(952) 994-0988</t>
  </si>
  <si>
    <t>1972699403</t>
  </si>
  <si>
    <t>Countryside Chiropractic &amp; Massage</t>
  </si>
  <si>
    <t>7700 W Old Shakopee Rd</t>
  </si>
  <si>
    <t>(952) 829-0262</t>
  </si>
  <si>
    <t>Anne M. Werner D.c.,p.a.</t>
  </si>
  <si>
    <t>1467471433</t>
  </si>
  <si>
    <t>Dr. Jessi Phillips, On-Site Chiropractic</t>
  </si>
  <si>
    <t>8701 Penn Ave S</t>
  </si>
  <si>
    <t>(612) 812-3339</t>
  </si>
  <si>
    <t>1982142592</t>
  </si>
  <si>
    <t>Dr. Kaye B. Otter,p.a.</t>
  </si>
  <si>
    <t>8100 Penn Ave S</t>
  </si>
  <si>
    <t>(952) 303-5182</t>
  </si>
  <si>
    <t>1407079312</t>
  </si>
  <si>
    <t>Edina Physical Medicine Consultants, PA</t>
  </si>
  <si>
    <t>Ste 395</t>
  </si>
  <si>
    <t>(952) 922-2012</t>
  </si>
  <si>
    <t>1285967315</t>
  </si>
  <si>
    <t>Evolution Chiropractic PA</t>
  </si>
  <si>
    <t>Ste 444</t>
  </si>
  <si>
    <t>(952) 270-5374</t>
  </si>
  <si>
    <t>Evolution Chiropractic, PA.</t>
  </si>
  <si>
    <t>1316281637</t>
  </si>
  <si>
    <t>Fleisner Chiropractic and Wellness</t>
  </si>
  <si>
    <t>Ste 945</t>
  </si>
  <si>
    <t>1033356480</t>
  </si>
  <si>
    <t>Global Athlete Village</t>
  </si>
  <si>
    <t>3600 W 98th St</t>
  </si>
  <si>
    <t>(952) 888-4311</t>
  </si>
  <si>
    <t>1326308065</t>
  </si>
  <si>
    <t>Healthy For Life Family Wellness Chiropractic, PA.</t>
  </si>
  <si>
    <t>9336 Ensign Ave S</t>
  </si>
  <si>
    <t>(952) 829-0100</t>
  </si>
  <si>
    <t>1770850489</t>
  </si>
  <si>
    <t>Innate &amp; Hyack Family Chiropractic LLC</t>
  </si>
  <si>
    <t>2626 E 82nd St</t>
  </si>
  <si>
    <t>#103</t>
  </si>
  <si>
    <t>55425</t>
  </si>
  <si>
    <t>(952) 854-0057</t>
  </si>
  <si>
    <t>1114114642</t>
  </si>
  <si>
    <t>Institute For Chiropractic Rehabilitation PA</t>
  </si>
  <si>
    <t>8200 Humboldt Ave S</t>
  </si>
  <si>
    <t>(952) 884-6144</t>
  </si>
  <si>
    <t>1922242627</t>
  </si>
  <si>
    <t>Institute For Low Back &amp; Neck Care</t>
  </si>
  <si>
    <t>3001 Metro Dr</t>
  </si>
  <si>
    <t>(952) 814-6600</t>
  </si>
  <si>
    <t>Ilbnc, PA.</t>
  </si>
  <si>
    <t>1023001815</t>
  </si>
  <si>
    <t>Intelligent Design Wellness PLLC</t>
  </si>
  <si>
    <t>2510 W 112th St</t>
  </si>
  <si>
    <t>(651) 558-1578</t>
  </si>
  <si>
    <t>1023452059</t>
  </si>
  <si>
    <t>Karn Chiropractic, LLC</t>
  </si>
  <si>
    <t>5300 Hyland Greens Dr</t>
  </si>
  <si>
    <t>(612) 554-1983</t>
  </si>
  <si>
    <t>1083968457</t>
  </si>
  <si>
    <t>Lindberg Chiropractic</t>
  </si>
  <si>
    <t>(952) 881-4421</t>
  </si>
  <si>
    <t>1447440722</t>
  </si>
  <si>
    <t>M-Power Physical Therapy LLC</t>
  </si>
  <si>
    <t>(612) 226-5729</t>
  </si>
  <si>
    <t>1780183491</t>
  </si>
  <si>
    <t>Martin Chiropractic, PA.</t>
  </si>
  <si>
    <t>Ste 124</t>
  </si>
  <si>
    <t>(952) 888-7007</t>
  </si>
  <si>
    <t>1447491345</t>
  </si>
  <si>
    <t>Multiple Care of MN, LLC</t>
  </si>
  <si>
    <t>8500 Normandale Lake Blvd</t>
  </si>
  <si>
    <t>Ste 350</t>
  </si>
  <si>
    <t>(615) 386-0064</t>
  </si>
  <si>
    <t>1639631526</t>
  </si>
  <si>
    <t>One Agora Integrative Health Clinic</t>
  </si>
  <si>
    <t>9220 James Ave S</t>
  </si>
  <si>
    <t>(952) 681-2157</t>
  </si>
  <si>
    <t>One Agora LLC</t>
  </si>
  <si>
    <t>1629589494</t>
  </si>
  <si>
    <t>Oxboro Family Chiropractic</t>
  </si>
  <si>
    <t>9864 Lyndale Ave S</t>
  </si>
  <si>
    <t>(952) 948-9225</t>
  </si>
  <si>
    <t>1942411822</t>
  </si>
  <si>
    <t>Pappenfus Chiropractic, INC.</t>
  </si>
  <si>
    <t>10824 Stanley Ave S</t>
  </si>
  <si>
    <t>(651) 699-4169</t>
  </si>
  <si>
    <t>1710007620</t>
  </si>
  <si>
    <t>Rehabilitation Medicine Physicians LLC</t>
  </si>
  <si>
    <t>8400 Normandale Lake Blvd</t>
  </si>
  <si>
    <t>Ste 920</t>
  </si>
  <si>
    <t>(984) 377-3422</t>
  </si>
  <si>
    <t>1114313798</t>
  </si>
  <si>
    <t>Revelation Chiropractic PLLC</t>
  </si>
  <si>
    <t>8112 Upton Ave S</t>
  </si>
  <si>
    <t>(612) 267-9281</t>
  </si>
  <si>
    <t>1144502733</t>
  </si>
  <si>
    <t>Riverview Spine, PA.</t>
  </si>
  <si>
    <t>5402 W. Old Shakopee Road</t>
  </si>
  <si>
    <t>(952) 884-1507</t>
  </si>
  <si>
    <t>1275742900</t>
  </si>
  <si>
    <t>Valley West Chiropractic Clinic, LTD.</t>
  </si>
  <si>
    <t>10700 Normandale Blvd</t>
  </si>
  <si>
    <t>(952) 888-5805</t>
  </si>
  <si>
    <t>1972680940</t>
  </si>
  <si>
    <t>A &amp; A Chiropractic</t>
  </si>
  <si>
    <t>6142 Brooklyn Blvd</t>
  </si>
  <si>
    <t>(763) 205-1228</t>
  </si>
  <si>
    <t>1083933402</t>
  </si>
  <si>
    <t>Boulevard Natural Healing Arts, PA</t>
  </si>
  <si>
    <t>(763) 566-9330</t>
  </si>
  <si>
    <t>1699820662</t>
  </si>
  <si>
    <t>Brookdale Health</t>
  </si>
  <si>
    <t>5740 Brooklyn Blvd</t>
  </si>
  <si>
    <t>(763) 561-4045</t>
  </si>
  <si>
    <t>Kent J. Erickson, DC., Chtd</t>
  </si>
  <si>
    <t>1720090814</t>
  </si>
  <si>
    <t>Brooklyn Center Chiropractic Office, PA.</t>
  </si>
  <si>
    <t>6832 Humboldt Ave N</t>
  </si>
  <si>
    <t>(763) 560-6360</t>
  </si>
  <si>
    <t>1891097218</t>
  </si>
  <si>
    <t>Brooklyn Center Neck &amp; Back Clinic</t>
  </si>
  <si>
    <t>(763) 560-9139</t>
  </si>
  <si>
    <t>St. Paul Neck &amp; Back Clinic, PC</t>
  </si>
  <si>
    <t>1457556730</t>
  </si>
  <si>
    <t>Brooklyn Center Sports &amp; Injury</t>
  </si>
  <si>
    <t>6300 Shingle Creek Pkwy</t>
  </si>
  <si>
    <t>(612) 444-3308</t>
  </si>
  <si>
    <t>1780055632</t>
  </si>
  <si>
    <t>Brooklyn Chiropractic INC</t>
  </si>
  <si>
    <t>7086 Brooklyn Blvd</t>
  </si>
  <si>
    <t>(763) 533-3800</t>
  </si>
  <si>
    <t>1952630691</t>
  </si>
  <si>
    <t>Carlson Healthcare LLC</t>
  </si>
  <si>
    <t>(651) 338-7259</t>
  </si>
  <si>
    <t>1578860565</t>
  </si>
  <si>
    <t>Community Care Chiropractic @ Rehab Center, LLC</t>
  </si>
  <si>
    <t>(612) 720-6736</t>
  </si>
  <si>
    <t>1447890637</t>
  </si>
  <si>
    <t>Crystal-New Hope Chiropractic Clinic PA.</t>
  </si>
  <si>
    <t>6014 Shingle Creek Pkwy</t>
  </si>
  <si>
    <t>(763) 533-6775</t>
  </si>
  <si>
    <t>1568533909</t>
  </si>
  <si>
    <t>Disc Centers of America Brooklyn Center</t>
  </si>
  <si>
    <t>Shingle Creek Medical Group, LLC</t>
  </si>
  <si>
    <t>1619413655</t>
  </si>
  <si>
    <t>Metro MN Pain Center, LLC</t>
  </si>
  <si>
    <t>3260 County Road 10</t>
  </si>
  <si>
    <t>Ste G</t>
  </si>
  <si>
    <t>(763) 951-2308</t>
  </si>
  <si>
    <t>1902356868</t>
  </si>
  <si>
    <t>Midwest Imaging LLP</t>
  </si>
  <si>
    <t>(651) 728-1867</t>
  </si>
  <si>
    <t>1205205069</t>
  </si>
  <si>
    <t>Accident Recovery Chiropractic PA</t>
  </si>
  <si>
    <t>5820 74th Ave N</t>
  </si>
  <si>
    <t>(612) 871-6555</t>
  </si>
  <si>
    <t>1902265432</t>
  </si>
  <si>
    <t>Advance Motion Physical Therapy</t>
  </si>
  <si>
    <t>6800 78th Avenue North</t>
  </si>
  <si>
    <t>(763) 503-1122</t>
  </si>
  <si>
    <t>1174650519</t>
  </si>
  <si>
    <t>Assurance Chiropractic, PA.</t>
  </si>
  <si>
    <t>3330 Brookdale Dr N</t>
  </si>
  <si>
    <t>(763) 432-5073</t>
  </si>
  <si>
    <t>1144651613</t>
  </si>
  <si>
    <t>B P Chiropractic Clinic</t>
  </si>
  <si>
    <t>1326445826</t>
  </si>
  <si>
    <t>B.p. Spine Center, PA.</t>
  </si>
  <si>
    <t>1801221411</t>
  </si>
  <si>
    <t>Brook West Chiropractic Clinic, PLLC</t>
  </si>
  <si>
    <t>6800 78th Ave N</t>
  </si>
  <si>
    <t>(763) 566-1042</t>
  </si>
  <si>
    <t>1871624254</t>
  </si>
  <si>
    <t>Care Physical Thrapy, LLC</t>
  </si>
  <si>
    <t>8401 73rd Ave N</t>
  </si>
  <si>
    <t>54</t>
  </si>
  <si>
    <t>(763) 710-5056</t>
  </si>
  <si>
    <t>1174974786</t>
  </si>
  <si>
    <t>Edinburgh Family Chiropractic</t>
  </si>
  <si>
    <t>3619 85th Ave N</t>
  </si>
  <si>
    <t>Ste B.</t>
  </si>
  <si>
    <t>(612) 599-7357</t>
  </si>
  <si>
    <t>Hokanson Chiropractic PA</t>
  </si>
  <si>
    <t>1427227198</t>
  </si>
  <si>
    <t>Excel Mri, PA.</t>
  </si>
  <si>
    <t>4610 Oak Grove Pkwy N</t>
  </si>
  <si>
    <t>(612) 242-2169</t>
  </si>
  <si>
    <t>1194186189</t>
  </si>
  <si>
    <t>Feller Chiropractic</t>
  </si>
  <si>
    <t>1404 85th Ave N</t>
  </si>
  <si>
    <t>55444</t>
  </si>
  <si>
    <t>(763) 561-6020</t>
  </si>
  <si>
    <t>1356406540</t>
  </si>
  <si>
    <t>Frikken Fitness, LLC.</t>
  </si>
  <si>
    <t>8507 Jefferson Ln N</t>
  </si>
  <si>
    <t>(320) 282-0308</t>
  </si>
  <si>
    <t>1740807510</t>
  </si>
  <si>
    <t>Globa Chiropractic, PA.</t>
  </si>
  <si>
    <t>9580 Noble Parkway North</t>
  </si>
  <si>
    <t>1205188356</t>
  </si>
  <si>
    <t>Heu Chiropractic Spa, P. A.</t>
  </si>
  <si>
    <t>6901 78th Ave N</t>
  </si>
  <si>
    <t>(763) 566-1520</t>
  </si>
  <si>
    <t>1306175419</t>
  </si>
  <si>
    <t>Injury Physicians, PLLC</t>
  </si>
  <si>
    <t>7648 Zane Ave N</t>
  </si>
  <si>
    <t>(800) 633-3435</t>
  </si>
  <si>
    <t>1881082709</t>
  </si>
  <si>
    <t>Inner Light Chiropractic, PA.</t>
  </si>
  <si>
    <t>4630 97th Ave N</t>
  </si>
  <si>
    <t>(763) 486-3945</t>
  </si>
  <si>
    <t>1396715686</t>
  </si>
  <si>
    <t>Lachinski Chiropractic, PA.</t>
  </si>
  <si>
    <t>9580 Noble Pkwy N</t>
  </si>
  <si>
    <t>1851569651</t>
  </si>
  <si>
    <t>Lakewood Mri Center, LLC</t>
  </si>
  <si>
    <t>(763) 488-1666</t>
  </si>
  <si>
    <t>1417495698</t>
  </si>
  <si>
    <t>Maximum Life Chiropractic</t>
  </si>
  <si>
    <t>8509 Jefferson Ln N</t>
  </si>
  <si>
    <t>(763) 311-5128</t>
  </si>
  <si>
    <t>Maximum Life, INC.</t>
  </si>
  <si>
    <t>1902086143</t>
  </si>
  <si>
    <t>Metronet Chiropractc Services, PA</t>
  </si>
  <si>
    <t>7420 Unity Ave N</t>
  </si>
  <si>
    <t>(763) 560-0712</t>
  </si>
  <si>
    <t>1326229063</t>
  </si>
  <si>
    <t>Northwest Mri Center</t>
  </si>
  <si>
    <t>(651) 210-1666</t>
  </si>
  <si>
    <t>1346652609</t>
  </si>
  <si>
    <t>Pain Clinics of Minnesota PA.</t>
  </si>
  <si>
    <t>4600 Oak Grove Parkway</t>
  </si>
  <si>
    <t>1104286772</t>
  </si>
  <si>
    <t>Park Nicollet Clinic</t>
  </si>
  <si>
    <t>7000 Target Pkwy N</t>
  </si>
  <si>
    <t>(952) 977-1985</t>
  </si>
  <si>
    <t>1447668678</t>
  </si>
  <si>
    <t>Patient First, PA.</t>
  </si>
  <si>
    <t>3330 Brookdale Drive</t>
  </si>
  <si>
    <t>1295966059</t>
  </si>
  <si>
    <t>Prohealth Chiropractic Center</t>
  </si>
  <si>
    <t>8058 Brooklyn Blvd</t>
  </si>
  <si>
    <t>(763) 425-1855</t>
  </si>
  <si>
    <t>J &amp; J Chiropractic, PA</t>
  </si>
  <si>
    <t>1356523849</t>
  </si>
  <si>
    <t>Revolution Chiropractic Wellness Center PLLC</t>
  </si>
  <si>
    <t>(763) 425-4577</t>
  </si>
  <si>
    <t>1275778763</t>
  </si>
  <si>
    <t>7714 Brooklyn Blvd</t>
  </si>
  <si>
    <t>(763) 566-3919</t>
  </si>
  <si>
    <t>1841250305</t>
  </si>
  <si>
    <t>Soli Chiropractic, PA</t>
  </si>
  <si>
    <t>7240 Brooklyn Blvd</t>
  </si>
  <si>
    <t>(763) 560-0750</t>
  </si>
  <si>
    <t>1669781753</t>
  </si>
  <si>
    <t>The Walton Clinic, LTD</t>
  </si>
  <si>
    <t>6264 Boone Ave N</t>
  </si>
  <si>
    <t>(651) 442-1731</t>
  </si>
  <si>
    <t>1427334382</t>
  </si>
  <si>
    <t>Achieve Health Clinic of Chiropractic</t>
  </si>
  <si>
    <t>11350 Aquila Dr N</t>
  </si>
  <si>
    <t>Ste 825</t>
  </si>
  <si>
    <t>(763) 323-3456</t>
  </si>
  <si>
    <t>1013192640</t>
  </si>
  <si>
    <t>Advanced Wellness &amp; Sports Rehab PA</t>
  </si>
  <si>
    <t>11132 Commerce Ln N</t>
  </si>
  <si>
    <t>(763) 291-0202</t>
  </si>
  <si>
    <t>1790181915</t>
  </si>
  <si>
    <t>Apex Chiropractic of Champlin</t>
  </si>
  <si>
    <t>11468 Marketplace Dr N</t>
  </si>
  <si>
    <t>(763) 421-2710</t>
  </si>
  <si>
    <t>1225105570</t>
  </si>
  <si>
    <t>Bammert Family Chiropractic, LLC</t>
  </si>
  <si>
    <t>11583 Theatre Dr N</t>
  </si>
  <si>
    <t>(763) 427-4300</t>
  </si>
  <si>
    <t>1326326661</t>
  </si>
  <si>
    <t>Brist Chiropractic &amp; Naturopathic Wellness Center LLC</t>
  </si>
  <si>
    <t>12176 Ensign Ave N</t>
  </si>
  <si>
    <t>(763) 546-9151</t>
  </si>
  <si>
    <t>1760719884</t>
  </si>
  <si>
    <t>Champlin Dayton Chiropractic Center</t>
  </si>
  <si>
    <t>11225 Commerce Dr N</t>
  </si>
  <si>
    <t>(763) 421-8588</t>
  </si>
  <si>
    <t>Bechard Chiropractic INC</t>
  </si>
  <si>
    <t>1043275464</t>
  </si>
  <si>
    <t>Champlin Family Chiropractic LLC</t>
  </si>
  <si>
    <t>11452 Jefferson Ct</t>
  </si>
  <si>
    <t>(763) 427-5545</t>
  </si>
  <si>
    <t>1790922045</t>
  </si>
  <si>
    <t>Dimensions Chiropractic and Wellness</t>
  </si>
  <si>
    <t>11309 Toledo Ave</t>
  </si>
  <si>
    <t>(763) 670-9144</t>
  </si>
  <si>
    <t>1740690353</t>
  </si>
  <si>
    <t>Minnesota Natural Medicine Center, PA</t>
  </si>
  <si>
    <t>8900 109th Ave N</t>
  </si>
  <si>
    <t>Ste #700</t>
  </si>
  <si>
    <t>(763) 807-6817</t>
  </si>
  <si>
    <t>1457761801</t>
  </si>
  <si>
    <t>1659893410</t>
  </si>
  <si>
    <t>Family Focus Chiropractic, LLC</t>
  </si>
  <si>
    <t>18924 Lake Dr E</t>
  </si>
  <si>
    <t>(952) 474-1949</t>
  </si>
  <si>
    <t>1528324423</t>
  </si>
  <si>
    <t>Pdr Chanhassen, LTD</t>
  </si>
  <si>
    <t>Injury Physicians, Chiropractic</t>
  </si>
  <si>
    <t>18912 Lake Dr E</t>
  </si>
  <si>
    <t>(952) 908-2730</t>
  </si>
  <si>
    <t>1992021851</t>
  </si>
  <si>
    <t>Corcoran Hamel Chiropractic</t>
  </si>
  <si>
    <t>20010 75th Ave N</t>
  </si>
  <si>
    <t>Corcoran</t>
  </si>
  <si>
    <t>(763) 416-4878</t>
  </si>
  <si>
    <t>Comfort Chiropractic Care PLLC</t>
  </si>
  <si>
    <t>1104491026</t>
  </si>
  <si>
    <t>Abel Chiropractic Clinic</t>
  </si>
  <si>
    <t>3411 Winnetka Ave N</t>
  </si>
  <si>
    <t>(763) 593-1860</t>
  </si>
  <si>
    <t>1013101534</t>
  </si>
  <si>
    <t>Back To Life Natural Health Center</t>
  </si>
  <si>
    <t>2960 Winnetka Ave N</t>
  </si>
  <si>
    <t>(763) 546-3736</t>
  </si>
  <si>
    <t>1073821260</t>
  </si>
  <si>
    <t>Bass Lake Chiropractic Clinic, PA.</t>
  </si>
  <si>
    <t>5640 W Broadway Ave</t>
  </si>
  <si>
    <t>(763) 537-8070</t>
  </si>
  <si>
    <t>1487747226</t>
  </si>
  <si>
    <t>Colleen Martens Endrizzi, INC.</t>
  </si>
  <si>
    <t>1415 Lilac Dr N</t>
  </si>
  <si>
    <t>(651) 246-2087</t>
  </si>
  <si>
    <t>1174750467</t>
  </si>
  <si>
    <t>Northwoods Spine Instsitute, PA</t>
  </si>
  <si>
    <t>5524 W Broadway Ave</t>
  </si>
  <si>
    <t>(763) 533-7700</t>
  </si>
  <si>
    <t>1013100395</t>
  </si>
  <si>
    <t>West Metro Chiropractic Clinic</t>
  </si>
  <si>
    <t>2756 Douglas Dr N</t>
  </si>
  <si>
    <t>(763) 554-9667</t>
  </si>
  <si>
    <t>1578781449</t>
  </si>
  <si>
    <t>Healing Menagerie Acres</t>
  </si>
  <si>
    <t>13691 Pineview Ln N</t>
  </si>
  <si>
    <t>(763) 496-7881</t>
  </si>
  <si>
    <t>1326521865</t>
  </si>
  <si>
    <t>Altrui Sc</t>
  </si>
  <si>
    <t>11985 Technology Dr</t>
  </si>
  <si>
    <t>(612) 599-9130</t>
  </si>
  <si>
    <t>1366051278</t>
  </si>
  <si>
    <t>Athletept, LLC</t>
  </si>
  <si>
    <t>7210 Washington Ave S</t>
  </si>
  <si>
    <t>(952) 322-7383</t>
  </si>
  <si>
    <t>1770857195</t>
  </si>
  <si>
    <t>Benjamin P Hartman DC LLC</t>
  </si>
  <si>
    <t>(952) 913-3733</t>
  </si>
  <si>
    <t>1922509967</t>
  </si>
  <si>
    <t>Cadence Chiropractic, PLLC</t>
  </si>
  <si>
    <t>6409 City West Pkwy</t>
  </si>
  <si>
    <t>(612) 562-9692</t>
  </si>
  <si>
    <t>1821547944</t>
  </si>
  <si>
    <t>Casey J Oie PA</t>
  </si>
  <si>
    <t>16550 W 78th St</t>
  </si>
  <si>
    <t>55346</t>
  </si>
  <si>
    <t>(952) 974-9740</t>
  </si>
  <si>
    <t>1083882500</t>
  </si>
  <si>
    <t>Cdi Fairview Eden Prairie LLC</t>
  </si>
  <si>
    <t>1679512172</t>
  </si>
  <si>
    <t>Chirocenter-Eden Prairie</t>
  </si>
  <si>
    <t>7810 Terrey Pine Ct</t>
  </si>
  <si>
    <t>Prairie Village Chiropractic Clinic</t>
  </si>
  <si>
    <t>1437340205</t>
  </si>
  <si>
    <t>Davis Chiropractic, PA.</t>
  </si>
  <si>
    <t>330 Prairie Center Drive</t>
  </si>
  <si>
    <t>(612) 501-1036</t>
  </si>
  <si>
    <t>1124225354</t>
  </si>
  <si>
    <t>Diagnostic Imaging of South Jersey PC</t>
  </si>
  <si>
    <t>(952) 595-1301</t>
  </si>
  <si>
    <t>1972532018</t>
  </si>
  <si>
    <t>Dr. Olinda Floro PA</t>
  </si>
  <si>
    <t>9198 E Staring Ln</t>
  </si>
  <si>
    <t>(952) 934-7582</t>
  </si>
  <si>
    <t>1457450504</t>
  </si>
  <si>
    <t>Dr. Paul C Deglmann DC, LLC</t>
  </si>
  <si>
    <t>6805 Flying Cloud Drive</t>
  </si>
  <si>
    <t>1790904571</t>
  </si>
  <si>
    <t>Element Chiropractic, PA.</t>
  </si>
  <si>
    <t>Ste #240</t>
  </si>
  <si>
    <t>1700159878</t>
  </si>
  <si>
    <t>Everhealth Chiropractic</t>
  </si>
  <si>
    <t>7114 Shady Oak Rd</t>
  </si>
  <si>
    <t>(952) 943-2440</t>
  </si>
  <si>
    <t>Curnow Clinic, PLLC</t>
  </si>
  <si>
    <t>1679184162</t>
  </si>
  <si>
    <t>Flying Cloud Physical Therapy, PA.</t>
  </si>
  <si>
    <t>1942493218</t>
  </si>
  <si>
    <t>Healthsource of Eden Prairie, PLLC</t>
  </si>
  <si>
    <t>7920 Mitchell Rd</t>
  </si>
  <si>
    <t>(612) 396-4520</t>
  </si>
  <si>
    <t>1144523689</t>
  </si>
  <si>
    <t>Healthsource of Edina</t>
  </si>
  <si>
    <t>15670 Michele Ln</t>
  </si>
  <si>
    <t>Healthsource of Edina, PLLC</t>
  </si>
  <si>
    <t>1366884900</t>
  </si>
  <si>
    <t>Healthstar Chiropractic Center, PA.</t>
  </si>
  <si>
    <t>7525 Mitchell Rd</t>
  </si>
  <si>
    <t>(952) 974-2091</t>
  </si>
  <si>
    <t>1053432989</t>
  </si>
  <si>
    <t>Innate Ability Chiropractic, LLC</t>
  </si>
  <si>
    <t>6520 Edenvale Blvd</t>
  </si>
  <si>
    <t>(952) 746-5199</t>
  </si>
  <si>
    <t>1548582802</t>
  </si>
  <si>
    <t>Inspired Athletx</t>
  </si>
  <si>
    <t>Inspired Athletics LLC</t>
  </si>
  <si>
    <t>1932651205</t>
  </si>
  <si>
    <t>Law of Life Chiropractic PLLC</t>
  </si>
  <si>
    <t>12100 Singletree Ln</t>
  </si>
  <si>
    <t>Ste 129</t>
  </si>
  <si>
    <t>(612) 618-0449</t>
  </si>
  <si>
    <t>1407145725</t>
  </si>
  <si>
    <t>Matthew J Alvord DC LTD</t>
  </si>
  <si>
    <t>8781 Columbine Rd</t>
  </si>
  <si>
    <t>(952) 944-2133</t>
  </si>
  <si>
    <t>1275787376</t>
  </si>
  <si>
    <t>Orthorehab Specialists, INC</t>
  </si>
  <si>
    <t>800 Prairie Center Dr</t>
  </si>
  <si>
    <t>(952) 746-5858</t>
  </si>
  <si>
    <t>1669675682</t>
  </si>
  <si>
    <t>(952) 873-7400</t>
  </si>
  <si>
    <t>Park Nicollet</t>
  </si>
  <si>
    <t>(952) 993-7470</t>
  </si>
  <si>
    <t>1053623785</t>
  </si>
  <si>
    <t>Prairie View Chiropractic Clinic, PA.</t>
  </si>
  <si>
    <t>(952) 697-0054</t>
  </si>
  <si>
    <t>1154592434</t>
  </si>
  <si>
    <t>Premier Sports and Spine Center</t>
  </si>
  <si>
    <t>(952) 479-0043</t>
  </si>
  <si>
    <t>Premier Health Services</t>
  </si>
  <si>
    <t>1407168487</t>
  </si>
  <si>
    <t>Prospine Health and Injury Center</t>
  </si>
  <si>
    <t>8345 Crystal View Rd</t>
  </si>
  <si>
    <t>Robson Clinic LLC</t>
  </si>
  <si>
    <t>1427146265</t>
  </si>
  <si>
    <t>Real Health Chiropractic Clinic</t>
  </si>
  <si>
    <t>(952) 224-0607</t>
  </si>
  <si>
    <t>Matousek Chiropractic, PA.</t>
  </si>
  <si>
    <t>1689752750</t>
  </si>
  <si>
    <t>Renewal Rehab</t>
  </si>
  <si>
    <t>(952) 444-5000</t>
  </si>
  <si>
    <t>Renewal MN LLC</t>
  </si>
  <si>
    <t>1376211540</t>
  </si>
  <si>
    <t>Royal Care Chiropractic PLLC</t>
  </si>
  <si>
    <t>(763) 227-1912</t>
  </si>
  <si>
    <t>1255729109</t>
  </si>
  <si>
    <t>Scholastic Health Group</t>
  </si>
  <si>
    <t>1407303688</t>
  </si>
  <si>
    <t>Smart Choice Mri, LLC</t>
  </si>
  <si>
    <t>13000 Technology Dr</t>
  </si>
  <si>
    <t>(844) 633-3674</t>
  </si>
  <si>
    <t>1417494196</t>
  </si>
  <si>
    <t>Spinal Health</t>
  </si>
  <si>
    <t>#129</t>
  </si>
  <si>
    <t>(952) 746-1256</t>
  </si>
  <si>
    <t>1992030613</t>
  </si>
  <si>
    <t>Steven D. Moe, INC.</t>
  </si>
  <si>
    <t>1205012861</t>
  </si>
  <si>
    <t>Total Health Chiropractic and Wellness</t>
  </si>
  <si>
    <t>(218) 393-7772</t>
  </si>
  <si>
    <t>Colich Chiropractic Clinic</t>
  </si>
  <si>
    <t>1114478005</t>
  </si>
  <si>
    <t>Twin Cities Spine &amp; Sports, PLLC</t>
  </si>
  <si>
    <t>1144492083</t>
  </si>
  <si>
    <t>Ultimate Health Chiropractic, PLLC</t>
  </si>
  <si>
    <t>(952) 541-0148</t>
  </si>
  <si>
    <t>1225300676</t>
  </si>
  <si>
    <t>Valeo Health &amp; Wellness Center PLLC</t>
  </si>
  <si>
    <t>1396982393</t>
  </si>
  <si>
    <t>Vital Elements Healing Center LLC</t>
  </si>
  <si>
    <t>9975 Valley View Rd</t>
  </si>
  <si>
    <t>(941) 952-1087</t>
  </si>
  <si>
    <t>1558840595</t>
  </si>
  <si>
    <t>Vitality Health and Wellness</t>
  </si>
  <si>
    <t>1447436944</t>
  </si>
  <si>
    <t>Wangerin Chiropractic &amp; Alternative Medicine, P. A.</t>
  </si>
  <si>
    <t>(952) 412-1880</t>
  </si>
  <si>
    <t>1760418362</t>
  </si>
  <si>
    <t>Well Chiropractic</t>
  </si>
  <si>
    <t>966 Prairie Center Dr</t>
  </si>
  <si>
    <t>(763) 913-6156</t>
  </si>
  <si>
    <t>1013366533</t>
  </si>
  <si>
    <t>50th &amp; France Chiropractic</t>
  </si>
  <si>
    <t>3948 W 50th St</t>
  </si>
  <si>
    <t>(952) 920-4528</t>
  </si>
  <si>
    <t>Jo &amp; Clark Chiropractic, PA.</t>
  </si>
  <si>
    <t>1962613513</t>
  </si>
  <si>
    <t>50th &amp; France Chiropractic &amp; Wellness PLLC</t>
  </si>
  <si>
    <t>1730105495</t>
  </si>
  <si>
    <t>Advacare Medical Clinic LTD</t>
  </si>
  <si>
    <t>(651) 354-6602</t>
  </si>
  <si>
    <t>1578116786</t>
  </si>
  <si>
    <t>Andrea Burckhard DC PA</t>
  </si>
  <si>
    <t>Ste 360</t>
  </si>
  <si>
    <t>(952) 920-3215</t>
  </si>
  <si>
    <t>1770878761</t>
  </si>
  <si>
    <t>Beth Groenke, DDS, MS</t>
  </si>
  <si>
    <t>7600 France Ave S</t>
  </si>
  <si>
    <t>(888) 964-6681</t>
  </si>
  <si>
    <t>1447699335</t>
  </si>
  <si>
    <t>Body &amp; Soul Therapy</t>
  </si>
  <si>
    <t>7200 France Ave S</t>
  </si>
  <si>
    <t>Ste 227</t>
  </si>
  <si>
    <t>(952) 830-4615</t>
  </si>
  <si>
    <t>Brenda Becher Ingwalson</t>
  </si>
  <si>
    <t>1912129123</t>
  </si>
  <si>
    <t>Burke Chiropractic Center PA.</t>
  </si>
  <si>
    <t>7250 France Ave S</t>
  </si>
  <si>
    <t>111</t>
  </si>
  <si>
    <t>(952) 835-0006</t>
  </si>
  <si>
    <t>1881856722</t>
  </si>
  <si>
    <t>Cardinal Family Chiropractic, LTD.</t>
  </si>
  <si>
    <t>7701 York Ave S</t>
  </si>
  <si>
    <t>Ste #155</t>
  </si>
  <si>
    <t>(952) 698-4180</t>
  </si>
  <si>
    <t>1710183439</t>
  </si>
  <si>
    <t>Child and Family Chiropractic Center, LLC</t>
  </si>
  <si>
    <t>4444 W. 76th St.,</t>
  </si>
  <si>
    <t>(612) 590-5881</t>
  </si>
  <si>
    <t>1578799870</t>
  </si>
  <si>
    <t>Chiropractic Health &amp; Wellness Center, PA.</t>
  </si>
  <si>
    <t>3400 W. 66th St.</t>
  </si>
  <si>
    <t>Ste 128</t>
  </si>
  <si>
    <t>(952) 835-6750</t>
  </si>
  <si>
    <t>1780703678</t>
  </si>
  <si>
    <t>Discover Life Chiropractic, LLC</t>
  </si>
  <si>
    <t>4820 W 77th St</t>
  </si>
  <si>
    <t>(952) 426-3554</t>
  </si>
  <si>
    <t>1558636225</t>
  </si>
  <si>
    <t>Eden Chriopractic and Rehabilitation, LLC</t>
  </si>
  <si>
    <t>Ste 308</t>
  </si>
  <si>
    <t>(612) 360-5970</t>
  </si>
  <si>
    <t>1922248087</t>
  </si>
  <si>
    <t>Evans Chiropractic PA</t>
  </si>
  <si>
    <t>4010 W 65th St</t>
  </si>
  <si>
    <t>#217</t>
  </si>
  <si>
    <t>(952) 929-3602</t>
  </si>
  <si>
    <t>1841459237</t>
  </si>
  <si>
    <t>Eyvindsson Chiropractic</t>
  </si>
  <si>
    <t>7300 France Ave S</t>
  </si>
  <si>
    <t>(612) 237-4617</t>
  </si>
  <si>
    <t>1528301769</t>
  </si>
  <si>
    <t>Frank Y Wei MD PLLC</t>
  </si>
  <si>
    <t>6600 France Avenue South</t>
  </si>
  <si>
    <t>615</t>
  </si>
  <si>
    <t>(952) 926-8925</t>
  </si>
  <si>
    <t>1245360155</t>
  </si>
  <si>
    <t>Functional Chiropractic and Laser</t>
  </si>
  <si>
    <t>5151 Edina Industrial Blvd</t>
  </si>
  <si>
    <t>600</t>
  </si>
  <si>
    <t>(612) 787-7246</t>
  </si>
  <si>
    <t>1992142764</t>
  </si>
  <si>
    <t>Got Your Back Chiropractic and Wellness Clinic PC.</t>
  </si>
  <si>
    <t>5916 France Ave S</t>
  </si>
  <si>
    <t>(612) 296-5314</t>
  </si>
  <si>
    <t>1508145095</t>
  </si>
  <si>
    <t>Great Lakes Injury Center, PLLC</t>
  </si>
  <si>
    <t>4444 W 76th St</t>
  </si>
  <si>
    <t>(612) 315-5047</t>
  </si>
  <si>
    <t>1447644257</t>
  </si>
  <si>
    <t>Health &amp; Wellness Center - Edina</t>
  </si>
  <si>
    <t>(952) 562-2420</t>
  </si>
  <si>
    <t>Leske Chiropractic, PA</t>
  </si>
  <si>
    <t>1386935831</t>
  </si>
  <si>
    <t>Health Wellness Center Management LLC</t>
  </si>
  <si>
    <t>1508191255</t>
  </si>
  <si>
    <t>Healthworks Chiropractic Care &amp; Rehab Center PA</t>
  </si>
  <si>
    <t>5125 Edina Industrial Blvd</t>
  </si>
  <si>
    <t>(952) 835-5700</t>
  </si>
  <si>
    <t>1689884801</t>
  </si>
  <si>
    <t>Inner Balance Family Chiropractic PLC</t>
  </si>
  <si>
    <t>(612) 481-4457</t>
  </si>
  <si>
    <t>1144641978</t>
  </si>
  <si>
    <t>Integrated Health of Minnesota LLC</t>
  </si>
  <si>
    <t>Ste 300A</t>
  </si>
  <si>
    <t>(612) 200-0857</t>
  </si>
  <si>
    <t>1306268826</t>
  </si>
  <si>
    <t>Integrated Medical Rehabilitation of MN, LLC</t>
  </si>
  <si>
    <t>(952) 837-8991</t>
  </si>
  <si>
    <t>1740283597</t>
  </si>
  <si>
    <t>5101 Vernon Ave S</t>
  </si>
  <si>
    <t>Ste 301</t>
  </si>
  <si>
    <t>1598768228</t>
  </si>
  <si>
    <t>Kc Core</t>
  </si>
  <si>
    <t>(712) 229-8837</t>
  </si>
  <si>
    <t>Kc Core MN PLLC</t>
  </si>
  <si>
    <t>1952847741</t>
  </si>
  <si>
    <t>Lallier Chiropractic PA.</t>
  </si>
  <si>
    <t>(952) 933-4727</t>
  </si>
  <si>
    <t>1770724056</t>
  </si>
  <si>
    <t>Lil Schroeder Physical Therapy</t>
  </si>
  <si>
    <t>5200 W 73rd St</t>
  </si>
  <si>
    <t>(952) 946-6926</t>
  </si>
  <si>
    <t>1881731982</t>
  </si>
  <si>
    <t>Lion Thorn Clinic</t>
  </si>
  <si>
    <t>Ste 504</t>
  </si>
  <si>
    <t>(952) 922-9462</t>
  </si>
  <si>
    <t>Tattoo Removal Shop</t>
  </si>
  <si>
    <t>1558801357</t>
  </si>
  <si>
    <t>Mark C Engasser M D P A</t>
  </si>
  <si>
    <t>Ste 615</t>
  </si>
  <si>
    <t>(952) 920-4333</t>
  </si>
  <si>
    <t>1881815322</t>
  </si>
  <si>
    <t>(952) 920-9721</t>
  </si>
  <si>
    <t>Marty Clinic PA</t>
  </si>
  <si>
    <t>1588611438</t>
  </si>
  <si>
    <t>Mccoy Physical Therapy Solutions</t>
  </si>
  <si>
    <t>7550 France Ave S</t>
  </si>
  <si>
    <t>(651) 808-0356</t>
  </si>
  <si>
    <t>1922698661</t>
  </si>
  <si>
    <t>Mellin Chiropractic Care Clinic, PC.</t>
  </si>
  <si>
    <t>(952) 921-0333</t>
  </si>
  <si>
    <t>1063599421</t>
  </si>
  <si>
    <t>Metro Rehab LLC</t>
  </si>
  <si>
    <t>Ste 111B</t>
  </si>
  <si>
    <t>(612) 310-8844</t>
  </si>
  <si>
    <t>1003231747</t>
  </si>
  <si>
    <t>Minnesota Radiology</t>
  </si>
  <si>
    <t>4000 W 76th St</t>
  </si>
  <si>
    <t>(952) 853-7226</t>
  </si>
  <si>
    <t>Proactive Imaging LLC</t>
  </si>
  <si>
    <t>1619970910</t>
  </si>
  <si>
    <t>Moore Chiropractic PLLC</t>
  </si>
  <si>
    <t>1083853410</t>
  </si>
  <si>
    <t>#515</t>
  </si>
  <si>
    <t>Motion Lab Chiropractic PLLC</t>
  </si>
  <si>
    <t>(612) 963-7844</t>
  </si>
  <si>
    <t>1598210015</t>
  </si>
  <si>
    <t>Orthopedic Specialists, PA.</t>
  </si>
  <si>
    <t>Ste 605</t>
  </si>
  <si>
    <t>1568532190</t>
  </si>
  <si>
    <t>(952) 922-0330</t>
  </si>
  <si>
    <t>1750584777</t>
  </si>
  <si>
    <t>Pactforpain</t>
  </si>
  <si>
    <t>4700 Dale Dr</t>
  </si>
  <si>
    <t>Seven Realms Solutions</t>
  </si>
  <si>
    <t>1235611922</t>
  </si>
  <si>
    <t>Paul T. Wicklund, MD., PA.</t>
  </si>
  <si>
    <t>Ste 363</t>
  </si>
  <si>
    <t>(952) 405-8724</t>
  </si>
  <si>
    <t>1407155054</t>
  </si>
  <si>
    <t>Pearson Chiropractic Clinic</t>
  </si>
  <si>
    <t>(952) 835-4772</t>
  </si>
  <si>
    <t>1811124563</t>
  </si>
  <si>
    <t>Physicians' Diagnostics &amp; Rehabilitation,ltd</t>
  </si>
  <si>
    <t>7700 France Ave S</t>
  </si>
  <si>
    <t>1073626081</t>
  </si>
  <si>
    <t>Premier Interventional Pain Specialists</t>
  </si>
  <si>
    <t>7450 France Ave S</t>
  </si>
  <si>
    <t>1184200081</t>
  </si>
  <si>
    <t>Premier Spine and Pain Clinics</t>
  </si>
  <si>
    <t>Saeger Spine and Pain Clinics PA</t>
  </si>
  <si>
    <t>1265051627</t>
  </si>
  <si>
    <t>Restorative Health Solutions PA</t>
  </si>
  <si>
    <t>Ste 155</t>
  </si>
  <si>
    <t>(763) 913-0923</t>
  </si>
  <si>
    <t>1558745778</t>
  </si>
  <si>
    <t>Seeds of Change Health and Wellness Center</t>
  </si>
  <si>
    <t>3939 W 69th St</t>
  </si>
  <si>
    <t>Unit B</t>
  </si>
  <si>
    <t>Phoenix Physical Therapy, INC.</t>
  </si>
  <si>
    <t>1033115084</t>
  </si>
  <si>
    <t>Select Health of the Twin Cities</t>
  </si>
  <si>
    <t>(952) 500-8090</t>
  </si>
  <si>
    <t>Minnesota Disc Institute, PA</t>
  </si>
  <si>
    <t>1396966057</t>
  </si>
  <si>
    <t>She PT LLC</t>
  </si>
  <si>
    <t>5410 Abbott Pl</t>
  </si>
  <si>
    <t>(602) 578-9999</t>
  </si>
  <si>
    <t>1366916363</t>
  </si>
  <si>
    <t>Spinal Motion Chiropractic PLLC</t>
  </si>
  <si>
    <t>Ste 515</t>
  </si>
  <si>
    <t>(651) 230-5355</t>
  </si>
  <si>
    <t>1275835589</t>
  </si>
  <si>
    <t>Swanson Family Chiropractic, PA.</t>
  </si>
  <si>
    <t>Ste 123</t>
  </si>
  <si>
    <t>(952) 922-9513</t>
  </si>
  <si>
    <t>1881749059</t>
  </si>
  <si>
    <t>Tc Core Spine and Sport</t>
  </si>
  <si>
    <t>(952) 922-9066</t>
  </si>
  <si>
    <t>1851858872</t>
  </si>
  <si>
    <t>7235 Ohms Ln</t>
  </si>
  <si>
    <t>1215003066</t>
  </si>
  <si>
    <t>Twin Cities Pain Management, PLLC</t>
  </si>
  <si>
    <t>(952) 831-7246</t>
  </si>
  <si>
    <t>1730472218</t>
  </si>
  <si>
    <t>Twin Cities Spine &amp; Sports, LLC</t>
  </si>
  <si>
    <t>4510 W 77th St</t>
  </si>
  <si>
    <t>Ste 222</t>
  </si>
  <si>
    <t>(612) 520-1823</t>
  </si>
  <si>
    <t>1902293202</t>
  </si>
  <si>
    <t>Vitality Life Chiropractic, LLC</t>
  </si>
  <si>
    <t>7250 France Ave S,</t>
  </si>
  <si>
    <t>1992216295</t>
  </si>
  <si>
    <t>5400 France Ave S</t>
  </si>
  <si>
    <t>1629595947</t>
  </si>
  <si>
    <t>Warren Internal Health</t>
  </si>
  <si>
    <t>3601 Minnesota Dr</t>
  </si>
  <si>
    <t>Ste 800</t>
  </si>
  <si>
    <t>(952) 921-5858</t>
  </si>
  <si>
    <t>1225334493</t>
  </si>
  <si>
    <t>William T. Simonet, Md,pa</t>
  </si>
  <si>
    <t>(952) 915-8324</t>
  </si>
  <si>
    <t>1609097849</t>
  </si>
  <si>
    <t>Davis Chiropractic</t>
  </si>
  <si>
    <t>6140 Lake Linden Dr</t>
  </si>
  <si>
    <t>(952) 474-0886</t>
  </si>
  <si>
    <t>Slp Chiropractic, PA</t>
  </si>
  <si>
    <t>1003016296</t>
  </si>
  <si>
    <t>Empower Chiropractic and Wellness Center PLLC.</t>
  </si>
  <si>
    <t>(952) 474-3359</t>
  </si>
  <si>
    <t>1689031791</t>
  </si>
  <si>
    <t>Health Source Shorewood</t>
  </si>
  <si>
    <t>1013140599</t>
  </si>
  <si>
    <t>Knewtson Family Chiropractic PA</t>
  </si>
  <si>
    <t>23505 Smithtown Rd</t>
  </si>
  <si>
    <t>(952) 470-8555</t>
  </si>
  <si>
    <t>1477589109</t>
  </si>
  <si>
    <t>Legend Chiropractic, LLC</t>
  </si>
  <si>
    <t>2467 Highway 7</t>
  </si>
  <si>
    <t>(952) 381-9476</t>
  </si>
  <si>
    <t>1720611932</t>
  </si>
  <si>
    <t>M. Hope PA</t>
  </si>
  <si>
    <t>21450 Highway 7</t>
  </si>
  <si>
    <t>(952) 474-9393</t>
  </si>
  <si>
    <t>1730381021</t>
  </si>
  <si>
    <t>Marty Chiropractic-Excelsior INC</t>
  </si>
  <si>
    <t>464 Second Street</t>
  </si>
  <si>
    <t>(952) 474-4121</t>
  </si>
  <si>
    <t>1003830787</t>
  </si>
  <si>
    <t>South Lake Chiropractic PLLC</t>
  </si>
  <si>
    <t>24000 Highway 7</t>
  </si>
  <si>
    <t>Ste 215</t>
  </si>
  <si>
    <t>(952) 474-2395</t>
  </si>
  <si>
    <t>1447630223</t>
  </si>
  <si>
    <t>Vine Hill Chiropractic</t>
  </si>
  <si>
    <t>19285 Highway 7</t>
  </si>
  <si>
    <t>(952) 473-3366</t>
  </si>
  <si>
    <t>Snyder Chiropractic</t>
  </si>
  <si>
    <t>1124238480</t>
  </si>
  <si>
    <t>675 Water St</t>
  </si>
  <si>
    <t>(952) 906-7855</t>
  </si>
  <si>
    <t>1396940052</t>
  </si>
  <si>
    <t>Abram A Voyen DC PA</t>
  </si>
  <si>
    <t>669 Winnetka Ave N</t>
  </si>
  <si>
    <t>(763) 595-9096</t>
  </si>
  <si>
    <t>1417259987</t>
  </si>
  <si>
    <t>Advanced Chiropractic Center, INC.</t>
  </si>
  <si>
    <t>2508 Hillsboro Ave N</t>
  </si>
  <si>
    <t>(763) 542-1141</t>
  </si>
  <si>
    <t>1760650840</t>
  </si>
  <si>
    <t>Andrashko Chiropractic Plus PC</t>
  </si>
  <si>
    <t>8421 Wayzata Blvd</t>
  </si>
  <si>
    <t>(952) 253-3880</t>
  </si>
  <si>
    <t>1962690784</t>
  </si>
  <si>
    <t>Back In Shape Chiropractic</t>
  </si>
  <si>
    <t>Christopher R. Larson, DC., PA.</t>
  </si>
  <si>
    <t>1346312147</t>
  </si>
  <si>
    <t>Chronic Pain Rehabilitation Program</t>
  </si>
  <si>
    <t>3915 Golden Valley Rd</t>
  </si>
  <si>
    <t>(612) 588-0811</t>
  </si>
  <si>
    <t>Courage Center</t>
  </si>
  <si>
    <t>1588716203</t>
  </si>
  <si>
    <t>Claussen Chiropractic, LLC</t>
  </si>
  <si>
    <t>8441 Wayzata Blvd</t>
  </si>
  <si>
    <t>Ste 370</t>
  </si>
  <si>
    <t>(952) 473-3336</t>
  </si>
  <si>
    <t>1013185768</t>
  </si>
  <si>
    <t>(763) 588-0811</t>
  </si>
  <si>
    <t>1992795280</t>
  </si>
  <si>
    <t>Folske Spine &amp; Rehab Clinic</t>
  </si>
  <si>
    <t>5851 Duluth St</t>
  </si>
  <si>
    <t>Ste 319</t>
  </si>
  <si>
    <t>(763) 546-0665</t>
  </si>
  <si>
    <t>1316190770</t>
  </si>
  <si>
    <t>Health West Chiropractic Center</t>
  </si>
  <si>
    <t>820 Lilac Dr N</t>
  </si>
  <si>
    <t>Ste 165</t>
  </si>
  <si>
    <t>(763) 442-5640</t>
  </si>
  <si>
    <t>1215275383</t>
  </si>
  <si>
    <t>Healthy Nation Consulting, INC</t>
  </si>
  <si>
    <t>115 Maddaus Ln</t>
  </si>
  <si>
    <t>(763) 746-6185</t>
  </si>
  <si>
    <t>1720311483</t>
  </si>
  <si>
    <t>Integrative Health Care Services, LLC</t>
  </si>
  <si>
    <t>(952) 846-9744</t>
  </si>
  <si>
    <t>1114266129</t>
  </si>
  <si>
    <t>Kelly Chiropractic, PA</t>
  </si>
  <si>
    <t>8421 Wayzata Blvd.</t>
  </si>
  <si>
    <t>(763) 231-0143</t>
  </si>
  <si>
    <t>1639237969</t>
  </si>
  <si>
    <t>Levernier Chiropractic, PA</t>
  </si>
  <si>
    <t>(763) 307-5530</t>
  </si>
  <si>
    <t>1114296993</t>
  </si>
  <si>
    <t>Minneapolis Clinic of Neurology, LTD</t>
  </si>
  <si>
    <t>Neurology, Physical Therapy</t>
  </si>
  <si>
    <t>4225 Golden Valley Rd</t>
  </si>
  <si>
    <t>(763) 588-0661</t>
  </si>
  <si>
    <t>1992739247</t>
  </si>
  <si>
    <t>Moritko Chiropractic, PA.</t>
  </si>
  <si>
    <t>810 Lilac Dr N</t>
  </si>
  <si>
    <t>#120</t>
  </si>
  <si>
    <t>(763) 588-5000</t>
  </si>
  <si>
    <t>1629326871</t>
  </si>
  <si>
    <t>Paramount Chiropractic Clinic, LLC</t>
  </si>
  <si>
    <t>1710 Douglas Dr N</t>
  </si>
  <si>
    <t>Ste # 280</t>
  </si>
  <si>
    <t>(651) 307-3842</t>
  </si>
  <si>
    <t>1922134030</t>
  </si>
  <si>
    <t>Premier Health of Golden Valley</t>
  </si>
  <si>
    <t>5801 Duluth St</t>
  </si>
  <si>
    <t>Ste 345</t>
  </si>
  <si>
    <t>(763) 354-7880</t>
  </si>
  <si>
    <t>Premier Health of Plymouth LTD</t>
  </si>
  <si>
    <t>1205117678</t>
  </si>
  <si>
    <t>Rehabilitation Services of Golden Valley, INC.</t>
  </si>
  <si>
    <t>800 Boone Ave N</t>
  </si>
  <si>
    <t>(612) 986-2084</t>
  </si>
  <si>
    <t>1720485394</t>
  </si>
  <si>
    <t>Resolution Chiropractic Professional Corporation</t>
  </si>
  <si>
    <t>5155 Winsdale St N</t>
  </si>
  <si>
    <t>(612) 408-9535</t>
  </si>
  <si>
    <t>1205174919</t>
  </si>
  <si>
    <t>Soderberg Physical Therapy LLC</t>
  </si>
  <si>
    <t>2040 Douglas Dr N</t>
  </si>
  <si>
    <t>(763) 525-9566</t>
  </si>
  <si>
    <t>1144236688</t>
  </si>
  <si>
    <t>Spring Gate Health, LLC</t>
  </si>
  <si>
    <t>(952) 393-1876</t>
  </si>
  <si>
    <t>1356684039</t>
  </si>
  <si>
    <t>Suma Mri, PA.</t>
  </si>
  <si>
    <t>604 Lilac Dr N</t>
  </si>
  <si>
    <t>(753) 521-5000</t>
  </si>
  <si>
    <t>Stand Up Mid America Mri, PA.</t>
  </si>
  <si>
    <t>1679601553</t>
  </si>
  <si>
    <t>Twin Cities Diagnostic Center, LLC.</t>
  </si>
  <si>
    <t>7570 Wayzata Boulevard</t>
  </si>
  <si>
    <t>(763) 717-8754</t>
  </si>
  <si>
    <t>1073953451</t>
  </si>
  <si>
    <t>Twin Cities Neurosurgery,pllc</t>
  </si>
  <si>
    <t>4440 Tyrol Crst</t>
  </si>
  <si>
    <t>(763) 427-8547</t>
  </si>
  <si>
    <t>1780625491</t>
  </si>
  <si>
    <t>US Neurosurgery Associates, PLLC</t>
  </si>
  <si>
    <t>1407427610</t>
  </si>
  <si>
    <t>Valley Wellness</t>
  </si>
  <si>
    <t>(763) 377-6655</t>
  </si>
  <si>
    <t>Dr. Richard Sand, DC., PA</t>
  </si>
  <si>
    <t>1255478665</t>
  </si>
  <si>
    <t>Fortin Health &amp; Wellness Clinic, PA</t>
  </si>
  <si>
    <t>149 Hamel Road</t>
  </si>
  <si>
    <t>(763) 478-3978</t>
  </si>
  <si>
    <t>1396850558</t>
  </si>
  <si>
    <t>Blake Chiropractic</t>
  </si>
  <si>
    <t>172 Blake Rd N</t>
  </si>
  <si>
    <t>(952) 933-6235</t>
  </si>
  <si>
    <t>Casey J Oie Chiropractic PA</t>
  </si>
  <si>
    <t>1386851897</t>
  </si>
  <si>
    <t>1593 Highway 7</t>
  </si>
  <si>
    <t>Jonathan E Steele DC PA</t>
  </si>
  <si>
    <t>1821266032</t>
  </si>
  <si>
    <t>Center For Alternative Health and Chiropractic PA</t>
  </si>
  <si>
    <t>17 10th Ave S</t>
  </si>
  <si>
    <t>(952) 541-5669</t>
  </si>
  <si>
    <t>1518037100</t>
  </si>
  <si>
    <t>Freestone Chiropractic</t>
  </si>
  <si>
    <t>724 Mainstreet</t>
  </si>
  <si>
    <t>(952) 943-2584</t>
  </si>
  <si>
    <t>Franklin Kruse Chiropractic PC</t>
  </si>
  <si>
    <t>1780856633</t>
  </si>
  <si>
    <t>Healthsource of Hopkins</t>
  </si>
  <si>
    <t>Kruse Clinic of Chiropractic</t>
  </si>
  <si>
    <t>1912337916</t>
  </si>
  <si>
    <t>Hopkins Back and Neck Clinic</t>
  </si>
  <si>
    <t>(952) 933-5085</t>
  </si>
  <si>
    <t>Hopkins Health and Wellness Center PA</t>
  </si>
  <si>
    <t>1396932067</t>
  </si>
  <si>
    <t>Hopkins Chiropractic PA</t>
  </si>
  <si>
    <t>(651) 206-5047</t>
  </si>
  <si>
    <t>1578912549</t>
  </si>
  <si>
    <t>Hopkins Spinal Care PA.</t>
  </si>
  <si>
    <t>10907 Excelsior Blvd</t>
  </si>
  <si>
    <t>(952) 930-3303</t>
  </si>
  <si>
    <t>1215986757</t>
  </si>
  <si>
    <t>Kruse Clinic of Chiropractic LLC</t>
  </si>
  <si>
    <t>1730414517</t>
  </si>
  <si>
    <t>Marty Chiropractic Hopkins PA.</t>
  </si>
  <si>
    <t>(952) 927-6639</t>
  </si>
  <si>
    <t>1669923413</t>
  </si>
  <si>
    <t>Marty Gullickson Chiropractic</t>
  </si>
  <si>
    <t>1306919998</t>
  </si>
  <si>
    <t>Progressive Health Care Solutions</t>
  </si>
  <si>
    <t>1932323144</t>
  </si>
  <si>
    <t>Align Health &amp; Wellness PA</t>
  </si>
  <si>
    <t>1850 W Wayzata Blvd</t>
  </si>
  <si>
    <t>(952) 476-2260</t>
  </si>
  <si>
    <t>1497175467</t>
  </si>
  <si>
    <t>Chiropracticusa</t>
  </si>
  <si>
    <t>Chiropractic First</t>
  </si>
  <si>
    <t>1376721878</t>
  </si>
  <si>
    <t>Plante Chiropractic Center, INC.</t>
  </si>
  <si>
    <t>2073 W Wayzata Blvd</t>
  </si>
  <si>
    <t>1508166216</t>
  </si>
  <si>
    <t>Arbor Lakes Chiropractic Center PA.</t>
  </si>
  <si>
    <t>7835 Main St</t>
  </si>
  <si>
    <t>(763) 494-4311</t>
  </si>
  <si>
    <t>1548483050</t>
  </si>
  <si>
    <t>Ascending Health Center, PLLC</t>
  </si>
  <si>
    <t>Ste Ll3</t>
  </si>
  <si>
    <t>(763) 614-8748</t>
  </si>
  <si>
    <t>1699049213</t>
  </si>
  <si>
    <t>Back In Motion Chiropractic</t>
  </si>
  <si>
    <t>9664 63rd Ave N</t>
  </si>
  <si>
    <t>(763) 504-0395</t>
  </si>
  <si>
    <t>1225182892</t>
  </si>
  <si>
    <t>Broman Chiropractic Clinic PA</t>
  </si>
  <si>
    <t>7237 Forestview Ln N</t>
  </si>
  <si>
    <t>(763) 420-8595</t>
  </si>
  <si>
    <t>1710125562</t>
  </si>
  <si>
    <t>Chiropractic Wellness PA</t>
  </si>
  <si>
    <t>11254 86th Ave N</t>
  </si>
  <si>
    <t>(763) 494-0090</t>
  </si>
  <si>
    <t>1942366679</t>
  </si>
  <si>
    <t>Cich Chiropractic</t>
  </si>
  <si>
    <t>13563 Grove Dr</t>
  </si>
  <si>
    <t>(763) 420-2226</t>
  </si>
  <si>
    <t>1225198856</t>
  </si>
  <si>
    <t>Conscious Chiropractic Center</t>
  </si>
  <si>
    <t>13786 Reimer Dr N</t>
  </si>
  <si>
    <t>(763) 337-4543</t>
  </si>
  <si>
    <t>1013441443</t>
  </si>
  <si>
    <t>Cortex Rehabilitation LLC</t>
  </si>
  <si>
    <t>11658 Fountains Dr</t>
  </si>
  <si>
    <t>(612) 284-1970</t>
  </si>
  <si>
    <t>1821765306</t>
  </si>
  <si>
    <t>DC Wellness Center</t>
  </si>
  <si>
    <t>9479 Garland Lane North</t>
  </si>
  <si>
    <t>(763) 494-8787</t>
  </si>
  <si>
    <t>Helminger Chiropractic, PA.</t>
  </si>
  <si>
    <t>1962670026</t>
  </si>
  <si>
    <t>Excel Family Chiropractic</t>
  </si>
  <si>
    <t>16334 County Road 30</t>
  </si>
  <si>
    <t>(763) 416-1799</t>
  </si>
  <si>
    <t>Nord Chiropractic, PA.</t>
  </si>
  <si>
    <t>1396001467</t>
  </si>
  <si>
    <t>Great Lakes Chiropractic LLC</t>
  </si>
  <si>
    <t>13601 80th Cir N</t>
  </si>
  <si>
    <t>(763) 420-4635</t>
  </si>
  <si>
    <t>1326164773</t>
  </si>
  <si>
    <t>Guse Chiropractic, PA.</t>
  </si>
  <si>
    <t>13704 Grove Dr</t>
  </si>
  <si>
    <t>(763) 425-5550</t>
  </si>
  <si>
    <t>1447442041</t>
  </si>
  <si>
    <t>Health Within Chiropractic Center, PLLC</t>
  </si>
  <si>
    <t>(763) 898-3494</t>
  </si>
  <si>
    <t>1659549020</t>
  </si>
  <si>
    <t>Johnson Chiropractic Clinic of Maple Grove, INC</t>
  </si>
  <si>
    <t>13700 83rd Way N</t>
  </si>
  <si>
    <t>(763) 420-4242</t>
  </si>
  <si>
    <t>1164620613</t>
  </si>
  <si>
    <t>Kim Neurosurgery, PLLC</t>
  </si>
  <si>
    <t>(763) 542-8888</t>
  </si>
  <si>
    <t>Mkmd Neurosurgery, PLLC</t>
  </si>
  <si>
    <t>1730112053</t>
  </si>
  <si>
    <t>Macioce Chiropractic L. L. C.</t>
  </si>
  <si>
    <t>9479 Garland Lane N.</t>
  </si>
  <si>
    <t>1710232335</t>
  </si>
  <si>
    <t>Maple Grove Chiropractic</t>
  </si>
  <si>
    <t>13800 83rd Way N</t>
  </si>
  <si>
    <t>(763) 494-0828</t>
  </si>
  <si>
    <t>Coulson Chiropractic, LLC</t>
  </si>
  <si>
    <t>1801087903</t>
  </si>
  <si>
    <t>Maple Grove Family Chiropractic</t>
  </si>
  <si>
    <t>7372 Kirkwood Ct N</t>
  </si>
  <si>
    <t>(763) 777-5461</t>
  </si>
  <si>
    <t>Mgfamchiro PLLC</t>
  </si>
  <si>
    <t>1326531476</t>
  </si>
  <si>
    <t>Maple Grove Imaging Center</t>
  </si>
  <si>
    <t>9855 Hospital Drive</t>
  </si>
  <si>
    <t>#105</t>
  </si>
  <si>
    <t>(763) 559-2171</t>
  </si>
  <si>
    <t>Minnesota Diagnostic Imaging Partners, LLC</t>
  </si>
  <si>
    <t>1922009471</t>
  </si>
  <si>
    <t>Minnesota Bone and Joint Specialists, LTD</t>
  </si>
  <si>
    <t>(763) 416-0676</t>
  </si>
  <si>
    <t>1477838530</t>
  </si>
  <si>
    <t>Movement Chiropractic &amp; Wellness, PLLC</t>
  </si>
  <si>
    <t>7373 Kirkwood Ct N</t>
  </si>
  <si>
    <t>(763) 898-3517</t>
  </si>
  <si>
    <t>1184392128</t>
  </si>
  <si>
    <t>Northstar Neurological Clinic LTD</t>
  </si>
  <si>
    <t>12000 Elm Creek Blvd</t>
  </si>
  <si>
    <t>(763) 416-1400</t>
  </si>
  <si>
    <t>1659608776</t>
  </si>
  <si>
    <t>Northstar Neurological Clinic, PA.</t>
  </si>
  <si>
    <t>1497978241</t>
  </si>
  <si>
    <t>Northwest Family Chiropractic PA</t>
  </si>
  <si>
    <t>7372 Kirkwood Court</t>
  </si>
  <si>
    <t>(612) 619-0386</t>
  </si>
  <si>
    <t>1184049298</t>
  </si>
  <si>
    <t>Northwood Chiropractic &amp; Wellness LLC</t>
  </si>
  <si>
    <t>10900 89th Ave N</t>
  </si>
  <si>
    <t>(763) 432-3932</t>
  </si>
  <si>
    <t>1760012454</t>
  </si>
  <si>
    <t>On-Site Solutions Physical Therapy</t>
  </si>
  <si>
    <t>6812 Hemlock Ln N</t>
  </si>
  <si>
    <t>(763) 657-7547</t>
  </si>
  <si>
    <t>1780987149</t>
  </si>
  <si>
    <t>Minnesota Waypoint Physical Therapy, INC.</t>
  </si>
  <si>
    <t>1326473273</t>
  </si>
  <si>
    <t>Petersen Chiropractic INC.</t>
  </si>
  <si>
    <t>9505 Blackoaks Ln No.</t>
  </si>
  <si>
    <t>(763) 420-4111</t>
  </si>
  <si>
    <t>1144634395</t>
  </si>
  <si>
    <t>Relevium Chiropractic Care PA</t>
  </si>
  <si>
    <t>9555 Upland Ln N</t>
  </si>
  <si>
    <t>(612) 325-0308</t>
  </si>
  <si>
    <t>1235741364</t>
  </si>
  <si>
    <t>Scherping Chiropractic PA</t>
  </si>
  <si>
    <t>(763) 205-9624</t>
  </si>
  <si>
    <t>1720337249</t>
  </si>
  <si>
    <t>Shane A. Boroditsky, PA.</t>
  </si>
  <si>
    <t>(612) 281-3575</t>
  </si>
  <si>
    <t>1043313828</t>
  </si>
  <si>
    <t>Spine &amp; Sports Institute</t>
  </si>
  <si>
    <t>9325 Upland Lane N</t>
  </si>
  <si>
    <t>1316143936</t>
  </si>
  <si>
    <t>Spine and Sports Insitute, LLC</t>
  </si>
  <si>
    <t>1730363607</t>
  </si>
  <si>
    <t>Total Spine Health and Injury Center</t>
  </si>
  <si>
    <t>13324 Bass Lake Rd</t>
  </si>
  <si>
    <t>(763) 568-7869</t>
  </si>
  <si>
    <t>Tieri Chiropractic, LLC</t>
  </si>
  <si>
    <t>1700186921</t>
  </si>
  <si>
    <t>Trillium Chiropractic &amp; Wellness PA</t>
  </si>
  <si>
    <t>13700 Reimer Dr</t>
  </si>
  <si>
    <t>1013457993</t>
  </si>
  <si>
    <t>Trillium Chiropractic, PA.</t>
  </si>
  <si>
    <t>1467682732</t>
  </si>
  <si>
    <t>Waypoint Minnesota Sports PC</t>
  </si>
  <si>
    <t>1013355478</t>
  </si>
  <si>
    <t>Carlson Chiropractic Health and Healing INC.</t>
  </si>
  <si>
    <t>4960 Highway 12</t>
  </si>
  <si>
    <t>(763) 479-3388</t>
  </si>
  <si>
    <t>1083747711</t>
  </si>
  <si>
    <t>A A Meyer Chiropractic PA</t>
  </si>
  <si>
    <t>125 Main St SE</t>
  </si>
  <si>
    <t>(612) 676-0000</t>
  </si>
  <si>
    <t>1568512440</t>
  </si>
  <si>
    <t>Abbott Northwestern Hospital</t>
  </si>
  <si>
    <t>(612) 863-4447</t>
  </si>
  <si>
    <t>1538287404</t>
  </si>
  <si>
    <t>Access Chiropractic Clinic</t>
  </si>
  <si>
    <t>1113 E Franklin Ave</t>
  </si>
  <si>
    <t>(612) 879-9388</t>
  </si>
  <si>
    <t>1548408081</t>
  </si>
  <si>
    <t>Acupuncture Ayurvedic Chiropractic Clinic, LTD</t>
  </si>
  <si>
    <t>624 W 54th St</t>
  </si>
  <si>
    <t>(612) 871-7190</t>
  </si>
  <si>
    <t>1154654655</t>
  </si>
  <si>
    <t>Advanced Massage and Therapy, LLP</t>
  </si>
  <si>
    <t>2526 Hennepin Ave</t>
  </si>
  <si>
    <t>(612) 275-3958</t>
  </si>
  <si>
    <t>1699110809</t>
  </si>
  <si>
    <t>Alem Chiropractic</t>
  </si>
  <si>
    <t>3552 Nicollet Ave</t>
  </si>
  <si>
    <t>(612) 822-1135</t>
  </si>
  <si>
    <t>C and B Health INC</t>
  </si>
  <si>
    <t>1497932792</t>
  </si>
  <si>
    <t>Align Chiromedical Mpls PA</t>
  </si>
  <si>
    <t>2025 Nicollet Ave</t>
  </si>
  <si>
    <t>(612) 871-1100</t>
  </si>
  <si>
    <t>1649596339</t>
  </si>
  <si>
    <t>Aligned Chiropractic PA</t>
  </si>
  <si>
    <t>3408 E Lake St</t>
  </si>
  <si>
    <t>(612) 315-2161</t>
  </si>
  <si>
    <t>1467865865</t>
  </si>
  <si>
    <t>Ambiente Gallerie</t>
  </si>
  <si>
    <t>505 1st Ave NE</t>
  </si>
  <si>
    <t>Minneapolis, MN</t>
  </si>
  <si>
    <t>(612) 424-6944</t>
  </si>
  <si>
    <t>Ambiente Gallerie LLC</t>
  </si>
  <si>
    <t>1598180408</t>
  </si>
  <si>
    <t>Arch Chiropractic PC.</t>
  </si>
  <si>
    <t>2800 University Ave SE</t>
  </si>
  <si>
    <t>(612) 354-7783</t>
  </si>
  <si>
    <t>1740579598</t>
  </si>
  <si>
    <t>Arrow Health Chiropractic, PA.</t>
  </si>
  <si>
    <t>1000 Nicollet Mall</t>
  </si>
  <si>
    <t># 260</t>
  </si>
  <si>
    <t>(612) 267-5595</t>
  </si>
  <si>
    <t>1699384198</t>
  </si>
  <si>
    <t>Art District Chiropractic, LLC</t>
  </si>
  <si>
    <t>208 13th Ave NE</t>
  </si>
  <si>
    <t>(612) 741-2736</t>
  </si>
  <si>
    <t>1912299405</t>
  </si>
  <si>
    <t>Back To Basics Chiropractic &amp; Wellness LLC</t>
  </si>
  <si>
    <t>4450 Nicollet Ave</t>
  </si>
  <si>
    <t>(612) 598-8627</t>
  </si>
  <si>
    <t>1972150464</t>
  </si>
  <si>
    <t>Bend In the River Chiropractic, LLC</t>
  </si>
  <si>
    <t>2021 E Hennepin Ave</t>
  </si>
  <si>
    <t>Ste 137</t>
  </si>
  <si>
    <t>(612) 676-0438</t>
  </si>
  <si>
    <t>1881894343</t>
  </si>
  <si>
    <t>Bierbrauer Chiropractic, LLC</t>
  </si>
  <si>
    <t>221 10th Ave S</t>
  </si>
  <si>
    <t>55415</t>
  </si>
  <si>
    <t>(612) 332-4414</t>
  </si>
  <si>
    <t>1487883435</t>
  </si>
  <si>
    <t>Bloom Lake Chiropractic</t>
  </si>
  <si>
    <t>1527 E Lake St</t>
  </si>
  <si>
    <t>Ste 200A</t>
  </si>
  <si>
    <t>(612) 721-1820</t>
  </si>
  <si>
    <t>Mj Chiropractic</t>
  </si>
  <si>
    <t>1992909998</t>
  </si>
  <si>
    <t>Bomberg Chiropractic, LLC</t>
  </si>
  <si>
    <t>9800 Shelard Pkwy</t>
  </si>
  <si>
    <t>(763) 277-0303</t>
  </si>
  <si>
    <t>1104209394</t>
  </si>
  <si>
    <t>Bryn Mawr Chiropractic, PA</t>
  </si>
  <si>
    <t>402 Penn Ave S</t>
  </si>
  <si>
    <t>(612) 377-3248</t>
  </si>
  <si>
    <t>1841523347</t>
  </si>
  <si>
    <t>Calhoun Chiropractic Clinic</t>
  </si>
  <si>
    <t>1620 W Lake St</t>
  </si>
  <si>
    <t>(612) 822-5973</t>
  </si>
  <si>
    <t>West Metro Wellness, PC</t>
  </si>
  <si>
    <t>1609286855</t>
  </si>
  <si>
    <t>Camden Chiropractic Clinic</t>
  </si>
  <si>
    <t>4149 Lyndale Ave N</t>
  </si>
  <si>
    <t>55412</t>
  </si>
  <si>
    <t>(612) 521-2261</t>
  </si>
  <si>
    <t>Lowry Family Chiropractic Clinic, PA</t>
  </si>
  <si>
    <t>1891979555</t>
  </si>
  <si>
    <t>Cannon Chiropractic LLC</t>
  </si>
  <si>
    <t>3801 W 50th St</t>
  </si>
  <si>
    <t>Ste 250-B</t>
  </si>
  <si>
    <t>(612) 787-2173</t>
  </si>
  <si>
    <t>1841626272</t>
  </si>
  <si>
    <t>Carter Health &amp; Wellness PA</t>
  </si>
  <si>
    <t>4325 Nicollet Ave</t>
  </si>
  <si>
    <t>Unit 2</t>
  </si>
  <si>
    <t>55409</t>
  </si>
  <si>
    <t>(612) 226-9432</t>
  </si>
  <si>
    <t>1891248290</t>
  </si>
  <si>
    <t>Central Avenue Spine &amp; Rehab, INC</t>
  </si>
  <si>
    <t>931 20th Ave NE</t>
  </si>
  <si>
    <t>(612) 789-0833</t>
  </si>
  <si>
    <t>1700062098</t>
  </si>
  <si>
    <t>Chicago Ave Chiropractic</t>
  </si>
  <si>
    <t>3551 Chicago Ave</t>
  </si>
  <si>
    <t>(612) 767-9900</t>
  </si>
  <si>
    <t>Broadway Chiropractic Center, PC</t>
  </si>
  <si>
    <t>1699099838</t>
  </si>
  <si>
    <t>Chiro First PA</t>
  </si>
  <si>
    <t>2929 4th Ave S</t>
  </si>
  <si>
    <t>(763) 957-0085</t>
  </si>
  <si>
    <t>1245641513</t>
  </si>
  <si>
    <t>Chiro Health Clinic, PA.</t>
  </si>
  <si>
    <t>4400 Oliver Ave N</t>
  </si>
  <si>
    <t>(612) 520-4040</t>
  </si>
  <si>
    <t>1942418827</t>
  </si>
  <si>
    <t>City Lakes Chiropractic PA</t>
  </si>
  <si>
    <t>2903 E 42nd Street</t>
  </si>
  <si>
    <t>(612) 722-2147</t>
  </si>
  <si>
    <t>1992929541</t>
  </si>
  <si>
    <t>Community Healings Arts, INC.</t>
  </si>
  <si>
    <t>4944 Abbott Ave S</t>
  </si>
  <si>
    <t>(612) 695-1566</t>
  </si>
  <si>
    <t>1578743167</t>
  </si>
  <si>
    <t>Comprehensive Healthcare Service INC</t>
  </si>
  <si>
    <t>2614 Nicollet Ave</t>
  </si>
  <si>
    <t>Ste 211</t>
  </si>
  <si>
    <t>(952) 217-6575</t>
  </si>
  <si>
    <t>1770115479</t>
  </si>
  <si>
    <t>Comprehensive Rehab Centers of MN</t>
  </si>
  <si>
    <t>133 W Lake St</t>
  </si>
  <si>
    <t>(612) 823-2020</t>
  </si>
  <si>
    <t>1508018490</t>
  </si>
  <si>
    <t>Comprehensive Rehabilitation Centers of Minnesota</t>
  </si>
  <si>
    <t>1992971949</t>
  </si>
  <si>
    <t>Cultural Chiropractic, PA</t>
  </si>
  <si>
    <t>2009 Plymouth Ave N</t>
  </si>
  <si>
    <t>55411</t>
  </si>
  <si>
    <t>(612) 522-9536</t>
  </si>
  <si>
    <t>1073731527</t>
  </si>
  <si>
    <t>Cwm Chiropractic</t>
  </si>
  <si>
    <t>1222 2nd St NE</t>
  </si>
  <si>
    <t>(612) 378-3220</t>
  </si>
  <si>
    <t>1568756708</t>
  </si>
  <si>
    <t>Devries Spine Care PLLC</t>
  </si>
  <si>
    <t>4748 Chicago Ave</t>
  </si>
  <si>
    <t>(612) 492-1961</t>
  </si>
  <si>
    <t>1700499308</t>
  </si>
  <si>
    <t>Dinkytown Family Chiropractic INC</t>
  </si>
  <si>
    <t>1313 5th St SE</t>
  </si>
  <si>
    <t>(612) 379-1808</t>
  </si>
  <si>
    <t>1255653838</t>
  </si>
  <si>
    <t>Dirks Chiropractic Center, INC.</t>
  </si>
  <si>
    <t>1043239221</t>
  </si>
  <si>
    <t>Doctor Jason, DC</t>
  </si>
  <si>
    <t>1010 2nd Avenue North</t>
  </si>
  <si>
    <t>(612) 636-1018</t>
  </si>
  <si>
    <t>Art of Health</t>
  </si>
  <si>
    <t>1326382201</t>
  </si>
  <si>
    <t>Dr. Brad Adams PA</t>
  </si>
  <si>
    <t>3244 Lyndale Ave S</t>
  </si>
  <si>
    <t>(612) 879-8001</t>
  </si>
  <si>
    <t>1235427006</t>
  </si>
  <si>
    <t>Dr. Kimberly Berkus, PC.</t>
  </si>
  <si>
    <t>2101 Hennepin Ave S</t>
  </si>
  <si>
    <t>(612) 870-6100</t>
  </si>
  <si>
    <t>1740480094</t>
  </si>
  <si>
    <t>Elevate Chiropractic LLC</t>
  </si>
  <si>
    <t>6528 W Lake St</t>
  </si>
  <si>
    <t>(612) 419-8220</t>
  </si>
  <si>
    <t>1942834882</t>
  </si>
  <si>
    <t>Elevation Chiropractic &amp; Wellness</t>
  </si>
  <si>
    <t>5415 Nicollet Ave</t>
  </si>
  <si>
    <t>(612) 500-9182</t>
  </si>
  <si>
    <t>1437535853</t>
  </si>
  <si>
    <t>Emanata Chiropractic, INC.</t>
  </si>
  <si>
    <t>3821 42nd Ave S</t>
  </si>
  <si>
    <t>(612) 354-3133</t>
  </si>
  <si>
    <t>1679875298</t>
  </si>
  <si>
    <t>Endless Possibilities - Integrative Physical Therapy, LLC</t>
  </si>
  <si>
    <t>3100 W Lake St</t>
  </si>
  <si>
    <t>(612) 353-6725</t>
  </si>
  <si>
    <t>1356597546</t>
  </si>
  <si>
    <t>First Choice Chiropractic &amp; Rehab Center LLC</t>
  </si>
  <si>
    <t>1295368850</t>
  </si>
  <si>
    <t>Franklin Chiropractic, PA.</t>
  </si>
  <si>
    <t>1433 E Franklin Ave</t>
  </si>
  <si>
    <t>#13A</t>
  </si>
  <si>
    <t>(612) 871-1387</t>
  </si>
  <si>
    <t>1528324639</t>
  </si>
  <si>
    <t>Gigante Acquisitions LLC</t>
  </si>
  <si>
    <t>2215 Pillsbury Ave S</t>
  </si>
  <si>
    <t>(617) 970-0308</t>
  </si>
  <si>
    <t>1770999716</t>
  </si>
  <si>
    <t>Gilmore Chiropractic PLLC</t>
  </si>
  <si>
    <t>707 W 34th St</t>
  </si>
  <si>
    <t>(612) 824-1829</t>
  </si>
  <si>
    <t>1255573135</t>
  </si>
  <si>
    <t>Green Health, INC.</t>
  </si>
  <si>
    <t>2415 Hennepin Ave</t>
  </si>
  <si>
    <t>(612) 872-9133</t>
  </si>
  <si>
    <t>1396919676</t>
  </si>
  <si>
    <t>Greenway Chiropractic</t>
  </si>
  <si>
    <t>811 Lasalle Ave</t>
  </si>
  <si>
    <t>Ste 207C</t>
  </si>
  <si>
    <t>(612) 343-3323</t>
  </si>
  <si>
    <t>Chad R Laux DC PA</t>
  </si>
  <si>
    <t>1124290473</t>
  </si>
  <si>
    <t>Gtm Enterprises PA</t>
  </si>
  <si>
    <t>2627 E Franklin Ave</t>
  </si>
  <si>
    <t>(612) 870-1500</t>
  </si>
  <si>
    <t>1669682761</t>
  </si>
  <si>
    <t>Hanson Chiropractic, PA.</t>
  </si>
  <si>
    <t>(612) 331-1417</t>
  </si>
  <si>
    <t>1851697064</t>
  </si>
  <si>
    <t>Health 1st Chiropractic, LTD.</t>
  </si>
  <si>
    <t>2800 Chicago Avenue South</t>
  </si>
  <si>
    <t>Ll08</t>
  </si>
  <si>
    <t>(612) 879-9500</t>
  </si>
  <si>
    <t>1366685505</t>
  </si>
  <si>
    <t>Health Fitness Corporation</t>
  </si>
  <si>
    <t>1650 W 82nd St</t>
  </si>
  <si>
    <t>Ste 1100</t>
  </si>
  <si>
    <t>(952) 897-5266</t>
  </si>
  <si>
    <t>1356640684</t>
  </si>
  <si>
    <t>Health Incorporated of Minnesota</t>
  </si>
  <si>
    <t>2817 Lyndale Ave S</t>
  </si>
  <si>
    <t>(612) 612-8729</t>
  </si>
  <si>
    <t>1689721276</t>
  </si>
  <si>
    <t>Healthy Living Chiropractic</t>
  </si>
  <si>
    <t>3940 Minnehaha Ave</t>
  </si>
  <si>
    <t>(612) 259-7255</t>
  </si>
  <si>
    <t>Healthy Living Chiropractic Clinic PC</t>
  </si>
  <si>
    <t>1487888111</t>
  </si>
  <si>
    <t>Hermen Health, PLLC</t>
  </si>
  <si>
    <t>Ste 805</t>
  </si>
  <si>
    <t>(612) 339-0149</t>
  </si>
  <si>
    <t>1447471552</t>
  </si>
  <si>
    <t>Hidden Health Chiropractic LLC</t>
  </si>
  <si>
    <t>5451 Nicollet Ave</t>
  </si>
  <si>
    <t>(612) 925-1649</t>
  </si>
  <si>
    <t>1427275288</t>
  </si>
  <si>
    <t>Horizon Mental and Rehabilitation Services</t>
  </si>
  <si>
    <t>(612) 259-7746</t>
  </si>
  <si>
    <t>1215278601</t>
  </si>
  <si>
    <t>Horizon Physical Therapy, LLC</t>
  </si>
  <si>
    <t>2700 E 28th St</t>
  </si>
  <si>
    <t>(612) 345-7769</t>
  </si>
  <si>
    <t>1821547266</t>
  </si>
  <si>
    <t>Houda Chiropractic Clinic INC</t>
  </si>
  <si>
    <t>115 E Lake St</t>
  </si>
  <si>
    <t>(612) 822-9000</t>
  </si>
  <si>
    <t>1124378633</t>
  </si>
  <si>
    <t>Hyjek Chiropractic</t>
  </si>
  <si>
    <t>1467503383</t>
  </si>
  <si>
    <t>Infinity Chiropractic</t>
  </si>
  <si>
    <t>(612) 823-3409</t>
  </si>
  <si>
    <t>1083070213</t>
  </si>
  <si>
    <t>International Chiropractic Clinic, PA.</t>
  </si>
  <si>
    <t>5810 Nicollet Avenue</t>
  </si>
  <si>
    <t>(612) 861-2121</t>
  </si>
  <si>
    <t>1467617654</t>
  </si>
  <si>
    <t>Jai Healing Studio</t>
  </si>
  <si>
    <t>4801 1/2 Nicollet Ave</t>
  </si>
  <si>
    <t>(612) 354-7121</t>
  </si>
  <si>
    <t>Joessa Austin, PC.</t>
  </si>
  <si>
    <t>1306185368</t>
  </si>
  <si>
    <t>Jason O. Wallin Chiropractic, PA</t>
  </si>
  <si>
    <t>4717 Hiawatha Ave So</t>
  </si>
  <si>
    <t>(612) 721-2146</t>
  </si>
  <si>
    <t>1184998510</t>
  </si>
  <si>
    <t>Kenwood Chiropractic Arts PA</t>
  </si>
  <si>
    <t>1311 W 25th St</t>
  </si>
  <si>
    <t>(612) 374-3392</t>
  </si>
  <si>
    <t>1730284753</t>
  </si>
  <si>
    <t>Kimbrell Chiropractic Health Center PA</t>
  </si>
  <si>
    <t>4826 Chicago Ave S</t>
  </si>
  <si>
    <t>Ste 207</t>
  </si>
  <si>
    <t>(612) 824-4788</t>
  </si>
  <si>
    <t>1619046133</t>
  </si>
  <si>
    <t>Kinetic Chiropractic &amp; Healing Arts</t>
  </si>
  <si>
    <t>(612) 824-3141</t>
  </si>
  <si>
    <t>1396998795</t>
  </si>
  <si>
    <t>Knk Injury and Health</t>
  </si>
  <si>
    <t>(651) 373-7193</t>
  </si>
  <si>
    <t>1902456015</t>
  </si>
  <si>
    <t>Koslowski Chiropractic INC</t>
  </si>
  <si>
    <t>312 Central Avenue SE</t>
  </si>
  <si>
    <t>Ste 468</t>
  </si>
  <si>
    <t>(612) 379-4043</t>
  </si>
  <si>
    <t>1861563264</t>
  </si>
  <si>
    <t>Lake Nicollet Clinic, PA</t>
  </si>
  <si>
    <t>1 West Lake Street</t>
  </si>
  <si>
    <t>Ste 195</t>
  </si>
  <si>
    <t>(612) 259-7570</t>
  </si>
  <si>
    <t>1245675511</t>
  </si>
  <si>
    <t>Lake Pointe Chiropractic &amp; Wellness</t>
  </si>
  <si>
    <t>(612) 922-8100</t>
  </si>
  <si>
    <t>Lake Pointe Chiropractic Centre</t>
  </si>
  <si>
    <t>1154453892</t>
  </si>
  <si>
    <t>Lake Street Pain Relief Center, INC</t>
  </si>
  <si>
    <t>1104043355</t>
  </si>
  <si>
    <t>Lifeback Spine Rehab Clinic</t>
  </si>
  <si>
    <t>1300 Godward St NE</t>
  </si>
  <si>
    <t>Ste 1500</t>
  </si>
  <si>
    <t>(612) 746-4747</t>
  </si>
  <si>
    <t>Spinal Designs International</t>
  </si>
  <si>
    <t>1265519565</t>
  </si>
  <si>
    <t>Lifeforce Chiropractic</t>
  </si>
  <si>
    <t>3706 Nicollet Ave</t>
  </si>
  <si>
    <t>(612) 822-7509</t>
  </si>
  <si>
    <t>Ardor Chiropractic and Wellness, LLC</t>
  </si>
  <si>
    <t>1679971220</t>
  </si>
  <si>
    <t>Lifelong Health Chiropractic Studio PLLC</t>
  </si>
  <si>
    <t>1121 Jackson St NE</t>
  </si>
  <si>
    <t>(612) 354-2231</t>
  </si>
  <si>
    <t>1992479786</t>
  </si>
  <si>
    <t>Lifelong Health Fmaily Chiropractic</t>
  </si>
  <si>
    <t>(612) 354-2213</t>
  </si>
  <si>
    <t>1508245747</t>
  </si>
  <si>
    <t>Linda J. Dobberstein, DC, Dacbn</t>
  </si>
  <si>
    <t>224 W Franklin Ave</t>
  </si>
  <si>
    <t>(612) 616-5452</t>
  </si>
  <si>
    <t>Head To Toe Chiropractic Clinic, PLLC</t>
  </si>
  <si>
    <t>1205035524</t>
  </si>
  <si>
    <t>Longfellow Chiropractic PLLC</t>
  </si>
  <si>
    <t>2901 Dorman Ave</t>
  </si>
  <si>
    <t>(612) 618-6571</t>
  </si>
  <si>
    <t>1780040352</t>
  </si>
  <si>
    <t>Loon State Physical Therapy</t>
  </si>
  <si>
    <t>4420 Drew Ave S</t>
  </si>
  <si>
    <t>(612) 405-8503</t>
  </si>
  <si>
    <t>1194314401</t>
  </si>
  <si>
    <t>2400 N 2nd St</t>
  </si>
  <si>
    <t>Lordex Spine Institute of Minneapolis, LLC</t>
  </si>
  <si>
    <t>2900 Thomas Ave S</t>
  </si>
  <si>
    <t>(612) 926-7246</t>
  </si>
  <si>
    <t>1033243167</t>
  </si>
  <si>
    <t>Mai Chiropractic Center, PA</t>
  </si>
  <si>
    <t>1598838740</t>
  </si>
  <si>
    <t>Mayfield Chiropractic</t>
  </si>
  <si>
    <t>1221 W Lake St</t>
  </si>
  <si>
    <t>102</t>
  </si>
  <si>
    <t>(612) 874-0705</t>
  </si>
  <si>
    <t>Mayfield Chiropractic, PA.</t>
  </si>
  <si>
    <t>1083899595</t>
  </si>
  <si>
    <t>Mcferson Chiropractic PLLC</t>
  </si>
  <si>
    <t>649 Fillmore St NE</t>
  </si>
  <si>
    <t>(612) 564-5511</t>
  </si>
  <si>
    <t>1700266392</t>
  </si>
  <si>
    <t>Meshbesher Chiropractic Center PA</t>
  </si>
  <si>
    <t>2917 Bryant Ave S</t>
  </si>
  <si>
    <t>(612) 823-5456</t>
  </si>
  <si>
    <t>1366516171</t>
  </si>
  <si>
    <t>Metrocenter Chiropractic PA</t>
  </si>
  <si>
    <t>Ste #1845, Metrocenter Chiropractic PA</t>
  </si>
  <si>
    <t>(612) 332-8292</t>
  </si>
  <si>
    <t>1871760884</t>
  </si>
  <si>
    <t>Michelle L. Meinholz, DC., PLLC</t>
  </si>
  <si>
    <t>2920 Bryant Ave S</t>
  </si>
  <si>
    <t>Ste #106</t>
  </si>
  <si>
    <t>(612) 554-3570</t>
  </si>
  <si>
    <t>1659609154</t>
  </si>
  <si>
    <t>Midwest Injury Physicians, LLC</t>
  </si>
  <si>
    <t>312 W Lake St</t>
  </si>
  <si>
    <t>(612) 584-2168</t>
  </si>
  <si>
    <t>1629474531</t>
  </si>
  <si>
    <t>Midwest Mri Center</t>
  </si>
  <si>
    <t>1679931489</t>
  </si>
  <si>
    <t>Midwest Spine Solutions, PA</t>
  </si>
  <si>
    <t>3249 Hennepin Ave</t>
  </si>
  <si>
    <t>1447654637</t>
  </si>
  <si>
    <t>Minncare Physical Therapy INC</t>
  </si>
  <si>
    <t>200A</t>
  </si>
  <si>
    <t>(763) 607-0425</t>
  </si>
  <si>
    <t>1861872970</t>
  </si>
  <si>
    <t>Minneapolis Chiropractic Center</t>
  </si>
  <si>
    <t>1216 W Lake St</t>
  </si>
  <si>
    <t>(612) 345-5376</t>
  </si>
  <si>
    <t>Privratsky Chiropractic PC</t>
  </si>
  <si>
    <t>1447806260</t>
  </si>
  <si>
    <t>Minneapolis Health &amp; Wellness Ne, LLC</t>
  </si>
  <si>
    <t>(952) 237-8549</t>
  </si>
  <si>
    <t>1003373689</t>
  </si>
  <si>
    <t>Minneapolis Oral &amp; Maxillofacial Surgery</t>
  </si>
  <si>
    <t>Ste 707 Medical Arts Building</t>
  </si>
  <si>
    <t>(612) 333-3381</t>
  </si>
  <si>
    <t>Michael K Sutley Dds PA</t>
  </si>
  <si>
    <t>1497890594</t>
  </si>
  <si>
    <t>Minneapolis Orthopaedics, LTD</t>
  </si>
  <si>
    <t>825 S 8th St</t>
  </si>
  <si>
    <t>(612) 333-5000</t>
  </si>
  <si>
    <t>1629121884</t>
  </si>
  <si>
    <t>Minnesota Emg Consultants, INC.</t>
  </si>
  <si>
    <t>Mail Route 39304</t>
  </si>
  <si>
    <t>(612) 863-4256</t>
  </si>
  <si>
    <t>1033401930</t>
  </si>
  <si>
    <t>Minnesota Neurovascular &amp; Skull Base Surgery</t>
  </si>
  <si>
    <t>3033 Excelsior Blvd</t>
  </si>
  <si>
    <t>(612) 374-0177</t>
  </si>
  <si>
    <t>1215059878</t>
  </si>
  <si>
    <t>Minnesota Spine Associates</t>
  </si>
  <si>
    <t>(612) 293-3800</t>
  </si>
  <si>
    <t>1265788459</t>
  </si>
  <si>
    <t>Moe Bodyworks</t>
  </si>
  <si>
    <t>Dr Moses S M Smith Chiropractic LLC</t>
  </si>
  <si>
    <t>1700115870</t>
  </si>
  <si>
    <t>Mores Therapeutics</t>
  </si>
  <si>
    <t>4825 58th Ave N</t>
  </si>
  <si>
    <t>(701) 570-4006</t>
  </si>
  <si>
    <t>1487327854</t>
  </si>
  <si>
    <t>Morrow Accident Rehabilitation Center</t>
  </si>
  <si>
    <t>Ste 132</t>
  </si>
  <si>
    <t>(612) 378-9300</t>
  </si>
  <si>
    <t>Angela Morrow Rehabilitation PA</t>
  </si>
  <si>
    <t>1275683864</t>
  </si>
  <si>
    <t>Natural Health &amp;rehabilitation, PA.</t>
  </si>
  <si>
    <t>160</t>
  </si>
  <si>
    <t>(612) 722-3372</t>
  </si>
  <si>
    <t>1598881708</t>
  </si>
  <si>
    <t>Neurology Specialists, LLC</t>
  </si>
  <si>
    <t>3433 Broadway St NE</t>
  </si>
  <si>
    <t>(763) 377-9222</t>
  </si>
  <si>
    <t>1699849042</t>
  </si>
  <si>
    <t>Nicollet Chiropractic Center</t>
  </si>
  <si>
    <t>3616 Nicollet Ave. S.</t>
  </si>
  <si>
    <t>(612) 825-7390</t>
  </si>
  <si>
    <t>1386853109</t>
  </si>
  <si>
    <t>Nokomis Chiropractic Center PA.</t>
  </si>
  <si>
    <t>5313 Lyndale Ave S</t>
  </si>
  <si>
    <t>(612) 822-0149</t>
  </si>
  <si>
    <t>1851463475</t>
  </si>
  <si>
    <t>Nokomis Therapy Center</t>
  </si>
  <si>
    <t>5348 15th Ave S</t>
  </si>
  <si>
    <t>(612) 825-8324</t>
  </si>
  <si>
    <t>Integrated Therapy Services</t>
  </si>
  <si>
    <t>1346464211</t>
  </si>
  <si>
    <t>Northside Chiropractic Clinic LTD</t>
  </si>
  <si>
    <t>3107 Penn Ave N</t>
  </si>
  <si>
    <t>(612) 522-0440</t>
  </si>
  <si>
    <t>1689017097</t>
  </si>
  <si>
    <t>Northwest Chiropractic PA.</t>
  </si>
  <si>
    <t>2703 E Lake St</t>
  </si>
  <si>
    <t>(612) 442-2437</t>
  </si>
  <si>
    <t>1336157973</t>
  </si>
  <si>
    <t>Oda Chiropractic Health Center</t>
  </si>
  <si>
    <t>(612) 331-6800</t>
  </si>
  <si>
    <t>1316139009</t>
  </si>
  <si>
    <t>Orthorehab Specialists, INC.</t>
  </si>
  <si>
    <t>Ste 1935</t>
  </si>
  <si>
    <t>(612) 339-2041</t>
  </si>
  <si>
    <t>1396754206</t>
  </si>
  <si>
    <t>Osvold Chiropractic Corporated</t>
  </si>
  <si>
    <t>4811 Nicollet Ave</t>
  </si>
  <si>
    <t>(612) 821-9770</t>
  </si>
  <si>
    <t>1992984959</t>
  </si>
  <si>
    <t>Pain Consultants of Minnesota</t>
  </si>
  <si>
    <t>2020 E 28th St</t>
  </si>
  <si>
    <t>(612) 455-0612</t>
  </si>
  <si>
    <t>Mark K Yamaguchi PC</t>
  </si>
  <si>
    <t>1255730917</t>
  </si>
  <si>
    <t>Tps 260</t>
  </si>
  <si>
    <t>(952) 977-0700</t>
  </si>
  <si>
    <t>1912315144</t>
  </si>
  <si>
    <t>Physicians First Choice Diagnostics Center</t>
  </si>
  <si>
    <t>735 Kasota Ave SE</t>
  </si>
  <si>
    <t>(612) 623-1010</t>
  </si>
  <si>
    <t>1922272673</t>
  </si>
  <si>
    <t>Premier Health of South Minneapolis LTD</t>
  </si>
  <si>
    <t>1813 E Lake St</t>
  </si>
  <si>
    <t>(612) 746-5557</t>
  </si>
  <si>
    <t>1194912444</t>
  </si>
  <si>
    <t>PT Works, LLC</t>
  </si>
  <si>
    <t>2104 Park Ave</t>
  </si>
  <si>
    <t>(612) 315-5682</t>
  </si>
  <si>
    <t>1992043145</t>
  </si>
  <si>
    <t>Rebound Physical Therapy, INC.</t>
  </si>
  <si>
    <t>2700 East Lake Street</t>
  </si>
  <si>
    <t>Ste 2450</t>
  </si>
  <si>
    <t>(612) 436-0777</t>
  </si>
  <si>
    <t>1689621419</t>
  </si>
  <si>
    <t>Rehabilitation Professionals, INC</t>
  </si>
  <si>
    <t>3009 Garfield Ave</t>
  </si>
  <si>
    <t>(612) 823-9355</t>
  </si>
  <si>
    <t>1730308909</t>
  </si>
  <si>
    <t>Replenish Wellbeing</t>
  </si>
  <si>
    <t>4014 Russell Ave N</t>
  </si>
  <si>
    <t>(612) 845-0707</t>
  </si>
  <si>
    <t>Nautilus LLC</t>
  </si>
  <si>
    <t>1548615131</t>
  </si>
  <si>
    <t>Rivera Chiropractic Center</t>
  </si>
  <si>
    <t>3647 Cedar Ave S</t>
  </si>
  <si>
    <t>(612) 728-0223</t>
  </si>
  <si>
    <t>1518028448</t>
  </si>
  <si>
    <t>Riverstone Chiropractic and Wellness PC</t>
  </si>
  <si>
    <t>3764 Minnehaha Ave</t>
  </si>
  <si>
    <t>Suiteb</t>
  </si>
  <si>
    <t>(612) 721-1518</t>
  </si>
  <si>
    <t>1891231171</t>
  </si>
  <si>
    <t>Satori Integrative Physical Therapy, LLC</t>
  </si>
  <si>
    <t>3100 W. Lake St.</t>
  </si>
  <si>
    <t>Ste 325, Endless Possibilities Integrative Physical Therapy, Llc</t>
  </si>
  <si>
    <t>1902054828</t>
  </si>
  <si>
    <t>Shingle Creek Physical Therapy LLC</t>
  </si>
  <si>
    <t>(763) 515-8799</t>
  </si>
  <si>
    <t>1689259541</t>
  </si>
  <si>
    <t>2025 E River Pkwy</t>
  </si>
  <si>
    <t>(612) 596-6100</t>
  </si>
  <si>
    <t>1114369006</t>
  </si>
  <si>
    <t>Skyway Chiropractic</t>
  </si>
  <si>
    <t>Ste 1548</t>
  </si>
  <si>
    <t>(612) 341-8017</t>
  </si>
  <si>
    <t>Richard A.s. Kragness LTD</t>
  </si>
  <si>
    <t>1982820304</t>
  </si>
  <si>
    <t>Smart Choice Mri Minneapolis</t>
  </si>
  <si>
    <t>1704 E 66th St</t>
  </si>
  <si>
    <t>1215480942</t>
  </si>
  <si>
    <t>Southgate Physical Therapy , LTD</t>
  </si>
  <si>
    <t>3017 Bloomington Ave</t>
  </si>
  <si>
    <t>(612) 721-7981</t>
  </si>
  <si>
    <t>1730390899</t>
  </si>
  <si>
    <t>Southside Chiropractic, PA.</t>
  </si>
  <si>
    <t>5536 Chicago Ave</t>
  </si>
  <si>
    <t>(612) 827-0657</t>
  </si>
  <si>
    <t>1063680478</t>
  </si>
  <si>
    <t>Sport &amp; Spine Chiropractic</t>
  </si>
  <si>
    <t>2915 Wayzata Blvd</t>
  </si>
  <si>
    <t>(612) 242-2600</t>
  </si>
  <si>
    <t>Eric J. Wessels Chiropractic, PLLC</t>
  </si>
  <si>
    <t>1548843097</t>
  </si>
  <si>
    <t>Ste 809</t>
  </si>
  <si>
    <t>Sportworks Active Chiropractic, LLC</t>
  </si>
  <si>
    <t>1629 Hennepin Ave</t>
  </si>
  <si>
    <t>(612) 486-5554</t>
  </si>
  <si>
    <t>1114331667</t>
  </si>
  <si>
    <t>Stark Specialty Orthopaedics, Stark Clinic</t>
  </si>
  <si>
    <t>Ste 715</t>
  </si>
  <si>
    <t>(612) 332-2324</t>
  </si>
  <si>
    <t>John G. Stark M.d.p.a.</t>
  </si>
  <si>
    <t>1780863316</t>
  </si>
  <si>
    <t>Step Ahead Therapy</t>
  </si>
  <si>
    <t>Step Ahead Therapy of Roseau INC</t>
  </si>
  <si>
    <t>1376131151</t>
  </si>
  <si>
    <t>1316319528</t>
  </si>
  <si>
    <t>Strauman Holistic Chiropractic</t>
  </si>
  <si>
    <t>(612) 928-7894</t>
  </si>
  <si>
    <t>1780718882</t>
  </si>
  <si>
    <t>Strauman Youde Chiropractic</t>
  </si>
  <si>
    <t>1336682673</t>
  </si>
  <si>
    <t>Studio U</t>
  </si>
  <si>
    <t>1516 W Lake St</t>
  </si>
  <si>
    <t># 225</t>
  </si>
  <si>
    <t>(612) 396-9780</t>
  </si>
  <si>
    <t>Studio U, LTD.</t>
  </si>
  <si>
    <t>1528377942</t>
  </si>
  <si>
    <t>2822 W 43rd St</t>
  </si>
  <si>
    <t>(612) 767-4680</t>
  </si>
  <si>
    <t>Sunu Linden Hills PLLC</t>
  </si>
  <si>
    <t>1699028183</t>
  </si>
  <si>
    <t>Supreme Physical Therapy, INC.</t>
  </si>
  <si>
    <t>5201 Chowen Ave S</t>
  </si>
  <si>
    <t>(612) 805-2741</t>
  </si>
  <si>
    <t>1255303095</t>
  </si>
  <si>
    <t>Team Chiropractic, INC.</t>
  </si>
  <si>
    <t>3455 4th Ave S</t>
  </si>
  <si>
    <t>(612) 486-2223</t>
  </si>
  <si>
    <t>1609139542</t>
  </si>
  <si>
    <t>The Family Wellness Institute, P. A.</t>
  </si>
  <si>
    <t>4318 Upton Ave S</t>
  </si>
  <si>
    <t>1356677801</t>
  </si>
  <si>
    <t>Three Phases PA</t>
  </si>
  <si>
    <t>2700 E Lake St</t>
  </si>
  <si>
    <t>Sutie 3350</t>
  </si>
  <si>
    <t>(612) 721-7771</t>
  </si>
  <si>
    <t>1033500657</t>
  </si>
  <si>
    <t>Traditionally Healthy</t>
  </si>
  <si>
    <t>1211 Jackson St NE</t>
  </si>
  <si>
    <t>Ste 121</t>
  </si>
  <si>
    <t>(612) 382-7408</t>
  </si>
  <si>
    <t>1861819989</t>
  </si>
  <si>
    <t>Twin Cities Chiropractic and Nutrition, PLLC.</t>
  </si>
  <si>
    <t>3357 36th Ave S</t>
  </si>
  <si>
    <t>(612) 240-7133</t>
  </si>
  <si>
    <t>1245458652</t>
  </si>
  <si>
    <t>Twin Cities Medical Imaging, LLC</t>
  </si>
  <si>
    <t>(612) 573-2200</t>
  </si>
  <si>
    <t>1932539632</t>
  </si>
  <si>
    <t>Twin City Pain Center</t>
  </si>
  <si>
    <t>1 W Lake St</t>
  </si>
  <si>
    <t>(561) 351-7100</t>
  </si>
  <si>
    <t>1871872200</t>
  </si>
  <si>
    <t>Universal Chiropractic Health Clinic, PA.</t>
  </si>
  <si>
    <t>3463 Minnehaha Ave</t>
  </si>
  <si>
    <t>(612) 334-8885</t>
  </si>
  <si>
    <t>1194085035</t>
  </si>
  <si>
    <t>Uptown Chiropractic, LLC</t>
  </si>
  <si>
    <t>3009 Garfield Avenue</t>
  </si>
  <si>
    <t>1083836258</t>
  </si>
  <si>
    <t>Uptown Natural Care Center, PA.</t>
  </si>
  <si>
    <t>2201 Hennepin Ave</t>
  </si>
  <si>
    <t>(612) 377-7760</t>
  </si>
  <si>
    <t>1366597320</t>
  </si>
  <si>
    <t>Warner Chiropractic Clinic</t>
  </si>
  <si>
    <t>2726 Johnson St NE</t>
  </si>
  <si>
    <t>(612) 789-1010</t>
  </si>
  <si>
    <t>1750443255</t>
  </si>
  <si>
    <t>Watson Chiropractic</t>
  </si>
  <si>
    <t>3107 Penn Avenue North</t>
  </si>
  <si>
    <t>(612) 521-1386</t>
  </si>
  <si>
    <t>T S Watson DC PA</t>
  </si>
  <si>
    <t>1902969397</t>
  </si>
  <si>
    <t>Well Adjusted Minneapolis</t>
  </si>
  <si>
    <t>126 N 3rd St</t>
  </si>
  <si>
    <t>(612) 501-2430</t>
  </si>
  <si>
    <t>Risvold Chiropractic and Wellness</t>
  </si>
  <si>
    <t>1477945418</t>
  </si>
  <si>
    <t>Wellness Education Systems</t>
  </si>
  <si>
    <t>4920 York Ave S</t>
  </si>
  <si>
    <t>(763) 464-8531</t>
  </si>
  <si>
    <t>1770913600</t>
  </si>
  <si>
    <t>Whole Living Chiropractic</t>
  </si>
  <si>
    <t>4446 45th Ave S</t>
  </si>
  <si>
    <t>(612) 889-7036</t>
  </si>
  <si>
    <t>1891035671</t>
  </si>
  <si>
    <t>Wolff Chiropractic</t>
  </si>
  <si>
    <t>5332 46th Ave S</t>
  </si>
  <si>
    <t>(651) 402-2914</t>
  </si>
  <si>
    <t>1386802437</t>
  </si>
  <si>
    <t>Accel and Be Well Chiropractic &amp; Acupuncture LLC</t>
  </si>
  <si>
    <t>10501 Wayzata Blvd</t>
  </si>
  <si>
    <t>(952) 544-0838</t>
  </si>
  <si>
    <t>1356576425</t>
  </si>
  <si>
    <t>Achieve Health Chiropractic Clinic, PA.</t>
  </si>
  <si>
    <t>(952) 545-3839</t>
  </si>
  <si>
    <t>1740552124</t>
  </si>
  <si>
    <t>Active Therapeutics Institute, PA</t>
  </si>
  <si>
    <t>10500 Wayzata Blvd</t>
  </si>
  <si>
    <t>(952) 545-2225</t>
  </si>
  <si>
    <t>1063570422</t>
  </si>
  <si>
    <t>Advanced Care Chiropractic PA.</t>
  </si>
  <si>
    <t>14001 Ridgedale Dr</t>
  </si>
  <si>
    <t>Ste 390</t>
  </si>
  <si>
    <t>(612) 578-1699</t>
  </si>
  <si>
    <t>1255623203</t>
  </si>
  <si>
    <t>Advanced Care Chiroprctic</t>
  </si>
  <si>
    <t>(952) 893-8900</t>
  </si>
  <si>
    <t>1326408568</t>
  </si>
  <si>
    <t>Affinity Chiropractic Llcq</t>
  </si>
  <si>
    <t>5100 Thimsen Ave</t>
  </si>
  <si>
    <t>(612) 564-5051</t>
  </si>
  <si>
    <t>1184922387</t>
  </si>
  <si>
    <t>Americare Chiropractic, PA.</t>
  </si>
  <si>
    <t>1184820193</t>
  </si>
  <si>
    <t>Arne Wellness Center PA</t>
  </si>
  <si>
    <t>(952) 697-3100</t>
  </si>
  <si>
    <t>1316149016</t>
  </si>
  <si>
    <t>Avalon Chiropractic, PA.</t>
  </si>
  <si>
    <t>16190 Highway 7</t>
  </si>
  <si>
    <t>(651) 336-8843</t>
  </si>
  <si>
    <t>1255568531</t>
  </si>
  <si>
    <t>Back In Line Family Chiropractic</t>
  </si>
  <si>
    <t>11500 Highway 7</t>
  </si>
  <si>
    <t>(952) 933-2663</t>
  </si>
  <si>
    <t>Steven Cohn DC PA</t>
  </si>
  <si>
    <t>1013179852</t>
  </si>
  <si>
    <t>Back To Balance Natural Healing Center</t>
  </si>
  <si>
    <t>10505 Wayzata Blvd</t>
  </si>
  <si>
    <t>Suite102</t>
  </si>
  <si>
    <t>(952) 236-7610</t>
  </si>
  <si>
    <t>1104364777</t>
  </si>
  <si>
    <t>Body Harmony Chiropractic, PA</t>
  </si>
  <si>
    <t>12201 Minnetonka Blvd</t>
  </si>
  <si>
    <t>Ste 3C</t>
  </si>
  <si>
    <t>(952) 564-0768</t>
  </si>
  <si>
    <t>1144559840</t>
  </si>
  <si>
    <t>Conscious Living Clinic</t>
  </si>
  <si>
    <t>1730 Plymouth Rd</t>
  </si>
  <si>
    <t>(952) 300-2387</t>
  </si>
  <si>
    <t>Acqua Chiropractic Spa</t>
  </si>
  <si>
    <t>1003067802</t>
  </si>
  <si>
    <t>Dynamic Family Chiropractic PA</t>
  </si>
  <si>
    <t>4739 County Road 101</t>
  </si>
  <si>
    <t>(952) 933-2695</t>
  </si>
  <si>
    <t>1427186907</t>
  </si>
  <si>
    <t>Family Health Trust INC</t>
  </si>
  <si>
    <t>12321 Minnetonka Blvd</t>
  </si>
  <si>
    <t>(952) 933-4427</t>
  </si>
  <si>
    <t>1316086598</t>
  </si>
  <si>
    <t>Fox Rehabilitation Services MN LLC</t>
  </si>
  <si>
    <t>500 Carlson Pkwy</t>
  </si>
  <si>
    <t>(877) 407-3422</t>
  </si>
  <si>
    <t>1356802862</t>
  </si>
  <si>
    <t>Health Connection Family Chiropractic</t>
  </si>
  <si>
    <t>5101 Thimsen Ave</t>
  </si>
  <si>
    <t>(952) 232-4700</t>
  </si>
  <si>
    <t>Kyle Leduc Chiropractic PLLC.</t>
  </si>
  <si>
    <t>1639632482</t>
  </si>
  <si>
    <t>Healthsource of Minnetonka LLC</t>
  </si>
  <si>
    <t>14413 Excelsior Blvd</t>
  </si>
  <si>
    <t>(952) 746-1506</t>
  </si>
  <si>
    <t>1164899795</t>
  </si>
  <si>
    <t>Interventional Pain Center, PLLC.</t>
  </si>
  <si>
    <t>Orthopedics, Pain Management, Physical Medicine &amp; Rehabilitation, Neurology, Chiropractic</t>
  </si>
  <si>
    <t>1891137220</t>
  </si>
  <si>
    <t>Janice A Suppes, DC</t>
  </si>
  <si>
    <t>Suppes Enterprises, INC.</t>
  </si>
  <si>
    <t>1457690703</t>
  </si>
  <si>
    <t>Levin and Chellen Chiropractic</t>
  </si>
  <si>
    <t>4144 County Road 101</t>
  </si>
  <si>
    <t>(952) 474-1777</t>
  </si>
  <si>
    <t>1619043726</t>
  </si>
  <si>
    <t>Merz Physical Therapy</t>
  </si>
  <si>
    <t>15000 Minnetonka Blvd</t>
  </si>
  <si>
    <t>(952) 935-4037</t>
  </si>
  <si>
    <t>Merz, INC.</t>
  </si>
  <si>
    <t>1932253473</t>
  </si>
  <si>
    <t>Minnetonka Chiropractors</t>
  </si>
  <si>
    <t>Pw Clinic PLLC</t>
  </si>
  <si>
    <t>1568863405</t>
  </si>
  <si>
    <t>Mittag Holistic Chiropractic PA</t>
  </si>
  <si>
    <t>11812 Wayzata Blvd.,</t>
  </si>
  <si>
    <t>Ste 224</t>
  </si>
  <si>
    <t>(952) 345-8245</t>
  </si>
  <si>
    <t>1639211253</t>
  </si>
  <si>
    <t>Murphy Chiropractic Clinic PA.</t>
  </si>
  <si>
    <t>(952) 933-6805</t>
  </si>
  <si>
    <t>1194037689</t>
  </si>
  <si>
    <t>Mustang Chiropractic</t>
  </si>
  <si>
    <t>(612) 760-4555</t>
  </si>
  <si>
    <t>1891974911</t>
  </si>
  <si>
    <t>5104 County Road 101</t>
  </si>
  <si>
    <t>(952) 512-2400</t>
  </si>
  <si>
    <t>Peak Performance Chiropractic</t>
  </si>
  <si>
    <t>(952) 641-0207</t>
  </si>
  <si>
    <t>1023414901</t>
  </si>
  <si>
    <t>Peak Potential Family Chiropractic PLLC</t>
  </si>
  <si>
    <t>(952) 582-1172</t>
  </si>
  <si>
    <t>1053845727</t>
  </si>
  <si>
    <t>Pw Clinics PLLC</t>
  </si>
  <si>
    <t>1982943320</t>
  </si>
  <si>
    <t>Rejuva Medical and Wellness Center LLC</t>
  </si>
  <si>
    <t>1528457868</t>
  </si>
  <si>
    <t>The Arne Clinic PA.</t>
  </si>
  <si>
    <t>12991 Ridgedale Dr</t>
  </si>
  <si>
    <t>Ridge Square North</t>
  </si>
  <si>
    <t>(952) 541-0200</t>
  </si>
  <si>
    <t>1801085931</t>
  </si>
  <si>
    <t>The Art of Healing Dr. Megan L. Rheingans PLLC</t>
  </si>
  <si>
    <t>10901 Red Circle Dr</t>
  </si>
  <si>
    <t>(952) 405-8772</t>
  </si>
  <si>
    <t>1518196864</t>
  </si>
  <si>
    <t>Thrive Chiropractic, PLLC</t>
  </si>
  <si>
    <t>14525 Highway 7</t>
  </si>
  <si>
    <t>(952) 746-5612</t>
  </si>
  <si>
    <t>1033455043</t>
  </si>
  <si>
    <t>Keystone Chiropractic Health Centre PA</t>
  </si>
  <si>
    <t>2305 Commerce Blvd</t>
  </si>
  <si>
    <t>(952) 471-2560</t>
  </si>
  <si>
    <t>1336461664</t>
  </si>
  <si>
    <t>Mound Back &amp; Neck Clinic Limited</t>
  </si>
  <si>
    <t>2365 Commerce Blvd</t>
  </si>
  <si>
    <t>(952) 472-3434</t>
  </si>
  <si>
    <t>1447679600</t>
  </si>
  <si>
    <t>2703 E Lake St.</t>
  </si>
  <si>
    <t>Mpls</t>
  </si>
  <si>
    <t>(612) 597-1371</t>
  </si>
  <si>
    <t>East Bound and Down Rehab PLLC</t>
  </si>
  <si>
    <t>1770887424</t>
  </si>
  <si>
    <t>Affinity Medical Group PA</t>
  </si>
  <si>
    <t>Pain Management, Physical Medicine &amp; Rehabilitation, Chiropractic</t>
  </si>
  <si>
    <t>9446 36th Ave N</t>
  </si>
  <si>
    <t>(763) 551-1344</t>
  </si>
  <si>
    <t>1285930313</t>
  </si>
  <si>
    <t>Apex Chiropractic DC., PA</t>
  </si>
  <si>
    <t>4221 Winnetka Ave N</t>
  </si>
  <si>
    <t>(763) 533-0654</t>
  </si>
  <si>
    <t>1427124874</t>
  </si>
  <si>
    <t>Cedar Island Chiropractic</t>
  </si>
  <si>
    <t>4124 Quebec Ave N</t>
  </si>
  <si>
    <t>(763) 205-5733</t>
  </si>
  <si>
    <t>1174870166</t>
  </si>
  <si>
    <t>Dr. Ethan Skog</t>
  </si>
  <si>
    <t>(763) 496-7871</t>
  </si>
  <si>
    <t>S Group PC</t>
  </si>
  <si>
    <t>1447807813</t>
  </si>
  <si>
    <t>Empower You Physical Therapy and Wellness</t>
  </si>
  <si>
    <t>4082 Flag Ave N</t>
  </si>
  <si>
    <t>(319) 329-2711</t>
  </si>
  <si>
    <t>1104416957</t>
  </si>
  <si>
    <t>Jason W. Phillips, DC., PA.</t>
  </si>
  <si>
    <t>2738 Winnetka Ave N</t>
  </si>
  <si>
    <t>(763) 546-8622</t>
  </si>
  <si>
    <t>1992931430</t>
  </si>
  <si>
    <t>Post-Acute Physicians of Minnesota</t>
  </si>
  <si>
    <t>5430 Boone Ave N</t>
  </si>
  <si>
    <t>(763) 592-3000</t>
  </si>
  <si>
    <t>1245616614</t>
  </si>
  <si>
    <t>Principled Living PA</t>
  </si>
  <si>
    <t>9405 36th Ave N</t>
  </si>
  <si>
    <t>(763) 275-9099</t>
  </si>
  <si>
    <t>1164927273</t>
  </si>
  <si>
    <t>232 Central Ave</t>
  </si>
  <si>
    <t>(763) 458-6299</t>
  </si>
  <si>
    <t>Bonita Bolsa Dba Twin Cities Natural Care Center</t>
  </si>
  <si>
    <t>24 3rd St NE</t>
  </si>
  <si>
    <t>(612) 524-8764</t>
  </si>
  <si>
    <t>1760018337</t>
  </si>
  <si>
    <t>Osseo Chiropractic Clinic</t>
  </si>
  <si>
    <t>220 Central Ave</t>
  </si>
  <si>
    <t>Osseo Back and Neck Clinic, PA.</t>
  </si>
  <si>
    <t>1073688065</t>
  </si>
  <si>
    <t>Trauma and Pain Management Institute</t>
  </si>
  <si>
    <t>316 4th St NE</t>
  </si>
  <si>
    <t>(612) 723-8870</t>
  </si>
  <si>
    <t>Bcsp Holdings</t>
  </si>
  <si>
    <t>1386867844</t>
  </si>
  <si>
    <t>Accelerated Sports Therapy &amp; Fitness, INC.</t>
  </si>
  <si>
    <t>1164583977</t>
  </si>
  <si>
    <t>Access Imaging</t>
  </si>
  <si>
    <t>36 Nathan Ln N</t>
  </si>
  <si>
    <t>(763) 417-2000</t>
  </si>
  <si>
    <t>Better Health Medical INC</t>
  </si>
  <si>
    <t>1821018326</t>
  </si>
  <si>
    <t>Active Family Chiropractic</t>
  </si>
  <si>
    <t>3390 Annapolis Ln N</t>
  </si>
  <si>
    <t>(763) 553-0387</t>
  </si>
  <si>
    <t>1407047582</t>
  </si>
  <si>
    <t>Back On Your Feet Chiropractic, PA</t>
  </si>
  <si>
    <t>1115 Vicksburg Ln N</t>
  </si>
  <si>
    <t>(612) 638-7339</t>
  </si>
  <si>
    <t>1275843559</t>
  </si>
  <si>
    <t>Balanced Health Chiropractic, PA</t>
  </si>
  <si>
    <t>12805 State Highway 55</t>
  </si>
  <si>
    <t>(763) 557-7399</t>
  </si>
  <si>
    <t>1003038464</t>
  </si>
  <si>
    <t>Cornerstone Chiropractic &amp; Rehabilitation Clinic</t>
  </si>
  <si>
    <t>10850 County Road 15</t>
  </si>
  <si>
    <t>(763) 544-3066</t>
  </si>
  <si>
    <t>1942393798</t>
  </si>
  <si>
    <t>Dr. Benton Mccone PA.</t>
  </si>
  <si>
    <t>15705 35th Ave N</t>
  </si>
  <si>
    <t>(763) 550-1006</t>
  </si>
  <si>
    <t>1811206683</t>
  </si>
  <si>
    <t>E Squared Health Chiropractic</t>
  </si>
  <si>
    <t>2905 Northwest Blvd</t>
  </si>
  <si>
    <t>(612) 367-4824</t>
  </si>
  <si>
    <t>Wellway Chiropractic PC.</t>
  </si>
  <si>
    <t>1538758479</t>
  </si>
  <si>
    <t>Encompass Chiropractic</t>
  </si>
  <si>
    <t>13605 27th Ave N</t>
  </si>
  <si>
    <t>(763) 559-5326</t>
  </si>
  <si>
    <t>Rena A. Widboom, PLLC</t>
  </si>
  <si>
    <t>1336587864</t>
  </si>
  <si>
    <t>Family Wellness Chiropractic</t>
  </si>
  <si>
    <t>9600 28th Ave N</t>
  </si>
  <si>
    <t>(763) 546-4414</t>
  </si>
  <si>
    <t>Family Wellness Chiropractic, PC</t>
  </si>
  <si>
    <t>1962549089</t>
  </si>
  <si>
    <t>Fernbrook Chirpractic, LTD.</t>
  </si>
  <si>
    <t>3169 Fernbrook Ln N</t>
  </si>
  <si>
    <t>(763) 201-1284</t>
  </si>
  <si>
    <t>1407985872</t>
  </si>
  <si>
    <t>Four Seasons Family Chiropractic Clinic</t>
  </si>
  <si>
    <t>4455 Hwy 169 N</t>
  </si>
  <si>
    <t>(763) 557-9032</t>
  </si>
  <si>
    <t>1518174218</t>
  </si>
  <si>
    <t>Harkins Chiropractic Center LLC</t>
  </si>
  <si>
    <t>15600 35th Ave N</t>
  </si>
  <si>
    <t>(763) 710-9905</t>
  </si>
  <si>
    <t>1588202139</t>
  </si>
  <si>
    <t>15700 37th Avenue North</t>
  </si>
  <si>
    <t>1235529272</t>
  </si>
  <si>
    <t>J.beck Chiropractic &amp; Wellness, PA.</t>
  </si>
  <si>
    <t>3021 Harbor Ln N</t>
  </si>
  <si>
    <t>(763) 383-1111</t>
  </si>
  <si>
    <t>1295902658</t>
  </si>
  <si>
    <t>Lake West Chiropractic and Natural Health, PA</t>
  </si>
  <si>
    <t>4190 Vinewood Ln N</t>
  </si>
  <si>
    <t>(763) 550-1205</t>
  </si>
  <si>
    <t>1659419018</t>
  </si>
  <si>
    <t>Life Force-Cervella, INC</t>
  </si>
  <si>
    <t>3555 Plymouth Blvd</t>
  </si>
  <si>
    <t>(763) 694-7000</t>
  </si>
  <si>
    <t>1538359302</t>
  </si>
  <si>
    <t>Lifetime Wellness Center, PA.</t>
  </si>
  <si>
    <t>14215 44th Pl N</t>
  </si>
  <si>
    <t>#6</t>
  </si>
  <si>
    <t>(763) 559-5627</t>
  </si>
  <si>
    <t>1265465934</t>
  </si>
  <si>
    <t>Lighthouse Chiropractic, PA</t>
  </si>
  <si>
    <t>10700 Highway 55</t>
  </si>
  <si>
    <t>(763) 543-9080</t>
  </si>
  <si>
    <t>1427353093</t>
  </si>
  <si>
    <t>Living Well Chiropractic, PC.</t>
  </si>
  <si>
    <t>3140 Harbor Ln N</t>
  </si>
  <si>
    <t>Ste #102</t>
  </si>
  <si>
    <t>(763) 230-7333</t>
  </si>
  <si>
    <t>1598068439</t>
  </si>
  <si>
    <t>Metropolitan Oral and Maxillofacial Surgeons PA</t>
  </si>
  <si>
    <t>Ste 670</t>
  </si>
  <si>
    <t>(763) 520-1234</t>
  </si>
  <si>
    <t>1194826917</t>
  </si>
  <si>
    <t>Minnesota Oral &amp; Maxillofacial Surgery, PA.</t>
  </si>
  <si>
    <t>15655 37th Ave. N.</t>
  </si>
  <si>
    <t>280</t>
  </si>
  <si>
    <t>1578872685</t>
  </si>
  <si>
    <t>Minnetonka Pediatric Therapy Center, LLC</t>
  </si>
  <si>
    <t>(763) 595-0812</t>
  </si>
  <si>
    <t>1891998035</t>
  </si>
  <si>
    <t>Northern Edge Chiropractic LLC</t>
  </si>
  <si>
    <t>5480 Nathan Ln N</t>
  </si>
  <si>
    <t>(763) 316-5252</t>
  </si>
  <si>
    <t>1033521927</t>
  </si>
  <si>
    <t>Osborne Chiropractic PA</t>
  </si>
  <si>
    <t>4455 Highway 169 N</t>
  </si>
  <si>
    <t>1740627017</t>
  </si>
  <si>
    <t>Pinnacle Chiropractic and Acupuncture, PA</t>
  </si>
  <si>
    <t>(763) 544-3811</t>
  </si>
  <si>
    <t>1164626230</t>
  </si>
  <si>
    <t>Plymouth Grove Chiropractic, PA.</t>
  </si>
  <si>
    <t>1073569927</t>
  </si>
  <si>
    <t>Precision Chiropractic &amp; Wellness, PLLC</t>
  </si>
  <si>
    <t>3515 Plymouth Blvd</t>
  </si>
  <si>
    <t>(763) 475-8281</t>
  </si>
  <si>
    <t>1962693747</t>
  </si>
  <si>
    <t>Premier Diagonstic Imaging, INC</t>
  </si>
  <si>
    <t>12800 Highway 55</t>
  </si>
  <si>
    <t>(763) 746-8001</t>
  </si>
  <si>
    <t>1548413131</t>
  </si>
  <si>
    <t>Richard Larson Chiropractic, LLC</t>
  </si>
  <si>
    <t>(763) 473-1299</t>
  </si>
  <si>
    <t>1043454705</t>
  </si>
  <si>
    <t>Shanahan Chiropractic LLC</t>
  </si>
  <si>
    <t>16795 County Road 24</t>
  </si>
  <si>
    <t>(651) 491-0111</t>
  </si>
  <si>
    <t>1972833119</t>
  </si>
  <si>
    <t>Sisu Physical Therapy</t>
  </si>
  <si>
    <t>2072 E Center Cir</t>
  </si>
  <si>
    <t>(920) 988-5893</t>
  </si>
  <si>
    <t>1508535170</t>
  </si>
  <si>
    <t>Sjdc LTD.</t>
  </si>
  <si>
    <t>10700 County Road 15</t>
  </si>
  <si>
    <t>(763) 544-2001</t>
  </si>
  <si>
    <t>1033239488</t>
  </si>
  <si>
    <t>Sundberg Chiropractic, PA.</t>
  </si>
  <si>
    <t>14332 21st Ave N</t>
  </si>
  <si>
    <t>1720267669</t>
  </si>
  <si>
    <t>Valentini Chiropractic</t>
  </si>
  <si>
    <t>4455 N Hwy 169</t>
  </si>
  <si>
    <t>1144421835</t>
  </si>
  <si>
    <t>Valentini Chiropractic Clinic LTD PA</t>
  </si>
  <si>
    <t>#200</t>
  </si>
  <si>
    <t>1477545895</t>
  </si>
  <si>
    <t>Wayzata Orthopedic's PA.</t>
  </si>
  <si>
    <t>Ste 425</t>
  </si>
  <si>
    <t>(763) 383-0770</t>
  </si>
  <si>
    <t>1164428223</t>
  </si>
  <si>
    <t>Wayzata Orthopedics PA</t>
  </si>
  <si>
    <t>1871640912</t>
  </si>
  <si>
    <t>Back To Health Chiropractic</t>
  </si>
  <si>
    <t>6944 Nicollet Ave</t>
  </si>
  <si>
    <t>(612) 861-8854</t>
  </si>
  <si>
    <t>Back To Health LTD</t>
  </si>
  <si>
    <t>1477757409</t>
  </si>
  <si>
    <t>Egan Chiropractic and Acupuncture LTD</t>
  </si>
  <si>
    <t>7400 Lyndale Ave S</t>
  </si>
  <si>
    <t>Ste 190 #2</t>
  </si>
  <si>
    <t>(612) 590-6812</t>
  </si>
  <si>
    <t>1396084919</t>
  </si>
  <si>
    <t>Healing Chiropractic Clinic</t>
  </si>
  <si>
    <t>6715 Nicollet Ave</t>
  </si>
  <si>
    <t>(612) 501-0966</t>
  </si>
  <si>
    <t>1356470702</t>
  </si>
  <si>
    <t>Healthways Chiropractic, PA</t>
  </si>
  <si>
    <t>(612) 869-7371</t>
  </si>
  <si>
    <t>1982743845</t>
  </si>
  <si>
    <t>Integrated Sports Chiropractic and Rehab</t>
  </si>
  <si>
    <t>6712 Clinton Ave</t>
  </si>
  <si>
    <t>(208) 283-4222</t>
  </si>
  <si>
    <t>Neal Fife Enterprises LLC</t>
  </si>
  <si>
    <t>1184175614</t>
  </si>
  <si>
    <t>Life Balance Chiropractic &amp; Wellness, LLC</t>
  </si>
  <si>
    <t>1300 E 66th St</t>
  </si>
  <si>
    <t>(612) 868-8617</t>
  </si>
  <si>
    <t>1518377605</t>
  </si>
  <si>
    <t>Minnesota Family Chiropractic INC</t>
  </si>
  <si>
    <t>7610 Lyndale Ave S</t>
  </si>
  <si>
    <t>(612) 545-5672</t>
  </si>
  <si>
    <t>1528526852</t>
  </si>
  <si>
    <t>Orthocure LLC</t>
  </si>
  <si>
    <t>6636 Cedar Ave S</t>
  </si>
  <si>
    <t>(844) 934-3258</t>
  </si>
  <si>
    <t>1437525292</t>
  </si>
  <si>
    <t>Perez Chiropractic, LLC</t>
  </si>
  <si>
    <t>6519 Nicollet Ave</t>
  </si>
  <si>
    <t>(612) 200-9993</t>
  </si>
  <si>
    <t>1255763603</t>
  </si>
  <si>
    <t>R F Chiropractic Clinic PA</t>
  </si>
  <si>
    <t>6410 Nicollet Ave</t>
  </si>
  <si>
    <t>(612) 886-2311</t>
  </si>
  <si>
    <t>1649677758</t>
  </si>
  <si>
    <t>R F Spine Center PA</t>
  </si>
  <si>
    <t>1467795393</t>
  </si>
  <si>
    <t>Richfield Chiropractic PA</t>
  </si>
  <si>
    <t>1841602091</t>
  </si>
  <si>
    <t>Stonebridge Chiropractic INC.</t>
  </si>
  <si>
    <t>(612) 354-3165</t>
  </si>
  <si>
    <t>1578945366</t>
  </si>
  <si>
    <t>Woodlake Chiropractic, INC.</t>
  </si>
  <si>
    <t>6701 Lyndale Ave S</t>
  </si>
  <si>
    <t>(612) 866-9194</t>
  </si>
  <si>
    <t>1265447023</t>
  </si>
  <si>
    <t>Balanced Chiropractic</t>
  </si>
  <si>
    <t>3946 Zane Ave N</t>
  </si>
  <si>
    <t>(612) 708-8500</t>
  </si>
  <si>
    <t>Balanced Chiropractic LLC</t>
  </si>
  <si>
    <t>1184288698</t>
  </si>
  <si>
    <t>Cebter For Spinal Decompression</t>
  </si>
  <si>
    <t>(763) 535-4342</t>
  </si>
  <si>
    <t>Healthplus Chiropractic</t>
  </si>
  <si>
    <t>1578569232</t>
  </si>
  <si>
    <t>Go Health Chiropractic</t>
  </si>
  <si>
    <t>4101 W Broadway Ave</t>
  </si>
  <si>
    <t>(763) 533-9997</t>
  </si>
  <si>
    <t>Believe To Achieve Chiropractic PA.</t>
  </si>
  <si>
    <t>1093086696</t>
  </si>
  <si>
    <t>Healthplus Chiropractic Clinic, PA.</t>
  </si>
  <si>
    <t>1033209960</t>
  </si>
  <si>
    <t>Healthplus Chiropractic, PA.</t>
  </si>
  <si>
    <t>1427482314</t>
  </si>
  <si>
    <t>Healthsource of Robbinsdale</t>
  </si>
  <si>
    <t>4064 Lakeland Ave N</t>
  </si>
  <si>
    <t>(763) 746-9023</t>
  </si>
  <si>
    <t>Alberts Chiropractic PA.</t>
  </si>
  <si>
    <t>1932393295</t>
  </si>
  <si>
    <t>Lions Gym and Wellness Center</t>
  </si>
  <si>
    <t>(763) 535-0700</t>
  </si>
  <si>
    <t>Lions Gym INC</t>
  </si>
  <si>
    <t>1720480395</t>
  </si>
  <si>
    <t>Minneapolis Radiology-Robbinsdale</t>
  </si>
  <si>
    <t>3366 Oakdale Ave N</t>
  </si>
  <si>
    <t>West Imaging, LLC</t>
  </si>
  <si>
    <t>1053311399</t>
  </si>
  <si>
    <t>Neegard Chiropractic</t>
  </si>
  <si>
    <t>3359 W Broadway Ave</t>
  </si>
  <si>
    <t>1265625883</t>
  </si>
  <si>
    <t>Plymouth Grove Chirocenter</t>
  </si>
  <si>
    <t>4926 42nd Avenue North</t>
  </si>
  <si>
    <t>(763) 537-3927</t>
  </si>
  <si>
    <t>Robbinsdale Chiropractic</t>
  </si>
  <si>
    <t>1972846350</t>
  </si>
  <si>
    <t>Robbinsdale Chirocenter INC.</t>
  </si>
  <si>
    <t>4926 42nd Ave N</t>
  </si>
  <si>
    <t>1912079534</t>
  </si>
  <si>
    <t>Robin Center Chiropractic</t>
  </si>
  <si>
    <t>(763) 746-1244</t>
  </si>
  <si>
    <t>Michael J Anderla DC., PA.</t>
  </si>
  <si>
    <t>1649461922</t>
  </si>
  <si>
    <t>Anchor Chiropractic</t>
  </si>
  <si>
    <t>20965 S Diamond Lake Rd</t>
  </si>
  <si>
    <t>(763) 424-5511</t>
  </si>
  <si>
    <t>Anchor Chiropractic PC</t>
  </si>
  <si>
    <t>1255817839</t>
  </si>
  <si>
    <t>Apex Chiropractic of Rogers</t>
  </si>
  <si>
    <t>13635 Northdale Blvd</t>
  </si>
  <si>
    <t>(763) 428-1105</t>
  </si>
  <si>
    <t>1043387392</t>
  </si>
  <si>
    <t>Healthsource Chiropractic of Rogers LLC</t>
  </si>
  <si>
    <t>1891076949</t>
  </si>
  <si>
    <t>Knudson Chiropractic PLLC</t>
  </si>
  <si>
    <t>(763) 208-4424</t>
  </si>
  <si>
    <t>1942734801</t>
  </si>
  <si>
    <t>New U Integrative Health</t>
  </si>
  <si>
    <t>21410 136th Ave N</t>
  </si>
  <si>
    <t>Ste 105A</t>
  </si>
  <si>
    <t>(320) 905-0321</t>
  </si>
  <si>
    <t>Derek P Doty DC INC</t>
  </si>
  <si>
    <t>1871878165</t>
  </si>
  <si>
    <t>Northern Community Chiropractic</t>
  </si>
  <si>
    <t>1386817005</t>
  </si>
  <si>
    <t>Rogers Chiropractic Health</t>
  </si>
  <si>
    <t>14115 James Rd</t>
  </si>
  <si>
    <t>#302</t>
  </si>
  <si>
    <t>(763) 428-9292</t>
  </si>
  <si>
    <t>Johnston Chiropractic Clinic PA</t>
  </si>
  <si>
    <t>1245486687</t>
  </si>
  <si>
    <t>Rogers Chiropractic PA</t>
  </si>
  <si>
    <t>21370 John Milless Dr</t>
  </si>
  <si>
    <t>1275845471</t>
  </si>
  <si>
    <t>Lifetime Chiropractic PA</t>
  </si>
  <si>
    <t>19905 Highway 7</t>
  </si>
  <si>
    <t>Ste A2 Lifetime Chiropractic PA</t>
  </si>
  <si>
    <t>(952) 470-9962</t>
  </si>
  <si>
    <t>1134134679</t>
  </si>
  <si>
    <t>4695 Shoreline Dr</t>
  </si>
  <si>
    <t>Spring Park</t>
  </si>
  <si>
    <t>55384</t>
  </si>
  <si>
    <t>(952) 442-7895</t>
  </si>
  <si>
    <t>1306041066</t>
  </si>
  <si>
    <t>Chiropractic Solutions</t>
  </si>
  <si>
    <t>4080 Tower Street</t>
  </si>
  <si>
    <t>Ste #1080</t>
  </si>
  <si>
    <t>St. Bonifacius</t>
  </si>
  <si>
    <t>55375</t>
  </si>
  <si>
    <t>(952) 446-1212</t>
  </si>
  <si>
    <t>1851714257</t>
  </si>
  <si>
    <t>St. Bonifacius Chiropractic</t>
  </si>
  <si>
    <t>4080 Tower St</t>
  </si>
  <si>
    <t>Ste 1080</t>
  </si>
  <si>
    <t>(952) 446-1800</t>
  </si>
  <si>
    <t>St Bonifacius Chiropractic LLC.</t>
  </si>
  <si>
    <t>1760966147</t>
  </si>
  <si>
    <t>Vibrant Health Family Chiropractic LLC</t>
  </si>
  <si>
    <t>(952) 446-9600</t>
  </si>
  <si>
    <t>1427384478</t>
  </si>
  <si>
    <t>Acqua Chiropractic, LLC</t>
  </si>
  <si>
    <t>4833 Minnetonka Blvd</t>
  </si>
  <si>
    <t>(952) 913-8687</t>
  </si>
  <si>
    <t>1710240296</t>
  </si>
  <si>
    <t>Arnold Chiropractic and Acupuncture</t>
  </si>
  <si>
    <t>5009 Excelsior Blvd</t>
  </si>
  <si>
    <t>(612) 799-7982</t>
  </si>
  <si>
    <t>Jla Corporation</t>
  </si>
  <si>
    <t>1053615559</t>
  </si>
  <si>
    <t>3800 Park Nicollet Blvd</t>
  </si>
  <si>
    <t>Big Brain Concussion Recovery &amp; Chiropractic PA</t>
  </si>
  <si>
    <t>3313 Republic Ave.</t>
  </si>
  <si>
    <t>1821657545</t>
  </si>
  <si>
    <t>Boulevard Chiropractic Clinic, PA.</t>
  </si>
  <si>
    <t>7200 Minnetonka Blvd</t>
  </si>
  <si>
    <t>(952) 925-4847</t>
  </si>
  <si>
    <t>1568544864</t>
  </si>
  <si>
    <t>Burke Mays PA.</t>
  </si>
  <si>
    <t>6200 Excelsior Blvd</t>
  </si>
  <si>
    <t>(952) 925-4639</t>
  </si>
  <si>
    <t>1801974837</t>
  </si>
  <si>
    <t>Chiropractic and Acupuncture Associates</t>
  </si>
  <si>
    <t>204</t>
  </si>
  <si>
    <t>1326248600</t>
  </si>
  <si>
    <t>Clear Health Chiropractic LLC</t>
  </si>
  <si>
    <t>5801 Cedar Lake Rd S</t>
  </si>
  <si>
    <t>(612) 567-3550</t>
  </si>
  <si>
    <t>1326410416</t>
  </si>
  <si>
    <t>Crossroad Chiropractic Clinic</t>
  </si>
  <si>
    <t>6311 Wayzata Blvd</t>
  </si>
  <si>
    <t>Ste 340</t>
  </si>
  <si>
    <t>(952) 345-8244</t>
  </si>
  <si>
    <t>1598971640</t>
  </si>
  <si>
    <t>Dr. Sheila Fahey LTD.</t>
  </si>
  <si>
    <t>3947 Excelsior Blvd</t>
  </si>
  <si>
    <t>#110</t>
  </si>
  <si>
    <t>(612) 925-5776</t>
  </si>
  <si>
    <t>1790933166</t>
  </si>
  <si>
    <t>Evolve Rehab &amp; Performance LLC</t>
  </si>
  <si>
    <t>4346 Wooddale Ave</t>
  </si>
  <si>
    <t>(612) 367-7513</t>
  </si>
  <si>
    <t>1578125159</t>
  </si>
  <si>
    <t>Family Tree Chiropractic Clinic</t>
  </si>
  <si>
    <t>(952) 930-0699</t>
  </si>
  <si>
    <t>1497774640</t>
  </si>
  <si>
    <t>Family West Chiropractic PA.</t>
  </si>
  <si>
    <t>8800 Highway 7</t>
  </si>
  <si>
    <t>(952) 938-3334</t>
  </si>
  <si>
    <t>1114104759</t>
  </si>
  <si>
    <t>Full Circle Physical Therapy and Wellness LLC</t>
  </si>
  <si>
    <t>4031 Yosemite Ave S</t>
  </si>
  <si>
    <t>(952) 847-3066</t>
  </si>
  <si>
    <t>1346835998</t>
  </si>
  <si>
    <t>Healing Tree Chiropractic, PA</t>
  </si>
  <si>
    <t>1073799110</t>
  </si>
  <si>
    <t>Levitt Chiropractic Center PA</t>
  </si>
  <si>
    <t>(952) 920-7535</t>
  </si>
  <si>
    <t>1518167956</t>
  </si>
  <si>
    <t>Life Clinic, PA.</t>
  </si>
  <si>
    <t>5525 Cedar Lake Rd S</t>
  </si>
  <si>
    <t>(651) 690-0866</t>
  </si>
  <si>
    <t>1023296167</t>
  </si>
  <si>
    <t>Lifeclinic PA</t>
  </si>
  <si>
    <t>(952) 229-7901</t>
  </si>
  <si>
    <t>1922416064</t>
  </si>
  <si>
    <t>Lifeclinic Rehabilitation and Chiropractic</t>
  </si>
  <si>
    <t>(952) 546-5474</t>
  </si>
  <si>
    <t>1356751523</t>
  </si>
  <si>
    <t>Lifescan Minnesota Stand Up Mri LLC</t>
  </si>
  <si>
    <t>5023 Excelsior Blvd</t>
  </si>
  <si>
    <t>Ste 9B</t>
  </si>
  <si>
    <t>(952) 920-8860</t>
  </si>
  <si>
    <t>1134122054</t>
  </si>
  <si>
    <t>Metro Injury, LLC</t>
  </si>
  <si>
    <t>Neurology, Chiropractic</t>
  </si>
  <si>
    <t>2460 Highway 100 S</t>
  </si>
  <si>
    <t>(952) 922-3111</t>
  </si>
  <si>
    <t>1376775049</t>
  </si>
  <si>
    <t>Minnesota Comprehensive Epilepsy Program, PA.</t>
  </si>
  <si>
    <t>(952) 525-4511</t>
  </si>
  <si>
    <t>Mincep Epilepsy Care PA</t>
  </si>
  <si>
    <t>1730211863</t>
  </si>
  <si>
    <t>Minnesota Orthopedics PA</t>
  </si>
  <si>
    <t>6490 Excelsior Blvd</t>
  </si>
  <si>
    <t>Ste W417 Meadowbrook Medical Building</t>
  </si>
  <si>
    <t>(952) 925-2388</t>
  </si>
  <si>
    <t>1457385346</t>
  </si>
  <si>
    <t>4500 Park Glen Road</t>
  </si>
  <si>
    <t>(952) 767-7771</t>
  </si>
  <si>
    <t>1659494961</t>
  </si>
  <si>
    <t>Nikole Carlson, DC, LLC</t>
  </si>
  <si>
    <t>#204</t>
  </si>
  <si>
    <t>1699925479</t>
  </si>
  <si>
    <t>Paxxon Healthcare Services LLC</t>
  </si>
  <si>
    <t>3663 Park Center Blvd</t>
  </si>
  <si>
    <t>(952) 925-6231</t>
  </si>
  <si>
    <t>1083978894</t>
  </si>
  <si>
    <t>Phoenix Center LLC</t>
  </si>
  <si>
    <t>4418 Excelsior Blvd</t>
  </si>
  <si>
    <t>(612) 226-6481</t>
  </si>
  <si>
    <t>1497915896</t>
  </si>
  <si>
    <t>Realief Medical, PA.</t>
  </si>
  <si>
    <t>Ste 229</t>
  </si>
  <si>
    <t>(952) 456-6160</t>
  </si>
  <si>
    <t>1659464162</t>
  </si>
  <si>
    <t>Realief Neuropathy Center of St. Louis Park PA</t>
  </si>
  <si>
    <t>Realief Neuropathy Center of Minnesota PA</t>
  </si>
  <si>
    <t>1578813911</t>
  </si>
  <si>
    <t>Reset Relax Massage</t>
  </si>
  <si>
    <t>(612) 707-1620</t>
  </si>
  <si>
    <t>House of Lux Spa</t>
  </si>
  <si>
    <t>1528720695</t>
  </si>
  <si>
    <t>Revolution Performance Physical Therapy</t>
  </si>
  <si>
    <t>4906 W 35th St</t>
  </si>
  <si>
    <t>(507) 459-2722</t>
  </si>
  <si>
    <t>1861082257</t>
  </si>
  <si>
    <t>Roots Chiropractic, PLLC</t>
  </si>
  <si>
    <t>8112 Minnetonka Blvd</t>
  </si>
  <si>
    <t>(952) 229-4520</t>
  </si>
  <si>
    <t>1679187157</t>
  </si>
  <si>
    <t>Sarah A. Bittell DC. P. A.</t>
  </si>
  <si>
    <t>5810 Excelsior Blvd</t>
  </si>
  <si>
    <t>(952) 927-8686</t>
  </si>
  <si>
    <t>1356421457</t>
  </si>
  <si>
    <t>Schroeder Chiropractic, PLLC</t>
  </si>
  <si>
    <t>(952) 542-3908</t>
  </si>
  <si>
    <t>1578714226</t>
  </si>
  <si>
    <t>4415 Excelsior Blvd</t>
  </si>
  <si>
    <t>1568661601</t>
  </si>
  <si>
    <t>3912 Excelsior Blvd</t>
  </si>
  <si>
    <t>1124540968</t>
  </si>
  <si>
    <t>West End Chiropractic and Wellness PA</t>
  </si>
  <si>
    <t>Ste 146, Parkdale Plaza</t>
  </si>
  <si>
    <t>1578849428</t>
  </si>
  <si>
    <t>Occupational Health Centers of the Southwest, PA.</t>
  </si>
  <si>
    <t>4300 Glumack Dr</t>
  </si>
  <si>
    <t>Conc F RM 131</t>
  </si>
  <si>
    <t>55111</t>
  </si>
  <si>
    <t>(612) 727-9485</t>
  </si>
  <si>
    <t>1679737159</t>
  </si>
  <si>
    <t>St.louis Park</t>
  </si>
  <si>
    <t>1396368866</t>
  </si>
  <si>
    <t>Advanced Back Technology, PA.</t>
  </si>
  <si>
    <t>1421 Wayzata Blvd East</t>
  </si>
  <si>
    <t>Ste 70</t>
  </si>
  <si>
    <t>(952) 473-1663</t>
  </si>
  <si>
    <t>1053490615</t>
  </si>
  <si>
    <t>Agada Chiropractic and Integrative Health Center, LLC</t>
  </si>
  <si>
    <t>(952) 405-6263</t>
  </si>
  <si>
    <t>1598066086</t>
  </si>
  <si>
    <t>Avid Health and Wellness Chiropractic</t>
  </si>
  <si>
    <t>700 Twelve Oaks Center Dr</t>
  </si>
  <si>
    <t>Ste 734</t>
  </si>
  <si>
    <t>(952) 215-9411</t>
  </si>
  <si>
    <t>1821482126</t>
  </si>
  <si>
    <t>Brewer Chi</t>
  </si>
  <si>
    <t>3800 Shoreline Dr.</t>
  </si>
  <si>
    <t>(952) 471-2555</t>
  </si>
  <si>
    <t>Brewer Corp PA</t>
  </si>
  <si>
    <t>1669763827</t>
  </si>
  <si>
    <t>Chiropractic Concepts LLC</t>
  </si>
  <si>
    <t>(952) 405-6853</t>
  </si>
  <si>
    <t>1356607238</t>
  </si>
  <si>
    <t>Common Sense Health &amp; Wellness</t>
  </si>
  <si>
    <t>1750526430</t>
  </si>
  <si>
    <t>Deephaven Chiropractic, PA.</t>
  </si>
  <si>
    <t>18281 Minnetonka Blvd</t>
  </si>
  <si>
    <t>(952) 475-0079</t>
  </si>
  <si>
    <t>1790882785</t>
  </si>
  <si>
    <t>Freidson Chiropractic &amp; Rehabilitation, PA.</t>
  </si>
  <si>
    <t>801 Twelve Oaks Center Dr</t>
  </si>
  <si>
    <t>Ste 810</t>
  </si>
  <si>
    <t>(952) 475-4080</t>
  </si>
  <si>
    <t>1548449382</t>
  </si>
  <si>
    <t>Integrated Healthcare Services Golden Valley PA</t>
  </si>
  <si>
    <t>1013157288</t>
  </si>
  <si>
    <t>Life Chiropractic: A Wellness Centre, PC.</t>
  </si>
  <si>
    <t>109 Bushaway Rd</t>
  </si>
  <si>
    <t>(952) 746-5352</t>
  </si>
  <si>
    <t>1811142300</t>
  </si>
  <si>
    <t>Maverick Chiropractic</t>
  </si>
  <si>
    <t>1133 Wayzata Blvd E</t>
  </si>
  <si>
    <t>(952) 737-1046</t>
  </si>
  <si>
    <t>Maverick Chiropractic PLC</t>
  </si>
  <si>
    <t>1013561760</t>
  </si>
  <si>
    <t>Pilates MN</t>
  </si>
  <si>
    <t>864 Lake St E</t>
  </si>
  <si>
    <t>(952) 476-0304</t>
  </si>
  <si>
    <t>1083906978</t>
  </si>
  <si>
    <t>The Brost Clinic, PA</t>
  </si>
  <si>
    <t>1421 Wayzata Blvd</t>
  </si>
  <si>
    <t>Ste 61</t>
  </si>
  <si>
    <t>(952) 473-9637</t>
  </si>
  <si>
    <t>1407028939</t>
  </si>
  <si>
    <t>The Common Sense Wellness Center</t>
  </si>
  <si>
    <t>Global Wellness Management Company</t>
  </si>
  <si>
    <t>1629306584</t>
  </si>
  <si>
    <t>Tierney Chiropractic</t>
  </si>
  <si>
    <t>(952) 444-2158</t>
  </si>
  <si>
    <t>Dr. Daniel S. Tierney, LLC</t>
  </si>
  <si>
    <t>1407069776</t>
  </si>
  <si>
    <t>Tree of Life Chiropractic Clinic PA.</t>
  </si>
  <si>
    <t>1001 Twelve Oaks Center Drive</t>
  </si>
  <si>
    <t>Ste 1015</t>
  </si>
  <si>
    <t>1326180860</t>
  </si>
  <si>
    <t>Vaida Chiropractic, INC</t>
  </si>
  <si>
    <t>(952) 473-1773</t>
  </si>
  <si>
    <t>1033575196</t>
  </si>
  <si>
    <t>Vitality Chiropractic: A Wellness Guide Centre PC.</t>
  </si>
  <si>
    <t>935 Wayzata Blvd E</t>
  </si>
  <si>
    <t>(952) 746-5351</t>
  </si>
  <si>
    <t>1699920249</t>
  </si>
  <si>
    <t>Wayzata Chiropractic Clinic</t>
  </si>
  <si>
    <t>(952) 473-4241</t>
  </si>
  <si>
    <t>1588831697</t>
  </si>
  <si>
    <t>Wegleitner Chiropractic, PA</t>
  </si>
  <si>
    <t>18202 Minnetonka Blvd</t>
  </si>
  <si>
    <t>(612) 419-4648</t>
  </si>
  <si>
    <t>1750755443</t>
  </si>
  <si>
    <t>Nature's Way Chiopractic</t>
  </si>
  <si>
    <t>120 Central Dr W</t>
  </si>
  <si>
    <t>Braham</t>
  </si>
  <si>
    <t>55006</t>
  </si>
  <si>
    <t>(320) 396-3375</t>
  </si>
  <si>
    <t>1336385723</t>
  </si>
  <si>
    <t>North Metro Chiropractic Clinic PA.</t>
  </si>
  <si>
    <t>1525 Highway 95 E</t>
  </si>
  <si>
    <t>(763) 689-0462</t>
  </si>
  <si>
    <t>1912108911</t>
  </si>
  <si>
    <t>Total Health Chiropractic</t>
  </si>
  <si>
    <t>911 Main St S</t>
  </si>
  <si>
    <t>(763) 689-1110</t>
  </si>
  <si>
    <t>East Central Chiropractic Clinic, PA.</t>
  </si>
  <si>
    <t>1912051756</t>
  </si>
  <si>
    <t>Westerberg Chiropractic PA.</t>
  </si>
  <si>
    <t>135 2nd Ave NW</t>
  </si>
  <si>
    <t>(763) 689-0900</t>
  </si>
  <si>
    <t>1972812725</t>
  </si>
  <si>
    <t>Willowbridge, INC.</t>
  </si>
  <si>
    <t>222 Ashland St S</t>
  </si>
  <si>
    <t>(763) 552-6161</t>
  </si>
  <si>
    <t>1649489493</t>
  </si>
  <si>
    <t>Bohnen Chiropractic Center P A</t>
  </si>
  <si>
    <t>401 East Dual Blvd</t>
  </si>
  <si>
    <t>(763) 444-5597</t>
  </si>
  <si>
    <t>1689721151</t>
  </si>
  <si>
    <t>Isanti Chiropractic Clinic, PA</t>
  </si>
  <si>
    <t>118 W. Main Street</t>
  </si>
  <si>
    <t>(763) 444-9737</t>
  </si>
  <si>
    <t>1265469258</t>
  </si>
  <si>
    <t>Taylor Chiropractic PLLC</t>
  </si>
  <si>
    <t>3930 Northwoods Dr</t>
  </si>
  <si>
    <t>(612) 255-0952</t>
  </si>
  <si>
    <t>1023620994</t>
  </si>
  <si>
    <t>New Normal PT</t>
  </si>
  <si>
    <t>1790 Holton St</t>
  </si>
  <si>
    <t>Falcon Heights</t>
  </si>
  <si>
    <t>(651) 300-9079</t>
  </si>
  <si>
    <t>1366031668</t>
  </si>
  <si>
    <t>Lauderdale Wellness Center</t>
  </si>
  <si>
    <t>2443 Larpenteur Ave W</t>
  </si>
  <si>
    <t>Lauderdale</t>
  </si>
  <si>
    <t>(651) 917-9800</t>
  </si>
  <si>
    <t>Malzer Chiropractic LLC</t>
  </si>
  <si>
    <t>1972794675</t>
  </si>
  <si>
    <t>Access Group Physical Therapy, LLC</t>
  </si>
  <si>
    <t>2800 Rice St</t>
  </si>
  <si>
    <t>Ste 159</t>
  </si>
  <si>
    <t>Little Canada</t>
  </si>
  <si>
    <t>(651) 249-6805</t>
  </si>
  <si>
    <t>1891200655</t>
  </si>
  <si>
    <t>Chirome Health and Wellness LLC</t>
  </si>
  <si>
    <t>2885 Country Dr</t>
  </si>
  <si>
    <t>(651) 440-9905</t>
  </si>
  <si>
    <t>1679026504</t>
  </si>
  <si>
    <t>2860 Middle St</t>
  </si>
  <si>
    <t>(651) 484-8783</t>
  </si>
  <si>
    <t>Lifescan Minnesota Stand Up Mri</t>
  </si>
  <si>
    <t>75 Viking Dr W</t>
  </si>
  <si>
    <t>(651) 486-7530</t>
  </si>
  <si>
    <t>1659382075</t>
  </si>
  <si>
    <t>Realm Chiropractic LLC</t>
  </si>
  <si>
    <t>(701) 740-8870</t>
  </si>
  <si>
    <t>1922464577</t>
  </si>
  <si>
    <t>Revive Chiropractic Wellness Center, LLC</t>
  </si>
  <si>
    <t>Ste 158</t>
  </si>
  <si>
    <t>(651) 765-1320</t>
  </si>
  <si>
    <t>1487991600</t>
  </si>
  <si>
    <t>Advanced Chiropractic, PA.</t>
  </si>
  <si>
    <t>2485 Maplewood Dr</t>
  </si>
  <si>
    <t>(651) 770-7938</t>
  </si>
  <si>
    <t>1235674029</t>
  </si>
  <si>
    <t>1860 Beam Avenue</t>
  </si>
  <si>
    <t>(651) 748-8226</t>
  </si>
  <si>
    <t>Minnesota Medical Scanning Corporation</t>
  </si>
  <si>
    <t>1033162177</t>
  </si>
  <si>
    <t>Institute of Facial Surgery St Paul</t>
  </si>
  <si>
    <t>1774 Cope Ave E</t>
  </si>
  <si>
    <t>(651) 774-9611</t>
  </si>
  <si>
    <t>1689723686</t>
  </si>
  <si>
    <t>Maplewood Chiropractic Health Center PA</t>
  </si>
  <si>
    <t>1900 County Road D E</t>
  </si>
  <si>
    <t>(651) 340-5169</t>
  </si>
  <si>
    <t>1700221454</t>
  </si>
  <si>
    <t>Maplewood White Bear Chiropractic Center</t>
  </si>
  <si>
    <t>2055 White Bear Ave N</t>
  </si>
  <si>
    <t>(651) 770-8091</t>
  </si>
  <si>
    <t>1992806673</t>
  </si>
  <si>
    <t>Minnesota Arthritis Center, PA</t>
  </si>
  <si>
    <t>Ste 108B</t>
  </si>
  <si>
    <t>(651) 282-0948</t>
  </si>
  <si>
    <t>1740578749</t>
  </si>
  <si>
    <t>Neurological Associates of St Paul PA</t>
  </si>
  <si>
    <t>1497747182</t>
  </si>
  <si>
    <t>Specific Family Chiropractic, LLC</t>
  </si>
  <si>
    <t>108</t>
  </si>
  <si>
    <t>(651) 415-0418</t>
  </si>
  <si>
    <t>1497821433</t>
  </si>
  <si>
    <t>Specific Health &amp; Chiropractic PLLC</t>
  </si>
  <si>
    <t>1275192197</t>
  </si>
  <si>
    <t>Swenson Chiropractic</t>
  </si>
  <si>
    <t>2485 Maplewood Drive</t>
  </si>
  <si>
    <t>Erick C Swenson DC., PA.</t>
  </si>
  <si>
    <t>1841410248</t>
  </si>
  <si>
    <t>2515 White Bear Ave N</t>
  </si>
  <si>
    <t>Ste A11</t>
  </si>
  <si>
    <t>(651) 779-6543</t>
  </si>
  <si>
    <t>1700967676</t>
  </si>
  <si>
    <t>Vertical Chiropractic</t>
  </si>
  <si>
    <t>(651) 352-2138</t>
  </si>
  <si>
    <t>Rowh Chiropractic Enterprises PA.</t>
  </si>
  <si>
    <t>1609225879</t>
  </si>
  <si>
    <t>Vitality Health Center</t>
  </si>
  <si>
    <t>2019A Woodlynn Ave</t>
  </si>
  <si>
    <t>(651) 773-9414</t>
  </si>
  <si>
    <t>Toth Chiropractic PA</t>
  </si>
  <si>
    <t>1801912530</t>
  </si>
  <si>
    <t>Balance Chiropractic</t>
  </si>
  <si>
    <t>656 Selby Ave</t>
  </si>
  <si>
    <t>(612) 554-1354</t>
  </si>
  <si>
    <t>Kalbus Chiropractic LLC</t>
  </si>
  <si>
    <t>1770653636</t>
  </si>
  <si>
    <t>Alan Arvidson Chiropractic Clinic PA.</t>
  </si>
  <si>
    <t>2030 Silver Lake Rd NW</t>
  </si>
  <si>
    <t>(651) 633-4938</t>
  </si>
  <si>
    <t>1003120643</t>
  </si>
  <si>
    <t>Allied Wellness Professionals, PLLC</t>
  </si>
  <si>
    <t>2459 - 15th Street NW</t>
  </si>
  <si>
    <t>(651) 249-3816</t>
  </si>
  <si>
    <t>1912300013</t>
  </si>
  <si>
    <t>Cha Family Chiropractic</t>
  </si>
  <si>
    <t>1401 Silver Lake Rd NW</t>
  </si>
  <si>
    <t>(651) 631-0093</t>
  </si>
  <si>
    <t>Bk Chiropractic PA</t>
  </si>
  <si>
    <t>1720395965</t>
  </si>
  <si>
    <t>Eric J Hering DC, PA</t>
  </si>
  <si>
    <t>969 Old Highway 8 NW</t>
  </si>
  <si>
    <t>(651) 287-3035</t>
  </si>
  <si>
    <t>1457360521</t>
  </si>
  <si>
    <t>Essence Chiropractic &amp; Health PLLC</t>
  </si>
  <si>
    <t>525 Main St</t>
  </si>
  <si>
    <t>(651) 347-5759</t>
  </si>
  <si>
    <t>1225320088</t>
  </si>
  <si>
    <t>New Brighton Chiropractic Clinic, PA.</t>
  </si>
  <si>
    <t>2216 County Road D W</t>
  </si>
  <si>
    <t>(651) 636-4120</t>
  </si>
  <si>
    <t>1518963768</t>
  </si>
  <si>
    <t>949 Old Highway 8 NW</t>
  </si>
  <si>
    <t>1730346958</t>
  </si>
  <si>
    <t>Oak Ridg Chiropractic LTD</t>
  </si>
  <si>
    <t>2172 Silver Lake Rd NW</t>
  </si>
  <si>
    <t>(651) 633-8110</t>
  </si>
  <si>
    <t>1457549172</t>
  </si>
  <si>
    <t>Silver Lake Chiropractic INC</t>
  </si>
  <si>
    <t>1235506759</t>
  </si>
  <si>
    <t>Total Connection Physical Therapy, LLC</t>
  </si>
  <si>
    <t>388 Cleveland Ave SW</t>
  </si>
  <si>
    <t>(218) 341-1531</t>
  </si>
  <si>
    <t>1013341353</t>
  </si>
  <si>
    <t>Prime Chiropractic &amp; Rehab Center</t>
  </si>
  <si>
    <t>200 Village Center Dr</t>
  </si>
  <si>
    <t>(651) 235-9736</t>
  </si>
  <si>
    <t>1316535958</t>
  </si>
  <si>
    <t>Polar Family Chiropractic Center</t>
  </si>
  <si>
    <t>2470 Mcknight Rd N</t>
  </si>
  <si>
    <t>North Saint Paul</t>
  </si>
  <si>
    <t>(651) 777-3877</t>
  </si>
  <si>
    <t>Donald R. Mandel, DC., LTD</t>
  </si>
  <si>
    <t>1518153154</t>
  </si>
  <si>
    <t>Key Chiropractic, LTD</t>
  </si>
  <si>
    <t>2597 7th Ave E</t>
  </si>
  <si>
    <t>(651) 770-8200</t>
  </si>
  <si>
    <t>1740207703</t>
  </si>
  <si>
    <t>Advanced Chiropractic &amp; Wellness, PA.</t>
  </si>
  <si>
    <t>1752 Lexington Ave N</t>
  </si>
  <si>
    <t>(651) 779-5998</t>
  </si>
  <si>
    <t>1700941069</t>
  </si>
  <si>
    <t>All Ways Health Center PA</t>
  </si>
  <si>
    <t>2585 Hamline Ave N</t>
  </si>
  <si>
    <t>(651) 631-9488</t>
  </si>
  <si>
    <t>1508945411</t>
  </si>
  <si>
    <t>Back To It Chiropractic PLLC</t>
  </si>
  <si>
    <t>(651) 633-9667</t>
  </si>
  <si>
    <t>1336471390</t>
  </si>
  <si>
    <t>Beilby Chiropractic and Wellness Clinic, LLC</t>
  </si>
  <si>
    <t>(651) 633-9668</t>
  </si>
  <si>
    <t>1548568108</t>
  </si>
  <si>
    <t>Brent Jc Robinson, DC.</t>
  </si>
  <si>
    <t>(651) 487-5950</t>
  </si>
  <si>
    <t>Robinson Chiropractic, PA</t>
  </si>
  <si>
    <t>1932258399</t>
  </si>
  <si>
    <t>Comprehensive Health &amp; Wellness</t>
  </si>
  <si>
    <t>2345 Rice St</t>
  </si>
  <si>
    <t>1659694149</t>
  </si>
  <si>
    <t>Hamline Health &amp; Wellness PA</t>
  </si>
  <si>
    <t>2151 Hamline Ave N</t>
  </si>
  <si>
    <t>(651) 636-5560</t>
  </si>
  <si>
    <t>1902010390</t>
  </si>
  <si>
    <t>Heather L Bjugstad Chiropractic, LLC</t>
  </si>
  <si>
    <t>2489 Rice St</t>
  </si>
  <si>
    <t>1033393392</t>
  </si>
  <si>
    <t>Ichiro Health Clinic</t>
  </si>
  <si>
    <t>(651) 348-2338</t>
  </si>
  <si>
    <t>1487138012</t>
  </si>
  <si>
    <t>Ingbretson Chiropractic</t>
  </si>
  <si>
    <t>1861557217</t>
  </si>
  <si>
    <t>Jason Wing Louie Chiropractic LLC</t>
  </si>
  <si>
    <t>#130</t>
  </si>
  <si>
    <t>1598940041</t>
  </si>
  <si>
    <t>Midwest Med Management, INC</t>
  </si>
  <si>
    <t>1935 County Road B2 W</t>
  </si>
  <si>
    <t>(651) 330-4904</t>
  </si>
  <si>
    <t>1952731895</t>
  </si>
  <si>
    <t>Minnesota Pain Relief and Wellness Institute PA</t>
  </si>
  <si>
    <t>(651) 288-3098</t>
  </si>
  <si>
    <t>1255661914</t>
  </si>
  <si>
    <t>Minnesota Spine Institute</t>
  </si>
  <si>
    <t>(612) 670-4971</t>
  </si>
  <si>
    <t>Better Spine Health 360</t>
  </si>
  <si>
    <t>1487173563</t>
  </si>
  <si>
    <t>Nadig Chiropractic</t>
  </si>
  <si>
    <t>1487796397</t>
  </si>
  <si>
    <t>Norling Chiropractic</t>
  </si>
  <si>
    <t>1689731390</t>
  </si>
  <si>
    <t>Out and About Chiropractic PLLC</t>
  </si>
  <si>
    <t>1484 Clarmar Ave W</t>
  </si>
  <si>
    <t>(612) 331-9999</t>
  </si>
  <si>
    <t>1588150049</t>
  </si>
  <si>
    <t>Perfect Touch Massage &amp; Chiropractic, LTD</t>
  </si>
  <si>
    <t>3101 Old Highway 8</t>
  </si>
  <si>
    <t>(763) 746-3344</t>
  </si>
  <si>
    <t>1548639586</t>
  </si>
  <si>
    <t>Physicians Neck &amp; Back Clinics</t>
  </si>
  <si>
    <t>3050 Centre Pointe Dr</t>
  </si>
  <si>
    <t>(651) 639-9150</t>
  </si>
  <si>
    <t>1538495247</t>
  </si>
  <si>
    <t>Platinum Health Regenerative Solutions, PA</t>
  </si>
  <si>
    <t>1649743220</t>
  </si>
  <si>
    <t>Quandtum Family Chiropractic</t>
  </si>
  <si>
    <t>1881718708</t>
  </si>
  <si>
    <t>Soma Chiro &amp; Functional Medicine</t>
  </si>
  <si>
    <t>(651) 528-7978</t>
  </si>
  <si>
    <t>Soma Chiro LLC</t>
  </si>
  <si>
    <t>1366911141</t>
  </si>
  <si>
    <t>Total Healthcare &amp; Physical Medicine, PLLC</t>
  </si>
  <si>
    <t>1871924910</t>
  </si>
  <si>
    <t>Twin Cities Metabolism</t>
  </si>
  <si>
    <t>1700 Highway 36 W</t>
  </si>
  <si>
    <t>400</t>
  </si>
  <si>
    <t>(651) 636-0055</t>
  </si>
  <si>
    <t>1205087251</t>
  </si>
  <si>
    <t>Urban Chiropractic</t>
  </si>
  <si>
    <t>2353 Rice St</t>
  </si>
  <si>
    <t>Ste 225</t>
  </si>
  <si>
    <t>1457568768</t>
  </si>
  <si>
    <t>Viverantos</t>
  </si>
  <si>
    <t>1769 Lexington Ave N</t>
  </si>
  <si>
    <t>286</t>
  </si>
  <si>
    <t>(218) 624-2794</t>
  </si>
  <si>
    <t>Viverantos, LLC</t>
  </si>
  <si>
    <t>1346773330</t>
  </si>
  <si>
    <t>Well-Adjusted Chiropractic</t>
  </si>
  <si>
    <t>2436 Albert St N</t>
  </si>
  <si>
    <t>(651) 329-7679</t>
  </si>
  <si>
    <t>1033129861</t>
  </si>
  <si>
    <t>Advanced Chiropractic &amp; Wellness Clinic</t>
  </si>
  <si>
    <t>3434 Lexington Ave N</t>
  </si>
  <si>
    <t>(651) 484-0151</t>
  </si>
  <si>
    <t>1184808636</t>
  </si>
  <si>
    <t>Advanced Spinal Care &amp; Rehab</t>
  </si>
  <si>
    <t>4535 Hodgson Rd</t>
  </si>
  <si>
    <t>(651) 490-1507</t>
  </si>
  <si>
    <t>Affordable Chiropractic Center, PA.</t>
  </si>
  <si>
    <t>1639208739</t>
  </si>
  <si>
    <t>Ardenview</t>
  </si>
  <si>
    <t>(651) 447-2468</t>
  </si>
  <si>
    <t>1093106122</t>
  </si>
  <si>
    <t>Chiropractic Servics LTD.</t>
  </si>
  <si>
    <t>1050 County Road E W</t>
  </si>
  <si>
    <t>(651) 484-8448</t>
  </si>
  <si>
    <t>1811177546</t>
  </si>
  <si>
    <t>1030 County Road E W</t>
  </si>
  <si>
    <t>(651) 493-0626</t>
  </si>
  <si>
    <t>1346477635</t>
  </si>
  <si>
    <t>Healthy Day Chiropractic</t>
  </si>
  <si>
    <t>3999 Rice St</t>
  </si>
  <si>
    <t>(763) 234-5796</t>
  </si>
  <si>
    <t>Dr Joshua C Jones PLLC</t>
  </si>
  <si>
    <t>1760076020</t>
  </si>
  <si>
    <t>Lifetree Chiropractic &amp; Wellness, LLC</t>
  </si>
  <si>
    <t>3550 Lexington Ave N</t>
  </si>
  <si>
    <t>(651) 308-2917</t>
  </si>
  <si>
    <t>1871979245</t>
  </si>
  <si>
    <t>Lowell Magelssen DC PA</t>
  </si>
  <si>
    <t>1042 Highway 96 W</t>
  </si>
  <si>
    <t>(651) 482-1040</t>
  </si>
  <si>
    <t>1841511425</t>
  </si>
  <si>
    <t>Marek Chiropractic, LLC</t>
  </si>
  <si>
    <t>4700 Lexington Ave N</t>
  </si>
  <si>
    <t>(651) 784-4545</t>
  </si>
  <si>
    <t>1245536150</t>
  </si>
  <si>
    <t>Maryanne Lassegard</t>
  </si>
  <si>
    <t>521 Tanglewood Dr.</t>
  </si>
  <si>
    <t>(612) 306-4721</t>
  </si>
  <si>
    <t>Nova Bhs</t>
  </si>
  <si>
    <t>1598150930</t>
  </si>
  <si>
    <t>Millsop Chiropractic, PA.</t>
  </si>
  <si>
    <t>3570 Lexington Ave N</t>
  </si>
  <si>
    <t>(651) 400-7026</t>
  </si>
  <si>
    <t>1013181429</t>
  </si>
  <si>
    <t>Motioncare, INC.</t>
  </si>
  <si>
    <t>5985 Rice Creek Pkwy</t>
  </si>
  <si>
    <t>(651) 484-6735</t>
  </si>
  <si>
    <t>1851486203</t>
  </si>
  <si>
    <t>Shoreview Spine and Sport Family Chiropractic, LLC</t>
  </si>
  <si>
    <t>1841536323</t>
  </si>
  <si>
    <t>Steffen Chiropractic Center, PC</t>
  </si>
  <si>
    <t>500 Highway 96 W</t>
  </si>
  <si>
    <t>(651) 483-4040</t>
  </si>
  <si>
    <t>1821047812</t>
  </si>
  <si>
    <t>Theresa Plasencia Physical Therapy, INC.</t>
  </si>
  <si>
    <t>1194919571</t>
  </si>
  <si>
    <t>Willow Creek Chiropractic, PA</t>
  </si>
  <si>
    <t>5922 Lexington Ave N</t>
  </si>
  <si>
    <t>(651) 784-3396</t>
  </si>
  <si>
    <t>1831278449</t>
  </si>
  <si>
    <t>Healthwise Family Chiropractic, PA.</t>
  </si>
  <si>
    <t>3803 Silver Lake Road</t>
  </si>
  <si>
    <t>Unit 100</t>
  </si>
  <si>
    <t>St. Anthony</t>
  </si>
  <si>
    <t>(612) 789-1700</t>
  </si>
  <si>
    <t>1336216522</t>
  </si>
  <si>
    <t>Acorn Chiropractic LLC</t>
  </si>
  <si>
    <t>1746 Lincoln Ave</t>
  </si>
  <si>
    <t>(651) 260-1763</t>
  </si>
  <si>
    <t>1437310711</t>
  </si>
  <si>
    <t>Acupuncture and Chiropractic Limited, PLLC</t>
  </si>
  <si>
    <t>232 Snelling Ave S</t>
  </si>
  <si>
    <t>(651) 219-4114</t>
  </si>
  <si>
    <t>1396390050</t>
  </si>
  <si>
    <t>Affinity Chiropractic Care LLC</t>
  </si>
  <si>
    <t>225 University Ave W</t>
  </si>
  <si>
    <t>Ste 121A</t>
  </si>
  <si>
    <t>(651) 894-4830</t>
  </si>
  <si>
    <t>1477943843</t>
  </si>
  <si>
    <t>Align Chiromedical Clinic, PA.</t>
  </si>
  <si>
    <t>33 Hamline Ave S</t>
  </si>
  <si>
    <t>1467578518</t>
  </si>
  <si>
    <t>Allie Chiropractic Clinic, PA</t>
  </si>
  <si>
    <t>1654 Rice St</t>
  </si>
  <si>
    <t>(651) 487-5334</t>
  </si>
  <si>
    <t>1801911292</t>
  </si>
  <si>
    <t>Allied Physical Therapy LLC</t>
  </si>
  <si>
    <t>506 E Kenny Road</t>
  </si>
  <si>
    <t>55130</t>
  </si>
  <si>
    <t>(651) 207-5820</t>
  </si>
  <si>
    <t>1790291748</t>
  </si>
  <si>
    <t>Arcade Pain Center, PLLC.</t>
  </si>
  <si>
    <t>651 Arcade St</t>
  </si>
  <si>
    <t>(651) 340-3546</t>
  </si>
  <si>
    <t>1366886566</t>
  </si>
  <si>
    <t>Associates In Chiropractic PA.</t>
  </si>
  <si>
    <t>(651) 641-6247</t>
  </si>
  <si>
    <t>1336311166</t>
  </si>
  <si>
    <t>Awaken Chiropractic</t>
  </si>
  <si>
    <t>1821 Saint Clair Ave</t>
  </si>
  <si>
    <t>(651) 243-0943</t>
  </si>
  <si>
    <t>Leveille Chiropractic LLC</t>
  </si>
  <si>
    <t>1841540713</t>
  </si>
  <si>
    <t>Barb Gettel Chiropractic PA.</t>
  </si>
  <si>
    <t>1801 Saint Clair Ave</t>
  </si>
  <si>
    <t>(612) 817-8962</t>
  </si>
  <si>
    <t>1821294828</t>
  </si>
  <si>
    <t>Battle Creek Chiropractic</t>
  </si>
  <si>
    <t>261 Ruth St N</t>
  </si>
  <si>
    <t>(651) 714-4848</t>
  </si>
  <si>
    <t>1407190184</t>
  </si>
  <si>
    <t>Beseman Chiropractic PA</t>
  </si>
  <si>
    <t>1712 Suburban Ave</t>
  </si>
  <si>
    <t>(651) 776-3345</t>
  </si>
  <si>
    <t>1912263906</t>
  </si>
  <si>
    <t>Bridging Health Chiropractic</t>
  </si>
  <si>
    <t>6 West 5th Street</t>
  </si>
  <si>
    <t>(612) 298-8031</t>
  </si>
  <si>
    <t>Amstutz &amp; Boren Chiropractic LLC</t>
  </si>
  <si>
    <t>1982651303</t>
  </si>
  <si>
    <t>Capitol Chiropractic &amp; Rehab., PC</t>
  </si>
  <si>
    <t>1408 Arcade St</t>
  </si>
  <si>
    <t>1588711857</t>
  </si>
  <si>
    <t>Capitol Neurology PA</t>
  </si>
  <si>
    <t>Ste #350</t>
  </si>
  <si>
    <t>(651) 291-1559</t>
  </si>
  <si>
    <t>1083635171</t>
  </si>
  <si>
    <t>Capitol Pain Management PLLC</t>
  </si>
  <si>
    <t>1780090449</t>
  </si>
  <si>
    <t>Care Point Chiropractic, PLLC</t>
  </si>
  <si>
    <t>1821 University Ave W,</t>
  </si>
  <si>
    <t>Ste S218</t>
  </si>
  <si>
    <t>(651) 645-0227</t>
  </si>
  <si>
    <t>1659827228</t>
  </si>
  <si>
    <t>Caron Chiropractic Clinic, PA.</t>
  </si>
  <si>
    <t>490 Snelling Ave S</t>
  </si>
  <si>
    <t>(651) 699-6044</t>
  </si>
  <si>
    <t>1326259318</t>
  </si>
  <si>
    <t>Cascade Chiropractic PC.</t>
  </si>
  <si>
    <t>1390 W. 7th Street</t>
  </si>
  <si>
    <t>(651) 227-2233</t>
  </si>
  <si>
    <t>1518146687</t>
  </si>
  <si>
    <t>Casual Chiropractic</t>
  </si>
  <si>
    <t>555 7th St W</t>
  </si>
  <si>
    <t>(651) 789-0970</t>
  </si>
  <si>
    <t>1649678517</t>
  </si>
  <si>
    <t>Central Medical Clinic LLC</t>
  </si>
  <si>
    <t>393 N Dunlap Street</t>
  </si>
  <si>
    <t>Ste Ll34</t>
  </si>
  <si>
    <t>(651) 644-6002</t>
  </si>
  <si>
    <t>1437313434</t>
  </si>
  <si>
    <t>Central Medical Clinic PLLC</t>
  </si>
  <si>
    <t>1174876643</t>
  </si>
  <si>
    <t>Central Medical Wellness &amp; Regeneration</t>
  </si>
  <si>
    <t>821 Raymond Ave</t>
  </si>
  <si>
    <t>1336740364</t>
  </si>
  <si>
    <t>Central Medical Wellness INC</t>
  </si>
  <si>
    <t>(651) 746-4412</t>
  </si>
  <si>
    <t>1376166496</t>
  </si>
  <si>
    <t>Channing Mckinley Chiropractic, LTD.</t>
  </si>
  <si>
    <t>(651) 210-8497</t>
  </si>
  <si>
    <t>1114009495</t>
  </si>
  <si>
    <t>Child Neurology Solutions PLLC</t>
  </si>
  <si>
    <t>Ste 399, Fort Road Medical Center</t>
  </si>
  <si>
    <t>(651) 356-0136</t>
  </si>
  <si>
    <t>1205200383</t>
  </si>
  <si>
    <t>1132 Arcade St</t>
  </si>
  <si>
    <t>(651) 771-4200</t>
  </si>
  <si>
    <t>1215302211</t>
  </si>
  <si>
    <t>Chirodefense, LLC</t>
  </si>
  <si>
    <t>1068 Payne Ave</t>
  </si>
  <si>
    <t>(651) 815-9896</t>
  </si>
  <si>
    <t>1598130924</t>
  </si>
  <si>
    <t>Chiroport</t>
  </si>
  <si>
    <t>(651) 900-3562</t>
  </si>
  <si>
    <t>1386010916</t>
  </si>
  <si>
    <t>Chiropractic Health Care of St. Paul PA.</t>
  </si>
  <si>
    <t>1386 7th St W</t>
  </si>
  <si>
    <t>(651) 293-9200</t>
  </si>
  <si>
    <t>1225180359</t>
  </si>
  <si>
    <t>Chiropractic Network</t>
  </si>
  <si>
    <t>758 Grand Ave</t>
  </si>
  <si>
    <t>(651) 290-0500</t>
  </si>
  <si>
    <t>Cm Management, INC.</t>
  </si>
  <si>
    <t>1336185149</t>
  </si>
  <si>
    <t>Chiroworks PA</t>
  </si>
  <si>
    <t>1350 Energy Ln</t>
  </si>
  <si>
    <t>Ste 110A</t>
  </si>
  <si>
    <t>(651) 808-7969</t>
  </si>
  <si>
    <t>1962985663</t>
  </si>
  <si>
    <t>Christensen Accident &amp; Injury Center, PA.</t>
  </si>
  <si>
    <t>1073 Payne Ave</t>
  </si>
  <si>
    <t>(651) 778-0716</t>
  </si>
  <si>
    <t>1568615102</t>
  </si>
  <si>
    <t>Christianson Chiropractic, PLLC</t>
  </si>
  <si>
    <t>631 Cleveland Ave S</t>
  </si>
  <si>
    <t>(651) 698-2321</t>
  </si>
  <si>
    <t>1265800700</t>
  </si>
  <si>
    <t>Community Health Chiropractic Clinic, PA.</t>
  </si>
  <si>
    <t>393 Maryland Ave E</t>
  </si>
  <si>
    <t>(651) 487-7700</t>
  </si>
  <si>
    <t>1710385182</t>
  </si>
  <si>
    <t>Como Chiropractic Health Center, PA</t>
  </si>
  <si>
    <t>947 Payne Ave</t>
  </si>
  <si>
    <t>(651) 771-5540</t>
  </si>
  <si>
    <t>1598984536</t>
  </si>
  <si>
    <t>Complete Chiropractic Health Services, PA.</t>
  </si>
  <si>
    <t>1526 Grand Ave</t>
  </si>
  <si>
    <t>(651) 690-9366</t>
  </si>
  <si>
    <t>1992864961</t>
  </si>
  <si>
    <t>570 Asbury St</t>
  </si>
  <si>
    <t>(651) 888-6540</t>
  </si>
  <si>
    <t>1417438870</t>
  </si>
  <si>
    <t>Crest Chiropractic Clinic</t>
  </si>
  <si>
    <t>1497 White Bear Ave N</t>
  </si>
  <si>
    <t>(651) 776-7100</t>
  </si>
  <si>
    <t>1285829267</t>
  </si>
  <si>
    <t>Desita Care</t>
  </si>
  <si>
    <t>1053885822</t>
  </si>
  <si>
    <t>Doba, LLC</t>
  </si>
  <si>
    <t>1158 Thomas Ave</t>
  </si>
  <si>
    <t>(612) 280-6606</t>
  </si>
  <si>
    <t>1811199060</t>
  </si>
  <si>
    <t>Don Habermas-Scher, DC., PA.</t>
  </si>
  <si>
    <t>(651) 644-0455</t>
  </si>
  <si>
    <t>1154414407</t>
  </si>
  <si>
    <t>Dr. Tia Chang &amp; Associates, PA.</t>
  </si>
  <si>
    <t>858 Terrace Ct</t>
  </si>
  <si>
    <t>(651) 771-2250</t>
  </si>
  <si>
    <t>1336396134</t>
  </si>
  <si>
    <t>East St Paul Health PA</t>
  </si>
  <si>
    <t>779 7th St E</t>
  </si>
  <si>
    <t>(651) 888-6272</t>
  </si>
  <si>
    <t>1376967489</t>
  </si>
  <si>
    <t>Elite Care Chiropractic PA.</t>
  </si>
  <si>
    <t>(651) 788-5134</t>
  </si>
  <si>
    <t>1225516594</t>
  </si>
  <si>
    <t>Elite Chiropractic-North St. Paul</t>
  </si>
  <si>
    <t>(651) 777-1710</t>
  </si>
  <si>
    <t>1972529634</t>
  </si>
  <si>
    <t>Evening Chiropractic Clinic LLC</t>
  </si>
  <si>
    <t>1885 University Ave W</t>
  </si>
  <si>
    <t>140</t>
  </si>
  <si>
    <t>(651) 419-1069</t>
  </si>
  <si>
    <t>1548653090</t>
  </si>
  <si>
    <t>Finish Line Chiropractic</t>
  </si>
  <si>
    <t>400 Wabasha St N</t>
  </si>
  <si>
    <t>(651) 346-3848</t>
  </si>
  <si>
    <t>Finish Line Chiropractic PA.</t>
  </si>
  <si>
    <t>1639349269</t>
  </si>
  <si>
    <t>Fit Life Chiropractic and Wellness LLC</t>
  </si>
  <si>
    <t>(906) 282-7119</t>
  </si>
  <si>
    <t>1760868236</t>
  </si>
  <si>
    <t>Grand Ave Chiropractic</t>
  </si>
  <si>
    <t>1119 Grand Ave</t>
  </si>
  <si>
    <t>(651) 224-7603</t>
  </si>
  <si>
    <t>Arvidson Grand Ave Chiropractic</t>
  </si>
  <si>
    <t>1245373034</t>
  </si>
  <si>
    <t>Grand Avenue Chiropractic &amp; Acupuncture, PLLC</t>
  </si>
  <si>
    <t>(651) 222-7381</t>
  </si>
  <si>
    <t>1285964411</t>
  </si>
  <si>
    <t>Grand Health Chiropractic and Wellness Center, PA.</t>
  </si>
  <si>
    <t>1025 Selby Ave</t>
  </si>
  <si>
    <t>(651) 228-9000</t>
  </si>
  <si>
    <t>1801961826</t>
  </si>
  <si>
    <t>Great Metropolitan Backrub</t>
  </si>
  <si>
    <t>762 Cleveland Ave S</t>
  </si>
  <si>
    <t>(651) 698-3338</t>
  </si>
  <si>
    <t>1669862843</t>
  </si>
  <si>
    <t>Groveland Chiropracitc</t>
  </si>
  <si>
    <t>2052 Saint Clair Ave</t>
  </si>
  <si>
    <t>(715) 497-6943</t>
  </si>
  <si>
    <t>Dahl Chiropractic PLLC</t>
  </si>
  <si>
    <t>1891154720</t>
  </si>
  <si>
    <t>Groveland Chiropractic</t>
  </si>
  <si>
    <t>(651) 698-2516</t>
  </si>
  <si>
    <t>1972790269</t>
  </si>
  <si>
    <t>Hands On Heart Holistic Healthcare, PA.</t>
  </si>
  <si>
    <t>Ste 110, 110</t>
  </si>
  <si>
    <t>(665) 169-0554</t>
  </si>
  <si>
    <t>1689965899</t>
  </si>
  <si>
    <t>Healing Hands Wellness Center, LLC</t>
  </si>
  <si>
    <t>1036 Cleveland Ave S</t>
  </si>
  <si>
    <t>(651) 699-3366</t>
  </si>
  <si>
    <t>En Motion Wellness, LLC</t>
  </si>
  <si>
    <t>1457629685</t>
  </si>
  <si>
    <t>Healing Life Chiropractic Clinic PA</t>
  </si>
  <si>
    <t>1618 White Bear Ave N</t>
  </si>
  <si>
    <t>(651) 800-5030</t>
  </si>
  <si>
    <t>1366854945</t>
  </si>
  <si>
    <t>Health Quest</t>
  </si>
  <si>
    <t>Ihs Grand Avenue Pllp</t>
  </si>
  <si>
    <t>1013921923</t>
  </si>
  <si>
    <t>Healtheast Outpatient Services, LLC</t>
  </si>
  <si>
    <t>1700 University Ave W</t>
  </si>
  <si>
    <t>7TH Floor</t>
  </si>
  <si>
    <t>(651) 232-7000</t>
  </si>
  <si>
    <t>1225382526</t>
  </si>
  <si>
    <t>Healthsource</t>
  </si>
  <si>
    <t>1754 Old Hudson Rd</t>
  </si>
  <si>
    <t>(612) 708-1067</t>
  </si>
  <si>
    <t>Ihs of Woodbury PA</t>
  </si>
  <si>
    <t>1629477013</t>
  </si>
  <si>
    <t>Healthsource of St Paul</t>
  </si>
  <si>
    <t>1815 Suburban Ave</t>
  </si>
  <si>
    <t>(651) 731-1880</t>
  </si>
  <si>
    <t>1609106582</t>
  </si>
  <si>
    <t>Healthsource St. Paul</t>
  </si>
  <si>
    <t>Ihs of Woodbury, PA.</t>
  </si>
  <si>
    <t>1205145273</t>
  </si>
  <si>
    <t>Highland Chiropractic Center, PA</t>
  </si>
  <si>
    <t>550 Snelling Ave S</t>
  </si>
  <si>
    <t>(651) 698-6803</t>
  </si>
  <si>
    <t>1568416584</t>
  </si>
  <si>
    <t>Holly House Center For Integrated Healthcare</t>
  </si>
  <si>
    <t>2324 University Ave W</t>
  </si>
  <si>
    <t>Ste NO. 102</t>
  </si>
  <si>
    <t>(651) 645-6951</t>
  </si>
  <si>
    <t>Dr. Patricia L. Lawler DC. Chartered</t>
  </si>
  <si>
    <t>1023164035</t>
  </si>
  <si>
    <t>John W Benton MD PA</t>
  </si>
  <si>
    <t>1600 University Avenue West</t>
  </si>
  <si>
    <t>Ste 306</t>
  </si>
  <si>
    <t>(651) 379-2772</t>
  </si>
  <si>
    <t>1891824553</t>
  </si>
  <si>
    <t>Kevin L. Stevenson, MD., PA.</t>
  </si>
  <si>
    <t>514 Saint Peter St</t>
  </si>
  <si>
    <t>(651) 379-0887</t>
  </si>
  <si>
    <t>1275767865</t>
  </si>
  <si>
    <t>Lakeland Chiropractic Health Center of Lakeland Limited</t>
  </si>
  <si>
    <t>918 Beech St</t>
  </si>
  <si>
    <t>(651) 771-8740</t>
  </si>
  <si>
    <t>1457519431</t>
  </si>
  <si>
    <t>Larkins Neurosurgery PA</t>
  </si>
  <si>
    <t>889 Grand Ave</t>
  </si>
  <si>
    <t>(612) 412-8044</t>
  </si>
  <si>
    <t>1114217940</t>
  </si>
  <si>
    <t>Larry Miller Chiropractic, INC.</t>
  </si>
  <si>
    <t>1636 County Road E E</t>
  </si>
  <si>
    <t>(651) 773-9560</t>
  </si>
  <si>
    <t>1588861215</t>
  </si>
  <si>
    <t>Lexington Rehabilitation Center</t>
  </si>
  <si>
    <t>506 Lexington Pkwy N</t>
  </si>
  <si>
    <t>(651) 224-1921</t>
  </si>
  <si>
    <t>1225506942</t>
  </si>
  <si>
    <t>Lifetrack Resources, INC.</t>
  </si>
  <si>
    <t>709 University Ave W</t>
  </si>
  <si>
    <t>(651) 227-8471</t>
  </si>
  <si>
    <t>1225045362</t>
  </si>
  <si>
    <t>Living Strong Chiropractic PLLC</t>
  </si>
  <si>
    <t>800 Minnehaha Ave E</t>
  </si>
  <si>
    <t>Ste 355</t>
  </si>
  <si>
    <t>(651) 780-7227</t>
  </si>
  <si>
    <t>1366990616</t>
  </si>
  <si>
    <t>Lymphedema&amp;physical Medicine Services PA</t>
  </si>
  <si>
    <t>17 Exchange St W</t>
  </si>
  <si>
    <t>(651) 232-2550</t>
  </si>
  <si>
    <t>1871710947</t>
  </si>
  <si>
    <t>Lyn Lake Chiropractic St Paul</t>
  </si>
  <si>
    <t>91 Snelling Ave N</t>
  </si>
  <si>
    <t>(651) 493-4578</t>
  </si>
  <si>
    <t>Saint Paul Chiropractic PLLC</t>
  </si>
  <si>
    <t>1265061709</t>
  </si>
  <si>
    <t>Mark F. Lavallie, DC.</t>
  </si>
  <si>
    <t>1164662391</t>
  </si>
  <si>
    <t>Maverick Physiotherapy LLC</t>
  </si>
  <si>
    <t>155 Eaton St</t>
  </si>
  <si>
    <t>(612) 642-1847</t>
  </si>
  <si>
    <t>1073185393</t>
  </si>
  <si>
    <t>Mbh Chiropractic</t>
  </si>
  <si>
    <t>1080 Raymond Ave</t>
  </si>
  <si>
    <t>#18</t>
  </si>
  <si>
    <t>(651) 646-0662</t>
  </si>
  <si>
    <t>Mbh Chiropractic, LLC</t>
  </si>
  <si>
    <t>1467630293</t>
  </si>
  <si>
    <t>Metroeast Chiropractic PA.</t>
  </si>
  <si>
    <t>395 White Bear Ave N</t>
  </si>
  <si>
    <t>(651) 771-1703</t>
  </si>
  <si>
    <t>1093746018</t>
  </si>
  <si>
    <t>Michael Dixon Chiropractic, PA</t>
  </si>
  <si>
    <t>(651) 714-0900</t>
  </si>
  <si>
    <t>1477738367</t>
  </si>
  <si>
    <t>Michael L. Maristuen DC., PA.</t>
  </si>
  <si>
    <t>(651) 639-1066</t>
  </si>
  <si>
    <t>1790981538</t>
  </si>
  <si>
    <t>Midtling Oral &amp; Maxillofacial Surgery, PA</t>
  </si>
  <si>
    <t>155 Wabasha St S</t>
  </si>
  <si>
    <t>(651) 222-6396</t>
  </si>
  <si>
    <t>1427237551</t>
  </si>
  <si>
    <t>Midway Healthcare Services PA</t>
  </si>
  <si>
    <t>1919 University Ave W</t>
  </si>
  <si>
    <t>1841204534</t>
  </si>
  <si>
    <t>Midwest Radiology Outpatient Imaging, LLC</t>
  </si>
  <si>
    <t>250 Thompson St</t>
  </si>
  <si>
    <t>1720059264</t>
  </si>
  <si>
    <t>Mighty Oak Chiropractic, PLLC</t>
  </si>
  <si>
    <t>2233 Energy Park Dr</t>
  </si>
  <si>
    <t>(651) 646-2233</t>
  </si>
  <si>
    <t>1487996385</t>
  </si>
  <si>
    <t>Minnesota Chiropractic Center, PA</t>
  </si>
  <si>
    <t>1959 Sloan Pl</t>
  </si>
  <si>
    <t>(651) 216-6330</t>
  </si>
  <si>
    <t>1235479106</t>
  </si>
  <si>
    <t>Minnesota Pain Center</t>
  </si>
  <si>
    <t>Ste 122</t>
  </si>
  <si>
    <t>(651) 731-0707</t>
  </si>
  <si>
    <t>1255300984</t>
  </si>
  <si>
    <t>Natural Ways Chiropractic, PA.</t>
  </si>
  <si>
    <t>1418 Grand Ave</t>
  </si>
  <si>
    <t>(651) 696-0707</t>
  </si>
  <si>
    <t>1710314364</t>
  </si>
  <si>
    <t>North St Paul Chiropractic Office, PA.</t>
  </si>
  <si>
    <t>2516 7th Ave E</t>
  </si>
  <si>
    <t>(651) 770-3805</t>
  </si>
  <si>
    <t>1356421317</t>
  </si>
  <si>
    <t>652 Transfer Rd</t>
  </si>
  <si>
    <t>Ste 16</t>
  </si>
  <si>
    <t>(651) 646-1625</t>
  </si>
  <si>
    <t>1538351945</t>
  </si>
  <si>
    <t>Okeefe Chiropractic Clinic INC.</t>
  </si>
  <si>
    <t>1053 Ahland Ave.</t>
  </si>
  <si>
    <t>(651) 292-8072</t>
  </si>
  <si>
    <t>1043434616</t>
  </si>
  <si>
    <t>Olson Bros. Chiropractic PA</t>
  </si>
  <si>
    <t>2400 County Road D W</t>
  </si>
  <si>
    <t>(651) 633-0155</t>
  </si>
  <si>
    <t>1467642728</t>
  </si>
  <si>
    <t>Pediatric Orthopaedic Associates</t>
  </si>
  <si>
    <t>200 University Ave E</t>
  </si>
  <si>
    <t>(651) 325-2121</t>
  </si>
  <si>
    <t>1669415840</t>
  </si>
  <si>
    <t>Pediatric Rehabilitation Associates</t>
  </si>
  <si>
    <t>1225068067</t>
  </si>
  <si>
    <t>Perfect Balance Physical Therapy</t>
  </si>
  <si>
    <t>876 Selby Ave</t>
  </si>
  <si>
    <t>(612) 366-4069</t>
  </si>
  <si>
    <t>1346486370</t>
  </si>
  <si>
    <t>Premier Health of Roseville, LTD</t>
  </si>
  <si>
    <t>1601 Larpenteur Ave</t>
  </si>
  <si>
    <t>(651) 487-2198</t>
  </si>
  <si>
    <t>1770792400</t>
  </si>
  <si>
    <t>Primary Wellness &amp; Injury Center, PA.</t>
  </si>
  <si>
    <t>(612) 237-9532</t>
  </si>
  <si>
    <t>1265830145</t>
  </si>
  <si>
    <t>Proactive Chiropractic</t>
  </si>
  <si>
    <t>101 5th St E</t>
  </si>
  <si>
    <t>Suite227</t>
  </si>
  <si>
    <t>(651) 778-0080</t>
  </si>
  <si>
    <t>Burdash Family Chiropractic, Corp</t>
  </si>
  <si>
    <t>1053560292</t>
  </si>
  <si>
    <t>Ptnow</t>
  </si>
  <si>
    <t>(414) 639-3266</t>
  </si>
  <si>
    <t>Ptnow LLC</t>
  </si>
  <si>
    <t>1346617297</t>
  </si>
  <si>
    <t>Renew Physical Therapy</t>
  </si>
  <si>
    <t>625 Snelling Ave S</t>
  </si>
  <si>
    <t>1639416860</t>
  </si>
  <si>
    <t>Revive MD PLLC</t>
  </si>
  <si>
    <t>1346832953</t>
  </si>
  <si>
    <t>Robert S. Robitaille DO LLC</t>
  </si>
  <si>
    <t>559 Capitol Blvd</t>
  </si>
  <si>
    <t>(651) 232-2036</t>
  </si>
  <si>
    <t>1285797944</t>
  </si>
  <si>
    <t>Robert W. Glineburg, D.d.s., M.s., PA.</t>
  </si>
  <si>
    <t>1630 University Avenue West</t>
  </si>
  <si>
    <t>(651) 646-9474</t>
  </si>
  <si>
    <t>1194791384</t>
  </si>
  <si>
    <t>Roots Wellcare, PA.</t>
  </si>
  <si>
    <t>570 Asbury Street</t>
  </si>
  <si>
    <t>(651) 310-0000</t>
  </si>
  <si>
    <t>1770754392</t>
  </si>
  <si>
    <t>Rose Chiropractic Care, P. A.</t>
  </si>
  <si>
    <t>661 Dale St N</t>
  </si>
  <si>
    <t>(651) 292-1794</t>
  </si>
  <si>
    <t>1295939965</t>
  </si>
  <si>
    <t>Schumacher Chiropractic Clinic PA</t>
  </si>
  <si>
    <t>1201 Payne Ave</t>
  </si>
  <si>
    <t>(651) 776-8666</t>
  </si>
  <si>
    <t>1407858855</t>
  </si>
  <si>
    <t>Sentinel Laser Center, PA.</t>
  </si>
  <si>
    <t>(651) 287-8781</t>
  </si>
  <si>
    <t>1407130453</t>
  </si>
  <si>
    <t>Sentinel Medical Associates, PA.</t>
  </si>
  <si>
    <t>1962705111</t>
  </si>
  <si>
    <t>Skon Chiropractic PA</t>
  </si>
  <si>
    <t>856 Raymond Ave</t>
  </si>
  <si>
    <t>(651) 644-3900</t>
  </si>
  <si>
    <t>1467662742</t>
  </si>
  <si>
    <t>Sorum Chiropractic</t>
  </si>
  <si>
    <t>1780911578</t>
  </si>
  <si>
    <t>Sp Spine Center P A</t>
  </si>
  <si>
    <t>(651) 207-4879</t>
  </si>
  <si>
    <t>1093058067</t>
  </si>
  <si>
    <t>Spinal Wellness Center INC.</t>
  </si>
  <si>
    <t>2574 Rice St</t>
  </si>
  <si>
    <t>1124272398</t>
  </si>
  <si>
    <t>Spine &amp; Sports Chiropractic</t>
  </si>
  <si>
    <t>John R. Petersen DC. PA.</t>
  </si>
  <si>
    <t>1194922179</t>
  </si>
  <si>
    <t>Spine Imaging Mri LLC</t>
  </si>
  <si>
    <t>393 North Dunlap Street</t>
  </si>
  <si>
    <t>1669681532</t>
  </si>
  <si>
    <t>St Anthony Orthopaedic Specialists PA</t>
  </si>
  <si>
    <t>#222</t>
  </si>
  <si>
    <t>(651) 602-0101</t>
  </si>
  <si>
    <t>1073569513</t>
  </si>
  <si>
    <t>St. Paul Chiropractic LLC</t>
  </si>
  <si>
    <t>1575 7th St W</t>
  </si>
  <si>
    <t>(651) 228-1156</t>
  </si>
  <si>
    <t>1992870117</t>
  </si>
  <si>
    <t>1417314881</t>
  </si>
  <si>
    <t>(651) 968-5420</t>
  </si>
  <si>
    <t>1306137468</t>
  </si>
  <si>
    <t>The Chirospot Health &amp; Wellness</t>
  </si>
  <si>
    <t>932 Rose Ave E</t>
  </si>
  <si>
    <t>(913) 424-3183</t>
  </si>
  <si>
    <t>Thechirospot</t>
  </si>
  <si>
    <t>1194195628</t>
  </si>
  <si>
    <t>2543 7th Ave E</t>
  </si>
  <si>
    <t>(651) 770-1813</t>
  </si>
  <si>
    <t>1407931967</t>
  </si>
  <si>
    <t>(612) 865-4210</t>
  </si>
  <si>
    <t>1518140797</t>
  </si>
  <si>
    <t>Thrive Clinic</t>
  </si>
  <si>
    <t>Thrive Clinic, PSC</t>
  </si>
  <si>
    <t>1184191074</t>
  </si>
  <si>
    <t>Tomlinson Chiropractic</t>
  </si>
  <si>
    <t>3495 Willow Lake Blvd</t>
  </si>
  <si>
    <t>(651) 226-4191</t>
  </si>
  <si>
    <t>1336471580</t>
  </si>
  <si>
    <t>Twin Cities Anesthesia Associates, PA</t>
  </si>
  <si>
    <t>(651) 254-3456</t>
  </si>
  <si>
    <t>1013963644</t>
  </si>
  <si>
    <t>Twin Cities Chiropractic and Rehabilitation</t>
  </si>
  <si>
    <t>1366501736</t>
  </si>
  <si>
    <t>Twin Cities Chiropractic, LLC</t>
  </si>
  <si>
    <t>(651) 778-2499</t>
  </si>
  <si>
    <t>1073807251</t>
  </si>
  <si>
    <t>Twin Cities Medical Group PLLC</t>
  </si>
  <si>
    <t>Ste 108-D</t>
  </si>
  <si>
    <t>(651) 289-0352</t>
  </si>
  <si>
    <t>1972912277</t>
  </si>
  <si>
    <t>Twin Cities Movement Chiropractic and Rehabilitation PSC</t>
  </si>
  <si>
    <t>21 Langford Park</t>
  </si>
  <si>
    <t>(612) 234-8777</t>
  </si>
  <si>
    <t>1164885968</t>
  </si>
  <si>
    <t>Twin Life Chiropractic PA.</t>
  </si>
  <si>
    <t>540 Fairview Ave N</t>
  </si>
  <si>
    <t>(612) 223-8676</t>
  </si>
  <si>
    <t>1740669217</t>
  </si>
  <si>
    <t>United Chiropractic Clinic</t>
  </si>
  <si>
    <t>(651) 642-1110</t>
  </si>
  <si>
    <t>1740318146</t>
  </si>
  <si>
    <t>United Medical Imaging PA</t>
  </si>
  <si>
    <t>Chiropractic, MRI</t>
  </si>
  <si>
    <t>485 Arundel St</t>
  </si>
  <si>
    <t>(651) 797-3866</t>
  </si>
  <si>
    <t>Mai Spine Center</t>
  </si>
  <si>
    <t>1255563227</t>
  </si>
  <si>
    <t>Universal Care Clinics, INC.</t>
  </si>
  <si>
    <t>220 Robert St S</t>
  </si>
  <si>
    <t>(651) 222-1155</t>
  </si>
  <si>
    <t>1649448564</t>
  </si>
  <si>
    <t>Universal Chiropractic Health Clinic</t>
  </si>
  <si>
    <t>671 Snelling Ave N</t>
  </si>
  <si>
    <t>(651) 647-9100</t>
  </si>
  <si>
    <t>1184840019</t>
  </si>
  <si>
    <t>Urban Chirpractic - St Paul</t>
  </si>
  <si>
    <t>876 Selby Ave.</t>
  </si>
  <si>
    <t>(651) 225-4421</t>
  </si>
  <si>
    <t>Garnett Chiropractic &amp; Rehab Center, PA</t>
  </si>
  <si>
    <t>1003038241</t>
  </si>
  <si>
    <t>US Pain and Rehabilitation Center, PA</t>
  </si>
  <si>
    <t>1997 Sloan Pl</t>
  </si>
  <si>
    <t>Ste 23</t>
  </si>
  <si>
    <t>(651) 800-4909</t>
  </si>
  <si>
    <t>1043836406</t>
  </si>
  <si>
    <t>1578008900</t>
  </si>
  <si>
    <t>Vang Chiropractic</t>
  </si>
  <si>
    <t>1030 Payne Ave</t>
  </si>
  <si>
    <t>(651) 774-2020</t>
  </si>
  <si>
    <t>1508228016</t>
  </si>
  <si>
    <t>Vip Family Chiropractic LLC.</t>
  </si>
  <si>
    <t>217 Como Ave</t>
  </si>
  <si>
    <t>Ste L-29</t>
  </si>
  <si>
    <t>(920) 931-5744</t>
  </si>
  <si>
    <t>1326455452</t>
  </si>
  <si>
    <t>Vital Injury Care and Wellness Clinic</t>
  </si>
  <si>
    <t>60 Plato Blvd E</t>
  </si>
  <si>
    <t>(651) 287-0935</t>
  </si>
  <si>
    <t>Drake Chiropractic, PA.</t>
  </si>
  <si>
    <t>1891821799</t>
  </si>
  <si>
    <t>Vital Injury Care Clinic</t>
  </si>
  <si>
    <t>Fairrow Chiropractic, PA.</t>
  </si>
  <si>
    <t>1174633010</t>
  </si>
  <si>
    <t>Wellness Chiropractic</t>
  </si>
  <si>
    <t>1477963353</t>
  </si>
  <si>
    <t>Wellness Cooperative LLC</t>
  </si>
  <si>
    <t>976 Grand Ave.</t>
  </si>
  <si>
    <t>1659512622</t>
  </si>
  <si>
    <t>Whole Family Chiropractic, PLC</t>
  </si>
  <si>
    <t>2221 Ford Pkwy</t>
  </si>
  <si>
    <t>(651) 789-0033</t>
  </si>
  <si>
    <t>1568695963</t>
  </si>
  <si>
    <t>Xpress Urgent Care PLLC</t>
  </si>
  <si>
    <t>1447656830</t>
  </si>
  <si>
    <t>Yer Chiropractic Clinic, INC</t>
  </si>
  <si>
    <t>(651) 605-5410</t>
  </si>
  <si>
    <t>1669863395</t>
  </si>
  <si>
    <t>Yin &amp; Yarrow Acupuncture</t>
  </si>
  <si>
    <t>780 Lexington Pkwy S</t>
  </si>
  <si>
    <t>(651) 200-4091</t>
  </si>
  <si>
    <t>Ritual, LLC</t>
  </si>
  <si>
    <t>1750736559</t>
  </si>
  <si>
    <t>Apogee Chiropractic LTD</t>
  </si>
  <si>
    <t>1060 Centerville Cir</t>
  </si>
  <si>
    <t>1912277195</t>
  </si>
  <si>
    <t>Healtheast Medical Imaging LLC</t>
  </si>
  <si>
    <t>3640 Talmage Circle</t>
  </si>
  <si>
    <t>(651) 426-7226</t>
  </si>
  <si>
    <t>1316965064</t>
  </si>
  <si>
    <t>Life Family Chiropractic, INC</t>
  </si>
  <si>
    <t>1558377929</t>
  </si>
  <si>
    <t>Performance Chiropractic and Rehab</t>
  </si>
  <si>
    <t>1038 Centerville Cir</t>
  </si>
  <si>
    <t>(651) 762-7475</t>
  </si>
  <si>
    <t>Vadnais Heights Family Chiropractic, INC.</t>
  </si>
  <si>
    <t>1023222478</t>
  </si>
  <si>
    <t>Upper Room Wellness Center</t>
  </si>
  <si>
    <t>1654 County Road E E</t>
  </si>
  <si>
    <t>(651) 739-1248</t>
  </si>
  <si>
    <t>Urwc, PA</t>
  </si>
  <si>
    <t>1083897243</t>
  </si>
  <si>
    <t>Vadnais Heights Chiropractic</t>
  </si>
  <si>
    <t>1146 E County Road E</t>
  </si>
  <si>
    <t>(651) 486-9333</t>
  </si>
  <si>
    <t>1568527877</t>
  </si>
  <si>
    <t>3200 Labore Rd</t>
  </si>
  <si>
    <t>1275055022</t>
  </si>
  <si>
    <t>Barr Family Chiropractic &amp; Sports Clinic</t>
  </si>
  <si>
    <t>4719 Banning Ave</t>
  </si>
  <si>
    <t>(651) 429-2279</t>
  </si>
  <si>
    <t>1154510451</t>
  </si>
  <si>
    <t>Bear Town Chiropractic Clinic, PA.</t>
  </si>
  <si>
    <t>2186 3rd St</t>
  </si>
  <si>
    <t>(651) 429-1447</t>
  </si>
  <si>
    <t>1871530352</t>
  </si>
  <si>
    <t>Birch Lake Chiropractic Clinic, LLC</t>
  </si>
  <si>
    <t>4635 White Bear Pkwy</t>
  </si>
  <si>
    <t>(651) 429-5329</t>
  </si>
  <si>
    <t>1255407136</t>
  </si>
  <si>
    <t>Carlson Chiropractic Corporation</t>
  </si>
  <si>
    <t>4717 Clark Ave</t>
  </si>
  <si>
    <t>(651) 762-8040</t>
  </si>
  <si>
    <t>1982888020</t>
  </si>
  <si>
    <t>For Your Well Being Chiropractic</t>
  </si>
  <si>
    <t>2479 County Road E E</t>
  </si>
  <si>
    <t>(651) 770-5433</t>
  </si>
  <si>
    <t>Hudson Chiropractic, S.c.</t>
  </si>
  <si>
    <t>1396971909</t>
  </si>
  <si>
    <t>For Your Well Being Chiropractic, INC</t>
  </si>
  <si>
    <t>2479 E. County Rd. E</t>
  </si>
  <si>
    <t>1376614081</t>
  </si>
  <si>
    <t>For Your Well Being Chiropractic, S.c.</t>
  </si>
  <si>
    <t>1154743300</t>
  </si>
  <si>
    <t>Groves Physical Therapy</t>
  </si>
  <si>
    <t>4465 White Bear Pkwy</t>
  </si>
  <si>
    <t>(651) 209-6144</t>
  </si>
  <si>
    <t>1407157902</t>
  </si>
  <si>
    <t>Healthsource of White Bear Lake, PLLC</t>
  </si>
  <si>
    <t>4801 Highway 61 N</t>
  </si>
  <si>
    <t>105</t>
  </si>
  <si>
    <t>(651) 762-5433</t>
  </si>
  <si>
    <t>1073767372</t>
  </si>
  <si>
    <t>Helix Chiropractic PA</t>
  </si>
  <si>
    <t>1134687262</t>
  </si>
  <si>
    <t>Integrated Chiropractic Services</t>
  </si>
  <si>
    <t>4422 White Bear Ave N</t>
  </si>
  <si>
    <t>(651) 287-8780</t>
  </si>
  <si>
    <t>1538468293</t>
  </si>
  <si>
    <t>Locketz Rehabilitation</t>
  </si>
  <si>
    <t>4721 Clark Ave</t>
  </si>
  <si>
    <t>(651) 249-0454</t>
  </si>
  <si>
    <t>Pain Relief and Wellness of Minnesota</t>
  </si>
  <si>
    <t>1679863773</t>
  </si>
  <si>
    <t>Lux Family Chiropractic</t>
  </si>
  <si>
    <t>1310 Highway 96 E</t>
  </si>
  <si>
    <t>Ste 118</t>
  </si>
  <si>
    <t>(651) 483-0140</t>
  </si>
  <si>
    <t>1174186951</t>
  </si>
  <si>
    <t>Peddycoart Chiropractic INC.</t>
  </si>
  <si>
    <t>1803 Buerkle Rd</t>
  </si>
  <si>
    <t>(651) 770-8424</t>
  </si>
  <si>
    <t>1205144722</t>
  </si>
  <si>
    <t>Quast Clinic LLC</t>
  </si>
  <si>
    <t>3607 White Bear Ave N</t>
  </si>
  <si>
    <t>(651) 777-2225</t>
  </si>
  <si>
    <t>1164703492</t>
  </si>
  <si>
    <t>Sass Chiropractic Center</t>
  </si>
  <si>
    <t>4436 Highway 61 N</t>
  </si>
  <si>
    <t>(651) 429-0640</t>
  </si>
  <si>
    <t>R.j. Sass, INC.</t>
  </si>
  <si>
    <t>1285939710</t>
  </si>
  <si>
    <t>Simply Chiropractic Center, PA.</t>
  </si>
  <si>
    <t>4886 Highway 61 N</t>
  </si>
  <si>
    <t>(651) 762-4757</t>
  </si>
  <si>
    <t>1407125099</t>
  </si>
  <si>
    <t>4463 White Bear Pkwy</t>
  </si>
  <si>
    <t>(651) 653-1350</t>
  </si>
  <si>
    <t>1548341423</t>
  </si>
  <si>
    <t>Total Health Solutions, INC.</t>
  </si>
  <si>
    <t>(651) 429-0101</t>
  </si>
  <si>
    <t>Mitchel V. Mondo, INC.</t>
  </si>
  <si>
    <t>1275738577</t>
  </si>
  <si>
    <t>Belle Plaine Chiropractic, PA</t>
  </si>
  <si>
    <t>200 W Main St</t>
  </si>
  <si>
    <t>Belle Plaine</t>
  </si>
  <si>
    <t>56011</t>
  </si>
  <si>
    <t>(952) 873-6370</t>
  </si>
  <si>
    <t>Belle Plaine Chiropractic Health and Wellness Center, PA</t>
  </si>
  <si>
    <t>1134459571</t>
  </si>
  <si>
    <t>River Valley Family Chiropractic</t>
  </si>
  <si>
    <t>210 N Meridian St</t>
  </si>
  <si>
    <t>Ste #1</t>
  </si>
  <si>
    <t>(952) 873-4275</t>
  </si>
  <si>
    <t>1548331127</t>
  </si>
  <si>
    <t>730 Main St</t>
  </si>
  <si>
    <t>Elko</t>
  </si>
  <si>
    <t>55020</t>
  </si>
  <si>
    <t>(952) 461-5110</t>
  </si>
  <si>
    <t>1518174556</t>
  </si>
  <si>
    <t>1124231725</t>
  </si>
  <si>
    <t>Plum Creek Chiropractic PA</t>
  </si>
  <si>
    <t>24875 Panama Ave</t>
  </si>
  <si>
    <t>(952) 461-3675</t>
  </si>
  <si>
    <t>1720219447</t>
  </si>
  <si>
    <t>Chiropractic Specialists, INC.</t>
  </si>
  <si>
    <t>212 2nd St E</t>
  </si>
  <si>
    <t>(952) 492-6363</t>
  </si>
  <si>
    <t>1417001702</t>
  </si>
  <si>
    <t>Penney Family Chiropractic, LLC</t>
  </si>
  <si>
    <t>401 Broadway St S</t>
  </si>
  <si>
    <t>(952) 492-5253</t>
  </si>
  <si>
    <t>1679995427</t>
  </si>
  <si>
    <t>Stonebrook Family Chiropractic LLC</t>
  </si>
  <si>
    <t>321 Main Street</t>
  </si>
  <si>
    <t>New Market</t>
  </si>
  <si>
    <t>(952) 461-6336</t>
  </si>
  <si>
    <t>1497872360</t>
  </si>
  <si>
    <t>Optimal Sports Physical Therapy,llc</t>
  </si>
  <si>
    <t>1400 1st St NE</t>
  </si>
  <si>
    <t>(952) 758-2535</t>
  </si>
  <si>
    <t>1932209020</t>
  </si>
  <si>
    <t>Reiner Chiropractic Clinic PA</t>
  </si>
  <si>
    <t>201 Main St E</t>
  </si>
  <si>
    <t>(952) 758-5135</t>
  </si>
  <si>
    <t>1730302118</t>
  </si>
  <si>
    <t>Attune Chiropractic and Natural Health, PLLC</t>
  </si>
  <si>
    <t>6880 Boudin St NE</t>
  </si>
  <si>
    <t>(952) 447-0985</t>
  </si>
  <si>
    <t>1750512950</t>
  </si>
  <si>
    <t>Barnett Health and Wellness Center, PA</t>
  </si>
  <si>
    <t>5127 Wellington Ct SE</t>
  </si>
  <si>
    <t>(651) 226-6943</t>
  </si>
  <si>
    <t>1558688838</t>
  </si>
  <si>
    <t>Chirofit Health &amp; Wellness</t>
  </si>
  <si>
    <t>3915 Trail Point Ct NW</t>
  </si>
  <si>
    <t>(701) 740-5832</t>
  </si>
  <si>
    <t>Borsheim Clinic PLLC</t>
  </si>
  <si>
    <t>1962950469</t>
  </si>
  <si>
    <t>Collins Chiropractic PA</t>
  </si>
  <si>
    <t>16670 Franklin Trl SE</t>
  </si>
  <si>
    <t>Ste 120C</t>
  </si>
  <si>
    <t>(952) 447-5770</t>
  </si>
  <si>
    <t>1063559078</t>
  </si>
  <si>
    <t>Eagle Creek Chiropractic</t>
  </si>
  <si>
    <t>14180 Commerce Ave NE</t>
  </si>
  <si>
    <t>(952) 447-3395</t>
  </si>
  <si>
    <t>1073847554</t>
  </si>
  <si>
    <t>Eagle Creek Wellness Center LLC</t>
  </si>
  <si>
    <t>1366631244</t>
  </si>
  <si>
    <t>Healthsource of Prior Lake</t>
  </si>
  <si>
    <t>Hermsen Health and Wellness, PLLC</t>
  </si>
  <si>
    <t>1528457645</t>
  </si>
  <si>
    <t>Kes Chiropractic, PA</t>
  </si>
  <si>
    <t>14033 Commerce Ave NE</t>
  </si>
  <si>
    <t>1720282296</t>
  </si>
  <si>
    <t>Max Well Physical Therapy</t>
  </si>
  <si>
    <t>(952) 440-5906</t>
  </si>
  <si>
    <t>Max Well Therapy LLC</t>
  </si>
  <si>
    <t>1881647337</t>
  </si>
  <si>
    <t>Melissa Engelson, DC, PLLC</t>
  </si>
  <si>
    <t>15815 Franklin Trl SE</t>
  </si>
  <si>
    <t>(952) 567-1005</t>
  </si>
  <si>
    <t>1003079245</t>
  </si>
  <si>
    <t>Pathways Chiropractic Health Center of Prior Lake, PA</t>
  </si>
  <si>
    <t>16154 Main Ave SE</t>
  </si>
  <si>
    <t>Ste 134</t>
  </si>
  <si>
    <t>(952) 447-3000</t>
  </si>
  <si>
    <t>1891901609</t>
  </si>
  <si>
    <t>Pivotal Family Chiropractic LLC</t>
  </si>
  <si>
    <t>16731 Highway 13 S</t>
  </si>
  <si>
    <t>Ste 107A</t>
  </si>
  <si>
    <t>(320) 582-0582</t>
  </si>
  <si>
    <t>1013591973</t>
  </si>
  <si>
    <t>Prior Lake Natural Health Clinic</t>
  </si>
  <si>
    <t>16228 Main Ave SE</t>
  </si>
  <si>
    <t>(952) 226-1140</t>
  </si>
  <si>
    <t>1609068048</t>
  </si>
  <si>
    <t>Prior Lake Spine</t>
  </si>
  <si>
    <t>16197 Main Ave SE</t>
  </si>
  <si>
    <t>(952) 226-5100</t>
  </si>
  <si>
    <t>Prior Lake Spine Health &amp; Injury Center, PLLC</t>
  </si>
  <si>
    <t>1700163573</t>
  </si>
  <si>
    <t>Spratt Chiropractic, PLLC Dba Todd J. Spratt, DC</t>
  </si>
  <si>
    <t>5116 Gateway St SE</t>
  </si>
  <si>
    <t>(952) 440-2225</t>
  </si>
  <si>
    <t>Spratt Chiropractic, PLLC</t>
  </si>
  <si>
    <t>1518417732</t>
  </si>
  <si>
    <t>A Step Ahead Physical Therapy and Sports Performance LLC</t>
  </si>
  <si>
    <t>4401 Egan Dr</t>
  </si>
  <si>
    <t>(612) 875-2739</t>
  </si>
  <si>
    <t>1528409802</t>
  </si>
  <si>
    <t>Accua Advanced Rehabilitation</t>
  </si>
  <si>
    <t>8690 Eagle Creek Pkwy</t>
  </si>
  <si>
    <t>(952) 412-6207</t>
  </si>
  <si>
    <t>Prime Rehabilitation LLC</t>
  </si>
  <si>
    <t>1902096167</t>
  </si>
  <si>
    <t>Acute Care Chiropractic, PA</t>
  </si>
  <si>
    <t>5773 Egan Dr</t>
  </si>
  <si>
    <t>(952) 440-4332</t>
  </si>
  <si>
    <t>1295170173</t>
  </si>
  <si>
    <t>Arne J. Benson, DC., PA.</t>
  </si>
  <si>
    <t>13677 Lynn Cir</t>
  </si>
  <si>
    <t>(952) 890-2822</t>
  </si>
  <si>
    <t>1871704114</t>
  </si>
  <si>
    <t>Beyond Wellness Chiropractic, PLLC</t>
  </si>
  <si>
    <t>(952) 652-3919</t>
  </si>
  <si>
    <t>1477212660</t>
  </si>
  <si>
    <t>Clearwater Chiropractic</t>
  </si>
  <si>
    <t>14055 Highway 13 S</t>
  </si>
  <si>
    <t>(952) 226-6800</t>
  </si>
  <si>
    <t>Kristin L Hammer PLLC</t>
  </si>
  <si>
    <t>1740543727</t>
  </si>
  <si>
    <t>Elite Chiropractic Clinic LLC</t>
  </si>
  <si>
    <t>6001 Egan Dr</t>
  </si>
  <si>
    <t>(952) 447-1565</t>
  </si>
  <si>
    <t>1053500090</t>
  </si>
  <si>
    <t>(952) 746-4162</t>
  </si>
  <si>
    <t>Finish Line Wellness</t>
  </si>
  <si>
    <t>1922463074</t>
  </si>
  <si>
    <t>Healthy Life Chiropractic &amp; Wellness, LLC</t>
  </si>
  <si>
    <t>4078 W County Road 42</t>
  </si>
  <si>
    <t>(952) 838-5233</t>
  </si>
  <si>
    <t>1235653726</t>
  </si>
  <si>
    <t>Land Health &amp; Wellness</t>
  </si>
  <si>
    <t>#140</t>
  </si>
  <si>
    <t>(612) 462-6803</t>
  </si>
  <si>
    <t>1528404142</t>
  </si>
  <si>
    <t>Lifeforce Family Chiropractic PA</t>
  </si>
  <si>
    <t>8734 County Road 42 W</t>
  </si>
  <si>
    <t>(952) 746-4404</t>
  </si>
  <si>
    <t>1871784272</t>
  </si>
  <si>
    <t>Max Well Rehabilitation LLC</t>
  </si>
  <si>
    <t>1568790889</t>
  </si>
  <si>
    <t>Natural Living Chiropractic LLC</t>
  </si>
  <si>
    <t>4827 W 123rd St</t>
  </si>
  <si>
    <t>(612) 208-7421</t>
  </si>
  <si>
    <t>1619272630</t>
  </si>
  <si>
    <t>Pain, Injury &amp; Brain Centers of America MN LLC</t>
  </si>
  <si>
    <t>14247 Oconnell Ct</t>
  </si>
  <si>
    <t>(507) 269-1051</t>
  </si>
  <si>
    <t>1962774745</t>
  </si>
  <si>
    <t>Physiyo, LLC</t>
  </si>
  <si>
    <t>8646 Eagle Creek Cir</t>
  </si>
  <si>
    <t>(952) 234-0377</t>
  </si>
  <si>
    <t>1891250635</t>
  </si>
  <si>
    <t>Plcc, LTD</t>
  </si>
  <si>
    <t>14020 Highway 13 S</t>
  </si>
  <si>
    <t>Ste 650</t>
  </si>
  <si>
    <t>(952) 447-8980</t>
  </si>
  <si>
    <t>1780753475</t>
  </si>
  <si>
    <t>Spine and Sport Health</t>
  </si>
  <si>
    <t>4203 Highway 13 W</t>
  </si>
  <si>
    <t>(952) 895-1600</t>
  </si>
  <si>
    <t>Spine and Sport Health Center PA.</t>
  </si>
  <si>
    <t>1508324260</t>
  </si>
  <si>
    <t>Ascension Chiropractic</t>
  </si>
  <si>
    <t>1914 Parkway Ave</t>
  </si>
  <si>
    <t>(612) 669-7471</t>
  </si>
  <si>
    <t>1972819290</t>
  </si>
  <si>
    <t>Auto Inury T and C LLC</t>
  </si>
  <si>
    <t>3240 Molina St</t>
  </si>
  <si>
    <t>(952) 856-7279</t>
  </si>
  <si>
    <t>1073158879</t>
  </si>
  <si>
    <t>Bridge Chiropractic</t>
  </si>
  <si>
    <t>1755 17th Ave E</t>
  </si>
  <si>
    <t>(952) 445-5250</t>
  </si>
  <si>
    <t>1356513592</t>
  </si>
  <si>
    <t>Brooks Chiropractic, PLLC</t>
  </si>
  <si>
    <t>1100 4th Ave E</t>
  </si>
  <si>
    <t>(952) 456-6611</t>
  </si>
  <si>
    <t>1790026441</t>
  </si>
  <si>
    <t>Canterbury Chiropractic</t>
  </si>
  <si>
    <t>135 1st Ave E</t>
  </si>
  <si>
    <t>(952) 378-1813</t>
  </si>
  <si>
    <t>Jerrald C. Miller DC PA</t>
  </si>
  <si>
    <t>1962707703</t>
  </si>
  <si>
    <t>Caspers Chiropractic Center of Shakopee PC</t>
  </si>
  <si>
    <t>1275 Ramsey St</t>
  </si>
  <si>
    <t>(952) 977-9933</t>
  </si>
  <si>
    <t>1366910440</t>
  </si>
  <si>
    <t>Families' 1st Choice Chiropractic</t>
  </si>
  <si>
    <t>500 Marschall Rd</t>
  </si>
  <si>
    <t>(952) 445-9313</t>
  </si>
  <si>
    <t>1780721787</t>
  </si>
  <si>
    <t>Family Chiropractic of Shakopee, PA.</t>
  </si>
  <si>
    <t>1221 4th Ave E</t>
  </si>
  <si>
    <t>(952) 445-0679</t>
  </si>
  <si>
    <t>1538481734</t>
  </si>
  <si>
    <t>1226 4th Ave E</t>
  </si>
  <si>
    <t>Living Life Chiropractic, PLLC</t>
  </si>
  <si>
    <t>1386208650</t>
  </si>
  <si>
    <t>Kavanagh Chiropractic PA</t>
  </si>
  <si>
    <t>1710140611</t>
  </si>
  <si>
    <t>Mcgraw Chiropractic Clinic PA.</t>
  </si>
  <si>
    <t>225 Lewis St S</t>
  </si>
  <si>
    <t>(952) 445-6384</t>
  </si>
  <si>
    <t>1760537864</t>
  </si>
  <si>
    <t>Orthopedic Surgical Consultants, PA.</t>
  </si>
  <si>
    <t>1515 Saint Francis Ave</t>
  </si>
  <si>
    <t>(952) 403-3399</t>
  </si>
  <si>
    <t>1295781920</t>
  </si>
  <si>
    <t>Shakopee Family Chiropractic</t>
  </si>
  <si>
    <t>8068 North Carriage Ct</t>
  </si>
  <si>
    <t>(952) 233-8040</t>
  </si>
  <si>
    <t>1346409539</t>
  </si>
  <si>
    <t>South Shakopee Chiropractic</t>
  </si>
  <si>
    <t>1830 Marschall Rd</t>
  </si>
  <si>
    <t>(952) 451-3761</t>
  </si>
  <si>
    <t>1609061944</t>
  </si>
  <si>
    <t>Spicer Chiropractic PA</t>
  </si>
  <si>
    <t>1954 Saint Francis Ave</t>
  </si>
  <si>
    <t>(952) 403-1472</t>
  </si>
  <si>
    <t>1992954853</t>
  </si>
  <si>
    <t>Strive 4 Health Chiropractic LLC</t>
  </si>
  <si>
    <t>8068 Old Carriage Ct</t>
  </si>
  <si>
    <t>(952) 405-0516</t>
  </si>
  <si>
    <t>1598203325</t>
  </si>
  <si>
    <t>Sylvester Family Chiropractic</t>
  </si>
  <si>
    <t>1275 Ramsey Street South</t>
  </si>
  <si>
    <t>Sylvester Family Chiropractic, PC</t>
  </si>
  <si>
    <t>1134582638</t>
  </si>
  <si>
    <t>Valley Rehabilitation Services</t>
  </si>
  <si>
    <t>(952) 403-2001</t>
  </si>
  <si>
    <t>1700079365</t>
  </si>
  <si>
    <t>Becker Spine PA</t>
  </si>
  <si>
    <t>13952 First Street</t>
  </si>
  <si>
    <t>(952) 457-3309</t>
  </si>
  <si>
    <t>1982064440</t>
  </si>
  <si>
    <t>Brennan Chiropractic Health Center</t>
  </si>
  <si>
    <t>13754 1st St</t>
  </si>
  <si>
    <t>(763) 261-5100</t>
  </si>
  <si>
    <t>1407054687</t>
  </si>
  <si>
    <t>Scheideman Chiropractic and Body Shop</t>
  </si>
  <si>
    <t>14030 Bank St.</t>
  </si>
  <si>
    <t>(763) 262-2639</t>
  </si>
  <si>
    <t>1811042146</t>
  </si>
  <si>
    <t>Great River Spine &amp; Sport</t>
  </si>
  <si>
    <t>Injury Physicians, Physical Therapy</t>
  </si>
  <si>
    <t>Pain Management, Physical Medicine &amp; Rehabilitation, Chiropractic, Physical Therapy</t>
  </si>
  <si>
    <t>751 Rose Dr</t>
  </si>
  <si>
    <t>(763) 260-8401</t>
  </si>
  <si>
    <t>Integrated Care Clinics, PA</t>
  </si>
  <si>
    <t>1396775110</t>
  </si>
  <si>
    <t>Northstar Chiropractic &amp; Wellness, P. A.</t>
  </si>
  <si>
    <t>670 Humboldt Dr</t>
  </si>
  <si>
    <t>(763) 263-8433</t>
  </si>
  <si>
    <t>1629388533</t>
  </si>
  <si>
    <t>Bennie Kuhlmann</t>
  </si>
  <si>
    <t>11567 42nd St SE</t>
  </si>
  <si>
    <t>Clear Lake</t>
  </si>
  <si>
    <t>55319</t>
  </si>
  <si>
    <t>(612) 222-6002</t>
  </si>
  <si>
    <t>1124640743</t>
  </si>
  <si>
    <t>Bodywise Chiropractic Center</t>
  </si>
  <si>
    <t>19332 Highway 169</t>
  </si>
  <si>
    <t>(763) 441-7788</t>
  </si>
  <si>
    <t>1699809756</t>
  </si>
  <si>
    <t>Hillside Chiropractic Clinic</t>
  </si>
  <si>
    <t>19449 Evans St NW</t>
  </si>
  <si>
    <t>(763) 241-5393</t>
  </si>
  <si>
    <t>1679764690</t>
  </si>
  <si>
    <t>Ideal Health, A Sports &amp; Family Chiropractic Clinic</t>
  </si>
  <si>
    <t>Rebrovich and Whalen Chiropractic, LTD.</t>
  </si>
  <si>
    <t>1457407116</t>
  </si>
  <si>
    <t>Landry Chiropractic INC.</t>
  </si>
  <si>
    <t>(612) 702-9012</t>
  </si>
  <si>
    <t>1467642843</t>
  </si>
  <si>
    <t>Lighthouse Chiropractic Health Center, INC</t>
  </si>
  <si>
    <t>710 Dodge Ave NW</t>
  </si>
  <si>
    <t>(763) 441-1701</t>
  </si>
  <si>
    <t>1487721684</t>
  </si>
  <si>
    <t>Schomaker Chiropractic Clinic, PC.</t>
  </si>
  <si>
    <t>19022 Freeport St. NW</t>
  </si>
  <si>
    <t>(763) 253-2000</t>
  </si>
  <si>
    <t>1265507651</t>
  </si>
  <si>
    <t>Otsego West Chiropractic</t>
  </si>
  <si>
    <t>16201 90th St NE</t>
  </si>
  <si>
    <t>(763) 229-2552</t>
  </si>
  <si>
    <t>1518121656</t>
  </si>
  <si>
    <t>West Central Neurology PA</t>
  </si>
  <si>
    <t>11521 312th Ave</t>
  </si>
  <si>
    <t>(763) 389-4910</t>
  </si>
  <si>
    <t>1720233570</t>
  </si>
  <si>
    <t>A. J. Linn Chiropractic LLC</t>
  </si>
  <si>
    <t>26144 3rd St E</t>
  </si>
  <si>
    <t>Zimmerman</t>
  </si>
  <si>
    <t>55398</t>
  </si>
  <si>
    <t>(763) 856-8500</t>
  </si>
  <si>
    <t>1699075366</t>
  </si>
  <si>
    <t>Belde Family Chiropractic PC.</t>
  </si>
  <si>
    <t>1427275130</t>
  </si>
  <si>
    <t>Knutson Chiropractic PA</t>
  </si>
  <si>
    <t>12631 Fremont Ave</t>
  </si>
  <si>
    <t>Ste 5</t>
  </si>
  <si>
    <t>(218) 280-6933</t>
  </si>
  <si>
    <t>1083138036</t>
  </si>
  <si>
    <t>Dr Feehan LTD</t>
  </si>
  <si>
    <t>3343 Saint Croix Trl S</t>
  </si>
  <si>
    <t>Afton</t>
  </si>
  <si>
    <t>55001</t>
  </si>
  <si>
    <t>(651) 436-9995</t>
  </si>
  <si>
    <t>1245562263</t>
  </si>
  <si>
    <t>Lifespan Health Consultants</t>
  </si>
  <si>
    <t>13299 Hudson Rd S</t>
  </si>
  <si>
    <t>(651) 263-3282</t>
  </si>
  <si>
    <t>1225438336</t>
  </si>
  <si>
    <t>The Calla Lily</t>
  </si>
  <si>
    <t>(651) 436-4636</t>
  </si>
  <si>
    <t>The Calla Lily Limited</t>
  </si>
  <si>
    <t>1508018482</t>
  </si>
  <si>
    <t>Clemmens Chiropractic, PA.</t>
  </si>
  <si>
    <t>210 3rd St N</t>
  </si>
  <si>
    <t>Bayport</t>
  </si>
  <si>
    <t>55003</t>
  </si>
  <si>
    <t>(651) 351-5070</t>
  </si>
  <si>
    <t>1487843819</t>
  </si>
  <si>
    <t>Inspired Chiropractic</t>
  </si>
  <si>
    <t>(651) 351-5057</t>
  </si>
  <si>
    <t>1447430228</t>
  </si>
  <si>
    <t>Cottage Grove Chiropractic Clinic, PA</t>
  </si>
  <si>
    <t>7702 80th St S</t>
  </si>
  <si>
    <t>(651) 459-0066</t>
  </si>
  <si>
    <t>1366778243</t>
  </si>
  <si>
    <t>Eric Nohner, LLC</t>
  </si>
  <si>
    <t>8451 E Point Douglas Rd S</t>
  </si>
  <si>
    <t>(651) 459-3171</t>
  </si>
  <si>
    <t>1518175462</t>
  </si>
  <si>
    <t>Green Cross Chiropractic, PA.</t>
  </si>
  <si>
    <t>6910 Pine Arbor Alcove S</t>
  </si>
  <si>
    <t>(651) 230-6366</t>
  </si>
  <si>
    <t>1992028419</t>
  </si>
  <si>
    <t>Health Connections Chiropractic Center</t>
  </si>
  <si>
    <t>7750 Harkness Ave S</t>
  </si>
  <si>
    <t>(715) 245-7842</t>
  </si>
  <si>
    <t>Laura Draxler Chiropractic, INC.</t>
  </si>
  <si>
    <t>1407208317</t>
  </si>
  <si>
    <t>MN Spine and Sport</t>
  </si>
  <si>
    <t>Chad Beiler DC., PA.</t>
  </si>
  <si>
    <t>1942413604</t>
  </si>
  <si>
    <t>Oasis Chiropractic PA</t>
  </si>
  <si>
    <t>7424 E Pt Douglas Rd S</t>
  </si>
  <si>
    <t>(651) 458-5565</t>
  </si>
  <si>
    <t>1265624555</t>
  </si>
  <si>
    <t>On the Go Chiropractic LLC</t>
  </si>
  <si>
    <t>7586 63rd Street Cir S</t>
  </si>
  <si>
    <t>1346645488</t>
  </si>
  <si>
    <t>Santori Chiropractic Center, LLC</t>
  </si>
  <si>
    <t>7155 80th Street So</t>
  </si>
  <si>
    <t>(651) 459-5585</t>
  </si>
  <si>
    <t>1710222088</t>
  </si>
  <si>
    <t>The Wellness Way Cottage Grove LLC</t>
  </si>
  <si>
    <t>7145 E Point Douglas Rd S</t>
  </si>
  <si>
    <t>(651) 340-4000</t>
  </si>
  <si>
    <t>1710337167</t>
  </si>
  <si>
    <t>Dayspring Family Wellness Center</t>
  </si>
  <si>
    <t>1401 14th Ave SE</t>
  </si>
  <si>
    <t>(651) 208-9972</t>
  </si>
  <si>
    <t>1932430907</t>
  </si>
  <si>
    <t>Forest Lake Chiropractic Clinic, PA.</t>
  </si>
  <si>
    <t>591 N Shore Dr</t>
  </si>
  <si>
    <t>(651) 464-2133</t>
  </si>
  <si>
    <t>1588706139</t>
  </si>
  <si>
    <t>Health Dynamics</t>
  </si>
  <si>
    <t>25 Lake St N</t>
  </si>
  <si>
    <t>(651) 982-1804</t>
  </si>
  <si>
    <t>Brant A. Larsen DC., PA.</t>
  </si>
  <si>
    <t>1922279215</t>
  </si>
  <si>
    <t>Hickory Health Clinic PLLC</t>
  </si>
  <si>
    <t>(651) 226-8338</t>
  </si>
  <si>
    <t>1043841414</t>
  </si>
  <si>
    <t>Kari Clinic of Chiropractic, PA.</t>
  </si>
  <si>
    <t>(651) 464-1063</t>
  </si>
  <si>
    <t>1619982022</t>
  </si>
  <si>
    <t>Laskow Chiropractic Clinic PA</t>
  </si>
  <si>
    <t>822 Lake St S</t>
  </si>
  <si>
    <t>(651) 464-3030</t>
  </si>
  <si>
    <t>1982949111</t>
  </si>
  <si>
    <t>Persistence Physical Therapy LLC</t>
  </si>
  <si>
    <t>2009 W Broadway Ave</t>
  </si>
  <si>
    <t>Ste 400 Pmb 131</t>
  </si>
  <si>
    <t>(701) 740-3461</t>
  </si>
  <si>
    <t>1043846173</t>
  </si>
  <si>
    <t>Cornerstone Chiropractic Specialists, PA.</t>
  </si>
  <si>
    <t>14665 Mercantile Dr. N.</t>
  </si>
  <si>
    <t>(651) 204-5533</t>
  </si>
  <si>
    <t>1861457335</t>
  </si>
  <si>
    <t>Healthsource of Hugo</t>
  </si>
  <si>
    <t>14643 Mercantile Dr N</t>
  </si>
  <si>
    <t>110</t>
  </si>
  <si>
    <t>(651) 334-2268</t>
  </si>
  <si>
    <t>Chiropractic Health Solutions PLLC</t>
  </si>
  <si>
    <t>1568794691</t>
  </si>
  <si>
    <t>Oneka Chiropractic, PA</t>
  </si>
  <si>
    <t>14755 Victor Hugo Blvd N</t>
  </si>
  <si>
    <t>(651) 429-6000</t>
  </si>
  <si>
    <t>1538365119</t>
  </si>
  <si>
    <t>Hilpisch Chiropractic</t>
  </si>
  <si>
    <t>8995 Highway 5</t>
  </si>
  <si>
    <t>(651) 748-5731</t>
  </si>
  <si>
    <t>Hilpisch Chiropractic, INC</t>
  </si>
  <si>
    <t>1790972727</t>
  </si>
  <si>
    <t>Illuminnate Family Chiropractic, INC.</t>
  </si>
  <si>
    <t>8931 Highway 5</t>
  </si>
  <si>
    <t>(651) 204-0926</t>
  </si>
  <si>
    <t>1174730048</t>
  </si>
  <si>
    <t>Jimmy G. Anderson, DC.</t>
  </si>
  <si>
    <t>3394 Lake Elmo Avenue</t>
  </si>
  <si>
    <t>(651) 777-9757</t>
  </si>
  <si>
    <t>1043217433</t>
  </si>
  <si>
    <t>Lake Elmo Chiropractic Clinic</t>
  </si>
  <si>
    <t>(651) 779-7858</t>
  </si>
  <si>
    <t>Tami R. Andrews</t>
  </si>
  <si>
    <t>1972723633</t>
  </si>
  <si>
    <t>Vibrant Chiropractic PA.</t>
  </si>
  <si>
    <t>8519 Eagle Point Blvd</t>
  </si>
  <si>
    <t>(651) 207-4411</t>
  </si>
  <si>
    <t>1609265156</t>
  </si>
  <si>
    <t>9242 Hudson Blvd N</t>
  </si>
  <si>
    <t>1013439868</t>
  </si>
  <si>
    <t>Afton Chiropractic Clinic</t>
  </si>
  <si>
    <t>44 Saint Croix Trl S</t>
  </si>
  <si>
    <t>Lakeland</t>
  </si>
  <si>
    <t>55043</t>
  </si>
  <si>
    <t>(651) 436-7757</t>
  </si>
  <si>
    <t>1912169087</t>
  </si>
  <si>
    <t>Lakeland Family Chiropractic and Acupunct</t>
  </si>
  <si>
    <t>76 Saint Croix Trl N</t>
  </si>
  <si>
    <t>(651) 436-6000</t>
  </si>
  <si>
    <t>Rosann M. Froehle DC LLC</t>
  </si>
  <si>
    <t>1114003829</t>
  </si>
  <si>
    <t>Bloom Physical Therapy and Wellness LLC</t>
  </si>
  <si>
    <t>270 72nd St N</t>
  </si>
  <si>
    <t>(651) 497-6997</t>
  </si>
  <si>
    <t>1649855230</t>
  </si>
  <si>
    <t>Mahtomedi Natural Care Center</t>
  </si>
  <si>
    <t>1526 Mahtomedi Ave</t>
  </si>
  <si>
    <t>(651) 407-0802</t>
  </si>
  <si>
    <t>1538218284</t>
  </si>
  <si>
    <t>Oak Hill Chiropractic PC.</t>
  </si>
  <si>
    <t>12 Long Lake Rd</t>
  </si>
  <si>
    <t>(651) 283-9641</t>
  </si>
  <si>
    <t>1003106048</t>
  </si>
  <si>
    <t>Barrett Chiropractic Center LTD</t>
  </si>
  <si>
    <t>6070 50th St N</t>
  </si>
  <si>
    <t>(651) 777-3611</t>
  </si>
  <si>
    <t>1205167996</t>
  </si>
  <si>
    <t>Big Idea Chiropractic PLLC</t>
  </si>
  <si>
    <t>7815 3rd St N</t>
  </si>
  <si>
    <t>(651) 400-7777</t>
  </si>
  <si>
    <t>1912415159</t>
  </si>
  <si>
    <t>Front Door Chiropractic Services PA.</t>
  </si>
  <si>
    <t>(612) 250-5360</t>
  </si>
  <si>
    <t>1417181330</t>
  </si>
  <si>
    <t>New Creation Sports and Wellness, LLC</t>
  </si>
  <si>
    <t>7500 Hudson Blvd N</t>
  </si>
  <si>
    <t>(651) 356-4106</t>
  </si>
  <si>
    <t>1508128232</t>
  </si>
  <si>
    <t>Oak Springs Chiropractic &amp; Wellness</t>
  </si>
  <si>
    <t>1015 Helmo Ave N</t>
  </si>
  <si>
    <t>(651) 739-2500</t>
  </si>
  <si>
    <t>1306041785</t>
  </si>
  <si>
    <t>Oakwinds Clinic of Chiropractic, PA.</t>
  </si>
  <si>
    <t>968 Inwood Ave N</t>
  </si>
  <si>
    <t>(651) 578-8588</t>
  </si>
  <si>
    <t>1548565765</t>
  </si>
  <si>
    <t>Optimal Life Chiropractic LLC</t>
  </si>
  <si>
    <t>1051 Helmo Ave N</t>
  </si>
  <si>
    <t>(651) 447-8811</t>
  </si>
  <si>
    <t>1144853540</t>
  </si>
  <si>
    <t>Parkview Chiropractic Clinic</t>
  </si>
  <si>
    <t>Northern Lights Chiropractic, LTD</t>
  </si>
  <si>
    <t>1811002207</t>
  </si>
  <si>
    <t>St Croix Chiropractic Group</t>
  </si>
  <si>
    <t>600 Inwood Ave N</t>
  </si>
  <si>
    <t>(651) 735-1580</t>
  </si>
  <si>
    <t>Twin Cities Mechanical Diagnosis and Treatment Group PA</t>
  </si>
  <si>
    <t>1609014620</t>
  </si>
  <si>
    <t>7077 10th St N</t>
  </si>
  <si>
    <t>(512) 754-7066</t>
  </si>
  <si>
    <t>1306927272</t>
  </si>
  <si>
    <t>Twin Oaks Chiropractic LLC</t>
  </si>
  <si>
    <t>(218) 556-0165</t>
  </si>
  <si>
    <t>1811462427</t>
  </si>
  <si>
    <t>1760418164</t>
  </si>
  <si>
    <t>Wellspring Chiropractic</t>
  </si>
  <si>
    <t>7029 10th St N</t>
  </si>
  <si>
    <t>(651) 735-2201</t>
  </si>
  <si>
    <t>1851594550</t>
  </si>
  <si>
    <t>Wilson Family Chiropractic PA.</t>
  </si>
  <si>
    <t>6466 Kings Dr</t>
  </si>
  <si>
    <t>(651) 249-4181</t>
  </si>
  <si>
    <t>1629469978</t>
  </si>
  <si>
    <t>Kendrick Chiropractic Clinic LTD.</t>
  </si>
  <si>
    <t>21080 Olinda Trl N</t>
  </si>
  <si>
    <t>Box 4</t>
  </si>
  <si>
    <t>Scandia</t>
  </si>
  <si>
    <t>55073</t>
  </si>
  <si>
    <t>(651) 433-5750</t>
  </si>
  <si>
    <t>1740325299</t>
  </si>
  <si>
    <t>Anchored Chiropractic PLLC</t>
  </si>
  <si>
    <t>1060 Curve Crest Blvd W</t>
  </si>
  <si>
    <t>(715) 563-7447</t>
  </si>
  <si>
    <t>1114460888</t>
  </si>
  <si>
    <t>Anchored Health Chiropractic PLLC</t>
  </si>
  <si>
    <t>(651) 571-0201</t>
  </si>
  <si>
    <t>Travis L Klug</t>
  </si>
  <si>
    <t>1417509704</t>
  </si>
  <si>
    <t>Back To Life Chiropractic PC</t>
  </si>
  <si>
    <t>333 Main St N</t>
  </si>
  <si>
    <t>(651) 430-0018</t>
  </si>
  <si>
    <t>1245440502</t>
  </si>
  <si>
    <t>Body Essential, LLC</t>
  </si>
  <si>
    <t>116 Chestnut St E</t>
  </si>
  <si>
    <t>(651) 497-8397</t>
  </si>
  <si>
    <t>1902212442</t>
  </si>
  <si>
    <t>Bridgeview Chiropractic, PA.</t>
  </si>
  <si>
    <t>13481 60th St N</t>
  </si>
  <si>
    <t>(651) 430-3229</t>
  </si>
  <si>
    <t>1447332580</t>
  </si>
  <si>
    <t>1970 Northwestern Ave S</t>
  </si>
  <si>
    <t>Chiropatrick</t>
  </si>
  <si>
    <t>(651) 321-7337</t>
  </si>
  <si>
    <t>1720608367</t>
  </si>
  <si>
    <t>Dr. David L. Wick, DC., PA.</t>
  </si>
  <si>
    <t>1598965774</t>
  </si>
  <si>
    <t>F.i.t. Chiropractic</t>
  </si>
  <si>
    <t>215 William St N</t>
  </si>
  <si>
    <t>(651) 439-6285</t>
  </si>
  <si>
    <t>1538443783</t>
  </si>
  <si>
    <t>Fiebelkorn Enterpises PA</t>
  </si>
  <si>
    <t>1250 Frontage Rd W</t>
  </si>
  <si>
    <t>(651) 387-8338</t>
  </si>
  <si>
    <t>1821435769</t>
  </si>
  <si>
    <t>Hall Family Chiropractic Clinic</t>
  </si>
  <si>
    <t>13999 60th St N</t>
  </si>
  <si>
    <t>(651) 430-1515</t>
  </si>
  <si>
    <t>Hall and Hall, LTD</t>
  </si>
  <si>
    <t>1588862197</t>
  </si>
  <si>
    <t>Healing River Chiropractic, LLC</t>
  </si>
  <si>
    <t>1903 Greeley St S</t>
  </si>
  <si>
    <t>(651) 439-3737</t>
  </si>
  <si>
    <t>1770048027</t>
  </si>
  <si>
    <t>Integrated Health &amp; Rehabilitation Center(ihrc), PLLC</t>
  </si>
  <si>
    <t>(651) 263-9264</t>
  </si>
  <si>
    <t>1942464573</t>
  </si>
  <si>
    <t>Midwest Spine &amp; Brain Institute, LLC.</t>
  </si>
  <si>
    <t>Orthopedics, Spine, Pain Management</t>
  </si>
  <si>
    <t>1950 Northwestern Ave S</t>
  </si>
  <si>
    <t>1902836133</t>
  </si>
  <si>
    <t>Restorative Laser Therapy LLC.</t>
  </si>
  <si>
    <t>1699168856</t>
  </si>
  <si>
    <t>Rivertown Chiropractic &amp; Wellness</t>
  </si>
  <si>
    <t>5813 Neal Ave N</t>
  </si>
  <si>
    <t>(651) 439-2712</t>
  </si>
  <si>
    <t>R.t.h.w., PA.</t>
  </si>
  <si>
    <t>1699072413</t>
  </si>
  <si>
    <t>Rivertown Health &amp; Wellness, PA.</t>
  </si>
  <si>
    <t>305 Greeley St S</t>
  </si>
  <si>
    <t>1255520128</t>
  </si>
  <si>
    <t>Saeger Pain Care PLLC</t>
  </si>
  <si>
    <t>1950 Curve Crest Blvd W</t>
  </si>
  <si>
    <t>(214) 378-4661</t>
  </si>
  <si>
    <t>1124431358</t>
  </si>
  <si>
    <t>Socialvite, INC</t>
  </si>
  <si>
    <t>105 New England Pl</t>
  </si>
  <si>
    <t>#220</t>
  </si>
  <si>
    <t>(651) 342-1043</t>
  </si>
  <si>
    <t>1215601299</t>
  </si>
  <si>
    <t>Spine and Sport Chiropractic</t>
  </si>
  <si>
    <t>1058 Curve Crest Blvd W</t>
  </si>
  <si>
    <t>(651) 439-6500</t>
  </si>
  <si>
    <t>1255549705</t>
  </si>
  <si>
    <t>Stillpoint</t>
  </si>
  <si>
    <t>Spinal Care One, PA</t>
  </si>
  <si>
    <t>1174617104</t>
  </si>
  <si>
    <t>Stillwater Medical Group</t>
  </si>
  <si>
    <t>1500 Curve Crest Blvd W</t>
  </si>
  <si>
    <t>(651) 439-1234</t>
  </si>
  <si>
    <t>1558350488</t>
  </si>
  <si>
    <t>Stillwater Natural Health Care INC.</t>
  </si>
  <si>
    <t>1396893533</t>
  </si>
  <si>
    <t>Thomas Rieser MD PLLC</t>
  </si>
  <si>
    <t>(651) 269-0378</t>
  </si>
  <si>
    <t>1508356619</t>
  </si>
  <si>
    <t>Wellness &amp; Longevity Center</t>
  </si>
  <si>
    <t>1530 Frontage Rd W</t>
  </si>
  <si>
    <t>Valley Ridge Mall</t>
  </si>
  <si>
    <t>(651) 439-1013</t>
  </si>
  <si>
    <t>1306941406</t>
  </si>
  <si>
    <t>Wildwood Chiropractic Center PA</t>
  </si>
  <si>
    <t>935 Wildwood Rd</t>
  </si>
  <si>
    <t>1306827118</t>
  </si>
  <si>
    <t>Alenov Wellness Center, INC.</t>
  </si>
  <si>
    <t>(651) 738-7800</t>
  </si>
  <si>
    <t>1659625747</t>
  </si>
  <si>
    <t>Benassi Chiropractic, PA.</t>
  </si>
  <si>
    <t>731 Bielenberg Dr</t>
  </si>
  <si>
    <t>(651) 578-9191</t>
  </si>
  <si>
    <t>1770780504</t>
  </si>
  <si>
    <t>Beyond Chiropractic</t>
  </si>
  <si>
    <t>539 Bielenberg Dr</t>
  </si>
  <si>
    <t>(651) 288-1988</t>
  </si>
  <si>
    <t>1760507198</t>
  </si>
  <si>
    <t>Chiropractic Rehabilitation Center LLC</t>
  </si>
  <si>
    <t>9900 Valley Creek Rd</t>
  </si>
  <si>
    <t>#145</t>
  </si>
  <si>
    <t>(651) 734-1123</t>
  </si>
  <si>
    <t>1093864050</t>
  </si>
  <si>
    <t>Cornerstone Chiropractic Clinic LLC</t>
  </si>
  <si>
    <t>8470 City Centre Dr</t>
  </si>
  <si>
    <t>(651) 571-0726</t>
  </si>
  <si>
    <t>1437518123</t>
  </si>
  <si>
    <t>Drews Family Chiropractic INC.</t>
  </si>
  <si>
    <t>563 Bielenberg Dr</t>
  </si>
  <si>
    <t>Ste #145</t>
  </si>
  <si>
    <t>(651) 731-4464</t>
  </si>
  <si>
    <t>1003070731</t>
  </si>
  <si>
    <t>Eastview Family Chiropractic Clinic</t>
  </si>
  <si>
    <t>1125 Woodbury Dr</t>
  </si>
  <si>
    <t># 500</t>
  </si>
  <si>
    <t>(651) 271-6698</t>
  </si>
  <si>
    <t>1194084376</t>
  </si>
  <si>
    <t>Family Achievement Center INC.</t>
  </si>
  <si>
    <t>2101 Wooddale Dr</t>
  </si>
  <si>
    <t>(651) 738-9888</t>
  </si>
  <si>
    <t>1952411175</t>
  </si>
  <si>
    <t>Health Services Manangement</t>
  </si>
  <si>
    <t>7805 Hudson Rd</t>
  </si>
  <si>
    <t>(651) 287-4849</t>
  </si>
  <si>
    <t>1497978134</t>
  </si>
  <si>
    <t>Kinecio Physical Therapy</t>
  </si>
  <si>
    <t>(715) 410-0351</t>
  </si>
  <si>
    <t>Kinecio</t>
  </si>
  <si>
    <t>1922562883</t>
  </si>
  <si>
    <t>Kinetic Physical Therapy Institute</t>
  </si>
  <si>
    <t>(651) 730-7771</t>
  </si>
  <si>
    <t>1487785044</t>
  </si>
  <si>
    <t>Kirk M Nelson DC LLC</t>
  </si>
  <si>
    <t>8425 Seasons Pkwy</t>
  </si>
  <si>
    <t>Ste 104B</t>
  </si>
  <si>
    <t>(651) 702-7800</t>
  </si>
  <si>
    <t>1346483757</t>
  </si>
  <si>
    <t>Lifeline Chiropractic , PA.</t>
  </si>
  <si>
    <t>2165 Woodlane Dr</t>
  </si>
  <si>
    <t>(651) 735-9353</t>
  </si>
  <si>
    <t>1578621710</t>
  </si>
  <si>
    <t>Lifestyle Physical Therapy, LLC</t>
  </si>
  <si>
    <t>6940 Newbury Rd</t>
  </si>
  <si>
    <t>(651) 485-2028</t>
  </si>
  <si>
    <t>1508477068</t>
  </si>
  <si>
    <t>Mindset Chiropractic</t>
  </si>
  <si>
    <t>7475 Tamarack Rd</t>
  </si>
  <si>
    <t>(651) 348-6989</t>
  </si>
  <si>
    <t>1245824481</t>
  </si>
  <si>
    <t>Minnetonka Imaging Mri, INC.</t>
  </si>
  <si>
    <t>6053 Hudson Rd</t>
  </si>
  <si>
    <t>Ste 357</t>
  </si>
  <si>
    <t>(612) 803-0811</t>
  </si>
  <si>
    <t>1073819918</t>
  </si>
  <si>
    <t>New Heights Physical Therapy, LLC</t>
  </si>
  <si>
    <t>1976 Wooddale Drive</t>
  </si>
  <si>
    <t>(651) 271-1512</t>
  </si>
  <si>
    <t>1184951717</t>
  </si>
  <si>
    <t>North Star Family Chiropractic, PC</t>
  </si>
  <si>
    <t>8380 City Centre Drive</t>
  </si>
  <si>
    <t>(651) 294-4924</t>
  </si>
  <si>
    <t>1306151832</t>
  </si>
  <si>
    <t>6025 Lake Rd</t>
  </si>
  <si>
    <t>(612) 439-4222</t>
  </si>
  <si>
    <t>1730720509</t>
  </si>
  <si>
    <t>Onsite Care Doctors, PLLC</t>
  </si>
  <si>
    <t>2179 Tower Alcove</t>
  </si>
  <si>
    <t>(651) 777-9388</t>
  </si>
  <si>
    <t>1073829495</t>
  </si>
  <si>
    <t>Poeschel Chiropractic PSC</t>
  </si>
  <si>
    <t>1818 Wooddale Dr</t>
  </si>
  <si>
    <t>Ste #100</t>
  </si>
  <si>
    <t>(651) 756-7380</t>
  </si>
  <si>
    <t>1457470445</t>
  </si>
  <si>
    <t>Ptlinked, LLC</t>
  </si>
  <si>
    <t>8317 Marsh Creek Rd</t>
  </si>
  <si>
    <t>(651) 325-7892</t>
  </si>
  <si>
    <t>1265967194</t>
  </si>
  <si>
    <t>Reconnection Chiropractic</t>
  </si>
  <si>
    <t>683 Bielenberg Dr</t>
  </si>
  <si>
    <t>(651) 702-3322</t>
  </si>
  <si>
    <t>Ae Chiropractic PA</t>
  </si>
  <si>
    <t>1124413893</t>
  </si>
  <si>
    <t>Schmidt Chiropractic Clinc, PA.</t>
  </si>
  <si>
    <t>8360 City Centre Dr</t>
  </si>
  <si>
    <t>(651) 735-2400</t>
  </si>
  <si>
    <t>1346426525</t>
  </si>
  <si>
    <t>Schotzko Chiropractic PA</t>
  </si>
  <si>
    <t>(507) 271-9544</t>
  </si>
  <si>
    <t>1861625600</t>
  </si>
  <si>
    <t>Scott M. Schreiber, DC, PA.</t>
  </si>
  <si>
    <t>1518460237</t>
  </si>
  <si>
    <t>Seasons Family Chiropractic</t>
  </si>
  <si>
    <t>(612) 280-1217</t>
  </si>
  <si>
    <t>1285076950</t>
  </si>
  <si>
    <t>Secoya Health</t>
  </si>
  <si>
    <t>Pain Management, Physical Therapy</t>
  </si>
  <si>
    <t>Vitality Wellness PA</t>
  </si>
  <si>
    <t>1457972150</t>
  </si>
  <si>
    <t>Orthopedics, Spine, Physical Therapy</t>
  </si>
  <si>
    <t>2090 Woodwinds Dr</t>
  </si>
  <si>
    <t>(651) 968-5801</t>
  </si>
  <si>
    <t>1760614242</t>
  </si>
  <si>
    <t>Orthopedics, Pain Management</t>
  </si>
  <si>
    <t>7115 Tamarack Rd</t>
  </si>
  <si>
    <t>(651) 968-5479</t>
  </si>
  <si>
    <t>1659422509</t>
  </si>
  <si>
    <t>1699199737</t>
  </si>
  <si>
    <t>Wedgewood Chiropractic</t>
  </si>
  <si>
    <t>1625 Radio Dr</t>
  </si>
  <si>
    <t>(651) 731-5124</t>
  </si>
  <si>
    <t>Fritz Chiropractic, PA.</t>
  </si>
  <si>
    <t>1811293657</t>
  </si>
  <si>
    <t>Wedgewood Chiropractic, PA.</t>
  </si>
  <si>
    <t>3060 Woodbury Dr</t>
  </si>
  <si>
    <t>1174560064</t>
  </si>
  <si>
    <t>Woodbury Bone and Joint</t>
  </si>
  <si>
    <t>2025 Woodlane Dr</t>
  </si>
  <si>
    <t>(651) 492-6762</t>
  </si>
  <si>
    <t>Jack M Bert MD PA</t>
  </si>
  <si>
    <t>1942598016</t>
  </si>
  <si>
    <t>1875 Woodwinds Dr</t>
  </si>
  <si>
    <t>(651) 491-9303</t>
  </si>
  <si>
    <t>Woodbury Mri, LLC</t>
  </si>
  <si>
    <t>1861811333</t>
  </si>
  <si>
    <t>Apex Chiropractic of Albertville</t>
  </si>
  <si>
    <t>5676 La Centre Ave</t>
  </si>
  <si>
    <t>(763) 497-0777</t>
  </si>
  <si>
    <t>1235263187</t>
  </si>
  <si>
    <t>Chiropractic and Wellness Center of Albertville</t>
  </si>
  <si>
    <t>5676 Lacentre Ave.</t>
  </si>
  <si>
    <t>1124478110</t>
  </si>
  <si>
    <t>Chiropractic and Wellness Center of Albertville PLLC</t>
  </si>
  <si>
    <t>5676 Lacentre Avenue NE</t>
  </si>
  <si>
    <t>1770802019</t>
  </si>
  <si>
    <t>Annandale Family and Sports Chiropractic</t>
  </si>
  <si>
    <t>300 Park Street</t>
  </si>
  <si>
    <t>(320) 274-3060</t>
  </si>
  <si>
    <t>1023236874</t>
  </si>
  <si>
    <t>Twin Lakes Chiropractic LLC</t>
  </si>
  <si>
    <t>93 Oak Ave S</t>
  </si>
  <si>
    <t>(320) 274-3499</t>
  </si>
  <si>
    <t>1073808788</t>
  </si>
  <si>
    <t>Adjust To Health Chiropractic, PA.</t>
  </si>
  <si>
    <t>109 2nd St S</t>
  </si>
  <si>
    <t>(763) 684-4646</t>
  </si>
  <si>
    <t>1386850345</t>
  </si>
  <si>
    <t>Chiropractic Healthplus</t>
  </si>
  <si>
    <t>1200 Highway 25 N</t>
  </si>
  <si>
    <t>(763) 682-5490</t>
  </si>
  <si>
    <t>Kilquan LTD</t>
  </si>
  <si>
    <t>1841684099</t>
  </si>
  <si>
    <t>Excel Physical Therapy INC</t>
  </si>
  <si>
    <t>(763) 682-2202</t>
  </si>
  <si>
    <t>1104822717</t>
  </si>
  <si>
    <t>Hendrickson Chiropractic PA</t>
  </si>
  <si>
    <t>1200 N Hwy 25</t>
  </si>
  <si>
    <t>1073675344</t>
  </si>
  <si>
    <t>Kuzma Chiropractic PA</t>
  </si>
  <si>
    <t>105 Center Dr</t>
  </si>
  <si>
    <t>(763) 684-1111</t>
  </si>
  <si>
    <t>1366623159</t>
  </si>
  <si>
    <t>Kuzma Chiropractic, PA</t>
  </si>
  <si>
    <t>110 Division St E</t>
  </si>
  <si>
    <t>(763) 682-1471</t>
  </si>
  <si>
    <t>1184718298</t>
  </si>
  <si>
    <t>Optimal Function Physical Therapy and Wellness</t>
  </si>
  <si>
    <t>120 1st St S</t>
  </si>
  <si>
    <t>(612) 756-9757</t>
  </si>
  <si>
    <t>Optimal Function</t>
  </si>
  <si>
    <t>1881208981</t>
  </si>
  <si>
    <t>Performance and Wellness, INC</t>
  </si>
  <si>
    <t>308D Brighton Ave S</t>
  </si>
  <si>
    <t>(763) 682-5300</t>
  </si>
  <si>
    <t>1164610184</t>
  </si>
  <si>
    <t>Smock Chiropractic LLC</t>
  </si>
  <si>
    <t>1495 Pulaski Cir</t>
  </si>
  <si>
    <t>(612) 281-7393</t>
  </si>
  <si>
    <t>1265744742</t>
  </si>
  <si>
    <t>Wright County Chiropractic</t>
  </si>
  <si>
    <t>1100 Highway 25 N</t>
  </si>
  <si>
    <t>#4</t>
  </si>
  <si>
    <t>(763) 682-9779</t>
  </si>
  <si>
    <t>1275796153</t>
  </si>
  <si>
    <t>Your Life Chiropractic, PA.</t>
  </si>
  <si>
    <t>103 Center Dr</t>
  </si>
  <si>
    <t>(763) 682-0611</t>
  </si>
  <si>
    <t>1891838728</t>
  </si>
  <si>
    <t>Cokato Chiropractic, PA.</t>
  </si>
  <si>
    <t>225 Millard Ave SW</t>
  </si>
  <si>
    <t>Cokato</t>
  </si>
  <si>
    <t>55321</t>
  </si>
  <si>
    <t>(320) 286-6478</t>
  </si>
  <si>
    <t>1649445511</t>
  </si>
  <si>
    <t>Mcconkey Chiropractic Clinic PA</t>
  </si>
  <si>
    <t>15703 US Highway 12 SW</t>
  </si>
  <si>
    <t>(320) 286-2500</t>
  </si>
  <si>
    <t>1831339936</t>
  </si>
  <si>
    <t>Nesseth Chiropractic Clinic PA</t>
  </si>
  <si>
    <t>235 Broadway Ave S</t>
  </si>
  <si>
    <t>(320) 286-6336</t>
  </si>
  <si>
    <t>1619008067</t>
  </si>
  <si>
    <t>Delano Chiropractic Center, PA.</t>
  </si>
  <si>
    <t>120 Bridge Ave W</t>
  </si>
  <si>
    <t>(763) 972-2215</t>
  </si>
  <si>
    <t>1376793356</t>
  </si>
  <si>
    <t>Delano Chiropractic Clinic PA</t>
  </si>
  <si>
    <t>120 Bridge Avenue</t>
  </si>
  <si>
    <t>1770608564</t>
  </si>
  <si>
    <t>Ridgeview Delano Clinic/western Orthopaedics &amp; Sports Medicine Consult</t>
  </si>
  <si>
    <t>916 Saint Peter St</t>
  </si>
  <si>
    <t>(763) 972-9172</t>
  </si>
  <si>
    <t>1922150432</t>
  </si>
  <si>
    <t>Rinne Chiropractic Clinic LLC</t>
  </si>
  <si>
    <t>120 Bridge Ave E</t>
  </si>
  <si>
    <t>(763) 972-3340</t>
  </si>
  <si>
    <t>1619164621</t>
  </si>
  <si>
    <t>1215132972</t>
  </si>
  <si>
    <t>Phenomenal Rehabilitation</t>
  </si>
  <si>
    <t>1116 6th Street</t>
  </si>
  <si>
    <t>Howard Lake</t>
  </si>
  <si>
    <t>55349</t>
  </si>
  <si>
    <t>(320) 543-1104</t>
  </si>
  <si>
    <t>Stellar Health Care</t>
  </si>
  <si>
    <t>1821428509</t>
  </si>
  <si>
    <t>Ridgeview Howard Lake Clinic/western Orthopaedics &amp; Sports Medicine Co</t>
  </si>
  <si>
    <t>900 6th St</t>
  </si>
  <si>
    <t>(320) 543-2591</t>
  </si>
  <si>
    <t>1831241348</t>
  </si>
  <si>
    <t>(952) 442-3190</t>
  </si>
  <si>
    <t>1407051154</t>
  </si>
  <si>
    <t>Total Care Chiropractic, PA.</t>
  </si>
  <si>
    <t>40 Birch Ave S</t>
  </si>
  <si>
    <t>Maple Lake</t>
  </si>
  <si>
    <t>55358</t>
  </si>
  <si>
    <t>(320) 296-9014</t>
  </si>
  <si>
    <t>1346542842</t>
  </si>
  <si>
    <t>Atlas Advantage Chiropractic LLC.</t>
  </si>
  <si>
    <t>9766 Fallon Ave NE</t>
  </si>
  <si>
    <t>(320) 309-4316</t>
  </si>
  <si>
    <t>1255752507</t>
  </si>
  <si>
    <t>Back 2 Health Chiropractic, PA.</t>
  </si>
  <si>
    <t>1125 South Cedar St</t>
  </si>
  <si>
    <t>(612) 578-3151</t>
  </si>
  <si>
    <t>1265768220</t>
  </si>
  <si>
    <t>Belde Chiropractic Clinic, PA</t>
  </si>
  <si>
    <t>211 Highway 25 S</t>
  </si>
  <si>
    <t>(763) 295-4105</t>
  </si>
  <si>
    <t>1437295532</t>
  </si>
  <si>
    <t>1260 Highway 25 S</t>
  </si>
  <si>
    <t>Ihs Midwest PC</t>
  </si>
  <si>
    <t>(651) 334-1290</t>
  </si>
  <si>
    <t>1588600043</t>
  </si>
  <si>
    <t>Monticello Chiropractic &amp; Therapy</t>
  </si>
  <si>
    <t>212 Cedar St</t>
  </si>
  <si>
    <t>(763) 295-2262</t>
  </si>
  <si>
    <t>Dynamic Balance PC</t>
  </si>
  <si>
    <t>1730372509</t>
  </si>
  <si>
    <t>Monticello Physical Therapy</t>
  </si>
  <si>
    <t>1125 S Cedar Street</t>
  </si>
  <si>
    <t>(763) 295-4201</t>
  </si>
  <si>
    <t>Monticello Physical Therapy &amp; Sports Medicine, LLC</t>
  </si>
  <si>
    <t>1770795924</t>
  </si>
  <si>
    <t>Whole Health Family Chiropractic</t>
  </si>
  <si>
    <t>611 Walnut St</t>
  </si>
  <si>
    <t>(763) 295-4301</t>
  </si>
  <si>
    <t>Craig Chiropractic and Kinesiology PC</t>
  </si>
  <si>
    <t>1013373703</t>
  </si>
  <si>
    <t>Montrose Family Chiropractic</t>
  </si>
  <si>
    <t>145 Nelson Blvd,</t>
  </si>
  <si>
    <t>Ste # 1000</t>
  </si>
  <si>
    <t>Montrose</t>
  </si>
  <si>
    <t>55363</t>
  </si>
  <si>
    <t>(763) 675-3121</t>
  </si>
  <si>
    <t>Montrose Wellness PA</t>
  </si>
  <si>
    <t>1013143445</t>
  </si>
  <si>
    <t>Healing Hands Family Chiropractic, PSC</t>
  </si>
  <si>
    <t>9125 Quaday Ave NE</t>
  </si>
  <si>
    <t>(763) 274-0373</t>
  </si>
  <si>
    <t>1700082351</t>
  </si>
  <si>
    <t>9175 Quaday Ave NE</t>
  </si>
  <si>
    <t>(763) 284-0373</t>
  </si>
  <si>
    <t>Hjort Family Chiropractic, PA.</t>
  </si>
  <si>
    <t>(320) 266-8674</t>
  </si>
  <si>
    <t>1992988265</t>
  </si>
  <si>
    <t>Buffie Chiropractic Clinic PC</t>
  </si>
  <si>
    <t>8340 Bridge Street</t>
  </si>
  <si>
    <t>Rockford</t>
  </si>
  <si>
    <t>55373</t>
  </si>
  <si>
    <t>(763) 477-4266</t>
  </si>
  <si>
    <t>1558418236</t>
  </si>
  <si>
    <t>Rockford Chiropractic</t>
  </si>
  <si>
    <t>9000 Walnut Street</t>
  </si>
  <si>
    <t>(763) 477-5720</t>
  </si>
  <si>
    <t>Rockford Chiropractic Corporation</t>
  </si>
  <si>
    <t>1790796159</t>
  </si>
  <si>
    <t>Boone Family Chiropractic and Wellness, PLC</t>
  </si>
  <si>
    <t>12630 43rd St NE</t>
  </si>
  <si>
    <t>(763) 232-4303</t>
  </si>
  <si>
    <t>1902997703</t>
  </si>
  <si>
    <t>Complete Chiropractic</t>
  </si>
  <si>
    <t>249 Central Ave E</t>
  </si>
  <si>
    <t>(763) 486-3563</t>
  </si>
  <si>
    <t>Arns Companies, PC</t>
  </si>
  <si>
    <t>1801251145</t>
  </si>
  <si>
    <t>Great Lakes Chiropractic</t>
  </si>
  <si>
    <t>116 Central Ave E</t>
  </si>
  <si>
    <t>(763) 515-6650</t>
  </si>
  <si>
    <t>Great Lakes Chiropractic of St. Michael PLLC LTD</t>
  </si>
  <si>
    <t>1902308901</t>
  </si>
  <si>
    <t>Northwest Spine and Pain Center of St. Michael, PA</t>
  </si>
  <si>
    <t>1 Central Ave W</t>
  </si>
  <si>
    <t>(763) 497-0899</t>
  </si>
  <si>
    <t>1609995877</t>
  </si>
  <si>
    <t>Phenom Physical Therapy INC</t>
  </si>
  <si>
    <t>703 Thielen Dr</t>
  </si>
  <si>
    <t>(763) 497-1153</t>
  </si>
  <si>
    <t>1902255383</t>
  </si>
  <si>
    <t>St. Michael Spinal Rehab Center, INC</t>
  </si>
  <si>
    <t>400 Central Ave E</t>
  </si>
  <si>
    <t>(763) 497-2787</t>
  </si>
  <si>
    <t>1487783965</t>
  </si>
  <si>
    <t>Adjust To Wellness, PLLC</t>
  </si>
  <si>
    <t>202 5T Street N</t>
  </si>
  <si>
    <t>Waverly</t>
  </si>
  <si>
    <t>55390</t>
  </si>
  <si>
    <t>(612) 720-3525</t>
  </si>
  <si>
    <t>1831227214</t>
  </si>
  <si>
    <t>Foley Physical Rehab INC.</t>
  </si>
  <si>
    <t>400 Broadway Ave N</t>
  </si>
  <si>
    <t>(320) 968-4677</t>
  </si>
  <si>
    <t>1184611899</t>
  </si>
  <si>
    <t>Foley Wellness Center</t>
  </si>
  <si>
    <t>401 Dewey St</t>
  </si>
  <si>
    <t>(320) 968-7413</t>
  </si>
  <si>
    <t>Smart Spine Community Chiropractic INC.</t>
  </si>
  <si>
    <t>1548683519</t>
  </si>
  <si>
    <t>Quantum Chiropractic</t>
  </si>
  <si>
    <t>50 14th Ave E</t>
  </si>
  <si>
    <t>(320) 202-5991</t>
  </si>
  <si>
    <t>1558533943</t>
  </si>
  <si>
    <t>Back To Health Acupuncture and Chiropractic Center, PA.</t>
  </si>
  <si>
    <t>12 2nd Ave S</t>
  </si>
  <si>
    <t>Sauk Rapids</t>
  </si>
  <si>
    <t>56379</t>
  </si>
  <si>
    <t>(320) 257-6008</t>
  </si>
  <si>
    <t>1043372204</t>
  </si>
  <si>
    <t>Spinal Rehab Clinics, PA</t>
  </si>
  <si>
    <t>225 N Benton Dr</t>
  </si>
  <si>
    <t>(320) 252-2225</t>
  </si>
  <si>
    <t>1932237187</t>
  </si>
  <si>
    <t>Silvia Spinal Center PC</t>
  </si>
  <si>
    <t>22 Wilson Ave NE</t>
  </si>
  <si>
    <t>56302</t>
  </si>
  <si>
    <t>(320) 203-7000</t>
  </si>
  <si>
    <t>1154698538</t>
  </si>
  <si>
    <t>Country Chiropractic Center</t>
  </si>
  <si>
    <t>4505 State Highway 23</t>
  </si>
  <si>
    <t>Brook Park</t>
  </si>
  <si>
    <t>55007</t>
  </si>
  <si>
    <t>(320) 679-3734</t>
  </si>
  <si>
    <t>1922362813</t>
  </si>
  <si>
    <t>Active Life Chiropractic and Sport LLC</t>
  </si>
  <si>
    <t>600 Union St S</t>
  </si>
  <si>
    <t>Mora</t>
  </si>
  <si>
    <t>55051</t>
  </si>
  <si>
    <t>(320) 225-1017</t>
  </si>
  <si>
    <t>1558543751</t>
  </si>
  <si>
    <t>Fore Chiropractic &amp; Wellness</t>
  </si>
  <si>
    <t>200 Forest Ave E</t>
  </si>
  <si>
    <t>(320) 679-8996</t>
  </si>
  <si>
    <t>1558606400</t>
  </si>
  <si>
    <t>Mora Chiropractic Clinic PC.</t>
  </si>
  <si>
    <t>114 W Maple Ave</t>
  </si>
  <si>
    <t>(320) 679-1133</t>
  </si>
  <si>
    <t>1376620013</t>
  </si>
  <si>
    <t>Advanced Orthopaedic Surgery, PA.</t>
  </si>
  <si>
    <t>1805 Hennepin Ave N</t>
  </si>
  <si>
    <t>Glencoe</t>
  </si>
  <si>
    <t>55336</t>
  </si>
  <si>
    <t>(320) 864-3121</t>
  </si>
  <si>
    <t>1285671263</t>
  </si>
  <si>
    <t>Doctors INC</t>
  </si>
  <si>
    <t>804 12th St E</t>
  </si>
  <si>
    <t>(320) 864-7636</t>
  </si>
  <si>
    <t>1205053535</t>
  </si>
  <si>
    <t>Glencoe Family Chiropractic, PA.</t>
  </si>
  <si>
    <t>627 12th St E</t>
  </si>
  <si>
    <t>(320) 864-8000</t>
  </si>
  <si>
    <t>1134388549</t>
  </si>
  <si>
    <t>Gauer Chiropractic Clinic PA</t>
  </si>
  <si>
    <t>1706 East Tenth Street</t>
  </si>
  <si>
    <t>Gauer Chiropractic Clinic</t>
  </si>
  <si>
    <t>Glenoce</t>
  </si>
  <si>
    <t>(320) 864-3196</t>
  </si>
  <si>
    <t>1821150178</t>
  </si>
  <si>
    <t>All Family Chiropractic</t>
  </si>
  <si>
    <t>246 Main St S</t>
  </si>
  <si>
    <t>(320) 587-8787</t>
  </si>
  <si>
    <t>Celeste D Wherry</t>
  </si>
  <si>
    <t>1104968890</t>
  </si>
  <si>
    <t>Beeler Chiropractic Clinic</t>
  </si>
  <si>
    <t>903 Highway 15 S</t>
  </si>
  <si>
    <t>(320) 587-6666</t>
  </si>
  <si>
    <t>Back In Action Chiropractic, PA</t>
  </si>
  <si>
    <t>1598270738</t>
  </si>
  <si>
    <t>Caspers Chiropractic Center, PC.</t>
  </si>
  <si>
    <t>103 3rd Av NW</t>
  </si>
  <si>
    <t>(320) 587-2292</t>
  </si>
  <si>
    <t>1831301753</t>
  </si>
  <si>
    <t>Dba Crow River Chiropractic</t>
  </si>
  <si>
    <t>1507 Jefferson St SE</t>
  </si>
  <si>
    <t>(320) 587-2215</t>
  </si>
  <si>
    <t>Crow River Enterprises</t>
  </si>
  <si>
    <t>1164614202</t>
  </si>
  <si>
    <t>Dr Adam Fink Family Chiropractic LLC</t>
  </si>
  <si>
    <t>1060 Highway 15 S</t>
  </si>
  <si>
    <t>Hutchinson Mall</t>
  </si>
  <si>
    <t>(320) 234-3584</t>
  </si>
  <si>
    <t>1326296179</t>
  </si>
  <si>
    <t>James W Kuehl DC PA</t>
  </si>
  <si>
    <t>85 1st Ave NW</t>
  </si>
  <si>
    <t>(320) 587-2765</t>
  </si>
  <si>
    <t>1326360934</t>
  </si>
  <si>
    <t>Keith R. Kamrath, PA.</t>
  </si>
  <si>
    <t>125 Main St S</t>
  </si>
  <si>
    <t>(320) 587-3888</t>
  </si>
  <si>
    <t>1871787473</t>
  </si>
  <si>
    <t>Mcleod County Chiropractic Centre PA</t>
  </si>
  <si>
    <t>980 Echo Dr SE</t>
  </si>
  <si>
    <t>(320) 587-7400</t>
  </si>
  <si>
    <t>1962562249</t>
  </si>
  <si>
    <t>Lester Prairie Chiropractic Clinic</t>
  </si>
  <si>
    <t>32 Juniper St N</t>
  </si>
  <si>
    <t>Lester Prairie</t>
  </si>
  <si>
    <t>55354</t>
  </si>
  <si>
    <t>(320) 395-9827</t>
  </si>
  <si>
    <t>Meganne Gisella Stifter-Knoll</t>
  </si>
  <si>
    <t>1184812158</t>
  </si>
  <si>
    <t>Sheehan Chiropractic Center INC</t>
  </si>
  <si>
    <t>421 6th St So</t>
  </si>
  <si>
    <t>Winsted</t>
  </si>
  <si>
    <t>55395</t>
  </si>
  <si>
    <t>(320) 485-2380</t>
  </si>
  <si>
    <t>1528144243</t>
  </si>
  <si>
    <t>Charger Chiropractic &amp; Soft Tissue Center PC.</t>
  </si>
  <si>
    <t>450 4th Street North</t>
  </si>
  <si>
    <t>Dassel</t>
  </si>
  <si>
    <t>(320) 275-2000</t>
  </si>
  <si>
    <t>1881806552</t>
  </si>
  <si>
    <t>Kinsella Chiropractic Clinic</t>
  </si>
  <si>
    <t>407 S Sibley Ave</t>
  </si>
  <si>
    <t>Litchfield</t>
  </si>
  <si>
    <t>55355</t>
  </si>
  <si>
    <t>(320) 593-4494</t>
  </si>
  <si>
    <t>Timothy R. Kinsella DC PLLC</t>
  </si>
  <si>
    <t>1780858704</t>
  </si>
  <si>
    <t>Litchfield Chiropractic Center LLC</t>
  </si>
  <si>
    <t>126 N Sibley Ave</t>
  </si>
  <si>
    <t>(320) 693-3655</t>
  </si>
  <si>
    <t>1639571136</t>
  </si>
  <si>
    <t>Patten Chiropractic Center, PA</t>
  </si>
  <si>
    <t>1455 US Highway 12</t>
  </si>
  <si>
    <t>(320) 693-3612</t>
  </si>
  <si>
    <t>1740329382</t>
  </si>
  <si>
    <t>Watkins Chiropractic Clinic</t>
  </si>
  <si>
    <t>165 Central Ave N</t>
  </si>
  <si>
    <t>Watkins</t>
  </si>
  <si>
    <t>55389</t>
  </si>
  <si>
    <t>(320) 764-3000</t>
  </si>
  <si>
    <t>1386812477</t>
  </si>
  <si>
    <t>Mille Lacs Family Health Center</t>
  </si>
  <si>
    <t>375 W Isle St</t>
  </si>
  <si>
    <t>Isle</t>
  </si>
  <si>
    <t>56342</t>
  </si>
  <si>
    <t>(320) 676-3661</t>
  </si>
  <si>
    <t>1497917587</t>
  </si>
  <si>
    <t>Milaca Chiropractic Center</t>
  </si>
  <si>
    <t>105 Central Ave S</t>
  </si>
  <si>
    <t>(320) 983-6805</t>
  </si>
  <si>
    <t>C Johnson INC</t>
  </si>
  <si>
    <t>1366635435</t>
  </si>
  <si>
    <t>Mille Lacs Chiropractics</t>
  </si>
  <si>
    <t>1689733362</t>
  </si>
  <si>
    <t>Natural Elements Health Center, INC.</t>
  </si>
  <si>
    <t>900 Highway 23 W</t>
  </si>
  <si>
    <t>(320) 983-2333</t>
  </si>
  <si>
    <t>1164585931</t>
  </si>
  <si>
    <t>Mille Lacs Family Clinic Onamia</t>
  </si>
  <si>
    <t>200 Elm St N</t>
  </si>
  <si>
    <t>Onamia</t>
  </si>
  <si>
    <t>56359</t>
  </si>
  <si>
    <t>1275796773</t>
  </si>
  <si>
    <t>1235689621</t>
  </si>
  <si>
    <t>Princeton Back and Neck Clinic PA</t>
  </si>
  <si>
    <t>209 Rum River Dr N</t>
  </si>
  <si>
    <t>(763) 631-2225</t>
  </si>
  <si>
    <t>1699034850</t>
  </si>
  <si>
    <t>Princeton Chiropractic Office PA</t>
  </si>
  <si>
    <t>501 4th St S</t>
  </si>
  <si>
    <t>(763) 389-4411</t>
  </si>
  <si>
    <t>1861564130</t>
  </si>
  <si>
    <t>Riverside Family Chiropractic Clinic Chartered</t>
  </si>
  <si>
    <t>114 A Rum River Drive North</t>
  </si>
  <si>
    <t>(763) 389-9242</t>
  </si>
  <si>
    <t>1295748127</t>
  </si>
  <si>
    <t>Minnesota Neurologic Evaluations LTD</t>
  </si>
  <si>
    <t>5355 320th St</t>
  </si>
  <si>
    <t>Cushing</t>
  </si>
  <si>
    <t>56443</t>
  </si>
  <si>
    <t>(218) 575-2097</t>
  </si>
  <si>
    <t>1033238308</t>
  </si>
  <si>
    <t>Advance Physical Therapy INC.</t>
  </si>
  <si>
    <t>309 1st St NE</t>
  </si>
  <si>
    <t>(320) 631-2302</t>
  </si>
  <si>
    <t>1215266408</t>
  </si>
  <si>
    <t>Family Chiropractic Center of Little Falls, PA.</t>
  </si>
  <si>
    <t>42 E Broadway</t>
  </si>
  <si>
    <t>1487983722</t>
  </si>
  <si>
    <t>Little Falls Integrated Physical Medicine</t>
  </si>
  <si>
    <t>104 2nd St SE</t>
  </si>
  <si>
    <t>(757) 617-8397</t>
  </si>
  <si>
    <t>1174089783</t>
  </si>
  <si>
    <t>Little Falls Orthopedics, PA</t>
  </si>
  <si>
    <t>1108 1st St SE</t>
  </si>
  <si>
    <t>(320) 632-3671</t>
  </si>
  <si>
    <t>1962440008</t>
  </si>
  <si>
    <t>Paradox Chiropractic PA</t>
  </si>
  <si>
    <t>16541 Haven Rd</t>
  </si>
  <si>
    <t>(320) 632-6757</t>
  </si>
  <si>
    <t>1841839156</t>
  </si>
  <si>
    <t>Phenom Rehab, INC</t>
  </si>
  <si>
    <t>(320) 631-1104</t>
  </si>
  <si>
    <t>1295184661</t>
  </si>
  <si>
    <t>Speer Chiropractic, PA.</t>
  </si>
  <si>
    <t>114 1st St NE</t>
  </si>
  <si>
    <t>(701) 212-8528</t>
  </si>
  <si>
    <t>1053612887</t>
  </si>
  <si>
    <t>Dynamic Therapy and Wellness LLC</t>
  </si>
  <si>
    <t>221 Main St N</t>
  </si>
  <si>
    <t>Pierz</t>
  </si>
  <si>
    <t>56364</t>
  </si>
  <si>
    <t>(320) 630-2776</t>
  </si>
  <si>
    <t>1649868720</t>
  </si>
  <si>
    <t>Pierz Chiropractic Center, PC</t>
  </si>
  <si>
    <t>129 S Main St</t>
  </si>
  <si>
    <t>(320) 468-2561</t>
  </si>
  <si>
    <t>1053497057</t>
  </si>
  <si>
    <t>Hinckley Chiropractic</t>
  </si>
  <si>
    <t>110 E Main St</t>
  </si>
  <si>
    <t>Hinckley</t>
  </si>
  <si>
    <t>55037</t>
  </si>
  <si>
    <t>(320) 384-6790</t>
  </si>
  <si>
    <t>Kyle Hams DC. PA.</t>
  </si>
  <si>
    <t>1952591307</t>
  </si>
  <si>
    <t>Nilsson Chiropractic</t>
  </si>
  <si>
    <t>253 5th St SE</t>
  </si>
  <si>
    <t>(320) 629-2740</t>
  </si>
  <si>
    <t>1609031483</t>
  </si>
  <si>
    <t>Premier Chiropractic LLC</t>
  </si>
  <si>
    <t>510 2nd St SE</t>
  </si>
  <si>
    <t>(320) 629-8070</t>
  </si>
  <si>
    <t>1679998983</t>
  </si>
  <si>
    <t>Waxberg Clinic PA</t>
  </si>
  <si>
    <t>1881873511</t>
  </si>
  <si>
    <t>Lake Area Therapy Services,llc</t>
  </si>
  <si>
    <t>88395 Sturgeon Island Rd</t>
  </si>
  <si>
    <t>Sturgeon Lake</t>
  </si>
  <si>
    <t>55783</t>
  </si>
  <si>
    <t>(218) 380-8010</t>
  </si>
  <si>
    <t>1205144672</t>
  </si>
  <si>
    <t>Cura Physical Therapy and Massage</t>
  </si>
  <si>
    <t>39386 205th Ave</t>
  </si>
  <si>
    <t>Albany</t>
  </si>
  <si>
    <t>56307</t>
  </si>
  <si>
    <t>(612) 462-9788</t>
  </si>
  <si>
    <t>1215511050</t>
  </si>
  <si>
    <t>St. Cloud Hospital Physical Therapy - Albany</t>
  </si>
  <si>
    <t>30 Railroad Ave</t>
  </si>
  <si>
    <t>(320) 845-6138</t>
  </si>
  <si>
    <t>St. Cloud Hospital</t>
  </si>
  <si>
    <t>1609241447</t>
  </si>
  <si>
    <t>320 3rd Ave</t>
  </si>
  <si>
    <t>(320) 251-2700</t>
  </si>
  <si>
    <t>Regional Health Center of Avon, INC.</t>
  </si>
  <si>
    <t>300 Avon Ave S</t>
  </si>
  <si>
    <t>Avon</t>
  </si>
  <si>
    <t>56310</t>
  </si>
  <si>
    <t>(320) 356-1023</t>
  </si>
  <si>
    <t>1710128772</t>
  </si>
  <si>
    <t>Clearwater Family Chiropractic Clinic</t>
  </si>
  <si>
    <t>935 Professional</t>
  </si>
  <si>
    <t>Building</t>
  </si>
  <si>
    <t>(320) 558-6772</t>
  </si>
  <si>
    <t>1053329896</t>
  </si>
  <si>
    <t>Cold Spring Chiropractic Center, LTD</t>
  </si>
  <si>
    <t>(320) 685-8284</t>
  </si>
  <si>
    <t>1609908946</t>
  </si>
  <si>
    <t>Cold Spring Spine and Wellness</t>
  </si>
  <si>
    <t>24 3rd Ave S</t>
  </si>
  <si>
    <t>(320) 686-0137</t>
  </si>
  <si>
    <t>Peternell Chiropractic PC</t>
  </si>
  <si>
    <t>1578943791</t>
  </si>
  <si>
    <t>Hess Family Chiropractic LLC</t>
  </si>
  <si>
    <t>216 Main Street</t>
  </si>
  <si>
    <t>(320) 685-4360</t>
  </si>
  <si>
    <t>1285971606</t>
  </si>
  <si>
    <t>Midtown Chiropractic Clinic</t>
  </si>
  <si>
    <t>406 Main St</t>
  </si>
  <si>
    <t>(320) 685-8617</t>
  </si>
  <si>
    <t>Dahl Chiropractic PA.</t>
  </si>
  <si>
    <t>1376700476</t>
  </si>
  <si>
    <t>Integrated Health &amp; Wellness Center, LLC</t>
  </si>
  <si>
    <t>103 3rd Ave NE</t>
  </si>
  <si>
    <t>Freeport</t>
  </si>
  <si>
    <t>56331</t>
  </si>
  <si>
    <t>(320) 836-7150</t>
  </si>
  <si>
    <t>1043555840</t>
  </si>
  <si>
    <t>Melrose Chiropractic, INC.</t>
  </si>
  <si>
    <t>109 So.1st. Ave. N.</t>
  </si>
  <si>
    <t>Melrose</t>
  </si>
  <si>
    <t>56352</t>
  </si>
  <si>
    <t>(320) 256-4692</t>
  </si>
  <si>
    <t>1861693269</t>
  </si>
  <si>
    <t>Jacklitch Chiropractic Clinic</t>
  </si>
  <si>
    <t>645 Lake Ave S</t>
  </si>
  <si>
    <t>Paynesville</t>
  </si>
  <si>
    <t>56362</t>
  </si>
  <si>
    <t>(320) 243-7412</t>
  </si>
  <si>
    <t>1235329970</t>
  </si>
  <si>
    <t>Paynesville Chiropractic Clinic, PA.</t>
  </si>
  <si>
    <t>319 E Highway 55</t>
  </si>
  <si>
    <t>(320) 243-7551</t>
  </si>
  <si>
    <t>1235150905</t>
  </si>
  <si>
    <t>Proactive Rehab and Wellness, LLC</t>
  </si>
  <si>
    <t>29161 Lake Ave</t>
  </si>
  <si>
    <t>(701) 318-2402</t>
  </si>
  <si>
    <t>1013686138</t>
  </si>
  <si>
    <t>Vitalife Chiropractic</t>
  </si>
  <si>
    <t>208 W James St</t>
  </si>
  <si>
    <t>Vitalife Chiropractic of Paynesville, PLLC</t>
  </si>
  <si>
    <t>1346840733</t>
  </si>
  <si>
    <t>Chiropractic Health Center</t>
  </si>
  <si>
    <t>161 19th St S</t>
  </si>
  <si>
    <t>(320) 253-0567</t>
  </si>
  <si>
    <t>Jon M Anderson DC, LTD</t>
  </si>
  <si>
    <t>1962400275</t>
  </si>
  <si>
    <t>Demuth Spinal Care &amp; Concussion Center</t>
  </si>
  <si>
    <t>71 County Road 120</t>
  </si>
  <si>
    <t>(515) 441-4876</t>
  </si>
  <si>
    <t>1346864311</t>
  </si>
  <si>
    <t>Good Life Chiropractic LLC</t>
  </si>
  <si>
    <t>1733 Pine Cone Rd S</t>
  </si>
  <si>
    <t>Ste 1200</t>
  </si>
  <si>
    <t>(320) 217-2542</t>
  </si>
  <si>
    <t>1306420245</t>
  </si>
  <si>
    <t>Hands and Heart Chiropractic, PA.</t>
  </si>
  <si>
    <t>2380 Troop Dr</t>
  </si>
  <si>
    <t>Unit 201</t>
  </si>
  <si>
    <t>(612) 460-5674</t>
  </si>
  <si>
    <t>1427650217</t>
  </si>
  <si>
    <t>Interventional Pain &amp; Physical Medicine Clinic</t>
  </si>
  <si>
    <t>2301 Connecticut Avenue South</t>
  </si>
  <si>
    <t>(320) 229-1500</t>
  </si>
  <si>
    <t>1013056969</t>
  </si>
  <si>
    <t>Northern Star Therapy LTD</t>
  </si>
  <si>
    <t>166 19th St S</t>
  </si>
  <si>
    <t>(320) 257-2225</t>
  </si>
  <si>
    <t>1407869662</t>
  </si>
  <si>
    <t>2395 Troop Dr</t>
  </si>
  <si>
    <t>(320) 258-3022</t>
  </si>
  <si>
    <t>1275856304</t>
  </si>
  <si>
    <t>158 19th St S</t>
  </si>
  <si>
    <t>(320) 253-5385</t>
  </si>
  <si>
    <t>Tomark Physicians PA</t>
  </si>
  <si>
    <t>1538259585</t>
  </si>
  <si>
    <t>166 19th Street South</t>
  </si>
  <si>
    <t>(320) 251-0609</t>
  </si>
  <si>
    <t>1235167065</t>
  </si>
  <si>
    <t>Regional Diagnostic Radiology</t>
  </si>
  <si>
    <t>1990 Connecticut Ave S</t>
  </si>
  <si>
    <t>(320) 257-5595</t>
  </si>
  <si>
    <t>1417935321</t>
  </si>
  <si>
    <t>Sailer Family Chiropractic PA.</t>
  </si>
  <si>
    <t>234 Pinecone Rd</t>
  </si>
  <si>
    <t>(320) 253-5255</t>
  </si>
  <si>
    <t>1255562435</t>
  </si>
  <si>
    <t>St. Cloud Orthopedic Associates, LTD.</t>
  </si>
  <si>
    <t>1901 Connecticut Avenue S</t>
  </si>
  <si>
    <t>(320) 259-4100</t>
  </si>
  <si>
    <t>1083638761</t>
  </si>
  <si>
    <t>Stillpointe Natural Health Center</t>
  </si>
  <si>
    <t>2330 Troop Dr</t>
  </si>
  <si>
    <t>(320) 203-8266</t>
  </si>
  <si>
    <t>Sms Health Services, PA</t>
  </si>
  <si>
    <t>1518903533</t>
  </si>
  <si>
    <t>Synergy Chiropractic &amp; Wellness Center</t>
  </si>
  <si>
    <t>2177 Troop Dr</t>
  </si>
  <si>
    <t>(320) 257-8266</t>
  </si>
  <si>
    <t>Cheri Carlson Chiropractic LLC</t>
  </si>
  <si>
    <t>1821244237</t>
  </si>
  <si>
    <t>Williams/integracare Clinic</t>
  </si>
  <si>
    <t>100 South 2nd Street</t>
  </si>
  <si>
    <t>1982919395</t>
  </si>
  <si>
    <t>Abel Chiropractic Associates, PA</t>
  </si>
  <si>
    <t>710 Main St S</t>
  </si>
  <si>
    <t>(320) 352-1201</t>
  </si>
  <si>
    <t>1588715544</t>
  </si>
  <si>
    <t>Advanced Chiropractic</t>
  </si>
  <si>
    <t>857 Main St S</t>
  </si>
  <si>
    <t>(320) 352-5227</t>
  </si>
  <si>
    <t>Long Lake Higgins, PC</t>
  </si>
  <si>
    <t>1689053225</t>
  </si>
  <si>
    <t>Centre Rehab PC</t>
  </si>
  <si>
    <t>308 Oak St S</t>
  </si>
  <si>
    <t>(320) 351-4075</t>
  </si>
  <si>
    <t>1942963269</t>
  </si>
  <si>
    <t>Mainstreet Chiropractic</t>
  </si>
  <si>
    <t>1008 Main St S</t>
  </si>
  <si>
    <t>(320) 352-2082</t>
  </si>
  <si>
    <t>Robert A Mcdonald Chiropractor LTD</t>
  </si>
  <si>
    <t>1831190891</t>
  </si>
  <si>
    <t>Central Minnesota Anesthesia Providers, PLLC</t>
  </si>
  <si>
    <t>22415 State Highway 15</t>
  </si>
  <si>
    <t>St. Augusta</t>
  </si>
  <si>
    <t>(320) 492-6506</t>
  </si>
  <si>
    <t>1417315185</t>
  </si>
  <si>
    <t>Acceleratre Chiropractic &amp; Rehab</t>
  </si>
  <si>
    <t>44 28th Ave N</t>
  </si>
  <si>
    <t>(320) 774-1646</t>
  </si>
  <si>
    <t>1831515048</t>
  </si>
  <si>
    <t>Alliance Imaging</t>
  </si>
  <si>
    <t>3351 Roosevelt Rd</t>
  </si>
  <si>
    <t>Central Imaging LLC</t>
  </si>
  <si>
    <t>1457967234</t>
  </si>
  <si>
    <t>Allied Chiropractic, PA.</t>
  </si>
  <si>
    <t>1011 Second Street North</t>
  </si>
  <si>
    <t>(320) 251-6422</t>
  </si>
  <si>
    <t>1922296698</t>
  </si>
  <si>
    <t>Back On Track Chiropractic Center PA</t>
  </si>
  <si>
    <t>1246 32nd Ave N</t>
  </si>
  <si>
    <t>(320) 230-8920</t>
  </si>
  <si>
    <t>1124246459</t>
  </si>
  <si>
    <t>Back On Track Rehabilitation Center</t>
  </si>
  <si>
    <t>1780800524</t>
  </si>
  <si>
    <t>Cedar Creek Family Chiropractic PA</t>
  </si>
  <si>
    <t>203 Cooper Avenue North</t>
  </si>
  <si>
    <t>Ste #160</t>
  </si>
  <si>
    <t>(320) 310-4000</t>
  </si>
  <si>
    <t>1780807883</t>
  </si>
  <si>
    <t>Central Minnesota Neurosciences LTD</t>
  </si>
  <si>
    <t>1200 6th Ave N</t>
  </si>
  <si>
    <t>(320) 255-5622</t>
  </si>
  <si>
    <t>1972520773</t>
  </si>
  <si>
    <t>Chiropractic Health and Wellness Center</t>
  </si>
  <si>
    <t>606 25th Ave S</t>
  </si>
  <si>
    <t>(320) 251-4848</t>
  </si>
  <si>
    <t>Murphy Chiropractic INC</t>
  </si>
  <si>
    <t>1073717062</t>
  </si>
  <si>
    <t>3290 42nd Ave South</t>
  </si>
  <si>
    <t>(320) 257-0360</t>
  </si>
  <si>
    <t>Crossroads Chiropractic Clinic</t>
  </si>
  <si>
    <t>4544 County Road 134</t>
  </si>
  <si>
    <t>(320) 252-3711</t>
  </si>
  <si>
    <t>1215080940</t>
  </si>
  <si>
    <t>Dr Erika PLLC</t>
  </si>
  <si>
    <t>2026 Veterans Dr</t>
  </si>
  <si>
    <t>(972) 839-0262</t>
  </si>
  <si>
    <t>1346712312</t>
  </si>
  <si>
    <t>Gerhardson Chiropractic LLC</t>
  </si>
  <si>
    <t>3333 W Division St</t>
  </si>
  <si>
    <t>(320) 224-7069</t>
  </si>
  <si>
    <t>1396259883</t>
  </si>
  <si>
    <t>Granite City Chiropractic</t>
  </si>
  <si>
    <t>1747 7th St S</t>
  </si>
  <si>
    <t>(320) 251-0822</t>
  </si>
  <si>
    <t>Jeffrey M Mies DC INC</t>
  </si>
  <si>
    <t>1013056472</t>
  </si>
  <si>
    <t>Meridian Disc Institute</t>
  </si>
  <si>
    <t>3337 W Saint Germain St</t>
  </si>
  <si>
    <t>Ste #109</t>
  </si>
  <si>
    <t>(320) 202-0577</t>
  </si>
  <si>
    <t>Stadther Chiropractic, LTD.</t>
  </si>
  <si>
    <t>1831144450</t>
  </si>
  <si>
    <t>Michael W. Smith DC. LTD</t>
  </si>
  <si>
    <t>266 33rd Ave S</t>
  </si>
  <si>
    <t>(320) 230-7246</t>
  </si>
  <si>
    <t>1942490545</t>
  </si>
  <si>
    <t>Minser Chiropractic Clinic, PA., INC.</t>
  </si>
  <si>
    <t>203 Park Ave S</t>
  </si>
  <si>
    <t>(320) 253-5650</t>
  </si>
  <si>
    <t>1992783997</t>
  </si>
  <si>
    <t>251 County Road 120</t>
  </si>
  <si>
    <t>(320) 259-5429</t>
  </si>
  <si>
    <t>1821031287</t>
  </si>
  <si>
    <t>1301 33rd St S</t>
  </si>
  <si>
    <t>(320) 240-6955</t>
  </si>
  <si>
    <t>1598778755</t>
  </si>
  <si>
    <t>Pain &amp; Rehabilitation Clinics INC</t>
  </si>
  <si>
    <t>325 33rd Ave N</t>
  </si>
  <si>
    <t>106</t>
  </si>
  <si>
    <t>(612) 584-7410</t>
  </si>
  <si>
    <t>1043673882</t>
  </si>
  <si>
    <t>Specialized Spine Care, INC.</t>
  </si>
  <si>
    <t>1740873405</t>
  </si>
  <si>
    <t>Spot Rehabilitation INC.</t>
  </si>
  <si>
    <t>2835 W Saint Germain St</t>
  </si>
  <si>
    <t>(320) 259-4151</t>
  </si>
  <si>
    <t>1013919448</t>
  </si>
  <si>
    <t>St Cloud Chiropractic</t>
  </si>
  <si>
    <t>437 33rd Ave N</t>
  </si>
  <si>
    <t>(320) 252-5599</t>
  </si>
  <si>
    <t>1447476734</t>
  </si>
  <si>
    <t>St Cloud Hospital Outpatient Rehabilitation - South</t>
  </si>
  <si>
    <t>1679088157</t>
  </si>
  <si>
    <t>3315 Roosevelt Rd</t>
  </si>
  <si>
    <t>Westside Chiropractic Clinic, INC.</t>
  </si>
  <si>
    <t>4142 2nd St S</t>
  </si>
  <si>
    <t>(320) 255-5188</t>
  </si>
  <si>
    <t>1285767525</t>
  </si>
  <si>
    <t>Winters Family Chiropractic, PA</t>
  </si>
  <si>
    <t>4170 Thielman Ln</t>
  </si>
  <si>
    <t>(320) 202-0284</t>
  </si>
  <si>
    <t>1841561537</t>
  </si>
  <si>
    <t>Woodlands Chiropractic PA</t>
  </si>
  <si>
    <t>48 29th Ave N</t>
  </si>
  <si>
    <t>(320) 240-0300</t>
  </si>
  <si>
    <t>1710078407</t>
  </si>
  <si>
    <t>Chiropractic Connection PC</t>
  </si>
  <si>
    <t>709 County Road 75 W</t>
  </si>
  <si>
    <t>(320) 363-4694</t>
  </si>
  <si>
    <t>1952509143</t>
  </si>
  <si>
    <t>Medelberg Family Chiropractic, PA.</t>
  </si>
  <si>
    <t>710 County Road 75</t>
  </si>
  <si>
    <t>(320) 271-1800</t>
  </si>
  <si>
    <t>1366600629</t>
  </si>
  <si>
    <t>Archetype Chiropractic Center</t>
  </si>
  <si>
    <t>71 10th Ave S</t>
  </si>
  <si>
    <t>(320) 259-9099</t>
  </si>
  <si>
    <t>1144498593</t>
  </si>
  <si>
    <t>Atlas Family Chiropractic, INC.</t>
  </si>
  <si>
    <t>110 2nd St S</t>
  </si>
  <si>
    <t>(320) 202-8527</t>
  </si>
  <si>
    <t>1801084694</t>
  </si>
  <si>
    <t>Chiropractic Connection PLLC</t>
  </si>
  <si>
    <t>2103 Frontage Rd N</t>
  </si>
  <si>
    <t>#19</t>
  </si>
  <si>
    <t>(320) 252-2703</t>
  </si>
  <si>
    <t>1063678357</t>
  </si>
  <si>
    <t>Chiropractic Plus PA.</t>
  </si>
  <si>
    <t>217 3rd St NE</t>
  </si>
  <si>
    <t>(888) 995-9669</t>
  </si>
  <si>
    <t>1336417807</t>
  </si>
  <si>
    <t>Complete Chiropractic Clinic INC.</t>
  </si>
  <si>
    <t>304 4th Ave NE</t>
  </si>
  <si>
    <t>(320) 251-0766</t>
  </si>
  <si>
    <t>1073749842</t>
  </si>
  <si>
    <t>Family First Chiropractic</t>
  </si>
  <si>
    <t>79 10th Ave S</t>
  </si>
  <si>
    <t>Jason T Baker Chiropractic, PA.</t>
  </si>
  <si>
    <t>1053639898</t>
  </si>
  <si>
    <t>Imagine Chiropractic</t>
  </si>
  <si>
    <t>750 1st. St. S.</t>
  </si>
  <si>
    <t>(320) 240-6561</t>
  </si>
  <si>
    <t>Braaten Chiropractic LLC</t>
  </si>
  <si>
    <t>1609053396</t>
  </si>
  <si>
    <t>Jennifer Bestick DC, LLC</t>
  </si>
  <si>
    <t>750 1st St S</t>
  </si>
  <si>
    <t>(320) 420-1204</t>
  </si>
  <si>
    <t>1043457500</t>
  </si>
  <si>
    <t>Scott T. Godbersen Chiropratic PLC</t>
  </si>
  <si>
    <t>1245322015</t>
  </si>
  <si>
    <t>Comfort Chiropractic PLLC</t>
  </si>
  <si>
    <t>124 Lake St S</t>
  </si>
  <si>
    <t>Long Prairie</t>
  </si>
  <si>
    <t>56347</t>
  </si>
  <si>
    <t>(320) 732-3383</t>
  </si>
  <si>
    <t>1154719300</t>
  </si>
  <si>
    <t>Hpm of Minnesota PLLC</t>
  </si>
  <si>
    <t>49725 Co Rd 83</t>
  </si>
  <si>
    <t>Staples</t>
  </si>
  <si>
    <t>56479</t>
  </si>
  <si>
    <t>(218) 894-1515</t>
  </si>
  <si>
    <t>1437758471</t>
  </si>
  <si>
    <t>Spandl Chiropractic PC.</t>
  </si>
  <si>
    <t>518 2nd Ave NE</t>
  </si>
  <si>
    <t>(218) 894-1077</t>
  </si>
  <si>
    <t>1730636747</t>
  </si>
  <si>
    <t>Essentia Health Menahga Therapy</t>
  </si>
  <si>
    <t>212 Aspen Ave NE</t>
  </si>
  <si>
    <t>Menahga</t>
  </si>
  <si>
    <t>56464</t>
  </si>
  <si>
    <t>(218) 564-4131</t>
  </si>
  <si>
    <t>1710403639</t>
  </si>
  <si>
    <t>Boline Chiropractic</t>
  </si>
  <si>
    <t>11 Bryant Ave SW</t>
  </si>
  <si>
    <t>(218) 631-3003</t>
  </si>
  <si>
    <t>1144312471</t>
  </si>
  <si>
    <t>Grunst Chiropractic Clinic</t>
  </si>
  <si>
    <t>10 Bryant Ave SE</t>
  </si>
  <si>
    <t>(218) 631-3382</t>
  </si>
  <si>
    <t>1073646121</t>
  </si>
  <si>
    <t>Achieve Therapy</t>
  </si>
  <si>
    <t>829 Lake Ave</t>
  </si>
  <si>
    <t>(218) 844-5340</t>
  </si>
  <si>
    <t>1578733671</t>
  </si>
  <si>
    <t>Chiropractic Health Consultants</t>
  </si>
  <si>
    <t>717 Andrews Ave</t>
  </si>
  <si>
    <t>(952) 484-5225</t>
  </si>
  <si>
    <t>1922123868</t>
  </si>
  <si>
    <t>Community Mri Services, LLC</t>
  </si>
  <si>
    <t>1252 Washington Ave</t>
  </si>
  <si>
    <t>(218) 847-6316</t>
  </si>
  <si>
    <t>1023039278</t>
  </si>
  <si>
    <t>Detroit Lakes Chiropractic, PC</t>
  </si>
  <si>
    <t>213 State St W</t>
  </si>
  <si>
    <t>(218) 847-4366</t>
  </si>
  <si>
    <t>1235793886</t>
  </si>
  <si>
    <t>Johnson Natural Health Care PA</t>
  </si>
  <si>
    <t>1208 Washington Ave</t>
  </si>
  <si>
    <t>(218) 847-2809</t>
  </si>
  <si>
    <t>1316074875</t>
  </si>
  <si>
    <t>Lakeland Chiropractic Clinic</t>
  </si>
  <si>
    <t>119 Graystone Plaza</t>
  </si>
  <si>
    <t>(218) 847-2631</t>
  </si>
  <si>
    <t>Bender Family Chiropractic PLLC</t>
  </si>
  <si>
    <t>1346236627</t>
  </si>
  <si>
    <t>119 Graystone Plz</t>
  </si>
  <si>
    <t>1437145711</t>
  </si>
  <si>
    <t>Matthys Orthopaedic Center</t>
  </si>
  <si>
    <t>(701) 241-9300</t>
  </si>
  <si>
    <t>Gary A Matthys MD PLC</t>
  </si>
  <si>
    <t>1073840492</t>
  </si>
  <si>
    <t>Northland Chiropractic Center PA</t>
  </si>
  <si>
    <t>516 Main Street East</t>
  </si>
  <si>
    <t>(218) 844-5050</t>
  </si>
  <si>
    <t>1821116682</t>
  </si>
  <si>
    <t>Strive Chiropractic</t>
  </si>
  <si>
    <t>1852 Nodaway Drive</t>
  </si>
  <si>
    <t>(218) 844-4848</t>
  </si>
  <si>
    <t>Strive Chiropractic Detroit Lakes LLC</t>
  </si>
  <si>
    <t>1679068407</t>
  </si>
  <si>
    <t>Therapy Services, INC.</t>
  </si>
  <si>
    <t>24238 E Island Lake Rd</t>
  </si>
  <si>
    <t>(218) 847-5006</t>
  </si>
  <si>
    <t>1386794931</t>
  </si>
  <si>
    <t>White Earth Therapy Services</t>
  </si>
  <si>
    <t>25519 State Highway 224</t>
  </si>
  <si>
    <t>Ogema</t>
  </si>
  <si>
    <t>56569</t>
  </si>
  <si>
    <t>(218) 983-4300</t>
  </si>
  <si>
    <t>White Earth Band of Chippewa</t>
  </si>
  <si>
    <t>1396848560</t>
  </si>
  <si>
    <t>Bemidji Explore Chiropractic Incorporated</t>
  </si>
  <si>
    <t>1426 Bemidji Ave N</t>
  </si>
  <si>
    <t>(218) 333-8811</t>
  </si>
  <si>
    <t>1073810552</t>
  </si>
  <si>
    <t>Bemidji Family Chiropractic Center</t>
  </si>
  <si>
    <t>5184 Theater Lane NW</t>
  </si>
  <si>
    <t>(218) 751-8099</t>
  </si>
  <si>
    <t>Vitality Chiropractic PA.</t>
  </si>
  <si>
    <t>1205985710</t>
  </si>
  <si>
    <t>Complete Health PC</t>
  </si>
  <si>
    <t>3315 Bemidji Avenue North</t>
  </si>
  <si>
    <t>(218) 444-2225</t>
  </si>
  <si>
    <t>1063176790</t>
  </si>
  <si>
    <t>Deep Rock Chiropractic PC</t>
  </si>
  <si>
    <t>(218) 751-5910</t>
  </si>
  <si>
    <t>1851051742</t>
  </si>
  <si>
    <t>Dixon Chiropractic PA.</t>
  </si>
  <si>
    <t>140 Paul Bunyan Dr NW</t>
  </si>
  <si>
    <t>1144686247</t>
  </si>
  <si>
    <t>Edlund Chiropractic</t>
  </si>
  <si>
    <t>1922207091</t>
  </si>
  <si>
    <t>Explore Chiropractic</t>
  </si>
  <si>
    <t>223 3rd St NW</t>
  </si>
  <si>
    <t>1538353669</t>
  </si>
  <si>
    <t>Great Western Medical Group PLLC</t>
  </si>
  <si>
    <t>(218) 770-9881</t>
  </si>
  <si>
    <t>1326552944</t>
  </si>
  <si>
    <t>Headwaters Chiropractic Center LLC</t>
  </si>
  <si>
    <t>1821499864</t>
  </si>
  <si>
    <t>Jm Chiropractic LLC</t>
  </si>
  <si>
    <t>705 Washington Ave S</t>
  </si>
  <si>
    <t>(218) 444-2070</t>
  </si>
  <si>
    <t>1639438922</t>
  </si>
  <si>
    <t>Light Mountain Healthworks INC.</t>
  </si>
  <si>
    <t>502 Hidden Trail Ct SW</t>
  </si>
  <si>
    <t>(218) 759-0835</t>
  </si>
  <si>
    <t>1780974998</t>
  </si>
  <si>
    <t>Lukes Chiropractic and Wellness, PLLC.</t>
  </si>
  <si>
    <t>3620 Bemidji Ave N</t>
  </si>
  <si>
    <t>(218) 751-4936</t>
  </si>
  <si>
    <t>1508318221</t>
  </si>
  <si>
    <t>Robert S Johnson Chiropractic LTD</t>
  </si>
  <si>
    <t>(218) 751-5145</t>
  </si>
  <si>
    <t>1336234111</t>
  </si>
  <si>
    <t>Spinal Health Professionals</t>
  </si>
  <si>
    <t>4228 Power Dr NW</t>
  </si>
  <si>
    <t>(218) 444-2117</t>
  </si>
  <si>
    <t>Seth D. Tyberg, DC., PA.</t>
  </si>
  <si>
    <t>1174872212</t>
  </si>
  <si>
    <t>Stember Chiropractic PC</t>
  </si>
  <si>
    <t>1409 Bemidji Ave N</t>
  </si>
  <si>
    <t>(218) 751-9440</t>
  </si>
  <si>
    <t>1457661209</t>
  </si>
  <si>
    <t>Upper Cervical Chiropractic Bemidji</t>
  </si>
  <si>
    <t>1437770864</t>
  </si>
  <si>
    <t>Walker Family Chiropractic PSC.</t>
  </si>
  <si>
    <t>156 Kenwood Cir NE</t>
  </si>
  <si>
    <t>(218) 766-4554</t>
  </si>
  <si>
    <t>1043578560</t>
  </si>
  <si>
    <t>O'reilly Chiropractic</t>
  </si>
  <si>
    <t>80 West Summit Ave</t>
  </si>
  <si>
    <t>(218) 835-2273</t>
  </si>
  <si>
    <t>American Physicians of Chiropractic Science, LTD</t>
  </si>
  <si>
    <t>1992078802</t>
  </si>
  <si>
    <t>Bluestone Oral and Maxillofacial Surgery, PA.</t>
  </si>
  <si>
    <t>1616 Cloquet Ave</t>
  </si>
  <si>
    <t>(218) 879-3761</t>
  </si>
  <si>
    <t>1326290727</t>
  </si>
  <si>
    <t>Lieffring Chiropractic, LTD.</t>
  </si>
  <si>
    <t>1219 14th St</t>
  </si>
  <si>
    <t>(218) 878-0895</t>
  </si>
  <si>
    <t>1164592507</t>
  </si>
  <si>
    <t>Park Avenue Therapies</t>
  </si>
  <si>
    <t>1204 Cloquet Ave</t>
  </si>
  <si>
    <t>(218) 878-0805</t>
  </si>
  <si>
    <t>1437127834</t>
  </si>
  <si>
    <t>Family Chiropractic Care INC.</t>
  </si>
  <si>
    <t>501 Arrowhead Ln</t>
  </si>
  <si>
    <t>(218) 485-4451</t>
  </si>
  <si>
    <t>1154759850</t>
  </si>
  <si>
    <t>111 Arrowhead Lane</t>
  </si>
  <si>
    <t>(218) 485-8688</t>
  </si>
  <si>
    <t>First Choice Therapy</t>
  </si>
  <si>
    <t>6068 E Ottertail Rd NW</t>
  </si>
  <si>
    <t>Walker</t>
  </si>
  <si>
    <t>56484</t>
  </si>
  <si>
    <t>(218) 760-0226</t>
  </si>
  <si>
    <t>1306141882</t>
  </si>
  <si>
    <t>Kaubisch Chiropractic, INC.</t>
  </si>
  <si>
    <t>207 6th St. So,</t>
  </si>
  <si>
    <t>(218) 547-1775</t>
  </si>
  <si>
    <t>1598921751</t>
  </si>
  <si>
    <t>Sanford Health Walker Rehab Services</t>
  </si>
  <si>
    <t>106 5th St South</t>
  </si>
  <si>
    <t>(218) 547-1900</t>
  </si>
  <si>
    <t>1902261456</t>
  </si>
  <si>
    <t>Walker Wellness Chiropractic</t>
  </si>
  <si>
    <t>507 Front Street West</t>
  </si>
  <si>
    <t>(218) 547-0080</t>
  </si>
  <si>
    <t>1538343496</t>
  </si>
  <si>
    <t>Walker Wellness Chiropractic Center, PA</t>
  </si>
  <si>
    <t>215 Garden Street</t>
  </si>
  <si>
    <t>1033421029</t>
  </si>
  <si>
    <t>Bagley Chiropractic Clinic, PA.</t>
  </si>
  <si>
    <t>5 Clearwater Ave. NW</t>
  </si>
  <si>
    <t>(218) 694-6253</t>
  </si>
  <si>
    <t>1154408987</t>
  </si>
  <si>
    <t>Caring Chiropractic, PA.</t>
  </si>
  <si>
    <t>101 W Highway 61</t>
  </si>
  <si>
    <t>Grand Marais</t>
  </si>
  <si>
    <t>55604</t>
  </si>
  <si>
    <t>(218) 244-5939</t>
  </si>
  <si>
    <t>1548229099</t>
  </si>
  <si>
    <t>Sawtooth Chiropractic PC</t>
  </si>
  <si>
    <t>501 W 5th St</t>
  </si>
  <si>
    <t>(218) 387-2383</t>
  </si>
  <si>
    <t>1700026762</t>
  </si>
  <si>
    <t>Axness Chiropractic Massage and Wellness</t>
  </si>
  <si>
    <t>7350 Clearwater Rd</t>
  </si>
  <si>
    <t>(218) 454-5050</t>
  </si>
  <si>
    <t>Axness Chiropractic PLLC</t>
  </si>
  <si>
    <t>1013273416</t>
  </si>
  <si>
    <t>Back To Basics Chiropractic</t>
  </si>
  <si>
    <t>14213 Golf Course Rd</t>
  </si>
  <si>
    <t>Aaron Hokanson, DC., PA.</t>
  </si>
  <si>
    <t>1437323102</t>
  </si>
  <si>
    <t>Baxter Chiropractic PA</t>
  </si>
  <si>
    <t>13782 Bluestem Ct</t>
  </si>
  <si>
    <t>(218) 454-0990</t>
  </si>
  <si>
    <t>1528263290</t>
  </si>
  <si>
    <t>Brainerd Lakes Wellness, PC</t>
  </si>
  <si>
    <t>7656 Design Rd</t>
  </si>
  <si>
    <t>(218) 838-3335</t>
  </si>
  <si>
    <t>1316260417</t>
  </si>
  <si>
    <t>Crow Wing Chiropractic PC</t>
  </si>
  <si>
    <t>15229 Edgewood Dr</t>
  </si>
  <si>
    <t>(218) 205-1908</t>
  </si>
  <si>
    <t>1154741288</t>
  </si>
  <si>
    <t>7217 Excelsior Rd</t>
  </si>
  <si>
    <t>(218) 454-1390</t>
  </si>
  <si>
    <t>Greatlakes Injury Center</t>
  </si>
  <si>
    <t>(218) 330-7873</t>
  </si>
  <si>
    <t>1255801353</t>
  </si>
  <si>
    <t>It Matters Neurologic Rehabilitation</t>
  </si>
  <si>
    <t>5835 Wedgewood Rd</t>
  </si>
  <si>
    <t>(218) 821-1619</t>
  </si>
  <si>
    <t>1770101289</t>
  </si>
  <si>
    <t>Northern Family Chiropractic, PA</t>
  </si>
  <si>
    <t>13968 Cypress Dr</t>
  </si>
  <si>
    <t>Ste 1B</t>
  </si>
  <si>
    <t>(218) 822-3855</t>
  </si>
  <si>
    <t>1942400940</t>
  </si>
  <si>
    <t>Sazama Family Chiropractic &amp; Wellness PA</t>
  </si>
  <si>
    <t>7111 Forthun Rd</t>
  </si>
  <si>
    <t>(218) 454-4545</t>
  </si>
  <si>
    <t>1356631329</t>
  </si>
  <si>
    <t>14884 Kirkwood Drive</t>
  </si>
  <si>
    <t>1033103742</t>
  </si>
  <si>
    <t>The Amazing Journey, INC</t>
  </si>
  <si>
    <t>7658 Design Rd</t>
  </si>
  <si>
    <t>(218) 454-4600</t>
  </si>
  <si>
    <t>1457753360</t>
  </si>
  <si>
    <t>Blue Sky Therapy, LLC</t>
  </si>
  <si>
    <t>411 Front St</t>
  </si>
  <si>
    <t>(405) 642-9469</t>
  </si>
  <si>
    <t>1629474713</t>
  </si>
  <si>
    <t>Dean G Renneke, DC, PA</t>
  </si>
  <si>
    <t>623 Madison St</t>
  </si>
  <si>
    <t>(218) 829-5380</t>
  </si>
  <si>
    <t>1619921210</t>
  </si>
  <si>
    <t>Functional Movement Therapies</t>
  </si>
  <si>
    <t>318 W Laurel St</t>
  </si>
  <si>
    <t>(218) 454-5483</t>
  </si>
  <si>
    <t>1679065346</t>
  </si>
  <si>
    <t>Hedlund Chiropractic, PA.</t>
  </si>
  <si>
    <t>17025 Commercial Park Dr</t>
  </si>
  <si>
    <t>Unit 8</t>
  </si>
  <si>
    <t>(218) 824-3737</t>
  </si>
  <si>
    <t>1578668786</t>
  </si>
  <si>
    <t>Inmotion Physical Therapy and Fitness</t>
  </si>
  <si>
    <t>15860 Audubon Way</t>
  </si>
  <si>
    <t># 101</t>
  </si>
  <si>
    <t>(218) 454-0088</t>
  </si>
  <si>
    <t>Inmotion Physical Therapy LLC</t>
  </si>
  <si>
    <t>1114169257</t>
  </si>
  <si>
    <t>1927 S 6th St</t>
  </si>
  <si>
    <t>(218) 855-0806</t>
  </si>
  <si>
    <t>1912091166</t>
  </si>
  <si>
    <t>Live Well Center</t>
  </si>
  <si>
    <t>315 E River Rd</t>
  </si>
  <si>
    <t>1477925998</t>
  </si>
  <si>
    <t>Live Well Chiropractic</t>
  </si>
  <si>
    <t>1942620570</t>
  </si>
  <si>
    <t>Northern Orthopedics LTD</t>
  </si>
  <si>
    <t>2014 S 6th St</t>
  </si>
  <si>
    <t>(218) 829-7812</t>
  </si>
  <si>
    <t>1538206982</t>
  </si>
  <si>
    <t>Rainbow of Health Physical Therapy, INC.</t>
  </si>
  <si>
    <t>224 N 5th St</t>
  </si>
  <si>
    <t>(218) 829-4231</t>
  </si>
  <si>
    <t>1477650331</t>
  </si>
  <si>
    <t>Select Life Chiropractic, INC.</t>
  </si>
  <si>
    <t>429 8th Ave NE</t>
  </si>
  <si>
    <t>(218) 829-8200</t>
  </si>
  <si>
    <t>1386745420</t>
  </si>
  <si>
    <t>Telic Family Chiropractic</t>
  </si>
  <si>
    <t>19157 Soder Road</t>
  </si>
  <si>
    <t>(218) 828-4166</t>
  </si>
  <si>
    <t>1184738866</t>
  </si>
  <si>
    <t>The Renneke Chiropractic Clinic PA</t>
  </si>
  <si>
    <t>623 Madison St.</t>
  </si>
  <si>
    <t>1245638584</t>
  </si>
  <si>
    <t>Vibe Chiro</t>
  </si>
  <si>
    <t>704 West Washington Street</t>
  </si>
  <si>
    <t>2B</t>
  </si>
  <si>
    <t>(218) 454-2128</t>
  </si>
  <si>
    <t>1891399275</t>
  </si>
  <si>
    <t>704 W Washington St</t>
  </si>
  <si>
    <t>Cuyuna Family Chiropractic</t>
  </si>
  <si>
    <t>5 W Main St</t>
  </si>
  <si>
    <t>Crosby</t>
  </si>
  <si>
    <t>56441</t>
  </si>
  <si>
    <t>(218) 546-7333</t>
  </si>
  <si>
    <t>1134397094</t>
  </si>
  <si>
    <t>Northwoods Chiropractic P. A.</t>
  </si>
  <si>
    <t>13743 E Shore Rd</t>
  </si>
  <si>
    <t>Crosslake</t>
  </si>
  <si>
    <t>56442</t>
  </si>
  <si>
    <t>(218) 692-1616</t>
  </si>
  <si>
    <t>1477610194</t>
  </si>
  <si>
    <t>Wellnessone of Crosslake</t>
  </si>
  <si>
    <t>35272 County Road 3</t>
  </si>
  <si>
    <t>(218) 692-3700</t>
  </si>
  <si>
    <t>1396795092</t>
  </si>
  <si>
    <t>Northern Hope Better Balance</t>
  </si>
  <si>
    <t>25503 Main St</t>
  </si>
  <si>
    <t>Nisswa</t>
  </si>
  <si>
    <t>56468</t>
  </si>
  <si>
    <t>(218) 232-3178</t>
  </si>
  <si>
    <t>1932684933</t>
  </si>
  <si>
    <t>Northern Hope Functional Neurology and Chiropractic</t>
  </si>
  <si>
    <t>(605) 670-2898</t>
  </si>
  <si>
    <t>1396221966</t>
  </si>
  <si>
    <t>Wellnessone of Nisswa</t>
  </si>
  <si>
    <t>5482 County Rd. 18</t>
  </si>
  <si>
    <t>(218) 963-3311</t>
  </si>
  <si>
    <t>1578646360</t>
  </si>
  <si>
    <t>5384 Country Care Ln</t>
  </si>
  <si>
    <t>(218) 568-4673</t>
  </si>
  <si>
    <t>1992947121</t>
  </si>
  <si>
    <t>Lelwica Chiropractic</t>
  </si>
  <si>
    <t>31108 Government Dr</t>
  </si>
  <si>
    <t>(218) 568-5648</t>
  </si>
  <si>
    <t>1780851030</t>
  </si>
  <si>
    <t>Pequot Lakes Chiropractic and Sports Injury Center PA</t>
  </si>
  <si>
    <t>31095 Bergquist Drive</t>
  </si>
  <si>
    <t>(218) 568-7767</t>
  </si>
  <si>
    <t>1376602656</t>
  </si>
  <si>
    <t>Pequot Lakes Chiropractic PA</t>
  </si>
  <si>
    <t>31095 Berquist Dr</t>
  </si>
  <si>
    <t>1417540774</t>
  </si>
  <si>
    <t>Pequot Lakes Physical Therapy Services, INC</t>
  </si>
  <si>
    <t>31170 Goverment Dr</t>
  </si>
  <si>
    <t>(218) 568-5666</t>
  </si>
  <si>
    <t>1467589101</t>
  </si>
  <si>
    <t>Park Rapids Chiropractic, LLC</t>
  </si>
  <si>
    <t>207 Pleasant Ave S</t>
  </si>
  <si>
    <t>(218) 732-5191</t>
  </si>
  <si>
    <t>1245583871</t>
  </si>
  <si>
    <t>Park Rapids Physical Therapy and Rehabilitation Center INC</t>
  </si>
  <si>
    <t>200 Main Ave S</t>
  </si>
  <si>
    <t>(218) 732-0868</t>
  </si>
  <si>
    <t>1285706549</t>
  </si>
  <si>
    <t>Pinoniemi Chiropractic</t>
  </si>
  <si>
    <t>17261 State Highway 34</t>
  </si>
  <si>
    <t>(218) 237-0066</t>
  </si>
  <si>
    <t>1700077435</t>
  </si>
  <si>
    <t>Smart Chiropractic Center</t>
  </si>
  <si>
    <t>708 Bridge St</t>
  </si>
  <si>
    <t>(218) 732-7261</t>
  </si>
  <si>
    <t>1174796288</t>
  </si>
  <si>
    <t>Newman Chiropractic PC</t>
  </si>
  <si>
    <t>10 W Highway 2</t>
  </si>
  <si>
    <t>Cohasset</t>
  </si>
  <si>
    <t>55721</t>
  </si>
  <si>
    <t>(218) 820-7936</t>
  </si>
  <si>
    <t>1902016710</t>
  </si>
  <si>
    <t>Alans Physical Therapy of Grand Rapids</t>
  </si>
  <si>
    <t>111 Golf Course Rd</t>
  </si>
  <si>
    <t>(218) 999-5554</t>
  </si>
  <si>
    <t>1811313612</t>
  </si>
  <si>
    <t>Davis Chiropractic Health &amp; Wellness, PA</t>
  </si>
  <si>
    <t>204 NW 5th St</t>
  </si>
  <si>
    <t>(218) 326-1804</t>
  </si>
  <si>
    <t>1134315450</t>
  </si>
  <si>
    <t>Denver Chiropractic</t>
  </si>
  <si>
    <t>107 SE 10th St</t>
  </si>
  <si>
    <t>(218) 326-0071</t>
  </si>
  <si>
    <t>Denver Chiropractic PA</t>
  </si>
  <si>
    <t>1558577932</t>
  </si>
  <si>
    <t>Grand Rapids Chiropractic</t>
  </si>
  <si>
    <t>2610 S Highway 169</t>
  </si>
  <si>
    <t>(218) 326-1030</t>
  </si>
  <si>
    <t>1013138346</t>
  </si>
  <si>
    <t>Grand Rapids Chiropractic, PLLC</t>
  </si>
  <si>
    <t>1415 E US Highway 169</t>
  </si>
  <si>
    <t>1639456197</t>
  </si>
  <si>
    <t>Gunnerson Chiropractic INC.</t>
  </si>
  <si>
    <t>1325 NW 4th St</t>
  </si>
  <si>
    <t>(218) 326-4022</t>
  </si>
  <si>
    <t>1316038680</t>
  </si>
  <si>
    <t>Lighthouse Chiropractic Cllinic, PLLC</t>
  </si>
  <si>
    <t>2412 NE. 27th Avenue</t>
  </si>
  <si>
    <t>(218) 326-1104</t>
  </si>
  <si>
    <t>1952744831</t>
  </si>
  <si>
    <t>Mcbride Chiropractic PA</t>
  </si>
  <si>
    <t>1751 SE 2nd Ave</t>
  </si>
  <si>
    <t>(218) 326-2828</t>
  </si>
  <si>
    <t>1457491862</t>
  </si>
  <si>
    <t>Northern Pines Orthopaedic Center, LLC</t>
  </si>
  <si>
    <t>(218) 326-6677</t>
  </si>
  <si>
    <t>1124427414</t>
  </si>
  <si>
    <t>Northern Pines Orthopaedic Clinic, PA.</t>
  </si>
  <si>
    <t>(218) 326-8749</t>
  </si>
  <si>
    <t>1508846619</t>
  </si>
  <si>
    <t>Patti Kampa Physical Therapy</t>
  </si>
  <si>
    <t>15 NE 5th St</t>
  </si>
  <si>
    <t>(218) 326-2200</t>
  </si>
  <si>
    <t>1508130147</t>
  </si>
  <si>
    <t>Performance Chiropractic and Sports Clinic</t>
  </si>
  <si>
    <t>(218) 326-0604</t>
  </si>
  <si>
    <t>1487745477</t>
  </si>
  <si>
    <t>Pokegama Physical Therapy Consultants, LLC</t>
  </si>
  <si>
    <t>19259 S Gama Beach Rd</t>
  </si>
  <si>
    <t>(218) 259-9801</t>
  </si>
  <si>
    <t>1497947600</t>
  </si>
  <si>
    <t>Pokegama Physical Therapy, LLC</t>
  </si>
  <si>
    <t>1487980488</t>
  </si>
  <si>
    <t>Radtke Physical Therapy Limited Partnership</t>
  </si>
  <si>
    <t>1542 Golf Course Rd</t>
  </si>
  <si>
    <t>(218) 326-3300</t>
  </si>
  <si>
    <t>1235176108</t>
  </si>
  <si>
    <t>(218) 327-7257</t>
  </si>
  <si>
    <t>1831268978</t>
  </si>
  <si>
    <t>Radtke Physical Therapy LTD. Partnership</t>
  </si>
  <si>
    <t>9 Willow Ln</t>
  </si>
  <si>
    <t>1083610091</t>
  </si>
  <si>
    <t>Sonder Chiropractic, PA.</t>
  </si>
  <si>
    <t>423 NE 4th St</t>
  </si>
  <si>
    <t>(218) 326-8283</t>
  </si>
  <si>
    <t>1225097736</t>
  </si>
  <si>
    <t>Haven Physical Therapy, INC.</t>
  </si>
  <si>
    <t>832 1st St</t>
  </si>
  <si>
    <t>Nashwauk</t>
  </si>
  <si>
    <t>55769</t>
  </si>
  <si>
    <t>(218) 885-1282</t>
  </si>
  <si>
    <t>1669710737</t>
  </si>
  <si>
    <t>Nashwauk Chiropractic PC</t>
  </si>
  <si>
    <t>113 First Street</t>
  </si>
  <si>
    <t>(218) 885-2070</t>
  </si>
  <si>
    <t>1033267968</t>
  </si>
  <si>
    <t>1063502722</t>
  </si>
  <si>
    <t>Chiropractic Up North, INC.</t>
  </si>
  <si>
    <t>2205 2nd Ave. West</t>
  </si>
  <si>
    <t>Int'l. Falls</t>
  </si>
  <si>
    <t>56649</t>
  </si>
  <si>
    <t>(218) 283-9000</t>
  </si>
  <si>
    <t>1306874425</t>
  </si>
  <si>
    <t>Align Chiropractic &amp; Wellness Center, PLLC</t>
  </si>
  <si>
    <t>1322 3rd St</t>
  </si>
  <si>
    <t>International Falls</t>
  </si>
  <si>
    <t>(218) 324-2219</t>
  </si>
  <si>
    <t>1770199226</t>
  </si>
  <si>
    <t>Falls Advanced Chiropractic Center</t>
  </si>
  <si>
    <t>1322 Third Street</t>
  </si>
  <si>
    <t>(218) 283-2243</t>
  </si>
  <si>
    <t>1679668933</t>
  </si>
  <si>
    <t>Falls Chiropractic Clinic, LTD</t>
  </si>
  <si>
    <t>440 4th St</t>
  </si>
  <si>
    <t>(218) 285-7428</t>
  </si>
  <si>
    <t>1295831832</t>
  </si>
  <si>
    <t>Rainy Lake Chiropractic Clinic, PA.</t>
  </si>
  <si>
    <t>501 3rd St</t>
  </si>
  <si>
    <t>(218) 283-2192</t>
  </si>
  <si>
    <t>1851478242</t>
  </si>
  <si>
    <t>Family Chiropractic Center of Int'l Falls, MN LTD.</t>
  </si>
  <si>
    <t>409 4th St</t>
  </si>
  <si>
    <t>Intl Falls</t>
  </si>
  <si>
    <t>(218) 283-9805</t>
  </si>
  <si>
    <t>1801945985</t>
  </si>
  <si>
    <t>Bodies In Balance INC.</t>
  </si>
  <si>
    <t>1313 Fairgrounds Rd</t>
  </si>
  <si>
    <t>Two Harbors</t>
  </si>
  <si>
    <t>55616</t>
  </si>
  <si>
    <t>(218) 834-2586</t>
  </si>
  <si>
    <t>Bodies In Balance of Two Harbors, INC.</t>
  </si>
  <si>
    <t>1700082484</t>
  </si>
  <si>
    <t>John W. Pepelnjak Chiropractic Clinic, INC.</t>
  </si>
  <si>
    <t>408 17th Ave</t>
  </si>
  <si>
    <t>(218) 834-3053</t>
  </si>
  <si>
    <t>1578732319</t>
  </si>
  <si>
    <t>Life Compass Chiropractic, S.c.</t>
  </si>
  <si>
    <t>115 Waterfront Dr</t>
  </si>
  <si>
    <t>(218) 290-0379</t>
  </si>
  <si>
    <t>1447494174</t>
  </si>
  <si>
    <t>Watersedge Health Center</t>
  </si>
  <si>
    <t>(218) 834-0888</t>
  </si>
  <si>
    <t>1366629750</t>
  </si>
  <si>
    <t>Giants Country Physical Therapy</t>
  </si>
  <si>
    <t>15 E 1st Ave N</t>
  </si>
  <si>
    <t>(218) 229-2300</t>
  </si>
  <si>
    <t>Holly Marie Gross</t>
  </si>
  <si>
    <t>1972729176</t>
  </si>
  <si>
    <t>Horoshak Chiropractic</t>
  </si>
  <si>
    <t>19 E Vermilion Dr</t>
  </si>
  <si>
    <t>PO 395</t>
  </si>
  <si>
    <t>55723</t>
  </si>
  <si>
    <t>(218) 666-5104</t>
  </si>
  <si>
    <t>Cook Chiropractic Center LTD.</t>
  </si>
  <si>
    <t>1164514493</t>
  </si>
  <si>
    <t>True Care Medical Therapy Center INC</t>
  </si>
  <si>
    <t>221 Highway 53</t>
  </si>
  <si>
    <t>(218) 666-2697</t>
  </si>
  <si>
    <t>1659508182</t>
  </si>
  <si>
    <t>Associated Chiropractic Physicians/ Miller Hill</t>
  </si>
  <si>
    <t>1301 Miller Trunk Hwy</t>
  </si>
  <si>
    <t>Chiropractic Associates of Northern Minnesota, LTD.</t>
  </si>
  <si>
    <t>1588842009</t>
  </si>
  <si>
    <t>Audette Chiropractic Clinic PA.</t>
  </si>
  <si>
    <t>438 N 57th Ave W</t>
  </si>
  <si>
    <t>(218) 624-5759</t>
  </si>
  <si>
    <t>1831250810</t>
  </si>
  <si>
    <t>Bolen Chiropractic, PA</t>
  </si>
  <si>
    <t>2730 Piedmont Ave</t>
  </si>
  <si>
    <t>(218) 728-3630</t>
  </si>
  <si>
    <t>1215127808</t>
  </si>
  <si>
    <t>Chester Creek Chiropractic</t>
  </si>
  <si>
    <t>1324 E 4th St</t>
  </si>
  <si>
    <t>(262) 909-8771</t>
  </si>
  <si>
    <t>1578113973</t>
  </si>
  <si>
    <t>Constance Jacoby DC.</t>
  </si>
  <si>
    <t>32 E 1st St</t>
  </si>
  <si>
    <t>(218) 940-4342</t>
  </si>
  <si>
    <t>Jacoby Chiropractic LLC</t>
  </si>
  <si>
    <t>1730351016</t>
  </si>
  <si>
    <t>Cooley Chiropractic Clinic, INC.</t>
  </si>
  <si>
    <t>5722 Homestead Rd</t>
  </si>
  <si>
    <t>(218) 525-3630</t>
  </si>
  <si>
    <t>1912121708</t>
  </si>
  <si>
    <t>Dr Angela Staubs DC, LLC</t>
  </si>
  <si>
    <t>1003 E. Central Entrance</t>
  </si>
  <si>
    <t>(218) 390-5113</t>
  </si>
  <si>
    <t>1639605017</t>
  </si>
  <si>
    <t>Duluth Natural Medicine &amp; Chiropractic, PA</t>
  </si>
  <si>
    <t>1731 London Rd</t>
  </si>
  <si>
    <t>(218) 724-4525</t>
  </si>
  <si>
    <t>1578700225</t>
  </si>
  <si>
    <t>Fisher Chiropractic Clinic LTD</t>
  </si>
  <si>
    <t>1118 E Superior St</t>
  </si>
  <si>
    <t>(218) 728-3639</t>
  </si>
  <si>
    <t>1265517809</t>
  </si>
  <si>
    <t>In Motion Therapy, INC</t>
  </si>
  <si>
    <t>1972861417</t>
  </si>
  <si>
    <t>In Motion Therapy, LLC</t>
  </si>
  <si>
    <t>2711 W Superior St</t>
  </si>
  <si>
    <t>1578776936</t>
  </si>
  <si>
    <t>Institute For Whole Health</t>
  </si>
  <si>
    <t>1525 London Rd</t>
  </si>
  <si>
    <t>(218) 722-4845</t>
  </si>
  <si>
    <t>Minnesota Institute of Wellness</t>
  </si>
  <si>
    <t>1306043997</t>
  </si>
  <si>
    <t>Integrated Physical Therapy,inc</t>
  </si>
  <si>
    <t>324 W Superior St</t>
  </si>
  <si>
    <t>Ste 428</t>
  </si>
  <si>
    <t>(218) 722-3800</t>
  </si>
  <si>
    <t>1346284460</t>
  </si>
  <si>
    <t>Lake Superior Physical Therapy INC</t>
  </si>
  <si>
    <t>215 N Central Ave</t>
  </si>
  <si>
    <t>14B</t>
  </si>
  <si>
    <t>(218) 625-6300</t>
  </si>
  <si>
    <t>1164429163</t>
  </si>
  <si>
    <t>Lukovsky Chiropractic Clinic</t>
  </si>
  <si>
    <t>5602 Grand Ave</t>
  </si>
  <si>
    <t>(218) 624-5751</t>
  </si>
  <si>
    <t>P.l. Lukovsky Chiropractic Clinic PA.</t>
  </si>
  <si>
    <t>1922288612</t>
  </si>
  <si>
    <t>Miller Hill Chiropractic, PA</t>
  </si>
  <si>
    <t>1705 Miller Trunk Hwy</t>
  </si>
  <si>
    <t>(218) 740-2777</t>
  </si>
  <si>
    <t>1013975135</t>
  </si>
  <si>
    <t>Northern Lakes Chiropractic LLC</t>
  </si>
  <si>
    <t>2340 Mountain Shadow Dr</t>
  </si>
  <si>
    <t>(218) 208-4627</t>
  </si>
  <si>
    <t>1396371571</t>
  </si>
  <si>
    <t>925 East Superior Street</t>
  </si>
  <si>
    <t>(218) 728-1100</t>
  </si>
  <si>
    <t>1508861451</t>
  </si>
  <si>
    <t>Outlook Therapy LLC</t>
  </si>
  <si>
    <t>5186 Ugstad Rd</t>
  </si>
  <si>
    <t>(218) 409-2587</t>
  </si>
  <si>
    <t>1891304317</t>
  </si>
  <si>
    <t>Pathways To Achievement INC</t>
  </si>
  <si>
    <t>2016 W Superior St</t>
  </si>
  <si>
    <t>(187) 214-7322</t>
  </si>
  <si>
    <t>1528304136</t>
  </si>
  <si>
    <t>Pathways To Achievement Therapy</t>
  </si>
  <si>
    <t>114 S 20th Ave W</t>
  </si>
  <si>
    <t>(218) 721-4732</t>
  </si>
  <si>
    <t>Pathways To Achievement INC.</t>
  </si>
  <si>
    <t>1821364795</t>
  </si>
  <si>
    <t>Pike Lake Chiropractic Office</t>
  </si>
  <si>
    <t>5663 Miller Trunk Hwy</t>
  </si>
  <si>
    <t>(218) 729-8936</t>
  </si>
  <si>
    <t>Jeff Hady INC.</t>
  </si>
  <si>
    <t>1588837884</t>
  </si>
  <si>
    <t>Pure Chiropractic, PA</t>
  </si>
  <si>
    <t>404 W Superior St</t>
  </si>
  <si>
    <t>Ste 225 C</t>
  </si>
  <si>
    <t>(218) 740-4321</t>
  </si>
  <si>
    <t>1528258068</t>
  </si>
  <si>
    <t>Robert J Torgrimson PA</t>
  </si>
  <si>
    <t>1033262845</t>
  </si>
  <si>
    <t>St Lukes Center For Diagnostic Imaging</t>
  </si>
  <si>
    <t>930 E 2nd St</t>
  </si>
  <si>
    <t>(218) 722-5390</t>
  </si>
  <si>
    <t>Northern Imaging of Duluth LLC</t>
  </si>
  <si>
    <t>1558338996</t>
  </si>
  <si>
    <t>Tanner PT, LLC</t>
  </si>
  <si>
    <t>31 W Superior St</t>
  </si>
  <si>
    <t>Ste 502</t>
  </si>
  <si>
    <t>(218) 730-7920</t>
  </si>
  <si>
    <t>1013275825</t>
  </si>
  <si>
    <t>Timothy T. Zakrajsek</t>
  </si>
  <si>
    <t>1410 Kenwood Ave</t>
  </si>
  <si>
    <t>(218) 724-6008</t>
  </si>
  <si>
    <t>Kenwod Chiropractic Office</t>
  </si>
  <si>
    <t>1174748974</t>
  </si>
  <si>
    <t>Turning Point Therapy</t>
  </si>
  <si>
    <t>1420 London Rd</t>
  </si>
  <si>
    <t>(218) 728-3774</t>
  </si>
  <si>
    <t>Northern Arm &amp; Hand Center, INC.</t>
  </si>
  <si>
    <t>1639274137</t>
  </si>
  <si>
    <t>Umd Sports Medicine</t>
  </si>
  <si>
    <t>1216 Ordean Ct</t>
  </si>
  <si>
    <t>(218) 726-8709</t>
  </si>
  <si>
    <t>Univeristy of Minnesota Duluth</t>
  </si>
  <si>
    <t>1497157168</t>
  </si>
  <si>
    <t>1861914541</t>
  </si>
  <si>
    <t>Wilderness Wellness Chiropractic LLC</t>
  </si>
  <si>
    <t>224 E Central Entrance</t>
  </si>
  <si>
    <t>(218) 481-7330</t>
  </si>
  <si>
    <t>1649778937</t>
  </si>
  <si>
    <t>Wolverine Anesthesia, LLC</t>
  </si>
  <si>
    <t>(218) 728-8548</t>
  </si>
  <si>
    <t>1285688788</t>
  </si>
  <si>
    <t>Ely Chiropractic Clinic</t>
  </si>
  <si>
    <t>247 E Chapman St</t>
  </si>
  <si>
    <t>Ely</t>
  </si>
  <si>
    <t>55731</t>
  </si>
  <si>
    <t>(218) 365-4111</t>
  </si>
  <si>
    <t>1558434621</t>
  </si>
  <si>
    <t>Phelps Chiropractic PA.</t>
  </si>
  <si>
    <t>22 E Chapman St</t>
  </si>
  <si>
    <t>(218) 365-4044</t>
  </si>
  <si>
    <t>1669611521</t>
  </si>
  <si>
    <t>Roth Chiropractic Clinic LTD</t>
  </si>
  <si>
    <t>39 E Sheridan St</t>
  </si>
  <si>
    <t>(218) 365-5770</t>
  </si>
  <si>
    <t>1558631945</t>
  </si>
  <si>
    <t>Advantage Therapy</t>
  </si>
  <si>
    <t>(218) 780-4554</t>
  </si>
  <si>
    <t>1700301884</t>
  </si>
  <si>
    <t>Eveleth Chiropractic Clinic</t>
  </si>
  <si>
    <t>227 Grant Avenue</t>
  </si>
  <si>
    <t>(218) 744-1910</t>
  </si>
  <si>
    <t>P.m.m. Enterprises INC.</t>
  </si>
  <si>
    <t>1942438692</t>
  </si>
  <si>
    <t>Comprehensive Anesthesia and Managed Pain Systems, INC.</t>
  </si>
  <si>
    <t>750 E 34th St</t>
  </si>
  <si>
    <t>(218) 312-3002</t>
  </si>
  <si>
    <t>1255614277</t>
  </si>
  <si>
    <t>Hibbing Imaging Center</t>
  </si>
  <si>
    <t>1101 E 37th St</t>
  </si>
  <si>
    <t>(218) 312-1200</t>
  </si>
  <si>
    <t>Radiological Associates of Duluth</t>
  </si>
  <si>
    <t>1699956391</t>
  </si>
  <si>
    <t>Medical Imaging North PA</t>
  </si>
  <si>
    <t>2900 E Beltline</t>
  </si>
  <si>
    <t>1043338171</t>
  </si>
  <si>
    <t>Ortonville Chiropractic Clinic</t>
  </si>
  <si>
    <t>(218) 362-6683</t>
  </si>
  <si>
    <t>Bosh INC</t>
  </si>
  <si>
    <t>1578683710</t>
  </si>
  <si>
    <t>Peak Physical Therapy, INC.</t>
  </si>
  <si>
    <t>3775 Orourke Rd</t>
  </si>
  <si>
    <t>(218) 969-1058</t>
  </si>
  <si>
    <t>1598158917</t>
  </si>
  <si>
    <t>Premier Physical Healthcare PLLC</t>
  </si>
  <si>
    <t>115 W Howard St</t>
  </si>
  <si>
    <t>(218) 262-3315</t>
  </si>
  <si>
    <t>1811267214</t>
  </si>
  <si>
    <t>Range Spine Center, PLLC</t>
  </si>
  <si>
    <t>4104 9th Ave W</t>
  </si>
  <si>
    <t>(218) 969-4928</t>
  </si>
  <si>
    <t>1720338676</t>
  </si>
  <si>
    <t>Value Medical Imaging</t>
  </si>
  <si>
    <t>(855) 748-4200</t>
  </si>
  <si>
    <t>1699140129</t>
  </si>
  <si>
    <t>Vechell-Michaels Chiropractic Clinic</t>
  </si>
  <si>
    <t>1467662759</t>
  </si>
  <si>
    <t>Chaffee Chiropractic PA</t>
  </si>
  <si>
    <t>201 6th St S</t>
  </si>
  <si>
    <t>(218) 749-0899</t>
  </si>
  <si>
    <t>1114115029</t>
  </si>
  <si>
    <t>Luoma Chiropractic Center PA.</t>
  </si>
  <si>
    <t>310 S 2nd Ave</t>
  </si>
  <si>
    <t>(218) 741-3402</t>
  </si>
  <si>
    <t>1649435686</t>
  </si>
  <si>
    <t>Northland Chiropractic</t>
  </si>
  <si>
    <t>603 8th St N</t>
  </si>
  <si>
    <t>(218) 741-1888</t>
  </si>
  <si>
    <t>Angela R. Renner, DC., PA.</t>
  </si>
  <si>
    <t>1972540243</t>
  </si>
  <si>
    <t>Okland Chiropractic</t>
  </si>
  <si>
    <t>102 1st St N</t>
  </si>
  <si>
    <t>(218) 749-5436</t>
  </si>
  <si>
    <t>B C Okland PC</t>
  </si>
  <si>
    <t>1932240413</t>
  </si>
  <si>
    <t>Tlc Chiropractic, PLC</t>
  </si>
  <si>
    <t>1295122760</t>
  </si>
  <si>
    <t>Family Chiropractic of Warren INC</t>
  </si>
  <si>
    <t>603 N Main Street</t>
  </si>
  <si>
    <t>Warren</t>
  </si>
  <si>
    <t>56762</t>
  </si>
  <si>
    <t>(218) 745-6655</t>
  </si>
  <si>
    <t>1598875171</t>
  </si>
  <si>
    <t>Ada Chiropractic Clinic, PA.</t>
  </si>
  <si>
    <t>406 E Main St</t>
  </si>
  <si>
    <t>Ada</t>
  </si>
  <si>
    <t>56510</t>
  </si>
  <si>
    <t>(218) 784-2330</t>
  </si>
  <si>
    <t>1467818187</t>
  </si>
  <si>
    <t>Health Quest Family Chiropractic, LLC</t>
  </si>
  <si>
    <t>213 Labree Ave N</t>
  </si>
  <si>
    <t>(701) 212-3294</t>
  </si>
  <si>
    <t>1265702690</t>
  </si>
  <si>
    <t>North Winds Chiropractic</t>
  </si>
  <si>
    <t>1544 Hwy 59 SE</t>
  </si>
  <si>
    <t>(218) 681-4574</t>
  </si>
  <si>
    <t>1154356665</t>
  </si>
  <si>
    <t>True North Chiropractic</t>
  </si>
  <si>
    <t>205 Brooks Ave N</t>
  </si>
  <si>
    <t>(218) 689-5001</t>
  </si>
  <si>
    <t>1134679939</t>
  </si>
  <si>
    <t>Active Health Family Chiropractic</t>
  </si>
  <si>
    <t>116 4th Ave N</t>
  </si>
  <si>
    <t>(218) 470-2020</t>
  </si>
  <si>
    <t>Active Health Chiropractic</t>
  </si>
  <si>
    <t>1578867727</t>
  </si>
  <si>
    <t>Biermaier Chiropractic Clinic PA.</t>
  </si>
  <si>
    <t>1942327549</t>
  </si>
  <si>
    <t>1003145376</t>
  </si>
  <si>
    <t>Ray Chiropractic PA</t>
  </si>
  <si>
    <t>418 Demers Ave</t>
  </si>
  <si>
    <t>(218) 773-8403</t>
  </si>
  <si>
    <t>1811076086</t>
  </si>
  <si>
    <t>Hanson Chiropractic Clinic PA</t>
  </si>
  <si>
    <t>306 North Mill Street</t>
  </si>
  <si>
    <t>Fertile</t>
  </si>
  <si>
    <t>56540</t>
  </si>
  <si>
    <t>(218) 945-3220</t>
  </si>
  <si>
    <t>1477589141</t>
  </si>
  <si>
    <t>Riverview Rehab Services Fertile</t>
  </si>
  <si>
    <t>101 S Mill St</t>
  </si>
  <si>
    <t>(218) 945-6695</t>
  </si>
  <si>
    <t>Riverview Healthcare Association</t>
  </si>
  <si>
    <t>1659045987</t>
  </si>
  <si>
    <t>Chiropractic Health Clinic, INC</t>
  </si>
  <si>
    <t>106 1st St W</t>
  </si>
  <si>
    <t>(218) 435-6066</t>
  </si>
  <si>
    <t>1376719112</t>
  </si>
  <si>
    <t>Fosston Chiropractic Clinic, PA.</t>
  </si>
  <si>
    <t>104 Johnson Ave N</t>
  </si>
  <si>
    <t>(218) 435-6186</t>
  </si>
  <si>
    <t>1063796795</t>
  </si>
  <si>
    <t>Mcintosh Family Chiropractic</t>
  </si>
  <si>
    <t>250 Cleveland Ave</t>
  </si>
  <si>
    <t>Mcintosh</t>
  </si>
  <si>
    <t>56556</t>
  </si>
  <si>
    <t>(218) 289-3478</t>
  </si>
  <si>
    <t>1124223359</t>
  </si>
  <si>
    <t>1 Body Health and Fitness PA</t>
  </si>
  <si>
    <t>105 International Dr</t>
  </si>
  <si>
    <t>Red Lake Falls</t>
  </si>
  <si>
    <t>56750</t>
  </si>
  <si>
    <t>(218) 253-2111</t>
  </si>
  <si>
    <t>1942460811</t>
  </si>
  <si>
    <t>Roller Neurology</t>
  </si>
  <si>
    <t>711 Delores Drive</t>
  </si>
  <si>
    <t>(701) 317-9000</t>
  </si>
  <si>
    <t>1780265009</t>
  </si>
  <si>
    <t>Northern Chiropractic Pain Relief &amp; Injury Clinic</t>
  </si>
  <si>
    <t>201 Lake St NW</t>
  </si>
  <si>
    <t>(218) 386-1930</t>
  </si>
  <si>
    <t>Chiropractic Sport &amp; Spinal Rehab PA</t>
  </si>
  <si>
    <t>1316989817</t>
  </si>
  <si>
    <t>Warroad Chiropractic Clinic, PA.</t>
  </si>
  <si>
    <t>203 State Ave SW</t>
  </si>
  <si>
    <t>(218) 386-3112</t>
  </si>
  <si>
    <t>1053613067</t>
  </si>
  <si>
    <t>Barnesville Chiropractic Clinic INC.</t>
  </si>
  <si>
    <t>423 Front St N</t>
  </si>
  <si>
    <t>(218) 354-2148</t>
  </si>
  <si>
    <t>1487870648</t>
  </si>
  <si>
    <t>Legacy Chiropractic and Wellness PLLC</t>
  </si>
  <si>
    <t>1675 Center Ave W</t>
  </si>
  <si>
    <t>Dilworth</t>
  </si>
  <si>
    <t>56529</t>
  </si>
  <si>
    <t>(218) 236-1187</t>
  </si>
  <si>
    <t>1285178301</t>
  </si>
  <si>
    <t>Health Intended</t>
  </si>
  <si>
    <t>1054 Elizabeth St</t>
  </si>
  <si>
    <t>Hawley</t>
  </si>
  <si>
    <t>56549</t>
  </si>
  <si>
    <t>(218) 329-6270</t>
  </si>
  <si>
    <t>1114539590</t>
  </si>
  <si>
    <t>Mobilityplus Rehabilitation, LTD</t>
  </si>
  <si>
    <t>520 Main Street</t>
  </si>
  <si>
    <t>(218) 483-1500</t>
  </si>
  <si>
    <t>1790990968</t>
  </si>
  <si>
    <t>C.o.m.p.e.t.e Physical Therapy &amp; Wellness LLC</t>
  </si>
  <si>
    <t>1517 Johnson Dr</t>
  </si>
  <si>
    <t>(701) 866-2388</t>
  </si>
  <si>
    <t>1932716669</t>
  </si>
  <si>
    <t>David Lotzer Moorhead Chiropractic Clinic</t>
  </si>
  <si>
    <t>213 7th St S</t>
  </si>
  <si>
    <t>(218) 233-5141</t>
  </si>
  <si>
    <t>1235338302</t>
  </si>
  <si>
    <t>Excel Physical Therapy</t>
  </si>
  <si>
    <t>1400 25th St S</t>
  </si>
  <si>
    <t>(218) 512-0515</t>
  </si>
  <si>
    <t>Excel Physical Therapy PC.</t>
  </si>
  <si>
    <t>1225790223</t>
  </si>
  <si>
    <t>Fm Rehab Center INC</t>
  </si>
  <si>
    <t>1003023342</t>
  </si>
  <si>
    <t>Horizon Therapy, INC</t>
  </si>
  <si>
    <t>3200 28th St S</t>
  </si>
  <si>
    <t>(701) 365-8134</t>
  </si>
  <si>
    <t>1720431802</t>
  </si>
  <si>
    <t>Midthune Chiropractic PA</t>
  </si>
  <si>
    <t>819 30th Ave S</t>
  </si>
  <si>
    <t>(218) 284-3030</t>
  </si>
  <si>
    <t>1962509166</t>
  </si>
  <si>
    <t>Morlock Chiropractic Center</t>
  </si>
  <si>
    <t>1602 30th Ave S</t>
  </si>
  <si>
    <t>(218) 233-4402</t>
  </si>
  <si>
    <t>1710084090</t>
  </si>
  <si>
    <t>Nokken Chiropractic Clinic LTD</t>
  </si>
  <si>
    <t>1220 2nd Ave S</t>
  </si>
  <si>
    <t>Nokken Chiropractic Clinic Ltd</t>
  </si>
  <si>
    <t>(218) 233-1188</t>
  </si>
  <si>
    <t>1164595955</t>
  </si>
  <si>
    <t>Riverview Chiropractic Clinic</t>
  </si>
  <si>
    <t>3505 8th St S</t>
  </si>
  <si>
    <t>(218) 236-1516</t>
  </si>
  <si>
    <t>Marz Chiropractic PC</t>
  </si>
  <si>
    <t>1952711764</t>
  </si>
  <si>
    <t>Roth Family Chiropractic INC.</t>
  </si>
  <si>
    <t>1906 30th Ave South</t>
  </si>
  <si>
    <t>(218) 233-2517</t>
  </si>
  <si>
    <t>1104018373</t>
  </si>
  <si>
    <t>Storlie Family Chiropractic, PC.</t>
  </si>
  <si>
    <t>40 4th St N</t>
  </si>
  <si>
    <t>(218) 477-1120</t>
  </si>
  <si>
    <t>1609141050</t>
  </si>
  <si>
    <t>Tickel Chiropractic, PC.</t>
  </si>
  <si>
    <t>(701) 429-3678</t>
  </si>
  <si>
    <t>1811184120</t>
  </si>
  <si>
    <t>Advantage Rehab INC</t>
  </si>
  <si>
    <t>700 Cedar St</t>
  </si>
  <si>
    <t>Ste 153</t>
  </si>
  <si>
    <t>(320) 219-9680</t>
  </si>
  <si>
    <t>1679768543</t>
  </si>
  <si>
    <t>Alexandria Chiropractic LLC</t>
  </si>
  <si>
    <t>Ste 701</t>
  </si>
  <si>
    <t>(320) 763-9711</t>
  </si>
  <si>
    <t>1376966721</t>
  </si>
  <si>
    <t>Alexandria Natural Health Center</t>
  </si>
  <si>
    <t>1413 Broadway St</t>
  </si>
  <si>
    <t>(320) 763-6533</t>
  </si>
  <si>
    <t>Wayne D. Knauf, D.c.p.a.</t>
  </si>
  <si>
    <t>1134393614</t>
  </si>
  <si>
    <t>Central Lakes Chiropractic Clinic PC</t>
  </si>
  <si>
    <t>1902861339</t>
  </si>
  <si>
    <t>Century Chiropractic Center, PA.</t>
  </si>
  <si>
    <t>2308 S Broadway St</t>
  </si>
  <si>
    <t>(320) 762-0667</t>
  </si>
  <si>
    <t>1437333861</t>
  </si>
  <si>
    <t>Cornerstone Chiropractic and Wellness</t>
  </si>
  <si>
    <t>507 N Nokomis St</t>
  </si>
  <si>
    <t>(320) 762-2639</t>
  </si>
  <si>
    <t>Cutting Edge Wellness LLC</t>
  </si>
  <si>
    <t>1144735960</t>
  </si>
  <si>
    <t>Cornerstone Chiropractic, INC.</t>
  </si>
  <si>
    <t>1811184336</t>
  </si>
  <si>
    <t>Godfrey Chiropractic Clinic INC</t>
  </si>
  <si>
    <t>119 6th Ave E</t>
  </si>
  <si>
    <t>(320) 762-8185</t>
  </si>
  <si>
    <t>1679615090</t>
  </si>
  <si>
    <t>Heartland Orthopedic Specialists</t>
  </si>
  <si>
    <t>1295835247</t>
  </si>
  <si>
    <t>Heinz Family Chiropractic PA</t>
  </si>
  <si>
    <t>1698 N Nokomis St NE</t>
  </si>
  <si>
    <t>(320) 763-3333</t>
  </si>
  <si>
    <t>1992993257</t>
  </si>
  <si>
    <t>Integrated Health Center, INC.</t>
  </si>
  <si>
    <t>418 3rd Ave E</t>
  </si>
  <si>
    <t>(320) 762-2311</t>
  </si>
  <si>
    <t>1760654453</t>
  </si>
  <si>
    <t>Klepetka Chiropractic Clinic</t>
  </si>
  <si>
    <t>1679795751</t>
  </si>
  <si>
    <t>Lake Region Family Chiropractic Clinic</t>
  </si>
  <si>
    <t>614 Hawthorne St</t>
  </si>
  <si>
    <t>(320) 762-2309</t>
  </si>
  <si>
    <t>1194804708</t>
  </si>
  <si>
    <t>Northwest Industrial Rehabilitation Services INC.</t>
  </si>
  <si>
    <t>410 30th Ave E</t>
  </si>
  <si>
    <t>(320) 763-5505</t>
  </si>
  <si>
    <t>1184700924</t>
  </si>
  <si>
    <t>Pfeffer Chiropractic and Concussion Clinic PA</t>
  </si>
  <si>
    <t>108 15th Ave E</t>
  </si>
  <si>
    <t>(320) 762-1110</t>
  </si>
  <si>
    <t>1447348453</t>
  </si>
  <si>
    <t>Morris Integrative Chiropractic &amp; Wellness LLP</t>
  </si>
  <si>
    <t>11022 Tall Timbers Rd SW</t>
  </si>
  <si>
    <t>Garfield</t>
  </si>
  <si>
    <t>56332</t>
  </si>
  <si>
    <t>(843) 773-1633</t>
  </si>
  <si>
    <t>1700426061</t>
  </si>
  <si>
    <t>Kastner Chiropractic LLC</t>
  </si>
  <si>
    <t>17 South Central Avenue</t>
  </si>
  <si>
    <t>Elbow Lake</t>
  </si>
  <si>
    <t>56531</t>
  </si>
  <si>
    <t>(218) 685-4544</t>
  </si>
  <si>
    <t>1194990606</t>
  </si>
  <si>
    <t>Battle Lake Chiropractic PA</t>
  </si>
  <si>
    <t>202 Lake Avenue South</t>
  </si>
  <si>
    <t>(218) 864-5813</t>
  </si>
  <si>
    <t>1427211242</t>
  </si>
  <si>
    <t>Chase Chiropractic</t>
  </si>
  <si>
    <t>104 Memory Lane</t>
  </si>
  <si>
    <t>(218) 862-4325</t>
  </si>
  <si>
    <t>1326055468</t>
  </si>
  <si>
    <t>Kunz Chiropractic, PLLC</t>
  </si>
  <si>
    <t>19406 345th St</t>
  </si>
  <si>
    <t>Erhard</t>
  </si>
  <si>
    <t>56534</t>
  </si>
  <si>
    <t>(218) 205-2767</t>
  </si>
  <si>
    <t>1982364063</t>
  </si>
  <si>
    <t>Advanced Health Strategies, INC.</t>
  </si>
  <si>
    <t>801 Pebble Lake Rd</t>
  </si>
  <si>
    <t>(218) 736-7547</t>
  </si>
  <si>
    <t>1003033853</t>
  </si>
  <si>
    <t>Anthony Gettel DC LLC</t>
  </si>
  <si>
    <t>755 Wildwood Trail</t>
  </si>
  <si>
    <t>(218) 739-2819</t>
  </si>
  <si>
    <t>1003272154</t>
  </si>
  <si>
    <t>Dr. Zack DC. LLC</t>
  </si>
  <si>
    <t>109 N Mill St</t>
  </si>
  <si>
    <t>(320) 333-9391</t>
  </si>
  <si>
    <t>1346890258</t>
  </si>
  <si>
    <t>Fergus Falls Chiropractic</t>
  </si>
  <si>
    <t>1304 W Lincoln Ave</t>
  </si>
  <si>
    <t>(218) 998-2881</t>
  </si>
  <si>
    <t>Field Chiropractic LLC</t>
  </si>
  <si>
    <t>1013290824</t>
  </si>
  <si>
    <t>Gettel Chiropractic, PA.</t>
  </si>
  <si>
    <t>1144542333</t>
  </si>
  <si>
    <t>Kummrow Chiropractic and Holistic Health, PLLC</t>
  </si>
  <si>
    <t>620 W 7th Ave</t>
  </si>
  <si>
    <t>(218) 329-6949</t>
  </si>
  <si>
    <t>1942604848</t>
  </si>
  <si>
    <t>129 E Lincoln Ave</t>
  </si>
  <si>
    <t>(218) 998-2663</t>
  </si>
  <si>
    <t>1407184070</t>
  </si>
  <si>
    <t>Smith Family Chiropractic, INC.</t>
  </si>
  <si>
    <t>104 W Lincoln Ave</t>
  </si>
  <si>
    <t>(218) 736-4113</t>
  </si>
  <si>
    <t>1316934870</t>
  </si>
  <si>
    <t>Tysdal Chiropractic LLC</t>
  </si>
  <si>
    <t>17116 River Oaks Blvd</t>
  </si>
  <si>
    <t>(218) 205-8194</t>
  </si>
  <si>
    <t>1730455122</t>
  </si>
  <si>
    <t>Vistad Chiropractic Clinic PA</t>
  </si>
  <si>
    <t>301 North Union</t>
  </si>
  <si>
    <t>(218) 736-5676</t>
  </si>
  <si>
    <t>1417045378</t>
  </si>
  <si>
    <t>Healthy Balance Chiropractic, LLC</t>
  </si>
  <si>
    <t>801 Inman St</t>
  </si>
  <si>
    <t>Henning</t>
  </si>
  <si>
    <t>56551</t>
  </si>
  <si>
    <t>(218) 548-2447</t>
  </si>
  <si>
    <t>1578038048</t>
  </si>
  <si>
    <t>Henning Chiropractic Clinic</t>
  </si>
  <si>
    <t>801 Inman St.</t>
  </si>
  <si>
    <t>Henning Chiropractic Clinic, PA.</t>
  </si>
  <si>
    <t>1518289958</t>
  </si>
  <si>
    <t>Midwest PT</t>
  </si>
  <si>
    <t>105 E Centennial 84 Dr</t>
  </si>
  <si>
    <t>New York Mills</t>
  </si>
  <si>
    <t>56567</t>
  </si>
  <si>
    <t>(218) 371-8120</t>
  </si>
  <si>
    <t>Mwpt Health and Wellness</t>
  </si>
  <si>
    <t>1861097552</t>
  </si>
  <si>
    <t>New York Mills Family Spine Clinic</t>
  </si>
  <si>
    <t>18 N Main St</t>
  </si>
  <si>
    <t>(218) 385-3859</t>
  </si>
  <si>
    <t>1306087630</t>
  </si>
  <si>
    <t>Klemek Chiropractic</t>
  </si>
  <si>
    <t>115 W Soo St</t>
  </si>
  <si>
    <t>Parkers Prairie</t>
  </si>
  <si>
    <t>56361</t>
  </si>
  <si>
    <t>(218) 338-2492</t>
  </si>
  <si>
    <t>1871035451</t>
  </si>
  <si>
    <t>211 E Mill St</t>
  </si>
  <si>
    <t>(218) 863-1140</t>
  </si>
  <si>
    <t>1366402828</t>
  </si>
  <si>
    <t>Aim Chiropractic PC</t>
  </si>
  <si>
    <t>101 Coney St W</t>
  </si>
  <si>
    <t>(218) 346-2225</t>
  </si>
  <si>
    <t>1841703014</t>
  </si>
  <si>
    <t>Back In Motion Physical Therapy LLC</t>
  </si>
  <si>
    <t>505 E Main St</t>
  </si>
  <si>
    <t>(218) 346-2464</t>
  </si>
  <si>
    <t>1881094621</t>
  </si>
  <si>
    <t>Lakes Country Chiropractic PA.</t>
  </si>
  <si>
    <t>157 1st Ave S</t>
  </si>
  <si>
    <t>(218) 346-3560</t>
  </si>
  <si>
    <t>1952683708</t>
  </si>
  <si>
    <t>Langen Family Chiropractic, PA.</t>
  </si>
  <si>
    <t>108 Market Dr.</t>
  </si>
  <si>
    <t>(218) 346-7463</t>
  </si>
  <si>
    <t>1124106299</t>
  </si>
  <si>
    <t>Perham Health</t>
  </si>
  <si>
    <t>1000 Coney St W</t>
  </si>
  <si>
    <t>(218) 347-4500</t>
  </si>
  <si>
    <t>Perham Hospital District</t>
  </si>
  <si>
    <t>1932113768</t>
  </si>
  <si>
    <t>Salathe Chiropractic Center</t>
  </si>
  <si>
    <t>101 West Coney St</t>
  </si>
  <si>
    <t>Dr. Kelvin K. Salathe, PC.</t>
  </si>
  <si>
    <t>1730239385</t>
  </si>
  <si>
    <t>Bartell Chiropractic Center, PA.</t>
  </si>
  <si>
    <t>16151 State Highway 29</t>
  </si>
  <si>
    <t>Glenwood</t>
  </si>
  <si>
    <t>56334</t>
  </si>
  <si>
    <t>(320) 634-3000</t>
  </si>
  <si>
    <t>1154547123</t>
  </si>
  <si>
    <t>Lakes Family Chiropractic PLLC</t>
  </si>
  <si>
    <t>16 Minnesota Ave W</t>
  </si>
  <si>
    <t>1306467907</t>
  </si>
  <si>
    <t>Accelerated Chiropractic</t>
  </si>
  <si>
    <t>717 Atlantic Ave.</t>
  </si>
  <si>
    <t>(320) 585-7246</t>
  </si>
  <si>
    <t>Accelerated Chiropractic &amp; Natural Healing Center, LLC</t>
  </si>
  <si>
    <t>1629207444</t>
  </si>
  <si>
    <t>Bst Morris LLC</t>
  </si>
  <si>
    <t>616 Atlantic Ave</t>
  </si>
  <si>
    <t>Bst Morris Llc</t>
  </si>
  <si>
    <t>(320) 585-5395</t>
  </si>
  <si>
    <t>1124216536</t>
  </si>
  <si>
    <t>Burud Chiropractic</t>
  </si>
  <si>
    <t>1325 Highway 75 N</t>
  </si>
  <si>
    <t>Breckenridge</t>
  </si>
  <si>
    <t>56520</t>
  </si>
  <si>
    <t>(218) 643-1668</t>
  </si>
  <si>
    <t>1487045829</t>
  </si>
  <si>
    <t>Orthopedic &amp; Sports Physical Therapy, INC</t>
  </si>
  <si>
    <t>430 5th St N</t>
  </si>
  <si>
    <t>(218) 641-7725</t>
  </si>
  <si>
    <t>1811923535</t>
  </si>
  <si>
    <t>Deal Family Chiropractic &amp; Wellness Center, PA.</t>
  </si>
  <si>
    <t>201 North Main St.</t>
  </si>
  <si>
    <t>Lake Crystal</t>
  </si>
  <si>
    <t>56055</t>
  </si>
  <si>
    <t>(507) 726-2091</t>
  </si>
  <si>
    <t>1205907722</t>
  </si>
  <si>
    <t>Jackson Chiropractic of Lake Crystal</t>
  </si>
  <si>
    <t>242 Hiway 60</t>
  </si>
  <si>
    <t>Unit 4</t>
  </si>
  <si>
    <t>(507) 726-2530</t>
  </si>
  <si>
    <t>1467524371</t>
  </si>
  <si>
    <t>Lake Crystal Chiropractic PLLC</t>
  </si>
  <si>
    <t>201 N Main St</t>
  </si>
  <si>
    <t>1649749540</t>
  </si>
  <si>
    <t>Advantage Chiropractic, PLLC</t>
  </si>
  <si>
    <t>430 S Broad St</t>
  </si>
  <si>
    <t>(507) 387-5591</t>
  </si>
  <si>
    <t>1912329111</t>
  </si>
  <si>
    <t>Andrews Family Chiropractic Clinic PA</t>
  </si>
  <si>
    <t>285 Saint Andrews Dr</t>
  </si>
  <si>
    <t>(507) 345-1926</t>
  </si>
  <si>
    <t>1194814236</t>
  </si>
  <si>
    <t>Associates In Oral and Maxillofacial Surgery, PA.</t>
  </si>
  <si>
    <t>1990 Premiere Dr</t>
  </si>
  <si>
    <t>(507) 625-9330</t>
  </si>
  <si>
    <t>1578596177</t>
  </si>
  <si>
    <t>Aurora Chiropractic, LLC</t>
  </si>
  <si>
    <t>1051 Madison Ave</t>
  </si>
  <si>
    <t>(507) 508-5066</t>
  </si>
  <si>
    <t>1558765792</t>
  </si>
  <si>
    <t>Bodikey Physical Therapy, LLC</t>
  </si>
  <si>
    <t>1522 N Riverfront Dr</t>
  </si>
  <si>
    <t>(218) 639-3449</t>
  </si>
  <si>
    <t>1043722481</t>
  </si>
  <si>
    <t>1821 Bassett Dr</t>
  </si>
  <si>
    <t>Chiropractic Family Clinic, PA.</t>
  </si>
  <si>
    <t>120 N Augusta Ct</t>
  </si>
  <si>
    <t>(507) 344-8300</t>
  </si>
  <si>
    <t>1760673453</t>
  </si>
  <si>
    <t>Discover Chiropractic Corp, PC</t>
  </si>
  <si>
    <t>1601 N Riverfront Dr</t>
  </si>
  <si>
    <t>(507) 720-0742</t>
  </si>
  <si>
    <t>1194991034</t>
  </si>
  <si>
    <t>Edward P. Sweere, PA.</t>
  </si>
  <si>
    <t>911 Warren St</t>
  </si>
  <si>
    <t>(507) 345-3323</t>
  </si>
  <si>
    <t>1104139278</t>
  </si>
  <si>
    <t>Healthways Chiropractic and Integrated Wellness Center</t>
  </si>
  <si>
    <t>121 E Main St</t>
  </si>
  <si>
    <t>(507) 388-5315</t>
  </si>
  <si>
    <t>Anderson Family Chiropractic, LLC</t>
  </si>
  <si>
    <t>1093961401</t>
  </si>
  <si>
    <t>Heinz Chiropractic LLC</t>
  </si>
  <si>
    <t>(608) 385-4552</t>
  </si>
  <si>
    <t>1164818043</t>
  </si>
  <si>
    <t>Kato Physical Medicine, LLC</t>
  </si>
  <si>
    <t>800 South Front Street</t>
  </si>
  <si>
    <t>1952810996</t>
  </si>
  <si>
    <t>Key City Chiropractic</t>
  </si>
  <si>
    <t>217 1/2 E Walnut St</t>
  </si>
  <si>
    <t>(507) 625-4822</t>
  </si>
  <si>
    <t>Leann M Shea</t>
  </si>
  <si>
    <t>1730207226</t>
  </si>
  <si>
    <t>Kinetic Spine &amp; Sport</t>
  </si>
  <si>
    <t>1219 Caledonia St</t>
  </si>
  <si>
    <t>(507) 345-7836</t>
  </si>
  <si>
    <t>Kinetic Chiropractic, PC.</t>
  </si>
  <si>
    <t>1003157769</t>
  </si>
  <si>
    <t>Mages Chiropractic</t>
  </si>
  <si>
    <t>309 Madison Ave</t>
  </si>
  <si>
    <t>(507) 387-5978</t>
  </si>
  <si>
    <t>Potential Health PA</t>
  </si>
  <si>
    <t>1033348875</t>
  </si>
  <si>
    <t>Mankato Chiropractic Center</t>
  </si>
  <si>
    <t>31 Navaho Ave</t>
  </si>
  <si>
    <t>(507) 345-4035</t>
  </si>
  <si>
    <t>1659323004</t>
  </si>
  <si>
    <t>Msu Sports Medicine</t>
  </si>
  <si>
    <t>135 Myers Fieldhouse</t>
  </si>
  <si>
    <t>(507) 389-2099</t>
  </si>
  <si>
    <t>Minnesota State University</t>
  </si>
  <si>
    <t>1528438116</t>
  </si>
  <si>
    <t>Newman Chiropractic and Wellness Center LLC</t>
  </si>
  <si>
    <t>600 Reed St</t>
  </si>
  <si>
    <t>(507) 387-3441</t>
  </si>
  <si>
    <t>1477685600</t>
  </si>
  <si>
    <t>Pivotal Chiropractic &amp; Wellness PLLC</t>
  </si>
  <si>
    <t>1600 Madison Ave</t>
  </si>
  <si>
    <t>(507) 401-2650</t>
  </si>
  <si>
    <t>1699321638</t>
  </si>
  <si>
    <t>Rignell Family Chiropractic</t>
  </si>
  <si>
    <t>1351 Madison Ave</t>
  </si>
  <si>
    <t>(507) 779-7313</t>
  </si>
  <si>
    <t>1306223722</t>
  </si>
  <si>
    <t>Riverridge Chiropractic PA.</t>
  </si>
  <si>
    <t>320 Stadium Rd</t>
  </si>
  <si>
    <t>(507) 387-7463</t>
  </si>
  <si>
    <t>1215941737</t>
  </si>
  <si>
    <t>Tov Chiropractic PLLC</t>
  </si>
  <si>
    <t>1813 Adams St</t>
  </si>
  <si>
    <t>(507) 322-4040</t>
  </si>
  <si>
    <t>1447813456</t>
  </si>
  <si>
    <t>Vitality Chiropractic &amp; Acupuncture LLC</t>
  </si>
  <si>
    <t>(507) 236-5531</t>
  </si>
  <si>
    <t>1457884314</t>
  </si>
  <si>
    <t>Broadway Chiropractic PA</t>
  </si>
  <si>
    <t>1510 N Broadway St</t>
  </si>
  <si>
    <t>(507) 359-4374</t>
  </si>
  <si>
    <t>1407924681</t>
  </si>
  <si>
    <t>Dynamic Health Soultions</t>
  </si>
  <si>
    <t>700 N Broadway St</t>
  </si>
  <si>
    <t>(507) 359-9674</t>
  </si>
  <si>
    <t>Dynamic Health Soultions, INC</t>
  </si>
  <si>
    <t>1750578993</t>
  </si>
  <si>
    <t>Musselman Family Chiropractic PA</t>
  </si>
  <si>
    <t>511 16th St S</t>
  </si>
  <si>
    <t>1144253196</t>
  </si>
  <si>
    <t>Neubauer Family Chiropractic, PA.</t>
  </si>
  <si>
    <t>1316 S Broadway St</t>
  </si>
  <si>
    <t>(507) 359-7622</t>
  </si>
  <si>
    <t>1649457185</t>
  </si>
  <si>
    <t>New Ulm Chiropractic Office, PA</t>
  </si>
  <si>
    <t>117 S Broadway</t>
  </si>
  <si>
    <t>(507) 354-4583</t>
  </si>
  <si>
    <t>1750599643</t>
  </si>
  <si>
    <t>Motion Chiropractic PLLC</t>
  </si>
  <si>
    <t>232 Main St E</t>
  </si>
  <si>
    <t>Sleepy Eye</t>
  </si>
  <si>
    <t>56085</t>
  </si>
  <si>
    <t>(507) 522-3607</t>
  </si>
  <si>
    <t>1407365695</t>
  </si>
  <si>
    <t>Sleepy Eye Chiropractic PA</t>
  </si>
  <si>
    <t>201 2nd Ave SW</t>
  </si>
  <si>
    <t>(507) 794-4971</t>
  </si>
  <si>
    <t>1205997293</t>
  </si>
  <si>
    <t>Beckman Enterprises</t>
  </si>
  <si>
    <t>604 S County Road 5</t>
  </si>
  <si>
    <t>Springfield</t>
  </si>
  <si>
    <t>56087</t>
  </si>
  <si>
    <t>(507) 723-8737</t>
  </si>
  <si>
    <t>1760788194</t>
  </si>
  <si>
    <t>Dr Brad Haugo DC Chtd</t>
  </si>
  <si>
    <t>10 N O Connell Ave</t>
  </si>
  <si>
    <t>(507) 723-5515</t>
  </si>
  <si>
    <t>1316009681</t>
  </si>
  <si>
    <t>Springfield Physical Therapy LLC</t>
  </si>
  <si>
    <t>50 W Rock St</t>
  </si>
  <si>
    <t>(507) 920-6688</t>
  </si>
  <si>
    <t>1881286292</t>
  </si>
  <si>
    <t>Hedman Chiropractic Center LLC</t>
  </si>
  <si>
    <t>307 9th St</t>
  </si>
  <si>
    <t>(507) 831-4770</t>
  </si>
  <si>
    <t>1871535591</t>
  </si>
  <si>
    <t>Tegels Chiropractic, LLC</t>
  </si>
  <si>
    <t>601 Fourth Avenue</t>
  </si>
  <si>
    <t>(507) 831-2460</t>
  </si>
  <si>
    <t>1497241095</t>
  </si>
  <si>
    <t>Magnuson Chiropractic Center INC</t>
  </si>
  <si>
    <t>23 3rd St SE</t>
  </si>
  <si>
    <t>Wells</t>
  </si>
  <si>
    <t>56097</t>
  </si>
  <si>
    <t>(507) 553-3175</t>
  </si>
  <si>
    <t>1528285475</t>
  </si>
  <si>
    <t>Family Chiropractic Office</t>
  </si>
  <si>
    <t>115 1st Ave NW</t>
  </si>
  <si>
    <t>(507) 893-4412</t>
  </si>
  <si>
    <t>1346594223</t>
  </si>
  <si>
    <t>Winnebago Chiropractic Clinic, INC.</t>
  </si>
  <si>
    <t>1942563978</t>
  </si>
  <si>
    <t>Elbert Chiropractic, LLC</t>
  </si>
  <si>
    <t>311 2nd St</t>
  </si>
  <si>
    <t>(507) 849-7310</t>
  </si>
  <si>
    <t>1578966859</t>
  </si>
  <si>
    <t>Jackson Chiropractic, PA.</t>
  </si>
  <si>
    <t>612 2nd St</t>
  </si>
  <si>
    <t>(507) 847-3285</t>
  </si>
  <si>
    <t>1700958980</t>
  </si>
  <si>
    <t>Swoboda Chiropractic of Lakefield</t>
  </si>
  <si>
    <t>221 Third Ave N</t>
  </si>
  <si>
    <t>(507) 662-5176</t>
  </si>
  <si>
    <t>1114089877</t>
  </si>
  <si>
    <t>Burtis Chiropractic Center</t>
  </si>
  <si>
    <t>112 N State St</t>
  </si>
  <si>
    <t>(507) 235-5557</t>
  </si>
  <si>
    <t>Burtis Chiropractic Center PA</t>
  </si>
  <si>
    <t>1457350332</t>
  </si>
  <si>
    <t>Fairmont Chiropractic &amp; Acupuncture Healthcare, LTD</t>
  </si>
  <si>
    <t>1316147200</t>
  </si>
  <si>
    <t>Sherburn Chiropractic</t>
  </si>
  <si>
    <t>27 N Main St</t>
  </si>
  <si>
    <t>(507) 764-4080</t>
  </si>
  <si>
    <t>1285830422</t>
  </si>
  <si>
    <t>Trimont Chiropractic, Acupuncture and Nutrition, PLLC</t>
  </si>
  <si>
    <t>11 Chestnut St E</t>
  </si>
  <si>
    <t>P.O. Box L</t>
  </si>
  <si>
    <t>Trimont</t>
  </si>
  <si>
    <t>56176</t>
  </si>
  <si>
    <t>(507) 639-2002</t>
  </si>
  <si>
    <t>1194090514</t>
  </si>
  <si>
    <t>Wohlrabe Chiropractic &amp; Acupuncture, PA.</t>
  </si>
  <si>
    <t>1356670442</t>
  </si>
  <si>
    <t>Northland Chiropractic PA.</t>
  </si>
  <si>
    <t>1476 130th Ave</t>
  </si>
  <si>
    <t>Welcome</t>
  </si>
  <si>
    <t>56181</t>
  </si>
  <si>
    <t>(507) 848-0323</t>
  </si>
  <si>
    <t>1043613540</t>
  </si>
  <si>
    <t>Fulda Family Chiropractic, PA.</t>
  </si>
  <si>
    <t>108 N St Paul Ave</t>
  </si>
  <si>
    <t>(507) 425-0025</t>
  </si>
  <si>
    <t>1740485911</t>
  </si>
  <si>
    <t>Slayton Chiropractic Clinic PA.</t>
  </si>
  <si>
    <t>2002 Broadway Ave</t>
  </si>
  <si>
    <t>Slayton</t>
  </si>
  <si>
    <t>56172</t>
  </si>
  <si>
    <t>(507) 836-8911</t>
  </si>
  <si>
    <t>1144522400</t>
  </si>
  <si>
    <t>Southwest Minnesota Orthopedics and Sports Medicine, INC.</t>
  </si>
  <si>
    <t>2331 20th St</t>
  </si>
  <si>
    <t>(507) 393-7696</t>
  </si>
  <si>
    <t>1083778021</t>
  </si>
  <si>
    <t>304 Pine St</t>
  </si>
  <si>
    <t>56074</t>
  </si>
  <si>
    <t>(507) 232-2789</t>
  </si>
  <si>
    <t>1023458577</t>
  </si>
  <si>
    <t>Advanced Chiropractic of Mankato, PC</t>
  </si>
  <si>
    <t>315 Webster Ave</t>
  </si>
  <si>
    <t>(507) 385-2000</t>
  </si>
  <si>
    <t>1265508089</t>
  </si>
  <si>
    <t>Schugel Family Chiropractic, PA.</t>
  </si>
  <si>
    <t>1706 Lor Ray Dr</t>
  </si>
  <si>
    <t>(507) 385-1015</t>
  </si>
  <si>
    <t>1740587997</t>
  </si>
  <si>
    <t>Skrien Chiropractic Clinic PA</t>
  </si>
  <si>
    <t>1770052201</t>
  </si>
  <si>
    <t>Cornerstone Wellness Center of St.peter PA.</t>
  </si>
  <si>
    <t>220 W Broadway Ave</t>
  </si>
  <si>
    <t>(507) 934-4850</t>
  </si>
  <si>
    <t>1609947217</t>
  </si>
  <si>
    <t>Hulsebus Chiropractic</t>
  </si>
  <si>
    <t>206 West Walnut St</t>
  </si>
  <si>
    <t>(507) 943-2400</t>
  </si>
  <si>
    <t>Laura J. Hulsebus PA.</t>
  </si>
  <si>
    <t>1598936270</t>
  </si>
  <si>
    <t>Mankato Chiropractic River's Edge</t>
  </si>
  <si>
    <t>1900 N Sunrise Dr</t>
  </si>
  <si>
    <t>1801033931</t>
  </si>
  <si>
    <t>Acc PA.</t>
  </si>
  <si>
    <t>607 W Chandler St</t>
  </si>
  <si>
    <t>Arlington</t>
  </si>
  <si>
    <t>55307</t>
  </si>
  <si>
    <t>(507) 964-2850</t>
  </si>
  <si>
    <t>1215177621</t>
  </si>
  <si>
    <t>Mcguire Family Chiropractic PA</t>
  </si>
  <si>
    <t>215 3rd St</t>
  </si>
  <si>
    <t>Gaylord</t>
  </si>
  <si>
    <t>55334</t>
  </si>
  <si>
    <t>(507) 237-2777</t>
  </si>
  <si>
    <t>1760763007</t>
  </si>
  <si>
    <t>Restore Chiropractic and Wellness LLC</t>
  </si>
  <si>
    <t>1659873420</t>
  </si>
  <si>
    <t>Wellness 1st Chiropractic LTD</t>
  </si>
  <si>
    <t>311 5th St</t>
  </si>
  <si>
    <t>(507) 237-2459</t>
  </si>
  <si>
    <t>1346437795</t>
  </si>
  <si>
    <t>Elite Health Chiropractic Center, PLLC</t>
  </si>
  <si>
    <t>205 S Carver St</t>
  </si>
  <si>
    <t>Winthrop</t>
  </si>
  <si>
    <t>55396</t>
  </si>
  <si>
    <t>(507) 647-3700</t>
  </si>
  <si>
    <t>1982893467</t>
  </si>
  <si>
    <t>Quality of Life Chiropractic, PA</t>
  </si>
  <si>
    <t>516 1st Ave S</t>
  </si>
  <si>
    <t>(507) 375-7500</t>
  </si>
  <si>
    <t>1639374416</t>
  </si>
  <si>
    <t>St. James Family Chiropractic, LTD.</t>
  </si>
  <si>
    <t>800 Weston Ave</t>
  </si>
  <si>
    <t>(507) 375-4690</t>
  </si>
  <si>
    <t>1669699005</t>
  </si>
  <si>
    <t>Dodge Center Chiropractic Office, PA.</t>
  </si>
  <si>
    <t>405 2nd Ave NW</t>
  </si>
  <si>
    <t>Dodge Center</t>
  </si>
  <si>
    <t>55927</t>
  </si>
  <si>
    <t>(507) 374-6742</t>
  </si>
  <si>
    <t>1750436598</t>
  </si>
  <si>
    <t>Elmore Family Chiropractic INC</t>
  </si>
  <si>
    <t>504 S Mantorville Ave</t>
  </si>
  <si>
    <t>(507) 634-7288</t>
  </si>
  <si>
    <t>1790031938</t>
  </si>
  <si>
    <t>Meyer Chiropractic Center, Chtd.</t>
  </si>
  <si>
    <t>17 4th Ave NW</t>
  </si>
  <si>
    <t>(507) 634-6111</t>
  </si>
  <si>
    <t>1861619744</t>
  </si>
  <si>
    <t>Zimmer Chiropractic PA</t>
  </si>
  <si>
    <t>15 E Veterans Memorial Hwy</t>
  </si>
  <si>
    <t>(507) 634-6677</t>
  </si>
  <si>
    <t>1639375553</t>
  </si>
  <si>
    <t>Fillmore County Physical Therapy Services, INC</t>
  </si>
  <si>
    <t>212 Fillmore St W</t>
  </si>
  <si>
    <t>(507) 867-8007</t>
  </si>
  <si>
    <t>1619249133</t>
  </si>
  <si>
    <t>Preston Chiropractic</t>
  </si>
  <si>
    <t>124 Main St SW</t>
  </si>
  <si>
    <t>(507) 765-3881</t>
  </si>
  <si>
    <t>Arndt Chiropractic Services</t>
  </si>
  <si>
    <t>1811028178</t>
  </si>
  <si>
    <t>Mettler Family Chiropractic PA</t>
  </si>
  <si>
    <t>105 S Broadway St</t>
  </si>
  <si>
    <t>Spring Valley</t>
  </si>
  <si>
    <t>55975</t>
  </si>
  <si>
    <t>(507) 346-1077</t>
  </si>
  <si>
    <t>1063519627</t>
  </si>
  <si>
    <t>Quantum Physical Therapy &amp; Personal Trng INC</t>
  </si>
  <si>
    <t>115 N Broadway</t>
  </si>
  <si>
    <t>(866) 280-1051</t>
  </si>
  <si>
    <t>1073582342</t>
  </si>
  <si>
    <t>Albert Lea Chiropractic, PLC</t>
  </si>
  <si>
    <t>1225273071</t>
  </si>
  <si>
    <t>Eaton Sport and Spine Clinic LLC</t>
  </si>
  <si>
    <t>424 Bridge Ave</t>
  </si>
  <si>
    <t>(612) 701-2246</t>
  </si>
  <si>
    <t>1851533459</t>
  </si>
  <si>
    <t>Tubbs Chiropractic, PA.</t>
  </si>
  <si>
    <t>226 W Clark St</t>
  </si>
  <si>
    <t>(507) 369-5601</t>
  </si>
  <si>
    <t>1245561729</t>
  </si>
  <si>
    <t>Cannon Valley Chiropractic,llc</t>
  </si>
  <si>
    <t>6505 Cedar Hills Dr</t>
  </si>
  <si>
    <t>Cannon Falls</t>
  </si>
  <si>
    <t>55009</t>
  </si>
  <si>
    <t>(507) 263-3925</t>
  </si>
  <si>
    <t>1194809863</t>
  </si>
  <si>
    <t>Mcintee Chiropractic Clinic</t>
  </si>
  <si>
    <t>114 3rd St N</t>
  </si>
  <si>
    <t>(507) 263-2929</t>
  </si>
  <si>
    <t>1760603609</t>
  </si>
  <si>
    <t>Meints Chiropractic &amp; Wellness PA</t>
  </si>
  <si>
    <t>500 S Main Street</t>
  </si>
  <si>
    <t>Pine Island</t>
  </si>
  <si>
    <t>55963</t>
  </si>
  <si>
    <t>(507) 356-4014</t>
  </si>
  <si>
    <t>1093473340</t>
  </si>
  <si>
    <t>Augustine Chiropractic LLC</t>
  </si>
  <si>
    <t>104 Burnside Ave S</t>
  </si>
  <si>
    <t>(651) 267-0394</t>
  </si>
  <si>
    <t>1205387198</t>
  </si>
  <si>
    <t>Center For Natural Healthcare, PLLC</t>
  </si>
  <si>
    <t>1626 W 3rd St</t>
  </si>
  <si>
    <t>(651) 388-1211</t>
  </si>
  <si>
    <t>1861964314</t>
  </si>
  <si>
    <t>Downtown Chiropractic LTD.</t>
  </si>
  <si>
    <t>212 Fulton St</t>
  </si>
  <si>
    <t>(651) 388-3212</t>
  </si>
  <si>
    <t>1538233101</t>
  </si>
  <si>
    <t>Dr. Kroll's Health Solutions</t>
  </si>
  <si>
    <t>305 Bush St</t>
  </si>
  <si>
    <t>(651) 388-4378</t>
  </si>
  <si>
    <t>Heaven's Gate Chiropractic, PC</t>
  </si>
  <si>
    <t>1467676346</t>
  </si>
  <si>
    <t>Essential Chiropractic Sc</t>
  </si>
  <si>
    <t>437 Main St</t>
  </si>
  <si>
    <t>(651) 388-8113</t>
  </si>
  <si>
    <t>1013244656</t>
  </si>
  <si>
    <t>Great River Therapy INC</t>
  </si>
  <si>
    <t>416 W 3rd St</t>
  </si>
  <si>
    <t>(651) 388-7511</t>
  </si>
  <si>
    <t>1003128869</t>
  </si>
  <si>
    <t>Health Within Chiropractic and Acupuncture</t>
  </si>
  <si>
    <t>217 Plum St</t>
  </si>
  <si>
    <t>(651) 385-5999</t>
  </si>
  <si>
    <t>Natural Touch Chiropractic, PLLC</t>
  </si>
  <si>
    <t>1932366150</t>
  </si>
  <si>
    <t>Innovative Chiropractic Center</t>
  </si>
  <si>
    <t>201 D East Ave.</t>
  </si>
  <si>
    <t>(651) 448-1481</t>
  </si>
  <si>
    <t>1790182335</t>
  </si>
  <si>
    <t>Patterson Chiropractic PA</t>
  </si>
  <si>
    <t>1326190505</t>
  </si>
  <si>
    <t>Red Wing Chiropractic Clinic PA</t>
  </si>
  <si>
    <t>29218 Highway 58 Blvd</t>
  </si>
  <si>
    <t>(651) 388-8294</t>
  </si>
  <si>
    <t>1306949797</t>
  </si>
  <si>
    <t>Ethos Physical Therapy LLC</t>
  </si>
  <si>
    <t>2030 Neal St</t>
  </si>
  <si>
    <t>Redwing</t>
  </si>
  <si>
    <t>(507) 951-8822</t>
  </si>
  <si>
    <t>1407343221</t>
  </si>
  <si>
    <t>Rauen Physical Therapy LLC</t>
  </si>
  <si>
    <t>309 North Main Street</t>
  </si>
  <si>
    <t>(507) 299-0017</t>
  </si>
  <si>
    <t>1376202077</t>
  </si>
  <si>
    <t>Gundersen Clinic LTD</t>
  </si>
  <si>
    <t>405 S Highway 44 76</t>
  </si>
  <si>
    <t>Caledonia</t>
  </si>
  <si>
    <t>55921</t>
  </si>
  <si>
    <t>(608) 782-7300</t>
  </si>
  <si>
    <t>1649644360</t>
  </si>
  <si>
    <t>Mell Chiropractic, LLC</t>
  </si>
  <si>
    <t>126 W Main St</t>
  </si>
  <si>
    <t>(507) 725-8500</t>
  </si>
  <si>
    <t>1821395484</t>
  </si>
  <si>
    <t>Chiropractic First of La Crescent</t>
  </si>
  <si>
    <t>205 N Chestnut St</t>
  </si>
  <si>
    <t>(507) 895-2225</t>
  </si>
  <si>
    <t>Wood Family Chiropractic PC</t>
  </si>
  <si>
    <t>1316084023</t>
  </si>
  <si>
    <t>Connected Family Chiropractic, LLC</t>
  </si>
  <si>
    <t>(507) 895-8100</t>
  </si>
  <si>
    <t>1841704566</t>
  </si>
  <si>
    <t>Minnesota Spine &amp; Sports Rehab</t>
  </si>
  <si>
    <t>29 S Walnut St</t>
  </si>
  <si>
    <t>(507) 895-2940</t>
  </si>
  <si>
    <t>1063857621</t>
  </si>
  <si>
    <t>Booman Chiropractic Corporation</t>
  </si>
  <si>
    <t>102 1st Street SE</t>
  </si>
  <si>
    <t>Spring Grove</t>
  </si>
  <si>
    <t>55974</t>
  </si>
  <si>
    <t>(507) 498-5445</t>
  </si>
  <si>
    <t>1649366485</t>
  </si>
  <si>
    <t>Spring Grove Family Chiropractic, PA</t>
  </si>
  <si>
    <t>102 1st St SE</t>
  </si>
  <si>
    <t>(612) 281-4894</t>
  </si>
  <si>
    <t>1306084314</t>
  </si>
  <si>
    <t>Le Center Chiropractic &amp; Sports Center</t>
  </si>
  <si>
    <t>36 N Park Ave</t>
  </si>
  <si>
    <t>(507) 357-4404</t>
  </si>
  <si>
    <t>Angell Chiropractic, PC.</t>
  </si>
  <si>
    <t>1245419282</t>
  </si>
  <si>
    <t>North Park Chiropractic</t>
  </si>
  <si>
    <t>200 E Bowler St</t>
  </si>
  <si>
    <t>(507) 357-2323</t>
  </si>
  <si>
    <t>International Health Partners LTD</t>
  </si>
  <si>
    <t>1508043688</t>
  </si>
  <si>
    <t>Priority Health Chiropractic Clinic</t>
  </si>
  <si>
    <t>47 N Waterville Ave</t>
  </si>
  <si>
    <t>(952) 484-7738</t>
  </si>
  <si>
    <t>1255563920</t>
  </si>
  <si>
    <t>Chiropractic Health Center of Lesueur PA</t>
  </si>
  <si>
    <t>211 S Main St</t>
  </si>
  <si>
    <t>56058</t>
  </si>
  <si>
    <t>(507) 665-6249</t>
  </si>
  <si>
    <t>1114028230</t>
  </si>
  <si>
    <t>Physio Strong LLC</t>
  </si>
  <si>
    <t>517 S Main St</t>
  </si>
  <si>
    <t>(507) 593-9900</t>
  </si>
  <si>
    <t>1699352807</t>
  </si>
  <si>
    <t>Kramer Chiropracitic Wellness Center, LLC</t>
  </si>
  <si>
    <t>317 1st St S</t>
  </si>
  <si>
    <t>Montgomery</t>
  </si>
  <si>
    <t>56069</t>
  </si>
  <si>
    <t>(507) 364-7500</t>
  </si>
  <si>
    <t>1154557700</t>
  </si>
  <si>
    <t>Erickson Family Chiropractic</t>
  </si>
  <si>
    <t>(952) 758-4739</t>
  </si>
  <si>
    <t>P &amp; J Holdings, INC</t>
  </si>
  <si>
    <t>1982794129</t>
  </si>
  <si>
    <t>Sarah L Page Chiropractic LLC</t>
  </si>
  <si>
    <t>1972 Ridgedale Ave SW</t>
  </si>
  <si>
    <t>(952) 818-6183</t>
  </si>
  <si>
    <t>1447701875</t>
  </si>
  <si>
    <t>Bollingberg Chiropractic Clinic LLP</t>
  </si>
  <si>
    <t>704 Oakland Ave W</t>
  </si>
  <si>
    <t>Austin</t>
  </si>
  <si>
    <t>55912</t>
  </si>
  <si>
    <t>(507) 433-4013</t>
  </si>
  <si>
    <t>1518039072</t>
  </si>
  <si>
    <t>Cedar River Chiropractic, PLLC</t>
  </si>
  <si>
    <t>1700 17th St NW</t>
  </si>
  <si>
    <t>Ste 2B</t>
  </si>
  <si>
    <t>(833) 433-2225</t>
  </si>
  <si>
    <t>1083222921</t>
  </si>
  <si>
    <t>Lewis Outpatient Physical Therapy Services, LLC</t>
  </si>
  <si>
    <t>Ste 2D</t>
  </si>
  <si>
    <t>(507) 433-8139</t>
  </si>
  <si>
    <t>Lewis Outpatient Physical Therapy Services</t>
  </si>
  <si>
    <t>1104408558</t>
  </si>
  <si>
    <t>Reeve Chiropractic Clinic, PA.</t>
  </si>
  <si>
    <t>308 4th Ave NW</t>
  </si>
  <si>
    <t>(507) 437-3655</t>
  </si>
  <si>
    <t>1255487971</t>
  </si>
  <si>
    <t>Struck Chiropractic</t>
  </si>
  <si>
    <t>1235754946</t>
  </si>
  <si>
    <t>Wellness 1st of Austin INC</t>
  </si>
  <si>
    <t>300 W Oakland Ave</t>
  </si>
  <si>
    <t>(507) 437-7781</t>
  </si>
  <si>
    <t>1528255973</t>
  </si>
  <si>
    <t>Ayen Chiropractic PLLC</t>
  </si>
  <si>
    <t>1067 4th St NE</t>
  </si>
  <si>
    <t>Byron</t>
  </si>
  <si>
    <t>55920</t>
  </si>
  <si>
    <t>(507) 358-9729</t>
  </si>
  <si>
    <t>1851824973</t>
  </si>
  <si>
    <t>Byron Chiropractic, INC.</t>
  </si>
  <si>
    <t>501 NW Frontage Rd</t>
  </si>
  <si>
    <t>(507) 775-2711</t>
  </si>
  <si>
    <t>1780876557</t>
  </si>
  <si>
    <t>Eyota Chiropractic</t>
  </si>
  <si>
    <t>123 Lafayette Ave SW</t>
  </si>
  <si>
    <t>Eyota</t>
  </si>
  <si>
    <t>55934</t>
  </si>
  <si>
    <t>(608) 797-8138</t>
  </si>
  <si>
    <t>1568925097</t>
  </si>
  <si>
    <t>Absolute Chiropractic, PA</t>
  </si>
  <si>
    <t>1610 14th St NW</t>
  </si>
  <si>
    <t>(507) 281-9566</t>
  </si>
  <si>
    <t>1366450363</t>
  </si>
  <si>
    <t>Achieve Results Physical Therapy</t>
  </si>
  <si>
    <t>2001 2nd St SW</t>
  </si>
  <si>
    <t>(507) 424-0678</t>
  </si>
  <si>
    <t>Holmes Physical Therapy INC.</t>
  </si>
  <si>
    <t>1134376460</t>
  </si>
  <si>
    <t>Agape Chiropractic, PA.</t>
  </si>
  <si>
    <t>275 37th St NE</t>
  </si>
  <si>
    <t>(507) 266-8325</t>
  </si>
  <si>
    <t>1528337292</t>
  </si>
  <si>
    <t>2717 Superior Dr NW</t>
  </si>
  <si>
    <t>(507) 281-5820</t>
  </si>
  <si>
    <t>1275859159</t>
  </si>
  <si>
    <t>Back Treatment Center</t>
  </si>
  <si>
    <t>1827 S Broadway</t>
  </si>
  <si>
    <t>(507) 288-8000</t>
  </si>
  <si>
    <t>1992037295</t>
  </si>
  <si>
    <t>Banks Physical Therapy</t>
  </si>
  <si>
    <t>4270 Maine Ave SE</t>
  </si>
  <si>
    <t>(507) 513-1370</t>
  </si>
  <si>
    <t>1780059949</t>
  </si>
  <si>
    <t>Chambers Chiropractic Clinic</t>
  </si>
  <si>
    <t>1751 Highway 52 N</t>
  </si>
  <si>
    <t>(507) 289-3333</t>
  </si>
  <si>
    <t>Brennan Family Chiropractic, PA.</t>
  </si>
  <si>
    <t>1588749261</t>
  </si>
  <si>
    <t>Chiropractic First Wellness Center INC</t>
  </si>
  <si>
    <t>1326092776</t>
  </si>
  <si>
    <t>Connected Life Chiropractic LLC</t>
  </si>
  <si>
    <t>(507) 218-7822</t>
  </si>
  <si>
    <t>1518546910</t>
  </si>
  <si>
    <t>Dale E Chambers PA</t>
  </si>
  <si>
    <t>316 23rd St SW</t>
  </si>
  <si>
    <t>(507) 282-0146</t>
  </si>
  <si>
    <t>1366521742</t>
  </si>
  <si>
    <t>Empowered Family Chiropractic INC.</t>
  </si>
  <si>
    <t>2625 Hwy 14 W</t>
  </si>
  <si>
    <t>(507) 208-4538</t>
  </si>
  <si>
    <t>1376820191</t>
  </si>
  <si>
    <t>Eresultspt</t>
  </si>
  <si>
    <t>2202 21st St NW</t>
  </si>
  <si>
    <t>(507) 269-7652</t>
  </si>
  <si>
    <t>1457722837</t>
  </si>
  <si>
    <t>Family Chiropractic</t>
  </si>
  <si>
    <t>1014 Bel Air Ln NW</t>
  </si>
  <si>
    <t>(507) 281-4878</t>
  </si>
  <si>
    <t>1033320742</t>
  </si>
  <si>
    <t>Injury Care and Wellness Center</t>
  </si>
  <si>
    <t>400 S Broadway</t>
  </si>
  <si>
    <t>(507) 438-8754</t>
  </si>
  <si>
    <t>1841611811</t>
  </si>
  <si>
    <t>Inner Strength Chiropractic, LLC</t>
  </si>
  <si>
    <t>2625 Highway 14 W</t>
  </si>
  <si>
    <t>1275769820</t>
  </si>
  <si>
    <t>Junge Family Chiropractic, PLLC</t>
  </si>
  <si>
    <t>4164 18th Ave NW</t>
  </si>
  <si>
    <t>(507) 208-4481</t>
  </si>
  <si>
    <t>1710293832</t>
  </si>
  <si>
    <t>Maday Chiropractic LLC</t>
  </si>
  <si>
    <t>1915 Greenview Dr. SW</t>
  </si>
  <si>
    <t>(507) 424-3226</t>
  </si>
  <si>
    <t>1831335769</t>
  </si>
  <si>
    <t>Northgate Chiropractic Clinic</t>
  </si>
  <si>
    <t>600 11th Avenue NW</t>
  </si>
  <si>
    <t>(507) 285-1677</t>
  </si>
  <si>
    <t>Northgate Health Clinic, PA.</t>
  </si>
  <si>
    <t>1720153745</t>
  </si>
  <si>
    <t>Pirkl Chiropractic</t>
  </si>
  <si>
    <t>2711 Commerce Dr NW</t>
  </si>
  <si>
    <t>(507) 206-4660</t>
  </si>
  <si>
    <t>Natural Choice Chiropractic Center PA.</t>
  </si>
  <si>
    <t>1699175430</t>
  </si>
  <si>
    <t>Quality Life Chiropractic &amp; Massage, PA.</t>
  </si>
  <si>
    <t>3249 19th St NW</t>
  </si>
  <si>
    <t>(507) 206-6334</t>
  </si>
  <si>
    <t>1962667006</t>
  </si>
  <si>
    <t>R.c. Spine Center, PA.</t>
  </si>
  <si>
    <t>3160 Wellner Dr NE</t>
  </si>
  <si>
    <t># 103</t>
  </si>
  <si>
    <t>(507) 206-4338</t>
  </si>
  <si>
    <t>1669715645</t>
  </si>
  <si>
    <t>Rochester Chiropractic &amp; Welln</t>
  </si>
  <si>
    <t>3510 8th St NW</t>
  </si>
  <si>
    <t># 100</t>
  </si>
  <si>
    <t>(507) 424-0655</t>
  </si>
  <si>
    <t>1598290884</t>
  </si>
  <si>
    <t>Rochester Chiropractic and Wellness, PLLC</t>
  </si>
  <si>
    <t>1174883151</t>
  </si>
  <si>
    <t>Saj Family Chiropractic PA.</t>
  </si>
  <si>
    <t>1194053884</t>
  </si>
  <si>
    <t>Southwest Chiropractic and Rehabilitation Services, PA</t>
  </si>
  <si>
    <t>2215 2nd St SW</t>
  </si>
  <si>
    <t>(507) 292-7784</t>
  </si>
  <si>
    <t>1366729790</t>
  </si>
  <si>
    <t>Specific Chiropractic</t>
  </si>
  <si>
    <t>(507) 320-1555</t>
  </si>
  <si>
    <t>Foundation Interests Group, PC.</t>
  </si>
  <si>
    <t>1558719393</t>
  </si>
  <si>
    <t>Trillium Spinal Care PLC</t>
  </si>
  <si>
    <t>2300 Superior Dr NW</t>
  </si>
  <si>
    <t>(507) 322-0133</t>
  </si>
  <si>
    <t>1851839955</t>
  </si>
  <si>
    <t>Wholistic Family Chiropractic</t>
  </si>
  <si>
    <t>(507) 405-4257</t>
  </si>
  <si>
    <t>Wholistic Family Chiropractic LLC</t>
  </si>
  <si>
    <t>1952800153</t>
  </si>
  <si>
    <t>Winkels Chiropractic Functional Medicine Center</t>
  </si>
  <si>
    <t>(507) 410-1144</t>
  </si>
  <si>
    <t>1588024434</t>
  </si>
  <si>
    <t>507 Family Chiropractic LLC</t>
  </si>
  <si>
    <t>100 2nd St SE</t>
  </si>
  <si>
    <t>Stewartville</t>
  </si>
  <si>
    <t>55976</t>
  </si>
  <si>
    <t>(319) 360-6531</t>
  </si>
  <si>
    <t>1467127738</t>
  </si>
  <si>
    <t>Advanced Body Chiropractic PA</t>
  </si>
  <si>
    <t>93 20th St NE</t>
  </si>
  <si>
    <t>(507) 533-4777</t>
  </si>
  <si>
    <t>1760588651</t>
  </si>
  <si>
    <t>Huelskamp Chiropractic Clinic, PA.</t>
  </si>
  <si>
    <t>120 S Main St</t>
  </si>
  <si>
    <t>(507) 533-8011</t>
  </si>
  <si>
    <t>1477732261</t>
  </si>
  <si>
    <t>Complete Chiropractic INC</t>
  </si>
  <si>
    <t>303 Hester St W</t>
  </si>
  <si>
    <t>Dundas</t>
  </si>
  <si>
    <t>55019</t>
  </si>
  <si>
    <t>(507) 645-0333</t>
  </si>
  <si>
    <t>1225218282</t>
  </si>
  <si>
    <t>Dr. Robert J. Erickson, PA.</t>
  </si>
  <si>
    <t>200 8th Ave NW</t>
  </si>
  <si>
    <t>(507) 334-9400</t>
  </si>
  <si>
    <t>1437290186</t>
  </si>
  <si>
    <t>Eilrich Family Chiropractic &amp; Wellness</t>
  </si>
  <si>
    <t>1620 Highway 60 W</t>
  </si>
  <si>
    <t>(507) 384-3800</t>
  </si>
  <si>
    <t>1467517128</t>
  </si>
  <si>
    <t>Faribault Rehabilitation Center</t>
  </si>
  <si>
    <t>(619) 218-6878</t>
  </si>
  <si>
    <t>1598172926</t>
  </si>
  <si>
    <t>Faribault Wellness Center, PA.</t>
  </si>
  <si>
    <t>(757) 277-4844</t>
  </si>
  <si>
    <t>1235597014</t>
  </si>
  <si>
    <t>Healthcare Campus Imaging One, LLC</t>
  </si>
  <si>
    <t>200 State Ave</t>
  </si>
  <si>
    <t>(507) 332-4870</t>
  </si>
  <si>
    <t>1659397784</t>
  </si>
  <si>
    <t>Hoisington Family Chiropractic, PA</t>
  </si>
  <si>
    <t>1033 1st St NE</t>
  </si>
  <si>
    <t>(507) 332-8623</t>
  </si>
  <si>
    <t>1023209541</t>
  </si>
  <si>
    <t>Humfeld Family Chiropractic, PC.</t>
  </si>
  <si>
    <t>119 Central Ave N</t>
  </si>
  <si>
    <t>(507) 333-5388</t>
  </si>
  <si>
    <t>1902968621</t>
  </si>
  <si>
    <t>Minnesota Therapy Solutions</t>
  </si>
  <si>
    <t>(612) 707-1718</t>
  </si>
  <si>
    <t>1083108013</t>
  </si>
  <si>
    <t>Navarro Chiropractic</t>
  </si>
  <si>
    <t>328 Heritage Pl</t>
  </si>
  <si>
    <t>(507) 332-0202</t>
  </si>
  <si>
    <t>Minnesota Health and Wellness Clinics INC.</t>
  </si>
  <si>
    <t>1942303912</t>
  </si>
  <si>
    <t>Potter Chiropractic</t>
  </si>
  <si>
    <t>1620 17th St NW</t>
  </si>
  <si>
    <t>(507) 334-7720</t>
  </si>
  <si>
    <t>1972734135</t>
  </si>
  <si>
    <t>Therapywerks PA</t>
  </si>
  <si>
    <t>(507) 332-2204</t>
  </si>
  <si>
    <t>1760455588</t>
  </si>
  <si>
    <t>Wieber Physical Therapy</t>
  </si>
  <si>
    <t>1700961042</t>
  </si>
  <si>
    <t>Lonsdale Chiropractic</t>
  </si>
  <si>
    <t>100 Main St So</t>
  </si>
  <si>
    <t>Lonsdale</t>
  </si>
  <si>
    <t>55046</t>
  </si>
  <si>
    <t>(507) 744-5514</t>
  </si>
  <si>
    <t>1154586634</t>
  </si>
  <si>
    <t>Twin Cities Spine &amp; Injury Rehabilitation, PLLC</t>
  </si>
  <si>
    <t>708 11th Ave NE</t>
  </si>
  <si>
    <t>(952) 200-1799</t>
  </si>
  <si>
    <t>1114218468</t>
  </si>
  <si>
    <t>Corbett Chiropractic and Health Enhancement, PA</t>
  </si>
  <si>
    <t>(507) 645-8846</t>
  </si>
  <si>
    <t>1497951610</t>
  </si>
  <si>
    <t>Noble Chiropractic Clinic PA</t>
  </si>
  <si>
    <t>205 Division St S</t>
  </si>
  <si>
    <t>(507) 645-8242</t>
  </si>
  <si>
    <t>1487789186</t>
  </si>
  <si>
    <t>Northfield Chiropractic Health Center</t>
  </si>
  <si>
    <t>206 7th St W</t>
  </si>
  <si>
    <t>(507) 663-1271</t>
  </si>
  <si>
    <t>1487768958</t>
  </si>
  <si>
    <t>Prairie Family &amp; Sports Chiropractic PA</t>
  </si>
  <si>
    <t>344 E Main St</t>
  </si>
  <si>
    <t>Blooming Prairie</t>
  </si>
  <si>
    <t>55917</t>
  </si>
  <si>
    <t>(507) 583-2271</t>
  </si>
  <si>
    <t>1821250127</t>
  </si>
  <si>
    <t>Bridges Chiropractic Health Clinic</t>
  </si>
  <si>
    <t>215 18th St SE</t>
  </si>
  <si>
    <t>(507) 451-7580</t>
  </si>
  <si>
    <t>Bridge Street Chiropractic, LTD.</t>
  </si>
  <si>
    <t>1174830293</t>
  </si>
  <si>
    <t>Burnham Clinic PLLC</t>
  </si>
  <si>
    <t>1015 W Frontage Rd</t>
  </si>
  <si>
    <t>(507) 413-0962</t>
  </si>
  <si>
    <t>1265020457</t>
  </si>
  <si>
    <t>Cedar Chiropractic Office</t>
  </si>
  <si>
    <t>130 26th St NW</t>
  </si>
  <si>
    <t>(507) 451-0051</t>
  </si>
  <si>
    <t>1083882849</t>
  </si>
  <si>
    <t>Chiropractic Health Service PA</t>
  </si>
  <si>
    <t>207 W Holly St</t>
  </si>
  <si>
    <t>(507) 451-1654</t>
  </si>
  <si>
    <t>1487759684</t>
  </si>
  <si>
    <t>Corey Schuler DC PLLC</t>
  </si>
  <si>
    <t>1305 Esther Ln</t>
  </si>
  <si>
    <t>(507) 446-0127</t>
  </si>
  <si>
    <t>1164688149</t>
  </si>
  <si>
    <t>Dow Chiropractic, INC.</t>
  </si>
  <si>
    <t>152 E Pearl St</t>
  </si>
  <si>
    <t>(507) 451-1691</t>
  </si>
  <si>
    <t>1629264122</t>
  </si>
  <si>
    <t>Health Track Physical Therapy</t>
  </si>
  <si>
    <t>328 N Cedar Ave</t>
  </si>
  <si>
    <t>(507) 413-6284</t>
  </si>
  <si>
    <t>Health Track LLC.</t>
  </si>
  <si>
    <t>1376930263</t>
  </si>
  <si>
    <t>Imaging Associates, PA</t>
  </si>
  <si>
    <t>903 S Oak Ave</t>
  </si>
  <si>
    <t>(507) 451-3850</t>
  </si>
  <si>
    <t>1144235714</t>
  </si>
  <si>
    <t>In Touch Physical Therapy, INC.</t>
  </si>
  <si>
    <t>(507) 451-7888</t>
  </si>
  <si>
    <t>1710038237</t>
  </si>
  <si>
    <t>Mcgregor Chiropractic PC</t>
  </si>
  <si>
    <t>(507) 455-0199</t>
  </si>
  <si>
    <t>1992877690</t>
  </si>
  <si>
    <t>The Back Program</t>
  </si>
  <si>
    <t>1414 So Oak Ave</t>
  </si>
  <si>
    <t>Ste 2 Owatonna Physical Therapy Center Inc</t>
  </si>
  <si>
    <t>1972821874</t>
  </si>
  <si>
    <t>Urbain Family Chiropractic PLLC</t>
  </si>
  <si>
    <t>128 2nd Ave SE</t>
  </si>
  <si>
    <t>Elgin</t>
  </si>
  <si>
    <t>55932</t>
  </si>
  <si>
    <t>(507) 876-9997</t>
  </si>
  <si>
    <t>1013106053</t>
  </si>
  <si>
    <t>Goihl Chiropractic</t>
  </si>
  <si>
    <t>105 S Lakeshore Dr</t>
  </si>
  <si>
    <t>(651) 345-4140</t>
  </si>
  <si>
    <t>Gregory P Goihl PA</t>
  </si>
  <si>
    <t>1740337484</t>
  </si>
  <si>
    <t>Lake City Chiropractic, LTD.</t>
  </si>
  <si>
    <t>127 S High St</t>
  </si>
  <si>
    <t>(651) 345-3361</t>
  </si>
  <si>
    <t>1992879134</t>
  </si>
  <si>
    <t>Schulz Chiropractic INC</t>
  </si>
  <si>
    <t>925 S Oak St</t>
  </si>
  <si>
    <t>(651) 345-5615</t>
  </si>
  <si>
    <t>1801084009</t>
  </si>
  <si>
    <t>Dr J L Stucky Chiropractor PA</t>
  </si>
  <si>
    <t>349 West Broadway</t>
  </si>
  <si>
    <t>Plainview</t>
  </si>
  <si>
    <t>55964</t>
  </si>
  <si>
    <t>(507) 534-3502</t>
  </si>
  <si>
    <t>1871713362</t>
  </si>
  <si>
    <t>Ott Family Chiropractic &amp; Wellness Clinic LLC</t>
  </si>
  <si>
    <t>165 Pembroke Ave S</t>
  </si>
  <si>
    <t>55981</t>
  </si>
  <si>
    <t>(651) 560-4070</t>
  </si>
  <si>
    <t>1487059291</t>
  </si>
  <si>
    <t>Janesville Family Chiropractic Center LTD</t>
  </si>
  <si>
    <t>133 N Main</t>
  </si>
  <si>
    <t>Janesville</t>
  </si>
  <si>
    <t>56048</t>
  </si>
  <si>
    <t>(507) 234-5134</t>
  </si>
  <si>
    <t>1639344799</t>
  </si>
  <si>
    <t>Dr. William R Beschnett, PA</t>
  </si>
  <si>
    <t>212 15th Ave NE</t>
  </si>
  <si>
    <t>(507) 835-2425</t>
  </si>
  <si>
    <t>1841497146</t>
  </si>
  <si>
    <t>Vibrant Family Chiropractic</t>
  </si>
  <si>
    <t>109 2nd Ave SE</t>
  </si>
  <si>
    <t>(507) 571-2566</t>
  </si>
  <si>
    <t>Vibrant Family Wellness LLC</t>
  </si>
  <si>
    <t>1528623311</t>
  </si>
  <si>
    <t>St. Charles Family Chiropractic</t>
  </si>
  <si>
    <t>213 E 6th St</t>
  </si>
  <si>
    <t>St. Charles</t>
  </si>
  <si>
    <t>55972</t>
  </si>
  <si>
    <t>(507) 932-5696</t>
  </si>
  <si>
    <t>1982873337</t>
  </si>
  <si>
    <t>Back To Health Chiropractic and Wellness, INC.</t>
  </si>
  <si>
    <t>619 Huff St</t>
  </si>
  <si>
    <t>(507) 454-7870</t>
  </si>
  <si>
    <t>1386860351</t>
  </si>
  <si>
    <t>Center For Family Chiropractic</t>
  </si>
  <si>
    <t>601 E Sanborn St</t>
  </si>
  <si>
    <t>(507) 474-1530</t>
  </si>
  <si>
    <t>1518942416</t>
  </si>
  <si>
    <t>Champion Family Chiropractic PSC</t>
  </si>
  <si>
    <t>1213 Gilmore Ave</t>
  </si>
  <si>
    <t>(507) 474-2225</t>
  </si>
  <si>
    <t>1063932770</t>
  </si>
  <si>
    <t>Cone Chiropractic, LTD</t>
  </si>
  <si>
    <t>801 W Sarnia St</t>
  </si>
  <si>
    <t>(507) 454-4898</t>
  </si>
  <si>
    <t>1942388632</t>
  </si>
  <si>
    <t>Coron Family Chiropractic</t>
  </si>
  <si>
    <t>856 W 5th St</t>
  </si>
  <si>
    <t>(507) 459-6505</t>
  </si>
  <si>
    <t>Coron Family Chiropractic PLLC</t>
  </si>
  <si>
    <t>1003355215</t>
  </si>
  <si>
    <t>Crowley Chiropractic</t>
  </si>
  <si>
    <t>111 Market Street</t>
  </si>
  <si>
    <t>Ste 1C</t>
  </si>
  <si>
    <t>(507) 453-9229</t>
  </si>
  <si>
    <t>Ned J. Crowley PC.</t>
  </si>
  <si>
    <t>1578638912</t>
  </si>
  <si>
    <t>Gundersen Clinic, LTD.</t>
  </si>
  <si>
    <t>111 E Riverfront St</t>
  </si>
  <si>
    <t>1588604342</t>
  </si>
  <si>
    <t>Infinity Chiropractic &amp; Wellness</t>
  </si>
  <si>
    <t>51 W 4th St</t>
  </si>
  <si>
    <t>(608) 406-0283</t>
  </si>
  <si>
    <t>Kristin Janelle Lichty</t>
  </si>
  <si>
    <t>1457602005</t>
  </si>
  <si>
    <t>Meisel Chiropractic Center, PA</t>
  </si>
  <si>
    <t>(507) 452-5142</t>
  </si>
  <si>
    <t>1164555371</t>
  </si>
  <si>
    <t>Sport &amp; Spine Physical Therapy of Winona, INC</t>
  </si>
  <si>
    <t>1512 Service Dr</t>
  </si>
  <si>
    <t>(507) 474-6900</t>
  </si>
  <si>
    <t>1467510750</t>
  </si>
  <si>
    <t>Winona Chiropractic Center</t>
  </si>
  <si>
    <t>752 E Sarnia St</t>
  </si>
  <si>
    <t>1336312354</t>
  </si>
  <si>
    <t>Occupro INC.</t>
  </si>
  <si>
    <t>820 Roy St</t>
  </si>
  <si>
    <t>(320) 839-4271</t>
  </si>
  <si>
    <t>1982610747</t>
  </si>
  <si>
    <t>215 2nd St SE</t>
  </si>
  <si>
    <t>(320) 839-2323</t>
  </si>
  <si>
    <t>1669599908</t>
  </si>
  <si>
    <t>Chiropractic Associates</t>
  </si>
  <si>
    <t>544 SW 1st St</t>
  </si>
  <si>
    <t>1750683355</t>
  </si>
  <si>
    <t>Cornerstone Chiropractic Health Partners</t>
  </si>
  <si>
    <t>519 S 1st St</t>
  </si>
  <si>
    <t>(320) 269-3211</t>
  </si>
  <si>
    <t>Gunlogson Family Chiropractic, PA.</t>
  </si>
  <si>
    <t>1821151150</t>
  </si>
  <si>
    <t>Moseng Chiropractic Pllp</t>
  </si>
  <si>
    <t>525 Legion Dr</t>
  </si>
  <si>
    <t>1083120372</t>
  </si>
  <si>
    <t>Northeast Orthopedic Center</t>
  </si>
  <si>
    <t>824 N 11th St</t>
  </si>
  <si>
    <t>(320) 269-8877</t>
  </si>
  <si>
    <t>Terry L Seeman MD</t>
  </si>
  <si>
    <t>1861713059</t>
  </si>
  <si>
    <t>Preferred Health of Montevideo, PA.</t>
  </si>
  <si>
    <t>1845 E Highway 7</t>
  </si>
  <si>
    <t>(320) 269-4774</t>
  </si>
  <si>
    <t>1144279324</t>
  </si>
  <si>
    <t>Green Lake Chiropractic Center</t>
  </si>
  <si>
    <t>194 Progress Way</t>
  </si>
  <si>
    <t>Spicer</t>
  </si>
  <si>
    <t>56288</t>
  </si>
  <si>
    <t>(320) 583-5839</t>
  </si>
  <si>
    <t>Peterson Wellness Clinic PA.</t>
  </si>
  <si>
    <t>1639791932</t>
  </si>
  <si>
    <t>Affiliated Community Medical Centers, LTD</t>
  </si>
  <si>
    <t>101 Willmar Ave SW</t>
  </si>
  <si>
    <t>Affiliated Community Medical Centers</t>
  </si>
  <si>
    <t>(320) 231-5079</t>
  </si>
  <si>
    <t>1952363699</t>
  </si>
  <si>
    <t>Blonigan Christianson Chiropractic</t>
  </si>
  <si>
    <t>1101 S 1st St</t>
  </si>
  <si>
    <t>(320) 235-0515</t>
  </si>
  <si>
    <t>1932244290</t>
  </si>
  <si>
    <t>Boline Fenstra Chiropractic PC</t>
  </si>
  <si>
    <t>1101 1st St S</t>
  </si>
  <si>
    <t>1003075615</t>
  </si>
  <si>
    <t>Compass Chiropractic</t>
  </si>
  <si>
    <t>1100 19th Ave SW</t>
  </si>
  <si>
    <t>(306) 222-1984</t>
  </si>
  <si>
    <t>Compass Chiropractic LLC</t>
  </si>
  <si>
    <t>1710535745</t>
  </si>
  <si>
    <t>Donner Family Chiropractic PA</t>
  </si>
  <si>
    <t>412 19th Ave SW</t>
  </si>
  <si>
    <t>(320) 235-8380</t>
  </si>
  <si>
    <t>1508045055</t>
  </si>
  <si>
    <t>Duininck Chiropractic, PA</t>
  </si>
  <si>
    <t>1550 Willmar Ave SE</t>
  </si>
  <si>
    <t>(320) 235-6320</t>
  </si>
  <si>
    <t>1568503670</t>
  </si>
  <si>
    <t>Lee-Fuhr Chiropractic Clinic PA</t>
  </si>
  <si>
    <t>180 45th Ave SE</t>
  </si>
  <si>
    <t>(320) 235-5444</t>
  </si>
  <si>
    <t>1700919032</t>
  </si>
  <si>
    <t>Linden Chiropractic Clinic PA.</t>
  </si>
  <si>
    <t>1604 1st St S</t>
  </si>
  <si>
    <t>(320) 231-2513</t>
  </si>
  <si>
    <t>1154513489</t>
  </si>
  <si>
    <t>205 5th St SW</t>
  </si>
  <si>
    <t>(320) 214-0044</t>
  </si>
  <si>
    <t>Stadther Chiropractic, LTD</t>
  </si>
  <si>
    <t>1447203427</t>
  </si>
  <si>
    <t>Nelson Clinic and Rehabilitation Care PA</t>
  </si>
  <si>
    <t>515 19th Ave SW</t>
  </si>
  <si>
    <t>(320) 235-2720</t>
  </si>
  <si>
    <t>1811012594</t>
  </si>
  <si>
    <t>Pain Relief Center of Willmar PA.</t>
  </si>
  <si>
    <t>525 1st St Suiteb</t>
  </si>
  <si>
    <t>(320) 222-7246</t>
  </si>
  <si>
    <t>1497793046</t>
  </si>
  <si>
    <t>Prairie Lakes Therapies, INC.</t>
  </si>
  <si>
    <t>2182 66th Ave NE</t>
  </si>
  <si>
    <t>(320) 231-1114</t>
  </si>
  <si>
    <t>1235318098</t>
  </si>
  <si>
    <t>Renew Chiropractic</t>
  </si>
  <si>
    <t>2120 60th Ave NE</t>
  </si>
  <si>
    <t>(320) 403-5047</t>
  </si>
  <si>
    <t>Flannigan Chiropractic PA</t>
  </si>
  <si>
    <t>1942809900</t>
  </si>
  <si>
    <t>Willmar Chiropractic Clinic PA.</t>
  </si>
  <si>
    <t>1950 19th Ave SW</t>
  </si>
  <si>
    <t>(320) 235-7347</t>
  </si>
  <si>
    <t>1417260779</t>
  </si>
  <si>
    <t>Wager Chiropractic PLLC.</t>
  </si>
  <si>
    <t>814 6th St.</t>
  </si>
  <si>
    <t>Dawson</t>
  </si>
  <si>
    <t>56232</t>
  </si>
  <si>
    <t>(320) 312-5000</t>
  </si>
  <si>
    <t>1700466562</t>
  </si>
  <si>
    <t>Madison Chiropractic Center PC</t>
  </si>
  <si>
    <t>508 W 4th St</t>
  </si>
  <si>
    <t>Madison</t>
  </si>
  <si>
    <t>56256</t>
  </si>
  <si>
    <t>(320) 598-3089</t>
  </si>
  <si>
    <t>1801120258</t>
  </si>
  <si>
    <t>Wagner Chiropractic PC</t>
  </si>
  <si>
    <t>202 S Main Plaza</t>
  </si>
  <si>
    <t>Hendricks</t>
  </si>
  <si>
    <t>56136</t>
  </si>
  <si>
    <t>(507) 275-6932</t>
  </si>
  <si>
    <t>1154624096</t>
  </si>
  <si>
    <t>Raschke Chiropractic Center INC.</t>
  </si>
  <si>
    <t>108 Center St. N.</t>
  </si>
  <si>
    <t>Box 37</t>
  </si>
  <si>
    <t>Lake Benton</t>
  </si>
  <si>
    <t>56149</t>
  </si>
  <si>
    <t>(507) 368-3339</t>
  </si>
  <si>
    <t>1881882595</t>
  </si>
  <si>
    <t>Align Family Chiropractic LLC</t>
  </si>
  <si>
    <t>117 W Hughes Street</t>
  </si>
  <si>
    <t>Tyler</t>
  </si>
  <si>
    <t>56178</t>
  </si>
  <si>
    <t>(507) 337-9773</t>
  </si>
  <si>
    <t>1689180259</t>
  </si>
  <si>
    <t>Southwest Family Chiropractic PLC.</t>
  </si>
  <si>
    <t>100 E Highway 14</t>
  </si>
  <si>
    <t>(507) 247-3249</t>
  </si>
  <si>
    <t>1811146301</t>
  </si>
  <si>
    <t>Balanced Health Chiropractic</t>
  </si>
  <si>
    <t>800 E Main St</t>
  </si>
  <si>
    <t>(507) 337-2424</t>
  </si>
  <si>
    <t>1477098515</t>
  </si>
  <si>
    <t>Bruns Chiropractic, INC</t>
  </si>
  <si>
    <t>203 Jewett St</t>
  </si>
  <si>
    <t>(507) 532-2203</t>
  </si>
  <si>
    <t>1144372608</t>
  </si>
  <si>
    <t>Bst Marshall LLC</t>
  </si>
  <si>
    <t>1104987494</t>
  </si>
  <si>
    <t>Elysian Chiropractic Center</t>
  </si>
  <si>
    <t>1305 E College Dr</t>
  </si>
  <si>
    <t>(507) 591-5027</t>
  </si>
  <si>
    <t>1326542473</t>
  </si>
  <si>
    <t>Fixen Chiropractic</t>
  </si>
  <si>
    <t>104 W Redwood St</t>
  </si>
  <si>
    <t>(507) 532-2655</t>
  </si>
  <si>
    <t>The Health Enhancement Centers, PA.</t>
  </si>
  <si>
    <t>1427282268</t>
  </si>
  <si>
    <t>Lastine Chiropractic PC</t>
  </si>
  <si>
    <t>1411 E College Dr</t>
  </si>
  <si>
    <t>(507) 537-1475</t>
  </si>
  <si>
    <t>1477837391</t>
  </si>
  <si>
    <t>Sherman Chiropractic and Rehabilitation</t>
  </si>
  <si>
    <t>902 W College Dr</t>
  </si>
  <si>
    <t>(507) 532-3803</t>
  </si>
  <si>
    <t>1407988512</t>
  </si>
  <si>
    <t>Southwest Minnesota and Sports Medicine, INC. - (marshall)</t>
  </si>
  <si>
    <t>1401 Nwakama St</t>
  </si>
  <si>
    <t>(507) 929-7696</t>
  </si>
  <si>
    <t>Southwest Minnesota Orthopedics and Sports Medicine, INC</t>
  </si>
  <si>
    <t>1063578466</t>
  </si>
  <si>
    <t>Prairie Winds Wellness, PLLC</t>
  </si>
  <si>
    <t>202 E 1st St</t>
  </si>
  <si>
    <t>(507) 872-5200</t>
  </si>
  <si>
    <t>1417277054</t>
  </si>
  <si>
    <t>Tracy Chiropractic, PA.</t>
  </si>
  <si>
    <t>271 3rd St</t>
  </si>
  <si>
    <t>(507) 629-3630</t>
  </si>
  <si>
    <t>1235271859</t>
  </si>
  <si>
    <t>Adrian Chiropractic PLLC</t>
  </si>
  <si>
    <t>212 Maine Ave</t>
  </si>
  <si>
    <t>Adrian</t>
  </si>
  <si>
    <t>56110</t>
  </si>
  <si>
    <t>(507) 360-6231</t>
  </si>
  <si>
    <t>1417317413</t>
  </si>
  <si>
    <t>Cedar Chiropractic Services, PA.</t>
  </si>
  <si>
    <t>921 4th Ave</t>
  </si>
  <si>
    <t>(507) 727-1700</t>
  </si>
  <si>
    <t>1245313212</t>
  </si>
  <si>
    <t>Diagnostic Radiologic Imaging PA</t>
  </si>
  <si>
    <t>1607 N Mcmillan St</t>
  </si>
  <si>
    <t>(507) 372-2120</t>
  </si>
  <si>
    <t>1053338780</t>
  </si>
  <si>
    <t>Iowa Lakes Orthopaedics, PC</t>
  </si>
  <si>
    <t>515 10th St</t>
  </si>
  <si>
    <t>(712) 336-5311</t>
  </si>
  <si>
    <t>1538301254</t>
  </si>
  <si>
    <t>Lewis Chiropractic Clinic</t>
  </si>
  <si>
    <t>1732 Miller St</t>
  </si>
  <si>
    <t>(507) 376-3915</t>
  </si>
  <si>
    <t>1609063783</t>
  </si>
  <si>
    <t>Southwest Chiropractic Clinic of Worthington, PA</t>
  </si>
  <si>
    <t>1301 Diagonal Rd</t>
  </si>
  <si>
    <t>(507) 376-9663</t>
  </si>
  <si>
    <t>1700934429</t>
  </si>
  <si>
    <t>Worthington Chiropractic Clinic PA</t>
  </si>
  <si>
    <t>1820 Oxford St</t>
  </si>
  <si>
    <t>(507) 372-4400</t>
  </si>
  <si>
    <t>1689763021</t>
  </si>
  <si>
    <t>Dynamic Health Chiropractic, LTD.</t>
  </si>
  <si>
    <t>220 W Main St</t>
  </si>
  <si>
    <t>(507) 825-4225</t>
  </si>
  <si>
    <t>1396939997</t>
  </si>
  <si>
    <t>Kuehl Chiropractic, PA.</t>
  </si>
  <si>
    <t>510 7th St SE</t>
  </si>
  <si>
    <t>Unit #4</t>
  </si>
  <si>
    <t>(507) 215-0814</t>
  </si>
  <si>
    <t>1720219918</t>
  </si>
  <si>
    <t>916 4th Ave SW</t>
  </si>
  <si>
    <t>Terry L. Seeman MD</t>
  </si>
  <si>
    <t>1336460526</t>
  </si>
  <si>
    <t>Pipestone Family Chiropractic, PA</t>
  </si>
  <si>
    <t>222 2nd Ave SW</t>
  </si>
  <si>
    <t>(507) 825-2214</t>
  </si>
  <si>
    <t>1497951073</t>
  </si>
  <si>
    <t>Red Rock Chiropractic Center LLC</t>
  </si>
  <si>
    <t>202 S Main St</t>
  </si>
  <si>
    <t>Lamberton</t>
  </si>
  <si>
    <t>56152</t>
  </si>
  <si>
    <t>(507) 752-7650</t>
  </si>
  <si>
    <t>1215441027</t>
  </si>
  <si>
    <t>In-Line Chiropractic, LLC</t>
  </si>
  <si>
    <t>512 2nd Street</t>
  </si>
  <si>
    <t>Morgan</t>
  </si>
  <si>
    <t>56266</t>
  </si>
  <si>
    <t>(507) 249-4900</t>
  </si>
  <si>
    <t>1962587121</t>
  </si>
  <si>
    <t>Active Life Chiropractic, LLC</t>
  </si>
  <si>
    <t>726 E Bridge St</t>
  </si>
  <si>
    <t>(507) 616-1138</t>
  </si>
  <si>
    <t>1447621974</t>
  </si>
  <si>
    <t>Bittner Chiropractic INC.</t>
  </si>
  <si>
    <t>1251 E Bridge St</t>
  </si>
  <si>
    <t>(507) 637-3005</t>
  </si>
  <si>
    <t>1740334929</t>
  </si>
  <si>
    <t>Redwood Chiropractic PSC</t>
  </si>
  <si>
    <t>803 E Bridge St</t>
  </si>
  <si>
    <t>(320) 220-2661</t>
  </si>
  <si>
    <t>1629450069</t>
  </si>
  <si>
    <t>Redwood Health &amp; Wellness</t>
  </si>
  <si>
    <t>523 E Bridge St</t>
  </si>
  <si>
    <t>1720254733</t>
  </si>
  <si>
    <t>Prairie Chiropractic</t>
  </si>
  <si>
    <t>134 Highway 68</t>
  </si>
  <si>
    <t>Wabasso</t>
  </si>
  <si>
    <t>56293</t>
  </si>
  <si>
    <t>(507) 342-2004</t>
  </si>
  <si>
    <t>1972810158</t>
  </si>
  <si>
    <t>Health Enhancement</t>
  </si>
  <si>
    <t>210 Highway Ave</t>
  </si>
  <si>
    <t>Bird Island</t>
  </si>
  <si>
    <t>55310</t>
  </si>
  <si>
    <t>(320) 365-4635</t>
  </si>
  <si>
    <t>Boen Chiropractic PA</t>
  </si>
  <si>
    <t>1609997006</t>
  </si>
  <si>
    <t>Health Choice of Olivia</t>
  </si>
  <si>
    <t>1325 W Lincoln Ave</t>
  </si>
  <si>
    <t>Olivia</t>
  </si>
  <si>
    <t>56277</t>
  </si>
  <si>
    <t>(320) 523-1253</t>
  </si>
  <si>
    <t>1750380366</t>
  </si>
  <si>
    <t>611 E Fairview St</t>
  </si>
  <si>
    <t>(320) 523-1261</t>
  </si>
  <si>
    <t>1376748400</t>
  </si>
  <si>
    <t>Hinderks Chiropractic, PA.</t>
  </si>
  <si>
    <t>317 N Main St.</t>
  </si>
  <si>
    <t>56284</t>
  </si>
  <si>
    <t>(320) 329-8185</t>
  </si>
  <si>
    <t>1073940771</t>
  </si>
  <si>
    <t>Luverne Health &amp; Wellness</t>
  </si>
  <si>
    <t>109 S Freeman Ave</t>
  </si>
  <si>
    <t>(507) 449-4400</t>
  </si>
  <si>
    <t>1356548283</t>
  </si>
  <si>
    <t>Rock County Chiropractic</t>
  </si>
  <si>
    <t>103 E Main St</t>
  </si>
  <si>
    <t>(507) 283-2561</t>
  </si>
  <si>
    <t>1033281704</t>
  </si>
  <si>
    <t>Kavanagh Chiropractic, PA.</t>
  </si>
  <si>
    <t>440 110th Ave SE</t>
  </si>
  <si>
    <t>De Graff</t>
  </si>
  <si>
    <t>56271</t>
  </si>
  <si>
    <t>(612) 590-3899</t>
  </si>
  <si>
    <t>1609007202</t>
  </si>
  <si>
    <t>Mitteness Chiropractic Clinic</t>
  </si>
  <si>
    <t>1104023860</t>
  </si>
  <si>
    <t>Canby Chiropractic Center</t>
  </si>
  <si>
    <t>109 Saint Olaf Ave S</t>
  </si>
  <si>
    <t>(507) 223-5304</t>
  </si>
  <si>
    <t>Canby Chiropractic Center PLLC</t>
  </si>
  <si>
    <t>1992308639</t>
  </si>
  <si>
    <t>Hoff Chiropractic</t>
  </si>
  <si>
    <t>163 8th Ave</t>
  </si>
  <si>
    <t>(320) 564-3830</t>
  </si>
  <si>
    <t>Hoff LTD</t>
  </si>
  <si>
    <t>1346371556</t>
  </si>
  <si>
    <t>Lavin Family Chiropractic Center INC</t>
  </si>
  <si>
    <t>665 Hwy 212 West</t>
  </si>
  <si>
    <t>56285</t>
  </si>
  <si>
    <t>(320) 564-1870</t>
  </si>
  <si>
    <t>1740497452</t>
  </si>
  <si>
    <t>Lundell Chiropractic Health Center</t>
  </si>
  <si>
    <t>1222 Granite St</t>
  </si>
  <si>
    <t>1487972758</t>
  </si>
  <si>
    <t>Minnesota Specialist Clinics: how this list was made</t>
  </si>
  <si>
    <t>Source</t>
  </si>
  <si>
    <t>NPPES, the National Plan and Provider Enumeration System run by CMS (npiregistry.cms.hhs.gov). Every healthcare provider that bills in the US is registered there. It is public-domain data.</t>
  </si>
  <si>
    <t>Pulled September 24, 2026 through the NPI Registry API, Minnesota ZIP code by ZIP code, so the whole state is covered.</t>
  </si>
  <si>
    <t>What counts as a clinic here</t>
  </si>
  <si>
    <t>An organization (not an individual) with its own registered name, a street address in Minnesota and a phone number.</t>
  </si>
  <si>
    <t>One row per clinic location. A group with several locations appears once per location.</t>
  </si>
  <si>
    <t>Main list and Older Entries</t>
  </si>
  <si>
    <t>The main sheets hold clinics whose registry entry was updated in 2022 or later. Clinics are required to keep it current, so a recent update means the clinic itself reviewed its entry in the last few years.</t>
  </si>
  <si>
    <t>The Older Entries sheet holds clinics that have not touched their entry since before 2022. Many are still open, but a web check found a large share had moved or closed, so call before relying on one.</t>
  </si>
  <si>
    <t>Specialty groups</t>
  </si>
  <si>
    <t>Injury Physicians: Orthopedics, spine, sports medicine, neurosurgery, pain, PM&amp;R, neurology.</t>
  </si>
  <si>
    <t>Chiropractic: Chiropractic clinics.</t>
  </si>
  <si>
    <t>Physical Therapy: Physical therapy clinics.</t>
  </si>
  <si>
    <t>Imaging: Radiology and MRI centers.</t>
  </si>
  <si>
    <t>TMJ Specialists: TMJ and orofacial pain specialists and clinics.</t>
  </si>
  <si>
    <t>Oral Surgery: Oral and maxillofacial surgeons (TMJ and jaw surgery).</t>
  </si>
  <si>
    <t>TMJ Specialists and Oral Surgery (added October 19, 2026)</t>
  </si>
  <si>
    <t>TMJ Specialists: dentists registered in Orofacial Pain, the dental specialty for TMJ disorders; clinics whose name says TMJ, TMD or facial pain; and dental practices found on the web that make TMJ a focus, in their name, as a headline service, or through orofacial-pain board certification or training. A specialist whose practice is not registered as a TMJ clinic is listed under the practice the web check found, or under their own name.</t>
  </si>
  <si>
    <t>To find TMJ practices the registry does not label as TMJ, the whole state was searched on the web: the Twin Cities and its suburbs, more than 50 Greater Minnesota cities and towns, the regional health systems (Essentia, Sanford, CentraCare, Mayo Clinic Health System, Gundersen and others), and the member directories of the American Board of Orofacial Pain, the American Academy of Orofacial Pain and the American Academy of Craniofacial Pain. Outside the Twin Cities, Rochester and St. Cloud, few dentists make TMJ a focus.</t>
  </si>
  <si>
    <t>Oral Surgery: oral and maxillofacial surgeons, who operate on the jaw joint and treat jaw and facial injuries. Treats TMJ says whether the practice's own website offers TMJ treatment.</t>
  </si>
  <si>
    <t>Every clinic in these two groups was looked up on the web in October 2026. Website is the clinic's own site. Web Check: Confirmed means it was seen operating at the address shown; New address means it moved and the address shown is the new one; Unverified means it could not be confirmed either way. Clinics found closed were removed, and clinics confirmed open are on the main list even when their registry entry is older.</t>
  </si>
  <si>
    <t>TMJ Specialists Here and Oral Surgeons Here name the individual specialists registered at that address with the clinic's phone number, whose own registry entry has been updated since 2022.</t>
  </si>
  <si>
    <t>Left out on purpose</t>
  </si>
  <si>
    <t>Home-care, in-home and mobile services; therapy provided inside nursing homes and senior communities; school districts; hospice; equipment suppliers; animal chiropractic; radiologist groups that only read scans and see no patients; addresses that are apartments or PO boxes; general dentists who only list TMJ among many other services.</t>
  </si>
  <si>
    <t>Branch clinics of large hospital systems are listed only at the system's main address, because the registry does not say which specialties each branch offers.</t>
  </si>
  <si>
    <t>Columns</t>
  </si>
  <si>
    <t>Specialty Group: the clinic's main group. Also In: other groups it belongs to; it is listed on those sheets too.</t>
  </si>
  <si>
    <t>Providers at Address: individual providers of the same specialty registered at that building (0 = none registered there individually).</t>
  </si>
  <si>
    <t>Registry Updated: when the clinic last updated its federal registry entry.</t>
  </si>
  <si>
    <t>On Xpert Connect: Yes if the clinic, or its health system at the same address, is already in the Xpert Connect directory.</t>
  </si>
  <si>
    <t>Map opens the address in Google Maps. NPPES Record opens the clinic's entry in the federal registry.</t>
  </si>
  <si>
    <t>Limits</t>
  </si>
  <si>
    <t>The registry has no website or email for clinics. Websites are included only for TMJ and Oral Surgery, where each clinic was looked up; there are no emails.</t>
  </si>
  <si>
    <t>Clinics update their own registry entries. A clinic that moved or closed may still show its old address until it updates.</t>
  </si>
  <si>
    <t>Spot check</t>
  </si>
  <si>
    <t>Spot check, September 2026: 112 clinics picked at random from the main list were each looked up against independent web sources (the clinic's own website, health-system location pages, business listings). 65 (58%) were confirmed at the listed address, 9 (8%) are open at a new address, 27 (24%) could not be confirmed online either way, and 11 (10%) were wrong (closed, not a clinic, or a different specialty). Injury Physicians checked best: 30 of 37 confirmed. In the Older Entries sheet, 10 of 41 checked were confirmed.</t>
  </si>
  <si>
    <t>TMJ and oral surgery: 117 clinics looked up on the web in October 2026. 86 were confirmed at their address, 10 had moved (the new address is shown), 13 could not be confirmed, and 8 had closed and were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</si>
</sst>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m\ yyyy"/>
  </numFmts>
  <fonts count="11" x14ac:knownFonts="1">
    <font>
      <sz val="11"/>
      <color theme="1"/>
      <name val="Calibri"/>
      <family val="2"/>
      <scheme val="minor"/>
    </font>
    <font>
      <b/>
      <sz val="18"/>
      <color rgb="FF1F3A5F"/>
      <name val="Arial"/>
    </font>
    <font>
      <i/>
      <sz val="10"/>
      <color rgb="FF595959"/>
      <name val="Arial"/>
    </font>
    <font>
      <b/>
      <sz val="28"/>
      <color rgb="FF1F3A5F"/>
      <name val="Arial"/>
    </font>
    <font>
      <b/>
      <sz val="10"/>
      <name val="Arial"/>
    </font>
    <font>
      <i/>
      <sz val="10"/>
      <color rgb="FF9C5700"/>
      <name val="Arial"/>
    </font>
    <font>
      <b/>
      <sz val="10"/>
      <color rgb="FFFFFFFF"/>
      <name val="Arial"/>
    </font>
    <font>
      <sz val="10"/>
      <name val="Arial"/>
    </font>
    <font>
      <sz val="9"/>
      <color rgb="FF595959"/>
      <name val="Arial"/>
    </font>
    <font>
      <i/>
      <sz val="9"/>
      <color rgb="FF595959"/>
      <name val="Arial"/>
    </font>
    <font>
      <u/>
      <sz val="10"/>
      <color rgb="FF0563C1"/>
      <name val="Arial"/>
    </font>
  </fonts>
  <fills count="3">
    <fill>
      <patternFill patternType="none"/>
    </fill>
    <fill>
      <patternFill patternType="gray125"/>
    </fill>
    <fill>
      <patternFill patternType="solid">
        <fgColor rgb="FF1F3A5F"/>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3" fontId="3" fillId="0" borderId="0" xfId="0" applyNumberFormat="1" applyFont="1" applyAlignment="1">
      <alignment horizontal="left"/>
    </xf>
    <xf numFmtId="0" fontId="4" fillId="0" borderId="0" xfId="0" applyFont="1"/>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0" borderId="1" xfId="0" applyFont="1" applyBorder="1"/>
    <xf numFmtId="3" fontId="7" fillId="0" borderId="1" xfId="0" applyNumberFormat="1" applyFont="1" applyBorder="1" applyAlignment="1">
      <alignment horizontal="center"/>
    </xf>
    <xf numFmtId="0" fontId="9" fillId="0" borderId="0" xfId="0" applyFont="1"/>
    <xf numFmtId="3" fontId="4" fillId="0" borderId="1" xfId="0" applyNumberFormat="1" applyFont="1" applyBorder="1" applyAlignment="1">
      <alignment horizontal="center"/>
    </xf>
    <xf numFmtId="3" fontId="8" fillId="0" borderId="1" xfId="0" applyNumberFormat="1" applyFont="1" applyBorder="1" applyAlignment="1">
      <alignment horizontal="left"/>
    </xf>
    <xf numFmtId="0" fontId="6" fillId="2" borderId="0" xfId="0" applyFont="1" applyFill="1" applyAlignment="1">
      <alignment vertical="center" wrapText="1"/>
    </xf>
    <xf numFmtId="0" fontId="7" fillId="0" borderId="0" xfId="0" applyFont="1"/>
    <xf numFmtId="49" fontId="7" fillId="0" borderId="0" xfId="0" applyNumberFormat="1" applyFont="1" applyAlignment="1">
      <alignment horizontal="center"/>
    </xf>
    <xf numFmtId="49" fontId="7" fillId="0" borderId="0" xfId="0" applyNumberFormat="1" applyFont="1"/>
    <xf numFmtId="0" fontId="7" fillId="0" borderId="0" xfId="0" applyFont="1" applyAlignment="1">
      <alignment horizontal="center"/>
    </xf>
    <xf numFmtId="165" fontId="7" fillId="0" borderId="0" xfId="0" applyNumberFormat="1" applyFont="1" applyAlignment="1">
      <alignment horizontal="center"/>
    </xf>
    <xf numFmtId="0" fontId="10" fillId="0" borderId="0" xfId="0" applyFont="1" applyAlignment="1">
      <alignment horizontal="center"/>
    </xf>
    <xf numFmtId="0" fontId="10" fillId="0" borderId="0" xfId="0" applyFont="1"/>
    <xf numFmtId="0" fontId="1"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8" fillId="0" borderId="0" xfId="0" applyFont="1"/>
    <xf numFmtId="0" fontId="0" fillId="0" borderId="0" xfId="0"/>
    <xf numFmtId="0" fontId="5" fillId="0" borderId="0" xfId="0" applyFont="1" applyAlignment="1">
      <alignment vertical="top" wrapText="1"/>
    </xf>
    <xf numFmtId="0" fontId="6" fillId="2" borderId="1" xfId="0" applyFont="1" applyFill="1" applyBorder="1" applyAlignment="1">
      <alignment horizontal="center" vertical="center" wrapText="1"/>
    </xf>
    <xf numFmtId="0" fontId="0" fillId="0" borderId="2" xfId="0" applyBorder="1"/>
    <xf numFmtId="0" fontId="0" fillId="0" borderId="3" xfId="0" applyBorder="1"/>
    <xf numFmtId="3" fontId="3" fillId="0" borderId="0" xfId="0" applyNumberFormat="1" applyFont="1" applyAlignment="1">
      <alignment horizontal="left"/>
    </xf>
    <xf numFmtId="0" fontId="2" fillId="0" borderId="0" xfId="0" applyFont="1" applyAlignment="1">
      <alignment vertical="top" wrapText="1"/>
    </xf>
  </cellXfs>
  <cellStyles count="1">
    <cellStyle name="Normal" xfId="0" builtinId="0"/>
  </cellStyles>
  <dxfs count="12">
    <dxf>
      <fill>
        <patternFill patternType="solid">
          <fgColor rgb="FFE2EFDA"/>
        </patternFill>
      </fill>
    </dxf>
    <dxf>
      <fill>
        <patternFill patternType="solid">
          <fgColor rgb="FFE2EFDA"/>
        </patternFill>
      </fill>
    </dxf>
    <dxf>
      <fill>
        <patternFill patternType="solid">
          <fgColor rgb="FFFFF2CC"/>
        </patternFill>
      </fill>
    </dxf>
    <dxf>
      <fill>
        <patternFill patternType="solid">
          <fgColor rgb="FFE2EFDA"/>
        </patternFill>
      </fill>
    </dxf>
    <dxf>
      <fill>
        <patternFill patternType="solid">
          <fgColor rgb="FFE2EFDA"/>
        </patternFill>
      </fill>
    </dxf>
    <dxf>
      <fill>
        <patternFill patternType="solid">
          <fgColor rgb="FFFFF2CC"/>
        </patternFill>
      </fill>
    </dxf>
    <dxf>
      <fill>
        <patternFill patternType="solid">
          <fgColor rgb="FFE2EFDA"/>
        </patternFill>
      </fill>
    </dxf>
    <dxf>
      <fill>
        <patternFill patternType="solid">
          <fgColor rgb="FFE2EFDA"/>
        </patternFill>
      </fill>
    </dxf>
    <dxf>
      <fill>
        <patternFill patternType="solid">
          <fgColor rgb="FFE2EFDA"/>
        </patternFill>
      </fill>
    </dxf>
    <dxf>
      <fill>
        <patternFill patternType="solid">
          <fgColor rgb="FFE2EFDA"/>
        </patternFill>
      </fill>
    </dxf>
    <dxf>
      <fill>
        <patternFill patternType="solid">
          <fgColor rgb="FFE2EFDA"/>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Clinics" displayName="AllClinics" ref="A1:R954">
  <autoFilter ref="A1:R954" xr:uid="{00000000-0009-0000-0100-000001000000}"/>
  <tableColumns count="18">
    <tableColumn id="1" xr3:uid="{00000000-0010-0000-0000-000001000000}" name="Clinic Name"/>
    <tableColumn id="2" xr3:uid="{00000000-0010-0000-0000-000002000000}" name="Specialty Group"/>
    <tableColumn id="3" xr3:uid="{00000000-0010-0000-0000-000003000000}" name="Also In"/>
    <tableColumn id="4" xr3:uid="{00000000-0010-0000-0000-000004000000}" name="Specialties"/>
    <tableColumn id="5" xr3:uid="{00000000-0010-0000-0000-000005000000}" name="Street"/>
    <tableColumn id="6" xr3:uid="{00000000-0010-0000-0000-000006000000}" name="Suite"/>
    <tableColumn id="7" xr3:uid="{00000000-0010-0000-0000-000007000000}" name="City"/>
    <tableColumn id="8" xr3:uid="{00000000-0010-0000-0000-000008000000}" name="County"/>
    <tableColumn id="9" xr3:uid="{00000000-0010-0000-0000-000009000000}" name="Region"/>
    <tableColumn id="10" xr3:uid="{00000000-0010-0000-0000-00000A000000}" name="ZIP"/>
    <tableColumn id="11" xr3:uid="{00000000-0010-0000-0000-00000B000000}" name="Phone"/>
    <tableColumn id="12" xr3:uid="{00000000-0010-0000-0000-00000C000000}" name="Providers at Address"/>
    <tableColumn id="13" xr3:uid="{00000000-0010-0000-0000-00000D000000}" name="On Xpert Connect"/>
    <tableColumn id="14" xr3:uid="{00000000-0010-0000-0000-00000E000000}" name="Registry Updated"/>
    <tableColumn id="15" xr3:uid="{00000000-0010-0000-0000-00000F000000}" name="Legal Name"/>
    <tableColumn id="16" xr3:uid="{00000000-0010-0000-0000-000010000000}" name="NPI"/>
    <tableColumn id="17" xr3:uid="{00000000-0010-0000-0000-000011000000}" name="Map"/>
    <tableColumn id="18" xr3:uid="{00000000-0010-0000-0000-000012000000}" name="NPPES Recor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juryPhysicians" displayName="InjuryPhysicians" ref="A1:R154">
  <autoFilter ref="A1:R154" xr:uid="{00000000-0009-0000-0100-000002000000}"/>
  <tableColumns count="18">
    <tableColumn id="1" xr3:uid="{00000000-0010-0000-0100-000001000000}" name="Clinic Name"/>
    <tableColumn id="2" xr3:uid="{00000000-0010-0000-0100-000002000000}" name="Specialty Group"/>
    <tableColumn id="3" xr3:uid="{00000000-0010-0000-0100-000003000000}" name="Also In"/>
    <tableColumn id="4" xr3:uid="{00000000-0010-0000-0100-000004000000}" name="Specialties"/>
    <tableColumn id="5" xr3:uid="{00000000-0010-0000-0100-000005000000}" name="Street"/>
    <tableColumn id="6" xr3:uid="{00000000-0010-0000-0100-000006000000}" name="Suite"/>
    <tableColumn id="7" xr3:uid="{00000000-0010-0000-0100-000007000000}" name="City"/>
    <tableColumn id="8" xr3:uid="{00000000-0010-0000-0100-000008000000}" name="County"/>
    <tableColumn id="9" xr3:uid="{00000000-0010-0000-0100-000009000000}" name="Region"/>
    <tableColumn id="10" xr3:uid="{00000000-0010-0000-0100-00000A000000}" name="ZIP"/>
    <tableColumn id="11" xr3:uid="{00000000-0010-0000-0100-00000B000000}" name="Phone"/>
    <tableColumn id="12" xr3:uid="{00000000-0010-0000-0100-00000C000000}" name="Providers at Address"/>
    <tableColumn id="13" xr3:uid="{00000000-0010-0000-0100-00000D000000}" name="On Xpert Connect"/>
    <tableColumn id="14" xr3:uid="{00000000-0010-0000-0100-00000E000000}" name="Registry Updated"/>
    <tableColumn id="15" xr3:uid="{00000000-0010-0000-0100-00000F000000}" name="Legal Name"/>
    <tableColumn id="16" xr3:uid="{00000000-0010-0000-0100-000010000000}" name="NPI"/>
    <tableColumn id="17" xr3:uid="{00000000-0010-0000-0100-000011000000}" name="Map"/>
    <tableColumn id="18" xr3:uid="{00000000-0010-0000-0100-000012000000}" name="NPPES Recor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iropractic" displayName="Chiropractic" ref="A1:R441">
  <autoFilter ref="A1:R441" xr:uid="{00000000-0009-0000-0100-000003000000}"/>
  <tableColumns count="18">
    <tableColumn id="1" xr3:uid="{00000000-0010-0000-0200-000001000000}" name="Clinic Name"/>
    <tableColumn id="2" xr3:uid="{00000000-0010-0000-0200-000002000000}" name="Specialty Group"/>
    <tableColumn id="3" xr3:uid="{00000000-0010-0000-0200-000003000000}" name="Also In"/>
    <tableColumn id="4" xr3:uid="{00000000-0010-0000-0200-000004000000}" name="Specialties"/>
    <tableColumn id="5" xr3:uid="{00000000-0010-0000-0200-000005000000}" name="Street"/>
    <tableColumn id="6" xr3:uid="{00000000-0010-0000-0200-000006000000}" name="Suite"/>
    <tableColumn id="7" xr3:uid="{00000000-0010-0000-0200-000007000000}" name="City"/>
    <tableColumn id="8" xr3:uid="{00000000-0010-0000-0200-000008000000}" name="County"/>
    <tableColumn id="9" xr3:uid="{00000000-0010-0000-0200-000009000000}" name="Region"/>
    <tableColumn id="10" xr3:uid="{00000000-0010-0000-0200-00000A000000}" name="ZIP"/>
    <tableColumn id="11" xr3:uid="{00000000-0010-0000-0200-00000B000000}" name="Phone"/>
    <tableColumn id="12" xr3:uid="{00000000-0010-0000-0200-00000C000000}" name="Providers at Address"/>
    <tableColumn id="13" xr3:uid="{00000000-0010-0000-0200-00000D000000}" name="On Xpert Connect"/>
    <tableColumn id="14" xr3:uid="{00000000-0010-0000-0200-00000E000000}" name="Registry Updated"/>
    <tableColumn id="15" xr3:uid="{00000000-0010-0000-0200-00000F000000}" name="Legal Name"/>
    <tableColumn id="16" xr3:uid="{00000000-0010-0000-0200-000010000000}" name="NPI"/>
    <tableColumn id="17" xr3:uid="{00000000-0010-0000-0200-000011000000}" name="Map"/>
    <tableColumn id="18" xr3:uid="{00000000-0010-0000-0200-000012000000}" name="NPPES Recor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ysicalTherapy" displayName="PhysicalTherapy" ref="A1:R299">
  <autoFilter ref="A1:R299" xr:uid="{00000000-0009-0000-0100-000004000000}"/>
  <tableColumns count="18">
    <tableColumn id="1" xr3:uid="{00000000-0010-0000-0300-000001000000}" name="Clinic Name"/>
    <tableColumn id="2" xr3:uid="{00000000-0010-0000-0300-000002000000}" name="Specialty Group"/>
    <tableColumn id="3" xr3:uid="{00000000-0010-0000-0300-000003000000}" name="Also In"/>
    <tableColumn id="4" xr3:uid="{00000000-0010-0000-0300-000004000000}" name="Specialties"/>
    <tableColumn id="5" xr3:uid="{00000000-0010-0000-0300-000005000000}" name="Street"/>
    <tableColumn id="6" xr3:uid="{00000000-0010-0000-0300-000006000000}" name="Suite"/>
    <tableColumn id="7" xr3:uid="{00000000-0010-0000-0300-000007000000}" name="City"/>
    <tableColumn id="8" xr3:uid="{00000000-0010-0000-0300-000008000000}" name="County"/>
    <tableColumn id="9" xr3:uid="{00000000-0010-0000-0300-000009000000}" name="Region"/>
    <tableColumn id="10" xr3:uid="{00000000-0010-0000-0300-00000A000000}" name="ZIP"/>
    <tableColumn id="11" xr3:uid="{00000000-0010-0000-0300-00000B000000}" name="Phone"/>
    <tableColumn id="12" xr3:uid="{00000000-0010-0000-0300-00000C000000}" name="Providers at Address"/>
    <tableColumn id="13" xr3:uid="{00000000-0010-0000-0300-00000D000000}" name="On Xpert Connect"/>
    <tableColumn id="14" xr3:uid="{00000000-0010-0000-0300-00000E000000}" name="Registry Updated"/>
    <tableColumn id="15" xr3:uid="{00000000-0010-0000-0300-00000F000000}" name="Legal Name"/>
    <tableColumn id="16" xr3:uid="{00000000-0010-0000-0300-000010000000}" name="NPI"/>
    <tableColumn id="17" xr3:uid="{00000000-0010-0000-0300-000011000000}" name="Map"/>
    <tableColumn id="18" xr3:uid="{00000000-0010-0000-0300-000012000000}" name="NPPES Record"/>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maging" displayName="Imaging" ref="A1:R17">
  <autoFilter ref="A1:R17" xr:uid="{00000000-0009-0000-0100-000005000000}"/>
  <tableColumns count="18">
    <tableColumn id="1" xr3:uid="{00000000-0010-0000-0400-000001000000}" name="Clinic Name"/>
    <tableColumn id="2" xr3:uid="{00000000-0010-0000-0400-000002000000}" name="Specialty Group"/>
    <tableColumn id="3" xr3:uid="{00000000-0010-0000-0400-000003000000}" name="Also In"/>
    <tableColumn id="4" xr3:uid="{00000000-0010-0000-0400-000004000000}" name="Specialties"/>
    <tableColumn id="5" xr3:uid="{00000000-0010-0000-0400-000005000000}" name="Street"/>
    <tableColumn id="6" xr3:uid="{00000000-0010-0000-0400-000006000000}" name="Suite"/>
    <tableColumn id="7" xr3:uid="{00000000-0010-0000-0400-000007000000}" name="City"/>
    <tableColumn id="8" xr3:uid="{00000000-0010-0000-0400-000008000000}" name="County"/>
    <tableColumn id="9" xr3:uid="{00000000-0010-0000-0400-000009000000}" name="Region"/>
    <tableColumn id="10" xr3:uid="{00000000-0010-0000-0400-00000A000000}" name="ZIP"/>
    <tableColumn id="11" xr3:uid="{00000000-0010-0000-0400-00000B000000}" name="Phone"/>
    <tableColumn id="12" xr3:uid="{00000000-0010-0000-0400-00000C000000}" name="Providers at Address"/>
    <tableColumn id="13" xr3:uid="{00000000-0010-0000-0400-00000D000000}" name="On Xpert Connect"/>
    <tableColumn id="14" xr3:uid="{00000000-0010-0000-0400-00000E000000}" name="Registry Updated"/>
    <tableColumn id="15" xr3:uid="{00000000-0010-0000-0400-00000F000000}" name="Legal Name"/>
    <tableColumn id="16" xr3:uid="{00000000-0010-0000-0400-000010000000}" name="NPI"/>
    <tableColumn id="17" xr3:uid="{00000000-0010-0000-0400-000011000000}" name="Map"/>
    <tableColumn id="18" xr3:uid="{00000000-0010-0000-0400-000012000000}" name="NPPES Record"/>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MJSpecialists" displayName="TMJSpecialists" ref="A1:U34">
  <autoFilter ref="A1:U34" xr:uid="{00000000-0009-0000-0100-000006000000}"/>
  <tableColumns count="21">
    <tableColumn id="1" xr3:uid="{00000000-0010-0000-0500-000001000000}" name="Clinic Name"/>
    <tableColumn id="2" xr3:uid="{00000000-0010-0000-0500-000002000000}" name="Specialty Group"/>
    <tableColumn id="3" xr3:uid="{00000000-0010-0000-0500-000003000000}" name="Also In"/>
    <tableColumn id="4" xr3:uid="{00000000-0010-0000-0500-000004000000}" name="Specialties"/>
    <tableColumn id="5" xr3:uid="{00000000-0010-0000-0500-000005000000}" name="TMJ Specialists Here"/>
    <tableColumn id="6" xr3:uid="{00000000-0010-0000-0500-000006000000}" name="Street"/>
    <tableColumn id="7" xr3:uid="{00000000-0010-0000-0500-000007000000}" name="Suite"/>
    <tableColumn id="8" xr3:uid="{00000000-0010-0000-0500-000008000000}" name="City"/>
    <tableColumn id="9" xr3:uid="{00000000-0010-0000-0500-000009000000}" name="County"/>
    <tableColumn id="10" xr3:uid="{00000000-0010-0000-0500-00000A000000}" name="Region"/>
    <tableColumn id="11" xr3:uid="{00000000-0010-0000-0500-00000B000000}" name="ZIP"/>
    <tableColumn id="12" xr3:uid="{00000000-0010-0000-0500-00000C000000}" name="Phone"/>
    <tableColumn id="13" xr3:uid="{00000000-0010-0000-0500-00000D000000}" name="Website"/>
    <tableColumn id="14" xr3:uid="{00000000-0010-0000-0500-00000E000000}" name="Web Check"/>
    <tableColumn id="15" xr3:uid="{00000000-0010-0000-0500-00000F000000}" name="Providers at Address"/>
    <tableColumn id="16" xr3:uid="{00000000-0010-0000-0500-000010000000}" name="On Xpert Connect"/>
    <tableColumn id="17" xr3:uid="{00000000-0010-0000-0500-000011000000}" name="Registry Updated"/>
    <tableColumn id="18" xr3:uid="{00000000-0010-0000-0500-000012000000}" name="Legal Name"/>
    <tableColumn id="19" xr3:uid="{00000000-0010-0000-0500-000013000000}" name="NPI"/>
    <tableColumn id="20" xr3:uid="{00000000-0010-0000-0500-000014000000}" name="Map"/>
    <tableColumn id="21" xr3:uid="{00000000-0010-0000-0500-000015000000}" name="NPPES Record"/>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ralSurgery" displayName="OralSurgery" ref="A1:V68">
  <autoFilter ref="A1:V68" xr:uid="{00000000-0009-0000-0100-000007000000}"/>
  <tableColumns count="22">
    <tableColumn id="1" xr3:uid="{00000000-0010-0000-0600-000001000000}" name="Clinic Name"/>
    <tableColumn id="2" xr3:uid="{00000000-0010-0000-0600-000002000000}" name="Specialty Group"/>
    <tableColumn id="3" xr3:uid="{00000000-0010-0000-0600-000003000000}" name="Also In"/>
    <tableColumn id="4" xr3:uid="{00000000-0010-0000-0600-000004000000}" name="Specialties"/>
    <tableColumn id="5" xr3:uid="{00000000-0010-0000-0600-000005000000}" name="Oral Surgeons Here"/>
    <tableColumn id="6" xr3:uid="{00000000-0010-0000-0600-000006000000}" name="Street"/>
    <tableColumn id="7" xr3:uid="{00000000-0010-0000-0600-000007000000}" name="Suite"/>
    <tableColumn id="8" xr3:uid="{00000000-0010-0000-0600-000008000000}" name="City"/>
    <tableColumn id="9" xr3:uid="{00000000-0010-0000-0600-000009000000}" name="County"/>
    <tableColumn id="10" xr3:uid="{00000000-0010-0000-0600-00000A000000}" name="Region"/>
    <tableColumn id="11" xr3:uid="{00000000-0010-0000-0600-00000B000000}" name="ZIP"/>
    <tableColumn id="12" xr3:uid="{00000000-0010-0000-0600-00000C000000}" name="Phone"/>
    <tableColumn id="13" xr3:uid="{00000000-0010-0000-0600-00000D000000}" name="Website"/>
    <tableColumn id="14" xr3:uid="{00000000-0010-0000-0600-00000E000000}" name="Web Check"/>
    <tableColumn id="15" xr3:uid="{00000000-0010-0000-0600-00000F000000}" name="Treats TMJ"/>
    <tableColumn id="16" xr3:uid="{00000000-0010-0000-0600-000010000000}" name="Providers at Address"/>
    <tableColumn id="17" xr3:uid="{00000000-0010-0000-0600-000011000000}" name="On Xpert Connect"/>
    <tableColumn id="18" xr3:uid="{00000000-0010-0000-0600-000012000000}" name="Registry Updated"/>
    <tableColumn id="19" xr3:uid="{00000000-0010-0000-0600-000013000000}" name="Legal Name"/>
    <tableColumn id="20" xr3:uid="{00000000-0010-0000-0600-000014000000}" name="NPI"/>
    <tableColumn id="21" xr3:uid="{00000000-0010-0000-0600-000015000000}" name="Map"/>
    <tableColumn id="22" xr3:uid="{00000000-0010-0000-0600-000016000000}" name="NPPES Record"/>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OlderEntries" displayName="OlderEntries" ref="A1:R2082">
  <autoFilter ref="A1:R2082" xr:uid="{00000000-0009-0000-0100-000008000000}"/>
  <tableColumns count="18">
    <tableColumn id="1" xr3:uid="{00000000-0010-0000-0700-000001000000}" name="Clinic Name"/>
    <tableColumn id="2" xr3:uid="{00000000-0010-0000-0700-000002000000}" name="Specialty Group"/>
    <tableColumn id="3" xr3:uid="{00000000-0010-0000-0700-000003000000}" name="Also In"/>
    <tableColumn id="4" xr3:uid="{00000000-0010-0000-0700-000004000000}" name="Specialties"/>
    <tableColumn id="5" xr3:uid="{00000000-0010-0000-0700-000005000000}" name="Street"/>
    <tableColumn id="6" xr3:uid="{00000000-0010-0000-0700-000006000000}" name="Suite"/>
    <tableColumn id="7" xr3:uid="{00000000-0010-0000-0700-000007000000}" name="City"/>
    <tableColumn id="8" xr3:uid="{00000000-0010-0000-0700-000008000000}" name="County"/>
    <tableColumn id="9" xr3:uid="{00000000-0010-0000-0700-000009000000}" name="Region"/>
    <tableColumn id="10" xr3:uid="{00000000-0010-0000-0700-00000A000000}" name="ZIP"/>
    <tableColumn id="11" xr3:uid="{00000000-0010-0000-0700-00000B000000}" name="Phone"/>
    <tableColumn id="12" xr3:uid="{00000000-0010-0000-0700-00000C000000}" name="Providers at Address"/>
    <tableColumn id="13" xr3:uid="{00000000-0010-0000-0700-00000D000000}" name="On Xpert Connect"/>
    <tableColumn id="14" xr3:uid="{00000000-0010-0000-0700-00000E000000}" name="Registry Updated"/>
    <tableColumn id="15" xr3:uid="{00000000-0010-0000-0700-00000F000000}" name="Legal Name"/>
    <tableColumn id="16" xr3:uid="{00000000-0010-0000-0700-000010000000}" name="NPI"/>
    <tableColumn id="17" xr3:uid="{00000000-0010-0000-0700-000011000000}" name="Map"/>
    <tableColumn id="18" xr3:uid="{00000000-0010-0000-0700-000012000000}" name="NPPES Recor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522" Type="http://schemas.openxmlformats.org/officeDocument/2006/relationships/hyperlink" Target="https://npiregistry.cms.hhs.gov/provider-view/1568307403" TargetMode="External"/><Relationship Id="rId1827" Type="http://schemas.openxmlformats.org/officeDocument/2006/relationships/hyperlink" Target="https://www.google.com/maps/search/?api=1&amp;query=Compcare+Occupational+Medicine+%26+Urgent+Care%2C+1232+S+Oak+Ave%2C+Owatonna%2C+MN+55060" TargetMode="External"/><Relationship Id="rId21" Type="http://schemas.openxmlformats.org/officeDocument/2006/relationships/hyperlink" Target="https://www.google.com/maps/search/?api=1&amp;query=Novacare+Rehabilitation%2C+11855+Ulysses+St+NE%2C+Blaine%2C+MN+55434" TargetMode="External"/><Relationship Id="rId170" Type="http://schemas.openxmlformats.org/officeDocument/2006/relationships/hyperlink" Target="https://npiregistry.cms.hhs.gov/provider-view/1407809494" TargetMode="External"/><Relationship Id="rId268" Type="http://schemas.openxmlformats.org/officeDocument/2006/relationships/hyperlink" Target="https://npiregistry.cms.hhs.gov/provider-view/1679392781" TargetMode="External"/><Relationship Id="rId475" Type="http://schemas.openxmlformats.org/officeDocument/2006/relationships/hyperlink" Target="https://www.google.com/maps/search/?api=1&amp;query=Healthpro+Heritage+Rehab+%26+Fitness%2C+LLC%2C+7128+France+Ave+S%2C+Edina%2C+MN+55435" TargetMode="External"/><Relationship Id="rId682" Type="http://schemas.openxmlformats.org/officeDocument/2006/relationships/hyperlink" Target="https://www.google.com/maps/search/?api=1&amp;query=The+Next+Level+Physio%2C+LLC%2C+383+W+60th+St%2C+Minneapolis%2C+MN+55419" TargetMode="External"/><Relationship Id="rId128" Type="http://schemas.openxmlformats.org/officeDocument/2006/relationships/hyperlink" Target="https://npiregistry.cms.hhs.gov/provider-view/1972142081" TargetMode="External"/><Relationship Id="rId335" Type="http://schemas.openxmlformats.org/officeDocument/2006/relationships/hyperlink" Target="https://www.google.com/maps/search/?api=1&amp;query=Dr.+Cassie+Mcguire%2C+Holistic+Chiropractic+%26+Wellness%2C+8120+Penn+Ave+S%2C+Bloomington%2C+MN+55431" TargetMode="External"/><Relationship Id="rId542" Type="http://schemas.openxmlformats.org/officeDocument/2006/relationships/hyperlink" Target="https://npiregistry.cms.hhs.gov/provider-view/1922733500" TargetMode="External"/><Relationship Id="rId987" Type="http://schemas.openxmlformats.org/officeDocument/2006/relationships/hyperlink" Target="https://npiregistry.cms.hhs.gov/provider-view/1144189648" TargetMode="External"/><Relationship Id="rId1172" Type="http://schemas.openxmlformats.org/officeDocument/2006/relationships/hyperlink" Target="https://npiregistry.cms.hhs.gov/provider-view/1467266171" TargetMode="External"/><Relationship Id="rId402" Type="http://schemas.openxmlformats.org/officeDocument/2006/relationships/hyperlink" Target="https://npiregistry.cms.hhs.gov/provider-view/1730835257" TargetMode="External"/><Relationship Id="rId847" Type="http://schemas.openxmlformats.org/officeDocument/2006/relationships/hyperlink" Target="https://npiregistry.cms.hhs.gov/provider-view/1568071199" TargetMode="External"/><Relationship Id="rId1032" Type="http://schemas.openxmlformats.org/officeDocument/2006/relationships/hyperlink" Target="https://www.google.com/maps/search/?api=1&amp;query=Novacare+Rehabilitation%2C+480+Highway+96+E%2C+Vadnais+Heights%2C+MN+55127" TargetMode="External"/><Relationship Id="rId1477" Type="http://schemas.openxmlformats.org/officeDocument/2006/relationships/hyperlink" Target="https://www.google.com/maps/search/?api=1&amp;query=Jonker+Chiropractic+Sc%2C+1730+E+Superior+St%2C+Duluth%2C+MN+55812" TargetMode="External"/><Relationship Id="rId1684" Type="http://schemas.openxmlformats.org/officeDocument/2006/relationships/hyperlink" Target="https://npiregistry.cms.hhs.gov/provider-view/1386358141" TargetMode="External"/><Relationship Id="rId1891" Type="http://schemas.openxmlformats.org/officeDocument/2006/relationships/hyperlink" Target="https://www.google.com/maps/search/?api=1&amp;query=Sanford+Clinic%2C+1601+Sioux+Valley+Dr%2C+Luverne%2C+MN+56156" TargetMode="External"/><Relationship Id="rId707" Type="http://schemas.openxmlformats.org/officeDocument/2006/relationships/hyperlink" Target="https://npiregistry.cms.hhs.gov/provider-view/1457172140" TargetMode="External"/><Relationship Id="rId914" Type="http://schemas.openxmlformats.org/officeDocument/2006/relationships/hyperlink" Target="https://www.google.com/maps/search/?api=1&amp;query=Arete+Networks+of+Minnesota+LLC%2C+1021+Bandana+Blvd+E%2C+St.+Paul%2C+MN+55108" TargetMode="External"/><Relationship Id="rId1337" Type="http://schemas.openxmlformats.org/officeDocument/2006/relationships/hyperlink" Target="https://www.google.com/maps/search/?api=1&amp;query=Family+Achievement+Center+of+Central+Minnesota%2C+2904+Roosevelt+Rd%2C+St.+Cloud%2C+MN+56301" TargetMode="External"/><Relationship Id="rId1544" Type="http://schemas.openxmlformats.org/officeDocument/2006/relationships/hyperlink" Target="https://npiregistry.cms.hhs.gov/provider-view/1982477030" TargetMode="External"/><Relationship Id="rId1751" Type="http://schemas.openxmlformats.org/officeDocument/2006/relationships/hyperlink" Target="https://www.google.com/maps/search/?api=1&amp;query=K+Chiropractic%2C+13+W+Main+St%2C+Adams%2C+MN+55909" TargetMode="External"/><Relationship Id="rId43" Type="http://schemas.openxmlformats.org/officeDocument/2006/relationships/hyperlink" Target="https://www.google.com/maps/search/?api=1&amp;query=Mary+T+Outpatient%2C+11800+Xeon+Blvd+NW%2C+Coon+Rapids%2C+MN+55448" TargetMode="External"/><Relationship Id="rId1404" Type="http://schemas.openxmlformats.org/officeDocument/2006/relationships/hyperlink" Target="https://npiregistry.cms.hhs.gov/provider-view/1194020669" TargetMode="External"/><Relationship Id="rId1611" Type="http://schemas.openxmlformats.org/officeDocument/2006/relationships/hyperlink" Target="https://www.google.com/maps/search/?api=1&amp;query=Core+Family+Chiropractic%2C+909+N+Cleveland+Ave%2C+Fergus+Falls%2C+MN+56537" TargetMode="External"/><Relationship Id="rId1849" Type="http://schemas.openxmlformats.org/officeDocument/2006/relationships/hyperlink" Target="https://www.google.com/maps/search/?api=1&amp;query=Acupuncture+Chiropractic+Clinic+LLC%2C+130+Willmar+Ave+SE%2C+Willmar%2C+MN+56201" TargetMode="External"/><Relationship Id="rId192" Type="http://schemas.openxmlformats.org/officeDocument/2006/relationships/hyperlink" Target="https://npiregistry.cms.hhs.gov/provider-view/1750871372" TargetMode="External"/><Relationship Id="rId1709" Type="http://schemas.openxmlformats.org/officeDocument/2006/relationships/hyperlink" Target="https://www.google.com/maps/search/?api=1&amp;query=Rising+Sun+Chiropractic%2C+PLC%2C+1520+S+Minnesota+Ave%2C+St.+Peter%2C+MN+56082" TargetMode="External"/><Relationship Id="rId497" Type="http://schemas.openxmlformats.org/officeDocument/2006/relationships/hyperlink" Target="https://www.google.com/maps/search/?api=1&amp;query=Nura+PLLC%2C+7400+France+Ave+S%2C+Edina%2C+MN+55435" TargetMode="External"/><Relationship Id="rId357" Type="http://schemas.openxmlformats.org/officeDocument/2006/relationships/hyperlink" Target="https://www.google.com/maps/search/?api=1&amp;query=Shooting+Star+Pediatric+Physical+Therapy+LLC%2C+8120+Penn+Ave+S%2C+Bloomington%2C+MN+55431" TargetMode="External"/><Relationship Id="rId1194" Type="http://schemas.openxmlformats.org/officeDocument/2006/relationships/hyperlink" Target="https://npiregistry.cms.hhs.gov/provider-view/1447853585" TargetMode="External"/><Relationship Id="rId217" Type="http://schemas.openxmlformats.org/officeDocument/2006/relationships/hyperlink" Target="https://www.google.com/maps/search/?api=1&amp;query=The+Facial+Pain+Center%2C+40+W+Nicollet+Blvd%2C+Burnsville%2C+MN+55337" TargetMode="External"/><Relationship Id="rId564" Type="http://schemas.openxmlformats.org/officeDocument/2006/relationships/hyperlink" Target="https://npiregistry.cms.hhs.gov/provider-view/1184543001" TargetMode="External"/><Relationship Id="rId771" Type="http://schemas.openxmlformats.org/officeDocument/2006/relationships/hyperlink" Target="https://npiregistry.cms.hhs.gov/provider-view/1063013340" TargetMode="External"/><Relationship Id="rId869" Type="http://schemas.openxmlformats.org/officeDocument/2006/relationships/hyperlink" Target="https://npiregistry.cms.hhs.gov/provider-view/1164604146" TargetMode="External"/><Relationship Id="rId1499" Type="http://schemas.openxmlformats.org/officeDocument/2006/relationships/hyperlink" Target="https://www.google.com/maps/search/?api=1&amp;query=Therapy+Partners%2C+INC.%2C+2701+W+Superior+St%2C+Duluth%2C+MN+55806" TargetMode="External"/><Relationship Id="rId424" Type="http://schemas.openxmlformats.org/officeDocument/2006/relationships/hyperlink" Target="https://npiregistry.cms.hhs.gov/provider-view/1710216858" TargetMode="External"/><Relationship Id="rId631" Type="http://schemas.openxmlformats.org/officeDocument/2006/relationships/hyperlink" Target="https://www.google.com/maps/search/?api=1&amp;query=Lakes+Holistic+Care+LLC%2C+5601+Chicago+Ave%2C+Minneapolis%2C+MN+55417" TargetMode="External"/><Relationship Id="rId729" Type="http://schemas.openxmlformats.org/officeDocument/2006/relationships/hyperlink" Target="https://npiregistry.cms.hhs.gov/provider-view/1023530862" TargetMode="External"/><Relationship Id="rId1054" Type="http://schemas.openxmlformats.org/officeDocument/2006/relationships/hyperlink" Target="https://www.google.com/maps/search/?api=1&amp;query=Triage+Wellness+Institute+PA%2C+115+Old+Town+Rd%2C+Elko+New+Market%2C+MN+55054" TargetMode="External"/><Relationship Id="rId1261" Type="http://schemas.openxmlformats.org/officeDocument/2006/relationships/hyperlink" Target="https://www.google.com/maps/search/?api=1&amp;query=Healthsource+of+Delano%2C+128+River+St+N%2C+Delano%2C+MN+55328" TargetMode="External"/><Relationship Id="rId1359" Type="http://schemas.openxmlformats.org/officeDocument/2006/relationships/hyperlink" Target="https://www.google.com/maps/search/?api=1&amp;query=Skadsem+Weum+Chiropractic+PLLC%2C+1225+Washington+Ave%2C+Detroit+Lakes%2C+MN+56501" TargetMode="External"/><Relationship Id="rId936" Type="http://schemas.openxmlformats.org/officeDocument/2006/relationships/hyperlink" Target="https://www.google.com/maps/search/?api=1&amp;query=Entira+Family+Clinics-East+Side%2C+1385+Phalen+Blvd%2C+St.+Paul%2C+MN+55106" TargetMode="External"/><Relationship Id="rId1121" Type="http://schemas.openxmlformats.org/officeDocument/2006/relationships/hyperlink" Target="https://www.google.com/maps/search/?api=1&amp;query=Hugo+Chiropractic+Clinic%2C+5673+147th+St+N%2C+Hugo%2C+MN+55038" TargetMode="External"/><Relationship Id="rId1219" Type="http://schemas.openxmlformats.org/officeDocument/2006/relationships/hyperlink" Target="https://www.google.com/maps/search/?api=1&amp;query=Therapy+Partners%2C+INC.%2C+257+Rivertown+Dr%2C+Woodbury%2C+MN+55125" TargetMode="External"/><Relationship Id="rId1566" Type="http://schemas.openxmlformats.org/officeDocument/2006/relationships/hyperlink" Target="https://npiregistry.cms.hhs.gov/provider-view/1306319389" TargetMode="External"/><Relationship Id="rId1773" Type="http://schemas.openxmlformats.org/officeDocument/2006/relationships/hyperlink" Target="https://www.google.com/maps/search/?api=1&amp;query=Honor+Dental%2C+2112+Viking+Dr+NW%2C+Rochester%2C+MN+55901" TargetMode="External"/><Relationship Id="rId65" Type="http://schemas.openxmlformats.org/officeDocument/2006/relationships/hyperlink" Target="https://www.google.com/maps/search/?api=1&amp;query=Therapy+Partners+INC%2C+11800+Xeon+Blvd+NW%2C+Coon+Rapids%2C+MN+55448" TargetMode="External"/><Relationship Id="rId1426" Type="http://schemas.openxmlformats.org/officeDocument/2006/relationships/hyperlink" Target="https://npiregistry.cms.hhs.gov/provider-view/1417358490" TargetMode="External"/><Relationship Id="rId1633" Type="http://schemas.openxmlformats.org/officeDocument/2006/relationships/hyperlink" Target="https://www.google.com/maps/search/?api=1&amp;query=Johnson+Chiropractic+and+Sports+Clinic%2C+117+W+5th+St%2C+Starbuck%2C+MN+56381" TargetMode="External"/><Relationship Id="rId1840" Type="http://schemas.openxmlformats.org/officeDocument/2006/relationships/hyperlink" Target="https://npiregistry.cms.hhs.gov/provider-view/1659263754" TargetMode="External"/><Relationship Id="rId1700" Type="http://schemas.openxmlformats.org/officeDocument/2006/relationships/hyperlink" Target="https://npiregistry.cms.hhs.gov/provider-view/1790498962" TargetMode="External"/><Relationship Id="rId281" Type="http://schemas.openxmlformats.org/officeDocument/2006/relationships/hyperlink" Target="https://www.google.com/maps/search/?api=1&amp;query=Align+Chiropractic+PA%2C+16301+Kenrick+Ave%2C+Lakeville%2C+MN+55044" TargetMode="External"/><Relationship Id="rId141" Type="http://schemas.openxmlformats.org/officeDocument/2006/relationships/hyperlink" Target="https://www.google.com/maps/search/?api=1&amp;query=Sage+Spine+Pain+and+Nerve+Center%2C+38500+Tanger+Dr%2C+North+Branch%2C+MN+55056" TargetMode="External"/><Relationship Id="rId379" Type="http://schemas.openxmlformats.org/officeDocument/2006/relationships/hyperlink" Target="https://www.google.com/maps/search/?api=1&amp;query=Park+East+Chiropractic%2C+PC%2C+4632+85th+Ave+N%2C+Brooklyn+Park%2C+MN+55443" TargetMode="External"/><Relationship Id="rId586" Type="http://schemas.openxmlformats.org/officeDocument/2006/relationships/hyperlink" Target="https://npiregistry.cms.hhs.gov/provider-view/1578483848" TargetMode="External"/><Relationship Id="rId793" Type="http://schemas.openxmlformats.org/officeDocument/2006/relationships/hyperlink" Target="https://npiregistry.cms.hhs.gov/provider-view/1891276259" TargetMode="External"/><Relationship Id="rId7" Type="http://schemas.openxmlformats.org/officeDocument/2006/relationships/hyperlink" Target="https://www.google.com/maps/search/?api=1&amp;query=HealthPartners+Riverway+Pain+Clinic%2C+2621+Greenhaven+Rd%2C+Anoka%2C+MN+55303" TargetMode="External"/><Relationship Id="rId239" Type="http://schemas.openxmlformats.org/officeDocument/2006/relationships/hyperlink" Target="https://www.google.com/maps/search/?api=1&amp;query=Medlinq+Clinics%2C+860+Blue+Gentian+Rd%2C+Eagan%2C+MN+55121" TargetMode="External"/><Relationship Id="rId446" Type="http://schemas.openxmlformats.org/officeDocument/2006/relationships/hyperlink" Target="https://npiregistry.cms.hhs.gov/provider-view/1407809494" TargetMode="External"/><Relationship Id="rId653" Type="http://schemas.openxmlformats.org/officeDocument/2006/relationships/hyperlink" Target="https://npiregistry.cms.hhs.gov/provider-view/1205370285" TargetMode="External"/><Relationship Id="rId1076" Type="http://schemas.openxmlformats.org/officeDocument/2006/relationships/hyperlink" Target="https://www.google.com/maps/search/?api=1&amp;query=TMJ+%26+Sleep+Therapy+Centre+of+St.+Paul+%28at+Smiles+of+Distinction+Dentistry%29%2C+4300+Egan+Dr%2C+Savage%2C+MN+55378" TargetMode="External"/><Relationship Id="rId1283" Type="http://schemas.openxmlformats.org/officeDocument/2006/relationships/hyperlink" Target="https://www.google.com/maps/search/?api=1&amp;query=True+North+Family+Clinic%2C+471+Highway+23%2C+Foley%2C+MN+56329" TargetMode="External"/><Relationship Id="rId1490" Type="http://schemas.openxmlformats.org/officeDocument/2006/relationships/hyperlink" Target="https://npiregistry.cms.hhs.gov/provider-view/1457401820" TargetMode="External"/><Relationship Id="rId306" Type="http://schemas.openxmlformats.org/officeDocument/2006/relationships/hyperlink" Target="https://npiregistry.cms.hhs.gov/provider-view/1528110376" TargetMode="External"/><Relationship Id="rId860" Type="http://schemas.openxmlformats.org/officeDocument/2006/relationships/hyperlink" Target="https://www.google.com/maps/search/?api=1&amp;query=Bartlett+Family+Chiropractic+LLC%2C+3035+White+Bear+Ave+N%2C+Maplewood%2C+MN+55109" TargetMode="External"/><Relationship Id="rId958" Type="http://schemas.openxmlformats.org/officeDocument/2006/relationships/hyperlink" Target="https://www.google.com/maps/search/?api=1&amp;query=John+Nasseff+Neuroscience+Specialty+Clinic%2C+310+Smith+Ave+N%2C+St.+Paul%2C+MN+55102" TargetMode="External"/><Relationship Id="rId1143" Type="http://schemas.openxmlformats.org/officeDocument/2006/relationships/hyperlink" Target="https://www.google.com/maps/search/?api=1&amp;query=Viverant+PT+LLC%2C+7825+3rd+St+N%2C+Oakdale%2C+MN+55128" TargetMode="External"/><Relationship Id="rId1588" Type="http://schemas.openxmlformats.org/officeDocument/2006/relationships/hyperlink" Target="https://npiregistry.cms.hhs.gov/provider-view/1679838023" TargetMode="External"/><Relationship Id="rId1795" Type="http://schemas.openxmlformats.org/officeDocument/2006/relationships/hyperlink" Target="https://www.google.com/maps/search/?api=1&amp;query=Sercc-Nexus%2C+2121+Campus+Dr+SE%2C+Rochester%2C+MN+55904" TargetMode="External"/><Relationship Id="rId87" Type="http://schemas.openxmlformats.org/officeDocument/2006/relationships/hyperlink" Target="https://www.google.com/maps/search/?api=1&amp;query=Silver+View+Chiropractic+Center%2C+PA.%2C+4137+Woodland+Road%2C+Lexington%2C+MN+55014" TargetMode="External"/><Relationship Id="rId513" Type="http://schemas.openxmlformats.org/officeDocument/2006/relationships/hyperlink" Target="https://www.google.com/maps/search/?api=1&amp;query=Statera+Health+PLLC%2C+4820+77th+St+W%2C+Edina%2C+MN+55435" TargetMode="External"/><Relationship Id="rId720" Type="http://schemas.openxmlformats.org/officeDocument/2006/relationships/hyperlink" Target="https://www.google.com/maps/search/?api=1&amp;query=The+Facial+Pain+Center%2C+13059+Ridgedale+Dr%2C+Minnetonka%2C+MN+55305" TargetMode="External"/><Relationship Id="rId818" Type="http://schemas.openxmlformats.org/officeDocument/2006/relationships/hyperlink" Target="https://www.google.com/maps/search/?api=1&amp;query=Guidestar+Eldercare+-+MN%2C+1650+W+End+Blvd%2C+St.+Louis+Park%2C+MN+55416" TargetMode="External"/><Relationship Id="rId1350" Type="http://schemas.openxmlformats.org/officeDocument/2006/relationships/hyperlink" Target="https://npiregistry.cms.hhs.gov/provider-view/1689156358" TargetMode="External"/><Relationship Id="rId1448" Type="http://schemas.openxmlformats.org/officeDocument/2006/relationships/hyperlink" Target="https://npiregistry.cms.hhs.gov/provider-view/1891478988" TargetMode="External"/><Relationship Id="rId1655" Type="http://schemas.openxmlformats.org/officeDocument/2006/relationships/hyperlink" Target="https://www.google.com/maps/search/?api=1&amp;query=Orthopaedic+%26+Fracture+Clinic%2C+PA.%2C+1431+Premier+Dr%2C+Mankato%2C+MN+56001" TargetMode="External"/><Relationship Id="rId1003" Type="http://schemas.openxmlformats.org/officeDocument/2006/relationships/hyperlink" Target="https://npiregistry.cms.hhs.gov/provider-view/1528753712" TargetMode="External"/><Relationship Id="rId1210" Type="http://schemas.openxmlformats.org/officeDocument/2006/relationships/hyperlink" Target="https://npiregistry.cms.hhs.gov/provider-view/1306899463" TargetMode="External"/><Relationship Id="rId1308" Type="http://schemas.openxmlformats.org/officeDocument/2006/relationships/hyperlink" Target="https://npiregistry.cms.hhs.gov/provider-view/1801495957" TargetMode="External"/><Relationship Id="rId1862" Type="http://schemas.openxmlformats.org/officeDocument/2006/relationships/hyperlink" Target="https://npiregistry.cms.hhs.gov/provider-view/1730979337" TargetMode="External"/><Relationship Id="rId1515" Type="http://schemas.openxmlformats.org/officeDocument/2006/relationships/hyperlink" Target="https://www.google.com/maps/search/?api=1&amp;query=Therapy+Partners%2C+INC.%2C+402+Spruce+St%2C+Tower%2C+MN+55790" TargetMode="External"/><Relationship Id="rId1722" Type="http://schemas.openxmlformats.org/officeDocument/2006/relationships/hyperlink" Target="https://npiregistry.cms.hhs.gov/provider-view/1255016978" TargetMode="External"/><Relationship Id="rId14" Type="http://schemas.openxmlformats.org/officeDocument/2006/relationships/hyperlink" Target="https://npiregistry.cms.hhs.gov/provider-view/1376759589" TargetMode="External"/><Relationship Id="rId163" Type="http://schemas.openxmlformats.org/officeDocument/2006/relationships/hyperlink" Target="https://www.google.com/maps/search/?api=1&amp;query=Novacare+Rehabilitation%2C+15290+Pennock+Ln%2C+Apple+Valley%2C+MN+55124" TargetMode="External"/><Relationship Id="rId370" Type="http://schemas.openxmlformats.org/officeDocument/2006/relationships/hyperlink" Target="https://npiregistry.cms.hhs.gov/provider-view/1083081418" TargetMode="External"/><Relationship Id="rId230" Type="http://schemas.openxmlformats.org/officeDocument/2006/relationships/hyperlink" Target="https://npiregistry.cms.hhs.gov/provider-view/1962215087" TargetMode="External"/><Relationship Id="rId468" Type="http://schemas.openxmlformats.org/officeDocument/2006/relationships/hyperlink" Target="https://npiregistry.cms.hhs.gov/provider-view/1255685624" TargetMode="External"/><Relationship Id="rId675" Type="http://schemas.openxmlformats.org/officeDocument/2006/relationships/hyperlink" Target="https://npiregistry.cms.hhs.gov/provider-view/1053791905" TargetMode="External"/><Relationship Id="rId882" Type="http://schemas.openxmlformats.org/officeDocument/2006/relationships/hyperlink" Target="https://www.google.com/maps/search/?api=1&amp;query=OMS+Specialists%2C+550+County+Road+D%2C+New+Brighton%2C+MN+55421" TargetMode="External"/><Relationship Id="rId1098" Type="http://schemas.openxmlformats.org/officeDocument/2006/relationships/hyperlink" Target="https://npiregistry.cms.hhs.gov/provider-view/1053753095" TargetMode="External"/><Relationship Id="rId328" Type="http://schemas.openxmlformats.org/officeDocument/2006/relationships/hyperlink" Target="https://npiregistry.cms.hhs.gov/provider-view/1689634131" TargetMode="External"/><Relationship Id="rId535" Type="http://schemas.openxmlformats.org/officeDocument/2006/relationships/hyperlink" Target="https://www.google.com/maps/search/?api=1&amp;query=Forward+Spine+Center%2C+701+Decatur+Ave+N%2C+Golden+Valley%2C+MN+55427" TargetMode="External"/><Relationship Id="rId742" Type="http://schemas.openxmlformats.org/officeDocument/2006/relationships/hyperlink" Target="https://www.google.com/maps/search/?api=1&amp;query=Allina+Health+Medical+Spine%2C+2855+Campus+Dr%2C+Plymouth%2C+MN+55441" TargetMode="External"/><Relationship Id="rId1165" Type="http://schemas.openxmlformats.org/officeDocument/2006/relationships/hyperlink" Target="https://www.google.com/maps/search/?api=1&amp;query=Saint+Croix+Oral+Surgery%2C+1701+Curve+Crest+Blvd+W%2C+Stillwater%2C+MN+55082" TargetMode="External"/><Relationship Id="rId1372" Type="http://schemas.openxmlformats.org/officeDocument/2006/relationships/hyperlink" Target="https://npiregistry.cms.hhs.gov/provider-view/1962774158" TargetMode="External"/><Relationship Id="rId602" Type="http://schemas.openxmlformats.org/officeDocument/2006/relationships/hyperlink" Target="https://npiregistry.cms.hhs.gov/provider-view/1508099656" TargetMode="External"/><Relationship Id="rId1025" Type="http://schemas.openxmlformats.org/officeDocument/2006/relationships/hyperlink" Target="https://npiregistry.cms.hhs.gov/provider-view/1578854048" TargetMode="External"/><Relationship Id="rId1232" Type="http://schemas.openxmlformats.org/officeDocument/2006/relationships/hyperlink" Target="https://npiregistry.cms.hhs.gov/provider-view/1497564181" TargetMode="External"/><Relationship Id="rId1677" Type="http://schemas.openxmlformats.org/officeDocument/2006/relationships/hyperlink" Target="https://www.google.com/maps/search/?api=1&amp;query=Wells+Chiropractic+Clinic+INC%2C+105+N+Grove+St%2C+Blue+Earth%2C+MN+56013" TargetMode="External"/><Relationship Id="rId1884" Type="http://schemas.openxmlformats.org/officeDocument/2006/relationships/hyperlink" Target="https://npiregistry.cms.hhs.gov/provider-view/1285047498" TargetMode="External"/><Relationship Id="rId907" Type="http://schemas.openxmlformats.org/officeDocument/2006/relationships/hyperlink" Target="https://npiregistry.cms.hhs.gov/provider-view/1619157344" TargetMode="External"/><Relationship Id="rId1537" Type="http://schemas.openxmlformats.org/officeDocument/2006/relationships/hyperlink" Target="https://www.google.com/maps/search/?api=1&amp;query=Local+Roots+Chiropractic+PLLC%2C+1406+Central+Ave+NE%2C+East+Grand+Forks%2C+MN+56721" TargetMode="External"/><Relationship Id="rId1744" Type="http://schemas.openxmlformats.org/officeDocument/2006/relationships/hyperlink" Target="https://npiregistry.cms.hhs.gov/provider-view/1275553737" TargetMode="External"/><Relationship Id="rId36" Type="http://schemas.openxmlformats.org/officeDocument/2006/relationships/hyperlink" Target="https://npiregistry.cms.hhs.gov/provider-view/1134494818" TargetMode="External"/><Relationship Id="rId1604" Type="http://schemas.openxmlformats.org/officeDocument/2006/relationships/hyperlink" Target="https://npiregistry.cms.hhs.gov/provider-view/1639538051" TargetMode="External"/><Relationship Id="rId185" Type="http://schemas.openxmlformats.org/officeDocument/2006/relationships/hyperlink" Target="https://www.google.com/maps/search/?api=1&amp;query=Institute+For+Orthopedics+%26+Chiropractic%2C+PLLC%2C+14300+Buck+Hill+Rd%2C+Burnsville%2C+MN+55306" TargetMode="External"/><Relationship Id="rId1811" Type="http://schemas.openxmlformats.org/officeDocument/2006/relationships/hyperlink" Target="https://www.google.com/maps/search/?api=1&amp;query=Therapy+Partners%2C+INC.%2C+1961+Cardinal+Ln%2C+Faribault%2C+MN+55021" TargetMode="External"/><Relationship Id="rId392" Type="http://schemas.openxmlformats.org/officeDocument/2006/relationships/hyperlink" Target="https://npiregistry.cms.hhs.gov/provider-view/1952826778" TargetMode="External"/><Relationship Id="rId697" Type="http://schemas.openxmlformats.org/officeDocument/2006/relationships/hyperlink" Target="https://npiregistry.cms.hhs.gov/provider-view/1538850391" TargetMode="External"/><Relationship Id="rId252" Type="http://schemas.openxmlformats.org/officeDocument/2006/relationships/hyperlink" Target="https://npiregistry.cms.hhs.gov/provider-view/1578869293" TargetMode="External"/><Relationship Id="rId1187" Type="http://schemas.openxmlformats.org/officeDocument/2006/relationships/hyperlink" Target="https://www.google.com/maps/search/?api=1&amp;query=Functional+Health+Unlimited%2C+724+Bielenberg+Dr%2C+Woodbury%2C+MN+55125" TargetMode="External"/><Relationship Id="rId112" Type="http://schemas.openxmlformats.org/officeDocument/2006/relationships/hyperlink" Target="https://npiregistry.cms.hhs.gov/provider-view/1790266153" TargetMode="External"/><Relationship Id="rId557" Type="http://schemas.openxmlformats.org/officeDocument/2006/relationships/hyperlink" Target="https://www.google.com/maps/search/?api=1&amp;query=Interventional+Spine+and+Pain+Physicians%2C+PA%2C+9645+Grove+Cir+N%2C+Maple+Grove%2C+MN+55369" TargetMode="External"/><Relationship Id="rId764" Type="http://schemas.openxmlformats.org/officeDocument/2006/relationships/hyperlink" Target="https://www.google.com/maps/search/?api=1&amp;query=Minnesota+Therapy+%26+Balance+Center+LLC%2C+12805+Highway+55%2C+Plymouth%2C+MN+55441" TargetMode="External"/><Relationship Id="rId971" Type="http://schemas.openxmlformats.org/officeDocument/2006/relationships/hyperlink" Target="https://npiregistry.cms.hhs.gov/provider-view/1306053673" TargetMode="External"/><Relationship Id="rId1394" Type="http://schemas.openxmlformats.org/officeDocument/2006/relationships/hyperlink" Target="https://npiregistry.cms.hhs.gov/provider-view/1407809494" TargetMode="External"/><Relationship Id="rId1699" Type="http://schemas.openxmlformats.org/officeDocument/2006/relationships/hyperlink" Target="https://www.google.com/maps/search/?api=1&amp;query=Prairie+Rehabilitation+Services%2C+INC%2C+412+Fox+Lake+Avenue%2C+Sherburn%2C+MN+56171" TargetMode="External"/><Relationship Id="rId417" Type="http://schemas.openxmlformats.org/officeDocument/2006/relationships/hyperlink" Target="https://www.google.com/maps/search/?api=1&amp;query=Flying+Cloud+Spine+%26+Sport%2C+PA.%2C+7707+Flying+Cloud+Dr%2C+Eden+Prairie%2C+MN+55344" TargetMode="External"/><Relationship Id="rId624" Type="http://schemas.openxmlformats.org/officeDocument/2006/relationships/hyperlink" Target="https://npiregistry.cms.hhs.gov/provider-view/1023845211" TargetMode="External"/><Relationship Id="rId831" Type="http://schemas.openxmlformats.org/officeDocument/2006/relationships/hyperlink" Target="https://npiregistry.cms.hhs.gov/provider-view/1659348092" TargetMode="External"/><Relationship Id="rId1047" Type="http://schemas.openxmlformats.org/officeDocument/2006/relationships/hyperlink" Target="https://npiregistry.cms.hhs.gov/provider-view/1558099747" TargetMode="External"/><Relationship Id="rId1254" Type="http://schemas.openxmlformats.org/officeDocument/2006/relationships/hyperlink" Target="https://npiregistry.cms.hhs.gov/provider-view/1730176637" TargetMode="External"/><Relationship Id="rId1461" Type="http://schemas.openxmlformats.org/officeDocument/2006/relationships/hyperlink" Target="https://www.google.com/maps/search/?api=1&amp;query=Aspirus+St.+Luke%27s+Clinic+Duluth+Neurosurgery%2C+1015+E+1st+St%2C+Duluth%2C+MN+55805" TargetMode="External"/><Relationship Id="rId929" Type="http://schemas.openxmlformats.org/officeDocument/2006/relationships/hyperlink" Target="https://npiregistry.cms.hhs.gov/provider-view/1962659094" TargetMode="External"/><Relationship Id="rId1114" Type="http://schemas.openxmlformats.org/officeDocument/2006/relationships/hyperlink" Target="https://npiregistry.cms.hhs.gov/provider-view/1851702237" TargetMode="External"/><Relationship Id="rId1321" Type="http://schemas.openxmlformats.org/officeDocument/2006/relationships/hyperlink" Target="https://www.google.com/maps/search/?api=1&amp;query=Minnesota+Oral+%26+Facial+Surgery%2C+2380+Troop+Drive%2C+Sartell%2C+MN+56377" TargetMode="External"/><Relationship Id="rId1559" Type="http://schemas.openxmlformats.org/officeDocument/2006/relationships/hyperlink" Target="https://www.google.com/maps/search/?api=1&amp;query=Integrix+Health%2C+LLC%2C+22+6th+St+N%2C+Moorhead%2C+MN+56560" TargetMode="External"/><Relationship Id="rId1766" Type="http://schemas.openxmlformats.org/officeDocument/2006/relationships/hyperlink" Target="https://npiregistry.cms.hhs.gov/provider-view/1265798037" TargetMode="External"/><Relationship Id="rId58" Type="http://schemas.openxmlformats.org/officeDocument/2006/relationships/hyperlink" Target="https://npiregistry.cms.hhs.gov/provider-view/1447934385" TargetMode="External"/><Relationship Id="rId1419" Type="http://schemas.openxmlformats.org/officeDocument/2006/relationships/hyperlink" Target="https://www.google.com/maps/search/?api=1&amp;query=Essentia+Health+Park+Rapids+Therapy%2C+1103+1st+St+E%2C+Park+Rapids%2C+MN+56470" TargetMode="External"/><Relationship Id="rId1626" Type="http://schemas.openxmlformats.org/officeDocument/2006/relationships/hyperlink" Target="https://npiregistry.cms.hhs.gov/provider-view/1104636299" TargetMode="External"/><Relationship Id="rId1833" Type="http://schemas.openxmlformats.org/officeDocument/2006/relationships/hyperlink" Target="https://www.google.com/maps/search/?api=1&amp;query=Wellfit+Chiropractic+LLC%2C+685+W+Bridge+St%2C+Owatonna%2C+MN+55060" TargetMode="External"/><Relationship Id="rId1900" Type="http://schemas.openxmlformats.org/officeDocument/2006/relationships/hyperlink" Target="https://npiregistry.cms.hhs.gov/provider-view/1699968057" TargetMode="External"/><Relationship Id="rId274" Type="http://schemas.openxmlformats.org/officeDocument/2006/relationships/hyperlink" Target="https://npiregistry.cms.hhs.gov/provider-view/1013323559" TargetMode="External"/><Relationship Id="rId481" Type="http://schemas.openxmlformats.org/officeDocument/2006/relationships/hyperlink" Target="https://www.google.com/maps/search/?api=1&amp;query=Institute+For+Orthopedics+%26+Chiropractic%2C+PLLC%2C+6550+York+Ave+S%2C+Edina%2C+MN+55435" TargetMode="External"/><Relationship Id="rId134" Type="http://schemas.openxmlformats.org/officeDocument/2006/relationships/hyperlink" Target="https://npiregistry.cms.hhs.gov/provider-view/1891914412" TargetMode="External"/><Relationship Id="rId579" Type="http://schemas.openxmlformats.org/officeDocument/2006/relationships/hyperlink" Target="https://www.google.com/maps/search/?api=1&amp;query=The+Dental+Specialists+-+Maple+Grove%2C+15701+Grove+Circle+N%2C+Maple+Grove%2C+MN+55369" TargetMode="External"/><Relationship Id="rId786" Type="http://schemas.openxmlformats.org/officeDocument/2006/relationships/hyperlink" Target="https://www.google.com/maps/search/?api=1&amp;query=Moms+In+Motion+PT%2C+7420+4th+Ave+S%2C+Richfield%2C+MN+55423" TargetMode="External"/><Relationship Id="rId993" Type="http://schemas.openxmlformats.org/officeDocument/2006/relationships/hyperlink" Target="https://npiregistry.cms.hhs.gov/provider-view/1710612023" TargetMode="External"/><Relationship Id="rId341" Type="http://schemas.openxmlformats.org/officeDocument/2006/relationships/hyperlink" Target="https://www.google.com/maps/search/?api=1&amp;query=Good+Bones+Chiropractic%2C+8500+Normandale%2C%2C+Bloomington%2C+MN+55429" TargetMode="External"/><Relationship Id="rId439" Type="http://schemas.openxmlformats.org/officeDocument/2006/relationships/hyperlink" Target="https://www.google.com/maps/search/?api=1&amp;query=Southwest+Chiropractic.+LLC%2C+7565+Office+Ridge+Cir%2C+Eden+Prairie%2C+MN+55344" TargetMode="External"/><Relationship Id="rId646" Type="http://schemas.openxmlformats.org/officeDocument/2006/relationships/hyperlink" Target="https://www.google.com/maps/search/?api=1&amp;query=Motion+Forward+Physical+Therapy+and+Wellness+LLC%2C+305+1st+Ave+NE%2C+Minneapolis%2C+MN+55413" TargetMode="External"/><Relationship Id="rId1069" Type="http://schemas.openxmlformats.org/officeDocument/2006/relationships/hyperlink" Target="https://npiregistry.cms.hhs.gov/provider-view/1063122976" TargetMode="External"/><Relationship Id="rId1276" Type="http://schemas.openxmlformats.org/officeDocument/2006/relationships/hyperlink" Target="https://npiregistry.cms.hhs.gov/provider-view/1386312411" TargetMode="External"/><Relationship Id="rId1483" Type="http://schemas.openxmlformats.org/officeDocument/2006/relationships/hyperlink" Target="https://www.google.com/maps/search/?api=1&amp;query=Nels+Torgrimson+DC%2C+1320+Kenwood+Ave%2C+Duluth%2C+MN+55811" TargetMode="External"/><Relationship Id="rId201" Type="http://schemas.openxmlformats.org/officeDocument/2006/relationships/hyperlink" Target="https://www.google.com/maps/search/?api=1&amp;query=Pdr+Burnsville%2C+INC%2C+14050+Nicollet+Ave%2C+Burnsville%2C+MN+55337" TargetMode="External"/><Relationship Id="rId506" Type="http://schemas.openxmlformats.org/officeDocument/2006/relationships/hyperlink" Target="https://npiregistry.cms.hhs.gov/provider-view/1073626008" TargetMode="External"/><Relationship Id="rId853" Type="http://schemas.openxmlformats.org/officeDocument/2006/relationships/hyperlink" Target="https://npiregistry.cms.hhs.gov/provider-view/1942161054" TargetMode="External"/><Relationship Id="rId1136" Type="http://schemas.openxmlformats.org/officeDocument/2006/relationships/hyperlink" Target="https://npiregistry.cms.hhs.gov/provider-view/1730816661" TargetMode="External"/><Relationship Id="rId1690" Type="http://schemas.openxmlformats.org/officeDocument/2006/relationships/hyperlink" Target="https://npiregistry.cms.hhs.gov/provider-view/1760278782" TargetMode="External"/><Relationship Id="rId1788" Type="http://schemas.openxmlformats.org/officeDocument/2006/relationships/hyperlink" Target="https://npiregistry.cms.hhs.gov/provider-view/1770533531" TargetMode="External"/><Relationship Id="rId713" Type="http://schemas.openxmlformats.org/officeDocument/2006/relationships/hyperlink" Target="https://npiregistry.cms.hhs.gov/provider-view/1457028946" TargetMode="External"/><Relationship Id="rId920" Type="http://schemas.openxmlformats.org/officeDocument/2006/relationships/hyperlink" Target="https://www.google.com/maps/search/?api=1&amp;query=Capitol+Health+%26+Injury+Center%2C+PA.%2C+1973+Sloan+Pl%2C+St.+Paul%2C+MN+55117" TargetMode="External"/><Relationship Id="rId1343" Type="http://schemas.openxmlformats.org/officeDocument/2006/relationships/hyperlink" Target="https://www.google.com/maps/search/?api=1&amp;query=Kinesis+Physical+Therapy%2C+INC%2C+1521+Northway+Dr%2C+St.+Cloud%2C+MN+56303" TargetMode="External"/><Relationship Id="rId1550" Type="http://schemas.openxmlformats.org/officeDocument/2006/relationships/hyperlink" Target="https://npiregistry.cms.hhs.gov/provider-view/1679766802" TargetMode="External"/><Relationship Id="rId1648" Type="http://schemas.openxmlformats.org/officeDocument/2006/relationships/hyperlink" Target="https://npiregistry.cms.hhs.gov/provider-view/1912366030" TargetMode="External"/><Relationship Id="rId1203" Type="http://schemas.openxmlformats.org/officeDocument/2006/relationships/hyperlink" Target="https://www.google.com/maps/search/?api=1&amp;query=Parno+Family+Chiropractic+PLLC%2C+7650+Currell+Blvd%2C+Woodbury%2C+MN+55125" TargetMode="External"/><Relationship Id="rId1410" Type="http://schemas.openxmlformats.org/officeDocument/2006/relationships/hyperlink" Target="https://npiregistry.cms.hhs.gov/provider-view/1861591737" TargetMode="External"/><Relationship Id="rId1508" Type="http://schemas.openxmlformats.org/officeDocument/2006/relationships/hyperlink" Target="https://npiregistry.cms.hhs.gov/provider-view/1407809494" TargetMode="External"/><Relationship Id="rId1855" Type="http://schemas.openxmlformats.org/officeDocument/2006/relationships/hyperlink" Target="https://www.google.com/maps/search/?api=1&amp;query=Transcend+Rehab+%26+Wellness%2C+2800+1st+St+S%2C+Willmar%2C+MN+56201" TargetMode="External"/><Relationship Id="rId1715" Type="http://schemas.openxmlformats.org/officeDocument/2006/relationships/hyperlink" Target="https://www.google.com/maps/search/?api=1&amp;query=Whitmarsh+Health+and+Wellness%2C+LLC%2C+16+1st+Ave+NW%2C+Kasson%2C+MN+55944" TargetMode="External"/><Relationship Id="rId296" Type="http://schemas.openxmlformats.org/officeDocument/2006/relationships/hyperlink" Target="https://npiregistry.cms.hhs.gov/provider-view/1669281341" TargetMode="External"/><Relationship Id="rId156" Type="http://schemas.openxmlformats.org/officeDocument/2006/relationships/hyperlink" Target="https://npiregistry.cms.hhs.gov/provider-view/1497474274" TargetMode="External"/><Relationship Id="rId363" Type="http://schemas.openxmlformats.org/officeDocument/2006/relationships/hyperlink" Target="https://www.google.com/maps/search/?api=1&amp;query=Tria+Orthopaedic+Clinic%2C+8100+Northland+Dr%2C+Bloomington%2C+MN+55431" TargetMode="External"/><Relationship Id="rId570" Type="http://schemas.openxmlformats.org/officeDocument/2006/relationships/hyperlink" Target="https://npiregistry.cms.hhs.gov/provider-view/1487213377" TargetMode="External"/><Relationship Id="rId223" Type="http://schemas.openxmlformats.org/officeDocument/2006/relationships/hyperlink" Target="https://www.google.com/maps/search/?api=1&amp;query=Vector+Sport+and+Spine+%3A+Chiro+%26+Rehab+PLLC%2C+12919+Oliver+Ave+S%2C+Burnsville%2C+MN+55337" TargetMode="External"/><Relationship Id="rId430" Type="http://schemas.openxmlformats.org/officeDocument/2006/relationships/hyperlink" Target="https://npiregistry.cms.hhs.gov/provider-view/1275557886" TargetMode="External"/><Relationship Id="rId668" Type="http://schemas.openxmlformats.org/officeDocument/2006/relationships/hyperlink" Target="https://www.google.com/maps/search/?api=1&amp;query=Revitalize+Health+%26+Wellness%2C+LLC%2C+3018+W+56th+St%2C+Minneapolis%2C+MN+55410" TargetMode="External"/><Relationship Id="rId875" Type="http://schemas.openxmlformats.org/officeDocument/2006/relationships/hyperlink" Target="https://npiregistry.cms.hhs.gov/provider-view/1356542575" TargetMode="External"/><Relationship Id="rId1060" Type="http://schemas.openxmlformats.org/officeDocument/2006/relationships/hyperlink" Target="https://www.google.com/maps/search/?api=1&amp;query=Hyva+Elama%2C+PA.%2C+4207+Quaker+Trl+NE%2C+Prior+Lake%2C+MN+55372" TargetMode="External"/><Relationship Id="rId1298" Type="http://schemas.openxmlformats.org/officeDocument/2006/relationships/hyperlink" Target="https://npiregistry.cms.hhs.gov/provider-view/1164353827" TargetMode="External"/><Relationship Id="rId528" Type="http://schemas.openxmlformats.org/officeDocument/2006/relationships/hyperlink" Target="https://npiregistry.cms.hhs.gov/provider-view/1194496471" TargetMode="External"/><Relationship Id="rId735" Type="http://schemas.openxmlformats.org/officeDocument/2006/relationships/hyperlink" Target="https://npiregistry.cms.hhs.gov/provider-view/1104383058" TargetMode="External"/><Relationship Id="rId942" Type="http://schemas.openxmlformats.org/officeDocument/2006/relationships/hyperlink" Target="https://www.google.com/maps/search/?api=1&amp;query=Family+Healthservices+Minnesota%2C+PA.%2C+2025+Sloan+Pl%2C+St.+Paul%2C+MN+55117" TargetMode="External"/><Relationship Id="rId1158" Type="http://schemas.openxmlformats.org/officeDocument/2006/relationships/hyperlink" Target="https://npiregistry.cms.hhs.gov/provider-view/1184823890" TargetMode="External"/><Relationship Id="rId1365" Type="http://schemas.openxmlformats.org/officeDocument/2006/relationships/hyperlink" Target="https://www.google.com/maps/search/?api=1&amp;query=Choice+Therapy%2C+PA.%2C+3835+Supreme+Ct+NW%2C+Bemidji%2C+MN+56601" TargetMode="External"/><Relationship Id="rId1572" Type="http://schemas.openxmlformats.org/officeDocument/2006/relationships/hyperlink" Target="https://npiregistry.cms.hhs.gov/provider-view/1558236091" TargetMode="External"/><Relationship Id="rId1018" Type="http://schemas.openxmlformats.org/officeDocument/2006/relationships/hyperlink" Target="https://www.google.com/maps/search/?api=1&amp;query=United+Hospital+-+Midwest+Spine+%26+Brain+Institute%2C+280+Smith+Ave+N%2C+St.+Paul%2C+MN+55102" TargetMode="External"/><Relationship Id="rId1225" Type="http://schemas.openxmlformats.org/officeDocument/2006/relationships/hyperlink" Target="https://www.google.com/maps/search/?api=1&amp;query=Woodbury+Chiropractic+%26+Wellness+Center+INC%2C+1951+Woodlane+Dr%2C+Woodbury%2C+MN+55125" TargetMode="External"/><Relationship Id="rId1432" Type="http://schemas.openxmlformats.org/officeDocument/2006/relationships/hyperlink" Target="https://npiregistry.cms.hhs.gov/provider-view/1639036205" TargetMode="External"/><Relationship Id="rId1877" Type="http://schemas.openxmlformats.org/officeDocument/2006/relationships/hyperlink" Target="https://www.google.com/maps/search/?api=1&amp;query=Prairie+Rehabilitation+Services%2C+INC.%2C+1216+Ryans+Rd+3rd%2C+Worthington%2C+MN+56187" TargetMode="External"/><Relationship Id="rId71" Type="http://schemas.openxmlformats.org/officeDocument/2006/relationships/hyperlink" Target="https://www.google.com/maps/search/?api=1&amp;query=Heim+Chiropractic%2C+PA%2C+7101+Highway+65+NE%2C+Fridley%2C+MN+55432" TargetMode="External"/><Relationship Id="rId802" Type="http://schemas.openxmlformats.org/officeDocument/2006/relationships/hyperlink" Target="https://www.google.com/maps/search/?api=1&amp;query=True+Movement+PLLC%2C+21151+John+Milless+Dr%2C+Rogers%2C+MN+55374" TargetMode="External"/><Relationship Id="rId1737" Type="http://schemas.openxmlformats.org/officeDocument/2006/relationships/hyperlink" Target="https://www.google.com/maps/search/?api=1&amp;query=Global+Family+Chiropractic+PLLC%2C+404+S+Main+St%2C+Zumbrota%2C+MN+55992" TargetMode="External"/><Relationship Id="rId29" Type="http://schemas.openxmlformats.org/officeDocument/2006/relationships/hyperlink" Target="https://www.google.com/maps/search/?api=1&amp;query=The+Facial+Pain+Center%2C+4190+108th+Ave+NE%2C+Blaine%2C+MN+55449" TargetMode="External"/><Relationship Id="rId178" Type="http://schemas.openxmlformats.org/officeDocument/2006/relationships/hyperlink" Target="https://npiregistry.cms.hhs.gov/provider-view/1730320276" TargetMode="External"/><Relationship Id="rId1804" Type="http://schemas.openxmlformats.org/officeDocument/2006/relationships/hyperlink" Target="https://npiregistry.cms.hhs.gov/provider-view/1407809494" TargetMode="External"/><Relationship Id="rId385" Type="http://schemas.openxmlformats.org/officeDocument/2006/relationships/hyperlink" Target="https://www.google.com/maps/search/?api=1&amp;query=Exceptional+Chiropractic+P+A%2C+11660+Theatre+Dr+N%2C+Champlin%2C+MN+55316" TargetMode="External"/><Relationship Id="rId592" Type="http://schemas.openxmlformats.org/officeDocument/2006/relationships/hyperlink" Target="https://npiregistry.cms.hhs.gov/provider-view/1699112805" TargetMode="External"/><Relationship Id="rId245" Type="http://schemas.openxmlformats.org/officeDocument/2006/relationships/hyperlink" Target="https://www.google.com/maps/search/?api=1&amp;query=Therapy+Partners%2C+INC.%2C+2119+Cliff+Rd%2C+Eagan%2C+MN+55122" TargetMode="External"/><Relationship Id="rId452" Type="http://schemas.openxmlformats.org/officeDocument/2006/relationships/hyperlink" Target="https://npiregistry.cms.hhs.gov/provider-view/1205694742" TargetMode="External"/><Relationship Id="rId897" Type="http://schemas.openxmlformats.org/officeDocument/2006/relationships/hyperlink" Target="https://npiregistry.cms.hhs.gov/provider-view/1518963909" TargetMode="External"/><Relationship Id="rId1082" Type="http://schemas.openxmlformats.org/officeDocument/2006/relationships/hyperlink" Target="https://npiregistry.cms.hhs.gov/provider-view/1457156366" TargetMode="External"/><Relationship Id="rId105" Type="http://schemas.openxmlformats.org/officeDocument/2006/relationships/hyperlink" Target="https://www.google.com/maps/search/?api=1&amp;query=Kandor+Physical+Therapy+%26+Pelvic+Health+LLC%2C+8951+Crossroads+Blvd%2C+Chanhassen%2C+MN+55317" TargetMode="External"/><Relationship Id="rId312" Type="http://schemas.openxmlformats.org/officeDocument/2006/relationships/hyperlink" Target="https://npiregistry.cms.hhs.gov/provider-view/1598293201" TargetMode="External"/><Relationship Id="rId757" Type="http://schemas.openxmlformats.org/officeDocument/2006/relationships/hyperlink" Target="https://npiregistry.cms.hhs.gov/provider-view/1457417933" TargetMode="External"/><Relationship Id="rId964" Type="http://schemas.openxmlformats.org/officeDocument/2006/relationships/hyperlink" Target="https://www.google.com/maps/search/?api=1&amp;query=Minnesota+Head+and+Neck+Pain+Clinic%2C+PA%2C+2550+University+Ave+W%2C+St.+Paul%2C+MN+55114" TargetMode="External"/><Relationship Id="rId1387" Type="http://schemas.openxmlformats.org/officeDocument/2006/relationships/hyperlink" Target="https://www.google.com/maps/search/?api=1&amp;query=Ellison+Family+Chiropractic%2C+123+Avenue+C%2C+Cloquet%2C+MN+55720" TargetMode="External"/><Relationship Id="rId1594" Type="http://schemas.openxmlformats.org/officeDocument/2006/relationships/hyperlink" Target="https://npiregistry.cms.hhs.gov/provider-view/1477317196" TargetMode="External"/><Relationship Id="rId93" Type="http://schemas.openxmlformats.org/officeDocument/2006/relationships/hyperlink" Target="https://www.google.com/maps/search/?api=1&amp;query=Meraki+Chiropractic+PLLC%2C+19201+Lake+George+Blvd%2C+Oak+Grove%2C+MN+55303" TargetMode="External"/><Relationship Id="rId617" Type="http://schemas.openxmlformats.org/officeDocument/2006/relationships/hyperlink" Target="https://www.google.com/maps/search/?api=1&amp;query=Core+Lifestyle+Clinic%2C+2837+Lyndale+Ave+S%2C+Minneapolis%2C+MN+55408" TargetMode="External"/><Relationship Id="rId824" Type="http://schemas.openxmlformats.org/officeDocument/2006/relationships/hyperlink" Target="https://www.google.com/maps/search/?api=1&amp;query=Northern+Star+Oral+and+Maxillofacial+Surgery+PLLC%2C+1660+Highway+100+S%2C+St.+Louis+Park%2C+MN+55416" TargetMode="External"/><Relationship Id="rId1247" Type="http://schemas.openxmlformats.org/officeDocument/2006/relationships/hyperlink" Target="https://www.google.com/maps/search/?api=1&amp;query=Freedom+Chiropractic+PC%2C+1111+Highway+25+N%2C+Buffalo%2C+MN+55313" TargetMode="External"/><Relationship Id="rId1454" Type="http://schemas.openxmlformats.org/officeDocument/2006/relationships/hyperlink" Target="https://npiregistry.cms.hhs.gov/provider-view/1881431419" TargetMode="External"/><Relationship Id="rId1661" Type="http://schemas.openxmlformats.org/officeDocument/2006/relationships/hyperlink" Target="https://www.google.com/maps/search/?api=1&amp;query=Stenzel+Chiropractic+Clinic%2C+PLLC%2C+313+Main+St+NE%2C+Mapleton%2C+MN+56065" TargetMode="External"/><Relationship Id="rId1899" Type="http://schemas.openxmlformats.org/officeDocument/2006/relationships/hyperlink" Target="https://www.google.com/maps/search/?api=1&amp;query=Sanford+Clinic%2C+112+Saint+Olaf+Ave+S%2C+Canby%2C+MN+56220" TargetMode="External"/><Relationship Id="rId1107" Type="http://schemas.openxmlformats.org/officeDocument/2006/relationships/hyperlink" Target="https://www.google.com/maps/search/?api=1&amp;query=Tune+Chiropractic+LTD%2C+18336+Joplin+St+NW%2C+Elk+River%2C+MN+55330" TargetMode="External"/><Relationship Id="rId1314" Type="http://schemas.openxmlformats.org/officeDocument/2006/relationships/hyperlink" Target="https://npiregistry.cms.hhs.gov/provider-view/1649091315" TargetMode="External"/><Relationship Id="rId1521" Type="http://schemas.openxmlformats.org/officeDocument/2006/relationships/hyperlink" Target="https://www.google.com/maps/search/?api=1&amp;query=Renewed+Therapy+LLC%2C+505+W+2nd+St%2C+Argyle%2C+MN+56713" TargetMode="External"/><Relationship Id="rId1759" Type="http://schemas.openxmlformats.org/officeDocument/2006/relationships/hyperlink" Target="https://www.google.com/maps/search/?api=1&amp;query=Back+To+Health+Chiropractic+Clinic%2C+PA%2C+5231+E.+Frontage+Hwy+52+Rd+NW%2C+Rochester%2C+MN+55901" TargetMode="External"/><Relationship Id="rId1619" Type="http://schemas.openxmlformats.org/officeDocument/2006/relationships/hyperlink" Target="https://www.google.com/maps/search/?api=1&amp;query=Riverfront+Dental%2C+124+E+Lincoln+Ave%2C+Fergus+Falls%2C+MN+56537" TargetMode="External"/><Relationship Id="rId1826" Type="http://schemas.openxmlformats.org/officeDocument/2006/relationships/hyperlink" Target="https://npiregistry.cms.hhs.gov/provider-view/1821337577" TargetMode="External"/><Relationship Id="rId20" Type="http://schemas.openxmlformats.org/officeDocument/2006/relationships/hyperlink" Target="https://npiregistry.cms.hhs.gov/provider-view/1730838186" TargetMode="External"/><Relationship Id="rId267" Type="http://schemas.openxmlformats.org/officeDocument/2006/relationships/hyperlink" Target="https://www.google.com/maps/search/?api=1&amp;query=Limitless+Chiropractic+LLC%2C+9086+Buchanan+Trl%2C+Inver+Grove+Heights%2C+MN+55076" TargetMode="External"/><Relationship Id="rId474" Type="http://schemas.openxmlformats.org/officeDocument/2006/relationships/hyperlink" Target="https://npiregistry.cms.hhs.gov/provider-view/1265374862" TargetMode="External"/><Relationship Id="rId127" Type="http://schemas.openxmlformats.org/officeDocument/2006/relationships/hyperlink" Target="https://www.google.com/maps/search/?api=1&amp;query=Movewell+Chiropractc+%26+Wellness%2C+9360+Oak+Ave%2C+Waconia%2C+MN+55387" TargetMode="External"/><Relationship Id="rId681" Type="http://schemas.openxmlformats.org/officeDocument/2006/relationships/hyperlink" Target="https://npiregistry.cms.hhs.gov/provider-view/1477388726" TargetMode="External"/><Relationship Id="rId779" Type="http://schemas.openxmlformats.org/officeDocument/2006/relationships/hyperlink" Target="https://npiregistry.cms.hhs.gov/provider-view/1407809494" TargetMode="External"/><Relationship Id="rId986" Type="http://schemas.openxmlformats.org/officeDocument/2006/relationships/hyperlink" Target="https://www.google.com/maps/search/?api=1&amp;query=Rooted+Health+and+Research%2C+INC.%2C+400+Selby+Ave%2C+St.+Paul%2C+MN+55102" TargetMode="External"/><Relationship Id="rId334" Type="http://schemas.openxmlformats.org/officeDocument/2006/relationships/hyperlink" Target="https://npiregistry.cms.hhs.gov/provider-view/1871432906" TargetMode="External"/><Relationship Id="rId541" Type="http://schemas.openxmlformats.org/officeDocument/2006/relationships/hyperlink" Target="https://www.google.com/maps/search/?api=1&amp;query=Sota+Chiropractic+LLC%2C+833+Meander+Ct%2C+Hamel%2C+MN+55340" TargetMode="External"/><Relationship Id="rId639" Type="http://schemas.openxmlformats.org/officeDocument/2006/relationships/hyperlink" Target="https://npiregistry.cms.hhs.gov/provider-view/1457397150" TargetMode="External"/><Relationship Id="rId1171" Type="http://schemas.openxmlformats.org/officeDocument/2006/relationships/hyperlink" Target="https://www.google.com/maps/search/?api=1&amp;query=Ascend+Sport+and+Spine%2C+PA%2C+2379+Windsor+Ln%2C+Woodbury%2C+MN+55125" TargetMode="External"/><Relationship Id="rId1269" Type="http://schemas.openxmlformats.org/officeDocument/2006/relationships/hyperlink" Target="https://www.google.com/maps/search/?api=1&amp;query=Polaris+Chiropractic+LLC%2C+1539+E+7th+St%2C+Monticello%2C+MN+55362" TargetMode="External"/><Relationship Id="rId1476" Type="http://schemas.openxmlformats.org/officeDocument/2006/relationships/hyperlink" Target="https://npiregistry.cms.hhs.gov/provider-view/1285831040" TargetMode="External"/><Relationship Id="rId401" Type="http://schemas.openxmlformats.org/officeDocument/2006/relationships/hyperlink" Target="https://www.google.com/maps/search/?api=1&amp;query=Active+Therapy+MN%2C+10300+Hennepin+Town+Rd%2C+Eden+Prairie%2C+MN+55347" TargetMode="External"/><Relationship Id="rId846" Type="http://schemas.openxmlformats.org/officeDocument/2006/relationships/hyperlink" Target="https://www.google.com/maps/search/?api=1&amp;query=The+Dental+Specialists+-+Deephaven%2C+18258+Minnetonka+Blvd%2C+Wayzata%2C+MN+55391" TargetMode="External"/><Relationship Id="rId1031" Type="http://schemas.openxmlformats.org/officeDocument/2006/relationships/hyperlink" Target="https://npiregistry.cms.hhs.gov/provider-view/1356277511" TargetMode="External"/><Relationship Id="rId1129" Type="http://schemas.openxmlformats.org/officeDocument/2006/relationships/hyperlink" Target="https://www.google.com/maps/search/?api=1&amp;query=Thrive+Hq%2C+3511+Lake+Elmo+Ave+N%2C+Lake+Elmo%2C+MN+55042" TargetMode="External"/><Relationship Id="rId1683" Type="http://schemas.openxmlformats.org/officeDocument/2006/relationships/hyperlink" Target="https://www.google.com/maps/search/?api=1&amp;query=Prairie+Rehabilitation+Services%2C+INC%2C+816+3rd+St%2C+Jackson%2C+MN+56143" TargetMode="External"/><Relationship Id="rId1890" Type="http://schemas.openxmlformats.org/officeDocument/2006/relationships/hyperlink" Target="https://npiregistry.cms.hhs.gov/provider-view/1194438531" TargetMode="External"/><Relationship Id="rId706" Type="http://schemas.openxmlformats.org/officeDocument/2006/relationships/hyperlink" Target="https://www.google.com/maps/search/?api=1&amp;query=Novacare+Rehabilitation%2C+2000+Plymouth+Rd%2C+Minnetonka%2C+MN+55305" TargetMode="External"/><Relationship Id="rId913" Type="http://schemas.openxmlformats.org/officeDocument/2006/relationships/hyperlink" Target="https://npiregistry.cms.hhs.gov/provider-view/1508099656" TargetMode="External"/><Relationship Id="rId1336" Type="http://schemas.openxmlformats.org/officeDocument/2006/relationships/hyperlink" Target="https://npiregistry.cms.hhs.gov/provider-view/1760155881" TargetMode="External"/><Relationship Id="rId1543" Type="http://schemas.openxmlformats.org/officeDocument/2006/relationships/hyperlink" Target="https://www.google.com/maps/search/?api=1&amp;query=Pine+Peak+Audiology%2C+103+1st+St+W%2C+Fosston%2C+MN+56542" TargetMode="External"/><Relationship Id="rId1750" Type="http://schemas.openxmlformats.org/officeDocument/2006/relationships/hyperlink" Target="https://npiregistry.cms.hhs.gov/provider-view/1093469397" TargetMode="External"/><Relationship Id="rId42" Type="http://schemas.openxmlformats.org/officeDocument/2006/relationships/hyperlink" Target="https://npiregistry.cms.hhs.gov/provider-view/1063054302" TargetMode="External"/><Relationship Id="rId1403" Type="http://schemas.openxmlformats.org/officeDocument/2006/relationships/hyperlink" Target="https://www.google.com/maps/search/?api=1&amp;query=Big+Stone+Therapies+Baxter%2C+LLC%2C+15620+Edgewood+Dr%2C+Baxter%2C+MN+56425" TargetMode="External"/><Relationship Id="rId1610" Type="http://schemas.openxmlformats.org/officeDocument/2006/relationships/hyperlink" Target="https://npiregistry.cms.hhs.gov/provider-view/1700062718" TargetMode="External"/><Relationship Id="rId1848" Type="http://schemas.openxmlformats.org/officeDocument/2006/relationships/hyperlink" Target="https://npiregistry.cms.hhs.gov/provider-view/1336667492" TargetMode="External"/><Relationship Id="rId191" Type="http://schemas.openxmlformats.org/officeDocument/2006/relationships/hyperlink" Target="https://www.google.com/maps/search/?api=1&amp;query=Limitless%2C+PLLC%2C+14612+Burnell+Park+Dr%2C+Burnsville%2C+MN+55306" TargetMode="External"/><Relationship Id="rId1708" Type="http://schemas.openxmlformats.org/officeDocument/2006/relationships/hyperlink" Target="https://npiregistry.cms.hhs.gov/provider-view/1003669722" TargetMode="External"/><Relationship Id="rId289" Type="http://schemas.openxmlformats.org/officeDocument/2006/relationships/hyperlink" Target="https://www.google.com/maps/search/?api=1&amp;query=Fyzical+Therapy+%26+Balance%2C+17761+Kenwood+Trl%2C+Lakeville%2C+MN+55044" TargetMode="External"/><Relationship Id="rId496" Type="http://schemas.openxmlformats.org/officeDocument/2006/relationships/hyperlink" Target="https://npiregistry.cms.hhs.gov/provider-view/1518963909" TargetMode="External"/><Relationship Id="rId149" Type="http://schemas.openxmlformats.org/officeDocument/2006/relationships/hyperlink" Target="https://www.google.com/maps/search/?api=1&amp;query=Apex+Family+Chiropractic+LLC%2C+15678+Pilot+Knob+Road%2C+Apple+Valley%2C+MN+55124" TargetMode="External"/><Relationship Id="rId356" Type="http://schemas.openxmlformats.org/officeDocument/2006/relationships/hyperlink" Target="https://npiregistry.cms.hhs.gov/provider-view/1952554495" TargetMode="External"/><Relationship Id="rId563" Type="http://schemas.openxmlformats.org/officeDocument/2006/relationships/hyperlink" Target="https://www.google.com/maps/search/?api=1&amp;query=Movement+Lab+Physical+Therapy+LLC%2C+6274+Fountain+Ln+N%2C+Maple+Grove%2C+MN+55311" TargetMode="External"/><Relationship Id="rId770" Type="http://schemas.openxmlformats.org/officeDocument/2006/relationships/hyperlink" Target="https://www.google.com/maps/search/?api=1&amp;query=Plymouth+Chirocenter+LLC%2C+3900+Vinewood+Ln+N%2C+Plymouth%2C+MN+55441" TargetMode="External"/><Relationship Id="rId1193" Type="http://schemas.openxmlformats.org/officeDocument/2006/relationships/hyperlink" Target="https://www.google.com/maps/search/?api=1&amp;query=Live+Well+Adjusted%2C+PA.%2C+7803+Afton+Rd%2C+Woodbury%2C+MN+55125" TargetMode="External"/><Relationship Id="rId216" Type="http://schemas.openxmlformats.org/officeDocument/2006/relationships/hyperlink" Target="https://npiregistry.cms.hhs.gov/provider-view/1508932344" TargetMode="External"/><Relationship Id="rId423" Type="http://schemas.openxmlformats.org/officeDocument/2006/relationships/hyperlink" Target="https://www.google.com/maps/search/?api=1&amp;query=Institute+For+Orthopedics+%26+Chiropractic%2C+PLLC%2C+6545+Flying+Cloud+Dr%2C+Eden+Prairie%2C+MN+55344" TargetMode="External"/><Relationship Id="rId868" Type="http://schemas.openxmlformats.org/officeDocument/2006/relationships/hyperlink" Target="https://www.google.com/maps/search/?api=1&amp;query=Maplewood+Imaging+Center+LLC%2C+2945+Hazelwood+St%2C+Maplewood%2C+MN+55109" TargetMode="External"/><Relationship Id="rId1053" Type="http://schemas.openxmlformats.org/officeDocument/2006/relationships/hyperlink" Target="https://npiregistry.cms.hhs.gov/provider-view/1326773748" TargetMode="External"/><Relationship Id="rId1260" Type="http://schemas.openxmlformats.org/officeDocument/2006/relationships/hyperlink" Target="https://npiregistry.cms.hhs.gov/provider-view/1316075799" TargetMode="External"/><Relationship Id="rId1498" Type="http://schemas.openxmlformats.org/officeDocument/2006/relationships/hyperlink" Target="https://npiregistry.cms.hhs.gov/provider-view/1407809494" TargetMode="External"/><Relationship Id="rId630" Type="http://schemas.openxmlformats.org/officeDocument/2006/relationships/hyperlink" Target="https://npiregistry.cms.hhs.gov/provider-view/1902850738" TargetMode="External"/><Relationship Id="rId728" Type="http://schemas.openxmlformats.org/officeDocument/2006/relationships/hyperlink" Target="https://www.google.com/maps/search/?api=1&amp;query=Viverant%2C+LLC%2C+12324+Wayzata+Blvd%2C+Minnetonka%2C+MN+55305" TargetMode="External"/><Relationship Id="rId935" Type="http://schemas.openxmlformats.org/officeDocument/2006/relationships/hyperlink" Target="https://npiregistry.cms.hhs.gov/provider-view/1629258355" TargetMode="External"/><Relationship Id="rId1358" Type="http://schemas.openxmlformats.org/officeDocument/2006/relationships/hyperlink" Target="https://npiregistry.cms.hhs.gov/provider-view/1437228574" TargetMode="External"/><Relationship Id="rId1565" Type="http://schemas.openxmlformats.org/officeDocument/2006/relationships/hyperlink" Target="https://www.google.com/maps/search/?api=1&amp;query=Recharge+Physical+Therapy+%26+Wellness%2C+1518+29th+Ave+S%2C+Moorhead%2C+MN+56560" TargetMode="External"/><Relationship Id="rId1772" Type="http://schemas.openxmlformats.org/officeDocument/2006/relationships/hyperlink" Target="https://npiregistry.cms.hhs.gov/provider-view/1609696053" TargetMode="External"/><Relationship Id="rId64" Type="http://schemas.openxmlformats.org/officeDocument/2006/relationships/hyperlink" Target="https://npiregistry.cms.hhs.gov/provider-view/1518200286" TargetMode="External"/><Relationship Id="rId1120" Type="http://schemas.openxmlformats.org/officeDocument/2006/relationships/hyperlink" Target="https://npiregistry.cms.hhs.gov/provider-view/1639359359" TargetMode="External"/><Relationship Id="rId1218" Type="http://schemas.openxmlformats.org/officeDocument/2006/relationships/hyperlink" Target="https://npiregistry.cms.hhs.gov/provider-view/1487293981" TargetMode="External"/><Relationship Id="rId1425" Type="http://schemas.openxmlformats.org/officeDocument/2006/relationships/hyperlink" Target="https://www.google.com/maps/search/?api=1&amp;query=Park+Performance+Chiropractic%2C+PLC%2C+716+1st+St+E%2C+Park+Rapids%2C+MN+56470" TargetMode="External"/><Relationship Id="rId1632" Type="http://schemas.openxmlformats.org/officeDocument/2006/relationships/hyperlink" Target="https://npiregistry.cms.hhs.gov/provider-view/1841991262" TargetMode="External"/><Relationship Id="rId280" Type="http://schemas.openxmlformats.org/officeDocument/2006/relationships/hyperlink" Target="https://npiregistry.cms.hhs.gov/provider-view/1295218303" TargetMode="External"/><Relationship Id="rId140" Type="http://schemas.openxmlformats.org/officeDocument/2006/relationships/hyperlink" Target="https://npiregistry.cms.hhs.gov/provider-view/1578850061" TargetMode="External"/><Relationship Id="rId378" Type="http://schemas.openxmlformats.org/officeDocument/2006/relationships/hyperlink" Target="https://npiregistry.cms.hhs.gov/provider-view/1952484602" TargetMode="External"/><Relationship Id="rId585" Type="http://schemas.openxmlformats.org/officeDocument/2006/relationships/hyperlink" Target="https://www.google.com/maps/search/?api=1&amp;query=Twin+Cities+Functional+Neurology+%26+Chiropractic%2C+PLLC%2C+6543+Bluebird+Dr%2C+Maple+Grove%2C+MN+55369" TargetMode="External"/><Relationship Id="rId792" Type="http://schemas.openxmlformats.org/officeDocument/2006/relationships/hyperlink" Target="https://www.google.com/maps/search/?api=1&amp;query=Concentra+Medical+Center%2C+4080+W+Broadway+Ave%2C+Robbinsdale%2C+MN+55422" TargetMode="External"/><Relationship Id="rId6" Type="http://schemas.openxmlformats.org/officeDocument/2006/relationships/hyperlink" Target="https://npiregistry.cms.hhs.gov/provider-view/1053120220" TargetMode="External"/><Relationship Id="rId238" Type="http://schemas.openxmlformats.org/officeDocument/2006/relationships/hyperlink" Target="https://npiregistry.cms.hhs.gov/provider-view/1881141349" TargetMode="External"/><Relationship Id="rId445" Type="http://schemas.openxmlformats.org/officeDocument/2006/relationships/hyperlink" Target="https://www.google.com/maps/search/?api=1&amp;query=Therapy+Partners%2C+INC.%2C+11995+Singletree+Ln%2C+Eden+Prairie%2C+MN+55344" TargetMode="External"/><Relationship Id="rId652" Type="http://schemas.openxmlformats.org/officeDocument/2006/relationships/hyperlink" Target="https://www.google.com/maps/search/?api=1&amp;query=Northeast+Chiropractic+PLLC%2C+34+13th+Ave+NE%2C+Minneapolis%2C+MN+55413" TargetMode="External"/><Relationship Id="rId1075" Type="http://schemas.openxmlformats.org/officeDocument/2006/relationships/hyperlink" Target="https://npiregistry.cms.hhs.gov/provider-view/1508984105" TargetMode="External"/><Relationship Id="rId1282" Type="http://schemas.openxmlformats.org/officeDocument/2006/relationships/hyperlink" Target="https://npiregistry.cms.hhs.gov/provider-view/1770712135" TargetMode="External"/><Relationship Id="rId305" Type="http://schemas.openxmlformats.org/officeDocument/2006/relationships/hyperlink" Target="https://www.google.com/maps/search/?api=1&amp;query=Turning+Leaf+Chiropractic%2C+PA.%2C+10438+185th+St+W%2C+Lakeville%2C+MN+55044" TargetMode="External"/><Relationship Id="rId512" Type="http://schemas.openxmlformats.org/officeDocument/2006/relationships/hyperlink" Target="https://npiregistry.cms.hhs.gov/provider-view/1316780349" TargetMode="External"/><Relationship Id="rId957" Type="http://schemas.openxmlformats.org/officeDocument/2006/relationships/hyperlink" Target="https://npiregistry.cms.hhs.gov/provider-view/1336344738" TargetMode="External"/><Relationship Id="rId1142" Type="http://schemas.openxmlformats.org/officeDocument/2006/relationships/hyperlink" Target="https://npiregistry.cms.hhs.gov/provider-view/1447017959" TargetMode="External"/><Relationship Id="rId1587" Type="http://schemas.openxmlformats.org/officeDocument/2006/relationships/hyperlink" Target="https://www.google.com/maps/search/?api=1&amp;query=Mxc+Neurosurgical+Services%2C+111+17th+Ave+E%2C+Alexandria%2C+MN+56308" TargetMode="External"/><Relationship Id="rId1794" Type="http://schemas.openxmlformats.org/officeDocument/2006/relationships/hyperlink" Target="https://npiregistry.cms.hhs.gov/provider-view/1740137793" TargetMode="External"/><Relationship Id="rId86" Type="http://schemas.openxmlformats.org/officeDocument/2006/relationships/hyperlink" Target="https://npiregistry.cms.hhs.gov/provider-view/1881795961" TargetMode="External"/><Relationship Id="rId817" Type="http://schemas.openxmlformats.org/officeDocument/2006/relationships/hyperlink" Target="https://npiregistry.cms.hhs.gov/provider-view/1932691714" TargetMode="External"/><Relationship Id="rId1002" Type="http://schemas.openxmlformats.org/officeDocument/2006/relationships/hyperlink" Target="https://www.google.com/maps/search/?api=1&amp;query=The+Spinery+PLLC%2C+2050+Saint+Clair+Ave%2C+St.+Paul%2C+MN+55105" TargetMode="External"/><Relationship Id="rId1447" Type="http://schemas.openxmlformats.org/officeDocument/2006/relationships/hyperlink" Target="https://www.google.com/maps/search/?api=1&amp;query=Roots+Chiropractic+Center+LLC%2C+350+NW+1st+Ave%2C+Grand+Rapids%2C+MN+55744" TargetMode="External"/><Relationship Id="rId1654" Type="http://schemas.openxmlformats.org/officeDocument/2006/relationships/hyperlink" Target="https://npiregistry.cms.hhs.gov/provider-view/1225230337" TargetMode="External"/><Relationship Id="rId1861" Type="http://schemas.openxmlformats.org/officeDocument/2006/relationships/hyperlink" Target="https://www.google.com/maps/search/?api=1&amp;query=Barberry+Health+%26+Spine%2C+118+W+College+Dr%2C+Marshall%2C+MN+56258" TargetMode="External"/><Relationship Id="rId1307" Type="http://schemas.openxmlformats.org/officeDocument/2006/relationships/hyperlink" Target="https://www.google.com/maps/search/?api=1&amp;query=Northern+Roots+Chiropractic%2C+805+Main+St+S%2C+Pine+City%2C+MN+55063" TargetMode="External"/><Relationship Id="rId1514" Type="http://schemas.openxmlformats.org/officeDocument/2006/relationships/hyperlink" Target="https://npiregistry.cms.hhs.gov/provider-view/1497597371" TargetMode="External"/><Relationship Id="rId1721" Type="http://schemas.openxmlformats.org/officeDocument/2006/relationships/hyperlink" Target="https://www.google.com/maps/search/?api=1&amp;query=Chatfield+Family+Chiropractic+LLC%2C+119+Main+St+S%2C+Chatfield%2C+MN+55923" TargetMode="External"/><Relationship Id="rId13" Type="http://schemas.openxmlformats.org/officeDocument/2006/relationships/hyperlink" Target="https://www.google.com/maps/search/?api=1&amp;query=Blaine+Chiropractic+Center+PA%2C+11919+Central+Ave+NE%2C+Blaine%2C+MN+55434" TargetMode="External"/><Relationship Id="rId1819" Type="http://schemas.openxmlformats.org/officeDocument/2006/relationships/hyperlink" Target="https://www.google.com/maps/search/?api=1&amp;query=Northfield+Hospital%2C+1381+Jefferson+Rd%2C+Northfield%2C+MN+55057" TargetMode="External"/><Relationship Id="rId162" Type="http://schemas.openxmlformats.org/officeDocument/2006/relationships/hyperlink" Target="https://npiregistry.cms.hhs.gov/provider-view/1023959228" TargetMode="External"/><Relationship Id="rId467" Type="http://schemas.openxmlformats.org/officeDocument/2006/relationships/hyperlink" Target="https://www.google.com/maps/search/?api=1&amp;query=Edina+Family+Chiropractic%2C+LLC%2C+3925+W+50th+St%2C+Edina%2C+MN+55424" TargetMode="External"/><Relationship Id="rId1097" Type="http://schemas.openxmlformats.org/officeDocument/2006/relationships/hyperlink" Target="https://www.google.com/maps/search/?api=1&amp;query=Ibackcheck+Sport+Therapy%2C+1000+School+St+NW%2C+Elk+River%2C+MN+55330" TargetMode="External"/><Relationship Id="rId674" Type="http://schemas.openxmlformats.org/officeDocument/2006/relationships/hyperlink" Target="https://www.google.com/maps/search/?api=1&amp;query=Southpointe+Physical+Therapy+LLC%2C+1305+E+24th+St%2C+Minneapolis%2C+MN+55404" TargetMode="External"/><Relationship Id="rId881" Type="http://schemas.openxmlformats.org/officeDocument/2006/relationships/hyperlink" Target="https://npiregistry.cms.hhs.gov/provider-view/1407834302" TargetMode="External"/><Relationship Id="rId979" Type="http://schemas.openxmlformats.org/officeDocument/2006/relationships/hyperlink" Target="https://npiregistry.cms.hhs.gov/provider-view/1245983097" TargetMode="External"/><Relationship Id="rId327" Type="http://schemas.openxmlformats.org/officeDocument/2006/relationships/hyperlink" Target="https://www.google.com/maps/search/?api=1&amp;query=Novacare+Rehabilitation%2C+60+Marie+Ave+E%2C+West+St+Paul%2C+MN+55118" TargetMode="External"/><Relationship Id="rId534" Type="http://schemas.openxmlformats.org/officeDocument/2006/relationships/hyperlink" Target="https://npiregistry.cms.hhs.gov/provider-view/1093103145" TargetMode="External"/><Relationship Id="rId741" Type="http://schemas.openxmlformats.org/officeDocument/2006/relationships/hyperlink" Target="https://npiregistry.cms.hhs.gov/provider-view/1144264540" TargetMode="External"/><Relationship Id="rId839" Type="http://schemas.openxmlformats.org/officeDocument/2006/relationships/hyperlink" Target="https://npiregistry.cms.hhs.gov/provider-view/1265650956" TargetMode="External"/><Relationship Id="rId1164" Type="http://schemas.openxmlformats.org/officeDocument/2006/relationships/hyperlink" Target="https://npiregistry.cms.hhs.gov/provider-view/1740035401" TargetMode="External"/><Relationship Id="rId1371" Type="http://schemas.openxmlformats.org/officeDocument/2006/relationships/hyperlink" Target="https://www.google.com/maps/search/?api=1&amp;query=Lakeview+Health+and+Wellness+PLLC%2C+118+Paul+Bunyan+Dr+S%2C+Bemidji%2C+MN+56601" TargetMode="External"/><Relationship Id="rId1469" Type="http://schemas.openxmlformats.org/officeDocument/2006/relationships/hyperlink" Target="https://www.google.com/maps/search/?api=1&amp;query=Chiropractic+Health+Center+P+A%2C+5807+Grand+Ave%2C+Duluth%2C+MN+55807" TargetMode="External"/><Relationship Id="rId601" Type="http://schemas.openxmlformats.org/officeDocument/2006/relationships/hyperlink" Target="https://www.google.com/maps/search/?api=1&amp;query=Allina+Health+Orthopedics%2C+2800+Chicago+Ave%2C+Minneapolis%2C+MN+55407" TargetMode="External"/><Relationship Id="rId1024" Type="http://schemas.openxmlformats.org/officeDocument/2006/relationships/hyperlink" Target="https://www.google.com/maps/search/?api=1&amp;query=Wellness+Chiropractic+Center+PC%2C+621+Cleveland+Ave+S%2C+St.+Paul%2C+MN+55116" TargetMode="External"/><Relationship Id="rId1231" Type="http://schemas.openxmlformats.org/officeDocument/2006/relationships/hyperlink" Target="https://www.google.com/maps/search/?api=1&amp;query=Elevate+Physical+Therapy+LLC%2C+6589+Laketowne+Pl%2C+Albertville%2C+MN+55301" TargetMode="External"/><Relationship Id="rId1676" Type="http://schemas.openxmlformats.org/officeDocument/2006/relationships/hyperlink" Target="https://npiregistry.cms.hhs.gov/provider-view/1942459987" TargetMode="External"/><Relationship Id="rId1883" Type="http://schemas.openxmlformats.org/officeDocument/2006/relationships/hyperlink" Target="https://www.google.com/maps/search/?api=1&amp;query=Pipestone+County+Medical+Center+Surgical+Specialties+Avera%2C+920+4th+Ave+SW%2C+Pipestone%2C+MN+56164" TargetMode="External"/><Relationship Id="rId906" Type="http://schemas.openxmlformats.org/officeDocument/2006/relationships/hyperlink" Target="https://www.google.com/maps/search/?api=1&amp;query=Entira+Family+Clinics-Shoreview%2C+404+Highway+96+W%2C+Shoreview%2C+MN+55126" TargetMode="External"/><Relationship Id="rId1329" Type="http://schemas.openxmlformats.org/officeDocument/2006/relationships/hyperlink" Target="https://www.google.com/maps/search/?api=1&amp;query=Arrow+Health+PC%2C+519+Main+St+S%2C+Sauk+Centre%2C+MN+56378" TargetMode="External"/><Relationship Id="rId1536" Type="http://schemas.openxmlformats.org/officeDocument/2006/relationships/hyperlink" Target="https://npiregistry.cms.hhs.gov/provider-view/1407919210" TargetMode="External"/><Relationship Id="rId1743" Type="http://schemas.openxmlformats.org/officeDocument/2006/relationships/hyperlink" Target="https://www.google.com/maps/search/?api=1&amp;query=La+Crescent+Chiropractic%2C+PC.%2C+306+Main+St%2C+La+Crescent%2C+MN+55947" TargetMode="External"/><Relationship Id="rId35" Type="http://schemas.openxmlformats.org/officeDocument/2006/relationships/hyperlink" Target="https://www.google.com/maps/search/?api=1&amp;query=Caring+Chiropractic+Center%2C+PA.%2C+10811+Xavis+St+NW%2C+Coon+Rapids%2C+MN+55433" TargetMode="External"/><Relationship Id="rId1603" Type="http://schemas.openxmlformats.org/officeDocument/2006/relationships/hyperlink" Target="https://www.google.com/maps/search/?api=1&amp;query=West+Central+Chiropractic+%26+Wellness%2C+LLC%2C+123+3rd+Ave.+E%2C+Alexandria%2C+MN+56308" TargetMode="External"/><Relationship Id="rId1810" Type="http://schemas.openxmlformats.org/officeDocument/2006/relationships/hyperlink" Target="https://npiregistry.cms.hhs.gov/provider-view/1467989194" TargetMode="External"/><Relationship Id="rId184" Type="http://schemas.openxmlformats.org/officeDocument/2006/relationships/hyperlink" Target="https://npiregistry.cms.hhs.gov/provider-view/1205481041" TargetMode="External"/><Relationship Id="rId391" Type="http://schemas.openxmlformats.org/officeDocument/2006/relationships/hyperlink" Target="https://www.google.com/maps/search/?api=1&amp;query=Lake+Life+Chiropractic+LLC%2C+7770+Dell+Rd%2C+Chanhassen%2C+MN+55317" TargetMode="External"/><Relationship Id="rId251" Type="http://schemas.openxmlformats.org/officeDocument/2006/relationships/hyperlink" Target="https://www.google.com/maps/search/?api=1&amp;query=Allina+Health+Nininger+Road+Clinic%2C+1285+Nininger+Rd%2C+Hastings%2C+MN+55033" TargetMode="External"/><Relationship Id="rId489" Type="http://schemas.openxmlformats.org/officeDocument/2006/relationships/hyperlink" Target="https://www.google.com/maps/search/?api=1&amp;query=Minworx+Health%2C+LLC%2C+7505+Metro+Blvd%2C+Edina%2C+MN+55439" TargetMode="External"/><Relationship Id="rId696" Type="http://schemas.openxmlformats.org/officeDocument/2006/relationships/hyperlink" Target="https://www.google.com/maps/search/?api=1&amp;query=Apex+Performance+Clinic+PLLC%2C+13911+Ridgedale+Dr%2C+Minnetonka%2C+MN+55305" TargetMode="External"/><Relationship Id="rId349" Type="http://schemas.openxmlformats.org/officeDocument/2006/relationships/hyperlink" Target="https://www.google.com/maps/search/?api=1&amp;query=National+Dizzy+%26+Balance+Center%2Cltd.%2C+4801+W+81st+St%2C+Bloomington%2C+MN+55437" TargetMode="External"/><Relationship Id="rId556" Type="http://schemas.openxmlformats.org/officeDocument/2006/relationships/hyperlink" Target="https://npiregistry.cms.hhs.gov/provider-view/1356277511" TargetMode="External"/><Relationship Id="rId763" Type="http://schemas.openxmlformats.org/officeDocument/2006/relationships/hyperlink" Target="https://npiregistry.cms.hhs.gov/provider-view/1417034661" TargetMode="External"/><Relationship Id="rId1186" Type="http://schemas.openxmlformats.org/officeDocument/2006/relationships/hyperlink" Target="https://npiregistry.cms.hhs.gov/provider-view/1700235587" TargetMode="External"/><Relationship Id="rId1393" Type="http://schemas.openxmlformats.org/officeDocument/2006/relationships/hyperlink" Target="https://www.google.com/maps/search/?api=1&amp;query=Therapy+Partners%2C+INC.%2C+5568+Clark+Ave%2C+Cromwell%2C+MN+55726" TargetMode="External"/><Relationship Id="rId111" Type="http://schemas.openxmlformats.org/officeDocument/2006/relationships/hyperlink" Target="https://www.google.com/maps/search/?api=1&amp;query=Concentra+Medical+Center%2C+1580+White+Oak+Dr%2C+Chaska%2C+MN+55318" TargetMode="External"/><Relationship Id="rId209" Type="http://schemas.openxmlformats.org/officeDocument/2006/relationships/hyperlink" Target="https://www.google.com/maps/search/?api=1&amp;query=South+Suburban+Oral+%26+Maxillofacial+Surgeons+LTD%2C+625+East+Nicollet+Boulevard%2C+Burnsville%2C+MN+55337" TargetMode="External"/><Relationship Id="rId416" Type="http://schemas.openxmlformats.org/officeDocument/2006/relationships/hyperlink" Target="https://npiregistry.cms.hhs.gov/provider-view/1063122976" TargetMode="External"/><Relationship Id="rId970" Type="http://schemas.openxmlformats.org/officeDocument/2006/relationships/hyperlink" Target="https://www.google.com/maps/search/?api=1&amp;query=Mounds+View+Chiropractic%2C+PA%2C+5372+Edgewood+Dr%2C+St.+Paul%2C+MN+55112" TargetMode="External"/><Relationship Id="rId1046" Type="http://schemas.openxmlformats.org/officeDocument/2006/relationships/hyperlink" Target="https://www.google.com/maps/search/?api=1&amp;query=Rhivive+Physical+Therapy%2C+1011+Meadowlands+Dr%2C+White+Bear+Lake%2C+MN+55127" TargetMode="External"/><Relationship Id="rId1253" Type="http://schemas.openxmlformats.org/officeDocument/2006/relationships/hyperlink" Target="https://www.google.com/maps/search/?api=1&amp;query=Inmotion+Chiropractic%2C+101+Marty+Dr%2C+Buffalo%2C+MN+55313" TargetMode="External"/><Relationship Id="rId1698" Type="http://schemas.openxmlformats.org/officeDocument/2006/relationships/hyperlink" Target="https://npiregistry.cms.hhs.gov/provider-view/1215638051" TargetMode="External"/><Relationship Id="rId623" Type="http://schemas.openxmlformats.org/officeDocument/2006/relationships/hyperlink" Target="https://www.google.com/maps/search/?api=1&amp;query=Embrace+Life+Chiropractic+PLLC%2C+10500+Kentucky+Ave+S%2C+Minneapolis%2C+MN+55438" TargetMode="External"/><Relationship Id="rId830" Type="http://schemas.openxmlformats.org/officeDocument/2006/relationships/hyperlink" Target="https://www.google.com/maps/search/?api=1&amp;query=Rayus+Radiology%2C+5775+Wayzata+Blvd%2C+St.+Louis+Park%2C+MN+55416" TargetMode="External"/><Relationship Id="rId928" Type="http://schemas.openxmlformats.org/officeDocument/2006/relationships/hyperlink" Target="https://www.google.com/maps/search/?api=1&amp;query=Courage+Kenny+Rehab+Associates%2C+280+Smith+Ave+N%2C+St.+Paul%2C+MN+55102" TargetMode="External"/><Relationship Id="rId1460" Type="http://schemas.openxmlformats.org/officeDocument/2006/relationships/hyperlink" Target="https://npiregistry.cms.hhs.gov/provider-view/1679961551" TargetMode="External"/><Relationship Id="rId1558" Type="http://schemas.openxmlformats.org/officeDocument/2006/relationships/hyperlink" Target="https://npiregistry.cms.hhs.gov/provider-view/1114028503" TargetMode="External"/><Relationship Id="rId1765" Type="http://schemas.openxmlformats.org/officeDocument/2006/relationships/hyperlink" Target="https://www.google.com/maps/search/?api=1&amp;query=Ea+Therapeutic+Health%2C+2530+Broadway+Ave+N%2C+Rochester%2C+MN+55906" TargetMode="External"/><Relationship Id="rId57" Type="http://schemas.openxmlformats.org/officeDocument/2006/relationships/hyperlink" Target="https://www.google.com/maps/search/?api=1&amp;query=Restoring+Wellness+Chiropractic%2C+10811+Xavis+St+NW%2C+Coon+Rapids%2C+MN+55433" TargetMode="External"/><Relationship Id="rId1113" Type="http://schemas.openxmlformats.org/officeDocument/2006/relationships/hyperlink" Target="https://www.google.com/maps/search/?api=1&amp;query=Whole+Health+Chiropractic+PC%2C+8617+W+Point+Douglas+Rd+S%2C+Cottage+Grove%2C+MN+55016" TargetMode="External"/><Relationship Id="rId1320" Type="http://schemas.openxmlformats.org/officeDocument/2006/relationships/hyperlink" Target="https://npiregistry.cms.hhs.gov/provider-view/1871104836" TargetMode="External"/><Relationship Id="rId1418" Type="http://schemas.openxmlformats.org/officeDocument/2006/relationships/hyperlink" Target="https://npiregistry.cms.hhs.gov/provider-view/1437011996" TargetMode="External"/><Relationship Id="rId1625" Type="http://schemas.openxmlformats.org/officeDocument/2006/relationships/hyperlink" Target="https://www.google.com/maps/search/?api=1&amp;query=Total+Body+Therapy%2C+106+Main+St%2C+Ottertail%2C+MN+56571" TargetMode="External"/><Relationship Id="rId1832" Type="http://schemas.openxmlformats.org/officeDocument/2006/relationships/hyperlink" Target="https://npiregistry.cms.hhs.gov/provider-view/1861495582" TargetMode="External"/><Relationship Id="rId273" Type="http://schemas.openxmlformats.org/officeDocument/2006/relationships/hyperlink" Target="https://www.google.com/maps/search/?api=1&amp;query=Therapy+Ops%2C+LLC%2C+2925+Buckley+Way%2C+Inver+Grove+Heights%2C+MN+55076" TargetMode="External"/><Relationship Id="rId480" Type="http://schemas.openxmlformats.org/officeDocument/2006/relationships/hyperlink" Target="https://npiregistry.cms.hhs.gov/provider-view/1295461036" TargetMode="External"/><Relationship Id="rId133" Type="http://schemas.openxmlformats.org/officeDocument/2006/relationships/hyperlink" Target="https://www.google.com/maps/search/?api=1&amp;query=Sunnydays+Therapy+INC%2C+9346+Oak+Ave%2C+Waconia%2C+MN+55387" TargetMode="External"/><Relationship Id="rId340" Type="http://schemas.openxmlformats.org/officeDocument/2006/relationships/hyperlink" Target="https://npiregistry.cms.hhs.gov/provider-view/1427633080" TargetMode="External"/><Relationship Id="rId578" Type="http://schemas.openxmlformats.org/officeDocument/2006/relationships/hyperlink" Target="https://npiregistry.cms.hhs.gov/provider-view/1891914412" TargetMode="External"/><Relationship Id="rId785" Type="http://schemas.openxmlformats.org/officeDocument/2006/relationships/hyperlink" Target="https://npiregistry.cms.hhs.gov/provider-view/1609503291" TargetMode="External"/><Relationship Id="rId992" Type="http://schemas.openxmlformats.org/officeDocument/2006/relationships/hyperlink" Target="https://www.google.com/maps/search/?api=1&amp;query=Spinal+Health+LLC%2C+1204+Grand+Ave%2C+St.+Paul%2C+MN+55105" TargetMode="External"/><Relationship Id="rId200" Type="http://schemas.openxmlformats.org/officeDocument/2006/relationships/hyperlink" Target="https://npiregistry.cms.hhs.gov/provider-view/1871212951" TargetMode="External"/><Relationship Id="rId438" Type="http://schemas.openxmlformats.org/officeDocument/2006/relationships/hyperlink" Target="https://npiregistry.cms.hhs.gov/provider-view/1104574763" TargetMode="External"/><Relationship Id="rId645" Type="http://schemas.openxmlformats.org/officeDocument/2006/relationships/hyperlink" Target="https://npiregistry.cms.hhs.gov/provider-view/1285368514" TargetMode="External"/><Relationship Id="rId852" Type="http://schemas.openxmlformats.org/officeDocument/2006/relationships/hyperlink" Target="https://www.google.com/maps/search/?api=1&amp;query=Volker+Sports+%26+Physical+Medicine+PLLC%2C+236+2nd+Ave+SW%2C+Cambridge%2C+MN+55008" TargetMode="External"/><Relationship Id="rId1068" Type="http://schemas.openxmlformats.org/officeDocument/2006/relationships/hyperlink" Target="https://www.google.com/maps/search/?api=1&amp;query=EOS+Oral+Surgery%2C+13875+Hwy+13+Frontage+Rd%2C+Savage%2C+MN+55378" TargetMode="External"/><Relationship Id="rId1275" Type="http://schemas.openxmlformats.org/officeDocument/2006/relationships/hyperlink" Target="https://www.google.com/maps/search/?api=1&amp;query=MN+Center+for+Dental+Care%2C+9075+Quaday+Ave+NE%2C+Otsego%2C+MN+55330" TargetMode="External"/><Relationship Id="rId1482" Type="http://schemas.openxmlformats.org/officeDocument/2006/relationships/hyperlink" Target="https://npiregistry.cms.hhs.gov/provider-view/1811395874" TargetMode="External"/><Relationship Id="rId505" Type="http://schemas.openxmlformats.org/officeDocument/2006/relationships/hyperlink" Target="https://www.google.com/maps/search/?api=1&amp;query=Pdr+Southdale%2C+INC%2C+3400+W+66th+St%2C+Edina%2C+MN+55435" TargetMode="External"/><Relationship Id="rId712" Type="http://schemas.openxmlformats.org/officeDocument/2006/relationships/hyperlink" Target="https://www.google.com/maps/search/?api=1&amp;query=Summit+Orthopedics%2C+LTD%2C+15450+Highway+7%2C+Minnetonka%2C+MN+55345" TargetMode="External"/><Relationship Id="rId1135" Type="http://schemas.openxmlformats.org/officeDocument/2006/relationships/hyperlink" Target="https://www.google.com/maps/search/?api=1&amp;query=Wildwood+Wellness+LLC%2C+744+Wildwood+Rd%2C+Mahtomedi%2C+MN+55115" TargetMode="External"/><Relationship Id="rId1342" Type="http://schemas.openxmlformats.org/officeDocument/2006/relationships/hyperlink" Target="https://npiregistry.cms.hhs.gov/provider-view/1871365411" TargetMode="External"/><Relationship Id="rId1787" Type="http://schemas.openxmlformats.org/officeDocument/2006/relationships/hyperlink" Target="https://www.google.com/maps/search/?api=1&amp;query=Psimos+Oral+Surgery%2C+1101+N+Broadway%2C+Rochester%2C+MN+55906" TargetMode="External"/><Relationship Id="rId79" Type="http://schemas.openxmlformats.org/officeDocument/2006/relationships/hyperlink" Target="https://www.google.com/maps/search/?api=1&amp;query=Spinecare+Fridley%2C+PC%2C+7872+University+Ave+NE%2C+Fridley%2C+MN+55432" TargetMode="External"/><Relationship Id="rId1202" Type="http://schemas.openxmlformats.org/officeDocument/2006/relationships/hyperlink" Target="https://npiregistry.cms.hhs.gov/provider-view/1750316014" TargetMode="External"/><Relationship Id="rId1647" Type="http://schemas.openxmlformats.org/officeDocument/2006/relationships/hyperlink" Target="https://www.google.com/maps/search/?api=1&amp;query=Kato+Family+Chiropractic%2C+PA.%2C+99+Navaho+Ave%2C+Mankato%2C+MN+56001" TargetMode="External"/><Relationship Id="rId1854" Type="http://schemas.openxmlformats.org/officeDocument/2006/relationships/hyperlink" Target="https://npiregistry.cms.hhs.gov/provider-view/1942072871" TargetMode="External"/><Relationship Id="rId1507" Type="http://schemas.openxmlformats.org/officeDocument/2006/relationships/hyperlink" Target="https://www.google.com/maps/search/?api=1&amp;query=Therapy+Partners%2C+INC.%2C+4135+Richard+Ave%2C+Hermantown%2C+MN+55811" TargetMode="External"/><Relationship Id="rId1714" Type="http://schemas.openxmlformats.org/officeDocument/2006/relationships/hyperlink" Target="https://npiregistry.cms.hhs.gov/provider-view/1932017746" TargetMode="External"/><Relationship Id="rId295" Type="http://schemas.openxmlformats.org/officeDocument/2006/relationships/hyperlink" Target="https://www.google.com/maps/search/?api=1&amp;query=Midwest+Integrated+Health+Clinic%2C+16283+Ipava+Ave%2C+Lakeville%2C+MN+55044" TargetMode="External"/><Relationship Id="rId155" Type="http://schemas.openxmlformats.org/officeDocument/2006/relationships/hyperlink" Target="https://www.google.com/maps/search/?api=1&amp;query=Liberty+Physical+Therapy+LLC%2C+272+Cimarron+Rd%2C+Apple+Valley%2C+MN+55124" TargetMode="External"/><Relationship Id="rId362" Type="http://schemas.openxmlformats.org/officeDocument/2006/relationships/hyperlink" Target="https://npiregistry.cms.hhs.gov/provider-view/1346624384" TargetMode="External"/><Relationship Id="rId1297" Type="http://schemas.openxmlformats.org/officeDocument/2006/relationships/hyperlink" Target="https://www.google.com/maps/search/?api=1&amp;query=Flexed+Mettle+MN%2C+LLC%2C+111+N+Rum+River+Dr%2C+Princeton%2C+MN+55371" TargetMode="External"/><Relationship Id="rId222" Type="http://schemas.openxmlformats.org/officeDocument/2006/relationships/hyperlink" Target="https://npiregistry.cms.hhs.gov/provider-view/1457081275" TargetMode="External"/><Relationship Id="rId667" Type="http://schemas.openxmlformats.org/officeDocument/2006/relationships/hyperlink" Target="https://npiregistry.cms.hhs.gov/provider-view/1609744002" TargetMode="External"/><Relationship Id="rId874" Type="http://schemas.openxmlformats.org/officeDocument/2006/relationships/hyperlink" Target="https://www.google.com/maps/search/?api=1&amp;query=Twin+Cities+Oral+%26+Maxillofacial+Surgery%2C+PA%2C+1655+Beam+Ave%2C+Maplewood%2C+MN+55109" TargetMode="External"/><Relationship Id="rId527" Type="http://schemas.openxmlformats.org/officeDocument/2006/relationships/hyperlink" Target="https://www.google.com/maps/search/?api=1&amp;query=Zero+Distance+Acupuncture+LLC%2C+4950+Lincoln+Dr%2C+Edina%2C+MN+55436" TargetMode="External"/><Relationship Id="rId734" Type="http://schemas.openxmlformats.org/officeDocument/2006/relationships/hyperlink" Target="https://www.google.com/maps/search/?api=1&amp;query=Meridian+Chiropractic%2C+INC%2C+4900+Highway+169+N%2C+New+Hope%2C+MN+55428" TargetMode="External"/><Relationship Id="rId941" Type="http://schemas.openxmlformats.org/officeDocument/2006/relationships/hyperlink" Target="https://npiregistry.cms.hhs.gov/provider-view/1548959737" TargetMode="External"/><Relationship Id="rId1157" Type="http://schemas.openxmlformats.org/officeDocument/2006/relationships/hyperlink" Target="https://www.google.com/maps/search/?api=1&amp;query=Leif+Erik+Schley+DC+LLC%2C+105+New+England+Place%2C+Stillwater%2C+MN+55082" TargetMode="External"/><Relationship Id="rId1364" Type="http://schemas.openxmlformats.org/officeDocument/2006/relationships/hyperlink" Target="https://npiregistry.cms.hhs.gov/provider-view/1780681437" TargetMode="External"/><Relationship Id="rId1571" Type="http://schemas.openxmlformats.org/officeDocument/2006/relationships/hyperlink" Target="https://www.google.com/maps/search/?api=1&amp;query=Alomere+Health%2C+111+17th+Ave+E%2C+Alexandria%2C+MN+56308" TargetMode="External"/><Relationship Id="rId70" Type="http://schemas.openxmlformats.org/officeDocument/2006/relationships/hyperlink" Target="https://npiregistry.cms.hhs.gov/provider-view/1538970660" TargetMode="External"/><Relationship Id="rId801" Type="http://schemas.openxmlformats.org/officeDocument/2006/relationships/hyperlink" Target="https://npiregistry.cms.hhs.gov/provider-view/1609872522" TargetMode="External"/><Relationship Id="rId1017" Type="http://schemas.openxmlformats.org/officeDocument/2006/relationships/hyperlink" Target="https://npiregistry.cms.hhs.gov/provider-view/1912751496" TargetMode="External"/><Relationship Id="rId1224" Type="http://schemas.openxmlformats.org/officeDocument/2006/relationships/hyperlink" Target="https://npiregistry.cms.hhs.gov/provider-view/1932325578" TargetMode="External"/><Relationship Id="rId1431" Type="http://schemas.openxmlformats.org/officeDocument/2006/relationships/hyperlink" Target="https://www.google.com/maps/search/?api=1&amp;query=Alliance+Chiropractic+%26+Wellness+PA%2C+504+NW+1st+Ave%2C+Grand+Rapids%2C+MN+55744" TargetMode="External"/><Relationship Id="rId1669" Type="http://schemas.openxmlformats.org/officeDocument/2006/relationships/hyperlink" Target="https://www.google.com/maps/search/?api=1&amp;query=Progressive+Chiropractic%2C+304+10th+St+N%2C+Mountain+Lake%2C+MN+56159" TargetMode="External"/><Relationship Id="rId1876" Type="http://schemas.openxmlformats.org/officeDocument/2006/relationships/hyperlink" Target="https://npiregistry.cms.hhs.gov/provider-view/1205905924" TargetMode="External"/><Relationship Id="rId1529" Type="http://schemas.openxmlformats.org/officeDocument/2006/relationships/hyperlink" Target="https://www.google.com/maps/search/?api=1&amp;query=Sanford+Thief+River+Falls%2C+3001+Sanford+Parkway%2C+Thief+River+Falls%2C+MN+56701" TargetMode="External"/><Relationship Id="rId1736" Type="http://schemas.openxmlformats.org/officeDocument/2006/relationships/hyperlink" Target="https://npiregistry.cms.hhs.gov/provider-view/1407809494" TargetMode="External"/><Relationship Id="rId28" Type="http://schemas.openxmlformats.org/officeDocument/2006/relationships/hyperlink" Target="https://npiregistry.cms.hhs.gov/provider-view/1043566045" TargetMode="External"/><Relationship Id="rId1803" Type="http://schemas.openxmlformats.org/officeDocument/2006/relationships/hyperlink" Target="https://www.google.com/maps/search/?api=1&amp;query=Therapy+Partners%2C+INC.%2C+401+16th+St+SE%2C+Rochester%2C+MN+55904" TargetMode="External"/><Relationship Id="rId177" Type="http://schemas.openxmlformats.org/officeDocument/2006/relationships/hyperlink" Target="https://www.google.com/maps/search/?api=1&amp;query=Healthpro+Chiropractic+PC%2C+150+E+Travelers+Trl%2C+Burnsville%2C+MN+55337" TargetMode="External"/><Relationship Id="rId384" Type="http://schemas.openxmlformats.org/officeDocument/2006/relationships/hyperlink" Target="https://npiregistry.cms.hhs.gov/provider-view/1912147281" TargetMode="External"/><Relationship Id="rId591" Type="http://schemas.openxmlformats.org/officeDocument/2006/relationships/hyperlink" Target="https://www.google.com/maps/search/?api=1&amp;query=Waypoint+Minnesota+PC%2C+9325+Upland+Ln+N%2C+Maple+Grove%2C+MN+55369" TargetMode="External"/><Relationship Id="rId244" Type="http://schemas.openxmlformats.org/officeDocument/2006/relationships/hyperlink" Target="https://npiregistry.cms.hhs.gov/provider-view/1285761825" TargetMode="External"/><Relationship Id="rId689" Type="http://schemas.openxmlformats.org/officeDocument/2006/relationships/hyperlink" Target="https://npiregistry.cms.hhs.gov/provider-view/1699711143" TargetMode="External"/><Relationship Id="rId896" Type="http://schemas.openxmlformats.org/officeDocument/2006/relationships/hyperlink" Target="https://www.google.com/maps/search/?api=1&amp;query=Novacare+Rehabilitation%2C+1835+County+Road+C+W%2C+Roseville%2C+MN+55113" TargetMode="External"/><Relationship Id="rId1081" Type="http://schemas.openxmlformats.org/officeDocument/2006/relationships/hyperlink" Target="https://www.google.com/maps/search/?api=1&amp;query=Mission+Chiropractic+%26+Acupuncture+PLLC%2C+4109+Dean+Lakes+Blvd%2C+Shakopee%2C+MN+55379" TargetMode="External"/><Relationship Id="rId451" Type="http://schemas.openxmlformats.org/officeDocument/2006/relationships/hyperlink" Target="https://www.google.com/maps/search/?api=1&amp;query=Active+Life+Physical+Therapy+and+Wellness+LLC%2C+5200+Willson+Rd%2C+Edina%2C+MN+55424" TargetMode="External"/><Relationship Id="rId549" Type="http://schemas.openxmlformats.org/officeDocument/2006/relationships/hyperlink" Target="https://www.google.com/maps/search/?api=1&amp;query=Chirocenter+INC.%2C+1865+W+Wayzata+Blvd%2C+Long+Lake%2C+MN+55356" TargetMode="External"/><Relationship Id="rId756" Type="http://schemas.openxmlformats.org/officeDocument/2006/relationships/hyperlink" Target="https://www.google.com/maps/search/?api=1&amp;query=Infusion+Associates%2C+15655+37th+Ave+N%2C+Plymouth%2C+MN+55446" TargetMode="External"/><Relationship Id="rId1179" Type="http://schemas.openxmlformats.org/officeDocument/2006/relationships/hyperlink" Target="https://www.google.com/maps/search/?api=1&amp;query=Bluewater+Chiropractic+PC%2C+6445+Lake+Road+Ter%2C+Woodbury%2C+MN+55125" TargetMode="External"/><Relationship Id="rId1386" Type="http://schemas.openxmlformats.org/officeDocument/2006/relationships/hyperlink" Target="https://npiregistry.cms.hhs.gov/provider-view/1114465366" TargetMode="External"/><Relationship Id="rId1593" Type="http://schemas.openxmlformats.org/officeDocument/2006/relationships/hyperlink" Target="https://www.google.com/maps/search/?api=1&amp;query=Summit+Chiropractic+Care+PLLC%2C+324+Broadway+St%2C+Alexandria%2C+MN+56308" TargetMode="External"/><Relationship Id="rId104" Type="http://schemas.openxmlformats.org/officeDocument/2006/relationships/hyperlink" Target="https://npiregistry.cms.hhs.gov/provider-view/1639528508" TargetMode="External"/><Relationship Id="rId311" Type="http://schemas.openxmlformats.org/officeDocument/2006/relationships/hyperlink" Target="https://www.google.com/maps/search/?api=1&amp;query=Inspire+Life+Chiropractic+Center%2C+PLLC%2C+750+Main+St%2C+Mendota+Heights%2C+MN+55118" TargetMode="External"/><Relationship Id="rId409" Type="http://schemas.openxmlformats.org/officeDocument/2006/relationships/hyperlink" Target="https://www.google.com/maps/search/?api=1&amp;query=Eden+Prairie+Chirocenter%2C+7820+Terrey+Pine+Ct%2C+Eden+Prairie%2C+MN+55347" TargetMode="External"/><Relationship Id="rId963" Type="http://schemas.openxmlformats.org/officeDocument/2006/relationships/hyperlink" Target="https://npiregistry.cms.hhs.gov/provider-view/1285757864" TargetMode="External"/><Relationship Id="rId1039" Type="http://schemas.openxmlformats.org/officeDocument/2006/relationships/hyperlink" Target="https://npiregistry.cms.hhs.gov/provider-view/1851525893" TargetMode="External"/><Relationship Id="rId1246" Type="http://schemas.openxmlformats.org/officeDocument/2006/relationships/hyperlink" Target="https://npiregistry.cms.hhs.gov/provider-view/1790589430" TargetMode="External"/><Relationship Id="rId1898" Type="http://schemas.openxmlformats.org/officeDocument/2006/relationships/hyperlink" Target="https://npiregistry.cms.hhs.gov/provider-view/1477240521" TargetMode="External"/><Relationship Id="rId92" Type="http://schemas.openxmlformats.org/officeDocument/2006/relationships/hyperlink" Target="https://npiregistry.cms.hhs.gov/provider-view/1750316014" TargetMode="External"/><Relationship Id="rId616" Type="http://schemas.openxmlformats.org/officeDocument/2006/relationships/hyperlink" Target="https://npiregistry.cms.hhs.gov/provider-view/1427539881" TargetMode="External"/><Relationship Id="rId823" Type="http://schemas.openxmlformats.org/officeDocument/2006/relationships/hyperlink" Target="https://npiregistry.cms.hhs.gov/provider-view/1154302545" TargetMode="External"/><Relationship Id="rId1453" Type="http://schemas.openxmlformats.org/officeDocument/2006/relationships/hyperlink" Target="https://www.google.com/maps/search/?api=1&amp;query=River+Iron+Therapy%2C+LLC%2C+337+Forestry+Rd%2C+Aurora%2C+MN+55705" TargetMode="External"/><Relationship Id="rId1660" Type="http://schemas.openxmlformats.org/officeDocument/2006/relationships/hyperlink" Target="https://npiregistry.cms.hhs.gov/provider-view/1336830678" TargetMode="External"/><Relationship Id="rId1758" Type="http://schemas.openxmlformats.org/officeDocument/2006/relationships/hyperlink" Target="https://npiregistry.cms.hhs.gov/provider-view/1598366882" TargetMode="External"/><Relationship Id="rId1106" Type="http://schemas.openxmlformats.org/officeDocument/2006/relationships/hyperlink" Target="https://npiregistry.cms.hhs.gov/provider-view/1124795612" TargetMode="External"/><Relationship Id="rId1313" Type="http://schemas.openxmlformats.org/officeDocument/2006/relationships/hyperlink" Target="https://www.google.com/maps/search/?api=1&amp;query=Novacare+Rehabilitation%2C+402+Red+River+Ave+N%2C+Cold+Spring%2C+MN+56320" TargetMode="External"/><Relationship Id="rId1520" Type="http://schemas.openxmlformats.org/officeDocument/2006/relationships/hyperlink" Target="https://npiregistry.cms.hhs.gov/provider-view/1588118202" TargetMode="External"/><Relationship Id="rId1618" Type="http://schemas.openxmlformats.org/officeDocument/2006/relationships/hyperlink" Target="https://npiregistry.cms.hhs.gov/provider-view/1881849040" TargetMode="External"/><Relationship Id="rId1825" Type="http://schemas.openxmlformats.org/officeDocument/2006/relationships/hyperlink" Target="https://www.google.com/maps/search/?api=1&amp;query=Chiropractic+Care+of+Owatonna%2C+317+N+Cedar%2C+Owatonna%2C+MN+55060" TargetMode="External"/><Relationship Id="rId199" Type="http://schemas.openxmlformats.org/officeDocument/2006/relationships/hyperlink" Target="https://www.google.com/maps/search/?api=1&amp;query=Nova+Chiropractic+and+Wellness%2C+2424+E+117th+St%2C+Burnsville%2C+MN+55337" TargetMode="External"/><Relationship Id="rId266" Type="http://schemas.openxmlformats.org/officeDocument/2006/relationships/hyperlink" Target="https://npiregistry.cms.hhs.gov/provider-view/1194904417" TargetMode="External"/><Relationship Id="rId473" Type="http://schemas.openxmlformats.org/officeDocument/2006/relationships/hyperlink" Target="https://www.google.com/maps/search/?api=1&amp;query=Global+Chiropractic+LLC%2C+6600+France+Ave+S%2C+Edina%2C+MN+55435" TargetMode="External"/><Relationship Id="rId680" Type="http://schemas.openxmlformats.org/officeDocument/2006/relationships/hyperlink" Target="https://www.google.com/maps/search/?api=1&amp;query=The+Haven+Chiropractic+Health+Center+PLLC%2C+643+N+5th+St%2C+Minneapolis%2C+MN+55401" TargetMode="External"/><Relationship Id="rId126" Type="http://schemas.openxmlformats.org/officeDocument/2006/relationships/hyperlink" Target="https://npiregistry.cms.hhs.gov/provider-view/1316120272" TargetMode="External"/><Relationship Id="rId333" Type="http://schemas.openxmlformats.org/officeDocument/2006/relationships/hyperlink" Target="https://www.google.com/maps/search/?api=1&amp;query=Cdm%2C+PLLC%2C+8120+Penn+Ave+S%2C+Bloomington%2C+MN+55431" TargetMode="External"/><Relationship Id="rId540" Type="http://schemas.openxmlformats.org/officeDocument/2006/relationships/hyperlink" Target="https://npiregistry.cms.hhs.gov/provider-view/1306513023" TargetMode="External"/><Relationship Id="rId778" Type="http://schemas.openxmlformats.org/officeDocument/2006/relationships/hyperlink" Target="https://www.google.com/maps/search/?api=1&amp;query=Therapy+Partners%2C+INC.%2C+15010+23rd+Ave+N%2C+Plymouth%2C+MN+55447" TargetMode="External"/><Relationship Id="rId985" Type="http://schemas.openxmlformats.org/officeDocument/2006/relationships/hyperlink" Target="https://npiregistry.cms.hhs.gov/provider-view/1467233478" TargetMode="External"/><Relationship Id="rId1170" Type="http://schemas.openxmlformats.org/officeDocument/2006/relationships/hyperlink" Target="https://npiregistry.cms.hhs.gov/provider-view/1841811163" TargetMode="External"/><Relationship Id="rId638" Type="http://schemas.openxmlformats.org/officeDocument/2006/relationships/hyperlink" Target="https://www.google.com/maps/search/?api=1&amp;query=M+Health+Fairview+Pain+Clinic+-+Minneapolis%2C+606+24th+Ave+S%2C+Minneapolis%2C+MN+55454" TargetMode="External"/><Relationship Id="rId845" Type="http://schemas.openxmlformats.org/officeDocument/2006/relationships/hyperlink" Target="https://npiregistry.cms.hhs.gov/provider-view/1609787530" TargetMode="External"/><Relationship Id="rId1030" Type="http://schemas.openxmlformats.org/officeDocument/2006/relationships/hyperlink" Target="https://www.google.com/maps/search/?api=1&amp;query=Fix+It+Physical+Therapy%2C+LLC%2C+3485+Willow+Lake+Blvd%2C+Vadnais+Heights%2C+MN+55110" TargetMode="External"/><Relationship Id="rId1268" Type="http://schemas.openxmlformats.org/officeDocument/2006/relationships/hyperlink" Target="https://npiregistry.cms.hhs.gov/provider-view/1649043662" TargetMode="External"/><Relationship Id="rId1475" Type="http://schemas.openxmlformats.org/officeDocument/2006/relationships/hyperlink" Target="https://www.google.com/maps/search/?api=1&amp;query=Janzen+Chiropractic+PA%2C+4731+E+Superior+St%2C+Duluth%2C+MN+55804" TargetMode="External"/><Relationship Id="rId1682" Type="http://schemas.openxmlformats.org/officeDocument/2006/relationships/hyperlink" Target="https://npiregistry.cms.hhs.gov/provider-view/1972854040" TargetMode="External"/><Relationship Id="rId400" Type="http://schemas.openxmlformats.org/officeDocument/2006/relationships/hyperlink" Target="https://npiregistry.cms.hhs.gov/provider-view/1972264083" TargetMode="External"/><Relationship Id="rId705" Type="http://schemas.openxmlformats.org/officeDocument/2006/relationships/hyperlink" Target="https://npiregistry.cms.hhs.gov/provider-view/1275231698" TargetMode="External"/><Relationship Id="rId1128" Type="http://schemas.openxmlformats.org/officeDocument/2006/relationships/hyperlink" Target="https://npiregistry.cms.hhs.gov/provider-view/1225918279" TargetMode="External"/><Relationship Id="rId1335" Type="http://schemas.openxmlformats.org/officeDocument/2006/relationships/hyperlink" Target="https://www.google.com/maps/search/?api=1&amp;query=Communitywise+Services%2C+INC.%2C+3339+W+Saint+Germain+St%2C+St.+Cloud%2C+MN+56301" TargetMode="External"/><Relationship Id="rId1542" Type="http://schemas.openxmlformats.org/officeDocument/2006/relationships/hyperlink" Target="https://npiregistry.cms.hhs.gov/provider-view/1982477030" TargetMode="External"/><Relationship Id="rId912" Type="http://schemas.openxmlformats.org/officeDocument/2006/relationships/hyperlink" Target="https://www.google.com/maps/search/?api=1&amp;query=Allina+Health+Orthopedics%2C+310+Smith+Ave+N%2C+St.+Paul%2C+MN+55102" TargetMode="External"/><Relationship Id="rId1847" Type="http://schemas.openxmlformats.org/officeDocument/2006/relationships/hyperlink" Target="https://www.google.com/maps/search/?api=1&amp;query=Opdahl+Chiropractic%2C+551+SW+1st+St%2C+Montevideo%2C+MN+56265" TargetMode="External"/><Relationship Id="rId41" Type="http://schemas.openxmlformats.org/officeDocument/2006/relationships/hyperlink" Target="https://www.google.com/maps/search/?api=1&amp;query=Fit+Family+Chiropractic%2C+1835+Gateway+Dr%2C+Coon+Rapids%2C+MN+55448" TargetMode="External"/><Relationship Id="rId1402" Type="http://schemas.openxmlformats.org/officeDocument/2006/relationships/hyperlink" Target="https://npiregistry.cms.hhs.gov/provider-view/1104399708" TargetMode="External"/><Relationship Id="rId1707" Type="http://schemas.openxmlformats.org/officeDocument/2006/relationships/hyperlink" Target="https://www.google.com/maps/search/?api=1&amp;query=Back+In+Balance+Health+and+Wellness+PLLC%2C+220+Broadway+Ave%2C+St.+Peter%2C+MN+56082" TargetMode="External"/><Relationship Id="rId190" Type="http://schemas.openxmlformats.org/officeDocument/2006/relationships/hyperlink" Target="https://npiregistry.cms.hhs.gov/provider-view/1558208033" TargetMode="External"/><Relationship Id="rId288" Type="http://schemas.openxmlformats.org/officeDocument/2006/relationships/hyperlink" Target="https://npiregistry.cms.hhs.gov/provider-view/1205083540" TargetMode="External"/><Relationship Id="rId495" Type="http://schemas.openxmlformats.org/officeDocument/2006/relationships/hyperlink" Target="https://www.google.com/maps/search/?api=1&amp;query=Novacare+Rehabilitation%2C+6515+Barrie+Rd%2C+Edina%2C+MN+55435" TargetMode="External"/><Relationship Id="rId148" Type="http://schemas.openxmlformats.org/officeDocument/2006/relationships/hyperlink" Target="https://npiregistry.cms.hhs.gov/provider-view/1386193613" TargetMode="External"/><Relationship Id="rId355" Type="http://schemas.openxmlformats.org/officeDocument/2006/relationships/hyperlink" Target="https://www.google.com/maps/search/?api=1&amp;query=Saunders+Therapy+Centers+INC%2C+4801+W+81st+St%2C+Bloomington%2C+MN+55437" TargetMode="External"/><Relationship Id="rId562" Type="http://schemas.openxmlformats.org/officeDocument/2006/relationships/hyperlink" Target="https://npiregistry.cms.hhs.gov/provider-view/1144745951" TargetMode="External"/><Relationship Id="rId1192" Type="http://schemas.openxmlformats.org/officeDocument/2006/relationships/hyperlink" Target="https://npiregistry.cms.hhs.gov/provider-view/1457417933" TargetMode="External"/><Relationship Id="rId215" Type="http://schemas.openxmlformats.org/officeDocument/2006/relationships/hyperlink" Target="https://www.google.com/maps/search/?api=1&amp;query=The+Dental+Specialists%2C+40+W+Nicollet+Blvd%2C+Burnsville%2C+MN+55337" TargetMode="External"/><Relationship Id="rId422" Type="http://schemas.openxmlformats.org/officeDocument/2006/relationships/hyperlink" Target="https://npiregistry.cms.hhs.gov/provider-view/1164959938" TargetMode="External"/><Relationship Id="rId867" Type="http://schemas.openxmlformats.org/officeDocument/2006/relationships/hyperlink" Target="https://npiregistry.cms.hhs.gov/provider-view/1750299079" TargetMode="External"/><Relationship Id="rId1052" Type="http://schemas.openxmlformats.org/officeDocument/2006/relationships/hyperlink" Target="https://www.google.com/maps/search/?api=1&amp;query=Wildwood+Chiropractic+Center%2C+3580+Linden+Ave%2C+White+Bear+Lake%2C+MN+55110" TargetMode="External"/><Relationship Id="rId1497" Type="http://schemas.openxmlformats.org/officeDocument/2006/relationships/hyperlink" Target="https://www.google.com/maps/search/?api=1&amp;query=Therapy+Partners%2C+INC.%2C+4316+Rice+Lake+Rd%2C+Duluth%2C+MN+55811" TargetMode="External"/><Relationship Id="rId727" Type="http://schemas.openxmlformats.org/officeDocument/2006/relationships/hyperlink" Target="https://npiregistry.cms.hhs.gov/provider-view/1407809494" TargetMode="External"/><Relationship Id="rId934" Type="http://schemas.openxmlformats.org/officeDocument/2006/relationships/hyperlink" Target="https://www.google.com/maps/search/?api=1&amp;query=Entira+Family+Clinics-Como%2Froseville%2C+1050+Larpenteur+Ave+W%2C+St.+Paul%2C+MN+55113" TargetMode="External"/><Relationship Id="rId1357" Type="http://schemas.openxmlformats.org/officeDocument/2006/relationships/hyperlink" Target="https://www.google.com/maps/search/?api=1&amp;query=Dakota+Clinic%2C+LTD.+Detroit+Lakes%2C+125+Frazee+St+E%2C+Detroit+Lakes%2C+MN+56501" TargetMode="External"/><Relationship Id="rId1564" Type="http://schemas.openxmlformats.org/officeDocument/2006/relationships/hyperlink" Target="https://npiregistry.cms.hhs.gov/provider-view/1528303310" TargetMode="External"/><Relationship Id="rId1771" Type="http://schemas.openxmlformats.org/officeDocument/2006/relationships/hyperlink" Target="https://www.google.com/maps/search/?api=1&amp;query=Hartley+Health+and+Chiropractic+Clinic+LLC%2C+3257+19th+St+NW%2C+Rochester%2C+MN+55901" TargetMode="External"/><Relationship Id="rId63" Type="http://schemas.openxmlformats.org/officeDocument/2006/relationships/hyperlink" Target="https://www.google.com/maps/search/?api=1&amp;query=The+Dental+Specialists+-+Coon+Rapids+Riverdale%2C+3360+Northdale+Blvd+NW%2C+Coon+Rapids%2C+MN+55448" TargetMode="External"/><Relationship Id="rId1217" Type="http://schemas.openxmlformats.org/officeDocument/2006/relationships/hyperlink" Target="https://www.google.com/maps/search/?api=1&amp;query=The+Wellness+Way+Woodbury%2C+700+Commerce+Dr%2C+Woodbury%2C+MN+55125" TargetMode="External"/><Relationship Id="rId1424" Type="http://schemas.openxmlformats.org/officeDocument/2006/relationships/hyperlink" Target="https://npiregistry.cms.hhs.gov/provider-view/1376894014" TargetMode="External"/><Relationship Id="rId1631" Type="http://schemas.openxmlformats.org/officeDocument/2006/relationships/hyperlink" Target="https://www.google.com/maps/search/?api=1&amp;query=Soderholm+Oral+Surgery+and+Implants%2C+940+Market+St%2C+Perham%2C+MN+56573" TargetMode="External"/><Relationship Id="rId1869" Type="http://schemas.openxmlformats.org/officeDocument/2006/relationships/hyperlink" Target="https://www.google.com/maps/search/?api=1&amp;query=Big+Stone+Therapies%2C+INC%2C+700+N+Monroe+St%2C+Minneota%2C+MN+56264" TargetMode="External"/><Relationship Id="rId1729" Type="http://schemas.openxmlformats.org/officeDocument/2006/relationships/hyperlink" Target="https://www.google.com/maps/search/?api=1&amp;query=Activept+Corp%2C+1215+N+7th+St%2C+Lake+City%2C+MN+55041" TargetMode="External"/><Relationship Id="rId377" Type="http://schemas.openxmlformats.org/officeDocument/2006/relationships/hyperlink" Target="https://www.google.com/maps/search/?api=1&amp;query=Family+Chiropractic+Health+Service%2C+8465+W+Broadway+Ave%2C+Brooklyn+Park%2C+MN+55445" TargetMode="External"/><Relationship Id="rId584" Type="http://schemas.openxmlformats.org/officeDocument/2006/relationships/hyperlink" Target="https://npiregistry.cms.hhs.gov/provider-view/1942957972" TargetMode="External"/><Relationship Id="rId5" Type="http://schemas.openxmlformats.org/officeDocument/2006/relationships/hyperlink" Target="https://www.google.com/maps/search/?api=1&amp;query=7th+Avenue+Chiropractic%2C+3722+7th+Ave%2C+Anoka%2C+MN+55303" TargetMode="External"/><Relationship Id="rId237" Type="http://schemas.openxmlformats.org/officeDocument/2006/relationships/hyperlink" Target="https://www.google.com/maps/search/?api=1&amp;query=M+Health+Fairview+Rehabilitation%2C+3305+Central+Park+Village+Drive%2C+Eagan%2C+MN+55121" TargetMode="External"/><Relationship Id="rId791" Type="http://schemas.openxmlformats.org/officeDocument/2006/relationships/hyperlink" Target="https://npiregistry.cms.hhs.gov/provider-view/1568302867" TargetMode="External"/><Relationship Id="rId889" Type="http://schemas.openxmlformats.org/officeDocument/2006/relationships/hyperlink" Target="https://npiregistry.cms.hhs.gov/provider-view/1386830768" TargetMode="External"/><Relationship Id="rId1074" Type="http://schemas.openxmlformats.org/officeDocument/2006/relationships/hyperlink" Target="https://www.google.com/maps/search/?api=1&amp;query=Pathways+Chiropractic+Health+Center+of+Savage%2C+PA.%2C+14233+Oconnell+Ct%2C+Savage%2C+MN+55378" TargetMode="External"/><Relationship Id="rId444" Type="http://schemas.openxmlformats.org/officeDocument/2006/relationships/hyperlink" Target="https://npiregistry.cms.hhs.gov/provider-view/1417639626" TargetMode="External"/><Relationship Id="rId651" Type="http://schemas.openxmlformats.org/officeDocument/2006/relationships/hyperlink" Target="https://npiregistry.cms.hhs.gov/provider-view/1730532631" TargetMode="External"/><Relationship Id="rId749" Type="http://schemas.openxmlformats.org/officeDocument/2006/relationships/hyperlink" Target="https://npiregistry.cms.hhs.gov/provider-view/1811694631" TargetMode="External"/><Relationship Id="rId1281" Type="http://schemas.openxmlformats.org/officeDocument/2006/relationships/hyperlink" Target="https://www.google.com/maps/search/?api=1&amp;query=Mcneil+Family+Chiropractic%2C+1061+Highway+23%2C+Foley%2C+MN+56329" TargetMode="External"/><Relationship Id="rId1379" Type="http://schemas.openxmlformats.org/officeDocument/2006/relationships/hyperlink" Target="https://www.google.com/maps/search/?api=1&amp;query=Sanford+Bemidji+East+Clinic%2C+3604+Bemidji+Ave+N%2C+Bemidji%2C+MN+56601" TargetMode="External"/><Relationship Id="rId1586" Type="http://schemas.openxmlformats.org/officeDocument/2006/relationships/hyperlink" Target="https://npiregistry.cms.hhs.gov/provider-view/1386601383" TargetMode="External"/><Relationship Id="rId304" Type="http://schemas.openxmlformats.org/officeDocument/2006/relationships/hyperlink" Target="https://npiregistry.cms.hhs.gov/provider-view/1629740949" TargetMode="External"/><Relationship Id="rId511" Type="http://schemas.openxmlformats.org/officeDocument/2006/relationships/hyperlink" Target="https://www.google.com/maps/search/?api=1&amp;query=Romanie+Health+Services%2C+PA%2C+4510+77th+St+W%2C+Edina%2C+MN+55435" TargetMode="External"/><Relationship Id="rId609" Type="http://schemas.openxmlformats.org/officeDocument/2006/relationships/hyperlink" Target="https://www.google.com/maps/search/?api=1&amp;query=Bloomington+Sleep+and+TMD+Care+PLLC%2C+9820+Nicollet+Ave+S%2C+Minneapolis%2C+MN+55420" TargetMode="External"/><Relationship Id="rId956" Type="http://schemas.openxmlformats.org/officeDocument/2006/relationships/hyperlink" Target="https://www.google.com/maps/search/?api=1&amp;query=Jason+A+Smith+DC+PA%2C+1820+Rice+St%2C+St.+Paul%2C+MN+55113" TargetMode="External"/><Relationship Id="rId1141" Type="http://schemas.openxmlformats.org/officeDocument/2006/relationships/hyperlink" Target="https://www.google.com/maps/search/?api=1&amp;query=Mccarron+Lake+Chiropractic%2C+1971+Geneva+Ave+N%2C+Oakdale%2C+MN+55128" TargetMode="External"/><Relationship Id="rId1239" Type="http://schemas.openxmlformats.org/officeDocument/2006/relationships/hyperlink" Target="https://www.google.com/maps/search/?api=1&amp;query=Skilled+Fitness+%26+Therapy+LLC%2C+170+Willow+Dr+W%2C+Annandale%2C+MN+55302" TargetMode="External"/><Relationship Id="rId1793" Type="http://schemas.openxmlformats.org/officeDocument/2006/relationships/hyperlink" Target="https://www.google.com/maps/search/?api=1&amp;query=Rochester+Joint+Injection%2C+PLLC%2C+2156+17th+St+NE%2C+Rochester%2C+MN+55906" TargetMode="External"/><Relationship Id="rId85" Type="http://schemas.openxmlformats.org/officeDocument/2006/relationships/hyperlink" Target="https://www.google.com/maps/search/?api=1&amp;query=Exceptional+Chiropractic+P+A%2C+2415+149th+Ave+NE%2C+Ham+Lake%2C+MN+55304" TargetMode="External"/><Relationship Id="rId816" Type="http://schemas.openxmlformats.org/officeDocument/2006/relationships/hyperlink" Target="https://www.google.com/maps/search/?api=1&amp;query=Excelsior+and+Grand+Chiropractic%2C+5605+W+36th+St%2C+St.+Louis+Park%2C+MN+55416" TargetMode="External"/><Relationship Id="rId1001" Type="http://schemas.openxmlformats.org/officeDocument/2006/relationships/hyperlink" Target="https://npiregistry.cms.hhs.gov/provider-view/1225908577" TargetMode="External"/><Relationship Id="rId1446" Type="http://schemas.openxmlformats.org/officeDocument/2006/relationships/hyperlink" Target="https://npiregistry.cms.hhs.gov/provider-view/1760872717" TargetMode="External"/><Relationship Id="rId1653" Type="http://schemas.openxmlformats.org/officeDocument/2006/relationships/hyperlink" Target="https://www.google.com/maps/search/?api=1&amp;query=Minnesota+Institue+of+Wellness%2C+1400+E+Madison+Ave%2C+Mankato%2C+MN+56001" TargetMode="External"/><Relationship Id="rId1860" Type="http://schemas.openxmlformats.org/officeDocument/2006/relationships/hyperlink" Target="https://npiregistry.cms.hhs.gov/provider-view/1659838290" TargetMode="External"/><Relationship Id="rId1306" Type="http://schemas.openxmlformats.org/officeDocument/2006/relationships/hyperlink" Target="https://npiregistry.cms.hhs.gov/provider-view/1407160534" TargetMode="External"/><Relationship Id="rId1513" Type="http://schemas.openxmlformats.org/officeDocument/2006/relationships/hyperlink" Target="https://www.google.com/maps/search/?api=1&amp;query=Sister+Strength+PT%2C+2121+1st+Ave%2C+Hibbing%2C+MN+55746" TargetMode="External"/><Relationship Id="rId1720" Type="http://schemas.openxmlformats.org/officeDocument/2006/relationships/hyperlink" Target="https://npiregistry.cms.hhs.gov/provider-view/1700625217" TargetMode="External"/><Relationship Id="rId12" Type="http://schemas.openxmlformats.org/officeDocument/2006/relationships/hyperlink" Target="https://npiregistry.cms.hhs.gov/provider-view/1538644885" TargetMode="External"/><Relationship Id="rId1818" Type="http://schemas.openxmlformats.org/officeDocument/2006/relationships/hyperlink" Target="https://npiregistry.cms.hhs.gov/provider-view/1699974006" TargetMode="External"/><Relationship Id="rId161" Type="http://schemas.openxmlformats.org/officeDocument/2006/relationships/hyperlink" Target="https://www.google.com/maps/search/?api=1&amp;query=North+Star+Balance+LLC%2C+15083+Flagstaff+Ave%2C+Apple+Valley%2C+MN+55124" TargetMode="External"/><Relationship Id="rId399" Type="http://schemas.openxmlformats.org/officeDocument/2006/relationships/hyperlink" Target="https://www.google.com/maps/search/?api=1&amp;query=Chirostrength+Twin+Cities+LLC%2C+11311+Dayton+River+Rd%2C+Dayton%2C+MN+55327" TargetMode="External"/><Relationship Id="rId259" Type="http://schemas.openxmlformats.org/officeDocument/2006/relationships/hyperlink" Target="https://www.google.com/maps/search/?api=1&amp;query=Therapy+Ops%2C+LLC%2C+1312+S+Frontage+Rd%2C+Hastings%2C+MN+55033" TargetMode="External"/><Relationship Id="rId466" Type="http://schemas.openxmlformats.org/officeDocument/2006/relationships/hyperlink" Target="https://npiregistry.cms.hhs.gov/provider-view/1558406074" TargetMode="External"/><Relationship Id="rId673" Type="http://schemas.openxmlformats.org/officeDocument/2006/relationships/hyperlink" Target="https://npiregistry.cms.hhs.gov/provider-view/1447174081" TargetMode="External"/><Relationship Id="rId880" Type="http://schemas.openxmlformats.org/officeDocument/2006/relationships/hyperlink" Target="https://www.google.com/maps/search/?api=1&amp;query=Institute+For+Athletic+Medicine%2C+2600+39th+Ave+NE%2C+Minneapolis%2C+MN+55421" TargetMode="External"/><Relationship Id="rId1096" Type="http://schemas.openxmlformats.org/officeDocument/2006/relationships/hyperlink" Target="https://npiregistry.cms.hhs.gov/provider-view/1740406685" TargetMode="External"/><Relationship Id="rId119" Type="http://schemas.openxmlformats.org/officeDocument/2006/relationships/hyperlink" Target="https://www.google.com/maps/search/?api=1&amp;query=Peak+Chiropractic+LLC%2C+1107+Hazeltine+Blvd%2C+Chaska%2C+MN+55318" TargetMode="External"/><Relationship Id="rId326" Type="http://schemas.openxmlformats.org/officeDocument/2006/relationships/hyperlink" Target="https://npiregistry.cms.hhs.gov/provider-view/1801076526" TargetMode="External"/><Relationship Id="rId533" Type="http://schemas.openxmlformats.org/officeDocument/2006/relationships/hyperlink" Target="https://www.google.com/maps/search/?api=1&amp;query=Rehabilitation+Medicine+Associates%2C+LLC%2C+464+2nd+St%2C+Excelsior%2C+MN+55331" TargetMode="External"/><Relationship Id="rId978" Type="http://schemas.openxmlformats.org/officeDocument/2006/relationships/hyperlink" Target="https://www.google.com/maps/search/?api=1&amp;query=Premier+Health+of+West+Saint+Paul+LTD%2C+205+Cesar+Chavez+St%2C+St.+Paul%2C+MN+55107" TargetMode="External"/><Relationship Id="rId1163" Type="http://schemas.openxmlformats.org/officeDocument/2006/relationships/hyperlink" Target="https://www.google.com/maps/search/?api=1&amp;query=Oswald+LLC%2C+11233+Neal+Ave+N%2C+Stillwater%2C+MN+55082" TargetMode="External"/><Relationship Id="rId1370" Type="http://schemas.openxmlformats.org/officeDocument/2006/relationships/hyperlink" Target="https://npiregistry.cms.hhs.gov/provider-view/1952266041" TargetMode="External"/><Relationship Id="rId740" Type="http://schemas.openxmlformats.org/officeDocument/2006/relationships/hyperlink" Target="https://www.google.com/maps/search/?api=1&amp;query=Allina+Health+Brain+and+Spine+Institute%2C+2855+Campus+Dr%2C+Plymouth%2C+MN+55441" TargetMode="External"/><Relationship Id="rId838" Type="http://schemas.openxmlformats.org/officeDocument/2006/relationships/hyperlink" Target="https://www.google.com/maps/search/?api=1&amp;query=Oral+and+Maxillofacial+Surgical+Consultants+PA%2C+250+Central+Ave+N%2C+Wayzata%2C+MN+55391" TargetMode="External"/><Relationship Id="rId1023" Type="http://schemas.openxmlformats.org/officeDocument/2006/relationships/hyperlink" Target="https://npiregistry.cms.hhs.gov/provider-view/1043643059" TargetMode="External"/><Relationship Id="rId1468" Type="http://schemas.openxmlformats.org/officeDocument/2006/relationships/hyperlink" Target="https://npiregistry.cms.hhs.gov/provider-view/1104911056" TargetMode="External"/><Relationship Id="rId1675" Type="http://schemas.openxmlformats.org/officeDocument/2006/relationships/hyperlink" Target="https://www.google.com/maps/search/?api=1&amp;query=Optimal+Performance+Specialists+Clinics%2C+LLC%2C+220+S+Main+St%2C+Blue+Earth%2C+MN+56013" TargetMode="External"/><Relationship Id="rId1882" Type="http://schemas.openxmlformats.org/officeDocument/2006/relationships/hyperlink" Target="https://npiregistry.cms.hhs.gov/provider-view/1679859912" TargetMode="External"/><Relationship Id="rId600" Type="http://schemas.openxmlformats.org/officeDocument/2006/relationships/hyperlink" Target="https://npiregistry.cms.hhs.gov/provider-view/1144264540" TargetMode="External"/><Relationship Id="rId1230" Type="http://schemas.openxmlformats.org/officeDocument/2006/relationships/hyperlink" Target="https://npiregistry.cms.hhs.gov/provider-view/1477868891" TargetMode="External"/><Relationship Id="rId1328" Type="http://schemas.openxmlformats.org/officeDocument/2006/relationships/hyperlink" Target="https://npiregistry.cms.hhs.gov/provider-view/1770646937" TargetMode="External"/><Relationship Id="rId1535" Type="http://schemas.openxmlformats.org/officeDocument/2006/relationships/hyperlink" Target="https://www.google.com/maps/search/?api=1&amp;query=Achieve+Therapy+of+Park+Rapids%2C+1421+Central+Ave+NW%2C+East+Grand+Forks%2C+MN+56721" TargetMode="External"/><Relationship Id="rId905" Type="http://schemas.openxmlformats.org/officeDocument/2006/relationships/hyperlink" Target="https://npiregistry.cms.hhs.gov/provider-view/1154522373" TargetMode="External"/><Relationship Id="rId1742" Type="http://schemas.openxmlformats.org/officeDocument/2006/relationships/hyperlink" Target="https://npiregistry.cms.hhs.gov/provider-view/1689910291" TargetMode="External"/><Relationship Id="rId34" Type="http://schemas.openxmlformats.org/officeDocument/2006/relationships/hyperlink" Target="https://npiregistry.cms.hhs.gov/provider-view/1649043662" TargetMode="External"/><Relationship Id="rId1602" Type="http://schemas.openxmlformats.org/officeDocument/2006/relationships/hyperlink" Target="https://npiregistry.cms.hhs.gov/provider-view/1346553179" TargetMode="External"/><Relationship Id="rId183" Type="http://schemas.openxmlformats.org/officeDocument/2006/relationships/hyperlink" Target="https://www.google.com/maps/search/?api=1&amp;query=Inspired+Spine+Health+%2F+Tristate+Brain+%26+Spine+Institute%2C+1601+Highway+13+E%2C+Burnsville%2C+MN+55337" TargetMode="External"/><Relationship Id="rId390" Type="http://schemas.openxmlformats.org/officeDocument/2006/relationships/hyperlink" Target="https://npiregistry.cms.hhs.gov/provider-view/1457458689" TargetMode="External"/><Relationship Id="rId250" Type="http://schemas.openxmlformats.org/officeDocument/2006/relationships/hyperlink" Target="https://npiregistry.cms.hhs.gov/provider-view/1760263461" TargetMode="External"/><Relationship Id="rId488" Type="http://schemas.openxmlformats.org/officeDocument/2006/relationships/hyperlink" Target="https://npiregistry.cms.hhs.gov/provider-view/1083253991" TargetMode="External"/><Relationship Id="rId695" Type="http://schemas.openxmlformats.org/officeDocument/2006/relationships/hyperlink" Target="https://npiregistry.cms.hhs.gov/provider-view/1750673117" TargetMode="External"/><Relationship Id="rId110" Type="http://schemas.openxmlformats.org/officeDocument/2006/relationships/hyperlink" Target="https://npiregistry.cms.hhs.gov/provider-view/1336846955" TargetMode="External"/><Relationship Id="rId348" Type="http://schemas.openxmlformats.org/officeDocument/2006/relationships/hyperlink" Target="https://npiregistry.cms.hhs.gov/provider-view/1417251935" TargetMode="External"/><Relationship Id="rId555" Type="http://schemas.openxmlformats.org/officeDocument/2006/relationships/hyperlink" Target="https://www.google.com/maps/search/?api=1&amp;query=Fix+It+Physical+Therapy%2C+LLC%2C+11102+91st+Ave+N%2C+Maple+Grove%2C+MN+55369" TargetMode="External"/><Relationship Id="rId762" Type="http://schemas.openxmlformats.org/officeDocument/2006/relationships/hyperlink" Target="https://www.google.com/maps/search/?api=1&amp;query=Minnesota+Maxillofacial+and+Oral+Consultants%2C+15600+36th+Ave+N%2C+Plymouth%2C+MN+55446" TargetMode="External"/><Relationship Id="rId1185" Type="http://schemas.openxmlformats.org/officeDocument/2006/relationships/hyperlink" Target="https://www.google.com/maps/search/?api=1&amp;query=Fairview+Express+Care%2C+9680+Tamarack+Rd%2C+Woodbury%2C+MN+55125" TargetMode="External"/><Relationship Id="rId1392" Type="http://schemas.openxmlformats.org/officeDocument/2006/relationships/hyperlink" Target="https://npiregistry.cms.hhs.gov/provider-view/1407809494" TargetMode="External"/><Relationship Id="rId208" Type="http://schemas.openxmlformats.org/officeDocument/2006/relationships/hyperlink" Target="https://npiregistry.cms.hhs.gov/provider-view/1053253781" TargetMode="External"/><Relationship Id="rId415" Type="http://schemas.openxmlformats.org/officeDocument/2006/relationships/hyperlink" Target="https://www.google.com/maps/search/?api=1&amp;query=EOS+Expert+Oral+Surgery%2C+11800+Singletree+Ln%2C+Eden+Prairie%2C+MN+55344" TargetMode="External"/><Relationship Id="rId622" Type="http://schemas.openxmlformats.org/officeDocument/2006/relationships/hyperlink" Target="https://npiregistry.cms.hhs.gov/provider-view/1235456054" TargetMode="External"/><Relationship Id="rId1045" Type="http://schemas.openxmlformats.org/officeDocument/2006/relationships/hyperlink" Target="https://npiregistry.cms.hhs.gov/provider-view/1952479651" TargetMode="External"/><Relationship Id="rId1252" Type="http://schemas.openxmlformats.org/officeDocument/2006/relationships/hyperlink" Target="https://npiregistry.cms.hhs.gov/provider-view/1134531395" TargetMode="External"/><Relationship Id="rId1697" Type="http://schemas.openxmlformats.org/officeDocument/2006/relationships/hyperlink" Target="https://www.google.com/maps/search/?api=1&amp;query=Zebedee+Chiropractic%2C+PLLC%2C+118+W+2nd+St%2C+Fairmont%2C+MN+56031" TargetMode="External"/><Relationship Id="rId927" Type="http://schemas.openxmlformats.org/officeDocument/2006/relationships/hyperlink" Target="https://npiregistry.cms.hhs.gov/provider-view/1972421873" TargetMode="External"/><Relationship Id="rId1112" Type="http://schemas.openxmlformats.org/officeDocument/2006/relationships/hyperlink" Target="https://npiregistry.cms.hhs.gov/provider-view/1427097849" TargetMode="External"/><Relationship Id="rId1557" Type="http://schemas.openxmlformats.org/officeDocument/2006/relationships/hyperlink" Target="https://www.google.com/maps/search/?api=1&amp;query=Foss+Spine+and+Wellness%2C+2921+S+Frontage+Rd%2C+Moorhead%2C+MN+56560" TargetMode="External"/><Relationship Id="rId1764" Type="http://schemas.openxmlformats.org/officeDocument/2006/relationships/hyperlink" Target="https://npiregistry.cms.hhs.gov/provider-view/1396476032" TargetMode="External"/><Relationship Id="rId56" Type="http://schemas.openxmlformats.org/officeDocument/2006/relationships/hyperlink" Target="https://npiregistry.cms.hhs.gov/provider-view/1477666428" TargetMode="External"/><Relationship Id="rId1417" Type="http://schemas.openxmlformats.org/officeDocument/2006/relationships/hyperlink" Target="https://www.google.com/maps/search/?api=1&amp;query=Select+Therapy%2C+INC.%2C+31170+Government+Dr%2C+Pequot+Lakes%2C+MN+56472" TargetMode="External"/><Relationship Id="rId1624" Type="http://schemas.openxmlformats.org/officeDocument/2006/relationships/hyperlink" Target="https://npiregistry.cms.hhs.gov/provider-view/1972519528" TargetMode="External"/><Relationship Id="rId1831" Type="http://schemas.openxmlformats.org/officeDocument/2006/relationships/hyperlink" Target="https://www.google.com/maps/search/?api=1&amp;query=Owatonna+Physical+Therapy+Center%2C+INC%2C+1414+S+Oak+Ave%2C+Owatonna%2C+MN+55060" TargetMode="External"/><Relationship Id="rId272" Type="http://schemas.openxmlformats.org/officeDocument/2006/relationships/hyperlink" Target="https://npiregistry.cms.hhs.gov/provider-view/1639926942" TargetMode="External"/><Relationship Id="rId577" Type="http://schemas.openxmlformats.org/officeDocument/2006/relationships/hyperlink" Target="https://www.google.com/maps/search/?api=1&amp;query=Sunnydays+Therapy+INC%2C+6433+Sycamore+Ct+N%2C+Maple+Grove%2C+MN+55369" TargetMode="External"/><Relationship Id="rId132" Type="http://schemas.openxmlformats.org/officeDocument/2006/relationships/hyperlink" Target="https://npiregistry.cms.hhs.gov/provider-view/1811174923" TargetMode="External"/><Relationship Id="rId784" Type="http://schemas.openxmlformats.org/officeDocument/2006/relationships/hyperlink" Target="https://www.google.com/maps/search/?api=1&amp;query=Body+Techs+Rx+Wellness+and+Rehab%2C+1415+E+66th+St%2C+Richfield%2C+MN+55423" TargetMode="External"/><Relationship Id="rId991" Type="http://schemas.openxmlformats.org/officeDocument/2006/relationships/hyperlink" Target="https://npiregistry.cms.hhs.gov/provider-view/1952554495" TargetMode="External"/><Relationship Id="rId1067" Type="http://schemas.openxmlformats.org/officeDocument/2006/relationships/hyperlink" Target="https://npiregistry.cms.hhs.gov/provider-view/1407809494" TargetMode="External"/><Relationship Id="rId437" Type="http://schemas.openxmlformats.org/officeDocument/2006/relationships/hyperlink" Target="https://www.google.com/maps/search/?api=1&amp;query=Sartorial+Physical+Therapy+and+Wellness%2C+9642+Jonathan+Ln%2C+Eden+Prairie%2C+MN+55347" TargetMode="External"/><Relationship Id="rId644" Type="http://schemas.openxmlformats.org/officeDocument/2006/relationships/hyperlink" Target="https://www.google.com/maps/search/?api=1&amp;query=Minnesota+Pain+Prevention+Clinic%2C+PA.%2C+3475+Plymouth+Blvd%2C+Minneapolis%2C+MN+55447" TargetMode="External"/><Relationship Id="rId851" Type="http://schemas.openxmlformats.org/officeDocument/2006/relationships/hyperlink" Target="https://npiregistry.cms.hhs.gov/provider-view/1508160060" TargetMode="External"/><Relationship Id="rId1274" Type="http://schemas.openxmlformats.org/officeDocument/2006/relationships/hyperlink" Target="https://npiregistry.cms.hhs.gov/provider-view/1407809494" TargetMode="External"/><Relationship Id="rId1481" Type="http://schemas.openxmlformats.org/officeDocument/2006/relationships/hyperlink" Target="https://www.google.com/maps/search/?api=1&amp;query=Lighthouse+Center+For+Vital+Living%2C+309+West+1st+Street%2C+Duluth%2C+MN+55802" TargetMode="External"/><Relationship Id="rId1579" Type="http://schemas.openxmlformats.org/officeDocument/2006/relationships/hyperlink" Target="https://www.google.com/maps/search/?api=1&amp;query=Inspired+Spine+Health+%2F+Tristate+Brain+%26+Spine+Institute%2C+6600+Highway+29+S%2C+Alexandria%2C+MN+56308" TargetMode="External"/><Relationship Id="rId504" Type="http://schemas.openxmlformats.org/officeDocument/2006/relationships/hyperlink" Target="https://npiregistry.cms.hhs.gov/provider-view/1306829866" TargetMode="External"/><Relationship Id="rId711" Type="http://schemas.openxmlformats.org/officeDocument/2006/relationships/hyperlink" Target="https://npiregistry.cms.hhs.gov/provider-view/1376752337" TargetMode="External"/><Relationship Id="rId949" Type="http://schemas.openxmlformats.org/officeDocument/2006/relationships/hyperlink" Target="https://npiregistry.cms.hhs.gov/provider-view/1104021435" TargetMode="External"/><Relationship Id="rId1134" Type="http://schemas.openxmlformats.org/officeDocument/2006/relationships/hyperlink" Target="https://npiregistry.cms.hhs.gov/provider-view/1720156680" TargetMode="External"/><Relationship Id="rId1341" Type="http://schemas.openxmlformats.org/officeDocument/2006/relationships/hyperlink" Target="https://www.google.com/maps/search/?api=1&amp;query=Jamie+Jones+Therapy%2C+LLC%2C+14+7th+Ave+N%2C+St.+Cloud%2C+MN+56303" TargetMode="External"/><Relationship Id="rId1786" Type="http://schemas.openxmlformats.org/officeDocument/2006/relationships/hyperlink" Target="https://npiregistry.cms.hhs.gov/provider-view/1649532698" TargetMode="External"/><Relationship Id="rId78" Type="http://schemas.openxmlformats.org/officeDocument/2006/relationships/hyperlink" Target="https://npiregistry.cms.hhs.gov/provider-view/1356162051" TargetMode="External"/><Relationship Id="rId809" Type="http://schemas.openxmlformats.org/officeDocument/2006/relationships/hyperlink" Target="https://npiregistry.cms.hhs.gov/provider-view/1437403110" TargetMode="External"/><Relationship Id="rId1201" Type="http://schemas.openxmlformats.org/officeDocument/2006/relationships/hyperlink" Target="https://www.google.com/maps/search/?api=1&amp;query=Nura+PLLC%2C+707+Bielenberg+Dr%2C+Woodbury%2C+MN+55125" TargetMode="External"/><Relationship Id="rId1439" Type="http://schemas.openxmlformats.org/officeDocument/2006/relationships/hyperlink" Target="https://www.google.com/maps/search/?api=1&amp;query=Freedom+Chiropractic+PLLC%2C+104+NE+3rd+St%2C+Grand+Rapids%2C+MN+55744" TargetMode="External"/><Relationship Id="rId1646" Type="http://schemas.openxmlformats.org/officeDocument/2006/relationships/hyperlink" Target="https://npiregistry.cms.hhs.gov/provider-view/1780108209" TargetMode="External"/><Relationship Id="rId1853" Type="http://schemas.openxmlformats.org/officeDocument/2006/relationships/hyperlink" Target="https://www.google.com/maps/search/?api=1&amp;query=Oral+and+Maxillofacial+Surgery+of+Minnesota+PLLC%2C+1029+19th+Ave+SW%2C+Willmar%2C+MN+56201" TargetMode="External"/><Relationship Id="rId1506" Type="http://schemas.openxmlformats.org/officeDocument/2006/relationships/hyperlink" Target="https://npiregistry.cms.hhs.gov/provider-view/1063394609" TargetMode="External"/><Relationship Id="rId1713" Type="http://schemas.openxmlformats.org/officeDocument/2006/relationships/hyperlink" Target="https://www.google.com/maps/search/?api=1&amp;query=St.+James+Area+Rehabilitation+Services%2C+1101+Moulton+And+Parsons+Dr%2C+St.+James%2C+MN+56081" TargetMode="External"/><Relationship Id="rId294" Type="http://schemas.openxmlformats.org/officeDocument/2006/relationships/hyperlink" Target="https://npiregistry.cms.hhs.gov/provider-view/1043873821" TargetMode="External"/><Relationship Id="rId154" Type="http://schemas.openxmlformats.org/officeDocument/2006/relationships/hyperlink" Target="https://npiregistry.cms.hhs.gov/provider-view/1285711663" TargetMode="External"/><Relationship Id="rId361" Type="http://schemas.openxmlformats.org/officeDocument/2006/relationships/hyperlink" Target="https://www.google.com/maps/search/?api=1&amp;query=Tria+Orthopaedic+Center+LLC%2C+8100+Northland+Dr%2C+Bloomington%2C+MN+55431" TargetMode="External"/><Relationship Id="rId599" Type="http://schemas.openxmlformats.org/officeDocument/2006/relationships/hyperlink" Target="https://www.google.com/maps/search/?api=1&amp;query=Allina+Health+Brain+and+Spine+Institute%2C+913+E+26th+St%2C+Minneapolis%2C+MN+55404" TargetMode="External"/><Relationship Id="rId459" Type="http://schemas.openxmlformats.org/officeDocument/2006/relationships/hyperlink" Target="https://www.google.com/maps/search/?api=1&amp;query=Bewell%2C+7401+Metro+Blvd%2C+Edina%2C+MN+55439" TargetMode="External"/><Relationship Id="rId666" Type="http://schemas.openxmlformats.org/officeDocument/2006/relationships/hyperlink" Target="https://www.google.com/maps/search/?api=1&amp;query=Resilience+Physical+Therapy%2C+2703+Girard+Ave+S%2C+Minneapolis%2C+MN+55408" TargetMode="External"/><Relationship Id="rId873" Type="http://schemas.openxmlformats.org/officeDocument/2006/relationships/hyperlink" Target="https://npiregistry.cms.hhs.gov/provider-view/1437290871" TargetMode="External"/><Relationship Id="rId1089" Type="http://schemas.openxmlformats.org/officeDocument/2006/relationships/hyperlink" Target="https://www.google.com/maps/search/?api=1&amp;query=Therapy+Partners%2C+INC.%2C+18055+198th+Ave+NW%2C+Big+Lake%2C+MN+55309" TargetMode="External"/><Relationship Id="rId1296" Type="http://schemas.openxmlformats.org/officeDocument/2006/relationships/hyperlink" Target="https://npiregistry.cms.hhs.gov/provider-view/1740816941" TargetMode="External"/><Relationship Id="rId221" Type="http://schemas.openxmlformats.org/officeDocument/2006/relationships/hyperlink" Target="https://www.google.com/maps/search/?api=1&amp;query=Thrive+Chiropractic+%26+Health+LLC%2C+511+County+Road+42+E%2C+Burnsville%2C+MN+55306" TargetMode="External"/><Relationship Id="rId319" Type="http://schemas.openxmlformats.org/officeDocument/2006/relationships/hyperlink" Target="https://www.google.com/maps/search/?api=1&amp;query=Healthpro+Chiropractic+PC%2C+2930+146th+St+W%2C+Rosemount%2C+MN+55068" TargetMode="External"/><Relationship Id="rId526" Type="http://schemas.openxmlformats.org/officeDocument/2006/relationships/hyperlink" Target="https://npiregistry.cms.hhs.gov/provider-view/1750671277" TargetMode="External"/><Relationship Id="rId1156" Type="http://schemas.openxmlformats.org/officeDocument/2006/relationships/hyperlink" Target="https://npiregistry.cms.hhs.gov/provider-view/1760096424" TargetMode="External"/><Relationship Id="rId1363" Type="http://schemas.openxmlformats.org/officeDocument/2006/relationships/hyperlink" Target="https://www.google.com/maps/search/?api=1&amp;query=Bemidji+Health+and+Wellness+Center%2C+PC.%2C+403+America+Ave+NW%2C+Bemidji%2C+MN+56601" TargetMode="External"/><Relationship Id="rId733" Type="http://schemas.openxmlformats.org/officeDocument/2006/relationships/hyperlink" Target="https://npiregistry.cms.hhs.gov/provider-view/1710698477" TargetMode="External"/><Relationship Id="rId940" Type="http://schemas.openxmlformats.org/officeDocument/2006/relationships/hyperlink" Target="https://www.google.com/maps/search/?api=1&amp;query=Evergreen+Chiropractic%2C+3454+Rice+St%2C+St.+Paul%2C+MN+55126" TargetMode="External"/><Relationship Id="rId1016" Type="http://schemas.openxmlformats.org/officeDocument/2006/relationships/hyperlink" Target="https://www.google.com/maps/search/?api=1&amp;query=United+Family+Chiropractic+LLC%2C+995+University+Ave+W%2C+St.+Paul%2C+MN+55104" TargetMode="External"/><Relationship Id="rId1570" Type="http://schemas.openxmlformats.org/officeDocument/2006/relationships/hyperlink" Target="https://npiregistry.cms.hhs.gov/provider-view/1730988817" TargetMode="External"/><Relationship Id="rId1668" Type="http://schemas.openxmlformats.org/officeDocument/2006/relationships/hyperlink" Target="https://npiregistry.cms.hhs.gov/provider-view/1619911658" TargetMode="External"/><Relationship Id="rId1875" Type="http://schemas.openxmlformats.org/officeDocument/2006/relationships/hyperlink" Target="https://www.google.com/maps/search/?api=1&amp;query=Gravon%27s+Natural+Chiropractic+Center+P+A%2C+1024+Oxford+St%2C+Worthington%2C+MN+56187" TargetMode="External"/><Relationship Id="rId800" Type="http://schemas.openxmlformats.org/officeDocument/2006/relationships/hyperlink" Target="https://www.google.com/maps/search/?api=1&amp;query=Novacare+Rehabilitation%2C+21395+John+Milless+Dr%2C+Rogers%2C+MN+55374" TargetMode="External"/><Relationship Id="rId1223" Type="http://schemas.openxmlformats.org/officeDocument/2006/relationships/hyperlink" Target="https://www.google.com/maps/search/?api=1&amp;query=Valley+Chiropractic+Clinic%2C+LTD%2C+7975+Afton+Rd%2C+Woodbury%2C+MN+55125" TargetMode="External"/><Relationship Id="rId1430" Type="http://schemas.openxmlformats.org/officeDocument/2006/relationships/hyperlink" Target="https://npiregistry.cms.hhs.gov/provider-view/1558513879" TargetMode="External"/><Relationship Id="rId1528" Type="http://schemas.openxmlformats.org/officeDocument/2006/relationships/hyperlink" Target="https://npiregistry.cms.hhs.gov/provider-view/1457479958" TargetMode="External"/><Relationship Id="rId1735" Type="http://schemas.openxmlformats.org/officeDocument/2006/relationships/hyperlink" Target="https://www.google.com/maps/search/?api=1&amp;query=Therapy+Partners%2C+INC.%2C+325+Bush+St%2C+Red+Wing%2C+MN+55066" TargetMode="External"/><Relationship Id="rId27" Type="http://schemas.openxmlformats.org/officeDocument/2006/relationships/hyperlink" Target="https://www.google.com/maps/search/?api=1&amp;query=Summit+Orthopedics%2C+LTD%2C+10230+Baltimore+St+NE%2C+Blaine%2C+MN+55449" TargetMode="External"/><Relationship Id="rId1802" Type="http://schemas.openxmlformats.org/officeDocument/2006/relationships/hyperlink" Target="https://npiregistry.cms.hhs.gov/provider-view/1407809494" TargetMode="External"/><Relationship Id="rId176" Type="http://schemas.openxmlformats.org/officeDocument/2006/relationships/hyperlink" Target="https://npiregistry.cms.hhs.gov/provider-view/1114618618" TargetMode="External"/><Relationship Id="rId383" Type="http://schemas.openxmlformats.org/officeDocument/2006/relationships/hyperlink" Target="https://www.google.com/maps/search/?api=1&amp;query=Tozer+Chiropractic+PA%2C+8500+Edinbrook+Pkwy%2C+Brooklyn+Park%2C+MN+55443" TargetMode="External"/><Relationship Id="rId590" Type="http://schemas.openxmlformats.org/officeDocument/2006/relationships/hyperlink" Target="https://npiregistry.cms.hhs.gov/provider-view/1043964471" TargetMode="External"/><Relationship Id="rId243" Type="http://schemas.openxmlformats.org/officeDocument/2006/relationships/hyperlink" Target="https://www.google.com/maps/search/?api=1&amp;query=Synapse%2C+4490+Erin+Dr%2C+Eagan%2C+MN+55122" TargetMode="External"/><Relationship Id="rId450" Type="http://schemas.openxmlformats.org/officeDocument/2006/relationships/hyperlink" Target="https://npiregistry.cms.hhs.gov/provider-view/1750671277" TargetMode="External"/><Relationship Id="rId688" Type="http://schemas.openxmlformats.org/officeDocument/2006/relationships/hyperlink" Target="https://www.google.com/maps/search/?api=1&amp;query=University+Anesthesia+Providers%2C+LLC%2C+2450+Riverside+Ave%2C+Minneapolis%2C+MN+55454" TargetMode="External"/><Relationship Id="rId895" Type="http://schemas.openxmlformats.org/officeDocument/2006/relationships/hyperlink" Target="https://npiregistry.cms.hhs.gov/provider-view/1366751562" TargetMode="External"/><Relationship Id="rId1080" Type="http://schemas.openxmlformats.org/officeDocument/2006/relationships/hyperlink" Target="https://npiregistry.cms.hhs.gov/provider-view/1063122976" TargetMode="External"/><Relationship Id="rId103" Type="http://schemas.openxmlformats.org/officeDocument/2006/relationships/hyperlink" Target="https://www.google.com/maps/search/?api=1&amp;query=Chanhassen+Chiropractic%2C+7800+Market+Blvd%2C+Chanhassen%2C+MN+55317" TargetMode="External"/><Relationship Id="rId310" Type="http://schemas.openxmlformats.org/officeDocument/2006/relationships/hyperlink" Target="https://npiregistry.cms.hhs.gov/provider-view/1407727191" TargetMode="External"/><Relationship Id="rId548" Type="http://schemas.openxmlformats.org/officeDocument/2006/relationships/hyperlink" Target="https://npiregistry.cms.hhs.gov/provider-view/1861866816" TargetMode="External"/><Relationship Id="rId755" Type="http://schemas.openxmlformats.org/officeDocument/2006/relationships/hyperlink" Target="https://npiregistry.cms.hhs.gov/provider-view/1831587930" TargetMode="External"/><Relationship Id="rId962" Type="http://schemas.openxmlformats.org/officeDocument/2006/relationships/hyperlink" Target="https://www.google.com/maps/search/?api=1&amp;query=Minnesota+Craniofacial+Center+for+TMJ+%26+Sleep+Treatment%2C+2550+University+Ave+W%2C+St.+Paul%2C+MN+55114" TargetMode="External"/><Relationship Id="rId1178" Type="http://schemas.openxmlformats.org/officeDocument/2006/relationships/hyperlink" Target="https://npiregistry.cms.hhs.gov/provider-view/1861066789" TargetMode="External"/><Relationship Id="rId1385" Type="http://schemas.openxmlformats.org/officeDocument/2006/relationships/hyperlink" Target="https://www.google.com/maps/search/?api=1&amp;query=Blackduck+Chiropractic%2C+LLC%2C+22388+Blackduck+Lake+Rd+NE%2C+Blackduck%2C+MN+56630" TargetMode="External"/><Relationship Id="rId1592" Type="http://schemas.openxmlformats.org/officeDocument/2006/relationships/hyperlink" Target="https://npiregistry.cms.hhs.gov/provider-view/1841991262" TargetMode="External"/><Relationship Id="rId91" Type="http://schemas.openxmlformats.org/officeDocument/2006/relationships/hyperlink" Target="https://www.google.com/maps/search/?api=1&amp;query=Nura+PLLC%2C+2104+Northdale+Boulevard+NW%2C+Minneapolis%2C+MN+55433" TargetMode="External"/><Relationship Id="rId408" Type="http://schemas.openxmlformats.org/officeDocument/2006/relationships/hyperlink" Target="https://npiregistry.cms.hhs.gov/provider-view/1578296208" TargetMode="External"/><Relationship Id="rId615" Type="http://schemas.openxmlformats.org/officeDocument/2006/relationships/hyperlink" Target="https://www.google.com/maps/search/?api=1&amp;query=Concentra+Medical+Center%2C+7550+34th+Ave+S%2C+Minneapolis%2C+MN+55450" TargetMode="External"/><Relationship Id="rId822" Type="http://schemas.openxmlformats.org/officeDocument/2006/relationships/hyperlink" Target="https://www.google.com/maps/search/?api=1&amp;query=Minnesota+Medical+and+Rehabilitation%2C+4201+Excelsior+Blvd%2C+St.+Louis+Park%2C+MN+55416" TargetMode="External"/><Relationship Id="rId1038" Type="http://schemas.openxmlformats.org/officeDocument/2006/relationships/hyperlink" Target="https://www.google.com/maps/search/?api=1&amp;query=Dehaven+Chiropractic+Clinic%2C+INC%2C+4505+White+Bear+Pkwy%2C+White+Bear+Lake%2C+MN+55110" TargetMode="External"/><Relationship Id="rId1245" Type="http://schemas.openxmlformats.org/officeDocument/2006/relationships/hyperlink" Target="https://www.google.com/maps/search/?api=1&amp;query=Awaken+Life+Recovery%2C+LLC%2C+8150+20th+St+SE%2C+Buffalo%2C+MN+55313" TargetMode="External"/><Relationship Id="rId1452" Type="http://schemas.openxmlformats.org/officeDocument/2006/relationships/hyperlink" Target="https://npiregistry.cms.hhs.gov/provider-view/1427795558" TargetMode="External"/><Relationship Id="rId1897" Type="http://schemas.openxmlformats.org/officeDocument/2006/relationships/hyperlink" Target="https://www.google.com/maps/search/?api=1&amp;query=Backman+Chiropractic%2C+PLLC%2C+702+Highway+75+S%2C+Wheaton%2C+MN+56296" TargetMode="External"/><Relationship Id="rId1105" Type="http://schemas.openxmlformats.org/officeDocument/2006/relationships/hyperlink" Target="https://www.google.com/maps/search/?api=1&amp;query=Summit+Orthopedics%2C+LTD%2C+800+Freeport+Ave+NW%2C+Elk+River%2C+MN+55330" TargetMode="External"/><Relationship Id="rId1312" Type="http://schemas.openxmlformats.org/officeDocument/2006/relationships/hyperlink" Target="https://npiregistry.cms.hhs.gov/provider-view/1295557692" TargetMode="External"/><Relationship Id="rId1757" Type="http://schemas.openxmlformats.org/officeDocument/2006/relationships/hyperlink" Target="https://www.google.com/maps/search/?api=1&amp;query=Aim+Therapy+PLLC%2C+613+Portland+Ct+NE%2C+Rochester%2C+MN+55906" TargetMode="External"/><Relationship Id="rId49" Type="http://schemas.openxmlformats.org/officeDocument/2006/relationships/hyperlink" Target="https://www.google.com/maps/search/?api=1&amp;query=Northside+Minnesota+Oral+and+Maxillofacial+Surgeons%2C+PLLC%2C+11441+Osage+St+NW%2C+Coon+Rapids%2C+MN+55433" TargetMode="External"/><Relationship Id="rId1617" Type="http://schemas.openxmlformats.org/officeDocument/2006/relationships/hyperlink" Target="https://www.google.com/maps/search/?api=1&amp;query=Quad+Cities+Chiropractic+Center%2C+LLC%2C+3509+Pebble+Hills+Dr%2C+Fergus+Falls%2C+MN+56537" TargetMode="External"/><Relationship Id="rId1824" Type="http://schemas.openxmlformats.org/officeDocument/2006/relationships/hyperlink" Target="https://npiregistry.cms.hhs.gov/provider-view/1124044656" TargetMode="External"/><Relationship Id="rId198" Type="http://schemas.openxmlformats.org/officeDocument/2006/relationships/hyperlink" Target="https://npiregistry.cms.hhs.gov/provider-view/1538842711" TargetMode="External"/><Relationship Id="rId265" Type="http://schemas.openxmlformats.org/officeDocument/2006/relationships/hyperlink" Target="https://www.google.com/maps/search/?api=1&amp;query=Inver+Grove+Chiropractic+P+A%2C+2940+65th+St+E%2C+Inver+Grove+Heights%2C+MN+55076" TargetMode="External"/><Relationship Id="rId472" Type="http://schemas.openxmlformats.org/officeDocument/2006/relationships/hyperlink" Target="https://npiregistry.cms.hhs.gov/provider-view/1629004692" TargetMode="External"/><Relationship Id="rId125" Type="http://schemas.openxmlformats.org/officeDocument/2006/relationships/hyperlink" Target="https://www.google.com/maps/search/?api=1&amp;query=Power+of+Life+Alternative+and+Holistic+Health%2C+1700+Stieger+Lake+Ln%2C+Victoria%2C+MN+55386" TargetMode="External"/><Relationship Id="rId332" Type="http://schemas.openxmlformats.org/officeDocument/2006/relationships/hyperlink" Target="https://npiregistry.cms.hhs.gov/provider-view/1225175755" TargetMode="External"/><Relationship Id="rId777" Type="http://schemas.openxmlformats.org/officeDocument/2006/relationships/hyperlink" Target="https://npiregistry.cms.hhs.gov/provider-view/1184958704" TargetMode="External"/><Relationship Id="rId984" Type="http://schemas.openxmlformats.org/officeDocument/2006/relationships/hyperlink" Target="https://www.google.com/maps/search/?api=1&amp;query=Restoration+Chiropractic+PLLC%2C+2103+County+Road+D+E%2C+St.+Paul%2C+MN+55109" TargetMode="External"/><Relationship Id="rId637" Type="http://schemas.openxmlformats.org/officeDocument/2006/relationships/hyperlink" Target="https://www.google.com/maps/search/?api=1&amp;query=M+Health+Fairview+Neurosurgery+Clinic+Minneapolis%2C+909+Fulton+St+SE%2C+Minneapolis%2C+MN+55455" TargetMode="External"/><Relationship Id="rId844" Type="http://schemas.openxmlformats.org/officeDocument/2006/relationships/hyperlink" Target="https://www.google.com/maps/search/?api=1&amp;query=Ropan+Surgical+Services+LLC%2C+1382+Hunter+Dr%2C+Wayzata%2C+MN+55391" TargetMode="External"/><Relationship Id="rId1267" Type="http://schemas.openxmlformats.org/officeDocument/2006/relationships/hyperlink" Target="https://www.google.com/maps/search/?api=1&amp;query=Associated+Oral+%26+Maxillofacial+Surgeons+%28Associated+OMS%29%2C+114+W+3rd+St%2C+Monticello%2C+MN+55362" TargetMode="External"/><Relationship Id="rId1474" Type="http://schemas.openxmlformats.org/officeDocument/2006/relationships/hyperlink" Target="https://npiregistry.cms.hhs.gov/provider-view/1881429850" TargetMode="External"/><Relationship Id="rId1681" Type="http://schemas.openxmlformats.org/officeDocument/2006/relationships/hyperlink" Target="https://www.google.com/maps/search/?api=1&amp;query=Optimal+Health+Chiropractic+%26+Acupuncture%2C+PA%2C+405+2nd+St%2C+Jackson%2C+MN+56143" TargetMode="External"/><Relationship Id="rId704" Type="http://schemas.openxmlformats.org/officeDocument/2006/relationships/hyperlink" Target="https://www.google.com/maps/search/?api=1&amp;query=Moderni+Spine+PLLC%2C+3454+County+Road+101%2C+Minnetonka%2C+MN+55345" TargetMode="External"/><Relationship Id="rId911" Type="http://schemas.openxmlformats.org/officeDocument/2006/relationships/hyperlink" Target="https://npiregistry.cms.hhs.gov/provider-view/1508099656" TargetMode="External"/><Relationship Id="rId1127" Type="http://schemas.openxmlformats.org/officeDocument/2006/relationships/hyperlink" Target="https://www.google.com/maps/search/?api=1&amp;query=Steady+Strides+LLC%2C+3394+Lake+Elmo+Ave+N%2C+Lake+Elmo%2C+MN+55042" TargetMode="External"/><Relationship Id="rId1334" Type="http://schemas.openxmlformats.org/officeDocument/2006/relationships/hyperlink" Target="https://npiregistry.cms.hhs.gov/provider-view/1598710477" TargetMode="External"/><Relationship Id="rId1541" Type="http://schemas.openxmlformats.org/officeDocument/2006/relationships/hyperlink" Target="https://www.google.com/maps/search/?api=1&amp;query=Pine+Peak+Audiology%2C+903+Hilligoss+Blvd+SE%2C+Fosston%2C+MN+56542" TargetMode="External"/><Relationship Id="rId1779" Type="http://schemas.openxmlformats.org/officeDocument/2006/relationships/hyperlink" Target="https://www.google.com/maps/search/?api=1&amp;query=Mayo+Clinic+%E2%80%93+Orofacial+Pain+%28Dental+Specialties%29%2C+200+1st+St+SW%2C+Rochester%2C+MN+55905" TargetMode="External"/><Relationship Id="rId40" Type="http://schemas.openxmlformats.org/officeDocument/2006/relationships/hyperlink" Target="https://npiregistry.cms.hhs.gov/provider-view/1770034670" TargetMode="External"/><Relationship Id="rId1401" Type="http://schemas.openxmlformats.org/officeDocument/2006/relationships/hyperlink" Target="https://www.google.com/maps/search/?api=1&amp;query=Klettenberg+Chiropractic+PLLC%2C+119+Main+Ave+N%2C+Bagley%2C+MN+56621" TargetMode="External"/><Relationship Id="rId1639" Type="http://schemas.openxmlformats.org/officeDocument/2006/relationships/hyperlink" Target="https://www.google.com/maps/search/?api=1&amp;query=Eagle+Lake+Chiropractic%2C+PLLC%2C+213+Parkway+Ave%2C+Eagle+Lake%2C+MN+56024" TargetMode="External"/><Relationship Id="rId1846" Type="http://schemas.openxmlformats.org/officeDocument/2006/relationships/hyperlink" Target="https://npiregistry.cms.hhs.gov/provider-view/1811594567" TargetMode="External"/><Relationship Id="rId1706" Type="http://schemas.openxmlformats.org/officeDocument/2006/relationships/hyperlink" Target="https://npiregistry.cms.hhs.gov/provider-view/1093624587" TargetMode="External"/><Relationship Id="rId287" Type="http://schemas.openxmlformats.org/officeDocument/2006/relationships/hyperlink" Target="https://www.google.com/maps/search/?api=1&amp;query=Alpha+Spine+Health+%26+Injury+Center%2C+7644+160th+St.+West%2C+Lakeville%2C+MN+55044" TargetMode="External"/><Relationship Id="rId494" Type="http://schemas.openxmlformats.org/officeDocument/2006/relationships/hyperlink" Target="https://npiregistry.cms.hhs.gov/provider-view/1780547406" TargetMode="External"/><Relationship Id="rId147" Type="http://schemas.openxmlformats.org/officeDocument/2006/relationships/hyperlink" Target="https://www.google.com/maps/search/?api=1&amp;query=Fairview+Express+Care%2C+5130+Fairview+Blvd%2C+Wyoming%2C+MN+55092" TargetMode="External"/><Relationship Id="rId354" Type="http://schemas.openxmlformats.org/officeDocument/2006/relationships/hyperlink" Target="https://npiregistry.cms.hhs.gov/provider-view/1952120800" TargetMode="External"/><Relationship Id="rId799" Type="http://schemas.openxmlformats.org/officeDocument/2006/relationships/hyperlink" Target="https://npiregistry.cms.hhs.gov/provider-view/1619718186" TargetMode="External"/><Relationship Id="rId1191" Type="http://schemas.openxmlformats.org/officeDocument/2006/relationships/hyperlink" Target="https://www.google.com/maps/search/?api=1&amp;query=Infusion+Associates%2C+652+Bielenberg+Dr%2C+Woodbury%2C+MN+55125" TargetMode="External"/><Relationship Id="rId561" Type="http://schemas.openxmlformats.org/officeDocument/2006/relationships/hyperlink" Target="https://www.google.com/maps/search/?api=1&amp;query=Metropolitan+Surgical+Center%2C+LLC%2C+9645+Grove+Cir+N%2C+Maple+Grove%2C+MN+55369" TargetMode="External"/><Relationship Id="rId659" Type="http://schemas.openxmlformats.org/officeDocument/2006/relationships/hyperlink" Target="https://npiregistry.cms.hhs.gov/provider-view/1740035153" TargetMode="External"/><Relationship Id="rId866" Type="http://schemas.openxmlformats.org/officeDocument/2006/relationships/hyperlink" Target="https://www.google.com/maps/search/?api=1&amp;query=Johnson+Spine+and+Joint+PLLC%2C+1636+Gervais+Ave%2C+Maplewood%2C+MN+55109" TargetMode="External"/><Relationship Id="rId1289" Type="http://schemas.openxmlformats.org/officeDocument/2006/relationships/hyperlink" Target="https://www.google.com/maps/search/?api=1&amp;query=Mille+Lacs+Chiropractic%2C+1010+5th+St+SE%2C+Milaca%2C+MN+56353" TargetMode="External"/><Relationship Id="rId1496" Type="http://schemas.openxmlformats.org/officeDocument/2006/relationships/hyperlink" Target="https://npiregistry.cms.hhs.gov/provider-view/1407809494" TargetMode="External"/><Relationship Id="rId214" Type="http://schemas.openxmlformats.org/officeDocument/2006/relationships/hyperlink" Target="https://npiregistry.cms.hhs.gov/provider-view/1659301992" TargetMode="External"/><Relationship Id="rId421" Type="http://schemas.openxmlformats.org/officeDocument/2006/relationships/hyperlink" Target="https://www.google.com/maps/search/?api=1&amp;query=HealthPartners+Dental+Clinic+Eden+Prairie%2C+8455+Flying+Cloud+Dr%2C+Eden+Prairie%2C+MN+55344" TargetMode="External"/><Relationship Id="rId519" Type="http://schemas.openxmlformats.org/officeDocument/2006/relationships/hyperlink" Target="https://www.google.com/maps/search/?api=1&amp;query=Therapy+Partners%2C+INC.%2C+4956+Lincoln+Dr%2C+Edina%2C+MN+55436" TargetMode="External"/><Relationship Id="rId1051" Type="http://schemas.openxmlformats.org/officeDocument/2006/relationships/hyperlink" Target="https://npiregistry.cms.hhs.gov/provider-view/1245315704" TargetMode="External"/><Relationship Id="rId1149" Type="http://schemas.openxmlformats.org/officeDocument/2006/relationships/hyperlink" Target="https://www.google.com/maps/search/?api=1&amp;query=Carlson+Dental+Group%2C+1701+Curve+Crest+Blvd+W%2C+Stillwater%2C+MN+55082" TargetMode="External"/><Relationship Id="rId1356" Type="http://schemas.openxmlformats.org/officeDocument/2006/relationships/hyperlink" Target="https://npiregistry.cms.hhs.gov/provider-view/1760185128" TargetMode="External"/><Relationship Id="rId726" Type="http://schemas.openxmlformats.org/officeDocument/2006/relationships/hyperlink" Target="https://www.google.com/maps/search/?api=1&amp;query=Therapy+Partners%2C+INC.%2C+10650+Red+Circle+Dr%2C+Minnetonka%2C+MN+55343" TargetMode="External"/><Relationship Id="rId933" Type="http://schemas.openxmlformats.org/officeDocument/2006/relationships/hyperlink" Target="https://npiregistry.cms.hhs.gov/provider-view/1952267510" TargetMode="External"/><Relationship Id="rId1009" Type="http://schemas.openxmlformats.org/officeDocument/2006/relationships/hyperlink" Target="https://npiregistry.cms.hhs.gov/provider-view/1407809494" TargetMode="External"/><Relationship Id="rId1563" Type="http://schemas.openxmlformats.org/officeDocument/2006/relationships/hyperlink" Target="https://www.google.com/maps/search/?api=1&amp;query=Med-Plus+Physical+Therapy%2C+312+Highway+75+N%2C+Moorhead%2C+MN+56560" TargetMode="External"/><Relationship Id="rId1770" Type="http://schemas.openxmlformats.org/officeDocument/2006/relationships/hyperlink" Target="https://npiregistry.cms.hhs.gov/provider-view/1346659794" TargetMode="External"/><Relationship Id="rId1868" Type="http://schemas.openxmlformats.org/officeDocument/2006/relationships/hyperlink" Target="https://npiregistry.cms.hhs.gov/provider-view/1336107671" TargetMode="External"/><Relationship Id="rId62" Type="http://schemas.openxmlformats.org/officeDocument/2006/relationships/hyperlink" Target="https://npiregistry.cms.hhs.gov/provider-view/1396095048" TargetMode="External"/><Relationship Id="rId1216" Type="http://schemas.openxmlformats.org/officeDocument/2006/relationships/hyperlink" Target="https://npiregistry.cms.hhs.gov/provider-view/1104864529" TargetMode="External"/><Relationship Id="rId1423" Type="http://schemas.openxmlformats.org/officeDocument/2006/relationships/hyperlink" Target="https://www.google.com/maps/search/?api=1&amp;query=Heartland+Center+of+Natural+Healing%2C+PLLC%2C+1202+1st+St+E%2C+Park+Rapids%2C+MN+56470" TargetMode="External"/><Relationship Id="rId1630" Type="http://schemas.openxmlformats.org/officeDocument/2006/relationships/hyperlink" Target="https://npiregistry.cms.hhs.gov/provider-view/1134001670" TargetMode="External"/><Relationship Id="rId1728" Type="http://schemas.openxmlformats.org/officeDocument/2006/relationships/hyperlink" Target="https://npiregistry.cms.hhs.gov/provider-view/1174107072" TargetMode="External"/><Relationship Id="rId169" Type="http://schemas.openxmlformats.org/officeDocument/2006/relationships/hyperlink" Target="https://www.google.com/maps/search/?api=1&amp;query=Therapy+Partners%2C+INC.%2C+14665+Galaxie+Ave%2C+Apple+Valley%2C+MN+55124" TargetMode="External"/><Relationship Id="rId376" Type="http://schemas.openxmlformats.org/officeDocument/2006/relationships/hyperlink" Target="https://npiregistry.cms.hhs.gov/provider-view/1497602551" TargetMode="External"/><Relationship Id="rId583" Type="http://schemas.openxmlformats.org/officeDocument/2006/relationships/hyperlink" Target="https://www.google.com/maps/search/?api=1&amp;query=Trillium+Chiropractic%2C+PLLC%2C+13700+Reimer+Dr+N%2C+Maple+Grove%2C+MN+55311" TargetMode="External"/><Relationship Id="rId790" Type="http://schemas.openxmlformats.org/officeDocument/2006/relationships/hyperlink" Target="https://www.google.com/maps/search/?api=1&amp;query=Tara+Schug+DC+PLLC%2C+6640+Lyndale+Ave+S%2C+Richfield%2C+MN+55423" TargetMode="External"/><Relationship Id="rId4" Type="http://schemas.openxmlformats.org/officeDocument/2006/relationships/hyperlink" Target="https://npiregistry.cms.hhs.gov/provider-view/1225884661" TargetMode="External"/><Relationship Id="rId236" Type="http://schemas.openxmlformats.org/officeDocument/2006/relationships/hyperlink" Target="https://npiregistry.cms.hhs.gov/provider-view/1831411727" TargetMode="External"/><Relationship Id="rId443" Type="http://schemas.openxmlformats.org/officeDocument/2006/relationships/hyperlink" Target="https://www.google.com/maps/search/?api=1&amp;query=Summit+Orthopedics+LTD%2C+11995+Singletree+Ln%2C+Eden+Prairie%2C+MN+55344" TargetMode="External"/><Relationship Id="rId650" Type="http://schemas.openxmlformats.org/officeDocument/2006/relationships/hyperlink" Target="https://www.google.com/maps/search/?api=1&amp;query=Neurosurgical+Associates%2C+913+E+26th+St%2C+Minneapolis%2C+MN+55404" TargetMode="External"/><Relationship Id="rId888" Type="http://schemas.openxmlformats.org/officeDocument/2006/relationships/hyperlink" Target="https://www.google.com/maps/search/?api=1&amp;query=Gateway+Physical+Therapy%2C+INC%2C+2601+Centennial+Dr%2C+North+St+Paul%2C+MN+55109" TargetMode="External"/><Relationship Id="rId1073" Type="http://schemas.openxmlformats.org/officeDocument/2006/relationships/hyperlink" Target="https://npiregistry.cms.hhs.gov/provider-view/1144900176" TargetMode="External"/><Relationship Id="rId1280" Type="http://schemas.openxmlformats.org/officeDocument/2006/relationships/hyperlink" Target="https://npiregistry.cms.hhs.gov/provider-view/1407809494" TargetMode="External"/><Relationship Id="rId303" Type="http://schemas.openxmlformats.org/officeDocument/2006/relationships/hyperlink" Target="https://www.google.com/maps/search/?api=1&amp;query=Summit+Orthopedics%2C+LTD%2C+17210+Kenyon+Ave%2C+Lakeville%2C+MN+55044" TargetMode="External"/><Relationship Id="rId748" Type="http://schemas.openxmlformats.org/officeDocument/2006/relationships/hyperlink" Target="https://www.google.com/maps/search/?api=1&amp;query=Core+Lifestyle+Clinic%2C+2700+Annapolis+Cir+N%2C+Plymouth%2C+MN+55441" TargetMode="External"/><Relationship Id="rId955" Type="http://schemas.openxmlformats.org/officeDocument/2006/relationships/hyperlink" Target="https://npiregistry.cms.hhs.gov/provider-view/1558208033" TargetMode="External"/><Relationship Id="rId1140" Type="http://schemas.openxmlformats.org/officeDocument/2006/relationships/hyperlink" Target="https://npiregistry.cms.hhs.gov/provider-view/1275736613" TargetMode="External"/><Relationship Id="rId1378" Type="http://schemas.openxmlformats.org/officeDocument/2006/relationships/hyperlink" Target="https://npiregistry.cms.hhs.gov/provider-view/1659298016" TargetMode="External"/><Relationship Id="rId1585" Type="http://schemas.openxmlformats.org/officeDocument/2006/relationships/hyperlink" Target="https://www.google.com/maps/search/?api=1&amp;query=Medical+X-Ray+Consultants%2C+LTD%2C+111+17th+Ave+E%2C+Alexandria%2C+MN+56308" TargetMode="External"/><Relationship Id="rId1792" Type="http://schemas.openxmlformats.org/officeDocument/2006/relationships/hyperlink" Target="https://npiregistry.cms.hhs.gov/provider-view/1255928917" TargetMode="External"/><Relationship Id="rId84" Type="http://schemas.openxmlformats.org/officeDocument/2006/relationships/hyperlink" Target="https://npiregistry.cms.hhs.gov/provider-view/1881795961" TargetMode="External"/><Relationship Id="rId510" Type="http://schemas.openxmlformats.org/officeDocument/2006/relationships/hyperlink" Target="https://npiregistry.cms.hhs.gov/provider-view/1912551185" TargetMode="External"/><Relationship Id="rId608" Type="http://schemas.openxmlformats.org/officeDocument/2006/relationships/hyperlink" Target="https://npiregistry.cms.hhs.gov/provider-view/1306496278" TargetMode="External"/><Relationship Id="rId815" Type="http://schemas.openxmlformats.org/officeDocument/2006/relationships/hyperlink" Target="https://npiregistry.cms.hhs.gov/provider-view/1023223682" TargetMode="External"/><Relationship Id="rId1238" Type="http://schemas.openxmlformats.org/officeDocument/2006/relationships/hyperlink" Target="https://npiregistry.cms.hhs.gov/provider-view/1588523377" TargetMode="External"/><Relationship Id="rId1445" Type="http://schemas.openxmlformats.org/officeDocument/2006/relationships/hyperlink" Target="https://www.google.com/maps/search/?api=1&amp;query=North+Lakes+Chiropractic%2C+1200+S+Pokegama+Ave%2C+Grand+Rapids%2C+MN+55744" TargetMode="External"/><Relationship Id="rId1652" Type="http://schemas.openxmlformats.org/officeDocument/2006/relationships/hyperlink" Target="https://npiregistry.cms.hhs.gov/provider-view/1629044029" TargetMode="External"/><Relationship Id="rId1000" Type="http://schemas.openxmlformats.org/officeDocument/2006/relationships/hyperlink" Target="https://www.google.com/maps/search/?api=1&amp;query=The+Good+Movement+Pelvic+Health+%26+Wellness%2C+2327+Wycliff+St%2C+St.+Paul%2C+MN+55114" TargetMode="External"/><Relationship Id="rId1305" Type="http://schemas.openxmlformats.org/officeDocument/2006/relationships/hyperlink" Target="https://www.google.com/maps/search/?api=1&amp;query=Healthsource+of+Little+Falls%2C+109+5th+St+NE%2C+Little+Falls%2C+MN+56345" TargetMode="External"/><Relationship Id="rId1512" Type="http://schemas.openxmlformats.org/officeDocument/2006/relationships/hyperlink" Target="https://npiregistry.cms.hhs.gov/provider-view/1588715163" TargetMode="External"/><Relationship Id="rId1817" Type="http://schemas.openxmlformats.org/officeDocument/2006/relationships/hyperlink" Target="https://www.google.com/maps/search/?api=1&amp;query=Cram+Chiropractic+%26+Wellness+Center%2C+158+Water+St+N%2C+Northfield%2C+MN+55057" TargetMode="External"/><Relationship Id="rId11" Type="http://schemas.openxmlformats.org/officeDocument/2006/relationships/hyperlink" Target="https://www.google.com/maps/search/?api=1&amp;query=Unison+Chiropractic+Center+PLLC%2C+2006+1st+Ave%2C+Anoka%2C+MN+55303" TargetMode="External"/><Relationship Id="rId398" Type="http://schemas.openxmlformats.org/officeDocument/2006/relationships/hyperlink" Target="https://npiregistry.cms.hhs.gov/provider-view/1518963909" TargetMode="External"/><Relationship Id="rId160" Type="http://schemas.openxmlformats.org/officeDocument/2006/relationships/hyperlink" Target="https://npiregistry.cms.hhs.gov/provider-view/1770440810" TargetMode="External"/><Relationship Id="rId258" Type="http://schemas.openxmlformats.org/officeDocument/2006/relationships/hyperlink" Target="https://npiregistry.cms.hhs.gov/provider-view/1467517953" TargetMode="External"/><Relationship Id="rId465" Type="http://schemas.openxmlformats.org/officeDocument/2006/relationships/hyperlink" Target="https://www.google.com/maps/search/?api=1&amp;query=Diagnostic+Imaging%2C+INC%2C+6500+Barrie+Rd%2C+Edina%2C+MN+55435" TargetMode="External"/><Relationship Id="rId672" Type="http://schemas.openxmlformats.org/officeDocument/2006/relationships/hyperlink" Target="https://www.google.com/maps/search/?api=1&amp;query=Salita+Healing%2C+LLC%2C+3041+Aldrich+Ave+S%2C+Minneapolis%2C+MN+55408" TargetMode="External"/><Relationship Id="rId1095" Type="http://schemas.openxmlformats.org/officeDocument/2006/relationships/hyperlink" Target="https://www.google.com/maps/search/?api=1&amp;query=Healthsource+Chiropractic+of+Elk+River%2C+18157+Carson+Ct+NW%2C+Elk+River%2C+MN+55330" TargetMode="External"/><Relationship Id="rId118" Type="http://schemas.openxmlformats.org/officeDocument/2006/relationships/hyperlink" Target="https://npiregistry.cms.hhs.gov/provider-view/1952826778" TargetMode="External"/><Relationship Id="rId325" Type="http://schemas.openxmlformats.org/officeDocument/2006/relationships/hyperlink" Target="https://www.google.com/maps/search/?api=1&amp;query=Entira+Family+Clinics-West+St.+Paul%2C+234+Wentworth+Ave+E%2C+West+St+Paul%2C+MN+55118" TargetMode="External"/><Relationship Id="rId532" Type="http://schemas.openxmlformats.org/officeDocument/2006/relationships/hyperlink" Target="https://npiregistry.cms.hhs.gov/provider-view/1316506678" TargetMode="External"/><Relationship Id="rId977" Type="http://schemas.openxmlformats.org/officeDocument/2006/relationships/hyperlink" Target="https://npiregistry.cms.hhs.gov/provider-view/1902692585" TargetMode="External"/><Relationship Id="rId1162" Type="http://schemas.openxmlformats.org/officeDocument/2006/relationships/hyperlink" Target="https://npiregistry.cms.hhs.gov/provider-view/1477709814" TargetMode="External"/><Relationship Id="rId837" Type="http://schemas.openxmlformats.org/officeDocument/2006/relationships/hyperlink" Target="https://npiregistry.cms.hhs.gov/provider-view/1104562602" TargetMode="External"/><Relationship Id="rId1022" Type="http://schemas.openxmlformats.org/officeDocument/2006/relationships/hyperlink" Target="https://www.google.com/maps/search/?api=1&amp;query=Voyageur+Imaging%2Cllc%2C+393+Dunlap+St+N%2C+St.+Paul%2C+MN+55104" TargetMode="External"/><Relationship Id="rId1467" Type="http://schemas.openxmlformats.org/officeDocument/2006/relationships/hyperlink" Target="https://www.google.com/maps/search/?api=1&amp;query=Blue+Water+Oral+and+Facial+Surgery%2C+1000+E+1st+St%2C+Duluth%2C+MN+55805" TargetMode="External"/><Relationship Id="rId1674" Type="http://schemas.openxmlformats.org/officeDocument/2006/relationships/hyperlink" Target="https://npiregistry.cms.hhs.gov/provider-view/1699968057" TargetMode="External"/><Relationship Id="rId1881" Type="http://schemas.openxmlformats.org/officeDocument/2006/relationships/hyperlink" Target="https://www.google.com/maps/search/?api=1&amp;query=Sanford+Worthington+Orthopedics+%26+Sports+Medicine%2C+1018+6th+Ave%2C+Worthington%2C+MN+56187" TargetMode="External"/><Relationship Id="rId904" Type="http://schemas.openxmlformats.org/officeDocument/2006/relationships/hyperlink" Target="https://www.google.com/maps/search/?api=1&amp;query=Twin+Cities+Oral+%26+Maxillofacial+Surgery%2C+1790+Lexington+Ave+N%2C+Roseville%2C+MN+55113" TargetMode="External"/><Relationship Id="rId1327" Type="http://schemas.openxmlformats.org/officeDocument/2006/relationships/hyperlink" Target="https://www.google.com/maps/search/?api=1&amp;query=Williams+Integracare+Clinic%2C+2251+Connecticut+Ave+S%2C+Sartell%2C+MN+56377" TargetMode="External"/><Relationship Id="rId1534" Type="http://schemas.openxmlformats.org/officeDocument/2006/relationships/hyperlink" Target="https://npiregistry.cms.hhs.gov/provider-view/1821870643" TargetMode="External"/><Relationship Id="rId1741" Type="http://schemas.openxmlformats.org/officeDocument/2006/relationships/hyperlink" Target="https://www.google.com/maps/search/?api=1&amp;query=Your+Family+Healthcare%2C+89+W+9th+St%2C+Zumbrota%2C+MN+55992" TargetMode="External"/><Relationship Id="rId33" Type="http://schemas.openxmlformats.org/officeDocument/2006/relationships/hyperlink" Target="https://www.google.com/maps/search/?api=1&amp;query=Associated+Oral+%26+Maxillofacial+Surgeons+%28Associated+OMS%29%2C+3833+Coon+Rapids+Blvd+NW%2C+Coon+Rapids%2C+MN+55433" TargetMode="External"/><Relationship Id="rId1601" Type="http://schemas.openxmlformats.org/officeDocument/2006/relationships/hyperlink" Target="https://www.google.com/maps/search/?api=1&amp;query=Viverant+PT+LLC%2C+301+30th+Ave+W%2C+Alexandria%2C+MN+56308" TargetMode="External"/><Relationship Id="rId1839" Type="http://schemas.openxmlformats.org/officeDocument/2006/relationships/hyperlink" Target="https://www.google.com/maps/search/?api=1&amp;query=Gudie+Enterprises+PLLC%2C+3930+W+6th+St%2C+Winona%2C+MN+55987" TargetMode="External"/><Relationship Id="rId182" Type="http://schemas.openxmlformats.org/officeDocument/2006/relationships/hyperlink" Target="https://npiregistry.cms.hhs.gov/provider-view/1912184573" TargetMode="External"/><Relationship Id="rId487" Type="http://schemas.openxmlformats.org/officeDocument/2006/relationships/hyperlink" Target="https://www.google.com/maps/search/?api=1&amp;query=Minnesota+Neurorehabilitation+Institute%2C+PLLC%2C+7400+Metro+Blvd%2C+Edina%2C+MN+55439" TargetMode="External"/><Relationship Id="rId694" Type="http://schemas.openxmlformats.org/officeDocument/2006/relationships/hyperlink" Target="https://www.google.com/maps/search/?api=1&amp;query=Uptown+Chirocenter%2C+1936+Lyndale+Ave+S%2C+Minneapolis%2C+MN+55403" TargetMode="External"/><Relationship Id="rId347" Type="http://schemas.openxmlformats.org/officeDocument/2006/relationships/hyperlink" Target="https://www.google.com/maps/search/?api=1&amp;query=Ltc+Professionals%2C+PLLC%2C+7801+East+Bush+Lake+Rd%2C+Bloomington%2C+MN+55439" TargetMode="External"/><Relationship Id="rId999" Type="http://schemas.openxmlformats.org/officeDocument/2006/relationships/hyperlink" Target="https://npiregistry.cms.hhs.gov/provider-view/1477604320" TargetMode="External"/><Relationship Id="rId1184" Type="http://schemas.openxmlformats.org/officeDocument/2006/relationships/hyperlink" Target="https://npiregistry.cms.hhs.gov/provider-view/1982884615" TargetMode="External"/><Relationship Id="rId554" Type="http://schemas.openxmlformats.org/officeDocument/2006/relationships/hyperlink" Target="https://npiregistry.cms.hhs.gov/provider-view/1649043662" TargetMode="External"/><Relationship Id="rId761" Type="http://schemas.openxmlformats.org/officeDocument/2006/relationships/hyperlink" Target="https://npiregistry.cms.hhs.gov/provider-view/1871975607" TargetMode="External"/><Relationship Id="rId859" Type="http://schemas.openxmlformats.org/officeDocument/2006/relationships/hyperlink" Target="https://npiregistry.cms.hhs.gov/provider-view/1548068513" TargetMode="External"/><Relationship Id="rId1391" Type="http://schemas.openxmlformats.org/officeDocument/2006/relationships/hyperlink" Target="https://www.google.com/maps/search/?api=1&amp;query=Therapy+Partners%2C+INC.%2C+1220+Villa+Court+Dr%2C+Cromwell%2C+MN+55726" TargetMode="External"/><Relationship Id="rId1489" Type="http://schemas.openxmlformats.org/officeDocument/2006/relationships/hyperlink" Target="https://www.google.com/maps/search/?api=1&amp;query=Northern+Oral+Surgery+%26+Implant+Center%2C+3617+W+Arrowhead+Rd%2C+Duluth%2C+MN+55811" TargetMode="External"/><Relationship Id="rId1696" Type="http://schemas.openxmlformats.org/officeDocument/2006/relationships/hyperlink" Target="https://npiregistry.cms.hhs.gov/provider-view/1790521722" TargetMode="External"/><Relationship Id="rId207" Type="http://schemas.openxmlformats.org/officeDocument/2006/relationships/hyperlink" Target="https://www.google.com/maps/search/?api=1&amp;query=Revibe+Chiropractic+and+Rehabilitation%2C+14300+Buck+Hill+Rd%2C+Burnsville%2C+MN+55306" TargetMode="External"/><Relationship Id="rId414" Type="http://schemas.openxmlformats.org/officeDocument/2006/relationships/hyperlink" Target="https://npiregistry.cms.hhs.gov/provider-view/1033981261" TargetMode="External"/><Relationship Id="rId621" Type="http://schemas.openxmlformats.org/officeDocument/2006/relationships/hyperlink" Target="https://www.google.com/maps/search/?api=1&amp;query=Downtown+Chiropractic+Clinic%2C+825+Hennepin+Ave%2C+Minneapolis%2C+MN+55402" TargetMode="External"/><Relationship Id="rId1044" Type="http://schemas.openxmlformats.org/officeDocument/2006/relationships/hyperlink" Target="https://www.google.com/maps/search/?api=1&amp;query=Quaas+Chiropractic+Center%2C+4651+White+Bear+Pkwy%2C+White+Bear+Lake%2C+MN+55110" TargetMode="External"/><Relationship Id="rId1251" Type="http://schemas.openxmlformats.org/officeDocument/2006/relationships/hyperlink" Target="https://www.google.com/maps/search/?api=1&amp;query=Healthsource+of+Buffalo%2C+701+Hwy+55+E%2C+Buffalo%2C+MN+55313" TargetMode="External"/><Relationship Id="rId1349" Type="http://schemas.openxmlformats.org/officeDocument/2006/relationships/hyperlink" Target="https://www.google.com/maps/search/?api=1&amp;query=Exponential+Chiropractic+Healing+Center+PLLC%2C+103+College+Ave+N%2C+St.+Joseph%2C+MN+56374" TargetMode="External"/><Relationship Id="rId719" Type="http://schemas.openxmlformats.org/officeDocument/2006/relationships/hyperlink" Target="https://npiregistry.cms.hhs.gov/provider-view/1992002661" TargetMode="External"/><Relationship Id="rId926" Type="http://schemas.openxmlformats.org/officeDocument/2006/relationships/hyperlink" Target="https://www.google.com/maps/search/?api=1&amp;query=Concentra+Medical+Center%2C+1661+Saint+Anthony+Ave%2C+St.+Paul%2C+MN+55104" TargetMode="External"/><Relationship Id="rId1111" Type="http://schemas.openxmlformats.org/officeDocument/2006/relationships/hyperlink" Target="https://www.google.com/maps/search/?api=1&amp;query=The+New+Art+of+Chiropractic%2C+7501+80th+St+S%2C+Cottage+Grove%2C+MN+55016" TargetMode="External"/><Relationship Id="rId1556" Type="http://schemas.openxmlformats.org/officeDocument/2006/relationships/hyperlink" Target="https://npiregistry.cms.hhs.gov/provider-view/1275498644" TargetMode="External"/><Relationship Id="rId1763" Type="http://schemas.openxmlformats.org/officeDocument/2006/relationships/hyperlink" Target="https://www.google.com/maps/search/?api=1&amp;query=Compcare+Physical+Therapy+LLC%2C+4224+W+Frontage+Rd+N%2C+Rochester%2C+MN+55901" TargetMode="External"/><Relationship Id="rId55" Type="http://schemas.openxmlformats.org/officeDocument/2006/relationships/hyperlink" Target="https://www.google.com/maps/search/?api=1&amp;query=Pdr+Coon+Rapids%2C+INC%2C+320+Coon+Rapids+Blvd+NW%2C+Coon+Rapids%2C+MN+55433" TargetMode="External"/><Relationship Id="rId1209" Type="http://schemas.openxmlformats.org/officeDocument/2006/relationships/hyperlink" Target="https://www.google.com/maps/search/?api=1&amp;query=Summit+Orthopedics%2C+LTD%2C+710+Commerce+Dr%2C+Woodbury%2C+MN+55125" TargetMode="External"/><Relationship Id="rId1416" Type="http://schemas.openxmlformats.org/officeDocument/2006/relationships/hyperlink" Target="https://npiregistry.cms.hhs.gov/provider-view/1376284372" TargetMode="External"/><Relationship Id="rId1623" Type="http://schemas.openxmlformats.org/officeDocument/2006/relationships/hyperlink" Target="https://www.google.com/maps/search/?api=1&amp;query=Touching+Lives+Chiropractic%2C+PC.%2C+1515+W+Lincoln+Ave%2C+Fergus+Falls%2C+MN+56537" TargetMode="External"/><Relationship Id="rId1830" Type="http://schemas.openxmlformats.org/officeDocument/2006/relationships/hyperlink" Target="https://npiregistry.cms.hhs.gov/provider-view/1295687150" TargetMode="External"/><Relationship Id="rId271" Type="http://schemas.openxmlformats.org/officeDocument/2006/relationships/hyperlink" Target="https://www.google.com/maps/search/?api=1&amp;query=Oyespa+LLC%2C+7741+Amana+Trl%2C+Inver+Grove+Heights%2C+MN+55077" TargetMode="External"/><Relationship Id="rId131" Type="http://schemas.openxmlformats.org/officeDocument/2006/relationships/hyperlink" Target="https://www.google.com/maps/search/?api=1&amp;query=Ridgeview+Medical+Center%2C+500+S+Maple+St%2C+Waconia%2C+MN+55387" TargetMode="External"/><Relationship Id="rId369" Type="http://schemas.openxmlformats.org/officeDocument/2006/relationships/hyperlink" Target="https://www.google.com/maps/search/?api=1&amp;query=Dettling+Chiropractic+Rehab+and+Performance+PLLC%2C+615+66th+Ave+N%2C+Brooklyn+Center%2C+MN+55430" TargetMode="External"/><Relationship Id="rId576" Type="http://schemas.openxmlformats.org/officeDocument/2006/relationships/hyperlink" Target="https://npiregistry.cms.hhs.gov/provider-view/1295402774" TargetMode="External"/><Relationship Id="rId783" Type="http://schemas.openxmlformats.org/officeDocument/2006/relationships/hyperlink" Target="https://npiregistry.cms.hhs.gov/provider-view/1710322086" TargetMode="External"/><Relationship Id="rId990" Type="http://schemas.openxmlformats.org/officeDocument/2006/relationships/hyperlink" Target="https://www.google.com/maps/search/?api=1&amp;query=Saunders+Therapy+Centers+INC%2C+755+Prior+Ave+N%2C+St.+Paul%2C+MN+55104" TargetMode="External"/><Relationship Id="rId229" Type="http://schemas.openxmlformats.org/officeDocument/2006/relationships/hyperlink" Target="https://www.google.com/maps/search/?api=1&amp;query=Chris+Johnson+DC%2C+2119+Cliff+Rd%2C+Eagan%2C+MN+55122" TargetMode="External"/><Relationship Id="rId436" Type="http://schemas.openxmlformats.org/officeDocument/2006/relationships/hyperlink" Target="https://npiregistry.cms.hhs.gov/provider-view/1699706176" TargetMode="External"/><Relationship Id="rId643" Type="http://schemas.openxmlformats.org/officeDocument/2006/relationships/hyperlink" Target="https://npiregistry.cms.hhs.gov/provider-view/1770238396" TargetMode="External"/><Relationship Id="rId1066" Type="http://schemas.openxmlformats.org/officeDocument/2006/relationships/hyperlink" Target="https://www.google.com/maps/search/?api=1&amp;query=Therapy+Partners%2C+INC.%2C+4646+Colorado+St+SE%2C+Prior+Lake%2C+MN+55372" TargetMode="External"/><Relationship Id="rId1273" Type="http://schemas.openxmlformats.org/officeDocument/2006/relationships/hyperlink" Target="https://www.google.com/maps/search/?api=1&amp;query=Therapy+Partners%2C+INC.%2C+106+W+Broadway+St%2C+Monticello%2C+MN+55362" TargetMode="External"/><Relationship Id="rId1480" Type="http://schemas.openxmlformats.org/officeDocument/2006/relationships/hyperlink" Target="https://npiregistry.cms.hhs.gov/provider-view/1558702894" TargetMode="External"/><Relationship Id="rId850" Type="http://schemas.openxmlformats.org/officeDocument/2006/relationships/hyperlink" Target="https://www.google.com/maps/search/?api=1&amp;query=OMS+Specialists%2C+1595+2nd+Ave+NE%2C+Cambridge%2C+MN+55008" TargetMode="External"/><Relationship Id="rId948" Type="http://schemas.openxmlformats.org/officeDocument/2006/relationships/hyperlink" Target="https://www.google.com/maps/search/?api=1&amp;query=Healthquest%2C+1053+Grand+Ave%2C+St.+Paul%2C+MN+55105" TargetMode="External"/><Relationship Id="rId1133" Type="http://schemas.openxmlformats.org/officeDocument/2006/relationships/hyperlink" Target="https://www.google.com/maps/search/?api=1&amp;query=Fitness+Focus%2C+688+Wildwood+Road%2C+Mahtomedi%2C+MN+55115" TargetMode="External"/><Relationship Id="rId1578" Type="http://schemas.openxmlformats.org/officeDocument/2006/relationships/hyperlink" Target="https://npiregistry.cms.hhs.gov/provider-view/1821963398" TargetMode="External"/><Relationship Id="rId1785" Type="http://schemas.openxmlformats.org/officeDocument/2006/relationships/hyperlink" Target="https://www.google.com/maps/search/?api=1&amp;query=Pratt+Family+Chiropractic+LLC%2C+2766+Commerce+Dr+NW%2C+Rochester%2C+MN+55901" TargetMode="External"/><Relationship Id="rId77" Type="http://schemas.openxmlformats.org/officeDocument/2006/relationships/hyperlink" Target="https://www.google.com/maps/search/?api=1&amp;query=Novacare+Rehabilitation%2C+480+Osborne+Rd+NE%2C+Fridley%2C+MN+55432" TargetMode="External"/><Relationship Id="rId503" Type="http://schemas.openxmlformats.org/officeDocument/2006/relationships/hyperlink" Target="https://www.google.com/maps/search/?api=1&amp;query=Orthopaedic+Institute+Surgery+Center%2C+8100+W+78th+St%2C+Edina%2C+MN+55439" TargetMode="External"/><Relationship Id="rId710" Type="http://schemas.openxmlformats.org/officeDocument/2006/relationships/hyperlink" Target="https://www.google.com/maps/search/?api=1&amp;query=St.+David%27s+Center+For+Child+%26+Family+Development%2C+3395+Plymouth+Rd%2C+Minnetonka%2C+MN+55305" TargetMode="External"/><Relationship Id="rId808" Type="http://schemas.openxmlformats.org/officeDocument/2006/relationships/hyperlink" Target="https://www.google.com/maps/search/?api=1&amp;query=Ascend+Rehab%2C+LLC%2C+1660+Highway+100+S%2C+St.+Louis+Park%2C+MN+55416" TargetMode="External"/><Relationship Id="rId1340" Type="http://schemas.openxmlformats.org/officeDocument/2006/relationships/hyperlink" Target="https://npiregistry.cms.hhs.gov/provider-view/1104376169" TargetMode="External"/><Relationship Id="rId1438" Type="http://schemas.openxmlformats.org/officeDocument/2006/relationships/hyperlink" Target="https://npiregistry.cms.hhs.gov/provider-view/1245056365" TargetMode="External"/><Relationship Id="rId1645" Type="http://schemas.openxmlformats.org/officeDocument/2006/relationships/hyperlink" Target="https://www.google.com/maps/search/?api=1&amp;query=Hyland+Dental%2C+810+Independence+Dr%2C+Mankato%2C+MN+56001" TargetMode="External"/><Relationship Id="rId1200" Type="http://schemas.openxmlformats.org/officeDocument/2006/relationships/hyperlink" Target="https://npiregistry.cms.hhs.gov/provider-view/1710854369" TargetMode="External"/><Relationship Id="rId1852" Type="http://schemas.openxmlformats.org/officeDocument/2006/relationships/hyperlink" Target="https://npiregistry.cms.hhs.gov/provider-view/1821963398" TargetMode="External"/><Relationship Id="rId1505" Type="http://schemas.openxmlformats.org/officeDocument/2006/relationships/hyperlink" Target="https://www.google.com/maps/search/?api=1&amp;query=Excel+North+Chiropractic+PA.%2C+4135+Richard+Ave%2C+Hermantown%2C+MN+55811" TargetMode="External"/><Relationship Id="rId1712" Type="http://schemas.openxmlformats.org/officeDocument/2006/relationships/hyperlink" Target="https://npiregistry.cms.hhs.gov/provider-view/1891335790" TargetMode="External"/><Relationship Id="rId293" Type="http://schemas.openxmlformats.org/officeDocument/2006/relationships/hyperlink" Target="https://www.google.com/maps/search/?api=1&amp;query=Lakeville+Spine+%26+Health%2C+20176+Heritage+Dr%2C+Lakeville%2C+MN+55044" TargetMode="External"/><Relationship Id="rId153" Type="http://schemas.openxmlformats.org/officeDocument/2006/relationships/hyperlink" Target="https://www.google.com/maps/search/?api=1&amp;query=Johnson+Spinal+Care+Associates%2C+PA.%2C+14859+Energy+Way%2C+Apple+Valley%2C+MN+55124" TargetMode="External"/><Relationship Id="rId360" Type="http://schemas.openxmlformats.org/officeDocument/2006/relationships/hyperlink" Target="https://npiregistry.cms.hhs.gov/provider-view/1043839574" TargetMode="External"/><Relationship Id="rId598" Type="http://schemas.openxmlformats.org/officeDocument/2006/relationships/hyperlink" Target="https://npiregistry.cms.hhs.gov/provider-view/1952092942" TargetMode="External"/><Relationship Id="rId220" Type="http://schemas.openxmlformats.org/officeDocument/2006/relationships/hyperlink" Target="https://npiregistry.cms.hhs.gov/provider-view/1407809494" TargetMode="External"/><Relationship Id="rId458" Type="http://schemas.openxmlformats.org/officeDocument/2006/relationships/hyperlink" Target="https://npiregistry.cms.hhs.gov/provider-view/1811661747" TargetMode="External"/><Relationship Id="rId665" Type="http://schemas.openxmlformats.org/officeDocument/2006/relationships/hyperlink" Target="https://npiregistry.cms.hhs.gov/provider-view/1487512018" TargetMode="External"/><Relationship Id="rId872" Type="http://schemas.openxmlformats.org/officeDocument/2006/relationships/hyperlink" Target="https://www.google.com/maps/search/?api=1&amp;query=Peterson+Chiropractic+Center%2C+2599+White+Bear+Ave+N%2C+Maplewood%2C+MN+55109" TargetMode="External"/><Relationship Id="rId1088" Type="http://schemas.openxmlformats.org/officeDocument/2006/relationships/hyperlink" Target="https://npiregistry.cms.hhs.gov/provider-view/1407555758" TargetMode="External"/><Relationship Id="rId1295" Type="http://schemas.openxmlformats.org/officeDocument/2006/relationships/hyperlink" Target="https://www.google.com/maps/search/?api=1&amp;query=St+Raphaels+Chiropractic+Care+Center+PLLC%2C+115+1st+St+W%2C+Milaca%2C+MN+56353" TargetMode="External"/><Relationship Id="rId15" Type="http://schemas.openxmlformats.org/officeDocument/2006/relationships/hyperlink" Target="https://www.google.com/maps/search/?api=1&amp;query=Club+West+Chiropractic+PA%2C+10950+Club+West+Pkwy%2C+Blaine%2C+MN+55449" TargetMode="External"/><Relationship Id="rId318" Type="http://schemas.openxmlformats.org/officeDocument/2006/relationships/hyperlink" Target="https://npiregistry.cms.hhs.gov/provider-view/1407809494" TargetMode="External"/><Relationship Id="rId525" Type="http://schemas.openxmlformats.org/officeDocument/2006/relationships/hyperlink" Target="https://www.google.com/maps/search/?api=1&amp;query=Zen+Healing+Center%2C+4570+West+77th+Street%2C+Edina%2C+MN+55435" TargetMode="External"/><Relationship Id="rId732" Type="http://schemas.openxmlformats.org/officeDocument/2006/relationships/hyperlink" Target="https://www.google.com/maps/search/?api=1&amp;query=Healthsource+Chiropractic+of+Mound%2C+2204+Commerce+Blvd%2C+Mound%2C+MN+55364" TargetMode="External"/><Relationship Id="rId1155" Type="http://schemas.openxmlformats.org/officeDocument/2006/relationships/hyperlink" Target="https://www.google.com/maps/search/?api=1&amp;query=Fluid+Health+and+Fitness%2C+5639+Memorial+Ave+N%2C+Stillwater%2C+MN+55082" TargetMode="External"/><Relationship Id="rId1362" Type="http://schemas.openxmlformats.org/officeDocument/2006/relationships/hyperlink" Target="https://npiregistry.cms.hhs.gov/provider-view/1407809494" TargetMode="External"/><Relationship Id="rId99" Type="http://schemas.openxmlformats.org/officeDocument/2006/relationships/hyperlink" Target="https://www.google.com/maps/search/?api=1&amp;query=St+Lukes+Chiropractic%2C+3220+Bridge+St+NW%2C+St.+Francis%2C+MN+55070" TargetMode="External"/><Relationship Id="rId164" Type="http://schemas.openxmlformats.org/officeDocument/2006/relationships/hyperlink" Target="https://npiregistry.cms.hhs.gov/provider-view/1669668026" TargetMode="External"/><Relationship Id="rId371" Type="http://schemas.openxmlformats.org/officeDocument/2006/relationships/hyperlink" Target="https://www.google.com/maps/search/?api=1&amp;query=Icare+Diagnostic+Imaging%2C+2781+Freeway+Blvd%2C+Brooklyn+Center%2C+MN+55430" TargetMode="External"/><Relationship Id="rId1015" Type="http://schemas.openxmlformats.org/officeDocument/2006/relationships/hyperlink" Target="https://npiregistry.cms.hhs.gov/provider-view/1043457997" TargetMode="External"/><Relationship Id="rId1222" Type="http://schemas.openxmlformats.org/officeDocument/2006/relationships/hyperlink" Target="https://npiregistry.cms.hhs.gov/provider-view/1003993304" TargetMode="External"/><Relationship Id="rId1667" Type="http://schemas.openxmlformats.org/officeDocument/2006/relationships/hyperlink" Target="https://www.google.com/maps/search/?api=1&amp;query=New+Ulm+Medical+Center%2C+1217+8th+St+N%2C+New+Ulm%2C+MN+56073" TargetMode="External"/><Relationship Id="rId1874" Type="http://schemas.openxmlformats.org/officeDocument/2006/relationships/hyperlink" Target="https://npiregistry.cms.hhs.gov/provider-view/1275267775" TargetMode="External"/><Relationship Id="rId469" Type="http://schemas.openxmlformats.org/officeDocument/2006/relationships/hyperlink" Target="https://www.google.com/maps/search/?api=1&amp;query=Evexia+Metabolic+Health+and+Longevity+Clinic%2C+7200+Metro+Blvd%2C+Edina%2C+MN+55439" TargetMode="External"/><Relationship Id="rId676" Type="http://schemas.openxmlformats.org/officeDocument/2006/relationships/hyperlink" Target="https://www.google.com/maps/search/?api=1&amp;query=Studio+Me%2C+LLC%2C+305+1st+Ave+NE%2C+Minneapolis%2C+MN+55413" TargetMode="External"/><Relationship Id="rId883" Type="http://schemas.openxmlformats.org/officeDocument/2006/relationships/hyperlink" Target="https://npiregistry.cms.hhs.gov/provider-view/1982634010" TargetMode="External"/><Relationship Id="rId1099" Type="http://schemas.openxmlformats.org/officeDocument/2006/relationships/hyperlink" Target="https://www.google.com/maps/search/?api=1&amp;query=Momentum+Health+and+Wellness+Minnesota%2C+PLLC.%2C+231+Main+St+NW%2C+Elk+River%2C+MN+55330" TargetMode="External"/><Relationship Id="rId1527" Type="http://schemas.openxmlformats.org/officeDocument/2006/relationships/hyperlink" Target="https://www.google.com/maps/search/?api=1&amp;query=Pediatric+Therapy+Partners%2C+INC.%2C+419+Atlantic+Ave%2C+Thief+River+Falls%2C+MN+56701" TargetMode="External"/><Relationship Id="rId1734" Type="http://schemas.openxmlformats.org/officeDocument/2006/relationships/hyperlink" Target="https://npiregistry.cms.hhs.gov/provider-view/1801600036" TargetMode="External"/><Relationship Id="rId26" Type="http://schemas.openxmlformats.org/officeDocument/2006/relationships/hyperlink" Target="https://npiregistry.cms.hhs.gov/provider-view/1811687015" TargetMode="External"/><Relationship Id="rId231" Type="http://schemas.openxmlformats.org/officeDocument/2006/relationships/hyperlink" Target="https://www.google.com/maps/search/?api=1&amp;query=Concentra+Medical+Center%2C+1400+Corporate+Center+Curv%2C+Eagan%2C+MN+55121" TargetMode="External"/><Relationship Id="rId329" Type="http://schemas.openxmlformats.org/officeDocument/2006/relationships/hyperlink" Target="https://www.google.com/maps/search/?api=1&amp;query=Restore-U+Chiropractic%2C+200+Thompson+Ave+E%2C+West+St+Paul%2C+MN+55118" TargetMode="External"/><Relationship Id="rId536" Type="http://schemas.openxmlformats.org/officeDocument/2006/relationships/hyperlink" Target="https://npiregistry.cms.hhs.gov/provider-view/1114517380" TargetMode="External"/><Relationship Id="rId1166" Type="http://schemas.openxmlformats.org/officeDocument/2006/relationships/hyperlink" Target="https://npiregistry.cms.hhs.gov/provider-view/1427129717" TargetMode="External"/><Relationship Id="rId1373" Type="http://schemas.openxmlformats.org/officeDocument/2006/relationships/hyperlink" Target="https://www.google.com/maps/search/?api=1&amp;query=Life+Quest+Chiropractic+Center+Bemidji+PC%2C+519+Anne+St+NW%2C+Bemidji%2C+MN+56601" TargetMode="External"/><Relationship Id="rId175" Type="http://schemas.openxmlformats.org/officeDocument/2006/relationships/hyperlink" Target="https://www.google.com/maps/search/?api=1&amp;query=Chiroflex+PLLC%2C+1103+W+Burnsville+Pkwy%2C+Burnsville%2C+MN+55337" TargetMode="External"/><Relationship Id="rId743" Type="http://schemas.openxmlformats.org/officeDocument/2006/relationships/hyperlink" Target="https://npiregistry.cms.hhs.gov/provider-view/1063279677" TargetMode="External"/><Relationship Id="rId950" Type="http://schemas.openxmlformats.org/officeDocument/2006/relationships/hyperlink" Target="https://www.google.com/maps/search/?api=1&amp;query=Impact+Physical+Medicine%2C+1600+University+Ave+W%2C+St.+Paul%2C+MN+55104" TargetMode="External"/><Relationship Id="rId1026" Type="http://schemas.openxmlformats.org/officeDocument/2006/relationships/hyperlink" Target="https://www.google.com/maps/search/?api=1&amp;query=Willow+Family+Chiropractic%2C+730+Cleveland+Ave+S%2C+St.+Paul%2C+MN+55116" TargetMode="External"/><Relationship Id="rId1580" Type="http://schemas.openxmlformats.org/officeDocument/2006/relationships/hyperlink" Target="https://npiregistry.cms.hhs.gov/provider-view/1205481041" TargetMode="External"/><Relationship Id="rId1678" Type="http://schemas.openxmlformats.org/officeDocument/2006/relationships/hyperlink" Target="https://npiregistry.cms.hhs.gov/provider-view/1063696540" TargetMode="External"/><Relationship Id="rId1801" Type="http://schemas.openxmlformats.org/officeDocument/2006/relationships/hyperlink" Target="https://www.google.com/maps/search/?api=1&amp;query=Therapy+Partners%2C+INC.%2C+125+Elton+Hills+Dr+NW%2C+Rochester%2C+MN+55901" TargetMode="External"/><Relationship Id="rId1885" Type="http://schemas.openxmlformats.org/officeDocument/2006/relationships/hyperlink" Target="https://www.google.com/maps/search/?api=1&amp;query=Re+Active+Wellness+LLC%2C+109+W+Main+St%2C+Pipestone%2C+MN+56164" TargetMode="External"/><Relationship Id="rId382" Type="http://schemas.openxmlformats.org/officeDocument/2006/relationships/hyperlink" Target="https://npiregistry.cms.hhs.gov/provider-view/1588555494" TargetMode="External"/><Relationship Id="rId603" Type="http://schemas.openxmlformats.org/officeDocument/2006/relationships/hyperlink" Target="https://www.google.com/maps/search/?api=1&amp;query=Allina+Health+System%2C+2833+Chicago+Ave%2C+Minneapolis%2C+MN+55407" TargetMode="External"/><Relationship Id="rId687" Type="http://schemas.openxmlformats.org/officeDocument/2006/relationships/hyperlink" Target="https://npiregistry.cms.hhs.gov/provider-view/1669365839" TargetMode="External"/><Relationship Id="rId810" Type="http://schemas.openxmlformats.org/officeDocument/2006/relationships/hyperlink" Target="https://www.google.com/maps/search/?api=1&amp;query=Center+For+Diagnostic+Imaging%2C+5775+Wayzata+Blvd%2C+St.+Louis+Park%2C+MN+55416" TargetMode="External"/><Relationship Id="rId908" Type="http://schemas.openxmlformats.org/officeDocument/2006/relationships/hyperlink" Target="https://www.google.com/maps/search/?api=1&amp;query=Allina+Health+Orthopedics%2C+225+Smith+Ave+N%2C+St.+Paul%2C+MN+55102" TargetMode="External"/><Relationship Id="rId1233" Type="http://schemas.openxmlformats.org/officeDocument/2006/relationships/hyperlink" Target="https://www.google.com/maps/search/?api=1&amp;query=Gusto+Integrative+Therapies%2C+5232+Kyler+Ave+NE%2C+Albertville%2C+MN+55301" TargetMode="External"/><Relationship Id="rId1440" Type="http://schemas.openxmlformats.org/officeDocument/2006/relationships/hyperlink" Target="https://npiregistry.cms.hhs.gov/provider-view/1164256582" TargetMode="External"/><Relationship Id="rId1538" Type="http://schemas.openxmlformats.org/officeDocument/2006/relationships/hyperlink" Target="https://npiregistry.cms.hhs.gov/provider-view/1811814122" TargetMode="External"/><Relationship Id="rId242" Type="http://schemas.openxmlformats.org/officeDocument/2006/relationships/hyperlink" Target="https://npiregistry.cms.hhs.gov/provider-view/1063563518" TargetMode="External"/><Relationship Id="rId894" Type="http://schemas.openxmlformats.org/officeDocument/2006/relationships/hyperlink" Target="https://www.google.com/maps/search/?api=1&amp;query=Minnesota+Institute+For+Pain+Management%2C+LLC%2C+2780+Snelling+Ave+N%2C+Roseville%2C+MN+55113" TargetMode="External"/><Relationship Id="rId1177" Type="http://schemas.openxmlformats.org/officeDocument/2006/relationships/hyperlink" Target="https://www.google.com/maps/search/?api=1&amp;query=Awake+Pelvic+Health+and+Wellness+LLC%2C+10150+Hudson+Rd%2C+Woodbury%2C+MN+55129" TargetMode="External"/><Relationship Id="rId1300" Type="http://schemas.openxmlformats.org/officeDocument/2006/relationships/hyperlink" Target="https://npiregistry.cms.hhs.gov/provider-view/1720167117" TargetMode="External"/><Relationship Id="rId1745" Type="http://schemas.openxmlformats.org/officeDocument/2006/relationships/hyperlink" Target="https://www.google.com/maps/search/?api=1&amp;query=Rocky+Mountain+Spine+and+Sport+PLLC%2C+734+N+4th+St%2C+La+Crescent%2C+MN+55947" TargetMode="External"/><Relationship Id="rId37" Type="http://schemas.openxmlformats.org/officeDocument/2006/relationships/hyperlink" Target="https://www.google.com/maps/search/?api=1&amp;query=Concentra+Medical+Center%2C+600+Coon+Rapids+Blvd+NW%2C+Coon+Rapids%2C+MN+55433" TargetMode="External"/><Relationship Id="rId102" Type="http://schemas.openxmlformats.org/officeDocument/2006/relationships/hyperlink" Target="https://npiregistry.cms.hhs.gov/provider-view/1720862931" TargetMode="External"/><Relationship Id="rId547" Type="http://schemas.openxmlformats.org/officeDocument/2006/relationships/hyperlink" Target="https://www.google.com/maps/search/?api=1&amp;query=Sipple+Medical+Innovations+LLC%2C+10285+Yellow+Circle+Dr%2C+Hopkins%2C+MN+55343" TargetMode="External"/><Relationship Id="rId754" Type="http://schemas.openxmlformats.org/officeDocument/2006/relationships/hyperlink" Target="https://www.google.com/maps/search/?api=1&amp;query=Ibackcheck+Sport+Therapy%2C+3650+Plymouth+Blvd%2C+Plymouth%2C+MN+55446" TargetMode="External"/><Relationship Id="rId961" Type="http://schemas.openxmlformats.org/officeDocument/2006/relationships/hyperlink" Target="https://npiregistry.cms.hhs.gov/provider-view/1912195124" TargetMode="External"/><Relationship Id="rId1384" Type="http://schemas.openxmlformats.org/officeDocument/2006/relationships/hyperlink" Target="https://npiregistry.cms.hhs.gov/provider-view/1780628149" TargetMode="External"/><Relationship Id="rId1591" Type="http://schemas.openxmlformats.org/officeDocument/2006/relationships/hyperlink" Target="https://www.google.com/maps/search/?api=1&amp;query=Soderholm+Oral+Surgery+and+Implants%2C+120+12th+Ave+E%2C+Alexandria%2C+MN+56308" TargetMode="External"/><Relationship Id="rId1605" Type="http://schemas.openxmlformats.org/officeDocument/2006/relationships/hyperlink" Target="https://www.google.com/maps/search/?api=1&amp;query=Core+Chiropractic+PLLC%2C+233+Main+St%2C+Miltona%2C+MN+56354" TargetMode="External"/><Relationship Id="rId1689" Type="http://schemas.openxmlformats.org/officeDocument/2006/relationships/hyperlink" Target="https://www.google.com/maps/search/?api=1&amp;query=Liepold+Consulting%2C+LLC%2C+80348+410th+Ave%2C+Lakefield%2C+MN+56150" TargetMode="External"/><Relationship Id="rId1812" Type="http://schemas.openxmlformats.org/officeDocument/2006/relationships/hyperlink" Target="https://npiregistry.cms.hhs.gov/provider-view/1407809494" TargetMode="External"/><Relationship Id="rId90" Type="http://schemas.openxmlformats.org/officeDocument/2006/relationships/hyperlink" Target="https://npiregistry.cms.hhs.gov/provider-view/1699054304" TargetMode="External"/><Relationship Id="rId186" Type="http://schemas.openxmlformats.org/officeDocument/2006/relationships/hyperlink" Target="https://npiregistry.cms.hhs.gov/provider-view/1710216858" TargetMode="External"/><Relationship Id="rId393" Type="http://schemas.openxmlformats.org/officeDocument/2006/relationships/hyperlink" Target="https://www.google.com/maps/search/?api=1&amp;query=Oral+and+Maxillofacial+Surgical+Consultants+PA%2C+7770+Dell+Road%2C+Chanhassen%2C+MN+55317" TargetMode="External"/><Relationship Id="rId407" Type="http://schemas.openxmlformats.org/officeDocument/2006/relationships/hyperlink" Target="https://www.google.com/maps/search/?api=1&amp;query=Dauntless+Health+Services+PLLC%2C+8577+Columbine+Rd%2C+Eden+Prairie%2C+MN+55344" TargetMode="External"/><Relationship Id="rId614" Type="http://schemas.openxmlformats.org/officeDocument/2006/relationships/hyperlink" Target="https://npiregistry.cms.hhs.gov/provider-view/1538341953" TargetMode="External"/><Relationship Id="rId821" Type="http://schemas.openxmlformats.org/officeDocument/2006/relationships/hyperlink" Target="https://npiregistry.cms.hhs.gov/provider-view/1699272427" TargetMode="External"/><Relationship Id="rId1037" Type="http://schemas.openxmlformats.org/officeDocument/2006/relationships/hyperlink" Target="https://npiregistry.cms.hhs.gov/provider-view/1215358346" TargetMode="External"/><Relationship Id="rId1244" Type="http://schemas.openxmlformats.org/officeDocument/2006/relationships/hyperlink" Target="https://npiregistry.cms.hhs.gov/provider-view/1649043662" TargetMode="External"/><Relationship Id="rId1451" Type="http://schemas.openxmlformats.org/officeDocument/2006/relationships/hyperlink" Target="https://www.google.com/maps/search/?api=1&amp;query=Journey+Physical+Therapy+%26+Childbirth+Services+LLC%2C+8947+Austin+Rd%2C+Alborn%2C+MN+55702" TargetMode="External"/><Relationship Id="rId1896" Type="http://schemas.openxmlformats.org/officeDocument/2006/relationships/hyperlink" Target="https://npiregistry.cms.hhs.gov/provider-view/1497575419" TargetMode="External"/><Relationship Id="rId253" Type="http://schemas.openxmlformats.org/officeDocument/2006/relationships/hyperlink" Target="https://www.google.com/maps/search/?api=1&amp;query=Hastings+Sport+and+Spine+LLC%2C+1806+Vermillion+St%2C+Hastings%2C+MN+55033" TargetMode="External"/><Relationship Id="rId460" Type="http://schemas.openxmlformats.org/officeDocument/2006/relationships/hyperlink" Target="https://npiregistry.cms.hhs.gov/provider-view/1902720857" TargetMode="External"/><Relationship Id="rId698" Type="http://schemas.openxmlformats.org/officeDocument/2006/relationships/hyperlink" Target="https://www.google.com/maps/search/?api=1&amp;query=Downtown+Orthopedics%2C+PA.%2C+13911+Ridgedale+Dr%2C+Minnetonka%2C+MN+55305" TargetMode="External"/><Relationship Id="rId919" Type="http://schemas.openxmlformats.org/officeDocument/2006/relationships/hyperlink" Target="https://npiregistry.cms.hhs.gov/provider-view/1033020722" TargetMode="External"/><Relationship Id="rId1090" Type="http://schemas.openxmlformats.org/officeDocument/2006/relationships/hyperlink" Target="https://npiregistry.cms.hhs.gov/provider-view/1407809494" TargetMode="External"/><Relationship Id="rId1104" Type="http://schemas.openxmlformats.org/officeDocument/2006/relationships/hyperlink" Target="https://npiregistry.cms.hhs.gov/provider-view/1083882740" TargetMode="External"/><Relationship Id="rId1311" Type="http://schemas.openxmlformats.org/officeDocument/2006/relationships/hyperlink" Target="https://www.google.com/maps/search/?api=1&amp;query=Novacare+Rehabilitation%2C+600+County+Road+75%2C+Clearwater%2C+MN+55320" TargetMode="External"/><Relationship Id="rId1549" Type="http://schemas.openxmlformats.org/officeDocument/2006/relationships/hyperlink" Target="https://www.google.com/maps/search/?api=1&amp;query=Rehabplus+and+Fitness+LLC%2C+220+Front+St+S%2C+Barnesville%2C+MN+56514" TargetMode="External"/><Relationship Id="rId1756" Type="http://schemas.openxmlformats.org/officeDocument/2006/relationships/hyperlink" Target="https://npiregistry.cms.hhs.gov/provider-view/1124205604" TargetMode="External"/><Relationship Id="rId48" Type="http://schemas.openxmlformats.org/officeDocument/2006/relationships/hyperlink" Target="https://npiregistry.cms.hhs.gov/provider-view/1922241884" TargetMode="External"/><Relationship Id="rId113" Type="http://schemas.openxmlformats.org/officeDocument/2006/relationships/hyperlink" Target="https://www.google.com/maps/search/?api=1&amp;query=Discover+Chiropractic%2C+1107+Hazeltine+Blvd%2C+Chaska%2C+MN+55318" TargetMode="External"/><Relationship Id="rId320" Type="http://schemas.openxmlformats.org/officeDocument/2006/relationships/hyperlink" Target="https://npiregistry.cms.hhs.gov/provider-view/1730320276" TargetMode="External"/><Relationship Id="rId558" Type="http://schemas.openxmlformats.org/officeDocument/2006/relationships/hyperlink" Target="https://npiregistry.cms.hhs.gov/provider-view/1326398561" TargetMode="External"/><Relationship Id="rId765" Type="http://schemas.openxmlformats.org/officeDocument/2006/relationships/hyperlink" Target="https://npiregistry.cms.hhs.gov/provider-view/1639896913" TargetMode="External"/><Relationship Id="rId972" Type="http://schemas.openxmlformats.org/officeDocument/2006/relationships/hyperlink" Target="https://www.google.com/maps/search/?api=1&amp;query=Novacare+Rehabilitation%2C+1050+Larpenteur+Ave+W%2C+St.+Paul%2C+MN+55113" TargetMode="External"/><Relationship Id="rId1188" Type="http://schemas.openxmlformats.org/officeDocument/2006/relationships/hyperlink" Target="https://npiregistry.cms.hhs.gov/provider-view/1154122950" TargetMode="External"/><Relationship Id="rId1395" Type="http://schemas.openxmlformats.org/officeDocument/2006/relationships/hyperlink" Target="https://www.google.com/maps/search/?api=1&amp;query=Gateway+Family+Health+Clinic%2C+LTD.%2C+4570+Cty+Hwy+61%2C+Moose+Lake%2C+MN+55767" TargetMode="External"/><Relationship Id="rId1409" Type="http://schemas.openxmlformats.org/officeDocument/2006/relationships/hyperlink" Target="https://www.google.com/maps/search/?api=1&amp;query=Lakes+Chiropractic%2C+413+S+6th+St%2C+Brainerd%2C+MN+56401" TargetMode="External"/><Relationship Id="rId1616" Type="http://schemas.openxmlformats.org/officeDocument/2006/relationships/hyperlink" Target="https://npiregistry.cms.hhs.gov/provider-view/1265148480" TargetMode="External"/><Relationship Id="rId1823" Type="http://schemas.openxmlformats.org/officeDocument/2006/relationships/hyperlink" Target="https://www.google.com/maps/search/?api=1&amp;query=Big+Stone+Therapies%2C+INC%2C+123+W+Broadway+St%2C+Owatonna%2C+MN+55060" TargetMode="External"/><Relationship Id="rId197" Type="http://schemas.openxmlformats.org/officeDocument/2006/relationships/hyperlink" Target="https://www.google.com/maps/search/?api=1&amp;query=Mprove+Physical+Therapy%2C+LLC%2C+1103+W+Burnsville+Pkwy%2C+Burnsville%2C+MN+55337" TargetMode="External"/><Relationship Id="rId418" Type="http://schemas.openxmlformats.org/officeDocument/2006/relationships/hyperlink" Target="https://npiregistry.cms.hhs.gov/provider-view/1861405128" TargetMode="External"/><Relationship Id="rId625" Type="http://schemas.openxmlformats.org/officeDocument/2006/relationships/hyperlink" Target="https://www.google.com/maps/search/?api=1&amp;query=Fairview+Specialty+Services%2C+2450+Riverside+Ave%2C+Minneapolis%2C+MN+55454" TargetMode="External"/><Relationship Id="rId832" Type="http://schemas.openxmlformats.org/officeDocument/2006/relationships/hyperlink" Target="https://www.google.com/maps/search/?api=1&amp;query=West+End+Chiropractic%2C+1660+Highway+100+S%2C+St.+Louis+Park%2C+MN+55416" TargetMode="External"/><Relationship Id="rId1048" Type="http://schemas.openxmlformats.org/officeDocument/2006/relationships/hyperlink" Target="https://www.google.com/maps/search/?api=1&amp;query=Soul+Chiropractic%2C+4760+Banning+Ave%2C+White+Bear+Lake%2C+MN+55110" TargetMode="External"/><Relationship Id="rId1255" Type="http://schemas.openxmlformats.org/officeDocument/2006/relationships/hyperlink" Target="https://www.google.com/maps/search/?api=1&amp;query=Mangas+Family+Chiropractic+PLLC%2C+1111+Highway+25+N%2C+Buffalo%2C+MN+55313" TargetMode="External"/><Relationship Id="rId1462" Type="http://schemas.openxmlformats.org/officeDocument/2006/relationships/hyperlink" Target="https://npiregistry.cms.hhs.gov/provider-view/1285688986" TargetMode="External"/><Relationship Id="rId264" Type="http://schemas.openxmlformats.org/officeDocument/2006/relationships/hyperlink" Target="https://npiregistry.cms.hhs.gov/provider-view/1780162552" TargetMode="External"/><Relationship Id="rId471" Type="http://schemas.openxmlformats.org/officeDocument/2006/relationships/hyperlink" Target="https://www.google.com/maps/search/?api=1&amp;query=Fyzical+Therapy+and+Balance+Centers+Edina%2C+5227+W+73rd+St%2C+Edina%2C+MN+55439" TargetMode="External"/><Relationship Id="rId1115" Type="http://schemas.openxmlformats.org/officeDocument/2006/relationships/hyperlink" Target="https://www.google.com/maps/search/?api=1&amp;query=Prosper+Physical+Therapy%2C+LLC%2C+168+Lake+St+S%2C+Forest+Lake%2C+MN+55025" TargetMode="External"/><Relationship Id="rId1322" Type="http://schemas.openxmlformats.org/officeDocument/2006/relationships/hyperlink" Target="https://npiregistry.cms.hhs.gov/provider-view/1386723575" TargetMode="External"/><Relationship Id="rId1767" Type="http://schemas.openxmlformats.org/officeDocument/2006/relationships/hyperlink" Target="https://www.google.com/maps/search/?api=1&amp;query=Elevate+Chiropractic+and+Wellness%2C+2768+Superior+Dr+NW%2C+Rochester%2C+MN+55901" TargetMode="External"/><Relationship Id="rId59" Type="http://schemas.openxmlformats.org/officeDocument/2006/relationships/hyperlink" Target="https://www.google.com/maps/search/?api=1&amp;query=Summit+Orthopedics%2C+LTD.%2C+600+Coon+Rapids+Blvd+NW%2C+Coon+Rapids%2C+MN+55433" TargetMode="External"/><Relationship Id="rId124" Type="http://schemas.openxmlformats.org/officeDocument/2006/relationships/hyperlink" Target="https://npiregistry.cms.hhs.gov/provider-view/1649113804" TargetMode="External"/><Relationship Id="rId569" Type="http://schemas.openxmlformats.org/officeDocument/2006/relationships/hyperlink" Target="https://www.google.com/maps/search/?api=1&amp;query=Renew+Spine+and+Health%2C+9325+Upland+Ln+N%2C+Maple+Grove%2C+MN+55369" TargetMode="External"/><Relationship Id="rId776" Type="http://schemas.openxmlformats.org/officeDocument/2006/relationships/hyperlink" Target="https://www.google.com/maps/search/?api=1&amp;query=Therapy+Junction%2C+14130+23rd+Ave+N%2C+Plymouth%2C+MN+55447" TargetMode="External"/><Relationship Id="rId983" Type="http://schemas.openxmlformats.org/officeDocument/2006/relationships/hyperlink" Target="https://npiregistry.cms.hhs.gov/provider-view/1255191474" TargetMode="External"/><Relationship Id="rId1199" Type="http://schemas.openxmlformats.org/officeDocument/2006/relationships/hyperlink" Target="https://www.google.com/maps/search/?api=1&amp;query=Minnesota+Head+and+Neck+Pain+Clinic%2C+PA%2C+9950+Valley+Creek+Rd%2C+Woodbury%2C+MN+55125" TargetMode="External"/><Relationship Id="rId1627" Type="http://schemas.openxmlformats.org/officeDocument/2006/relationships/hyperlink" Target="https://www.google.com/maps/search/?api=1&amp;query=Rehabplus+and+Fitness+LLC%2C+46+N+Broadway%2C+Pelican+Rapids%2C+MN+56572" TargetMode="External"/><Relationship Id="rId1834" Type="http://schemas.openxmlformats.org/officeDocument/2006/relationships/hyperlink" Target="https://npiregistry.cms.hhs.gov/provider-view/1750912499" TargetMode="External"/><Relationship Id="rId331" Type="http://schemas.openxmlformats.org/officeDocument/2006/relationships/hyperlink" Target="https://www.google.com/maps/search/?api=1&amp;query=Bloomington+Wellness+Center%2C+PA%2C+5143+W+98th+St%2C+Bloomington%2C+MN+55437" TargetMode="External"/><Relationship Id="rId429" Type="http://schemas.openxmlformats.org/officeDocument/2006/relationships/hyperlink" Target="https://www.google.com/maps/search/?api=1&amp;query=Odom+Health+%26+Wellness%2C+6545+Flying+Cloud+Dr%2C+Eden+Prairie%2C+MN+55344" TargetMode="External"/><Relationship Id="rId636" Type="http://schemas.openxmlformats.org/officeDocument/2006/relationships/hyperlink" Target="https://npiregistry.cms.hhs.gov/provider-view/1073941928" TargetMode="External"/><Relationship Id="rId1059" Type="http://schemas.openxmlformats.org/officeDocument/2006/relationships/hyperlink" Target="https://npiregistry.cms.hhs.gov/provider-view/1114615150" TargetMode="External"/><Relationship Id="rId1266" Type="http://schemas.openxmlformats.org/officeDocument/2006/relationships/hyperlink" Target="https://npiregistry.cms.hhs.gov/provider-view/1073394797" TargetMode="External"/><Relationship Id="rId1473" Type="http://schemas.openxmlformats.org/officeDocument/2006/relationships/hyperlink" Target="https://www.google.com/maps/search/?api=1&amp;query=Fascial+Connections+PT%2C+LLC%2C+4292+Turner+Rd%2C+Duluth%2C+MN+55803" TargetMode="External"/><Relationship Id="rId843" Type="http://schemas.openxmlformats.org/officeDocument/2006/relationships/hyperlink" Target="https://npiregistry.cms.hhs.gov/provider-view/1154191377" TargetMode="External"/><Relationship Id="rId1126" Type="http://schemas.openxmlformats.org/officeDocument/2006/relationships/hyperlink" Target="https://npiregistry.cms.hhs.gov/provider-view/1811288269" TargetMode="External"/><Relationship Id="rId1680" Type="http://schemas.openxmlformats.org/officeDocument/2006/relationships/hyperlink" Target="https://npiregistry.cms.hhs.gov/provider-view/1134931926" TargetMode="External"/><Relationship Id="rId1778" Type="http://schemas.openxmlformats.org/officeDocument/2006/relationships/hyperlink" Target="https://npiregistry.cms.hhs.gov/provider-view/1558015545" TargetMode="External"/><Relationship Id="rId1901" Type="http://schemas.openxmlformats.org/officeDocument/2006/relationships/hyperlink" Target="https://www.google.com/maps/search/?api=1&amp;query=Granite+Family+Chiropractic+Center%2C+PC%2C+868+Prentice+St%2C+Granite+Falls%2C+MN+56241" TargetMode="External"/><Relationship Id="rId275" Type="http://schemas.openxmlformats.org/officeDocument/2006/relationships/hyperlink" Target="https://www.google.com/maps/search/?api=1&amp;query=Twin+Cities+Movement+Chiropractic+and+Rehabilitation+PLLC%2C+5844+Blaine+Ave%2C+Inver+Grove+Heights%2C+MN+55076" TargetMode="External"/><Relationship Id="rId482" Type="http://schemas.openxmlformats.org/officeDocument/2006/relationships/hyperlink" Target="https://npiregistry.cms.hhs.gov/provider-view/1710216858" TargetMode="External"/><Relationship Id="rId703" Type="http://schemas.openxmlformats.org/officeDocument/2006/relationships/hyperlink" Target="https://npiregistry.cms.hhs.gov/provider-view/1124841028" TargetMode="External"/><Relationship Id="rId910" Type="http://schemas.openxmlformats.org/officeDocument/2006/relationships/hyperlink" Target="https://www.google.com/maps/search/?api=1&amp;query=Allina+Health+Orthopedics%2C+255+Smith+Ave+N%2C+St.+Paul%2C+MN+55102" TargetMode="External"/><Relationship Id="rId1333" Type="http://schemas.openxmlformats.org/officeDocument/2006/relationships/hyperlink" Target="https://www.google.com/maps/search/?api=1&amp;query=Centrasota+Oral+Surgeons%2C+3950+Veterans+Dr%2C+St.+Cloud%2C+MN+56303" TargetMode="External"/><Relationship Id="rId1540" Type="http://schemas.openxmlformats.org/officeDocument/2006/relationships/hyperlink" Target="https://npiregistry.cms.hhs.gov/provider-view/1811814122" TargetMode="External"/><Relationship Id="rId1638" Type="http://schemas.openxmlformats.org/officeDocument/2006/relationships/hyperlink" Target="https://npiregistry.cms.hhs.gov/provider-view/1407708373" TargetMode="External"/><Relationship Id="rId135" Type="http://schemas.openxmlformats.org/officeDocument/2006/relationships/hyperlink" Target="https://www.google.com/maps/search/?api=1&amp;query=Watertown+Family+Chiropractic%2C+204+Lewis+Ave+S%2C+Watertown%2C+MN+55388" TargetMode="External"/><Relationship Id="rId342" Type="http://schemas.openxmlformats.org/officeDocument/2006/relationships/hyperlink" Target="https://npiregistry.cms.hhs.gov/provider-view/1144041294" TargetMode="External"/><Relationship Id="rId787" Type="http://schemas.openxmlformats.org/officeDocument/2006/relationships/hyperlink" Target="https://npiregistry.cms.hhs.gov/provider-view/1326638289" TargetMode="External"/><Relationship Id="rId994" Type="http://schemas.openxmlformats.org/officeDocument/2006/relationships/hyperlink" Target="https://www.google.com/maps/search/?api=1&amp;query=St.+Paul+Oral+Surgery%2C+2550+University+Ave+W%2C+St.+Paul%2C+MN+55114" TargetMode="External"/><Relationship Id="rId1400" Type="http://schemas.openxmlformats.org/officeDocument/2006/relationships/hyperlink" Target="https://npiregistry.cms.hhs.gov/provider-view/1891857959" TargetMode="External"/><Relationship Id="rId1845" Type="http://schemas.openxmlformats.org/officeDocument/2006/relationships/hyperlink" Target="https://www.google.com/maps/search/?api=1&amp;query=Madsen+Family+Chiropractic%2C+PLLC%2C+1317+Grove+Ave%2C+Montevideo%2C+MN+56265" TargetMode="External"/><Relationship Id="rId202" Type="http://schemas.openxmlformats.org/officeDocument/2006/relationships/hyperlink" Target="https://npiregistry.cms.hhs.gov/provider-view/1952414971" TargetMode="External"/><Relationship Id="rId647" Type="http://schemas.openxmlformats.org/officeDocument/2006/relationships/hyperlink" Target="https://npiregistry.cms.hhs.gov/provider-view/1073361283" TargetMode="External"/><Relationship Id="rId854" Type="http://schemas.openxmlformats.org/officeDocument/2006/relationships/hyperlink" Target="https://www.google.com/maps/search/?api=1&amp;query=Ohana+Chiropractic+and+Wellness%2C+PLLC%2C+4+Enterprise+Ave+NE%2C+Isanti%2C+MN+55040" TargetMode="External"/><Relationship Id="rId1277" Type="http://schemas.openxmlformats.org/officeDocument/2006/relationships/hyperlink" Target="https://www.google.com/maps/search/?api=1&amp;query=Ripple+Health+Clinic%2C+9000+Quantrelle+Ave+NE%2C+Otsego%2C+MN+55330" TargetMode="External"/><Relationship Id="rId1484" Type="http://schemas.openxmlformats.org/officeDocument/2006/relationships/hyperlink" Target="https://npiregistry.cms.hhs.gov/provider-view/1205526571" TargetMode="External"/><Relationship Id="rId1691" Type="http://schemas.openxmlformats.org/officeDocument/2006/relationships/hyperlink" Target="https://www.google.com/maps/search/?api=1&amp;query=Prairie+Rehabilitation+Services%2C+INC%2C+403+Colonial+Ave%2C+Lakefield%2C+MN+56150" TargetMode="External"/><Relationship Id="rId1705" Type="http://schemas.openxmlformats.org/officeDocument/2006/relationships/hyperlink" Target="https://www.google.com/maps/search/?api=1&amp;query=Mecca+Health+Epicenter%2C+LLC%2C+1761+Commerce+Dr%2C+North+Mankato%2C+MN+56003" TargetMode="External"/><Relationship Id="rId286" Type="http://schemas.openxmlformats.org/officeDocument/2006/relationships/hyperlink" Target="https://npiregistry.cms.hhs.gov/provider-view/1003683244" TargetMode="External"/><Relationship Id="rId493" Type="http://schemas.openxmlformats.org/officeDocument/2006/relationships/hyperlink" Target="https://www.google.com/maps/search/?api=1&amp;query=Nordic+Rehab+and+Chiropractic%2C+5250+W+74th+St%2C+Edina%2C+MN+55439" TargetMode="External"/><Relationship Id="rId507" Type="http://schemas.openxmlformats.org/officeDocument/2006/relationships/hyperlink" Target="https://www.google.com/maps/search/?api=1&amp;query=Premier+Spine+and+Pain+Clinics%2C+PLLC%2C+7450+S+France+Ave%2C+Edina%2C+MN+55435" TargetMode="External"/><Relationship Id="rId714" Type="http://schemas.openxmlformats.org/officeDocument/2006/relationships/hyperlink" Target="https://www.google.com/maps/search/?api=1&amp;query=Sundial+Chiropractic+PLLC.%2C+5757+Sanibel+Dr%2C+Minnetonka%2C+MN+55343" TargetMode="External"/><Relationship Id="rId921" Type="http://schemas.openxmlformats.org/officeDocument/2006/relationships/hyperlink" Target="https://npiregistry.cms.hhs.gov/provider-view/1124562616" TargetMode="External"/><Relationship Id="rId1137" Type="http://schemas.openxmlformats.org/officeDocument/2006/relationships/hyperlink" Target="https://www.google.com/maps/search/?api=1&amp;query=Weierke+Chiropractic+PA%2C+303+21st+St%2C+Newport%2C+MN+55055" TargetMode="External"/><Relationship Id="rId1344" Type="http://schemas.openxmlformats.org/officeDocument/2006/relationships/hyperlink" Target="https://npiregistry.cms.hhs.gov/provider-view/1427146737" TargetMode="External"/><Relationship Id="rId1551" Type="http://schemas.openxmlformats.org/officeDocument/2006/relationships/hyperlink" Target="https://www.google.com/maps/search/?api=1&amp;query=True+Wellness+Chiropractic+%26+Acupuncture+PC%2C+421+Front+St+S%2C+Barnesville%2C+MN+56514" TargetMode="External"/><Relationship Id="rId1789" Type="http://schemas.openxmlformats.org/officeDocument/2006/relationships/hyperlink" Target="https://www.google.com/maps/search/?api=1&amp;query=Rak+Chiropractic%2C+3411+22nd+Ave+NW%2C+Rochester%2C+MN+55901" TargetMode="External"/><Relationship Id="rId50" Type="http://schemas.openxmlformats.org/officeDocument/2006/relationships/hyperlink" Target="https://npiregistry.cms.hhs.gov/provider-view/1245809458" TargetMode="External"/><Relationship Id="rId146" Type="http://schemas.openxmlformats.org/officeDocument/2006/relationships/hyperlink" Target="https://npiregistry.cms.hhs.gov/provider-view/1386193613" TargetMode="External"/><Relationship Id="rId353" Type="http://schemas.openxmlformats.org/officeDocument/2006/relationships/hyperlink" Target="https://www.google.com/maps/search/?api=1&amp;query=Resonance+Chiropractic+and+Hoistic+Health+PLLC%2C+215+E+78th+St%2C+Bloomington%2C+MN+55420" TargetMode="External"/><Relationship Id="rId560" Type="http://schemas.openxmlformats.org/officeDocument/2006/relationships/hyperlink" Target="https://npiregistry.cms.hhs.gov/provider-view/1801167804" TargetMode="External"/><Relationship Id="rId798" Type="http://schemas.openxmlformats.org/officeDocument/2006/relationships/hyperlink" Target="https://www.google.com/maps/search/?api=1&amp;query=Kusin+II+LLC%2C+21897+S+Diamond+Lake+Rd%2C+Rogers%2C+MN+55374" TargetMode="External"/><Relationship Id="rId1190" Type="http://schemas.openxmlformats.org/officeDocument/2006/relationships/hyperlink" Target="https://npiregistry.cms.hhs.gov/provider-view/1629004692" TargetMode="External"/><Relationship Id="rId1204" Type="http://schemas.openxmlformats.org/officeDocument/2006/relationships/hyperlink" Target="https://npiregistry.cms.hhs.gov/provider-view/1538473152" TargetMode="External"/><Relationship Id="rId1411" Type="http://schemas.openxmlformats.org/officeDocument/2006/relationships/hyperlink" Target="https://www.google.com/maps/search/?api=1&amp;query=Oral+and+Maxillofacial+Surgery+Associates%2C+LTD%2C+1903+S+6th+St%2C+Brainerd%2C+MN+56401" TargetMode="External"/><Relationship Id="rId1649" Type="http://schemas.openxmlformats.org/officeDocument/2006/relationships/hyperlink" Target="https://www.google.com/maps/search/?api=1&amp;query=Kuch+Chiropractic%2C+1704+N+Riverfront+Dr%2C+Mankato%2C+MN+56001" TargetMode="External"/><Relationship Id="rId1856" Type="http://schemas.openxmlformats.org/officeDocument/2006/relationships/hyperlink" Target="https://npiregistry.cms.hhs.gov/provider-view/1083176101" TargetMode="External"/><Relationship Id="rId213" Type="http://schemas.openxmlformats.org/officeDocument/2006/relationships/hyperlink" Target="https://www.google.com/maps/search/?api=1&amp;query=Sunny+S.+Kim%2C+MD+PA%2C+1601+Highway+13+E%2C+Burnsville%2C+MN+55337" TargetMode="External"/><Relationship Id="rId420" Type="http://schemas.openxmlformats.org/officeDocument/2006/relationships/hyperlink" Target="https://npiregistry.cms.hhs.gov/provider-view/1841353992" TargetMode="External"/><Relationship Id="rId658" Type="http://schemas.openxmlformats.org/officeDocument/2006/relationships/hyperlink" Target="https://www.google.com/maps/search/?api=1&amp;query=Pointcare+Family+and+Behavioral+Health+INC.%2C+825+Nicollet+Mall%2C+Minneapolis%2C+MN+55402" TargetMode="External"/><Relationship Id="rId865" Type="http://schemas.openxmlformats.org/officeDocument/2006/relationships/hyperlink" Target="https://npiregistry.cms.hhs.gov/provider-view/1902311210" TargetMode="External"/><Relationship Id="rId1050" Type="http://schemas.openxmlformats.org/officeDocument/2006/relationships/hyperlink" Target="https://www.google.com/maps/search/?api=1&amp;query=Therapy+Partners%2C+Ins%2C+4800+White+Bear+Pkwy%2C+White+Bear+Lake%2C+MN+55110" TargetMode="External"/><Relationship Id="rId1288" Type="http://schemas.openxmlformats.org/officeDocument/2006/relationships/hyperlink" Target="https://npiregistry.cms.hhs.gov/provider-view/1417108531" TargetMode="External"/><Relationship Id="rId1495" Type="http://schemas.openxmlformats.org/officeDocument/2006/relationships/hyperlink" Target="https://www.google.com/maps/search/?api=1&amp;query=Therapy+Partners%2C+INC.%2C+66+E+Saint+Marie+St%2C+Duluth%2C+MN+55803" TargetMode="External"/><Relationship Id="rId1509" Type="http://schemas.openxmlformats.org/officeDocument/2006/relationships/hyperlink" Target="https://www.google.com/maps/search/?api=1&amp;query=True+North+Spinal+Care%2C+PLLC%2C+5094+Miller+Trunk+Hwy%2C+Hermantown%2C+MN+55811" TargetMode="External"/><Relationship Id="rId1716" Type="http://schemas.openxmlformats.org/officeDocument/2006/relationships/hyperlink" Target="https://npiregistry.cms.hhs.gov/provider-view/1306556030" TargetMode="External"/><Relationship Id="rId297" Type="http://schemas.openxmlformats.org/officeDocument/2006/relationships/hyperlink" Target="https://www.google.com/maps/search/?api=1&amp;query=New+Life+Chiropractic%2C+17595+Kenwood+Trl%2C+Lakeville%2C+MN+55044" TargetMode="External"/><Relationship Id="rId518" Type="http://schemas.openxmlformats.org/officeDocument/2006/relationships/hyperlink" Target="https://npiregistry.cms.hhs.gov/provider-view/1407809494" TargetMode="External"/><Relationship Id="rId725" Type="http://schemas.openxmlformats.org/officeDocument/2006/relationships/hyperlink" Target="https://npiregistry.cms.hhs.gov/provider-view/1518950815" TargetMode="External"/><Relationship Id="rId932" Type="http://schemas.openxmlformats.org/officeDocument/2006/relationships/hyperlink" Target="https://www.google.com/maps/search/?api=1&amp;query=Empower+Physical+Therapy%2C+1999+Pinehurst+Ave%2C+St.+Paul%2C+MN+55116" TargetMode="External"/><Relationship Id="rId1148" Type="http://schemas.openxmlformats.org/officeDocument/2006/relationships/hyperlink" Target="https://npiregistry.cms.hhs.gov/provider-view/1093315855" TargetMode="External"/><Relationship Id="rId1355" Type="http://schemas.openxmlformats.org/officeDocument/2006/relationships/hyperlink" Target="https://www.google.com/maps/search/?api=1&amp;query=Cardinal+Chiropractic%2C+92+N+Maddy+Street%2C+Mcgregor%2C+MN+55760" TargetMode="External"/><Relationship Id="rId1562" Type="http://schemas.openxmlformats.org/officeDocument/2006/relationships/hyperlink" Target="https://npiregistry.cms.hhs.gov/provider-view/1528303310" TargetMode="External"/><Relationship Id="rId157" Type="http://schemas.openxmlformats.org/officeDocument/2006/relationships/hyperlink" Target="https://www.google.com/maps/search/?api=1&amp;query=Lifeway+Chiropractic+and+Wellness+LLC%2C+7300+147th+St+W%2C+Apple+Valley%2C+MN+55124" TargetMode="External"/><Relationship Id="rId364" Type="http://schemas.openxmlformats.org/officeDocument/2006/relationships/hyperlink" Target="https://npiregistry.cms.hhs.gov/provider-view/1518273085" TargetMode="External"/><Relationship Id="rId1008" Type="http://schemas.openxmlformats.org/officeDocument/2006/relationships/hyperlink" Target="https://www.google.com/maps/search/?api=1&amp;query=Therapy+Partners%2C+INC.%2C+375+Selby+Ave%2C+St.+Paul%2C+MN+55102" TargetMode="External"/><Relationship Id="rId1215" Type="http://schemas.openxmlformats.org/officeDocument/2006/relationships/hyperlink" Target="https://www.google.com/maps/search/?api=1&amp;query=The+Oral+Surgery+Center%2C+748+Bielenberg+Drive%2C+Woodbury%2C+MN+55125" TargetMode="External"/><Relationship Id="rId1422" Type="http://schemas.openxmlformats.org/officeDocument/2006/relationships/hyperlink" Target="https://npiregistry.cms.hhs.gov/provider-view/1124649108" TargetMode="External"/><Relationship Id="rId1867" Type="http://schemas.openxmlformats.org/officeDocument/2006/relationships/hyperlink" Target="https://www.google.com/maps/search/?api=1&amp;query=Preferred+Health+of+Marshall%2C+PA%2C+303+Oconnell+St%2C+Marshall%2C+MN+56258" TargetMode="External"/><Relationship Id="rId61" Type="http://schemas.openxmlformats.org/officeDocument/2006/relationships/hyperlink" Target="https://www.google.com/maps/search/?api=1&amp;query=The+Dental+Specialists+-+Coon+Rapids+%2F+Riverdale%2C+3360+Northdale+Blvd.%2C+Coon+Rapids%2C+MN+55448" TargetMode="External"/><Relationship Id="rId571" Type="http://schemas.openxmlformats.org/officeDocument/2006/relationships/hyperlink" Target="https://www.google.com/maps/search/?api=1&amp;query=Restore+Chiropractic+LLC%2C+15507+Grove+Cir+N%2C+Maple+Grove%2C+MN+55369" TargetMode="External"/><Relationship Id="rId669" Type="http://schemas.openxmlformats.org/officeDocument/2006/relationships/hyperlink" Target="https://npiregistry.cms.hhs.gov/provider-view/1619609781" TargetMode="External"/><Relationship Id="rId876" Type="http://schemas.openxmlformats.org/officeDocument/2006/relationships/hyperlink" Target="https://www.google.com/maps/search/?api=1&amp;query=Twin+Cities+Pain+Clinic%2C+1725+Legacy+Pkwy+E%2C+Maplewood%2C+MN+55109" TargetMode="External"/><Relationship Id="rId1299" Type="http://schemas.openxmlformats.org/officeDocument/2006/relationships/hyperlink" Target="https://www.google.com/maps/search/?api=1&amp;query=Knafla+Chiropractic+Clinic%2C+LTD%2C+900+S+Rum+River+Dr%2C+Princeton%2C+MN+55371" TargetMode="External"/><Relationship Id="rId1727" Type="http://schemas.openxmlformats.org/officeDocument/2006/relationships/hyperlink" Target="https://www.google.com/maps/search/?api=1&amp;query=Bst+Albert+Lea%2C+LLC%2C+2440+Bridge+Ave%2C+Albert+Lea%2C+MN+56007" TargetMode="External"/><Relationship Id="rId19" Type="http://schemas.openxmlformats.org/officeDocument/2006/relationships/hyperlink" Target="https://www.google.com/maps/search/?api=1&amp;query=Metro+Dentalcare+Blaine+10%2C+261+County+Road+10+NE%2C+Blaine%2C+MN+55434" TargetMode="External"/><Relationship Id="rId224" Type="http://schemas.openxmlformats.org/officeDocument/2006/relationships/hyperlink" Target="https://npiregistry.cms.hhs.gov/provider-view/1447901996" TargetMode="External"/><Relationship Id="rId431" Type="http://schemas.openxmlformats.org/officeDocument/2006/relationships/hyperlink" Target="https://www.google.com/maps/search/?api=1&amp;query=Orthology%2C+11995+Singletree+Lane%2C+Eden+Prairie%2C+MN+55344" TargetMode="External"/><Relationship Id="rId529" Type="http://schemas.openxmlformats.org/officeDocument/2006/relationships/hyperlink" Target="https://www.google.com/maps/search/?api=1&amp;query=Mcsharry+Chiro+LLC%2C+373+George+St%2C+Excelsior%2C+MN+55331" TargetMode="External"/><Relationship Id="rId736" Type="http://schemas.openxmlformats.org/officeDocument/2006/relationships/hyperlink" Target="https://www.google.com/maps/search/?api=1&amp;query=Nielson+Family+Chiropractic+PLLC%2C+518+Central+Ave%2C+Osseo%2C+MN+55369" TargetMode="External"/><Relationship Id="rId1061" Type="http://schemas.openxmlformats.org/officeDocument/2006/relationships/hyperlink" Target="https://npiregistry.cms.hhs.gov/provider-view/1215086384" TargetMode="External"/><Relationship Id="rId1159" Type="http://schemas.openxmlformats.org/officeDocument/2006/relationships/hyperlink" Target="https://www.google.com/maps/search/?api=1&amp;query=Lifetime+Fat+Loss+Centers+of+Hugo+LLC%2C+1290+Frontage+Rd+W%2C+Stillwater%2C+MN+55082" TargetMode="External"/><Relationship Id="rId1366" Type="http://schemas.openxmlformats.org/officeDocument/2006/relationships/hyperlink" Target="https://npiregistry.cms.hhs.gov/provider-view/1831325620" TargetMode="External"/><Relationship Id="rId168" Type="http://schemas.openxmlformats.org/officeDocument/2006/relationships/hyperlink" Target="https://npiregistry.cms.hhs.gov/provider-view/1407809494" TargetMode="External"/><Relationship Id="rId943" Type="http://schemas.openxmlformats.org/officeDocument/2006/relationships/hyperlink" Target="https://npiregistry.cms.hhs.gov/provider-view/1124206677" TargetMode="External"/><Relationship Id="rId1019" Type="http://schemas.openxmlformats.org/officeDocument/2006/relationships/hyperlink" Target="https://npiregistry.cms.hhs.gov/provider-view/1366221491" TargetMode="External"/><Relationship Id="rId1573" Type="http://schemas.openxmlformats.org/officeDocument/2006/relationships/hyperlink" Target="https://www.google.com/maps/search/?api=1&amp;query=Bst+Alexandria+LLC%2C+6600+State+Highway+29+S%2C+Alexandria%2C+MN+56308" TargetMode="External"/><Relationship Id="rId1780" Type="http://schemas.openxmlformats.org/officeDocument/2006/relationships/hyperlink" Target="https://npiregistry.cms.hhs.gov/provider-view/1780066282" TargetMode="External"/><Relationship Id="rId1878" Type="http://schemas.openxmlformats.org/officeDocument/2006/relationships/hyperlink" Target="https://npiregistry.cms.hhs.gov/provider-view/1023737715" TargetMode="External"/><Relationship Id="rId72" Type="http://schemas.openxmlformats.org/officeDocument/2006/relationships/hyperlink" Target="https://npiregistry.cms.hhs.gov/provider-view/1073675047" TargetMode="External"/><Relationship Id="rId375" Type="http://schemas.openxmlformats.org/officeDocument/2006/relationships/hyperlink" Target="https://www.google.com/maps/search/?api=1&amp;query=Drift+North+Therapy+Co.+PLLC%2C+5320+95th+Ln+N%2C+Brooklyn+Park%2C+MN+55443" TargetMode="External"/><Relationship Id="rId582" Type="http://schemas.openxmlformats.org/officeDocument/2006/relationships/hyperlink" Target="https://npiregistry.cms.hhs.gov/provider-view/1407809494" TargetMode="External"/><Relationship Id="rId803" Type="http://schemas.openxmlformats.org/officeDocument/2006/relationships/hyperlink" Target="https://npiregistry.cms.hhs.gov/provider-view/1730030016" TargetMode="External"/><Relationship Id="rId1226" Type="http://schemas.openxmlformats.org/officeDocument/2006/relationships/hyperlink" Target="https://npiregistry.cms.hhs.gov/provider-view/1518272822" TargetMode="External"/><Relationship Id="rId1433" Type="http://schemas.openxmlformats.org/officeDocument/2006/relationships/hyperlink" Target="https://www.google.com/maps/search/?api=1&amp;query=Always+In+Motion+Chiropractic%2C+1235+S+Pokegama+Ave%2C+Grand+Rapids%2C+MN+55744" TargetMode="External"/><Relationship Id="rId1640" Type="http://schemas.openxmlformats.org/officeDocument/2006/relationships/hyperlink" Target="https://npiregistry.cms.hhs.gov/provider-view/1194648543" TargetMode="External"/><Relationship Id="rId1738" Type="http://schemas.openxmlformats.org/officeDocument/2006/relationships/hyperlink" Target="https://npiregistry.cms.hhs.gov/provider-view/1154206506" TargetMode="External"/><Relationship Id="rId3" Type="http://schemas.openxmlformats.org/officeDocument/2006/relationships/hyperlink" Target="https://www.google.com/maps/search/?api=1&amp;query=Moore+Therapies%2C+PLLC%2C+16817+Zion+St+NW%2C+Andover%2C+MN+55304" TargetMode="External"/><Relationship Id="rId235" Type="http://schemas.openxmlformats.org/officeDocument/2006/relationships/hyperlink" Target="https://www.google.com/maps/search/?api=1&amp;query=Genesis+Chiropractic+Health+Center%2C+4678+Slater+Rd%2C+Eagan%2C+MN+55122" TargetMode="External"/><Relationship Id="rId442" Type="http://schemas.openxmlformats.org/officeDocument/2006/relationships/hyperlink" Target="https://npiregistry.cms.hhs.gov/provider-view/1447190202" TargetMode="External"/><Relationship Id="rId887" Type="http://schemas.openxmlformats.org/officeDocument/2006/relationships/hyperlink" Target="https://npiregistry.cms.hhs.gov/provider-view/1083894711" TargetMode="External"/><Relationship Id="rId1072" Type="http://schemas.openxmlformats.org/officeDocument/2006/relationships/hyperlink" Target="https://www.google.com/maps/search/?api=1&amp;query=Mpower+PT%2C+13116+Zinran+Pl%2C+Savage%2C+MN+55378" TargetMode="External"/><Relationship Id="rId1500" Type="http://schemas.openxmlformats.org/officeDocument/2006/relationships/hyperlink" Target="https://npiregistry.cms.hhs.gov/provider-view/1407809494" TargetMode="External"/><Relationship Id="rId302" Type="http://schemas.openxmlformats.org/officeDocument/2006/relationships/hyperlink" Target="https://npiregistry.cms.hhs.gov/provider-view/1215197397" TargetMode="External"/><Relationship Id="rId747" Type="http://schemas.openxmlformats.org/officeDocument/2006/relationships/hyperlink" Target="https://npiregistry.cms.hhs.gov/provider-view/1508099656" TargetMode="External"/><Relationship Id="rId954" Type="http://schemas.openxmlformats.org/officeDocument/2006/relationships/hyperlink" Target="https://www.google.com/maps/search/?api=1&amp;query=Integrative+Orthopedic+Clinics%2C+PLLC%2C+2550+University+Ave+W%2C+St.+Paul%2C+MN+55114" TargetMode="External"/><Relationship Id="rId1377" Type="http://schemas.openxmlformats.org/officeDocument/2006/relationships/hyperlink" Target="https://www.google.com/maps/search/?api=1&amp;query=Origin+Physical+Therapy+and+Performance%2C+772+Mag+Seven+Ct+SW%2C+Bemidji%2C+MN+56601" TargetMode="External"/><Relationship Id="rId1584" Type="http://schemas.openxmlformats.org/officeDocument/2006/relationships/hyperlink" Target="https://npiregistry.cms.hhs.gov/provider-view/1972725729" TargetMode="External"/><Relationship Id="rId1791" Type="http://schemas.openxmlformats.org/officeDocument/2006/relationships/hyperlink" Target="https://www.google.com/maps/search/?api=1&amp;query=Respira%2C+1309+Salem+Rd+SW%2C+Rochester%2C+MN+55902" TargetMode="External"/><Relationship Id="rId1805" Type="http://schemas.openxmlformats.org/officeDocument/2006/relationships/hyperlink" Target="https://www.google.com/maps/search/?api=1&amp;query=Vital+Years+Physical+Therapy+%26+Rehabilitation%2C+3528+8th+St+NW%2C+Rochester%2C+MN+55901" TargetMode="External"/><Relationship Id="rId83" Type="http://schemas.openxmlformats.org/officeDocument/2006/relationships/hyperlink" Target="https://www.google.com/maps/search/?api=1&amp;query=Exceptional+Chiropractic+P+A%2C+16230+Aberdeen+St+NE%2C+Ham+Lake%2C+MN+55304" TargetMode="External"/><Relationship Id="rId179" Type="http://schemas.openxmlformats.org/officeDocument/2006/relationships/hyperlink" Target="https://www.google.com/maps/search/?api=1&amp;query=Heartlight+Chiropractic%2C+PA.%2C+2960+Judicial+Rd%2C+Burnsville%2C+MN+55337" TargetMode="External"/><Relationship Id="rId386" Type="http://schemas.openxmlformats.org/officeDocument/2006/relationships/hyperlink" Target="https://npiregistry.cms.hhs.gov/provider-view/1881795961" TargetMode="External"/><Relationship Id="rId593" Type="http://schemas.openxmlformats.org/officeDocument/2006/relationships/hyperlink" Target="https://www.google.com/maps/search/?api=1&amp;query=Northbound+Chiropractic+PLLC%2C+1532+Meadow+Ln%2C+Maple+Plain%2C+MN+55359" TargetMode="External"/><Relationship Id="rId607" Type="http://schemas.openxmlformats.org/officeDocument/2006/relationships/hyperlink" Target="https://www.google.com/maps/search/?api=1&amp;query=Atrium+Physical+Therapy%2C+5646+Interlachen+Cir%2C+Minneapolis%2C+MN+55436" TargetMode="External"/><Relationship Id="rId814" Type="http://schemas.openxmlformats.org/officeDocument/2006/relationships/hyperlink" Target="https://www.google.com/maps/search/?api=1&amp;query=Cities+Chiropractic+and+Acupuncture%2C+5806+W+36th+St%2C+St.+Louis+Park%2C+MN+55416" TargetMode="External"/><Relationship Id="rId1237" Type="http://schemas.openxmlformats.org/officeDocument/2006/relationships/hyperlink" Target="https://www.google.com/maps/search/?api=1&amp;query=Mobilize+Chiropractic+PLLC%2C+711+Morrison+Ave+S%2C+Annandale%2C+MN+55302" TargetMode="External"/><Relationship Id="rId1444" Type="http://schemas.openxmlformats.org/officeDocument/2006/relationships/hyperlink" Target="https://npiregistry.cms.hhs.gov/provider-view/1659205391" TargetMode="External"/><Relationship Id="rId1651" Type="http://schemas.openxmlformats.org/officeDocument/2006/relationships/hyperlink" Target="https://www.google.com/maps/search/?api=1&amp;query=Mankato+Clinic+LTD%2C+1230+E+Main+St%2C+Mankato%2C+MN+56001" TargetMode="External"/><Relationship Id="rId1889" Type="http://schemas.openxmlformats.org/officeDocument/2006/relationships/hyperlink" Target="https://www.google.com/maps/search/?api=1&amp;query=Prairie+Rehabilitation+Services%2C+INC%2C+106+N+Cedar+St%2C+Luverne%2C+MN+56156" TargetMode="External"/><Relationship Id="rId246" Type="http://schemas.openxmlformats.org/officeDocument/2006/relationships/hyperlink" Target="https://npiregistry.cms.hhs.gov/provider-view/1407809494" TargetMode="External"/><Relationship Id="rId453" Type="http://schemas.openxmlformats.org/officeDocument/2006/relationships/hyperlink" Target="https://www.google.com/maps/search/?api=1&amp;query=Allina+Health+Orthopedics%2C+8100+W+78th+St%2C+Edina%2C+MN+55439" TargetMode="External"/><Relationship Id="rId660" Type="http://schemas.openxmlformats.org/officeDocument/2006/relationships/hyperlink" Target="https://www.google.com/maps/search/?api=1&amp;query=Prescott+Therapies+LLC%2C+825+Nicollet+Mall%2C+Minneapolis%2C+MN+55402" TargetMode="External"/><Relationship Id="rId898" Type="http://schemas.openxmlformats.org/officeDocument/2006/relationships/hyperlink" Target="https://www.google.com/maps/search/?api=1&amp;query=Platinum+Health+Solutions%2C+2780+E+Snelling+Service+Drive%2C+Roseville%2C+MN+55113" TargetMode="External"/><Relationship Id="rId1083" Type="http://schemas.openxmlformats.org/officeDocument/2006/relationships/hyperlink" Target="https://www.google.com/maps/search/?api=1&amp;query=Summit+Orthopedics%2C+LTD%2C+4360+12th+Ave+E%2C+Shakopee%2C+MN+55379" TargetMode="External"/><Relationship Id="rId1290" Type="http://schemas.openxmlformats.org/officeDocument/2006/relationships/hyperlink" Target="https://npiregistry.cms.hhs.gov/provider-view/1417108531" TargetMode="External"/><Relationship Id="rId1304" Type="http://schemas.openxmlformats.org/officeDocument/2006/relationships/hyperlink" Target="https://npiregistry.cms.hhs.gov/provider-view/1457674780" TargetMode="External"/><Relationship Id="rId1511" Type="http://schemas.openxmlformats.org/officeDocument/2006/relationships/hyperlink" Target="https://www.google.com/maps/search/?api=1&amp;query=Northern+Oral+%26+Maxillofacial+Surgeons%2C+PA%2C+3899+Highway+73%2C+Hibbing%2C+MN+55746" TargetMode="External"/><Relationship Id="rId1749" Type="http://schemas.openxmlformats.org/officeDocument/2006/relationships/hyperlink" Target="https://www.google.com/maps/search/?api=1&amp;query=Healthsource+Chiropractic+of+New+Prague%2C+PA%2C+314+Main+St+E%2C+New+Prague%2C+MN+56071" TargetMode="External"/><Relationship Id="rId106" Type="http://schemas.openxmlformats.org/officeDocument/2006/relationships/hyperlink" Target="https://npiregistry.cms.hhs.gov/provider-view/1114885357" TargetMode="External"/><Relationship Id="rId313" Type="http://schemas.openxmlformats.org/officeDocument/2006/relationships/hyperlink" Target="https://www.google.com/maps/search/?api=1&amp;query=Lifestyle+Chiropractic+and+Wellness%2C+PA%2C+750+S+Plaza+Dr%2C+Mendota+Heights%2C+MN+55120" TargetMode="External"/><Relationship Id="rId758" Type="http://schemas.openxmlformats.org/officeDocument/2006/relationships/hyperlink" Target="https://www.google.com/maps/search/?api=1&amp;query=Midwest+Physical+Therapy+LLC%2C+14440+28th+Pl+N%2C+Plymouth%2C+MN+55447" TargetMode="External"/><Relationship Id="rId965" Type="http://schemas.openxmlformats.org/officeDocument/2006/relationships/hyperlink" Target="https://npiregistry.cms.hhs.gov/provider-view/1104850155" TargetMode="External"/><Relationship Id="rId1150" Type="http://schemas.openxmlformats.org/officeDocument/2006/relationships/hyperlink" Target="https://npiregistry.cms.hhs.gov/provider-view/1598243990" TargetMode="External"/><Relationship Id="rId1388" Type="http://schemas.openxmlformats.org/officeDocument/2006/relationships/hyperlink" Target="https://npiregistry.cms.hhs.gov/provider-view/1306144100" TargetMode="External"/><Relationship Id="rId1595" Type="http://schemas.openxmlformats.org/officeDocument/2006/relationships/hyperlink" Target="https://www.google.com/maps/search/?api=1&amp;query=Sunny+S.+Kim%2C+MD+PA%2C+6600+State+Highway+29+South%2C+Alexandria%2C+MN+56308" TargetMode="External"/><Relationship Id="rId1609" Type="http://schemas.openxmlformats.org/officeDocument/2006/relationships/hyperlink" Target="https://www.google.com/maps/search/?api=1&amp;query=Carlson+Chiropractic+Group%2C+PA%2C+301+E+Lincoln+Ave%2C+Fergus+Falls%2C+MN+56537" TargetMode="External"/><Relationship Id="rId1816" Type="http://schemas.openxmlformats.org/officeDocument/2006/relationships/hyperlink" Target="https://npiregistry.cms.hhs.gov/provider-view/1861771644" TargetMode="External"/><Relationship Id="rId10" Type="http://schemas.openxmlformats.org/officeDocument/2006/relationships/hyperlink" Target="https://npiregistry.cms.hhs.gov/provider-view/1821895756" TargetMode="External"/><Relationship Id="rId94" Type="http://schemas.openxmlformats.org/officeDocument/2006/relationships/hyperlink" Target="https://npiregistry.cms.hhs.gov/provider-view/1750142360" TargetMode="External"/><Relationship Id="rId397" Type="http://schemas.openxmlformats.org/officeDocument/2006/relationships/hyperlink" Target="https://www.google.com/maps/search/?api=1&amp;query=Novacare+Rehabilitation%2C+5700+Bottineau+Blvd%2C+Crystal%2C+MN+55429" TargetMode="External"/><Relationship Id="rId520" Type="http://schemas.openxmlformats.org/officeDocument/2006/relationships/hyperlink" Target="https://npiregistry.cms.hhs.gov/provider-view/1407809494" TargetMode="External"/><Relationship Id="rId618" Type="http://schemas.openxmlformats.org/officeDocument/2006/relationships/hyperlink" Target="https://npiregistry.cms.hhs.gov/provider-view/1801594619" TargetMode="External"/><Relationship Id="rId825" Type="http://schemas.openxmlformats.org/officeDocument/2006/relationships/hyperlink" Target="https://npiregistry.cms.hhs.gov/provider-view/1699901140" TargetMode="External"/><Relationship Id="rId1248" Type="http://schemas.openxmlformats.org/officeDocument/2006/relationships/hyperlink" Target="https://npiregistry.cms.hhs.gov/provider-view/1427828961" TargetMode="External"/><Relationship Id="rId1455" Type="http://schemas.openxmlformats.org/officeDocument/2006/relationships/hyperlink" Target="https://www.google.com/maps/search/?api=1&amp;query=Aspirus+St+Lukes+Clinic+Duluth+Interventional+Pain+Management%2C+1015+E+1st+St%2C+Duluth%2C+MN+55805" TargetMode="External"/><Relationship Id="rId1662" Type="http://schemas.openxmlformats.org/officeDocument/2006/relationships/hyperlink" Target="https://npiregistry.cms.hhs.gov/provider-view/1336830678" TargetMode="External"/><Relationship Id="rId257" Type="http://schemas.openxmlformats.org/officeDocument/2006/relationships/hyperlink" Target="https://www.google.com/maps/search/?api=1&amp;query=Power+Within+Chiropractic+PA%2C+925+Highway+55%2C+Hastings%2C+MN+55033" TargetMode="External"/><Relationship Id="rId464" Type="http://schemas.openxmlformats.org/officeDocument/2006/relationships/hyperlink" Target="https://npiregistry.cms.hhs.gov/provider-view/1659238806" TargetMode="External"/><Relationship Id="rId1010" Type="http://schemas.openxmlformats.org/officeDocument/2006/relationships/hyperlink" Target="https://www.google.com/maps/search/?api=1&amp;query=Therapy+Partners%2C+INC.%2C+333+Grand+Ave%2C+St.+Paul%2C+MN+55102" TargetMode="External"/><Relationship Id="rId1094" Type="http://schemas.openxmlformats.org/officeDocument/2006/relationships/hyperlink" Target="https://npiregistry.cms.hhs.gov/provider-view/1649043662" TargetMode="External"/><Relationship Id="rId1108" Type="http://schemas.openxmlformats.org/officeDocument/2006/relationships/hyperlink" Target="https://npiregistry.cms.hhs.gov/provider-view/1699294645" TargetMode="External"/><Relationship Id="rId1315" Type="http://schemas.openxmlformats.org/officeDocument/2006/relationships/hyperlink" Target="https://www.google.com/maps/search/?api=1&amp;query=Regional+Health+Center+of+Richmond%2C+INC.%2C+307+Ivy+Ave+SE%2C+Richmond%2C+MN+56368" TargetMode="External"/><Relationship Id="rId117" Type="http://schemas.openxmlformats.org/officeDocument/2006/relationships/hyperlink" Target="https://www.google.com/maps/search/?api=1&amp;query=Lake+Life+Chiropractic+LLC%2C+3650+N+Chestnut+St%2C+Chaska%2C+MN+55318" TargetMode="External"/><Relationship Id="rId671" Type="http://schemas.openxmlformats.org/officeDocument/2006/relationships/hyperlink" Target="https://npiregistry.cms.hhs.gov/provider-view/1619609781" TargetMode="External"/><Relationship Id="rId769" Type="http://schemas.openxmlformats.org/officeDocument/2006/relationships/hyperlink" Target="https://npiregistry.cms.hhs.gov/provider-view/1306668702" TargetMode="External"/><Relationship Id="rId976" Type="http://schemas.openxmlformats.org/officeDocument/2006/relationships/hyperlink" Target="https://www.google.com/maps/search/?api=1&amp;query=Pain+and+Joint+Care+PLLC%2C+1440+Arcade+St%2C+St.+Paul%2C+MN+55106" TargetMode="External"/><Relationship Id="rId1399" Type="http://schemas.openxmlformats.org/officeDocument/2006/relationships/hyperlink" Target="https://www.google.com/maps/search/?api=1&amp;query=Healthfirst+Chiropractic+INC%2C+2594+Tilden+Trl+SW%2C+Pine+River%2C+MN+56474" TargetMode="External"/><Relationship Id="rId324" Type="http://schemas.openxmlformats.org/officeDocument/2006/relationships/hyperlink" Target="https://npiregistry.cms.hhs.gov/provider-view/1366568206" TargetMode="External"/><Relationship Id="rId531" Type="http://schemas.openxmlformats.org/officeDocument/2006/relationships/hyperlink" Target="https://www.google.com/maps/search/?api=1&amp;query=Momentum+Health+%26+Wellness%2C+PLLC%2C+261+School+Ave%2C+Excelsior%2C+MN+55331" TargetMode="External"/><Relationship Id="rId629" Type="http://schemas.openxmlformats.org/officeDocument/2006/relationships/hyperlink" Target="https://www.google.com/maps/search/?api=1&amp;query=Hennepin+Healthcare+Dental+%26+Oral+Surgery%2C+715+S+8th+St%2C+Minneapolis%2C+MN+55404" TargetMode="External"/><Relationship Id="rId1161" Type="http://schemas.openxmlformats.org/officeDocument/2006/relationships/hyperlink" Target="https://www.google.com/maps/search/?api=1&amp;query=Northland+Chiropractic+Clinic%2C+LLC%2C+1940+Greeley+St+S%2C+Stillwater%2C+MN+55082" TargetMode="External"/><Relationship Id="rId1259" Type="http://schemas.openxmlformats.org/officeDocument/2006/relationships/hyperlink" Target="https://www.google.com/maps/search/?api=1&amp;query=Olson+Chiropractic+Clinic%2C+INC%2C+130+Lake+Boulevard+South%2C+Buffalo%2C+MN+55313" TargetMode="External"/><Relationship Id="rId1466" Type="http://schemas.openxmlformats.org/officeDocument/2006/relationships/hyperlink" Target="https://npiregistry.cms.hhs.gov/provider-view/1124044656" TargetMode="External"/><Relationship Id="rId836" Type="http://schemas.openxmlformats.org/officeDocument/2006/relationships/hyperlink" Target="https://www.google.com/maps/search/?api=1&amp;query=Lake+Minnetonka+Chiropractic+LLC%2C+3701+Shoreline+Dr%2C+Wayzata%2C+MN+55391" TargetMode="External"/><Relationship Id="rId1021" Type="http://schemas.openxmlformats.org/officeDocument/2006/relationships/hyperlink" Target="https://npiregistry.cms.hhs.gov/provider-view/1962447995" TargetMode="External"/><Relationship Id="rId1119" Type="http://schemas.openxmlformats.org/officeDocument/2006/relationships/hyperlink" Target="https://www.google.com/maps/search/?api=1&amp;query=Entira+Family+Clinics+-+Hugo%2C+14688+Everton+Ave+N%2C+Hugo%2C+MN+55038" TargetMode="External"/><Relationship Id="rId1673" Type="http://schemas.openxmlformats.org/officeDocument/2006/relationships/hyperlink" Target="https://www.google.com/maps/search/?api=1&amp;query=Sanford+Clinic%2C+2150+Hospital+Dr%2C+Windom%2C+MN+56101" TargetMode="External"/><Relationship Id="rId1880" Type="http://schemas.openxmlformats.org/officeDocument/2006/relationships/hyperlink" Target="https://npiregistry.cms.hhs.gov/provider-view/1245959105" TargetMode="External"/><Relationship Id="rId903" Type="http://schemas.openxmlformats.org/officeDocument/2006/relationships/hyperlink" Target="https://npiregistry.cms.hhs.gov/provider-view/1407325830" TargetMode="External"/><Relationship Id="rId1326" Type="http://schemas.openxmlformats.org/officeDocument/2006/relationships/hyperlink" Target="https://npiregistry.cms.hhs.gov/provider-view/1538165881" TargetMode="External"/><Relationship Id="rId1533" Type="http://schemas.openxmlformats.org/officeDocument/2006/relationships/hyperlink" Target="https://www.google.com/maps/search/?api=1&amp;query=Choice+Therapy+Crookston+LLC%2C+1728+N+Front+St%2C+Crookston%2C+MN+56716" TargetMode="External"/><Relationship Id="rId1740" Type="http://schemas.openxmlformats.org/officeDocument/2006/relationships/hyperlink" Target="https://npiregistry.cms.hhs.gov/provider-view/1407809494" TargetMode="External"/><Relationship Id="rId32" Type="http://schemas.openxmlformats.org/officeDocument/2006/relationships/hyperlink" Target="https://npiregistry.cms.hhs.gov/provider-view/1275351413" TargetMode="External"/><Relationship Id="rId1600" Type="http://schemas.openxmlformats.org/officeDocument/2006/relationships/hyperlink" Target="https://npiregistry.cms.hhs.gov/provider-view/1275268799" TargetMode="External"/><Relationship Id="rId1838" Type="http://schemas.openxmlformats.org/officeDocument/2006/relationships/hyperlink" Target="https://npiregistry.cms.hhs.gov/provider-view/1710248059" TargetMode="External"/><Relationship Id="rId181" Type="http://schemas.openxmlformats.org/officeDocument/2006/relationships/hyperlink" Target="https://www.google.com/maps/search/?api=1&amp;query=Heartlight+Chiropractic%2C+PA.%2C+13955+W+Preserve+Blvd%2C+Burnsville%2C+MN+55337" TargetMode="External"/><Relationship Id="rId1905" Type="http://schemas.openxmlformats.org/officeDocument/2006/relationships/table" Target="../tables/table1.xml"/><Relationship Id="rId279" Type="http://schemas.openxmlformats.org/officeDocument/2006/relationships/hyperlink" Target="https://www.google.com/maps/search/?api=1&amp;query=Advanced+Oral+Surgery+%26+Periodontics%2C+19925+Idealic+Ave%2C+Lakeville%2C+MN+55044" TargetMode="External"/><Relationship Id="rId486" Type="http://schemas.openxmlformats.org/officeDocument/2006/relationships/hyperlink" Target="https://npiregistry.cms.hhs.gov/provider-view/1811778533" TargetMode="External"/><Relationship Id="rId693" Type="http://schemas.openxmlformats.org/officeDocument/2006/relationships/hyperlink" Target="https://npiregistry.cms.hhs.gov/provider-view/1457448615" TargetMode="External"/><Relationship Id="rId139" Type="http://schemas.openxmlformats.org/officeDocument/2006/relationships/hyperlink" Target="https://www.google.com/maps/search/?api=1&amp;query=Revive+Chiropractic%2C+6272+Main+St%2C+North+Branch%2C+MN+55056" TargetMode="External"/><Relationship Id="rId346" Type="http://schemas.openxmlformats.org/officeDocument/2006/relationships/hyperlink" Target="https://npiregistry.cms.hhs.gov/provider-view/1093640906" TargetMode="External"/><Relationship Id="rId553" Type="http://schemas.openxmlformats.org/officeDocument/2006/relationships/hyperlink" Target="https://www.google.com/maps/search/?api=1&amp;query=Associated+Oral+%26+Maxillofacial+Surgeons%2C+12000+Elm+Creek+Blvd+N%2C+Maple+Grove%2C+MN+55369" TargetMode="External"/><Relationship Id="rId760" Type="http://schemas.openxmlformats.org/officeDocument/2006/relationships/hyperlink" Target="https://www.google.com/maps/search/?api=1&amp;query=Minnesota+Head+and+Neck+Pain+Clinic%2C+PA%2C+3475+Plymouth+Blvd%2C+Plymouth%2C+MN+55447" TargetMode="External"/><Relationship Id="rId998" Type="http://schemas.openxmlformats.org/officeDocument/2006/relationships/hyperlink" Target="https://www.google.com/maps/search/?api=1&amp;query=Summit+Orthopedics%2C+LTD%2C+1661+Saint+Anthony+Ave%2C+St.+Paul%2C+MN+55104" TargetMode="External"/><Relationship Id="rId1183" Type="http://schemas.openxmlformats.org/officeDocument/2006/relationships/hyperlink" Target="https://www.google.com/maps/search/?api=1&amp;query=Entira+Family+Clinics-Woodbury%2C+8325+City+Centre+Dr%2C+Woodbury%2C+MN+55125" TargetMode="External"/><Relationship Id="rId1390" Type="http://schemas.openxmlformats.org/officeDocument/2006/relationships/hyperlink" Target="https://npiregistry.cms.hhs.gov/provider-view/1558030098" TargetMode="External"/><Relationship Id="rId206" Type="http://schemas.openxmlformats.org/officeDocument/2006/relationships/hyperlink" Target="https://npiregistry.cms.hhs.gov/provider-view/1124919071" TargetMode="External"/><Relationship Id="rId413" Type="http://schemas.openxmlformats.org/officeDocument/2006/relationships/hyperlink" Target="https://www.google.com/maps/search/?api=1&amp;query=Ellis+Performance+%26+Injury+Center%2C+6640+Shady+Oak+Rd%2C+Eden+Prairie%2C+MN+55344" TargetMode="External"/><Relationship Id="rId858" Type="http://schemas.openxmlformats.org/officeDocument/2006/relationships/hyperlink" Target="https://www.google.com/maps/search/?api=1&amp;query=Sorenson+Chiropractic%2C+LLC%2C+3673+Lexington+Ave+N%2C+Arden+Hills%2C+MN+55126" TargetMode="External"/><Relationship Id="rId1043" Type="http://schemas.openxmlformats.org/officeDocument/2006/relationships/hyperlink" Target="https://npiregistry.cms.hhs.gov/provider-view/1548068968" TargetMode="External"/><Relationship Id="rId1488" Type="http://schemas.openxmlformats.org/officeDocument/2006/relationships/hyperlink" Target="https://npiregistry.cms.hhs.gov/provider-view/1417632308" TargetMode="External"/><Relationship Id="rId1695" Type="http://schemas.openxmlformats.org/officeDocument/2006/relationships/hyperlink" Target="https://www.google.com/maps/search/?api=1&amp;query=Journey+Chiropractic+PLC%2C+1125+Spruce+St%2C+Fairmont%2C+MN+56031" TargetMode="External"/><Relationship Id="rId620" Type="http://schemas.openxmlformats.org/officeDocument/2006/relationships/hyperlink" Target="https://npiregistry.cms.hhs.gov/provider-view/1275577215" TargetMode="External"/><Relationship Id="rId718" Type="http://schemas.openxmlformats.org/officeDocument/2006/relationships/hyperlink" Target="https://www.google.com/maps/search/?api=1&amp;query=Sunu+Wellness+Center%2C+12455+Ridgedale+Dr%2C+Minnetonka%2C+MN+55305" TargetMode="External"/><Relationship Id="rId925" Type="http://schemas.openxmlformats.org/officeDocument/2006/relationships/hyperlink" Target="https://npiregistry.cms.hhs.gov/provider-view/1437070596" TargetMode="External"/><Relationship Id="rId1250" Type="http://schemas.openxmlformats.org/officeDocument/2006/relationships/hyperlink" Target="https://npiregistry.cms.hhs.gov/provider-view/1871663831" TargetMode="External"/><Relationship Id="rId1348" Type="http://schemas.openxmlformats.org/officeDocument/2006/relationships/hyperlink" Target="https://npiregistry.cms.hhs.gov/provider-view/1437884905" TargetMode="External"/><Relationship Id="rId1555" Type="http://schemas.openxmlformats.org/officeDocument/2006/relationships/hyperlink" Target="https://www.google.com/maps/search/?api=1&amp;query=Forward+Physical+Therapy%2C+685+Appletree+Ln%2C+Moorhead%2C+MN+56560" TargetMode="External"/><Relationship Id="rId1762" Type="http://schemas.openxmlformats.org/officeDocument/2006/relationships/hyperlink" Target="https://npiregistry.cms.hhs.gov/provider-view/1780162552" TargetMode="External"/><Relationship Id="rId1110" Type="http://schemas.openxmlformats.org/officeDocument/2006/relationships/hyperlink" Target="https://npiregistry.cms.hhs.gov/provider-view/1699512806" TargetMode="External"/><Relationship Id="rId1208" Type="http://schemas.openxmlformats.org/officeDocument/2006/relationships/hyperlink" Target="https://npiregistry.cms.hhs.gov/provider-view/1386007417" TargetMode="External"/><Relationship Id="rId1415" Type="http://schemas.openxmlformats.org/officeDocument/2006/relationships/hyperlink" Target="https://www.google.com/maps/search/?api=1&amp;query=Garrison+Family+Chiropractic%2C+27180+Allen+Rd%2C+Garrison%2C+MN+56450" TargetMode="External"/><Relationship Id="rId54" Type="http://schemas.openxmlformats.org/officeDocument/2006/relationships/hyperlink" Target="https://npiregistry.cms.hhs.gov/provider-view/1982246013" TargetMode="External"/><Relationship Id="rId1622" Type="http://schemas.openxmlformats.org/officeDocument/2006/relationships/hyperlink" Target="https://npiregistry.cms.hhs.gov/provider-view/1841991262" TargetMode="External"/><Relationship Id="rId270" Type="http://schemas.openxmlformats.org/officeDocument/2006/relationships/hyperlink" Target="https://npiregistry.cms.hhs.gov/provider-view/1578375630" TargetMode="External"/><Relationship Id="rId130" Type="http://schemas.openxmlformats.org/officeDocument/2006/relationships/hyperlink" Target="https://npiregistry.cms.hhs.gov/provider-view/1770694812" TargetMode="External"/><Relationship Id="rId368" Type="http://schemas.openxmlformats.org/officeDocument/2006/relationships/hyperlink" Target="https://npiregistry.cms.hhs.gov/provider-view/1902327547" TargetMode="External"/><Relationship Id="rId575" Type="http://schemas.openxmlformats.org/officeDocument/2006/relationships/hyperlink" Target="https://www.google.com/maps/search/?api=1&amp;query=Summit+Orthopedics%2C+LTD%2C+9825+Hospital+Dr%2C+Maple+Grove%2C+MN+55369" TargetMode="External"/><Relationship Id="rId782" Type="http://schemas.openxmlformats.org/officeDocument/2006/relationships/hyperlink" Target="https://www.google.com/maps/search/?api=1&amp;query=Uptown+Healing+Clinic+LLC%2C+14440+28th+Pl+N%2C+Plymouth%2C+MN+55447" TargetMode="External"/><Relationship Id="rId228" Type="http://schemas.openxmlformats.org/officeDocument/2006/relationships/hyperlink" Target="https://npiregistry.cms.hhs.gov/provider-view/1295809366" TargetMode="External"/><Relationship Id="rId435" Type="http://schemas.openxmlformats.org/officeDocument/2006/relationships/hyperlink" Target="https://www.google.com/maps/search/?api=1&amp;query=Rayus+Radiology%2C+775+Prairie+Center+Dr%2C+Eden+Prairie%2C+MN+55344" TargetMode="External"/><Relationship Id="rId642" Type="http://schemas.openxmlformats.org/officeDocument/2006/relationships/hyperlink" Target="https://www.google.com/maps/search/?api=1&amp;query=Minnesota+Orthopedic+Performance+and+Prevention+LLC%2C+2721+E+Franklin+Ave%2C+Minneapolis%2C+MN+55406" TargetMode="External"/><Relationship Id="rId1065" Type="http://schemas.openxmlformats.org/officeDocument/2006/relationships/hyperlink" Target="https://npiregistry.cms.hhs.gov/provider-view/1013933381" TargetMode="External"/><Relationship Id="rId1272" Type="http://schemas.openxmlformats.org/officeDocument/2006/relationships/hyperlink" Target="https://npiregistry.cms.hhs.gov/provider-view/1891914412" TargetMode="External"/><Relationship Id="rId502" Type="http://schemas.openxmlformats.org/officeDocument/2006/relationships/hyperlink" Target="https://npiregistry.cms.hhs.gov/provider-view/1619049921" TargetMode="External"/><Relationship Id="rId947" Type="http://schemas.openxmlformats.org/officeDocument/2006/relationships/hyperlink" Target="https://npiregistry.cms.hhs.gov/provider-view/1952042053" TargetMode="External"/><Relationship Id="rId1132" Type="http://schemas.openxmlformats.org/officeDocument/2006/relationships/hyperlink" Target="https://npiregistry.cms.hhs.gov/provider-view/1972968337" TargetMode="External"/><Relationship Id="rId1577" Type="http://schemas.openxmlformats.org/officeDocument/2006/relationships/hyperlink" Target="https://www.google.com/maps/search/?api=1&amp;query=Heartland+Orthopedic+Specialists%2C+A+Service+of+Alomere+Health%2C+111+17th+Ave+E%2C+Alexandria%2C+MN+56308" TargetMode="External"/><Relationship Id="rId1784" Type="http://schemas.openxmlformats.org/officeDocument/2006/relationships/hyperlink" Target="https://npiregistry.cms.hhs.gov/provider-view/1306532429" TargetMode="External"/><Relationship Id="rId76" Type="http://schemas.openxmlformats.org/officeDocument/2006/relationships/hyperlink" Target="https://npiregistry.cms.hhs.gov/provider-view/1558610519" TargetMode="External"/><Relationship Id="rId807" Type="http://schemas.openxmlformats.org/officeDocument/2006/relationships/hyperlink" Target="https://npiregistry.cms.hhs.gov/provider-view/1457431827" TargetMode="External"/><Relationship Id="rId1437" Type="http://schemas.openxmlformats.org/officeDocument/2006/relationships/hyperlink" Target="https://www.google.com/maps/search/?api=1&amp;query=Flourish+Health+and+Wellness+LLC%2C+1833+W+US+Highway+2%2C+Grand+Rapids%2C+MN+55744" TargetMode="External"/><Relationship Id="rId1644" Type="http://schemas.openxmlformats.org/officeDocument/2006/relationships/hyperlink" Target="https://npiregistry.cms.hhs.gov/provider-view/1083474571" TargetMode="External"/><Relationship Id="rId1851" Type="http://schemas.openxmlformats.org/officeDocument/2006/relationships/hyperlink" Target="https://www.google.com/maps/search/?api=1&amp;query=Heartland+Orthopedic+Specialists%2C+A+Service+of+Alomere+Health%2C+2800+1st+St+S%2C+Willmar%2C+MN+56201" TargetMode="External"/><Relationship Id="rId1504" Type="http://schemas.openxmlformats.org/officeDocument/2006/relationships/hyperlink" Target="https://npiregistry.cms.hhs.gov/provider-view/1407809494" TargetMode="External"/><Relationship Id="rId1711" Type="http://schemas.openxmlformats.org/officeDocument/2006/relationships/hyperlink" Target="https://www.google.com/maps/search/?api=1&amp;query=Progressive+Chiropractic%2C+422+Railroad+Ave%2C+St.+James%2C+MN+56081" TargetMode="External"/><Relationship Id="rId292" Type="http://schemas.openxmlformats.org/officeDocument/2006/relationships/hyperlink" Target="https://npiregistry.cms.hhs.gov/provider-view/1639710957" TargetMode="External"/><Relationship Id="rId1809" Type="http://schemas.openxmlformats.org/officeDocument/2006/relationships/hyperlink" Target="https://www.google.com/maps/search/?api=1&amp;query=Courage+Kenny+Rehabilitation+Associates%2C+35+State+Ave%2C+Faribault%2C+MN+55021" TargetMode="External"/><Relationship Id="rId597" Type="http://schemas.openxmlformats.org/officeDocument/2006/relationships/hyperlink" Target="https://www.google.com/maps/search/?api=1&amp;query=All+Care+Health+and+Wellness+Center%2C+1010+Park+Ave%2C+Minneapolis%2C+MN+55404" TargetMode="External"/><Relationship Id="rId152" Type="http://schemas.openxmlformats.org/officeDocument/2006/relationships/hyperlink" Target="https://npiregistry.cms.hhs.gov/provider-view/1295809366" TargetMode="External"/><Relationship Id="rId457" Type="http://schemas.openxmlformats.org/officeDocument/2006/relationships/hyperlink" Target="https://www.google.com/maps/search/?api=1&amp;query=Bethany+Hansen%2C+LLC%2C+7250+Metro+Blvd%2C+Edina%2C+MN+55439" TargetMode="External"/><Relationship Id="rId1087" Type="http://schemas.openxmlformats.org/officeDocument/2006/relationships/hyperlink" Target="https://www.google.com/maps/search/?api=1&amp;query=Jag+Health+LLC%2C+13640+Olivia+Ct%2C+Becker%2C+MN+55308" TargetMode="External"/><Relationship Id="rId1294" Type="http://schemas.openxmlformats.org/officeDocument/2006/relationships/hyperlink" Target="https://npiregistry.cms.hhs.gov/provider-view/1740816941" TargetMode="External"/><Relationship Id="rId664" Type="http://schemas.openxmlformats.org/officeDocument/2006/relationships/hyperlink" Target="https://www.google.com/maps/search/?api=1&amp;query=Rebound+Chiropractic+%26+Rehab+LLC%2C+811+SE+9th+St.%2C+Minneapolis%2C+MN+55414" TargetMode="External"/><Relationship Id="rId871" Type="http://schemas.openxmlformats.org/officeDocument/2006/relationships/hyperlink" Target="https://npiregistry.cms.hhs.gov/provider-view/1356454391" TargetMode="External"/><Relationship Id="rId969" Type="http://schemas.openxmlformats.org/officeDocument/2006/relationships/hyperlink" Target="https://npiregistry.cms.hhs.gov/provider-view/1154715340" TargetMode="External"/><Relationship Id="rId1599" Type="http://schemas.openxmlformats.org/officeDocument/2006/relationships/hyperlink" Target="https://www.google.com/maps/search/?api=1&amp;query=True+Freedom+Physical+Therapy+LLC%2C+1103+Broadway+St%2C+Alexandria%2C+MN+56308" TargetMode="External"/><Relationship Id="rId317" Type="http://schemas.openxmlformats.org/officeDocument/2006/relationships/hyperlink" Target="https://www.google.com/maps/search/?api=1&amp;query=Therapy+Partners%2C+INC.%2C+1270+Northland+Dr%2C+Mendota+Heights%2C+MN+55120" TargetMode="External"/><Relationship Id="rId524" Type="http://schemas.openxmlformats.org/officeDocument/2006/relationships/hyperlink" Target="https://npiregistry.cms.hhs.gov/provider-view/1225201213" TargetMode="External"/><Relationship Id="rId731" Type="http://schemas.openxmlformats.org/officeDocument/2006/relationships/hyperlink" Target="https://npiregistry.cms.hhs.gov/provider-view/1407613375" TargetMode="External"/><Relationship Id="rId1154" Type="http://schemas.openxmlformats.org/officeDocument/2006/relationships/hyperlink" Target="https://npiregistry.cms.hhs.gov/provider-view/1720970759" TargetMode="External"/><Relationship Id="rId1361" Type="http://schemas.openxmlformats.org/officeDocument/2006/relationships/hyperlink" Target="https://www.google.com/maps/search/?api=1&amp;query=Therapy+Partners%2C+INC.%2C+1325+Pelican+Ln%2C+Detroit+Lakes%2C+MN+56501" TargetMode="External"/><Relationship Id="rId1459" Type="http://schemas.openxmlformats.org/officeDocument/2006/relationships/hyperlink" Target="https://www.google.com/maps/search/?api=1&amp;query=Aspirus+St.+Luke%27s+Clinic+Duluth+Neurology%2C+1015+E+1st+St%2C+Duluth%2C+MN+55805" TargetMode="External"/><Relationship Id="rId98" Type="http://schemas.openxmlformats.org/officeDocument/2006/relationships/hyperlink" Target="https://npiregistry.cms.hhs.gov/provider-view/1982890810" TargetMode="External"/><Relationship Id="rId829" Type="http://schemas.openxmlformats.org/officeDocument/2006/relationships/hyperlink" Target="https://npiregistry.cms.hhs.gov/provider-view/1467736231" TargetMode="External"/><Relationship Id="rId1014" Type="http://schemas.openxmlformats.org/officeDocument/2006/relationships/hyperlink" Target="https://www.google.com/maps/search/?api=1&amp;query=Twin+Cities+Headache+%26+Neck%2C+LTD.%2C+245+Ruth+St+N%2C+St.+Paul%2C+MN+55119" TargetMode="External"/><Relationship Id="rId1221" Type="http://schemas.openxmlformats.org/officeDocument/2006/relationships/hyperlink" Target="https://www.google.com/maps/search/?api=1&amp;query=True+North+Oral+Surgery+%26+Implants%2C+9950+Valley+Creek+Rd%2C+Woodbury%2C+MN+55125" TargetMode="External"/><Relationship Id="rId1666" Type="http://schemas.openxmlformats.org/officeDocument/2006/relationships/hyperlink" Target="https://npiregistry.cms.hhs.gov/provider-view/1386408979" TargetMode="External"/><Relationship Id="rId1873" Type="http://schemas.openxmlformats.org/officeDocument/2006/relationships/hyperlink" Target="https://www.google.com/maps/search/?api=1&amp;query=Functional+Health+and+Wellness%2C+906+3rd+Ave%2C+Worthington%2C+MN+56187" TargetMode="External"/><Relationship Id="rId1319" Type="http://schemas.openxmlformats.org/officeDocument/2006/relationships/hyperlink" Target="https://www.google.com/maps/search/?api=1&amp;query=Center+For+Pain+Management+Ambulatory+Surgery%2C+LTD%2C+804+23rd+Street+South%2C+Sartell%2C+MN+56308" TargetMode="External"/><Relationship Id="rId1526" Type="http://schemas.openxmlformats.org/officeDocument/2006/relationships/hyperlink" Target="https://npiregistry.cms.hhs.gov/provider-view/1174263743" TargetMode="External"/><Relationship Id="rId1733" Type="http://schemas.openxmlformats.org/officeDocument/2006/relationships/hyperlink" Target="https://www.google.com/maps/search/?api=1&amp;query=Synergy+Industrial+Rehab%2C+1499+Hay+Creek+Valley+Rd%2C+Red+Wing%2C+MN+55066" TargetMode="External"/><Relationship Id="rId25" Type="http://schemas.openxmlformats.org/officeDocument/2006/relationships/hyperlink" Target="https://www.google.com/maps/search/?api=1&amp;query=Open+Heart+Chiropractic+PA%2C+12265+Central+Ave+NE%2C+Blaine%2C+MN+55434" TargetMode="External"/><Relationship Id="rId1800" Type="http://schemas.openxmlformats.org/officeDocument/2006/relationships/hyperlink" Target="https://npiregistry.cms.hhs.gov/provider-view/1659492312" TargetMode="External"/><Relationship Id="rId174" Type="http://schemas.openxmlformats.org/officeDocument/2006/relationships/hyperlink" Target="https://npiregistry.cms.hhs.gov/provider-view/1417075532" TargetMode="External"/><Relationship Id="rId381" Type="http://schemas.openxmlformats.org/officeDocument/2006/relationships/hyperlink" Target="https://www.google.com/maps/search/?api=1&amp;query=Rooted+Wellness+Chiropractic%2C+PLLC%2C+8465+W+Broadway+Ave%2C+Brooklyn+Park%2C+MN+55445" TargetMode="External"/><Relationship Id="rId241" Type="http://schemas.openxmlformats.org/officeDocument/2006/relationships/hyperlink" Target="https://www.google.com/maps/search/?api=1&amp;query=Summit+Orthopedics%2C+LTD%2C+2620+Eagan+Woods+Dr%2C+Eagan%2C+MN+55121" TargetMode="External"/><Relationship Id="rId479" Type="http://schemas.openxmlformats.org/officeDocument/2006/relationships/hyperlink" Target="https://www.google.com/maps/search/?api=1&amp;query=Innerwell%2C+5201+Eden+Ave%2C+Edina%2C+MN+55436" TargetMode="External"/><Relationship Id="rId686" Type="http://schemas.openxmlformats.org/officeDocument/2006/relationships/hyperlink" Target="https://www.google.com/maps/search/?api=1&amp;query=Treadwell%2C+Dpt%2C+2500+Highway+88%2C+Minneapolis%2C+MN+55418" TargetMode="External"/><Relationship Id="rId893" Type="http://schemas.openxmlformats.org/officeDocument/2006/relationships/hyperlink" Target="https://npiregistry.cms.hhs.gov/provider-view/1932118056" TargetMode="External"/><Relationship Id="rId339" Type="http://schemas.openxmlformats.org/officeDocument/2006/relationships/hyperlink" Target="https://www.google.com/maps/search/?api=1&amp;query=Freitag+Family+Chiropractic%2C+140+W+98th+St%2C+Bloomington%2C+MN+55420" TargetMode="External"/><Relationship Id="rId546" Type="http://schemas.openxmlformats.org/officeDocument/2006/relationships/hyperlink" Target="https://npiregistry.cms.hhs.gov/provider-view/1679534812" TargetMode="External"/><Relationship Id="rId753" Type="http://schemas.openxmlformats.org/officeDocument/2006/relationships/hyperlink" Target="https://npiregistry.cms.hhs.gov/provider-view/1275370215" TargetMode="External"/><Relationship Id="rId1176" Type="http://schemas.openxmlformats.org/officeDocument/2006/relationships/hyperlink" Target="https://npiregistry.cms.hhs.gov/provider-view/1861066789" TargetMode="External"/><Relationship Id="rId1383" Type="http://schemas.openxmlformats.org/officeDocument/2006/relationships/hyperlink" Target="https://www.google.com/maps/search/?api=1&amp;query=Sanford+Bemidji+Main+Clinic+Outreach+For+Cook%2C+1233+34th+St+NW%2C+Bemidji%2C+MN+56601" TargetMode="External"/><Relationship Id="rId101" Type="http://schemas.openxmlformats.org/officeDocument/2006/relationships/hyperlink" Target="https://www.google.com/maps/search/?api=1&amp;query=Backed+Chiropractic%2C+1286+Park+Rd%2C+Chanhassen%2C+MN+55317" TargetMode="External"/><Relationship Id="rId406" Type="http://schemas.openxmlformats.org/officeDocument/2006/relationships/hyperlink" Target="https://npiregistry.cms.hhs.gov/provider-view/1306496278" TargetMode="External"/><Relationship Id="rId960" Type="http://schemas.openxmlformats.org/officeDocument/2006/relationships/hyperlink" Target="https://www.google.com/maps/search/?api=1&amp;query=Midway+Chiropractic+and+Health+Services+PA%2C+464+Hamline+Ave+S%2C+St.+Paul%2C+MN+55105" TargetMode="External"/><Relationship Id="rId1036" Type="http://schemas.openxmlformats.org/officeDocument/2006/relationships/hyperlink" Target="https://www.google.com/maps/search/?api=1&amp;query=Summit+Orthopedics%2C+LTD%2C+3580+Arcade+St%2C+Vadnais+Heights%2C+MN+55127" TargetMode="External"/><Relationship Id="rId1243" Type="http://schemas.openxmlformats.org/officeDocument/2006/relationships/hyperlink" Target="https://www.google.com/maps/search/?api=1&amp;query=Associated+Oral+%26+Maxillofacial+Surgeons%2C+215+Highway+55+E%2C+Buffalo%2C+MN+55313" TargetMode="External"/><Relationship Id="rId1590" Type="http://schemas.openxmlformats.org/officeDocument/2006/relationships/hyperlink" Target="https://npiregistry.cms.hhs.gov/provider-view/1255897765" TargetMode="External"/><Relationship Id="rId1688" Type="http://schemas.openxmlformats.org/officeDocument/2006/relationships/hyperlink" Target="https://npiregistry.cms.hhs.gov/provider-view/1699968057" TargetMode="External"/><Relationship Id="rId1895" Type="http://schemas.openxmlformats.org/officeDocument/2006/relationships/hyperlink" Target="https://www.google.com/maps/search/?api=1&amp;query=Henderson+Chiropractic%2C+220+13th+St+S%2C+Benson%2C+MN+56215" TargetMode="External"/><Relationship Id="rId613" Type="http://schemas.openxmlformats.org/officeDocument/2006/relationships/hyperlink" Target="https://www.google.com/maps/search/?api=1&amp;query=City+Chiropractic%2C+1931+University+Ave+NE%2C+Minneapolis%2C+MN+55418" TargetMode="External"/><Relationship Id="rId820" Type="http://schemas.openxmlformats.org/officeDocument/2006/relationships/hyperlink" Target="https://www.google.com/maps/search/?api=1&amp;query=HealthPartners+Dental+Clinic+St.+Louis+Park%2C+5500+Excelsior+Blvd%2C+St.+Louis+Park%2C+MN+55416" TargetMode="External"/><Relationship Id="rId918" Type="http://schemas.openxmlformats.org/officeDocument/2006/relationships/hyperlink" Target="https://www.google.com/maps/search/?api=1&amp;query=Berres+PT+and+Yoga+LLC%2C+165+Dunlap+St+N%2C+St.+Paul%2C+MN+55104" TargetMode="External"/><Relationship Id="rId1450" Type="http://schemas.openxmlformats.org/officeDocument/2006/relationships/hyperlink" Target="https://npiregistry.cms.hhs.gov/provider-view/1407809494" TargetMode="External"/><Relationship Id="rId1548" Type="http://schemas.openxmlformats.org/officeDocument/2006/relationships/hyperlink" Target="https://npiregistry.cms.hhs.gov/provider-view/1063113470" TargetMode="External"/><Relationship Id="rId1755" Type="http://schemas.openxmlformats.org/officeDocument/2006/relationships/hyperlink" Target="https://www.google.com/maps/search/?api=1&amp;query=Activept+Corp%2C+3265+19th+St+NW%2C+Rochester%2C+MN+55901" TargetMode="External"/><Relationship Id="rId1103" Type="http://schemas.openxmlformats.org/officeDocument/2006/relationships/hyperlink" Target="https://www.google.com/maps/search/?api=1&amp;query=Power+Within+Chiropractic+of+Elk+River%2C+630+Freeport+Ave+NW%2C+Elk+River%2C+MN+55330" TargetMode="External"/><Relationship Id="rId1310" Type="http://schemas.openxmlformats.org/officeDocument/2006/relationships/hyperlink" Target="https://npiregistry.cms.hhs.gov/provider-view/1790772259" TargetMode="External"/><Relationship Id="rId1408" Type="http://schemas.openxmlformats.org/officeDocument/2006/relationships/hyperlink" Target="https://npiregistry.cms.hhs.gov/provider-view/1578624839" TargetMode="External"/><Relationship Id="rId47" Type="http://schemas.openxmlformats.org/officeDocument/2006/relationships/hyperlink" Target="https://www.google.com/maps/search/?api=1&amp;query=Minnesota+Neurosurgical+Trauma+Associates%2C+PLLC%2C+11850+Blackfoot+St+NW%2C+Coon+Rapids%2C+MN+55433" TargetMode="External"/><Relationship Id="rId1615" Type="http://schemas.openxmlformats.org/officeDocument/2006/relationships/hyperlink" Target="https://www.google.com/maps/search/?api=1&amp;query=Lake+Region+Healthcare+Corporation%2C+301+E+Lincoln+Ave%2C+Fergus+Falls%2C+MN+56537" TargetMode="External"/><Relationship Id="rId1822" Type="http://schemas.openxmlformats.org/officeDocument/2006/relationships/hyperlink" Target="https://npiregistry.cms.hhs.gov/provider-view/1407809494" TargetMode="External"/><Relationship Id="rId196" Type="http://schemas.openxmlformats.org/officeDocument/2006/relationships/hyperlink" Target="https://npiregistry.cms.hhs.gov/provider-view/1255715181" TargetMode="External"/><Relationship Id="rId263" Type="http://schemas.openxmlformats.org/officeDocument/2006/relationships/hyperlink" Target="https://www.google.com/maps/search/?api=1&amp;query=Compcare+Occupational+Medicine+%26+Urgent+Care%2C+7635+Addisen+Path%2C+Inver+Grove+Heights%2C+MN+55077" TargetMode="External"/><Relationship Id="rId470" Type="http://schemas.openxmlformats.org/officeDocument/2006/relationships/hyperlink" Target="https://npiregistry.cms.hhs.gov/provider-view/1679415541" TargetMode="External"/><Relationship Id="rId123" Type="http://schemas.openxmlformats.org/officeDocument/2006/relationships/hyperlink" Target="https://www.google.com/maps/search/?api=1&amp;query=Sports+Performance+Chiropractic%2C+350+Highway+7%2C+Excelsior%2C+MN+55331" TargetMode="External"/><Relationship Id="rId330" Type="http://schemas.openxmlformats.org/officeDocument/2006/relationships/hyperlink" Target="https://npiregistry.cms.hhs.gov/provider-view/1164724332" TargetMode="External"/><Relationship Id="rId568" Type="http://schemas.openxmlformats.org/officeDocument/2006/relationships/hyperlink" Target="https://npiregistry.cms.hhs.gov/provider-view/1902917057" TargetMode="External"/><Relationship Id="rId775" Type="http://schemas.openxmlformats.org/officeDocument/2006/relationships/hyperlink" Target="https://npiregistry.cms.hhs.gov/provider-view/1952103905" TargetMode="External"/><Relationship Id="rId982" Type="http://schemas.openxmlformats.org/officeDocument/2006/relationships/hyperlink" Target="https://www.google.com/maps/search/?api=1&amp;query=Purity+Chiropractic+Clinic%2C+LLC%2C+1200+Galtier+St%2C+St.+Paul%2C+MN+55117" TargetMode="External"/><Relationship Id="rId1198" Type="http://schemas.openxmlformats.org/officeDocument/2006/relationships/hyperlink" Target="https://npiregistry.cms.hhs.gov/provider-view/1942174644" TargetMode="External"/><Relationship Id="rId428" Type="http://schemas.openxmlformats.org/officeDocument/2006/relationships/hyperlink" Target="https://npiregistry.cms.hhs.gov/provider-view/1144551383" TargetMode="External"/><Relationship Id="rId635" Type="http://schemas.openxmlformats.org/officeDocument/2006/relationships/hyperlink" Target="https://www.google.com/maps/search/?api=1&amp;query=Lyn+Lake+Chiropractic%2C+2937+Lyndale+Ave+S%2C+Minneapolis%2C+MN+55408" TargetMode="External"/><Relationship Id="rId842" Type="http://schemas.openxmlformats.org/officeDocument/2006/relationships/hyperlink" Target="https://www.google.com/maps/search/?api=1&amp;query=Restore+Family+Chiropractic+LLC%2C+3311+County+Road+101+S%2C+Wayzata%2C+MN+55391" TargetMode="External"/><Relationship Id="rId1058" Type="http://schemas.openxmlformats.org/officeDocument/2006/relationships/hyperlink" Target="https://www.google.com/maps/search/?api=1&amp;query=Domier+Chiropractic%2C+PLLC%2C+16180+Hastings+Ave+SE%2C+Prior+Lake%2C+MN+55372" TargetMode="External"/><Relationship Id="rId1265" Type="http://schemas.openxmlformats.org/officeDocument/2006/relationships/hyperlink" Target="https://www.google.com/maps/search/?api=1&amp;query=Freedom+Chiropractic+LLC%2C+10981+4th+St+NE%2C+Hanover%2C+MN+55341" TargetMode="External"/><Relationship Id="rId1472" Type="http://schemas.openxmlformats.org/officeDocument/2006/relationships/hyperlink" Target="https://npiregistry.cms.hhs.gov/provider-view/1457441800" TargetMode="External"/><Relationship Id="rId702" Type="http://schemas.openxmlformats.org/officeDocument/2006/relationships/hyperlink" Target="https://www.google.com/maps/search/?api=1&amp;query=Gameday+Sport+and+Spine%2C+11545+K-Tel+Drive%2C+Minnetonka%2C+MN+55343" TargetMode="External"/><Relationship Id="rId1125" Type="http://schemas.openxmlformats.org/officeDocument/2006/relationships/hyperlink" Target="https://www.google.com/maps/search/?api=1&amp;query=HealthPartners+TMD+Lake+Elmo%2C+8515+Eagle+Point+Blvd%2C+Lake+Elmo%2C+MN+55042" TargetMode="External"/><Relationship Id="rId1332" Type="http://schemas.openxmlformats.org/officeDocument/2006/relationships/hyperlink" Target="https://npiregistry.cms.hhs.gov/provider-view/1487754842" TargetMode="External"/><Relationship Id="rId1777" Type="http://schemas.openxmlformats.org/officeDocument/2006/relationships/hyperlink" Target="https://www.google.com/maps/search/?api=1&amp;query=Maxfield+Family+Chiropractic%2C+3456+E+Circle+Dr+NE%2C+Rochester%2C+MN+55906" TargetMode="External"/><Relationship Id="rId69" Type="http://schemas.openxmlformats.org/officeDocument/2006/relationships/hyperlink" Target="https://www.google.com/maps/search/?api=1&amp;query=Rooted+In+Wellness+Chiropractic+LLC%2C+20730+Hamlet+Ave+N%2C+Forest+Lake%2C+MN+55025" TargetMode="External"/><Relationship Id="rId1637" Type="http://schemas.openxmlformats.org/officeDocument/2006/relationships/hyperlink" Target="https://www.google.com/maps/search/?api=1&amp;query=Morris+Chiropractic+Clinic%2C+210+Atlantic+Ave%2C+Morris%2C+MN+56267" TargetMode="External"/><Relationship Id="rId1844" Type="http://schemas.openxmlformats.org/officeDocument/2006/relationships/hyperlink" Target="https://npiregistry.cms.hhs.gov/provider-view/1831132687" TargetMode="External"/><Relationship Id="rId1704" Type="http://schemas.openxmlformats.org/officeDocument/2006/relationships/hyperlink" Target="https://npiregistry.cms.hhs.gov/provider-view/1285986398" TargetMode="External"/><Relationship Id="rId285" Type="http://schemas.openxmlformats.org/officeDocument/2006/relationships/hyperlink" Target="https://www.google.com/maps/search/?api=1&amp;query=Allina+Health+Lakeville+Specialty+Center%2C+18465+Orchard+Trl%2C+Lakeville%2C+MN+55044" TargetMode="External"/><Relationship Id="rId492" Type="http://schemas.openxmlformats.org/officeDocument/2006/relationships/hyperlink" Target="https://npiregistry.cms.hhs.gov/provider-view/1538925292" TargetMode="External"/><Relationship Id="rId797" Type="http://schemas.openxmlformats.org/officeDocument/2006/relationships/hyperlink" Target="https://npiregistry.cms.hhs.gov/provider-view/1326289422" TargetMode="External"/><Relationship Id="rId145" Type="http://schemas.openxmlformats.org/officeDocument/2006/relationships/hyperlink" Target="https://www.google.com/maps/search/?api=1&amp;query=Fairview+Express+Care%2C+5200+Fairview+Blvd%2C+Wyoming%2C+MN+55092" TargetMode="External"/><Relationship Id="rId352" Type="http://schemas.openxmlformats.org/officeDocument/2006/relationships/hyperlink" Target="https://npiregistry.cms.hhs.gov/provider-view/1982744140" TargetMode="External"/><Relationship Id="rId1287" Type="http://schemas.openxmlformats.org/officeDocument/2006/relationships/hyperlink" Target="https://www.google.com/maps/search/?api=1&amp;query=Mille+Lacs+Chiropractic%2C+150+10th+St+NW%2C+Milaca%2C+MN+56353" TargetMode="External"/><Relationship Id="rId212" Type="http://schemas.openxmlformats.org/officeDocument/2006/relationships/hyperlink" Target="https://npiregistry.cms.hhs.gov/provider-view/1376403857" TargetMode="External"/><Relationship Id="rId657" Type="http://schemas.openxmlformats.org/officeDocument/2006/relationships/hyperlink" Target="https://npiregistry.cms.hhs.gov/provider-view/1063842243" TargetMode="External"/><Relationship Id="rId864" Type="http://schemas.openxmlformats.org/officeDocument/2006/relationships/hyperlink" Target="https://www.google.com/maps/search/?api=1&amp;query=Fairview+Express+Care%2C+1650+Beam+Ave%2C+Maplewood%2C+MN+55109" TargetMode="External"/><Relationship Id="rId1494" Type="http://schemas.openxmlformats.org/officeDocument/2006/relationships/hyperlink" Target="https://npiregistry.cms.hhs.gov/provider-view/1851234793" TargetMode="External"/><Relationship Id="rId1799" Type="http://schemas.openxmlformats.org/officeDocument/2006/relationships/hyperlink" Target="https://www.google.com/maps/search/?api=1&amp;query=Southeastern+Minnesota+Oral+%26+Maxillofacial+Surgery+Associates%2C+PLLC%2C+2519+Commerce+Dr+NW%2C+Rochester%2C+MN+55901" TargetMode="External"/><Relationship Id="rId517" Type="http://schemas.openxmlformats.org/officeDocument/2006/relationships/hyperlink" Target="https://www.google.com/maps/search/?api=1&amp;query=Therapy+Partners%2C+INC.%2C+6529+Cecilia+Cir%2C+Edina%2C+MN+55439" TargetMode="External"/><Relationship Id="rId724" Type="http://schemas.openxmlformats.org/officeDocument/2006/relationships/hyperlink" Target="https://www.google.com/maps/search/?api=1&amp;query=Therapeutic+Intervention+Programs%2C+INC.%2C+10721+Smetana+Rd%2C+Minnetonka%2C+MN+55343" TargetMode="External"/><Relationship Id="rId931" Type="http://schemas.openxmlformats.org/officeDocument/2006/relationships/hyperlink" Target="https://npiregistry.cms.hhs.gov/provider-view/1316852908" TargetMode="External"/><Relationship Id="rId1147" Type="http://schemas.openxmlformats.org/officeDocument/2006/relationships/hyperlink" Target="https://www.google.com/maps/search/?api=1&amp;query=Adjust+Today+Chiropractic%2C+321+Broadway+Ave%2C+St.+Paul+Park%2C+MN+55071" TargetMode="External"/><Relationship Id="rId1354" Type="http://schemas.openxmlformats.org/officeDocument/2006/relationships/hyperlink" Target="https://npiregistry.cms.hhs.gov/provider-view/1669127726" TargetMode="External"/><Relationship Id="rId1561" Type="http://schemas.openxmlformats.org/officeDocument/2006/relationships/hyperlink" Target="https://www.google.com/maps/search/?api=1&amp;query=Med-Plus+Physical+Therapy%2C+2901+S+Frontage+Rd%2C+Moorhead%2C+MN+56560" TargetMode="External"/><Relationship Id="rId60" Type="http://schemas.openxmlformats.org/officeDocument/2006/relationships/hyperlink" Target="https://npiregistry.cms.hhs.gov/provider-view/1770207193" TargetMode="External"/><Relationship Id="rId1007" Type="http://schemas.openxmlformats.org/officeDocument/2006/relationships/hyperlink" Target="https://npiregistry.cms.hhs.gov/provider-view/1407809494" TargetMode="External"/><Relationship Id="rId1214" Type="http://schemas.openxmlformats.org/officeDocument/2006/relationships/hyperlink" Target="https://npiregistry.cms.hhs.gov/provider-view/1407325830" TargetMode="External"/><Relationship Id="rId1421" Type="http://schemas.openxmlformats.org/officeDocument/2006/relationships/hyperlink" Target="https://www.google.com/maps/search/?api=1&amp;query=Fulfilled+Family+Chiropractic+PLLC%2C+21427+County+7%2C+Park+Rapids%2C+MN+56470" TargetMode="External"/><Relationship Id="rId1659" Type="http://schemas.openxmlformats.org/officeDocument/2006/relationships/hyperlink" Target="https://www.google.com/maps/search/?api=1&amp;query=Stenzel+Chiropractic+Clinic%2C+PLLC%2C+1704+N+Riverfront+Dr%2C+Mankato%2C+MN+56001" TargetMode="External"/><Relationship Id="rId1866" Type="http://schemas.openxmlformats.org/officeDocument/2006/relationships/hyperlink" Target="https://npiregistry.cms.hhs.gov/provider-view/1346624947" TargetMode="External"/><Relationship Id="rId1519" Type="http://schemas.openxmlformats.org/officeDocument/2006/relationships/hyperlink" Target="https://www.google.com/maps/search/?api=1&amp;query=Karlstad+Family+Chiropractic%2C+205+Roosevelt+Ave+W%2C+Karlstad%2C+MN+56732" TargetMode="External"/><Relationship Id="rId1726" Type="http://schemas.openxmlformats.org/officeDocument/2006/relationships/hyperlink" Target="https://npiregistry.cms.hhs.gov/provider-view/1538873591" TargetMode="External"/><Relationship Id="rId18" Type="http://schemas.openxmlformats.org/officeDocument/2006/relationships/hyperlink" Target="https://npiregistry.cms.hhs.gov/provider-view/1508347964" TargetMode="External"/><Relationship Id="rId167" Type="http://schemas.openxmlformats.org/officeDocument/2006/relationships/hyperlink" Target="https://www.google.com/maps/search/?api=1&amp;query=Therapy+Partners%2C+INC.%2C+15160+Foliage+Ave%2C+Apple+Valley%2C+MN+55124" TargetMode="External"/><Relationship Id="rId374" Type="http://schemas.openxmlformats.org/officeDocument/2006/relationships/hyperlink" Target="https://npiregistry.cms.hhs.gov/provider-view/1508099656" TargetMode="External"/><Relationship Id="rId581" Type="http://schemas.openxmlformats.org/officeDocument/2006/relationships/hyperlink" Target="https://www.google.com/maps/search/?api=1&amp;query=Therapy+Partners%2C+INC.%2C+9325+Upland+Ln+N%2C+Maple+Grove%2C+MN+55369" TargetMode="External"/><Relationship Id="rId234" Type="http://schemas.openxmlformats.org/officeDocument/2006/relationships/hyperlink" Target="https://npiregistry.cms.hhs.gov/provider-view/1487848719" TargetMode="External"/><Relationship Id="rId679" Type="http://schemas.openxmlformats.org/officeDocument/2006/relationships/hyperlink" Target="https://npiregistry.cms.hhs.gov/provider-view/1043839574" TargetMode="External"/><Relationship Id="rId886" Type="http://schemas.openxmlformats.org/officeDocument/2006/relationships/hyperlink" Target="https://www.google.com/maps/search/?api=1&amp;query=Entira+Family+Clinics-North+St.+Paul%2C+2601+Centennial+Dr%2C+North+St+Paul%2C+MN+55109" TargetMode="External"/><Relationship Id="rId2" Type="http://schemas.openxmlformats.org/officeDocument/2006/relationships/hyperlink" Target="https://npiregistry.cms.hhs.gov/provider-view/1366657280" TargetMode="External"/><Relationship Id="rId441" Type="http://schemas.openxmlformats.org/officeDocument/2006/relationships/hyperlink" Target="https://www.google.com/maps/search/?api=1&amp;query=Sturm+Physical+Therapy+%26+Lymphatic+Health+LLC%2C+8901+Aztec+Dr%2C+Eden+Prairie%2C+MN+55347" TargetMode="External"/><Relationship Id="rId539" Type="http://schemas.openxmlformats.org/officeDocument/2006/relationships/hyperlink" Target="https://www.google.com/maps/search/?api=1&amp;query=Zoya%27s+Orofacial+Pain+and+Dental+Sleep+Remedies+PLLC%2C+1405+Lilac+Lane+Drive+North%2C+Golden+Valley%2C+MN+55422" TargetMode="External"/><Relationship Id="rId746" Type="http://schemas.openxmlformats.org/officeDocument/2006/relationships/hyperlink" Target="https://www.google.com/maps/search/?api=1&amp;query=Allina+Health+Orthopedics%2C+2805+Campus+Dr%2C+Plymouth%2C+MN+55441" TargetMode="External"/><Relationship Id="rId1071" Type="http://schemas.openxmlformats.org/officeDocument/2006/relationships/hyperlink" Target="https://npiregistry.cms.hhs.gov/provider-view/1215086384" TargetMode="External"/><Relationship Id="rId1169" Type="http://schemas.openxmlformats.org/officeDocument/2006/relationships/hyperlink" Target="https://www.google.com/maps/search/?api=1&amp;query=Aroramd+LLC%2C+2042+Wooddale+Drive%2C+Woodbury%2C+MN+55125" TargetMode="External"/><Relationship Id="rId1376" Type="http://schemas.openxmlformats.org/officeDocument/2006/relationships/hyperlink" Target="https://npiregistry.cms.hhs.gov/provider-view/1063305274" TargetMode="External"/><Relationship Id="rId1583" Type="http://schemas.openxmlformats.org/officeDocument/2006/relationships/hyperlink" Target="https://www.google.com/maps/search/?api=1&amp;query=Life+Quest+Chiropractic+%26+Sports%2C+123+3rd+Ave+E%2C+Alexandria%2C+MN+56308" TargetMode="External"/><Relationship Id="rId301" Type="http://schemas.openxmlformats.org/officeDocument/2006/relationships/hyperlink" Target="https://www.google.com/maps/search/?api=1&amp;query=Rozmarin+Family+Chiropractic%2C+P.+A.%2C+18476+Kenrick+Ave%2C+Lakeville%2C+MN+55044" TargetMode="External"/><Relationship Id="rId953" Type="http://schemas.openxmlformats.org/officeDocument/2006/relationships/hyperlink" Target="https://npiregistry.cms.hhs.gov/provider-view/1710216858" TargetMode="External"/><Relationship Id="rId1029" Type="http://schemas.openxmlformats.org/officeDocument/2006/relationships/hyperlink" Target="https://npiregistry.cms.hhs.gov/provider-view/1528248259" TargetMode="External"/><Relationship Id="rId1236" Type="http://schemas.openxmlformats.org/officeDocument/2006/relationships/hyperlink" Target="https://npiregistry.cms.hhs.gov/provider-view/1891914412" TargetMode="External"/><Relationship Id="rId1790" Type="http://schemas.openxmlformats.org/officeDocument/2006/relationships/hyperlink" Target="https://npiregistry.cms.hhs.gov/provider-view/1912225624" TargetMode="External"/><Relationship Id="rId1888" Type="http://schemas.openxmlformats.org/officeDocument/2006/relationships/hyperlink" Target="https://npiregistry.cms.hhs.gov/provider-view/1184613226" TargetMode="External"/><Relationship Id="rId82" Type="http://schemas.openxmlformats.org/officeDocument/2006/relationships/hyperlink" Target="https://npiregistry.cms.hhs.gov/provider-view/1720874860" TargetMode="External"/><Relationship Id="rId606" Type="http://schemas.openxmlformats.org/officeDocument/2006/relationships/hyperlink" Target="https://npiregistry.cms.hhs.gov/provider-view/1831948199" TargetMode="External"/><Relationship Id="rId813" Type="http://schemas.openxmlformats.org/officeDocument/2006/relationships/hyperlink" Target="https://npiregistry.cms.hhs.gov/provider-view/1124108170" TargetMode="External"/><Relationship Id="rId1443" Type="http://schemas.openxmlformats.org/officeDocument/2006/relationships/hyperlink" Target="https://www.google.com/maps/search/?api=1&amp;query=Healing+Hands+Chiropractic+Ctr+LLC%2C+1007+NW+4th+St%2C+Grand+Rapids%2C+MN+55744" TargetMode="External"/><Relationship Id="rId1650" Type="http://schemas.openxmlformats.org/officeDocument/2006/relationships/hyperlink" Target="https://npiregistry.cms.hhs.gov/provider-view/1649902891" TargetMode="External"/><Relationship Id="rId1748" Type="http://schemas.openxmlformats.org/officeDocument/2006/relationships/hyperlink" Target="https://npiregistry.cms.hhs.gov/provider-view/1922889724" TargetMode="External"/><Relationship Id="rId1303" Type="http://schemas.openxmlformats.org/officeDocument/2006/relationships/hyperlink" Target="https://www.google.com/maps/search/?api=1&amp;query=Allison+Zak%2C+DC.%2C+LLC%2C+72+E+Broadway%2C+Little+Falls%2C+MN+56345" TargetMode="External"/><Relationship Id="rId1510" Type="http://schemas.openxmlformats.org/officeDocument/2006/relationships/hyperlink" Target="https://npiregistry.cms.hhs.gov/provider-view/1992193825" TargetMode="External"/><Relationship Id="rId1608" Type="http://schemas.openxmlformats.org/officeDocument/2006/relationships/hyperlink" Target="https://npiregistry.cms.hhs.gov/provider-view/1104636299" TargetMode="External"/><Relationship Id="rId1815" Type="http://schemas.openxmlformats.org/officeDocument/2006/relationships/hyperlink" Target="https://www.google.com/maps/search/?api=1&amp;query=Cannon+Pointe+Chiropractic%2C+150+Water+St+S%2C+Northfield%2C+MN+55057" TargetMode="External"/><Relationship Id="rId189" Type="http://schemas.openxmlformats.org/officeDocument/2006/relationships/hyperlink" Target="https://www.google.com/maps/search/?api=1&amp;query=Integrative+Orthopedic+Clinics%2C+PLLC%2C+14300+Buck+Hill+Rd%2C+Burnsville%2C+MN+55306" TargetMode="External"/><Relationship Id="rId396" Type="http://schemas.openxmlformats.org/officeDocument/2006/relationships/hyperlink" Target="https://npiregistry.cms.hhs.gov/provider-view/1891914412" TargetMode="External"/><Relationship Id="rId256" Type="http://schemas.openxmlformats.org/officeDocument/2006/relationships/hyperlink" Target="https://npiregistry.cms.hhs.gov/provider-view/1194453365" TargetMode="External"/><Relationship Id="rId463" Type="http://schemas.openxmlformats.org/officeDocument/2006/relationships/hyperlink" Target="https://www.google.com/maps/search/?api=1&amp;query=Clarity+Chiropractic+PLLC%2C+3209+W+76th+St%2C+Edina%2C+MN+55435" TargetMode="External"/><Relationship Id="rId670" Type="http://schemas.openxmlformats.org/officeDocument/2006/relationships/hyperlink" Target="https://www.google.com/maps/search/?api=1&amp;query=Revitalize+Health+%26+Wellness%2C+LLC%2C+6125+Upton+Ave+S%2C+Minneapolis%2C+MN+55410" TargetMode="External"/><Relationship Id="rId1093" Type="http://schemas.openxmlformats.org/officeDocument/2006/relationships/hyperlink" Target="https://www.google.com/maps/search/?api=1&amp;query=Associated+Oral+%26+Maxillofacial+Surgeons+%28Elk+River%29%2C+501+Main+St+NW%2C+Elk+River%2C+MN+55330" TargetMode="External"/><Relationship Id="rId116" Type="http://schemas.openxmlformats.org/officeDocument/2006/relationships/hyperlink" Target="https://npiregistry.cms.hhs.gov/provider-view/1912782749" TargetMode="External"/><Relationship Id="rId323" Type="http://schemas.openxmlformats.org/officeDocument/2006/relationships/hyperlink" Target="https://www.google.com/maps/search/?api=1&amp;query=Dakota+Valley+Oral+and+Maxillofacial+Surgery%2C+PLLC%2C+2130+Cliff+Rd%2C+St.+Paul%2C+MN+55122" TargetMode="External"/><Relationship Id="rId530" Type="http://schemas.openxmlformats.org/officeDocument/2006/relationships/hyperlink" Target="https://npiregistry.cms.hhs.gov/provider-view/1487505426" TargetMode="External"/><Relationship Id="rId768" Type="http://schemas.openxmlformats.org/officeDocument/2006/relationships/hyperlink" Target="https://www.google.com/maps/search/?api=1&amp;query=Novacare+Rehabilitation%2C+1465+County+Road+N%2C+Plymouth%2C+MN+55447" TargetMode="External"/><Relationship Id="rId975" Type="http://schemas.openxmlformats.org/officeDocument/2006/relationships/hyperlink" Target="https://npiregistry.cms.hhs.gov/provider-view/1215556998" TargetMode="External"/><Relationship Id="rId1160" Type="http://schemas.openxmlformats.org/officeDocument/2006/relationships/hyperlink" Target="https://npiregistry.cms.hhs.gov/provider-view/1043168313" TargetMode="External"/><Relationship Id="rId1398" Type="http://schemas.openxmlformats.org/officeDocument/2006/relationships/hyperlink" Target="https://npiregistry.cms.hhs.gov/provider-view/1407809494" TargetMode="External"/><Relationship Id="rId628" Type="http://schemas.openxmlformats.org/officeDocument/2006/relationships/hyperlink" Target="https://npiregistry.cms.hhs.gov/provider-view/1407469935" TargetMode="External"/><Relationship Id="rId835" Type="http://schemas.openxmlformats.org/officeDocument/2006/relationships/hyperlink" Target="https://npiregistry.cms.hhs.gov/provider-view/1194811299" TargetMode="External"/><Relationship Id="rId1258" Type="http://schemas.openxmlformats.org/officeDocument/2006/relationships/hyperlink" Target="https://npiregistry.cms.hhs.gov/provider-view/1679394357" TargetMode="External"/><Relationship Id="rId1465" Type="http://schemas.openxmlformats.org/officeDocument/2006/relationships/hyperlink" Target="https://www.google.com/maps/search/?api=1&amp;query=Big+Stone+Therapies%2C+INC%2C+724+Maple+Grove+Rd%2C+Duluth%2C+MN+55811" TargetMode="External"/><Relationship Id="rId1672" Type="http://schemas.openxmlformats.org/officeDocument/2006/relationships/hyperlink" Target="https://npiregistry.cms.hhs.gov/provider-view/1699968057" TargetMode="External"/><Relationship Id="rId1020" Type="http://schemas.openxmlformats.org/officeDocument/2006/relationships/hyperlink" Target="https://www.google.com/maps/search/?api=1&amp;query=United+Pain+Center%2C+255+Smith+Ave+N%2C+St.+Paul%2C+MN+55102" TargetMode="External"/><Relationship Id="rId1118" Type="http://schemas.openxmlformats.org/officeDocument/2006/relationships/hyperlink" Target="https://npiregistry.cms.hhs.gov/provider-view/1588094171" TargetMode="External"/><Relationship Id="rId1325" Type="http://schemas.openxmlformats.org/officeDocument/2006/relationships/hyperlink" Target="https://www.google.com/maps/search/?api=1&amp;query=Novacare+Rehabilitation%2C+2251+Connecticut+Ave+S%2C+Sartell%2C+MN+56377" TargetMode="External"/><Relationship Id="rId1532" Type="http://schemas.openxmlformats.org/officeDocument/2006/relationships/hyperlink" Target="https://npiregistry.cms.hhs.gov/provider-view/1275306102" TargetMode="External"/><Relationship Id="rId902" Type="http://schemas.openxmlformats.org/officeDocument/2006/relationships/hyperlink" Target="https://www.google.com/maps/search/?api=1&amp;query=The+Facial+Pain+Center%2C+1835+County+Road+C+W%2C+Roseville%2C+MN+55113" TargetMode="External"/><Relationship Id="rId1837" Type="http://schemas.openxmlformats.org/officeDocument/2006/relationships/hyperlink" Target="https://www.google.com/maps/search/?api=1&amp;query=Great+River+Chiropractic+PLLC%2C+1215+Gilmore+Ave%2C+Winona%2C+MN+55987" TargetMode="External"/><Relationship Id="rId31" Type="http://schemas.openxmlformats.org/officeDocument/2006/relationships/hyperlink" Target="https://www.google.com/maps/search/?api=1&amp;query=Allina+Health+Brain+and+Spine+Institute+-+Coon+Rapids%2C+11850+Blackfoot+St+NW%2C+Coon+Rapids%2C+MN+55433" TargetMode="External"/><Relationship Id="rId180" Type="http://schemas.openxmlformats.org/officeDocument/2006/relationships/hyperlink" Target="https://npiregistry.cms.hhs.gov/provider-view/1912184573" TargetMode="External"/><Relationship Id="rId278" Type="http://schemas.openxmlformats.org/officeDocument/2006/relationships/hyperlink" Target="https://npiregistry.cms.hhs.gov/provider-view/1194496471" TargetMode="External"/><Relationship Id="rId1904" Type="http://schemas.openxmlformats.org/officeDocument/2006/relationships/hyperlink" Target="https://npiregistry.cms.hhs.gov/provider-view/1144523929" TargetMode="External"/><Relationship Id="rId485" Type="http://schemas.openxmlformats.org/officeDocument/2006/relationships/hyperlink" Target="https://www.google.com/maps/search/?api=1&amp;query=Joint+Relief+Institute%2C+7201+Ohms+Ln%2C+Edina%2C+MN+55439" TargetMode="External"/><Relationship Id="rId692" Type="http://schemas.openxmlformats.org/officeDocument/2006/relationships/hyperlink" Target="https://www.google.com/maps/search/?api=1&amp;query=University+of+Minnesota+TMD%2C+Orofacial+Pain+%26+Dental+Sleep+Medicine+Clinic%2C+515+Delaware+St+SE%2C+Minneapolis%2C+MN+55455" TargetMode="External"/><Relationship Id="rId138" Type="http://schemas.openxmlformats.org/officeDocument/2006/relationships/hyperlink" Target="https://npiregistry.cms.hhs.gov/provider-view/1437943677" TargetMode="External"/><Relationship Id="rId345" Type="http://schemas.openxmlformats.org/officeDocument/2006/relationships/hyperlink" Target="https://www.google.com/maps/search/?api=1&amp;query=Jbc+Services+PLLC%2C+1700+Haeg+Dr%2C+Bloomington%2C+MN+55431" TargetMode="External"/><Relationship Id="rId552" Type="http://schemas.openxmlformats.org/officeDocument/2006/relationships/hyperlink" Target="https://npiregistry.cms.hhs.gov/provider-view/1689343600" TargetMode="External"/><Relationship Id="rId997" Type="http://schemas.openxmlformats.org/officeDocument/2006/relationships/hyperlink" Target="https://npiregistry.cms.hhs.gov/provider-view/1336762897" TargetMode="External"/><Relationship Id="rId1182" Type="http://schemas.openxmlformats.org/officeDocument/2006/relationships/hyperlink" Target="https://npiregistry.cms.hhs.gov/provider-view/1710867452" TargetMode="External"/><Relationship Id="rId205" Type="http://schemas.openxmlformats.org/officeDocument/2006/relationships/hyperlink" Target="https://www.google.com/maps/search/?api=1&amp;query=Resurgence+Chiropractic+Clinic+LLC%2C+1602+Cliff+Rd+E%2C+Burnsville%2C+MN+55337" TargetMode="External"/><Relationship Id="rId412" Type="http://schemas.openxmlformats.org/officeDocument/2006/relationships/hyperlink" Target="https://npiregistry.cms.hhs.gov/provider-view/1932856457" TargetMode="External"/><Relationship Id="rId857" Type="http://schemas.openxmlformats.org/officeDocument/2006/relationships/hyperlink" Target="https://npiregistry.cms.hhs.gov/provider-view/1538963590" TargetMode="External"/><Relationship Id="rId1042" Type="http://schemas.openxmlformats.org/officeDocument/2006/relationships/hyperlink" Target="https://www.google.com/maps/search/?api=1&amp;query=North+Star+Medical+PLLC%2C+1330+Highway+96+E%2C+White+Bear+Lake%2C+MN+55110" TargetMode="External"/><Relationship Id="rId1487" Type="http://schemas.openxmlformats.org/officeDocument/2006/relationships/hyperlink" Target="https://www.google.com/maps/search/?api=1&amp;query=Northern+Movement%2C+5726+Wyoming+St%2C+Duluth%2C+MN+55804" TargetMode="External"/><Relationship Id="rId1694" Type="http://schemas.openxmlformats.org/officeDocument/2006/relationships/hyperlink" Target="https://npiregistry.cms.hhs.gov/provider-view/1871915421" TargetMode="External"/><Relationship Id="rId717" Type="http://schemas.openxmlformats.org/officeDocument/2006/relationships/hyperlink" Target="https://npiregistry.cms.hhs.gov/provider-view/1891914412" TargetMode="External"/><Relationship Id="rId924" Type="http://schemas.openxmlformats.org/officeDocument/2006/relationships/hyperlink" Target="https://www.google.com/maps/search/?api=1&amp;query=Chiropractic+House+PLLC%2C+400+Selby+Ave%2C+St.+Paul%2C+MN+55102" TargetMode="External"/><Relationship Id="rId1347" Type="http://schemas.openxmlformats.org/officeDocument/2006/relationships/hyperlink" Target="https://www.google.com/maps/search/?api=1&amp;query=Wellness+Way+St+Cloud+LLC%2C+3400+1st+St+N%2C+St.+Cloud%2C+MN+56303" TargetMode="External"/><Relationship Id="rId1554" Type="http://schemas.openxmlformats.org/officeDocument/2006/relationships/hyperlink" Target="https://npiregistry.cms.hhs.gov/provider-view/1144381187" TargetMode="External"/><Relationship Id="rId1761" Type="http://schemas.openxmlformats.org/officeDocument/2006/relationships/hyperlink" Target="https://www.google.com/maps/search/?api=1&amp;query=Compcare+Occupational+Medicine+%26+Urgent+Care%2C+5507+Chateau+Rd+NW%2C+Rochester%2C+MN+55901" TargetMode="External"/><Relationship Id="rId53" Type="http://schemas.openxmlformats.org/officeDocument/2006/relationships/hyperlink" Target="https://www.google.com/maps/search/?api=1&amp;query=Novacare+Rehabilitation%2C+10091+Dogwood+St+NW%2C+Coon+Rapids%2C+MN+55448" TargetMode="External"/><Relationship Id="rId1207" Type="http://schemas.openxmlformats.org/officeDocument/2006/relationships/hyperlink" Target="https://www.google.com/maps/search/?api=1&amp;query=Summit+Orthopedics+LTD%2C+4123+Radio+Dr%2C+Woodbury%2C+MN+55129" TargetMode="External"/><Relationship Id="rId1414" Type="http://schemas.openxmlformats.org/officeDocument/2006/relationships/hyperlink" Target="https://npiregistry.cms.hhs.gov/provider-view/1952598534" TargetMode="External"/><Relationship Id="rId1621" Type="http://schemas.openxmlformats.org/officeDocument/2006/relationships/hyperlink" Target="https://www.google.com/maps/search/?api=1&amp;query=Soderholm+Oral+Surgery+and+Implants%2C+215+N+Tower+Rd%2C+Fergus+Falls%2C+MN+56537" TargetMode="External"/><Relationship Id="rId1859" Type="http://schemas.openxmlformats.org/officeDocument/2006/relationships/hyperlink" Target="https://www.google.com/maps/search/?api=1&amp;query=Avera+Therapy+Marshall%2C+1420+E+College+Dr%2C+Marshall%2C+MN+56258" TargetMode="External"/><Relationship Id="rId1719" Type="http://schemas.openxmlformats.org/officeDocument/2006/relationships/hyperlink" Target="https://www.google.com/maps/search/?api=1&amp;query=West+Concord+Chiropractic%2C+302+W+Main+St%2C+West+Concord%2C+MN+55985" TargetMode="External"/><Relationship Id="rId367" Type="http://schemas.openxmlformats.org/officeDocument/2006/relationships/hyperlink" Target="https://www.google.com/maps/search/?api=1&amp;query=Wellness+Centers%2C+PLLC%2C+11133+France+Ave+S%2C+Bloomington%2C+MN+55431" TargetMode="External"/><Relationship Id="rId574" Type="http://schemas.openxmlformats.org/officeDocument/2006/relationships/hyperlink" Target="https://npiregistry.cms.hhs.gov/provider-view/1952554495" TargetMode="External"/><Relationship Id="rId227" Type="http://schemas.openxmlformats.org/officeDocument/2006/relationships/hyperlink" Target="https://www.google.com/maps/search/?api=1&amp;query=Children%27s+Therapy+Center%2C+INC%2C+2795+Pilot+Knob+Rd%2C+Eagan%2C+MN+55121" TargetMode="External"/><Relationship Id="rId781" Type="http://schemas.openxmlformats.org/officeDocument/2006/relationships/hyperlink" Target="https://npiregistry.cms.hhs.gov/provider-view/1407809494" TargetMode="External"/><Relationship Id="rId879" Type="http://schemas.openxmlformats.org/officeDocument/2006/relationships/hyperlink" Target="https://npiregistry.cms.hhs.gov/provider-view/1194496471" TargetMode="External"/><Relationship Id="rId434" Type="http://schemas.openxmlformats.org/officeDocument/2006/relationships/hyperlink" Target="https://npiregistry.cms.hhs.gov/provider-view/1669527636" TargetMode="External"/><Relationship Id="rId641" Type="http://schemas.openxmlformats.org/officeDocument/2006/relationships/hyperlink" Target="https://npiregistry.cms.hhs.gov/provider-view/1851115125" TargetMode="External"/><Relationship Id="rId739" Type="http://schemas.openxmlformats.org/officeDocument/2006/relationships/hyperlink" Target="https://npiregistry.cms.hhs.gov/provider-view/1568679264" TargetMode="External"/><Relationship Id="rId1064" Type="http://schemas.openxmlformats.org/officeDocument/2006/relationships/hyperlink" Target="https://www.google.com/maps/search/?api=1&amp;query=Shakopee+Dakota+Clinic%2C+2330+Sioux+Trl+NW%2C+Prior+Lake%2C+MN+55372" TargetMode="External"/><Relationship Id="rId1271" Type="http://schemas.openxmlformats.org/officeDocument/2006/relationships/hyperlink" Target="https://www.google.com/maps/search/?api=1&amp;query=Sunnydays+Therapy+INC%2C+1344+E+7th+St%2C+Monticello%2C+MN+55362" TargetMode="External"/><Relationship Id="rId1369" Type="http://schemas.openxmlformats.org/officeDocument/2006/relationships/hyperlink" Target="https://www.google.com/maps/search/?api=1&amp;query=Horn+Health+PLLC%2C+2300+24th+St+NW%2C+Bemidji%2C+MN+56601" TargetMode="External"/><Relationship Id="rId1576" Type="http://schemas.openxmlformats.org/officeDocument/2006/relationships/hyperlink" Target="https://npiregistry.cms.hhs.gov/provider-view/1912329871" TargetMode="External"/><Relationship Id="rId501" Type="http://schemas.openxmlformats.org/officeDocument/2006/relationships/hyperlink" Target="https://www.google.com/maps/search/?api=1&amp;query=Oral+and+Maxillofacial+Surgical+Consultants+PA%2C+7373+France+Ave+S%2C+Edina%2C+MN+55435" TargetMode="External"/><Relationship Id="rId946" Type="http://schemas.openxmlformats.org/officeDocument/2006/relationships/hyperlink" Target="https://www.google.com/maps/search/?api=1&amp;query=HealthPartners+St.+Paul+%28Wabasha%29+Dental+Clinic%2C+205+Wabasha+St+S%2C+St.+Paul%2C+MN+55107" TargetMode="External"/><Relationship Id="rId1131" Type="http://schemas.openxmlformats.org/officeDocument/2006/relationships/hyperlink" Target="https://www.google.com/maps/search/?api=1&amp;query=Core+Chiropractic+%26+Health%2C+219+Wedgewood+Dr%2C+Mahtomedi%2C+MN+55115" TargetMode="External"/><Relationship Id="rId1229" Type="http://schemas.openxmlformats.org/officeDocument/2006/relationships/hyperlink" Target="https://www.google.com/maps/search/?api=1&amp;query=Woodbury+Spine+Wellness+Center%2C+8147+Globe+Dr%2C+Woodbury%2C+MN+55125" TargetMode="External"/><Relationship Id="rId1783" Type="http://schemas.openxmlformats.org/officeDocument/2006/relationships/hyperlink" Target="https://www.google.com/maps/search/?api=1&amp;query=Nevsimal+Chiropractic+LLC%2C+2150+2nd+St+SW%2C+Rochester%2C+MN+55902" TargetMode="External"/><Relationship Id="rId75" Type="http://schemas.openxmlformats.org/officeDocument/2006/relationships/hyperlink" Target="https://www.google.com/maps/search/?api=1&amp;query=Novacare+Rehabilitation%2C+480+Osborne+Road%2C+Fridley%2C+MN+55432" TargetMode="External"/><Relationship Id="rId806" Type="http://schemas.openxmlformats.org/officeDocument/2006/relationships/hyperlink" Target="https://www.google.com/maps/search/?api=1&amp;query=Aagesen+Chiropractic+Clinic+PA%2C+5050+W+36th+St%2C+St.+Louis+Park%2C+MN+55416" TargetMode="External"/><Relationship Id="rId1436" Type="http://schemas.openxmlformats.org/officeDocument/2006/relationships/hyperlink" Target="https://npiregistry.cms.hhs.gov/provider-view/1679668529" TargetMode="External"/><Relationship Id="rId1643" Type="http://schemas.openxmlformats.org/officeDocument/2006/relationships/hyperlink" Target="https://www.google.com/maps/search/?api=1&amp;query=Healthsource+of+Mankato%2C+1400+Madison+Ave%2C+Mankato%2C+MN+56001" TargetMode="External"/><Relationship Id="rId1850" Type="http://schemas.openxmlformats.org/officeDocument/2006/relationships/hyperlink" Target="https://npiregistry.cms.hhs.gov/provider-view/1720874100" TargetMode="External"/><Relationship Id="rId1503" Type="http://schemas.openxmlformats.org/officeDocument/2006/relationships/hyperlink" Target="https://www.google.com/maps/search/?api=1&amp;query=Therapy+Partners%2C+INC.%2C+227+Mckinley+Ave%2C+Eveleth%2C+MN+55734" TargetMode="External"/><Relationship Id="rId1710" Type="http://schemas.openxmlformats.org/officeDocument/2006/relationships/hyperlink" Target="https://npiregistry.cms.hhs.gov/provider-view/1669769121" TargetMode="External"/><Relationship Id="rId291" Type="http://schemas.openxmlformats.org/officeDocument/2006/relationships/hyperlink" Target="https://www.google.com/maps/search/?api=1&amp;query=Lakeville+Integrated+Health+Clinic+INC.%2C+16283+Ipava+Ave%2C+Lakeville%2C+MN+55044" TargetMode="External"/><Relationship Id="rId1808" Type="http://schemas.openxmlformats.org/officeDocument/2006/relationships/hyperlink" Target="https://npiregistry.cms.hhs.gov/provider-view/1972006807" TargetMode="External"/><Relationship Id="rId151" Type="http://schemas.openxmlformats.org/officeDocument/2006/relationships/hyperlink" Target="https://www.google.com/maps/search/?api=1&amp;query=Children%27s+Therapy+Center%2C+INC%2C+14635+Pennock+Ave%2C+Apple+Valley%2C+MN+55124" TargetMode="External"/><Relationship Id="rId389" Type="http://schemas.openxmlformats.org/officeDocument/2006/relationships/hyperlink" Target="https://www.google.com/maps/search/?api=1&amp;query=Team+Care+Clinic%2C+12217+Champlin+Dr%2C+Champlin%2C+MN+55316" TargetMode="External"/><Relationship Id="rId596" Type="http://schemas.openxmlformats.org/officeDocument/2006/relationships/hyperlink" Target="https://npiregistry.cms.hhs.gov/provider-view/1891055851" TargetMode="External"/><Relationship Id="rId249" Type="http://schemas.openxmlformats.org/officeDocument/2006/relationships/hyperlink" Target="https://www.google.com/maps/search/?api=1&amp;query=The+Next+Level+Physio%2C+LLC%2C+21210+Eaton+Ave%2C+Farmington%2C+MN+55024" TargetMode="External"/><Relationship Id="rId456" Type="http://schemas.openxmlformats.org/officeDocument/2006/relationships/hyperlink" Target="https://npiregistry.cms.hhs.gov/provider-view/1952105694" TargetMode="External"/><Relationship Id="rId663" Type="http://schemas.openxmlformats.org/officeDocument/2006/relationships/hyperlink" Target="https://npiregistry.cms.hhs.gov/provider-view/1073855953" TargetMode="External"/><Relationship Id="rId870" Type="http://schemas.openxmlformats.org/officeDocument/2006/relationships/hyperlink" Target="https://www.google.com/maps/search/?api=1&amp;query=Pdr+Maplewood%2C+INC%2C+2520+White+Bear+Ave+N%2C+Maplewood%2C+MN+55109" TargetMode="External"/><Relationship Id="rId1086" Type="http://schemas.openxmlformats.org/officeDocument/2006/relationships/hyperlink" Target="https://npiregistry.cms.hhs.gov/provider-view/1043839574" TargetMode="External"/><Relationship Id="rId1293" Type="http://schemas.openxmlformats.org/officeDocument/2006/relationships/hyperlink" Target="https://www.google.com/maps/search/?api=1&amp;query=St+Raphaels+Chiropractic+Care+Center+PLLC%2C+120+Central+Ave+N%2C+Milaca%2C+MN+56353" TargetMode="External"/><Relationship Id="rId109" Type="http://schemas.openxmlformats.org/officeDocument/2006/relationships/hyperlink" Target="https://www.google.com/maps/search/?api=1&amp;query=Ahc+Medical%2C+PC%2C+1476+White+Oak+Dr%2C+Chaska%2C+MN+55318" TargetMode="External"/><Relationship Id="rId316" Type="http://schemas.openxmlformats.org/officeDocument/2006/relationships/hyperlink" Target="https://npiregistry.cms.hhs.gov/provider-view/1487064507" TargetMode="External"/><Relationship Id="rId523" Type="http://schemas.openxmlformats.org/officeDocument/2006/relationships/hyperlink" Target="https://www.google.com/maps/search/?api=1&amp;query=Twin+Cities+TMJ+%26+Facial+Pain+Clinic%2C+4956+Lincoln+Dr%2C+Edina%2C+MN+55436" TargetMode="External"/><Relationship Id="rId968" Type="http://schemas.openxmlformats.org/officeDocument/2006/relationships/hyperlink" Target="https://www.google.com/maps/search/?api=1&amp;query=MN+Chiropractic+%26+Acupuncture%2C+PA%2C+970+Raymond+Ave%2C+St.+Paul%2C+MN+55114" TargetMode="External"/><Relationship Id="rId1153" Type="http://schemas.openxmlformats.org/officeDocument/2006/relationships/hyperlink" Target="https://www.google.com/maps/search/?api=1&amp;query=Enhance+PT+LLC%2C+1826+Northwestern+Ave+S%2C+Stillwater%2C+MN+55082" TargetMode="External"/><Relationship Id="rId1598" Type="http://schemas.openxmlformats.org/officeDocument/2006/relationships/hyperlink" Target="https://npiregistry.cms.hhs.gov/provider-view/1497499768" TargetMode="External"/><Relationship Id="rId97" Type="http://schemas.openxmlformats.org/officeDocument/2006/relationships/hyperlink" Target="https://www.google.com/maps/search/?api=1&amp;query=Opp+Family+Chiropractic+PA.%2C+23168+Saint+Francis+Blvd+NW%2C+St.+Francis%2C+MN+55070" TargetMode="External"/><Relationship Id="rId730" Type="http://schemas.openxmlformats.org/officeDocument/2006/relationships/hyperlink" Target="https://www.google.com/maps/search/?api=1&amp;query=Wise+Decision+Wisdom+Teeth+Specialists%2C+10653+Wayzata+Blvd%2C+Minnetonka%2C+MN+55305" TargetMode="External"/><Relationship Id="rId828" Type="http://schemas.openxmlformats.org/officeDocument/2006/relationships/hyperlink" Target="https://www.google.com/maps/search/?api=1&amp;query=Premier+Health+of+St.+Louis+Park%2C+5050+W+36th+St%2C+St.+Louis+Park%2C+MN+55416" TargetMode="External"/><Relationship Id="rId1013" Type="http://schemas.openxmlformats.org/officeDocument/2006/relationships/hyperlink" Target="https://npiregistry.cms.hhs.gov/provider-view/1659849735" TargetMode="External"/><Relationship Id="rId1360" Type="http://schemas.openxmlformats.org/officeDocument/2006/relationships/hyperlink" Target="https://npiregistry.cms.hhs.gov/provider-view/1831118918" TargetMode="External"/><Relationship Id="rId1458" Type="http://schemas.openxmlformats.org/officeDocument/2006/relationships/hyperlink" Target="https://npiregistry.cms.hhs.gov/provider-view/1497904064" TargetMode="External"/><Relationship Id="rId1665" Type="http://schemas.openxmlformats.org/officeDocument/2006/relationships/hyperlink" Target="https://www.google.com/maps/search/?api=1&amp;query=Legacy+Chiropractic%2C+511+16th+South+St%2C+New+Ulm%2C+MN+56073" TargetMode="External"/><Relationship Id="rId1872" Type="http://schemas.openxmlformats.org/officeDocument/2006/relationships/hyperlink" Target="https://npiregistry.cms.hhs.gov/provider-view/1699968057" TargetMode="External"/><Relationship Id="rId1220" Type="http://schemas.openxmlformats.org/officeDocument/2006/relationships/hyperlink" Target="https://npiregistry.cms.hhs.gov/provider-view/1407809494" TargetMode="External"/><Relationship Id="rId1318" Type="http://schemas.openxmlformats.org/officeDocument/2006/relationships/hyperlink" Target="https://npiregistry.cms.hhs.gov/provider-view/1447235031" TargetMode="External"/><Relationship Id="rId1525" Type="http://schemas.openxmlformats.org/officeDocument/2006/relationships/hyperlink" Target="https://www.google.com/maps/search/?api=1&amp;query=North+Born+Physical+Therapy+PC%2C+218+Horace+Ave.+North%2C+Thief+River+Falls%2C+MN+56701" TargetMode="External"/><Relationship Id="rId1732" Type="http://schemas.openxmlformats.org/officeDocument/2006/relationships/hyperlink" Target="https://npiregistry.cms.hhs.gov/provider-view/1134351901" TargetMode="External"/><Relationship Id="rId24" Type="http://schemas.openxmlformats.org/officeDocument/2006/relationships/hyperlink" Target="https://npiregistry.cms.hhs.gov/provider-view/1467563510" TargetMode="External"/><Relationship Id="rId173" Type="http://schemas.openxmlformats.org/officeDocument/2006/relationships/hyperlink" Target="https://www.google.com/maps/search/?api=1&amp;query=Bloom+Chiropractic+Center+PA%2C+1606+Cliff+Rd+E%2C+Burnsville%2C+MN+55337" TargetMode="External"/><Relationship Id="rId380" Type="http://schemas.openxmlformats.org/officeDocument/2006/relationships/hyperlink" Target="https://npiregistry.cms.hhs.gov/provider-view/1285154542" TargetMode="External"/><Relationship Id="rId240" Type="http://schemas.openxmlformats.org/officeDocument/2006/relationships/hyperlink" Target="https://npiregistry.cms.hhs.gov/provider-view/1689150120" TargetMode="External"/><Relationship Id="rId478" Type="http://schemas.openxmlformats.org/officeDocument/2006/relationships/hyperlink" Target="https://npiregistry.cms.hhs.gov/provider-view/1588915722" TargetMode="External"/><Relationship Id="rId685" Type="http://schemas.openxmlformats.org/officeDocument/2006/relationships/hyperlink" Target="https://npiregistry.cms.hhs.gov/provider-view/1407809494" TargetMode="External"/><Relationship Id="rId892" Type="http://schemas.openxmlformats.org/officeDocument/2006/relationships/hyperlink" Target="https://www.google.com/maps/search/?api=1&amp;query=Minnesota+Epilepsy+Group+PA%2C+2720+Fairview+Ave+N%2C+Roseville%2C+MN+55113" TargetMode="External"/><Relationship Id="rId100" Type="http://schemas.openxmlformats.org/officeDocument/2006/relationships/hyperlink" Target="https://npiregistry.cms.hhs.gov/provider-view/1235715574" TargetMode="External"/><Relationship Id="rId338" Type="http://schemas.openxmlformats.org/officeDocument/2006/relationships/hyperlink" Target="https://npiregistry.cms.hhs.gov/provider-view/1003751603" TargetMode="External"/><Relationship Id="rId545" Type="http://schemas.openxmlformats.org/officeDocument/2006/relationships/hyperlink" Target="https://www.google.com/maps/search/?api=1&amp;query=Redbird+Wellness%2C+PA%2C+7900+Excelsior+Blvd%2C+Hopkins%2C+MN+55343" TargetMode="External"/><Relationship Id="rId752" Type="http://schemas.openxmlformats.org/officeDocument/2006/relationships/hyperlink" Target="https://www.google.com/maps/search/?api=1&amp;query=Experience+Wellness+Chiropractic+PA%2C+3001+Harbor+Ln+N%2C+Plymouth%2C+MN+55447" TargetMode="External"/><Relationship Id="rId1175" Type="http://schemas.openxmlformats.org/officeDocument/2006/relationships/hyperlink" Target="https://www.google.com/maps/search/?api=1&amp;query=Awake+Pelvic+Health+and+Wellness+LLC%2C+3213+Countryside+Ct%2C+Woodbury%2C+MN+55129" TargetMode="External"/><Relationship Id="rId1382" Type="http://schemas.openxmlformats.org/officeDocument/2006/relationships/hyperlink" Target="https://npiregistry.cms.hhs.gov/provider-view/1093095382" TargetMode="External"/><Relationship Id="rId405" Type="http://schemas.openxmlformats.org/officeDocument/2006/relationships/hyperlink" Target="https://www.google.com/maps/search/?api=1&amp;query=Atrium+Physical+Therapy%2C+6400+Flying+Cloud+Dr%2C+Eden+Prairie%2C+MN+55344" TargetMode="External"/><Relationship Id="rId612" Type="http://schemas.openxmlformats.org/officeDocument/2006/relationships/hyperlink" Target="https://npiregistry.cms.hhs.gov/provider-view/1316980386" TargetMode="External"/><Relationship Id="rId1035" Type="http://schemas.openxmlformats.org/officeDocument/2006/relationships/hyperlink" Target="https://npiregistry.cms.hhs.gov/provider-view/1952779605" TargetMode="External"/><Relationship Id="rId1242" Type="http://schemas.openxmlformats.org/officeDocument/2006/relationships/hyperlink" Target="https://npiregistry.cms.hhs.gov/provider-view/1295272342" TargetMode="External"/><Relationship Id="rId1687" Type="http://schemas.openxmlformats.org/officeDocument/2006/relationships/hyperlink" Target="https://www.google.com/maps/search/?api=1&amp;query=Sanford+Clinic%2C+1430+North+Hwy%2C+Jackson%2C+MN+56143" TargetMode="External"/><Relationship Id="rId1894" Type="http://schemas.openxmlformats.org/officeDocument/2006/relationships/hyperlink" Target="https://npiregistry.cms.hhs.gov/provider-view/1033495379" TargetMode="External"/><Relationship Id="rId917" Type="http://schemas.openxmlformats.org/officeDocument/2006/relationships/hyperlink" Target="https://npiregistry.cms.hhs.gov/provider-view/1699913970" TargetMode="External"/><Relationship Id="rId1102" Type="http://schemas.openxmlformats.org/officeDocument/2006/relationships/hyperlink" Target="https://npiregistry.cms.hhs.gov/provider-view/1780405480" TargetMode="External"/><Relationship Id="rId1547" Type="http://schemas.openxmlformats.org/officeDocument/2006/relationships/hyperlink" Target="https://www.google.com/maps/search/?api=1&amp;query=Warroad+Physical+Therapy%2C+608+Emily+Ave+NW%2C+Warroad%2C+MN+56763" TargetMode="External"/><Relationship Id="rId1754" Type="http://schemas.openxmlformats.org/officeDocument/2006/relationships/hyperlink" Target="https://npiregistry.cms.hhs.gov/provider-view/1124205604" TargetMode="External"/><Relationship Id="rId46" Type="http://schemas.openxmlformats.org/officeDocument/2006/relationships/hyperlink" Target="https://npiregistry.cms.hhs.gov/provider-view/1386690543" TargetMode="External"/><Relationship Id="rId1407" Type="http://schemas.openxmlformats.org/officeDocument/2006/relationships/hyperlink" Target="https://www.google.com/maps/search/?api=1&amp;query=Health+First+Chiropractic+of+Baxter%2C+14213+Golf+Course+Drive%2C+Baxter%2C+MN+56425" TargetMode="External"/><Relationship Id="rId1614" Type="http://schemas.openxmlformats.org/officeDocument/2006/relationships/hyperlink" Target="https://npiregistry.cms.hhs.gov/provider-view/1821963398" TargetMode="External"/><Relationship Id="rId1821" Type="http://schemas.openxmlformats.org/officeDocument/2006/relationships/hyperlink" Target="https://www.google.com/maps/search/?api=1&amp;query=Therapy+Partners%2C+INC.%2C+1605+Heritage+Dr%2C+Northfield%2C+MN+55057" TargetMode="External"/><Relationship Id="rId195" Type="http://schemas.openxmlformats.org/officeDocument/2006/relationships/hyperlink" Target="https://www.google.com/maps/search/?api=1&amp;query=Minnesota+Head+and+Neck+Pain+Clinic%2C+PA%2C+675+E+Nicollet+Blvd%2C+Burnsville%2C+MN+55337" TargetMode="External"/><Relationship Id="rId262" Type="http://schemas.openxmlformats.org/officeDocument/2006/relationships/hyperlink" Target="https://npiregistry.cms.hhs.gov/provider-view/1083792279" TargetMode="External"/><Relationship Id="rId567" Type="http://schemas.openxmlformats.org/officeDocument/2006/relationships/hyperlink" Target="https://www.google.com/maps/search/?api=1&amp;query=OMS+Specialists%2C+13950+Grove+Dr%2C+Maple+Grove%2C+MN+55311" TargetMode="External"/><Relationship Id="rId1197" Type="http://schemas.openxmlformats.org/officeDocument/2006/relationships/hyperlink" Target="https://www.google.com/maps/search/?api=1&amp;query=Miles+of+Cares+LLC%2C+6043+Hudson+Rd%2C+Woodbury%2C+MN+55125" TargetMode="External"/><Relationship Id="rId122" Type="http://schemas.openxmlformats.org/officeDocument/2006/relationships/hyperlink" Target="https://npiregistry.cms.hhs.gov/provider-view/1669167920" TargetMode="External"/><Relationship Id="rId774" Type="http://schemas.openxmlformats.org/officeDocument/2006/relationships/hyperlink" Target="https://www.google.com/maps/search/?api=1&amp;query=Summit+Orthopedics+LTD%2C+6050+Sycamore+Lane+N.%2C+Plymouth%2C+MN+55442" TargetMode="External"/><Relationship Id="rId981" Type="http://schemas.openxmlformats.org/officeDocument/2006/relationships/hyperlink" Target="https://npiregistry.cms.hhs.gov/provider-view/1144093667" TargetMode="External"/><Relationship Id="rId1057" Type="http://schemas.openxmlformats.org/officeDocument/2006/relationships/hyperlink" Target="https://npiregistry.cms.hhs.gov/provider-view/1659551869" TargetMode="External"/><Relationship Id="rId427" Type="http://schemas.openxmlformats.org/officeDocument/2006/relationships/hyperlink" Target="https://www.google.com/maps/search/?api=1&amp;query=Midwest+Chiropractic+and+Wellness%2C+8941+Aztec+Dr%2C+Eden+Prairie%2C+MN+55347" TargetMode="External"/><Relationship Id="rId634" Type="http://schemas.openxmlformats.org/officeDocument/2006/relationships/hyperlink" Target="https://npiregistry.cms.hhs.gov/provider-view/1316793912" TargetMode="External"/><Relationship Id="rId841" Type="http://schemas.openxmlformats.org/officeDocument/2006/relationships/hyperlink" Target="https://npiregistry.cms.hhs.gov/provider-view/1861948739" TargetMode="External"/><Relationship Id="rId1264" Type="http://schemas.openxmlformats.org/officeDocument/2006/relationships/hyperlink" Target="https://npiregistry.cms.hhs.gov/provider-view/1932338019" TargetMode="External"/><Relationship Id="rId1471" Type="http://schemas.openxmlformats.org/officeDocument/2006/relationships/hyperlink" Target="https://www.google.com/maps/search/?api=1&amp;query=Duluth+Chiropractic+Clinic%2C+PA%2C+5807+Grand+Ave%2C+Duluth%2C+MN+55807" TargetMode="External"/><Relationship Id="rId1569" Type="http://schemas.openxmlformats.org/officeDocument/2006/relationships/hyperlink" Target="https://www.google.com/maps/search/?api=1&amp;query=Alex+PT+LLC%2C+591+Northside+Dr%2C+Alexandria%2C+MN+56308" TargetMode="External"/><Relationship Id="rId701" Type="http://schemas.openxmlformats.org/officeDocument/2006/relationships/hyperlink" Target="https://npiregistry.cms.hhs.gov/provider-view/1679620801" TargetMode="External"/><Relationship Id="rId939" Type="http://schemas.openxmlformats.org/officeDocument/2006/relationships/hyperlink" Target="https://npiregistry.cms.hhs.gov/provider-view/1629258348" TargetMode="External"/><Relationship Id="rId1124" Type="http://schemas.openxmlformats.org/officeDocument/2006/relationships/hyperlink" Target="https://npiregistry.cms.hhs.gov/provider-view/1093261190" TargetMode="External"/><Relationship Id="rId1331" Type="http://schemas.openxmlformats.org/officeDocument/2006/relationships/hyperlink" Target="https://www.google.com/maps/search/?api=1&amp;query=Advantage+Chiropractic%2C+32+32nd+Ave+S%2C+St.+Cloud%2C+MN+56301" TargetMode="External"/><Relationship Id="rId1776" Type="http://schemas.openxmlformats.org/officeDocument/2006/relationships/hyperlink" Target="https://npiregistry.cms.hhs.gov/provider-view/1457005084" TargetMode="External"/><Relationship Id="rId68" Type="http://schemas.openxmlformats.org/officeDocument/2006/relationships/hyperlink" Target="https://npiregistry.cms.hhs.gov/provider-view/1407809494" TargetMode="External"/><Relationship Id="rId1429" Type="http://schemas.openxmlformats.org/officeDocument/2006/relationships/hyperlink" Target="https://www.google.com/maps/search/?api=1&amp;query=Bergren+Family+Chiropractic%2C+PA%2C+41025+Scenic+Hwy%2C+Bovey%2C+MN+55709" TargetMode="External"/><Relationship Id="rId1636" Type="http://schemas.openxmlformats.org/officeDocument/2006/relationships/hyperlink" Target="https://npiregistry.cms.hhs.gov/provider-view/1265640544" TargetMode="External"/><Relationship Id="rId1843" Type="http://schemas.openxmlformats.org/officeDocument/2006/relationships/hyperlink" Target="https://www.google.com/maps/search/?api=1&amp;query=Ambient+Chiropractic+PA%2C+2302+E+Highway+7%2C+Montevideo%2C+MN+56265" TargetMode="External"/><Relationship Id="rId1703" Type="http://schemas.openxmlformats.org/officeDocument/2006/relationships/hyperlink" Target="https://www.google.com/maps/search/?api=1&amp;query=Bluetail+Medical+Group%2C+LLC.%2C+1575+Lookout+Dr%2C+North+Mankato%2C+MN+56003" TargetMode="External"/><Relationship Id="rId284" Type="http://schemas.openxmlformats.org/officeDocument/2006/relationships/hyperlink" Target="https://npiregistry.cms.hhs.gov/provider-view/1144264540" TargetMode="External"/><Relationship Id="rId491" Type="http://schemas.openxmlformats.org/officeDocument/2006/relationships/hyperlink" Target="https://www.google.com/maps/search/?api=1&amp;query=Moe+Chiropractic+PA%2C+7108+Ohms+Ln%2C+Edina%2C+MN+55439" TargetMode="External"/><Relationship Id="rId144" Type="http://schemas.openxmlformats.org/officeDocument/2006/relationships/hyperlink" Target="https://npiregistry.cms.hhs.gov/provider-view/1568876993" TargetMode="External"/><Relationship Id="rId589" Type="http://schemas.openxmlformats.org/officeDocument/2006/relationships/hyperlink" Target="https://www.google.com/maps/search/?api=1&amp;query=Vitalign+Spine+Clinic+PLLC%2C+7835+Main+St+N%2C+Maple+Grove%2C+MN+55369" TargetMode="External"/><Relationship Id="rId796" Type="http://schemas.openxmlformats.org/officeDocument/2006/relationships/hyperlink" Target="https://www.google.com/maps/search/?api=1&amp;query=Ageility+Physical+Therapy+Solutions+At+the+Wellstead+of+Rogers%2C+20600+S+Diamond+Lake+Rd%2C+Rogers%2C+MN+55374" TargetMode="External"/><Relationship Id="rId351" Type="http://schemas.openxmlformats.org/officeDocument/2006/relationships/hyperlink" Target="https://www.google.com/maps/search/?api=1&amp;query=Planet+Gratitude+Chiropractic%2C+220+W+98th+St%2C+Bloomington%2C+MN+55420" TargetMode="External"/><Relationship Id="rId449" Type="http://schemas.openxmlformats.org/officeDocument/2006/relationships/hyperlink" Target="https://www.google.com/maps/search/?api=1&amp;query=Zen+Healing+Center%2C+6400+Flying+Cloud+Dr%2C+Eden+Prairie%2C+MN+55344" TargetMode="External"/><Relationship Id="rId656" Type="http://schemas.openxmlformats.org/officeDocument/2006/relationships/hyperlink" Target="https://www.google.com/maps/search/?api=1&amp;query=Pain+%26+Injury+Center+PLLC%2C+825+Nicollet+Mall%2C+Minneapolis%2C+MN+55402" TargetMode="External"/><Relationship Id="rId863" Type="http://schemas.openxmlformats.org/officeDocument/2006/relationships/hyperlink" Target="https://npiregistry.cms.hhs.gov/provider-view/1700406345" TargetMode="External"/><Relationship Id="rId1079" Type="http://schemas.openxmlformats.org/officeDocument/2006/relationships/hyperlink" Target="https://www.google.com/maps/search/?api=1&amp;query=EOS%3A+Expert+Oral+Surgery%2C+403+East+First+Avenue%2C+Shakopee%2C+MN+55379" TargetMode="External"/><Relationship Id="rId1286" Type="http://schemas.openxmlformats.org/officeDocument/2006/relationships/hyperlink" Target="https://npiregistry.cms.hhs.gov/provider-view/1245146620" TargetMode="External"/><Relationship Id="rId1493" Type="http://schemas.openxmlformats.org/officeDocument/2006/relationships/hyperlink" Target="https://www.google.com/maps/search/?api=1&amp;query=Panj+Aab+Neurovascular+Associates%2C+915+E+1st+St%2C+Duluth%2C+MN+55805" TargetMode="External"/><Relationship Id="rId211" Type="http://schemas.openxmlformats.org/officeDocument/2006/relationships/hyperlink" Target="https://www.google.com/maps/search/?api=1&amp;query=Summit+Orthopedics%2C+LTD.%2C+14101+Fairview+Dr%2C+Burnsville%2C+MN+55337" TargetMode="External"/><Relationship Id="rId309" Type="http://schemas.openxmlformats.org/officeDocument/2006/relationships/hyperlink" Target="https://www.google.com/maps/search/?api=1&amp;query=Heights+PT+PLLC%2C+665+Woodridge+Dr%2C+Mendota+Heights%2C+MN+55118" TargetMode="External"/><Relationship Id="rId516" Type="http://schemas.openxmlformats.org/officeDocument/2006/relationships/hyperlink" Target="https://npiregistry.cms.hhs.gov/provider-view/1376619114" TargetMode="External"/><Relationship Id="rId1146" Type="http://schemas.openxmlformats.org/officeDocument/2006/relationships/hyperlink" Target="https://npiregistry.cms.hhs.gov/provider-view/1942126792" TargetMode="External"/><Relationship Id="rId1798" Type="http://schemas.openxmlformats.org/officeDocument/2006/relationships/hyperlink" Target="https://npiregistry.cms.hhs.gov/provider-view/1487341749" TargetMode="External"/><Relationship Id="rId723" Type="http://schemas.openxmlformats.org/officeDocument/2006/relationships/hyperlink" Target="https://npiregistry.cms.hhs.gov/provider-view/1912292616" TargetMode="External"/><Relationship Id="rId930" Type="http://schemas.openxmlformats.org/officeDocument/2006/relationships/hyperlink" Target="https://www.google.com/maps/search/?api=1&amp;query=Elite+Radiology+PA.%2C+441+University+Ave+W%2C+St.+Paul%2C+MN+55103" TargetMode="External"/><Relationship Id="rId1006" Type="http://schemas.openxmlformats.org/officeDocument/2006/relationships/hyperlink" Target="https://www.google.com/maps/search/?api=1&amp;query=Therapy+Partners%2C+INC.%2C+1939+Minnehaha+Ave+W%2C+St.+Paul%2C+MN+55104" TargetMode="External"/><Relationship Id="rId1353" Type="http://schemas.openxmlformats.org/officeDocument/2006/relationships/hyperlink" Target="https://www.google.com/maps/search/?api=1&amp;query=Comfort+Corner+Massage%2C+315+Jefferson+St+S%2C+Wadena%2C+MN+56482" TargetMode="External"/><Relationship Id="rId1560" Type="http://schemas.openxmlformats.org/officeDocument/2006/relationships/hyperlink" Target="https://npiregistry.cms.hhs.gov/provider-view/1841160991" TargetMode="External"/><Relationship Id="rId1658" Type="http://schemas.openxmlformats.org/officeDocument/2006/relationships/hyperlink" Target="https://npiregistry.cms.hhs.gov/provider-view/1659492312" TargetMode="External"/><Relationship Id="rId1865" Type="http://schemas.openxmlformats.org/officeDocument/2006/relationships/hyperlink" Target="https://www.google.com/maps/search/?api=1&amp;query=Healthsource+of+Marshall%2C+317+W+Main+St%2C+Marshall%2C+MN+56258" TargetMode="External"/><Relationship Id="rId1213" Type="http://schemas.openxmlformats.org/officeDocument/2006/relationships/hyperlink" Target="https://www.google.com/maps/search/?api=1&amp;query=The+Facial+Pain+Center%2C+241+Radio+Dr%2C+Woodbury%2C+MN+55125" TargetMode="External"/><Relationship Id="rId1420" Type="http://schemas.openxmlformats.org/officeDocument/2006/relationships/hyperlink" Target="https://npiregistry.cms.hhs.gov/provider-view/1669998571" TargetMode="External"/><Relationship Id="rId1518" Type="http://schemas.openxmlformats.org/officeDocument/2006/relationships/hyperlink" Target="https://npiregistry.cms.hhs.gov/provider-view/1417042367" TargetMode="External"/><Relationship Id="rId1725" Type="http://schemas.openxmlformats.org/officeDocument/2006/relationships/hyperlink" Target="https://www.google.com/maps/search/?api=1&amp;query=Albert+Lea+Chiropractic%2C+1340+W+Main+St%2C+Albert+Lea%2C+MN+56007" TargetMode="External"/><Relationship Id="rId17" Type="http://schemas.openxmlformats.org/officeDocument/2006/relationships/hyperlink" Target="https://www.google.com/maps/search/?api=1&amp;query=Concentra+Medical+Center%2C+10190+Baltimore+St+NE%2C+Blaine%2C+MN+55449" TargetMode="External"/><Relationship Id="rId166" Type="http://schemas.openxmlformats.org/officeDocument/2006/relationships/hyperlink" Target="https://npiregistry.cms.hhs.gov/provider-view/1013859305" TargetMode="External"/><Relationship Id="rId373" Type="http://schemas.openxmlformats.org/officeDocument/2006/relationships/hyperlink" Target="https://www.google.com/maps/search/?api=1&amp;query=Allina+Health+Orthopedics%2C+6001+96th+Ln+N%2C+Brooklyn+Park%2C+MN+55445" TargetMode="External"/><Relationship Id="rId580" Type="http://schemas.openxmlformats.org/officeDocument/2006/relationships/hyperlink" Target="https://npiregistry.cms.hhs.gov/provider-view/1912143843" TargetMode="External"/><Relationship Id="rId1" Type="http://schemas.openxmlformats.org/officeDocument/2006/relationships/hyperlink" Target="https://www.google.com/maps/search/?api=1&amp;query=Health+and+Healing+Family+Chiropractic%2C+1883+Station+Pkwy+NW%2C+Andover%2C+MN+55304" TargetMode="External"/><Relationship Id="rId233" Type="http://schemas.openxmlformats.org/officeDocument/2006/relationships/hyperlink" Target="https://www.google.com/maps/search/?api=1&amp;query=Cornerstone+Family+Chiropractic%2C+PLLC%2C+1590+Thomas+Center+Dr%2C+Eagan%2C+MN+55122" TargetMode="External"/><Relationship Id="rId440" Type="http://schemas.openxmlformats.org/officeDocument/2006/relationships/hyperlink" Target="https://npiregistry.cms.hhs.gov/provider-view/1487864906" TargetMode="External"/><Relationship Id="rId678" Type="http://schemas.openxmlformats.org/officeDocument/2006/relationships/hyperlink" Target="https://www.google.com/maps/search/?api=1&amp;query=The+Facial+Pain+Center%2C+5000+W+36th+St%2C+Minneapolis%2C+MN+55416" TargetMode="External"/><Relationship Id="rId885" Type="http://schemas.openxmlformats.org/officeDocument/2006/relationships/hyperlink" Target="https://npiregistry.cms.hhs.gov/provider-view/1497814032" TargetMode="External"/><Relationship Id="rId1070" Type="http://schemas.openxmlformats.org/officeDocument/2006/relationships/hyperlink" Target="https://www.google.com/maps/search/?api=1&amp;query=Hyva+Elama%2C+PA.%2C+7447+Egan+Dr%2C+Savage%2C+MN+55378" TargetMode="External"/><Relationship Id="rId300" Type="http://schemas.openxmlformats.org/officeDocument/2006/relationships/hyperlink" Target="https://npiregistry.cms.hhs.gov/provider-view/1356162143" TargetMode="External"/><Relationship Id="rId538" Type="http://schemas.openxmlformats.org/officeDocument/2006/relationships/hyperlink" Target="https://npiregistry.cms.hhs.gov/provider-view/1770264426" TargetMode="External"/><Relationship Id="rId745" Type="http://schemas.openxmlformats.org/officeDocument/2006/relationships/hyperlink" Target="https://npiregistry.cms.hhs.gov/provider-view/1518735331" TargetMode="External"/><Relationship Id="rId952" Type="http://schemas.openxmlformats.org/officeDocument/2006/relationships/hyperlink" Target="https://www.google.com/maps/search/?api=1&amp;query=Institute+For+Orthopedics+%26+Chiropractic%2C+PLLC%2C+2550+University+Ave+W%2C+St.+Paul%2C+MN+55114" TargetMode="External"/><Relationship Id="rId1168" Type="http://schemas.openxmlformats.org/officeDocument/2006/relationships/hyperlink" Target="https://npiregistry.cms.hhs.gov/provider-view/1508058322" TargetMode="External"/><Relationship Id="rId1375" Type="http://schemas.openxmlformats.org/officeDocument/2006/relationships/hyperlink" Target="https://www.google.com/maps/search/?api=1&amp;query=Mcdonald+Chiropractic+PLLC%2C+1900+Division+St+W%2C+Bemidji%2C+MN+56601" TargetMode="External"/><Relationship Id="rId1582" Type="http://schemas.openxmlformats.org/officeDocument/2006/relationships/hyperlink" Target="https://npiregistry.cms.hhs.gov/provider-view/1578215612" TargetMode="External"/><Relationship Id="rId81" Type="http://schemas.openxmlformats.org/officeDocument/2006/relationships/hyperlink" Target="https://www.google.com/maps/search/?api=1&amp;query=The+Minnesota+Chiroworks%2C+PC%2C+7872+University+Ave+NE%2C+Fridley%2C+MN+55432" TargetMode="External"/><Relationship Id="rId605" Type="http://schemas.openxmlformats.org/officeDocument/2006/relationships/hyperlink" Target="https://www.google.com/maps/search/?api=1&amp;query=Arlo+Physical+Therapy+%26+Wellness%2C+575+9th+St+SE%2C+Minneapolis%2C+MN+55414" TargetMode="External"/><Relationship Id="rId812" Type="http://schemas.openxmlformats.org/officeDocument/2006/relationships/hyperlink" Target="https://www.google.com/maps/search/?api=1&amp;query=Christopher+J.+Foley+DC.+%2C+PA.%2C+8700+W+36th+St%2C+St.+Louis+Park%2C+MN+55426" TargetMode="External"/><Relationship Id="rId1028" Type="http://schemas.openxmlformats.org/officeDocument/2006/relationships/hyperlink" Target="https://www.google.com/maps/search/?api=1&amp;query=Entira+Family+Clinics-Vadnais+Heights%2C+3550+Labore+Rd%2C+Vadnais+Heights%2C+MN+55110" TargetMode="External"/><Relationship Id="rId1235" Type="http://schemas.openxmlformats.org/officeDocument/2006/relationships/hyperlink" Target="https://www.google.com/maps/search/?api=1&amp;query=Sunnydays+Therapy+INC%2C+5232+Kyler+Ave+NE%2C+Albertville%2C+MN+55301" TargetMode="External"/><Relationship Id="rId1442" Type="http://schemas.openxmlformats.org/officeDocument/2006/relationships/hyperlink" Target="https://npiregistry.cms.hhs.gov/provider-view/1477638310" TargetMode="External"/><Relationship Id="rId1887" Type="http://schemas.openxmlformats.org/officeDocument/2006/relationships/hyperlink" Target="https://www.google.com/maps/search/?api=1&amp;query=Chiro-Plus%2C+PA.%2C+821+E+Bridge+St%2C+Redwood+Falls%2C+MN+56283" TargetMode="External"/><Relationship Id="rId1302" Type="http://schemas.openxmlformats.org/officeDocument/2006/relationships/hyperlink" Target="https://npiregistry.cms.hhs.gov/provider-view/1457674780" TargetMode="External"/><Relationship Id="rId1747" Type="http://schemas.openxmlformats.org/officeDocument/2006/relationships/hyperlink" Target="https://www.google.com/maps/search/?api=1&amp;query=Country+Care+Chiropractic%2C+41614+Gorman+Lake+Rd%2C+Le+Center%2C+MN+56057" TargetMode="External"/><Relationship Id="rId39" Type="http://schemas.openxmlformats.org/officeDocument/2006/relationships/hyperlink" Target="https://www.google.com/maps/search/?api=1&amp;query=Courage+Kenny+Rehabilitation+Associates%2C+11850+Blackfoot+St+NW%2C+Coon+Rapids%2C+MN+55433" TargetMode="External"/><Relationship Id="rId1607" Type="http://schemas.openxmlformats.org/officeDocument/2006/relationships/hyperlink" Target="https://www.google.com/maps/search/?api=1&amp;query=Total+Body+Therapy%2C+110+W+Henning+St+Apt+121%2C+Battle+Lake%2C+MN+56515" TargetMode="External"/><Relationship Id="rId1814" Type="http://schemas.openxmlformats.org/officeDocument/2006/relationships/hyperlink" Target="https://npiregistry.cms.hhs.gov/provider-view/1124044656" TargetMode="External"/><Relationship Id="rId188" Type="http://schemas.openxmlformats.org/officeDocument/2006/relationships/hyperlink" Target="https://npiregistry.cms.hhs.gov/provider-view/1295366888" TargetMode="External"/><Relationship Id="rId395" Type="http://schemas.openxmlformats.org/officeDocument/2006/relationships/hyperlink" Target="https://www.google.com/maps/search/?api=1&amp;query=Sunnydays+Therapy+INC%2C+18872+Lake+Dr+E%2C+Chanhassen%2C+MN+55317" TargetMode="External"/><Relationship Id="rId255" Type="http://schemas.openxmlformats.org/officeDocument/2006/relationships/hyperlink" Target="https://www.google.com/maps/search/?api=1&amp;query=Optimal+Health+Chiropractic%2C+1260+S+Frontage+Rd.%2C+Hastings%2C+MN+55033" TargetMode="External"/><Relationship Id="rId462" Type="http://schemas.openxmlformats.org/officeDocument/2006/relationships/hyperlink" Target="https://npiregistry.cms.hhs.gov/provider-view/1881307932" TargetMode="External"/><Relationship Id="rId1092" Type="http://schemas.openxmlformats.org/officeDocument/2006/relationships/hyperlink" Target="https://npiregistry.cms.hhs.gov/provider-view/1699294645" TargetMode="External"/><Relationship Id="rId1397" Type="http://schemas.openxmlformats.org/officeDocument/2006/relationships/hyperlink" Target="https://www.google.com/maps/search/?api=1&amp;query=Therapy+Partners%2C+INC.%2C+4791+County+Road+10%2C+Moose+Lake%2C+MN+55767" TargetMode="External"/><Relationship Id="rId115" Type="http://schemas.openxmlformats.org/officeDocument/2006/relationships/hyperlink" Target="https://www.google.com/maps/search/?api=1&amp;query=Inmind+Health%2C+LLC%2C+1107+Hazeltine+Blvd%2C+Chaska%2C+MN+55318" TargetMode="External"/><Relationship Id="rId322" Type="http://schemas.openxmlformats.org/officeDocument/2006/relationships/hyperlink" Target="https://npiregistry.cms.hhs.gov/provider-view/1467736231" TargetMode="External"/><Relationship Id="rId767" Type="http://schemas.openxmlformats.org/officeDocument/2006/relationships/hyperlink" Target="https://npiregistry.cms.hhs.gov/provider-view/1508032376" TargetMode="External"/><Relationship Id="rId974" Type="http://schemas.openxmlformats.org/officeDocument/2006/relationships/hyperlink" Target="https://www.google.com/maps/search/?api=1&amp;query=Novacare+Rehabilitation%2C+1387+Phalen+Boulevard%2C+St.+Paul%2C+MN+55106" TargetMode="External"/><Relationship Id="rId627" Type="http://schemas.openxmlformats.org/officeDocument/2006/relationships/hyperlink" Target="https://www.google.com/maps/search/?api=1&amp;query=Healthy+Roots+Chiropractic%2C+3115+Hennepin+Ave%2C+Minneapolis%2C+MN+55408" TargetMode="External"/><Relationship Id="rId834" Type="http://schemas.openxmlformats.org/officeDocument/2006/relationships/hyperlink" Target="https://www.google.com/maps/search/?api=1&amp;query=Greenberg+Chiropractic+Care+LLC%2C+5407+Excelsior+Blvd%2C+St.+Louis+Pk%2C+MN+55416" TargetMode="External"/><Relationship Id="rId1257" Type="http://schemas.openxmlformats.org/officeDocument/2006/relationships/hyperlink" Target="https://www.google.com/maps/search/?api=1&amp;query=Novacare+Rehabilitation%2C+300+Catlin+St%2C+Buffalo%2C+MN+55313" TargetMode="External"/><Relationship Id="rId1464" Type="http://schemas.openxmlformats.org/officeDocument/2006/relationships/hyperlink" Target="https://npiregistry.cms.hhs.gov/provider-view/1366496069" TargetMode="External"/><Relationship Id="rId1671" Type="http://schemas.openxmlformats.org/officeDocument/2006/relationships/hyperlink" Target="https://www.google.com/maps/search/?api=1&amp;query=Sanford+Clinic%2C+920+Bell+Ave%2C+Westbrook%2C+MN+56183" TargetMode="External"/><Relationship Id="rId901" Type="http://schemas.openxmlformats.org/officeDocument/2006/relationships/hyperlink" Target="https://npiregistry.cms.hhs.gov/provider-view/1780750539" TargetMode="External"/><Relationship Id="rId1117" Type="http://schemas.openxmlformats.org/officeDocument/2006/relationships/hyperlink" Target="https://www.google.com/maps/search/?api=1&amp;query=Ross+Orthodontics+%28Dr.+Gregory+Ross%29%2C+368+Lake+St+S%2C+Forest+Lake%2C+MN+55025" TargetMode="External"/><Relationship Id="rId1324" Type="http://schemas.openxmlformats.org/officeDocument/2006/relationships/hyperlink" Target="https://npiregistry.cms.hhs.gov/provider-view/1285486944" TargetMode="External"/><Relationship Id="rId1531" Type="http://schemas.openxmlformats.org/officeDocument/2006/relationships/hyperlink" Target="https://www.google.com/maps/search/?api=1&amp;query=Biermaier+Chiropractic+PLLC%2C+1226+University+Ave%2C+Crookston%2C+MN+56716" TargetMode="External"/><Relationship Id="rId1769" Type="http://schemas.openxmlformats.org/officeDocument/2006/relationships/hyperlink" Target="https://www.google.com/maps/search/?api=1&amp;query=Elite+Chiropractic+PLLC%2C+1724+37th+St+NW%2C+Rochester%2C+MN+55901" TargetMode="External"/><Relationship Id="rId30" Type="http://schemas.openxmlformats.org/officeDocument/2006/relationships/hyperlink" Target="https://npiregistry.cms.hhs.gov/provider-view/1407325830" TargetMode="External"/><Relationship Id="rId1629" Type="http://schemas.openxmlformats.org/officeDocument/2006/relationships/hyperlink" Target="https://www.google.com/maps/search/?api=1&amp;query=Revive+and+Thrive+Therapy+LLC%2C+139+1st+Ave+S%2C+Perham%2C+MN+56573" TargetMode="External"/><Relationship Id="rId1836" Type="http://schemas.openxmlformats.org/officeDocument/2006/relationships/hyperlink" Target="https://npiregistry.cms.hhs.gov/provider-view/1386922250" TargetMode="External"/><Relationship Id="rId1903" Type="http://schemas.openxmlformats.org/officeDocument/2006/relationships/hyperlink" Target="https://www.google.com/maps/search/?api=1&amp;query=Handeland+Chiropractic%2C+LLC%2C+713+Prentice+St%2C+Granite+Falls%2C+MN+56241" TargetMode="External"/><Relationship Id="rId277" Type="http://schemas.openxmlformats.org/officeDocument/2006/relationships/hyperlink" Target="https://www.google.com/maps/search/?api=1&amp;query=Zero+Distance+Acupuncture+LLC%2C+5810+Blackshire+Path%2C+Inver+Grove+Heights%2C+MN+55076" TargetMode="External"/><Relationship Id="rId484" Type="http://schemas.openxmlformats.org/officeDocument/2006/relationships/hyperlink" Target="https://npiregistry.cms.hhs.gov/provider-view/1023880911" TargetMode="External"/><Relationship Id="rId137" Type="http://schemas.openxmlformats.org/officeDocument/2006/relationships/hyperlink" Target="https://www.google.com/maps/search/?api=1&amp;query=North+Branch+Family+Chiropractic+LLC%2C+6241+Main+St%2C+North+Branch%2C+MN+55056" TargetMode="External"/><Relationship Id="rId344" Type="http://schemas.openxmlformats.org/officeDocument/2006/relationships/hyperlink" Target="https://npiregistry.cms.hhs.gov/provider-view/1265675870" TargetMode="External"/><Relationship Id="rId691" Type="http://schemas.openxmlformats.org/officeDocument/2006/relationships/hyperlink" Target="https://npiregistry.cms.hhs.gov/provider-view/1164763629" TargetMode="External"/><Relationship Id="rId789" Type="http://schemas.openxmlformats.org/officeDocument/2006/relationships/hyperlink" Target="https://npiregistry.cms.hhs.gov/provider-view/1720620867" TargetMode="External"/><Relationship Id="rId996" Type="http://schemas.openxmlformats.org/officeDocument/2006/relationships/hyperlink" Target="https://www.google.com/maps/search/?api=1&amp;query=Summit+Hill+Chiropractic+LLC%2C+976+Grand+Ave%2C+St.+Paul%2C+MN+55105" TargetMode="External"/><Relationship Id="rId551" Type="http://schemas.openxmlformats.org/officeDocument/2006/relationships/hyperlink" Target="https://www.google.com/maps/search/?api=1&amp;query=Advanced+Hand+and+Upper+Extremity+Center+PC%2C+9325+Upland+Ln+N%2C+Maple+Grove%2C+MN+55369" TargetMode="External"/><Relationship Id="rId649" Type="http://schemas.openxmlformats.org/officeDocument/2006/relationships/hyperlink" Target="https://npiregistry.cms.hhs.gov/provider-view/1265016174" TargetMode="External"/><Relationship Id="rId856" Type="http://schemas.openxmlformats.org/officeDocument/2006/relationships/hyperlink" Target="https://www.google.com/maps/search/?api=1&amp;query=ClearChoice+Dental+Implant+Center+-+Roseville%2C+3130+Cleveland+Ave+N%2C+Arden+Hills%2C+MN+55112" TargetMode="External"/><Relationship Id="rId1181" Type="http://schemas.openxmlformats.org/officeDocument/2006/relationships/hyperlink" Target="https://www.google.com/maps/search/?api=1&amp;query=Brain+Balance+of+Woodbury%2C+700+Commerce+Dr%2C+Woodbury%2C+MN+55125" TargetMode="External"/><Relationship Id="rId1279" Type="http://schemas.openxmlformats.org/officeDocument/2006/relationships/hyperlink" Target="https://www.google.com/maps/search/?api=1&amp;query=Therapy+Partners%2C+INC.%2C+601+Central+Ave+W%2C+St.+Michael%2C+MN+55376" TargetMode="External"/><Relationship Id="rId1486" Type="http://schemas.openxmlformats.org/officeDocument/2006/relationships/hyperlink" Target="https://npiregistry.cms.hhs.gov/provider-view/1467736231" TargetMode="External"/><Relationship Id="rId204" Type="http://schemas.openxmlformats.org/officeDocument/2006/relationships/hyperlink" Target="https://npiregistry.cms.hhs.gov/provider-view/1144031675" TargetMode="External"/><Relationship Id="rId411" Type="http://schemas.openxmlformats.org/officeDocument/2006/relationships/hyperlink" Target="https://www.google.com/maps/search/?api=1&amp;query=Elite+Spine+Chiropractic%2C+14675+Martin+Dr%2C+Eden+Prairie%2C+MN+55344" TargetMode="External"/><Relationship Id="rId509" Type="http://schemas.openxmlformats.org/officeDocument/2006/relationships/hyperlink" Target="https://www.google.com/maps/search/?api=1&amp;query=Romanie+Health+Services%2C+PA%2C+5325+W+74th+St%2C+Edina%2C+MN+55439" TargetMode="External"/><Relationship Id="rId1041" Type="http://schemas.openxmlformats.org/officeDocument/2006/relationships/hyperlink" Target="https://npiregistry.cms.hhs.gov/provider-view/1821979642" TargetMode="External"/><Relationship Id="rId1139" Type="http://schemas.openxmlformats.org/officeDocument/2006/relationships/hyperlink" Target="https://www.google.com/maps/search/?api=1&amp;query=Healthsource+of+Oakdale%2C+5705+Hadley+Ave+N%2C+Oakdale%2C+MN+55128" TargetMode="External"/><Relationship Id="rId1346" Type="http://schemas.openxmlformats.org/officeDocument/2006/relationships/hyperlink" Target="https://npiregistry.cms.hhs.gov/provider-view/1003316852" TargetMode="External"/><Relationship Id="rId1693" Type="http://schemas.openxmlformats.org/officeDocument/2006/relationships/hyperlink" Target="https://www.google.com/maps/search/?api=1&amp;query=Align+Chiropractic+%26+Wellness+PLC%2C+204+Lake+Ave%2C+Fairmont%2C+MN+56031" TargetMode="External"/><Relationship Id="rId716" Type="http://schemas.openxmlformats.org/officeDocument/2006/relationships/hyperlink" Target="https://www.google.com/maps/search/?api=1&amp;query=Sunnydays+Therapy+INC%2C+15265+Minnetonka+Boulevard%2C+Minnetonka%2C+MN+55345" TargetMode="External"/><Relationship Id="rId923" Type="http://schemas.openxmlformats.org/officeDocument/2006/relationships/hyperlink" Target="https://npiregistry.cms.hhs.gov/provider-view/1952521676" TargetMode="External"/><Relationship Id="rId1553" Type="http://schemas.openxmlformats.org/officeDocument/2006/relationships/hyperlink" Target="https://www.google.com/maps/search/?api=1&amp;query=Downtown+Health+%26+Wellness+PA%2C+22+6th+St+N%2C+Moorhead%2C+MN+56560" TargetMode="External"/><Relationship Id="rId1760" Type="http://schemas.openxmlformats.org/officeDocument/2006/relationships/hyperlink" Target="https://npiregistry.cms.hhs.gov/provider-view/1265521447" TargetMode="External"/><Relationship Id="rId1858" Type="http://schemas.openxmlformats.org/officeDocument/2006/relationships/hyperlink" Target="https://npiregistry.cms.hhs.gov/provider-view/1124459391" TargetMode="External"/><Relationship Id="rId52" Type="http://schemas.openxmlformats.org/officeDocument/2006/relationships/hyperlink" Target="https://npiregistry.cms.hhs.gov/provider-view/1386466886" TargetMode="External"/><Relationship Id="rId1206" Type="http://schemas.openxmlformats.org/officeDocument/2006/relationships/hyperlink" Target="https://npiregistry.cms.hhs.gov/provider-view/1275271462" TargetMode="External"/><Relationship Id="rId1413" Type="http://schemas.openxmlformats.org/officeDocument/2006/relationships/hyperlink" Target="https://www.google.com/maps/search/?api=1&amp;query=Smart+Chiropractic%2C+PA.%2C+19513+State+Highway+371%2C+Brainerd%2C+MN+56401" TargetMode="External"/><Relationship Id="rId1620" Type="http://schemas.openxmlformats.org/officeDocument/2006/relationships/hyperlink" Target="https://npiregistry.cms.hhs.gov/provider-view/1033723309" TargetMode="External"/><Relationship Id="rId1718" Type="http://schemas.openxmlformats.org/officeDocument/2006/relationships/hyperlink" Target="https://npiregistry.cms.hhs.gov/provider-view/1811451701" TargetMode="External"/><Relationship Id="rId299" Type="http://schemas.openxmlformats.org/officeDocument/2006/relationships/hyperlink" Target="https://www.google.com/maps/search/?api=1&amp;query=Novacare+Rehabilitation%2C+17305+Cedar+Ave+S%2C+Lakeville%2C+MN+55044" TargetMode="External"/><Relationship Id="rId159" Type="http://schemas.openxmlformats.org/officeDocument/2006/relationships/hyperlink" Target="https://www.google.com/maps/search/?api=1&amp;query=Niko+Physical+Therapy+LLC%2C+7300+147th+St+W%2C+Apple+Valley%2C+MN+55124" TargetMode="External"/><Relationship Id="rId366" Type="http://schemas.openxmlformats.org/officeDocument/2006/relationships/hyperlink" Target="https://npiregistry.cms.hhs.gov/provider-view/1346553179" TargetMode="External"/><Relationship Id="rId573" Type="http://schemas.openxmlformats.org/officeDocument/2006/relationships/hyperlink" Target="https://www.google.com/maps/search/?api=1&amp;query=Saunders+Therapy+Centers+INC%2C+10900+73rd+Ave+N%2C+Maple+Grove%2C+MN+55369" TargetMode="External"/><Relationship Id="rId780" Type="http://schemas.openxmlformats.org/officeDocument/2006/relationships/hyperlink" Target="https://www.google.com/maps/search/?api=1&amp;query=Therapy+Partners%2C+INC.%2C+14100+Carlson+Pkwy%2C+Plymouth%2C+MN+55441" TargetMode="External"/><Relationship Id="rId226" Type="http://schemas.openxmlformats.org/officeDocument/2006/relationships/hyperlink" Target="https://npiregistry.cms.hhs.gov/provider-view/1912833070" TargetMode="External"/><Relationship Id="rId433" Type="http://schemas.openxmlformats.org/officeDocument/2006/relationships/hyperlink" Target="https://www.google.com/maps/search/?api=1&amp;query=Platinum+Chiropractoc%2C+12300+Singletree+Ln%2C+Eden+Prairie%2C+MN+55344" TargetMode="External"/><Relationship Id="rId878" Type="http://schemas.openxmlformats.org/officeDocument/2006/relationships/hyperlink" Target="https://www.google.com/maps/search/?api=1&amp;query=Zero+Distance+Acupuncture+LLC%2C+1736+Cope+Ave+E%2C+Maplewood%2C+MN+55109" TargetMode="External"/><Relationship Id="rId1063" Type="http://schemas.openxmlformats.org/officeDocument/2006/relationships/hyperlink" Target="https://npiregistry.cms.hhs.gov/provider-view/1144063447" TargetMode="External"/><Relationship Id="rId1270" Type="http://schemas.openxmlformats.org/officeDocument/2006/relationships/hyperlink" Target="https://npiregistry.cms.hhs.gov/provider-view/1598496176" TargetMode="External"/><Relationship Id="rId640" Type="http://schemas.openxmlformats.org/officeDocument/2006/relationships/hyperlink" Target="https://www.google.com/maps/search/?api=1&amp;query=Millennium+Chiropractic+Clinic%2C+2722+Park+Ave%2C+Minneapolis%2C+MN+55407" TargetMode="External"/><Relationship Id="rId738" Type="http://schemas.openxmlformats.org/officeDocument/2006/relationships/hyperlink" Target="https://www.google.com/maps/search/?api=1&amp;query=Advanced+Chiropractic+Health+PA%2C+4205+Lancaster+Ln+N%2C+Plymouth%2C+MN+55441" TargetMode="External"/><Relationship Id="rId945" Type="http://schemas.openxmlformats.org/officeDocument/2006/relationships/hyperlink" Target="https://npiregistry.cms.hhs.gov/provider-view/1780739417" TargetMode="External"/><Relationship Id="rId1368" Type="http://schemas.openxmlformats.org/officeDocument/2006/relationships/hyperlink" Target="https://npiregistry.cms.hhs.gov/provider-view/1831058593" TargetMode="External"/><Relationship Id="rId1575" Type="http://schemas.openxmlformats.org/officeDocument/2006/relationships/hyperlink" Target="https://www.google.com/maps/search/?api=1&amp;query=Center+For+Pain+Management+Ambulatory+Surgery%2C+LTD%2C+519+22nd+Ave+E%2C+Alexandria%2C+MN+56308" TargetMode="External"/><Relationship Id="rId1782" Type="http://schemas.openxmlformats.org/officeDocument/2006/relationships/hyperlink" Target="https://npiregistry.cms.hhs.gov/provider-view/1336858232" TargetMode="External"/><Relationship Id="rId74" Type="http://schemas.openxmlformats.org/officeDocument/2006/relationships/hyperlink" Target="https://npiregistry.cms.hhs.gov/provider-view/1750917068" TargetMode="External"/><Relationship Id="rId500" Type="http://schemas.openxmlformats.org/officeDocument/2006/relationships/hyperlink" Target="https://npiregistry.cms.hhs.gov/provider-view/1013899764" TargetMode="External"/><Relationship Id="rId805" Type="http://schemas.openxmlformats.org/officeDocument/2006/relationships/hyperlink" Target="https://npiregistry.cms.hhs.gov/provider-view/1407809494" TargetMode="External"/><Relationship Id="rId1130" Type="http://schemas.openxmlformats.org/officeDocument/2006/relationships/hyperlink" Target="https://npiregistry.cms.hhs.gov/provider-view/1023609799" TargetMode="External"/><Relationship Id="rId1228" Type="http://schemas.openxmlformats.org/officeDocument/2006/relationships/hyperlink" Target="https://npiregistry.cms.hhs.gov/provider-view/1427479617" TargetMode="External"/><Relationship Id="rId1435" Type="http://schemas.openxmlformats.org/officeDocument/2006/relationships/hyperlink" Target="https://www.google.com/maps/search/?api=1&amp;query=Blue+Water+Oral+and+Facial+Surgery%2C+303+SE+1st+St%2C+Grand+Rapids%2C+MN+55744" TargetMode="External"/><Relationship Id="rId1642" Type="http://schemas.openxmlformats.org/officeDocument/2006/relationships/hyperlink" Target="https://npiregistry.cms.hhs.gov/provider-view/1053274779" TargetMode="External"/><Relationship Id="rId1502" Type="http://schemas.openxmlformats.org/officeDocument/2006/relationships/hyperlink" Target="https://npiregistry.cms.hhs.gov/provider-view/1407809494" TargetMode="External"/><Relationship Id="rId1807" Type="http://schemas.openxmlformats.org/officeDocument/2006/relationships/hyperlink" Target="https://www.google.com/maps/search/?api=1&amp;query=Allina+Health+Orthopedic%2C+Podiatry+and+Spine+Clinic-Faribault%2C+35+State+Ave%2C+Faribault%2C+MN+55021" TargetMode="External"/><Relationship Id="rId290" Type="http://schemas.openxmlformats.org/officeDocument/2006/relationships/hyperlink" Target="https://npiregistry.cms.hhs.gov/provider-view/1871294538" TargetMode="External"/><Relationship Id="rId388" Type="http://schemas.openxmlformats.org/officeDocument/2006/relationships/hyperlink" Target="https://npiregistry.cms.hhs.gov/provider-view/1326273798" TargetMode="External"/><Relationship Id="rId150" Type="http://schemas.openxmlformats.org/officeDocument/2006/relationships/hyperlink" Target="https://npiregistry.cms.hhs.gov/provider-view/1982126926" TargetMode="External"/><Relationship Id="rId595" Type="http://schemas.openxmlformats.org/officeDocument/2006/relationships/hyperlink" Target="https://www.google.com/maps/search/?api=1&amp;query=Advanced+Spine+and+Pain+Clinics+of+Minnesota+LLC%2C+2801+Wayzata+Blvd%2C+Minneapolis%2C+MN+55405" TargetMode="External"/><Relationship Id="rId248" Type="http://schemas.openxmlformats.org/officeDocument/2006/relationships/hyperlink" Target="https://npiregistry.cms.hhs.gov/provider-view/1730320276" TargetMode="External"/><Relationship Id="rId455" Type="http://schemas.openxmlformats.org/officeDocument/2006/relationships/hyperlink" Target="https://www.google.com/maps/search/?api=1&amp;query=Awaken+Life+Chiropractic%2C+LLC%2C+7401+Metro+Blvd%2C+Edina%2C+MN+55439" TargetMode="External"/><Relationship Id="rId662" Type="http://schemas.openxmlformats.org/officeDocument/2006/relationships/hyperlink" Target="https://www.google.com/maps/search/?api=1&amp;query=Pure+Health%2C+LLC%2C+945+Broadway+St+NE%2C+Minneapolis%2C+MN+55413" TargetMode="External"/><Relationship Id="rId1085" Type="http://schemas.openxmlformats.org/officeDocument/2006/relationships/hyperlink" Target="https://www.google.com/maps/search/?api=1&amp;query=The+Facial+Pain+Center%2C+4155+Dean+Lakes+Blvd%2C+Shakopee%2C+MN+55379" TargetMode="External"/><Relationship Id="rId1292" Type="http://schemas.openxmlformats.org/officeDocument/2006/relationships/hyperlink" Target="https://npiregistry.cms.hhs.gov/provider-view/1942932264" TargetMode="External"/><Relationship Id="rId108" Type="http://schemas.openxmlformats.org/officeDocument/2006/relationships/hyperlink" Target="https://npiregistry.cms.hhs.gov/provider-view/1407809494" TargetMode="External"/><Relationship Id="rId315" Type="http://schemas.openxmlformats.org/officeDocument/2006/relationships/hyperlink" Target="https://www.google.com/maps/search/?api=1&amp;query=Mendota+Physical+Therapy+LLC%2C+1270+Northland+Dr%2C+Mendota+Heights%2C+MN+55120" TargetMode="External"/><Relationship Id="rId522" Type="http://schemas.openxmlformats.org/officeDocument/2006/relationships/hyperlink" Target="https://npiregistry.cms.hhs.gov/provider-view/1356064323" TargetMode="External"/><Relationship Id="rId967" Type="http://schemas.openxmlformats.org/officeDocument/2006/relationships/hyperlink" Target="https://npiregistry.cms.hhs.gov/provider-view/1780288134" TargetMode="External"/><Relationship Id="rId1152" Type="http://schemas.openxmlformats.org/officeDocument/2006/relationships/hyperlink" Target="https://npiregistry.cms.hhs.gov/provider-view/1770398059" TargetMode="External"/><Relationship Id="rId1597" Type="http://schemas.openxmlformats.org/officeDocument/2006/relationships/hyperlink" Target="https://www.google.com/maps/search/?api=1&amp;query=The+Wellness+PT+LLC%2C+510+22nd+Ave+E%2C+Alexandria%2C+MN+56308" TargetMode="External"/><Relationship Id="rId96" Type="http://schemas.openxmlformats.org/officeDocument/2006/relationships/hyperlink" Target="https://npiregistry.cms.hhs.gov/provider-view/1891332599" TargetMode="External"/><Relationship Id="rId827" Type="http://schemas.openxmlformats.org/officeDocument/2006/relationships/hyperlink" Target="https://npiregistry.cms.hhs.gov/provider-view/1518963909" TargetMode="External"/><Relationship Id="rId1012" Type="http://schemas.openxmlformats.org/officeDocument/2006/relationships/hyperlink" Target="https://www.google.com/maps/search/?api=1&amp;query=Tria%40work%2C+640+Jackson+St%2C+St.+Paul%2C+MN+55101" TargetMode="External"/><Relationship Id="rId1457" Type="http://schemas.openxmlformats.org/officeDocument/2006/relationships/hyperlink" Target="https://www.google.com/maps/search/?api=1&amp;query=Aspirus+St+Lukes+Clinic+Duluth+Orthopedic+%26+Sports+Medicine%2C+1015+E+1st+St%2C+Duluth%2C+MN+55805" TargetMode="External"/><Relationship Id="rId1664" Type="http://schemas.openxmlformats.org/officeDocument/2006/relationships/hyperlink" Target="https://npiregistry.cms.hhs.gov/provider-view/1891298865" TargetMode="External"/><Relationship Id="rId1871" Type="http://schemas.openxmlformats.org/officeDocument/2006/relationships/hyperlink" Target="https://www.google.com/maps/search/?api=1&amp;query=Sanford+Clinic%2C+251+5th+St+E%2C+Tracy%2C+MN+56175" TargetMode="External"/><Relationship Id="rId1317" Type="http://schemas.openxmlformats.org/officeDocument/2006/relationships/hyperlink" Target="https://www.google.com/maps/search/?api=1&amp;query=Center+For+Outpatient+Surgery%2C+2000+Abbott+Northwestern+Ct%2C+Sartell%2C+MN+56377" TargetMode="External"/><Relationship Id="rId1524" Type="http://schemas.openxmlformats.org/officeDocument/2006/relationships/hyperlink" Target="https://npiregistry.cms.hhs.gov/provider-view/1003985516" TargetMode="External"/><Relationship Id="rId1731" Type="http://schemas.openxmlformats.org/officeDocument/2006/relationships/hyperlink" Target="https://www.google.com/maps/search/?api=1&amp;query=Red+Wing+Chiropractic+Clinic%2C+1660+Siewert+St%2C+Red+Wing%2C+MN+55066" TargetMode="External"/><Relationship Id="rId23" Type="http://schemas.openxmlformats.org/officeDocument/2006/relationships/hyperlink" Target="https://www.google.com/maps/search/?api=1&amp;query=OMS+Specialists%2C+11855+Ulysses+Street+NE%2C+Blaine%2C+MN+55434" TargetMode="External"/><Relationship Id="rId1829" Type="http://schemas.openxmlformats.org/officeDocument/2006/relationships/hyperlink" Target="https://www.google.com/maps/search/?api=1&amp;query=Fourth+Trimester+Physical+Therapy+LLC%2C+1590+Gray+Fox+Dr+NE%2C+Owatonna%2C+MN+55060" TargetMode="External"/><Relationship Id="rId172" Type="http://schemas.openxmlformats.org/officeDocument/2006/relationships/hyperlink" Target="https://npiregistry.cms.hhs.gov/provider-view/1821299041" TargetMode="External"/><Relationship Id="rId477" Type="http://schemas.openxmlformats.org/officeDocument/2006/relationships/hyperlink" Target="https://www.google.com/maps/search/?api=1&amp;query=Healthsource+Chiropractic+and+Progressive+Rehab-Richfield%2C+PA.%2C+3300+Edinborough+Way%2C+Edina%2C+MN+55435" TargetMode="External"/><Relationship Id="rId684" Type="http://schemas.openxmlformats.org/officeDocument/2006/relationships/hyperlink" Target="https://www.google.com/maps/search/?api=1&amp;query=Therapy+Partners%2C+INC.%2C+2125+E+Hennepin+Ave%2C+Minneapolis%2C+MN+55413" TargetMode="External"/><Relationship Id="rId337" Type="http://schemas.openxmlformats.org/officeDocument/2006/relationships/hyperlink" Target="https://www.google.com/maps/search/?api=1&amp;query=Elysium+Chiropractic+PLLC%2C+10800+Lyndale+Ave+S%2C+Bloomington%2C+MN+55420" TargetMode="External"/><Relationship Id="rId891" Type="http://schemas.openxmlformats.org/officeDocument/2006/relationships/hyperlink" Target="https://npiregistry.cms.hhs.gov/provider-view/1215123856" TargetMode="External"/><Relationship Id="rId989" Type="http://schemas.openxmlformats.org/officeDocument/2006/relationships/hyperlink" Target="https://npiregistry.cms.hhs.gov/provider-view/1972476836" TargetMode="External"/><Relationship Id="rId544" Type="http://schemas.openxmlformats.org/officeDocument/2006/relationships/hyperlink" Target="https://npiregistry.cms.hhs.gov/provider-view/1720969785" TargetMode="External"/><Relationship Id="rId751" Type="http://schemas.openxmlformats.org/officeDocument/2006/relationships/hyperlink" Target="https://npiregistry.cms.hhs.gov/provider-view/1275881971" TargetMode="External"/><Relationship Id="rId849" Type="http://schemas.openxmlformats.org/officeDocument/2006/relationships/hyperlink" Target="https://npiregistry.cms.hhs.gov/provider-view/1083785679" TargetMode="External"/><Relationship Id="rId1174" Type="http://schemas.openxmlformats.org/officeDocument/2006/relationships/hyperlink" Target="https://npiregistry.cms.hhs.gov/provider-view/1861066789" TargetMode="External"/><Relationship Id="rId1381" Type="http://schemas.openxmlformats.org/officeDocument/2006/relationships/hyperlink" Target="https://www.google.com/maps/search/?api=1&amp;query=Sanford+Bemidji+Main+Clinic%2C+1233+34th+St+NW%2C+Bemidji%2C+MN+56601" TargetMode="External"/><Relationship Id="rId1479" Type="http://schemas.openxmlformats.org/officeDocument/2006/relationships/hyperlink" Target="https://www.google.com/maps/search/?api=1&amp;query=Jonker+Chiropractic+Sc%2C+1620+London+Rd%2C+Duluth%2C+MN+55812" TargetMode="External"/><Relationship Id="rId1686" Type="http://schemas.openxmlformats.org/officeDocument/2006/relationships/hyperlink" Target="https://npiregistry.cms.hhs.gov/provider-view/1487453239" TargetMode="External"/><Relationship Id="rId404" Type="http://schemas.openxmlformats.org/officeDocument/2006/relationships/hyperlink" Target="https://npiregistry.cms.hhs.gov/provider-view/1699501601" TargetMode="External"/><Relationship Id="rId611" Type="http://schemas.openxmlformats.org/officeDocument/2006/relationships/hyperlink" Target="https://www.google.com/maps/search/?api=1&amp;query=Chronic+Pain+Management%2C+800+E+28th+St%2C+Minneapolis%2C+MN+55407" TargetMode="External"/><Relationship Id="rId1034" Type="http://schemas.openxmlformats.org/officeDocument/2006/relationships/hyperlink" Target="https://www.google.com/maps/search/?api=1&amp;query=Olive+Me+Chiropractic%2C+Corporation%2C+1468+County+Road+E+E%2C+Vadnais+Heights%2C+MN+55110" TargetMode="External"/><Relationship Id="rId1241" Type="http://schemas.openxmlformats.org/officeDocument/2006/relationships/hyperlink" Target="https://www.google.com/maps/search/?api=1&amp;query=Allina+Health+Buffalo+Specialty+Clinic%2C+303+Catlin+St%2C+Buffalo%2C+MN+55313" TargetMode="External"/><Relationship Id="rId1339" Type="http://schemas.openxmlformats.org/officeDocument/2006/relationships/hyperlink" Target="https://www.google.com/maps/search/?api=1&amp;query=Hjort+Chiropractic%2C+PA.%2C+3700+W+Division+St%2C+St.+Cloud%2C+MN+56301" TargetMode="External"/><Relationship Id="rId1893" Type="http://schemas.openxmlformats.org/officeDocument/2006/relationships/hyperlink" Target="https://www.google.com/maps/search/?api=1&amp;query=Sanford+Luverne+Clinic%2C+1601+Sioux+Valley+Dr%2C+Luverne%2C+MN+56156" TargetMode="External"/><Relationship Id="rId709" Type="http://schemas.openxmlformats.org/officeDocument/2006/relationships/hyperlink" Target="https://npiregistry.cms.hhs.gov/provider-view/1316285935" TargetMode="External"/><Relationship Id="rId916" Type="http://schemas.openxmlformats.org/officeDocument/2006/relationships/hyperlink" Target="https://www.google.com/maps/search/?api=1&amp;query=Back+To+Wellness+Chiropractic+and+Nutrition%2C+1173+7th+St+W%2C+St.+Paul%2C+MN+55102" TargetMode="External"/><Relationship Id="rId1101" Type="http://schemas.openxmlformats.org/officeDocument/2006/relationships/hyperlink" Target="https://www.google.com/maps/search/?api=1&amp;query=Novacare+Rehabilitation%2C+555+Railroad+Dr+NW%2C+Elk+River%2C+MN+55330" TargetMode="External"/><Relationship Id="rId1546" Type="http://schemas.openxmlformats.org/officeDocument/2006/relationships/hyperlink" Target="https://npiregistry.cms.hhs.gov/provider-view/1982886024" TargetMode="External"/><Relationship Id="rId1753" Type="http://schemas.openxmlformats.org/officeDocument/2006/relationships/hyperlink" Target="https://www.google.com/maps/search/?api=1&amp;query=Activept+Corp%2C+3708+Hwy+63+N%2C+Rochester%2C+MN+55906" TargetMode="External"/><Relationship Id="rId45" Type="http://schemas.openxmlformats.org/officeDocument/2006/relationships/hyperlink" Target="https://www.google.com/maps/search/?api=1&amp;query=Metropolitan+Neurosurgery%2C+PA%2C+11850+Blackfoot+St+NW%2C+Coon+Rapids%2C+MN+55433" TargetMode="External"/><Relationship Id="rId1406" Type="http://schemas.openxmlformats.org/officeDocument/2006/relationships/hyperlink" Target="https://npiregistry.cms.hhs.gov/provider-view/1578664660" TargetMode="External"/><Relationship Id="rId1613" Type="http://schemas.openxmlformats.org/officeDocument/2006/relationships/hyperlink" Target="https://www.google.com/maps/search/?api=1&amp;query=Heartland+Orthopedic+Specialists%2C+A+Service+of+Alomere+Health%2C+2609+Cenex+Dr%2C+Fergus+Falls%2C+MN+56537" TargetMode="External"/><Relationship Id="rId1820" Type="http://schemas.openxmlformats.org/officeDocument/2006/relationships/hyperlink" Target="https://npiregistry.cms.hhs.gov/provider-view/1205862844" TargetMode="External"/><Relationship Id="rId194" Type="http://schemas.openxmlformats.org/officeDocument/2006/relationships/hyperlink" Target="https://npiregistry.cms.hhs.gov/provider-view/1407505829" TargetMode="External"/><Relationship Id="rId261" Type="http://schemas.openxmlformats.org/officeDocument/2006/relationships/hyperlink" Target="https://www.google.com/maps/search/?api=1&amp;query=Twin+Cities+Oral+%26+Maxillofacial+Surgery+PA.%2C+925+Highway+55%2C+Hastings%2C+MN+55033" TargetMode="External"/><Relationship Id="rId499" Type="http://schemas.openxmlformats.org/officeDocument/2006/relationships/hyperlink" Target="https://www.google.com/maps/search/?api=1&amp;query=Olympus+Chiropractic+PLLC%2C+6600+France+Ave+S%2C+Edina%2C+MN+55435" TargetMode="External"/><Relationship Id="rId359" Type="http://schemas.openxmlformats.org/officeDocument/2006/relationships/hyperlink" Target="https://www.google.com/maps/search/?api=1&amp;query=The+Facial+Pain+Center%2C+4200+W+Old+Shakopee+Rd%2C+Bloomington%2C+MN+55437" TargetMode="External"/><Relationship Id="rId566" Type="http://schemas.openxmlformats.org/officeDocument/2006/relationships/hyperlink" Target="https://npiregistry.cms.hhs.gov/provider-view/1366084402" TargetMode="External"/><Relationship Id="rId773" Type="http://schemas.openxmlformats.org/officeDocument/2006/relationships/hyperlink" Target="https://npiregistry.cms.hhs.gov/provider-view/1487240693" TargetMode="External"/><Relationship Id="rId1196" Type="http://schemas.openxmlformats.org/officeDocument/2006/relationships/hyperlink" Target="https://npiregistry.cms.hhs.gov/provider-view/1710785233" TargetMode="External"/><Relationship Id="rId121" Type="http://schemas.openxmlformats.org/officeDocument/2006/relationships/hyperlink" Target="https://www.google.com/maps/search/?api=1&amp;query=Twin+Cities+Pain+Clinic%2C+584+Bavaria+Ln%2C+Chaska%2C+MN+55318" TargetMode="External"/><Relationship Id="rId219" Type="http://schemas.openxmlformats.org/officeDocument/2006/relationships/hyperlink" Target="https://www.google.com/maps/search/?api=1&amp;query=Therapy+Partners%2C+INC.%2C+1351+Larc+Industrial+Blvd%2C+Burnsville%2C+MN+55337" TargetMode="External"/><Relationship Id="rId426" Type="http://schemas.openxmlformats.org/officeDocument/2006/relationships/hyperlink" Target="https://npiregistry.cms.hhs.gov/provider-view/1558208033" TargetMode="External"/><Relationship Id="rId633" Type="http://schemas.openxmlformats.org/officeDocument/2006/relationships/hyperlink" Target="https://www.google.com/maps/search/?api=1&amp;query=Ls+Pain+Relief+Center+PA%2C+515+W+Lake+St%2C+Minneapolis%2C+MN+55408" TargetMode="External"/><Relationship Id="rId980" Type="http://schemas.openxmlformats.org/officeDocument/2006/relationships/hyperlink" Target="https://www.google.com/maps/search/?api=1&amp;query=Pure+Health+MN+LLC%2C+2059+Randolph+Ave%2C+St.+Paul%2C+MN+55105" TargetMode="External"/><Relationship Id="rId1056" Type="http://schemas.openxmlformats.org/officeDocument/2006/relationships/hyperlink" Target="https://www.google.com/maps/search/?api=1&amp;query=Total+Health+Advantage%2C+150+El+Dorado+Drive%2C+Jordan%2C+MN+55352" TargetMode="External"/><Relationship Id="rId1263" Type="http://schemas.openxmlformats.org/officeDocument/2006/relationships/hyperlink" Target="https://www.google.com/maps/search/?api=1&amp;query=Thompson+Chiropractic+Clinic+PA%2C+1262+Crossing+Dr%2C+Delano%2C+MN+55328" TargetMode="External"/><Relationship Id="rId840" Type="http://schemas.openxmlformats.org/officeDocument/2006/relationships/hyperlink" Target="https://www.google.com/maps/search/?api=1&amp;query=Reneu+Sport+and+Health%2C+101+Lake+St+W%2C+Wayzata%2C+MN+55391" TargetMode="External"/><Relationship Id="rId938" Type="http://schemas.openxmlformats.org/officeDocument/2006/relationships/hyperlink" Target="https://www.google.com/maps/search/?api=1&amp;query=Entira+Family+Clinics-Highland%2C+280+Snelling+Ave+N%2C+St.+Paul%2C+MN+55104" TargetMode="External"/><Relationship Id="rId1470" Type="http://schemas.openxmlformats.org/officeDocument/2006/relationships/hyperlink" Target="https://npiregistry.cms.hhs.gov/provider-view/1376757682" TargetMode="External"/><Relationship Id="rId1568" Type="http://schemas.openxmlformats.org/officeDocument/2006/relationships/hyperlink" Target="https://npiregistry.cms.hhs.gov/provider-view/1861573974" TargetMode="External"/><Relationship Id="rId1775" Type="http://schemas.openxmlformats.org/officeDocument/2006/relationships/hyperlink" Target="https://www.google.com/maps/search/?api=1&amp;query=Interventional+Orthopedic+Solutions+-+Rochester%2C+PLLC%2C+2560+2nd+St+SW%2C+Rochester%2C+MN+55902" TargetMode="External"/><Relationship Id="rId67" Type="http://schemas.openxmlformats.org/officeDocument/2006/relationships/hyperlink" Target="https://www.google.com/maps/search/?api=1&amp;query=Therapy+Partners%2C+INC.%2C+8770+Springbrook+Dr+NW%2C+Coon+Rapids%2C+MN+55433" TargetMode="External"/><Relationship Id="rId700" Type="http://schemas.openxmlformats.org/officeDocument/2006/relationships/hyperlink" Target="https://www.google.com/maps/search/?api=1&amp;query=Facial+Designs%2C+P.A.%2C+11601+Minnetonka+Mills+Rd%2C+Minnetonka%2C+MN+55305" TargetMode="External"/><Relationship Id="rId1123" Type="http://schemas.openxmlformats.org/officeDocument/2006/relationships/hyperlink" Target="https://www.google.com/maps/search/?api=1&amp;query=HealthPartners+Dental+Specialty+Center+Woodbury+-+Lake+Elmo%2C+8515+Eagle+Point+Blvd%2C+Lake+Elmo%2C+MN+55042" TargetMode="External"/><Relationship Id="rId1330" Type="http://schemas.openxmlformats.org/officeDocument/2006/relationships/hyperlink" Target="https://npiregistry.cms.hhs.gov/provider-view/1033766654" TargetMode="External"/><Relationship Id="rId1428" Type="http://schemas.openxmlformats.org/officeDocument/2006/relationships/hyperlink" Target="https://npiregistry.cms.hhs.gov/provider-view/1417358490" TargetMode="External"/><Relationship Id="rId1635" Type="http://schemas.openxmlformats.org/officeDocument/2006/relationships/hyperlink" Target="https://www.google.com/maps/search/?api=1&amp;query=Healthsource+of+Morris%2C+210+Atlantic+Ave%2C+Morris%2C+MN+56267" TargetMode="External"/><Relationship Id="rId1842" Type="http://schemas.openxmlformats.org/officeDocument/2006/relationships/hyperlink" Target="https://npiregistry.cms.hhs.gov/provider-view/1649500984" TargetMode="External"/><Relationship Id="rId1702" Type="http://schemas.openxmlformats.org/officeDocument/2006/relationships/hyperlink" Target="https://npiregistry.cms.hhs.gov/provider-view/1841903283" TargetMode="External"/><Relationship Id="rId283" Type="http://schemas.openxmlformats.org/officeDocument/2006/relationships/hyperlink" Target="https://www.google.com/maps/search/?api=1&amp;query=Allina+Health+Brain+and+Spine+Institute%2C+18465+Orchard+Trl%2C+Lakeville%2C+MN+55044" TargetMode="External"/><Relationship Id="rId490" Type="http://schemas.openxmlformats.org/officeDocument/2006/relationships/hyperlink" Target="https://npiregistry.cms.hhs.gov/provider-view/1225916745" TargetMode="External"/><Relationship Id="rId143" Type="http://schemas.openxmlformats.org/officeDocument/2006/relationships/hyperlink" Target="https://www.google.com/maps/search/?api=1&amp;query=Weierke+Chiropractic+PA%2C+386+Bench+St%2C+Taylors+Falls%2C+MN+55084" TargetMode="External"/><Relationship Id="rId350" Type="http://schemas.openxmlformats.org/officeDocument/2006/relationships/hyperlink" Target="https://npiregistry.cms.hhs.gov/provider-view/1023021938" TargetMode="External"/><Relationship Id="rId588" Type="http://schemas.openxmlformats.org/officeDocument/2006/relationships/hyperlink" Target="https://npiregistry.cms.hhs.gov/provider-view/1750797072" TargetMode="External"/><Relationship Id="rId795" Type="http://schemas.openxmlformats.org/officeDocument/2006/relationships/hyperlink" Target="https://npiregistry.cms.hhs.gov/provider-view/1730943424" TargetMode="External"/><Relationship Id="rId9" Type="http://schemas.openxmlformats.org/officeDocument/2006/relationships/hyperlink" Target="https://www.google.com/maps/search/?api=1&amp;query=Kuss+Chiropractic%2C+440+Bunker+Lake+Blvd+NW%2C+Anoka%2C+MN+55303" TargetMode="External"/><Relationship Id="rId210" Type="http://schemas.openxmlformats.org/officeDocument/2006/relationships/hyperlink" Target="https://npiregistry.cms.hhs.gov/provider-view/1134103674" TargetMode="External"/><Relationship Id="rId448" Type="http://schemas.openxmlformats.org/officeDocument/2006/relationships/hyperlink" Target="https://npiregistry.cms.hhs.gov/provider-view/1336650043" TargetMode="External"/><Relationship Id="rId655" Type="http://schemas.openxmlformats.org/officeDocument/2006/relationships/hyperlink" Target="https://npiregistry.cms.hhs.gov/provider-view/1750316014" TargetMode="External"/><Relationship Id="rId862" Type="http://schemas.openxmlformats.org/officeDocument/2006/relationships/hyperlink" Target="https://www.google.com/maps/search/?api=1&amp;query=Discovery+Chiropractic+PLLC%2C+2785+White+Bear+Ave+N%2C+Maplewood%2C+MN+55109" TargetMode="External"/><Relationship Id="rId1078" Type="http://schemas.openxmlformats.org/officeDocument/2006/relationships/hyperlink" Target="https://npiregistry.cms.hhs.gov/provider-view/1467370361" TargetMode="External"/><Relationship Id="rId1285" Type="http://schemas.openxmlformats.org/officeDocument/2006/relationships/hyperlink" Target="https://www.google.com/maps/search/?api=1&amp;query=Natural+Touch+Chiropractic+and+Wellness%2C+PLLC%2C+1250+Highway+15+S%2C+Hutchinson%2C+MN+55350" TargetMode="External"/><Relationship Id="rId1492" Type="http://schemas.openxmlformats.org/officeDocument/2006/relationships/hyperlink" Target="https://npiregistry.cms.hhs.gov/provider-view/1063231017" TargetMode="External"/><Relationship Id="rId308" Type="http://schemas.openxmlformats.org/officeDocument/2006/relationships/hyperlink" Target="https://npiregistry.cms.hhs.gov/provider-view/1407337868" TargetMode="External"/><Relationship Id="rId515" Type="http://schemas.openxmlformats.org/officeDocument/2006/relationships/hyperlink" Target="https://www.google.com/maps/search/?api=1&amp;query=The+Dental+Specialists%2C+6545+France+Ave+S%2C+Edina%2C+MN+55435" TargetMode="External"/><Relationship Id="rId722" Type="http://schemas.openxmlformats.org/officeDocument/2006/relationships/hyperlink" Target="https://www.google.com/maps/search/?api=1&amp;query=The+Functional+Neurology+Center%2C+11055+Wayzata+Blvd%2C+Minnetonka%2C+MN+55305" TargetMode="External"/><Relationship Id="rId1145" Type="http://schemas.openxmlformats.org/officeDocument/2006/relationships/hyperlink" Target="https://www.google.com/maps/search/?api=1&amp;query=Peak+Physical+Therapy%2C+PLLC%2C+611+Bielenberg+Dr%2C+St.+Paul%2C+MN+55125" TargetMode="External"/><Relationship Id="rId1352" Type="http://schemas.openxmlformats.org/officeDocument/2006/relationships/hyperlink" Target="https://npiregistry.cms.hhs.gov/provider-view/1205183050" TargetMode="External"/><Relationship Id="rId1797" Type="http://schemas.openxmlformats.org/officeDocument/2006/relationships/hyperlink" Target="https://www.google.com/maps/search/?api=1&amp;query=Skare+Spine+and+Performance+PLLC%2C+1615+Broadway+Ave+N%2C+Rochester%2C+MN+55906" TargetMode="External"/><Relationship Id="rId89" Type="http://schemas.openxmlformats.org/officeDocument/2006/relationships/hyperlink" Target="https://www.google.com/maps/search/?api=1&amp;query=Sprout+Chiropractic+%26+Wellness%2C+7525+Village+Dr%2C+Lino+Lakes%2C+MN+55014" TargetMode="External"/><Relationship Id="rId1005" Type="http://schemas.openxmlformats.org/officeDocument/2006/relationships/hyperlink" Target="https://npiregistry.cms.hhs.gov/provider-view/1962429779" TargetMode="External"/><Relationship Id="rId1212" Type="http://schemas.openxmlformats.org/officeDocument/2006/relationships/hyperlink" Target="https://npiregistry.cms.hhs.gov/provider-view/1346316189" TargetMode="External"/><Relationship Id="rId1657" Type="http://schemas.openxmlformats.org/officeDocument/2006/relationships/hyperlink" Target="https://www.google.com/maps/search/?api=1&amp;query=Southeastern+Minnesota+Oral+%26+Maxillofacial+Surgery+Associates%2C+PLLC%2C+1410+Madison+Ave%2C+Mankato%2C+MN+56001" TargetMode="External"/><Relationship Id="rId1864" Type="http://schemas.openxmlformats.org/officeDocument/2006/relationships/hyperlink" Target="https://npiregistry.cms.hhs.gov/provider-view/1700093911" TargetMode="External"/><Relationship Id="rId1517" Type="http://schemas.openxmlformats.org/officeDocument/2006/relationships/hyperlink" Target="https://www.google.com/maps/search/?api=1&amp;query=Blue+Water+Oral+and+Facial+Surgery%2C+505+S+12th+Ave+W%2C+Virginia%2C+MN+55792" TargetMode="External"/><Relationship Id="rId1724" Type="http://schemas.openxmlformats.org/officeDocument/2006/relationships/hyperlink" Target="https://npiregistry.cms.hhs.gov/provider-view/1427911122" TargetMode="External"/><Relationship Id="rId16" Type="http://schemas.openxmlformats.org/officeDocument/2006/relationships/hyperlink" Target="https://npiregistry.cms.hhs.gov/provider-view/1427447432" TargetMode="External"/><Relationship Id="rId165" Type="http://schemas.openxmlformats.org/officeDocument/2006/relationships/hyperlink" Target="https://www.google.com/maps/search/?api=1&amp;query=Spinefocus+Physical+Therapy+LLC%2C+7300+147th+St+W%2C+Apple+Valley%2C+MN+55124" TargetMode="External"/><Relationship Id="rId372" Type="http://schemas.openxmlformats.org/officeDocument/2006/relationships/hyperlink" Target="https://npiregistry.cms.hhs.gov/provider-view/1336580018" TargetMode="External"/><Relationship Id="rId677" Type="http://schemas.openxmlformats.org/officeDocument/2006/relationships/hyperlink" Target="https://npiregistry.cms.hhs.gov/provider-view/1154100667" TargetMode="External"/><Relationship Id="rId232" Type="http://schemas.openxmlformats.org/officeDocument/2006/relationships/hyperlink" Target="https://npiregistry.cms.hhs.gov/provider-view/1174441083" TargetMode="External"/><Relationship Id="rId884" Type="http://schemas.openxmlformats.org/officeDocument/2006/relationships/hyperlink" Target="https://www.google.com/maps/search/?api=1&amp;query=Momenta+Oral+%26+Maxillofacial+Surgery%2C+700+Village+Center+Dr%2C+North+Oaks%2C+MN+55127" TargetMode="External"/><Relationship Id="rId537" Type="http://schemas.openxmlformats.org/officeDocument/2006/relationships/hyperlink" Target="https://www.google.com/maps/search/?api=1&amp;query=Intrinsic+Physical+Therapy+%26+Wellness%2C+4250+Dahlberg+Dr%2C+Golden+Valley%2C+MN+55422" TargetMode="External"/><Relationship Id="rId744" Type="http://schemas.openxmlformats.org/officeDocument/2006/relationships/hyperlink" Target="https://www.google.com/maps/search/?api=1&amp;query=Allina+Health+Neuroscience%2C+Spine%2C+and+Pain%2C+2855+Campus+Dr%2C+Plymouth%2C+MN+55441" TargetMode="External"/><Relationship Id="rId951" Type="http://schemas.openxmlformats.org/officeDocument/2006/relationships/hyperlink" Target="https://npiregistry.cms.hhs.gov/provider-view/1487294401" TargetMode="External"/><Relationship Id="rId1167" Type="http://schemas.openxmlformats.org/officeDocument/2006/relationships/hyperlink" Target="https://www.google.com/maps/search/?api=1&amp;query=The+Oral+Surgery+Center%2C+2850+Curve+Crest+Blvd%2C+Stillwater%2C+MN+55082" TargetMode="External"/><Relationship Id="rId1374" Type="http://schemas.openxmlformats.org/officeDocument/2006/relationships/hyperlink" Target="https://npiregistry.cms.hhs.gov/provider-view/1942490750" TargetMode="External"/><Relationship Id="rId1581" Type="http://schemas.openxmlformats.org/officeDocument/2006/relationships/hyperlink" Target="https://www.google.com/maps/search/?api=1&amp;query=Johnson+Chiropractic+and+Sports+Clinic%2C+503+Hawthorne+St%2C+Alexandria%2C+MN+56308" TargetMode="External"/><Relationship Id="rId1679" Type="http://schemas.openxmlformats.org/officeDocument/2006/relationships/hyperlink" Target="https://www.google.com/maps/search/?api=1&amp;query=Swea+City+Chiropractic+PLLC%2C+1+Main+St+N%2C+Winnebago%2C+MN+56098" TargetMode="External"/><Relationship Id="rId80" Type="http://schemas.openxmlformats.org/officeDocument/2006/relationships/hyperlink" Target="https://npiregistry.cms.hhs.gov/provider-view/1265953061" TargetMode="External"/><Relationship Id="rId604" Type="http://schemas.openxmlformats.org/officeDocument/2006/relationships/hyperlink" Target="https://npiregistry.cms.hhs.gov/provider-view/1528259132" TargetMode="External"/><Relationship Id="rId811" Type="http://schemas.openxmlformats.org/officeDocument/2006/relationships/hyperlink" Target="https://npiregistry.cms.hhs.gov/provider-view/1609392349" TargetMode="External"/><Relationship Id="rId1027" Type="http://schemas.openxmlformats.org/officeDocument/2006/relationships/hyperlink" Target="https://npiregistry.cms.hhs.gov/provider-view/1871507772" TargetMode="External"/><Relationship Id="rId1234" Type="http://schemas.openxmlformats.org/officeDocument/2006/relationships/hyperlink" Target="https://npiregistry.cms.hhs.gov/provider-view/1235674037" TargetMode="External"/><Relationship Id="rId1441" Type="http://schemas.openxmlformats.org/officeDocument/2006/relationships/hyperlink" Target="https://www.google.com/maps/search/?api=1&amp;query=Healing+Hands+Chiropractic+Center%2C+1007+NW+4th+St%2C+Grand+Rapids%2C+MN+55744" TargetMode="External"/><Relationship Id="rId1886" Type="http://schemas.openxmlformats.org/officeDocument/2006/relationships/hyperlink" Target="https://npiregistry.cms.hhs.gov/provider-view/1033826003" TargetMode="External"/><Relationship Id="rId909" Type="http://schemas.openxmlformats.org/officeDocument/2006/relationships/hyperlink" Target="https://npiregistry.cms.hhs.gov/provider-view/1508099656" TargetMode="External"/><Relationship Id="rId1301" Type="http://schemas.openxmlformats.org/officeDocument/2006/relationships/hyperlink" Target="https://www.google.com/maps/search/?api=1&amp;query=Allison+Zak%2C+DC.%2C+LLC%2C+220+1st+St+SE%2C+Little+Falls%2C+MN+56345" TargetMode="External"/><Relationship Id="rId1539" Type="http://schemas.openxmlformats.org/officeDocument/2006/relationships/hyperlink" Target="https://www.google.com/maps/search/?api=1&amp;query=Local+Roots+Chiropractic+PLLC%2C+216+4th+St+NW%2C+East+Grand+Forks%2C+MN+56721" TargetMode="External"/><Relationship Id="rId1746" Type="http://schemas.openxmlformats.org/officeDocument/2006/relationships/hyperlink" Target="https://npiregistry.cms.hhs.gov/provider-view/1689589913" TargetMode="External"/><Relationship Id="rId38" Type="http://schemas.openxmlformats.org/officeDocument/2006/relationships/hyperlink" Target="https://npiregistry.cms.hhs.gov/provider-view/1326966300" TargetMode="External"/><Relationship Id="rId1606" Type="http://schemas.openxmlformats.org/officeDocument/2006/relationships/hyperlink" Target="https://npiregistry.cms.hhs.gov/provider-view/1548093735" TargetMode="External"/><Relationship Id="rId1813" Type="http://schemas.openxmlformats.org/officeDocument/2006/relationships/hyperlink" Target="https://www.google.com/maps/search/?api=1&amp;query=Big+Stone+Therapies%2C+INC%2C+900+Cannon+Valley+Dr%2C+Northfield%2C+MN+55057" TargetMode="External"/><Relationship Id="rId187" Type="http://schemas.openxmlformats.org/officeDocument/2006/relationships/hyperlink" Target="https://www.google.com/maps/search/?api=1&amp;query=Integrate+Chiropractic+PLLC%2C+1103+W+Burnsville+Pkwy%2C+Burnsville%2C+MN+55337" TargetMode="External"/><Relationship Id="rId394" Type="http://schemas.openxmlformats.org/officeDocument/2006/relationships/hyperlink" Target="https://npiregistry.cms.hhs.gov/provider-view/1720206428" TargetMode="External"/><Relationship Id="rId254" Type="http://schemas.openxmlformats.org/officeDocument/2006/relationships/hyperlink" Target="https://npiregistry.cms.hhs.gov/provider-view/1336505551" TargetMode="External"/><Relationship Id="rId699" Type="http://schemas.openxmlformats.org/officeDocument/2006/relationships/hyperlink" Target="https://npiregistry.cms.hhs.gov/provider-view/1295841625" TargetMode="External"/><Relationship Id="rId1091" Type="http://schemas.openxmlformats.org/officeDocument/2006/relationships/hyperlink" Target="https://www.google.com/maps/search/?api=1&amp;query=Tune+Chiropractic+LTD%2C+17177+Trillium+Ln%2C+Big+Lake%2C+MN+55309" TargetMode="External"/><Relationship Id="rId114" Type="http://schemas.openxmlformats.org/officeDocument/2006/relationships/hyperlink" Target="https://npiregistry.cms.hhs.gov/provider-view/1861317349" TargetMode="External"/><Relationship Id="rId461" Type="http://schemas.openxmlformats.org/officeDocument/2006/relationships/hyperlink" Target="https://www.google.com/maps/search/?api=1&amp;query=Center+For+Pediatric+Movement+LLC%2C+6600+France+Ave+S%2C+Edina%2C+MN+55435" TargetMode="External"/><Relationship Id="rId559" Type="http://schemas.openxmlformats.org/officeDocument/2006/relationships/hyperlink" Target="https://www.google.com/maps/search/?api=1&amp;query=Lopez+Health+Center%2C+LLC%2C+7200+Hemlock+Ln+N%2C+Maple+Grove%2C+MN+55369" TargetMode="External"/><Relationship Id="rId766" Type="http://schemas.openxmlformats.org/officeDocument/2006/relationships/hyperlink" Target="https://www.google.com/maps/search/?api=1&amp;query=Natural+Chiropractic+Center%2C+12805+Highway+55%2C+Plymouth%2C+MN+55441" TargetMode="External"/><Relationship Id="rId1189" Type="http://schemas.openxmlformats.org/officeDocument/2006/relationships/hyperlink" Target="https://www.google.com/maps/search/?api=1&amp;query=Fyzical+Therapy+and+Balance+Centers+Woodbury%2C+670+Commerce+Dr%2C+Woodbury%2C+MN+55125" TargetMode="External"/><Relationship Id="rId1396" Type="http://schemas.openxmlformats.org/officeDocument/2006/relationships/hyperlink" Target="https://npiregistry.cms.hhs.gov/provider-view/1356344451" TargetMode="External"/><Relationship Id="rId321" Type="http://schemas.openxmlformats.org/officeDocument/2006/relationships/hyperlink" Target="https://www.google.com/maps/search/?api=1&amp;query=Nielson+Family+Chiropractic+PLLC%2C+14450+S+Robert+Trl%2C+Rosemount%2C+MN+55068" TargetMode="External"/><Relationship Id="rId419" Type="http://schemas.openxmlformats.org/officeDocument/2006/relationships/hyperlink" Target="https://www.google.com/maps/search/?api=1&amp;query=Gallagher+Dentistry+%26+Facial+Pain+Center%2C+11800+Singletree+Ln%2C+Eden+Prairie%2C+MN+55344" TargetMode="External"/><Relationship Id="rId626" Type="http://schemas.openxmlformats.org/officeDocument/2006/relationships/hyperlink" Target="https://npiregistry.cms.hhs.gov/provider-view/1043199334" TargetMode="External"/><Relationship Id="rId973" Type="http://schemas.openxmlformats.org/officeDocument/2006/relationships/hyperlink" Target="https://npiregistry.cms.hhs.gov/provider-view/1932920725" TargetMode="External"/><Relationship Id="rId1049" Type="http://schemas.openxmlformats.org/officeDocument/2006/relationships/hyperlink" Target="https://npiregistry.cms.hhs.gov/provider-view/1851005060" TargetMode="External"/><Relationship Id="rId1256" Type="http://schemas.openxmlformats.org/officeDocument/2006/relationships/hyperlink" Target="https://npiregistry.cms.hhs.gov/provider-view/1972426799" TargetMode="External"/><Relationship Id="rId833" Type="http://schemas.openxmlformats.org/officeDocument/2006/relationships/hyperlink" Target="https://npiregistry.cms.hhs.gov/provider-view/1760128169" TargetMode="External"/><Relationship Id="rId1116" Type="http://schemas.openxmlformats.org/officeDocument/2006/relationships/hyperlink" Target="https://npiregistry.cms.hhs.gov/provider-view/1841888054" TargetMode="External"/><Relationship Id="rId1463" Type="http://schemas.openxmlformats.org/officeDocument/2006/relationships/hyperlink" Target="https://www.google.com/maps/search/?api=1&amp;query=Aspirus+St.+Luke%27s+Clinic+Duluth+Physical+Med+%26+Rehab%2C+1015+E+1st+St%2C+Duluth%2C+MN+55805" TargetMode="External"/><Relationship Id="rId1670" Type="http://schemas.openxmlformats.org/officeDocument/2006/relationships/hyperlink" Target="https://npiregistry.cms.hhs.gov/provider-view/1891335790" TargetMode="External"/><Relationship Id="rId1768" Type="http://schemas.openxmlformats.org/officeDocument/2006/relationships/hyperlink" Target="https://npiregistry.cms.hhs.gov/provider-view/1265259451" TargetMode="External"/><Relationship Id="rId900" Type="http://schemas.openxmlformats.org/officeDocument/2006/relationships/hyperlink" Target="https://www.google.com/maps/search/?api=1&amp;query=The+Dental+Specialists+-+Roseville%2C+1835+County+Road+C-West%2C+Roseville%2C+MN+55113" TargetMode="External"/><Relationship Id="rId1323" Type="http://schemas.openxmlformats.org/officeDocument/2006/relationships/hyperlink" Target="https://www.google.com/maps/search/?api=1&amp;query=Northern+Plains+Physical+Therapy%2C+1301+Mockingbird+Loop%2C+Sartell%2C+MN+56377" TargetMode="External"/><Relationship Id="rId1530" Type="http://schemas.openxmlformats.org/officeDocument/2006/relationships/hyperlink" Target="https://npiregistry.cms.hhs.gov/provider-view/1144401514" TargetMode="External"/><Relationship Id="rId1628" Type="http://schemas.openxmlformats.org/officeDocument/2006/relationships/hyperlink" Target="https://npiregistry.cms.hhs.gov/provider-view/1679766802" TargetMode="External"/><Relationship Id="rId1835" Type="http://schemas.openxmlformats.org/officeDocument/2006/relationships/hyperlink" Target="https://www.google.com/maps/search/?api=1&amp;query=Precision+Chiropractic+and+Wellness%2C+104+22nd+Ave+NE%2C+Waseca%2C+MN+56093" TargetMode="External"/><Relationship Id="rId1902" Type="http://schemas.openxmlformats.org/officeDocument/2006/relationships/hyperlink" Target="https://npiregistry.cms.hhs.gov/provider-view/1093426462" TargetMode="External"/><Relationship Id="rId276" Type="http://schemas.openxmlformats.org/officeDocument/2006/relationships/hyperlink" Target="https://npiregistry.cms.hhs.gov/provider-view/1881534220" TargetMode="External"/><Relationship Id="rId483" Type="http://schemas.openxmlformats.org/officeDocument/2006/relationships/hyperlink" Target="https://www.google.com/maps/search/?api=1&amp;query=Integrated+Provider+Group+of+Minnesota%2C+7373+France+Ave+S%2C+Edina%2C+MN+55435" TargetMode="External"/><Relationship Id="rId690" Type="http://schemas.openxmlformats.org/officeDocument/2006/relationships/hyperlink" Target="https://www.google.com/maps/search/?api=1&amp;query=University+of+Minnesota+Dental+Clinics+%E2%80%93+Oral+%26+Maxillofacial+Surgery%2C+515+Delaware+St+SE%2C+Minneapolis%2C+MN+55455" TargetMode="External"/><Relationship Id="rId136" Type="http://schemas.openxmlformats.org/officeDocument/2006/relationships/hyperlink" Target="https://npiregistry.cms.hhs.gov/provider-view/1316185036" TargetMode="External"/><Relationship Id="rId343" Type="http://schemas.openxmlformats.org/officeDocument/2006/relationships/hyperlink" Target="https://www.google.com/maps/search/?api=1&amp;query=Infinite+Health+Collaborative%2C+PA%2C+3500+American+Blvd+W%2C+Bloomington%2C+MN+55431" TargetMode="External"/><Relationship Id="rId550" Type="http://schemas.openxmlformats.org/officeDocument/2006/relationships/hyperlink" Target="https://npiregistry.cms.hhs.gov/provider-view/1871025031" TargetMode="External"/><Relationship Id="rId788" Type="http://schemas.openxmlformats.org/officeDocument/2006/relationships/hyperlink" Target="https://www.google.com/maps/search/?api=1&amp;query=Novacare+Rehabilitation%2C+6605+Nicollet+Ave%2C+Richfield%2C+MN+55423" TargetMode="External"/><Relationship Id="rId995" Type="http://schemas.openxmlformats.org/officeDocument/2006/relationships/hyperlink" Target="https://npiregistry.cms.hhs.gov/provider-view/1043870645" TargetMode="External"/><Relationship Id="rId1180" Type="http://schemas.openxmlformats.org/officeDocument/2006/relationships/hyperlink" Target="https://npiregistry.cms.hhs.gov/provider-view/1548527872" TargetMode="External"/><Relationship Id="rId203" Type="http://schemas.openxmlformats.org/officeDocument/2006/relationships/hyperlink" Target="https://www.google.com/maps/search/?api=1&amp;query=Peak+Performance+Chiropractic+Center%2C+12750+Nicollet+Ave%2C+Burnsville%2C+MN+55337" TargetMode="External"/><Relationship Id="rId648" Type="http://schemas.openxmlformats.org/officeDocument/2006/relationships/hyperlink" Target="https://www.google.com/maps/search/?api=1&amp;query=Neura+Health%2C+333+Washington+Ave+N%2C+Minneapolis%2C+MN+55401" TargetMode="External"/><Relationship Id="rId855" Type="http://schemas.openxmlformats.org/officeDocument/2006/relationships/hyperlink" Target="https://npiregistry.cms.hhs.gov/provider-view/1609790807" TargetMode="External"/><Relationship Id="rId1040" Type="http://schemas.openxmlformats.org/officeDocument/2006/relationships/hyperlink" Target="https://www.google.com/maps/search/?api=1&amp;query=Fyzical+Therapy+and+Balance+Centers%2C+2680+County+Road+E+E%2C+White+Bear+Lake%2C+MN+55110" TargetMode="External"/><Relationship Id="rId1278" Type="http://schemas.openxmlformats.org/officeDocument/2006/relationships/hyperlink" Target="https://npiregistry.cms.hhs.gov/provider-view/1356892285" TargetMode="External"/><Relationship Id="rId1485" Type="http://schemas.openxmlformats.org/officeDocument/2006/relationships/hyperlink" Target="https://www.google.com/maps/search/?api=1&amp;query=Nielson+Family+Chiropractic+PLLC%2C+2510+Maple+Grove+Rd%2C+Duluth%2C+MN+55811" TargetMode="External"/><Relationship Id="rId1692" Type="http://schemas.openxmlformats.org/officeDocument/2006/relationships/hyperlink" Target="https://npiregistry.cms.hhs.gov/provider-view/1912611773" TargetMode="External"/><Relationship Id="rId410" Type="http://schemas.openxmlformats.org/officeDocument/2006/relationships/hyperlink" Target="https://npiregistry.cms.hhs.gov/provider-view/1043929813" TargetMode="External"/><Relationship Id="rId508" Type="http://schemas.openxmlformats.org/officeDocument/2006/relationships/hyperlink" Target="https://npiregistry.cms.hhs.gov/provider-view/1598414997" TargetMode="External"/><Relationship Id="rId715" Type="http://schemas.openxmlformats.org/officeDocument/2006/relationships/hyperlink" Target="https://npiregistry.cms.hhs.gov/provider-view/1598530891" TargetMode="External"/><Relationship Id="rId922" Type="http://schemas.openxmlformats.org/officeDocument/2006/relationships/hyperlink" Target="https://www.google.com/maps/search/?api=1&amp;query=Cathedral+Hill+Chiropractic%2C+400+Selby+Ave%2C+St.+Paul%2C+MN+55102" TargetMode="External"/><Relationship Id="rId1138" Type="http://schemas.openxmlformats.org/officeDocument/2006/relationships/hyperlink" Target="https://npiregistry.cms.hhs.gov/provider-view/1568876993" TargetMode="External"/><Relationship Id="rId1345" Type="http://schemas.openxmlformats.org/officeDocument/2006/relationships/hyperlink" Target="https://www.google.com/maps/search/?api=1&amp;query=Minnesota+Head+%26+Neck+Pain+Clinic%2C+622+Roosevelt+Rd%2C+St.+Cloud%2C+MN+56301" TargetMode="External"/><Relationship Id="rId1552" Type="http://schemas.openxmlformats.org/officeDocument/2006/relationships/hyperlink" Target="https://npiregistry.cms.hhs.gov/provider-view/1598371635" TargetMode="External"/><Relationship Id="rId1205" Type="http://schemas.openxmlformats.org/officeDocument/2006/relationships/hyperlink" Target="https://www.google.com/maps/search/?api=1&amp;query=Shriners+Hospitals+For+Children%2C+215+Radio+Dr%2C+Woodbury%2C+MN+55125" TargetMode="External"/><Relationship Id="rId1857" Type="http://schemas.openxmlformats.org/officeDocument/2006/relationships/hyperlink" Target="https://www.google.com/maps/search/?api=1&amp;query=Avera+St.+Luke%27s%2C+300+S+Bruce+St%2C+Marshall%2C+MN+56258" TargetMode="External"/><Relationship Id="rId51" Type="http://schemas.openxmlformats.org/officeDocument/2006/relationships/hyperlink" Target="https://www.google.com/maps/search/?api=1&amp;query=Novacare+Rehabilitation%2C+2104+Northdale+Blvd+NW%2C+Coon+Rapids%2C+MN+55433" TargetMode="External"/><Relationship Id="rId1412" Type="http://schemas.openxmlformats.org/officeDocument/2006/relationships/hyperlink" Target="https://npiregistry.cms.hhs.gov/provider-view/1942382379" TargetMode="External"/><Relationship Id="rId1717" Type="http://schemas.openxmlformats.org/officeDocument/2006/relationships/hyperlink" Target="https://www.google.com/maps/search/?api=1&amp;query=Owl+Therapy+Services+LLC%2C+61278+260th+Ave%2C+Mantorville%2C+MN+55955" TargetMode="External"/><Relationship Id="rId298" Type="http://schemas.openxmlformats.org/officeDocument/2006/relationships/hyperlink" Target="https://npiregistry.cms.hhs.gov/provider-view/1306555719" TargetMode="External"/><Relationship Id="rId158" Type="http://schemas.openxmlformats.org/officeDocument/2006/relationships/hyperlink" Target="https://npiregistry.cms.hhs.gov/provider-view/1962568576" TargetMode="External"/><Relationship Id="rId365" Type="http://schemas.openxmlformats.org/officeDocument/2006/relationships/hyperlink" Target="https://www.google.com/maps/search/?api=1&amp;query=Viverant+PT+LLC%2C+5107+W+98th+St%2C+Bloomington%2C+MN+55437" TargetMode="External"/><Relationship Id="rId572" Type="http://schemas.openxmlformats.org/officeDocument/2006/relationships/hyperlink" Target="https://npiregistry.cms.hhs.gov/provider-view/1922529528" TargetMode="External"/><Relationship Id="rId225" Type="http://schemas.openxmlformats.org/officeDocument/2006/relationships/hyperlink" Target="https://www.google.com/maps/search/?api=1&amp;query=A.m.+Family+Chiropractic+and+Nutrition+PLLC.%2C+1121+Town+Centre+Dr%2C+Eagan%2C+MN+55123" TargetMode="External"/><Relationship Id="rId432" Type="http://schemas.openxmlformats.org/officeDocument/2006/relationships/hyperlink" Target="https://npiregistry.cms.hhs.gov/provider-view/1437451853" TargetMode="External"/><Relationship Id="rId877" Type="http://schemas.openxmlformats.org/officeDocument/2006/relationships/hyperlink" Target="https://npiregistry.cms.hhs.gov/provider-view/1467157826" TargetMode="External"/><Relationship Id="rId1062" Type="http://schemas.openxmlformats.org/officeDocument/2006/relationships/hyperlink" Target="https://www.google.com/maps/search/?api=1&amp;query=Lakeside+Chiropractic+LLC%2C+6885+Boudin+St+NE%2C+Prior+Lake%2C+MN+55372" TargetMode="External"/><Relationship Id="rId737" Type="http://schemas.openxmlformats.org/officeDocument/2006/relationships/hyperlink" Target="https://npiregistry.cms.hhs.gov/provider-view/1467736231" TargetMode="External"/><Relationship Id="rId944" Type="http://schemas.openxmlformats.org/officeDocument/2006/relationships/hyperlink" Target="https://www.google.com/maps/search/?api=1&amp;query=HealthPartners+Dental+Specialty+Center+%28Como%29%2C+2500+Como+Ave%2C+St.+Paul%2C+MN+55108" TargetMode="External"/><Relationship Id="rId1367" Type="http://schemas.openxmlformats.org/officeDocument/2006/relationships/hyperlink" Target="https://www.google.com/maps/search/?api=1&amp;query=Fox+and+Fern+Chiropractic%2C+612+5th+St+NW%2C+Bemidji%2C+MN+56601" TargetMode="External"/><Relationship Id="rId1574" Type="http://schemas.openxmlformats.org/officeDocument/2006/relationships/hyperlink" Target="https://npiregistry.cms.hhs.gov/provider-view/1003465147" TargetMode="External"/><Relationship Id="rId1781" Type="http://schemas.openxmlformats.org/officeDocument/2006/relationships/hyperlink" Target="https://www.google.com/maps/search/?api=1&amp;query=Neuroglee+Health%2C+221+1st+Ave+SW%2C+Rochester%2C+MN+55902" TargetMode="External"/><Relationship Id="rId73" Type="http://schemas.openxmlformats.org/officeDocument/2006/relationships/hyperlink" Target="https://www.google.com/maps/search/?api=1&amp;query=Minnesota+Chiroworks%2C+PLLC%2C+7400+University+Ave+NE%2C+Fridley%2C+MN+55432" TargetMode="External"/><Relationship Id="rId804" Type="http://schemas.openxmlformats.org/officeDocument/2006/relationships/hyperlink" Target="https://www.google.com/maps/search/?api=1&amp;query=Therapy+Partners%2C+INC.%2C+23490+Highway+7%2C+Shorewood%2C+MN+55331" TargetMode="External"/><Relationship Id="rId1227" Type="http://schemas.openxmlformats.org/officeDocument/2006/relationships/hyperlink" Target="https://www.google.com/maps/search/?api=1&amp;query=Woodbury+Family+Chiropractic%2C+2110+Eagle+Creek+Ln%2C+Woodbury%2C+MN+55129" TargetMode="External"/><Relationship Id="rId1434" Type="http://schemas.openxmlformats.org/officeDocument/2006/relationships/hyperlink" Target="https://npiregistry.cms.hhs.gov/provider-view/1306592829" TargetMode="External"/><Relationship Id="rId1641" Type="http://schemas.openxmlformats.org/officeDocument/2006/relationships/hyperlink" Target="https://www.google.com/maps/search/?api=1&amp;query=Freedom+Health+Center+of+Minnesota+PLLC%2C+1635+N+Riverfront+Dr%2C+Mankato%2C+MN+56001" TargetMode="External"/><Relationship Id="rId1879" Type="http://schemas.openxmlformats.org/officeDocument/2006/relationships/hyperlink" Target="https://www.google.com/maps/search/?api=1&amp;query=Prairie+Rehabilitation+Services%2C+INC.%2C+315+Oxford+St%2C+Worthington%2C+MN+56187" TargetMode="External"/><Relationship Id="rId1501" Type="http://schemas.openxmlformats.org/officeDocument/2006/relationships/hyperlink" Target="https://www.google.com/maps/search/?api=1&amp;query=Therapy+Partners%2C+INC.%2C+1029+W+Central+Entrance%2C+Duluth%2C+MN+55811" TargetMode="External"/><Relationship Id="rId1739" Type="http://schemas.openxmlformats.org/officeDocument/2006/relationships/hyperlink" Target="https://www.google.com/maps/search/?api=1&amp;query=Therapy+Partners%2C+INC.%2C+98+W+5th+St%2C+Zumbrota%2C+MN+55992" TargetMode="External"/><Relationship Id="rId1806" Type="http://schemas.openxmlformats.org/officeDocument/2006/relationships/hyperlink" Target="https://npiregistry.cms.hhs.gov/provider-view/1194645267" TargetMode="External"/><Relationship Id="rId387" Type="http://schemas.openxmlformats.org/officeDocument/2006/relationships/hyperlink" Target="https://www.google.com/maps/search/?api=1&amp;query=Summit+Chiropractic%2C+INC%2C+11030+Douglas+Dr+N%2C+Champlin%2C+MN+55316" TargetMode="External"/><Relationship Id="rId594" Type="http://schemas.openxmlformats.org/officeDocument/2006/relationships/hyperlink" Target="https://npiregistry.cms.hhs.gov/provider-view/1255060141" TargetMode="External"/><Relationship Id="rId247" Type="http://schemas.openxmlformats.org/officeDocument/2006/relationships/hyperlink" Target="https://www.google.com/maps/search/?api=1&amp;query=Healthpro+Chiropractic+PC%2C+19685+Pilot+Knob+Rd%2C+Farmington%2C+MN+55024" TargetMode="External"/><Relationship Id="rId899" Type="http://schemas.openxmlformats.org/officeDocument/2006/relationships/hyperlink" Target="https://npiregistry.cms.hhs.gov/provider-view/1881314672" TargetMode="External"/><Relationship Id="rId1084" Type="http://schemas.openxmlformats.org/officeDocument/2006/relationships/hyperlink" Target="https://npiregistry.cms.hhs.gov/provider-view/1053955385" TargetMode="External"/><Relationship Id="rId107" Type="http://schemas.openxmlformats.org/officeDocument/2006/relationships/hyperlink" Target="https://www.google.com/maps/search/?api=1&amp;query=Therapy+Partners%2C+INC.%2C+600+Market+St%2C+Chanhassen%2C+MN+55317" TargetMode="External"/><Relationship Id="rId454" Type="http://schemas.openxmlformats.org/officeDocument/2006/relationships/hyperlink" Target="https://npiregistry.cms.hhs.gov/provider-view/1508099656" TargetMode="External"/><Relationship Id="rId661" Type="http://schemas.openxmlformats.org/officeDocument/2006/relationships/hyperlink" Target="https://npiregistry.cms.hhs.gov/provider-view/1487240693" TargetMode="External"/><Relationship Id="rId759" Type="http://schemas.openxmlformats.org/officeDocument/2006/relationships/hyperlink" Target="https://npiregistry.cms.hhs.gov/provider-view/1871037630" TargetMode="External"/><Relationship Id="rId966" Type="http://schemas.openxmlformats.org/officeDocument/2006/relationships/hyperlink" Target="https://www.google.com/maps/search/?api=1&amp;query=Minnesota+Luna+Care+Physical+Therapy+LLC%2C+428+Minnesota+St%2C+St.+Paul%2C+MN+55101" TargetMode="External"/><Relationship Id="rId1291" Type="http://schemas.openxmlformats.org/officeDocument/2006/relationships/hyperlink" Target="https://www.google.com/maps/search/?api=1&amp;query=Mille+Lacs+Health+System+Milaca+Family+Clinic%2C+150+10th+St+NW%2C+Milaca%2C+MN+56353" TargetMode="External"/><Relationship Id="rId1389" Type="http://schemas.openxmlformats.org/officeDocument/2006/relationships/hyperlink" Target="https://www.google.com/maps/search/?api=1&amp;query=First+Steps+Pediatric+Physical+Therapy%2C+LLC%2C+1565+Red+Pine+Trl%2C+Cloquet%2C+MN+55720" TargetMode="External"/><Relationship Id="rId1596" Type="http://schemas.openxmlformats.org/officeDocument/2006/relationships/hyperlink" Target="https://npiregistry.cms.hhs.gov/provider-view/1659301992" TargetMode="External"/><Relationship Id="rId314" Type="http://schemas.openxmlformats.org/officeDocument/2006/relationships/hyperlink" Target="https://npiregistry.cms.hhs.gov/provider-view/1376104901" TargetMode="External"/><Relationship Id="rId521" Type="http://schemas.openxmlformats.org/officeDocument/2006/relationships/hyperlink" Target="https://www.google.com/maps/search/?api=1&amp;query=Transcend+Chiropractic+%26+Wellness%2C+PLLC%2C+3209+W+76th+St%2C+Edina%2C+MN+55435" TargetMode="External"/><Relationship Id="rId619" Type="http://schemas.openxmlformats.org/officeDocument/2006/relationships/hyperlink" Target="https://www.google.com/maps/search/?api=1&amp;query=Courage+Kenny+Rehab+Associates%2C+800+E+28th+St%2C+Minneapolis%2C+MN+55407" TargetMode="External"/><Relationship Id="rId1151" Type="http://schemas.openxmlformats.org/officeDocument/2006/relationships/hyperlink" Target="https://www.google.com/maps/search/?api=1&amp;query=Clarity+Chiropractic+LLC%2C+5898+Omaha+Ave+N%2C+Stillwater%2C+MN+55082" TargetMode="External"/><Relationship Id="rId1249" Type="http://schemas.openxmlformats.org/officeDocument/2006/relationships/hyperlink" Target="https://www.google.com/maps/search/?api=1&amp;query=Hanson+Dental%2C+1100+Highway+25+North%2C+Buffalo%2C+MN+55313" TargetMode="External"/><Relationship Id="rId95" Type="http://schemas.openxmlformats.org/officeDocument/2006/relationships/hyperlink" Target="https://www.google.com/maps/search/?api=1&amp;query=Hands+Hooves+and+Hearts+Therapeutic+Services+LLC%2C+9457+Highway+10+NW%2C+Ramsey%2C+MN+55303" TargetMode="External"/><Relationship Id="rId826" Type="http://schemas.openxmlformats.org/officeDocument/2006/relationships/hyperlink" Target="https://www.google.com/maps/search/?api=1&amp;query=Novacare+Rehabilitation%2C+1665+Utica+Ave+S%2C+St.+Louis+Park%2C+MN+55416" TargetMode="External"/><Relationship Id="rId1011" Type="http://schemas.openxmlformats.org/officeDocument/2006/relationships/hyperlink" Target="https://npiregistry.cms.hhs.gov/provider-view/1407809494" TargetMode="External"/><Relationship Id="rId1109" Type="http://schemas.openxmlformats.org/officeDocument/2006/relationships/hyperlink" Target="https://www.google.com/maps/search/?api=1&amp;query=On+the+Move+Therapy+%26+Wellness%2C+6471+Inspire+Cir+S%2C+Cottage+Grove%2C+MN+55016" TargetMode="External"/><Relationship Id="rId1456" Type="http://schemas.openxmlformats.org/officeDocument/2006/relationships/hyperlink" Target="https://npiregistry.cms.hhs.gov/provider-view/1982062550" TargetMode="External"/><Relationship Id="rId1663" Type="http://schemas.openxmlformats.org/officeDocument/2006/relationships/hyperlink" Target="https://www.google.com/maps/search/?api=1&amp;query=Axis+Chiropractic%2C+PA.%2C+510+1st+St+N%2C+New+Ulm%2C+MN+56073" TargetMode="External"/><Relationship Id="rId1870" Type="http://schemas.openxmlformats.org/officeDocument/2006/relationships/hyperlink" Target="https://npiregistry.cms.hhs.gov/provider-view/1124044656" TargetMode="External"/><Relationship Id="rId1316" Type="http://schemas.openxmlformats.org/officeDocument/2006/relationships/hyperlink" Target="https://npiregistry.cms.hhs.gov/provider-view/1902862592" TargetMode="External"/><Relationship Id="rId1523" Type="http://schemas.openxmlformats.org/officeDocument/2006/relationships/hyperlink" Target="https://www.google.com/maps/search/?api=1&amp;query=Dakota+Clinic%2C+LTD.+Thief+River+Falls%2C+1720+Highway+59+S%2C+Thief+River+Falls%2C+MN+56701" TargetMode="External"/><Relationship Id="rId1730" Type="http://schemas.openxmlformats.org/officeDocument/2006/relationships/hyperlink" Target="https://npiregistry.cms.hhs.gov/provider-view/1124205604" TargetMode="External"/><Relationship Id="rId22" Type="http://schemas.openxmlformats.org/officeDocument/2006/relationships/hyperlink" Target="https://npiregistry.cms.hhs.gov/provider-view/1235950957" TargetMode="External"/><Relationship Id="rId1828" Type="http://schemas.openxmlformats.org/officeDocument/2006/relationships/hyperlink" Target="https://npiregistry.cms.hhs.gov/provider-view/1780162552" TargetMode="External"/><Relationship Id="rId171" Type="http://schemas.openxmlformats.org/officeDocument/2006/relationships/hyperlink" Target="https://www.google.com/maps/search/?api=1&amp;query=Twin+Cities+Oral+%26+Maxillofacial+Surgery%2C+14635+Pennock+Ave%2C+Apple+Valley%2C+MN+55124" TargetMode="External"/><Relationship Id="rId269" Type="http://schemas.openxmlformats.org/officeDocument/2006/relationships/hyperlink" Target="https://www.google.com/maps/search/?api=1&amp;query=Optimum+Health%2C+7781+Amana+Trl%2C+Inver+Grove+Heights%2C+MN+55077" TargetMode="External"/><Relationship Id="rId476" Type="http://schemas.openxmlformats.org/officeDocument/2006/relationships/hyperlink" Target="https://npiregistry.cms.hhs.gov/provider-view/1841063872" TargetMode="External"/><Relationship Id="rId683" Type="http://schemas.openxmlformats.org/officeDocument/2006/relationships/hyperlink" Target="https://npiregistry.cms.hhs.gov/provider-view/1760263461" TargetMode="External"/><Relationship Id="rId890" Type="http://schemas.openxmlformats.org/officeDocument/2006/relationships/hyperlink" Target="https://www.google.com/maps/search/?api=1&amp;query=Bandana+Chiropractic+%26+Wellness+Center+PA%2C+1912+Lexington+Ave+N%2C+Roseville%2C+MN+55113" TargetMode="External"/><Relationship Id="rId129" Type="http://schemas.openxmlformats.org/officeDocument/2006/relationships/hyperlink" Target="https://www.google.com/maps/search/?api=1&amp;query=OMS+Specialists%2C+490+S+Maple+St%2C+Waconia%2C+MN+55387" TargetMode="External"/><Relationship Id="rId336" Type="http://schemas.openxmlformats.org/officeDocument/2006/relationships/hyperlink" Target="https://npiregistry.cms.hhs.gov/provider-view/1669333902" TargetMode="External"/><Relationship Id="rId543" Type="http://schemas.openxmlformats.org/officeDocument/2006/relationships/hyperlink" Target="https://www.google.com/maps/search/?api=1&amp;query=Dmr+Methods%2C+15+8th+Ave+N%2C+Hopkins%2C+MN+55343" TargetMode="External"/><Relationship Id="rId988" Type="http://schemas.openxmlformats.org/officeDocument/2006/relationships/hyperlink" Target="https://www.google.com/maps/search/?api=1&amp;query=Sakura+Pelvic+Health+and+Wellness%2C+1504+Eleanor+Ave%2C+St.+Paul%2C+MN+55116" TargetMode="External"/><Relationship Id="rId1173" Type="http://schemas.openxmlformats.org/officeDocument/2006/relationships/hyperlink" Target="https://www.google.com/maps/search/?api=1&amp;query=Awake+Pelvic+Health+and+Wellness+LLC%2C+700+Commerce+Dr%2C+Woodbury%2C+MN+55125" TargetMode="External"/><Relationship Id="rId1380" Type="http://schemas.openxmlformats.org/officeDocument/2006/relationships/hyperlink" Target="https://npiregistry.cms.hhs.gov/provider-view/1407878424" TargetMode="External"/><Relationship Id="rId403" Type="http://schemas.openxmlformats.org/officeDocument/2006/relationships/hyperlink" Target="https://www.google.com/maps/search/?api=1&amp;query=Allina+Health+Eden+Prairie+Clinic%2C+775+Prairie+Center+Dr%2C+Eden+Prairie%2C+MN+55344" TargetMode="External"/><Relationship Id="rId750" Type="http://schemas.openxmlformats.org/officeDocument/2006/relationships/hyperlink" Target="https://www.google.com/maps/search/?api=1&amp;query=Dpc+Medical%2C+28+Nathan+Ln+N%2C+Plymouth%2C+MN+55441" TargetMode="External"/><Relationship Id="rId848" Type="http://schemas.openxmlformats.org/officeDocument/2006/relationships/hyperlink" Target="https://www.google.com/maps/search/?api=1&amp;query=Cambridge+Chiropractic%2C+137+2nd+Ave+SW%2C+Cambridge%2C+MN+55008" TargetMode="External"/><Relationship Id="rId1033" Type="http://schemas.openxmlformats.org/officeDocument/2006/relationships/hyperlink" Target="https://npiregistry.cms.hhs.gov/provider-view/1518963909" TargetMode="External"/><Relationship Id="rId1478" Type="http://schemas.openxmlformats.org/officeDocument/2006/relationships/hyperlink" Target="https://npiregistry.cms.hhs.gov/provider-view/1558702894" TargetMode="External"/><Relationship Id="rId1685" Type="http://schemas.openxmlformats.org/officeDocument/2006/relationships/hyperlink" Target="https://www.google.com/maps/search/?api=1&amp;query=Restore+Chiropractic+and+Wellness%2C+711+3rd+St%2C+Jackson%2C+MN+56143" TargetMode="External"/><Relationship Id="rId1892" Type="http://schemas.openxmlformats.org/officeDocument/2006/relationships/hyperlink" Target="https://npiregistry.cms.hhs.gov/provider-view/1699968057" TargetMode="External"/><Relationship Id="rId610" Type="http://schemas.openxmlformats.org/officeDocument/2006/relationships/hyperlink" Target="https://npiregistry.cms.hhs.gov/provider-view/1922947142" TargetMode="External"/><Relationship Id="rId708" Type="http://schemas.openxmlformats.org/officeDocument/2006/relationships/hyperlink" Target="https://www.google.com/maps/search/?api=1&amp;query=Relief+Plus+Chiropractic%2C+5810+Baker+Rd%2C+Minnetonka%2C+MN+55345" TargetMode="External"/><Relationship Id="rId915" Type="http://schemas.openxmlformats.org/officeDocument/2006/relationships/hyperlink" Target="https://npiregistry.cms.hhs.gov/provider-view/1952111387" TargetMode="External"/><Relationship Id="rId1240" Type="http://schemas.openxmlformats.org/officeDocument/2006/relationships/hyperlink" Target="https://npiregistry.cms.hhs.gov/provider-view/1154144087" TargetMode="External"/><Relationship Id="rId1338" Type="http://schemas.openxmlformats.org/officeDocument/2006/relationships/hyperlink" Target="https://npiregistry.cms.hhs.gov/provider-view/1184488280" TargetMode="External"/><Relationship Id="rId1545" Type="http://schemas.openxmlformats.org/officeDocument/2006/relationships/hyperlink" Target="https://www.google.com/maps/search/?api=1&amp;query=Family+Chiropractic+Center%2C+1013+3rd+St+NE%2C+Roseau%2C+MN+56751" TargetMode="External"/><Relationship Id="rId1100" Type="http://schemas.openxmlformats.org/officeDocument/2006/relationships/hyperlink" Target="https://npiregistry.cms.hhs.gov/provider-view/1649136250" TargetMode="External"/><Relationship Id="rId1405" Type="http://schemas.openxmlformats.org/officeDocument/2006/relationships/hyperlink" Target="https://www.google.com/maps/search/?api=1&amp;query=Family+Chiropractic+Clinic+and+Physical+Therapy%2C+15574+Edgewood+Dr%2C+Baxter%2C+MN+56425" TargetMode="External"/><Relationship Id="rId1752" Type="http://schemas.openxmlformats.org/officeDocument/2006/relationships/hyperlink" Target="https://npiregistry.cms.hhs.gov/provider-view/1487127197" TargetMode="External"/><Relationship Id="rId44" Type="http://schemas.openxmlformats.org/officeDocument/2006/relationships/hyperlink" Target="https://npiregistry.cms.hhs.gov/provider-view/1396475927" TargetMode="External"/><Relationship Id="rId1612" Type="http://schemas.openxmlformats.org/officeDocument/2006/relationships/hyperlink" Target="https://npiregistry.cms.hhs.gov/provider-view/1841945573" TargetMode="External"/><Relationship Id="rId193" Type="http://schemas.openxmlformats.org/officeDocument/2006/relationships/hyperlink" Target="https://www.google.com/maps/search/?api=1&amp;query=Metro+Dentalcare+Specialty+Center+Burnsville+-+Oral+Surgery%2C+14344+Burnhaven+Dr%2C+Burnsville%2C+MN+55306" TargetMode="External"/><Relationship Id="rId498" Type="http://schemas.openxmlformats.org/officeDocument/2006/relationships/hyperlink" Target="https://npiregistry.cms.hhs.gov/provider-view/1750316014" TargetMode="External"/><Relationship Id="rId260" Type="http://schemas.openxmlformats.org/officeDocument/2006/relationships/hyperlink" Target="https://npiregistry.cms.hhs.gov/provider-view/1013323559" TargetMode="External"/><Relationship Id="rId120" Type="http://schemas.openxmlformats.org/officeDocument/2006/relationships/hyperlink" Target="https://npiregistry.cms.hhs.gov/provider-view/1215773049" TargetMode="External"/><Relationship Id="rId358" Type="http://schemas.openxmlformats.org/officeDocument/2006/relationships/hyperlink" Target="https://npiregistry.cms.hhs.gov/provider-view/1952091464" TargetMode="External"/><Relationship Id="rId565" Type="http://schemas.openxmlformats.org/officeDocument/2006/relationships/hyperlink" Target="https://www.google.com/maps/search/?api=1&amp;query=Novacare+Rehabilitation%2C+16366+County+Road+30%2C+Maple+Grove%2C+MN+55311" TargetMode="External"/><Relationship Id="rId772" Type="http://schemas.openxmlformats.org/officeDocument/2006/relationships/hyperlink" Target="https://www.google.com/maps/search/?api=1&amp;query=Prescott+Therapies+LLC%2C+18872+42nd+Ave+N%2C+Plymouth%2C+MN+55446" TargetMode="External"/><Relationship Id="rId1195" Type="http://schemas.openxmlformats.org/officeDocument/2006/relationships/hyperlink" Target="https://www.google.com/maps/search/?api=1&amp;query=Merit+Spine+LLC%2C+3715+Fairway+Pt%2C+Woodbury%2C+MN+55125" TargetMode="External"/><Relationship Id="rId218" Type="http://schemas.openxmlformats.org/officeDocument/2006/relationships/hyperlink" Target="https://npiregistry.cms.hhs.gov/provider-view/1821473927" TargetMode="External"/><Relationship Id="rId425" Type="http://schemas.openxmlformats.org/officeDocument/2006/relationships/hyperlink" Target="https://www.google.com/maps/search/?api=1&amp;query=Integrative+Orthopedic+Clinics%2C+PLLC%2C+6545+Flying+Cloud+Dr%2C+Eden+Prairie%2C+MN+55344" TargetMode="External"/><Relationship Id="rId632" Type="http://schemas.openxmlformats.org/officeDocument/2006/relationships/hyperlink" Target="https://npiregistry.cms.hhs.gov/provider-view/1467978247" TargetMode="External"/><Relationship Id="rId1055" Type="http://schemas.openxmlformats.org/officeDocument/2006/relationships/hyperlink" Target="https://npiregistry.cms.hhs.gov/provider-view/1548637739" TargetMode="External"/><Relationship Id="rId1262" Type="http://schemas.openxmlformats.org/officeDocument/2006/relationships/hyperlink" Target="https://npiregistry.cms.hhs.gov/provider-view/1417273665" TargetMode="External"/><Relationship Id="rId937" Type="http://schemas.openxmlformats.org/officeDocument/2006/relationships/hyperlink" Target="https://npiregistry.cms.hhs.gov/provider-view/1174703805" TargetMode="External"/><Relationship Id="rId1122" Type="http://schemas.openxmlformats.org/officeDocument/2006/relationships/hyperlink" Target="https://npiregistry.cms.hhs.gov/provider-view/1588426878" TargetMode="External"/><Relationship Id="rId1567" Type="http://schemas.openxmlformats.org/officeDocument/2006/relationships/hyperlink" Target="https://www.google.com/maps/search/?api=1&amp;query=Activecare+Chiropractic%2C+1804+Broadway+St%2C+Alexandria%2C+MN+56308" TargetMode="External"/><Relationship Id="rId1774" Type="http://schemas.openxmlformats.org/officeDocument/2006/relationships/hyperlink" Target="https://npiregistry.cms.hhs.gov/provider-view/1003702408" TargetMode="External"/><Relationship Id="rId66" Type="http://schemas.openxmlformats.org/officeDocument/2006/relationships/hyperlink" Target="https://npiregistry.cms.hhs.gov/provider-view/1306606397" TargetMode="External"/><Relationship Id="rId1427" Type="http://schemas.openxmlformats.org/officeDocument/2006/relationships/hyperlink" Target="https://www.google.com/maps/search/?api=1&amp;query=Park+Performance+Chiropractic%2C+PLC%2C+19037+US+Hwy+71%2C+Park+Rapids%2C+MN+56470" TargetMode="External"/><Relationship Id="rId1634" Type="http://schemas.openxmlformats.org/officeDocument/2006/relationships/hyperlink" Target="https://npiregistry.cms.hhs.gov/provider-view/1578215612" TargetMode="External"/><Relationship Id="rId1841" Type="http://schemas.openxmlformats.org/officeDocument/2006/relationships/hyperlink" Target="https://www.google.com/maps/search/?api=1&amp;query=Big+Stone+Chiropractic+Health+Center+PC%2C+16+2nd+St+NW%2C+Ortonville%2C+MN+56278" TargetMode="External"/><Relationship Id="rId1701" Type="http://schemas.openxmlformats.org/officeDocument/2006/relationships/hyperlink" Target="https://www.google.com/maps/search/?api=1&amp;query=Prairie+Rehabilitation+Services%2C+INC%2C+400+7th+St+NE%2C+Fulda%2C+MN+56131" TargetMode="External"/><Relationship Id="rId282" Type="http://schemas.openxmlformats.org/officeDocument/2006/relationships/hyperlink" Target="https://npiregistry.cms.hhs.gov/provider-view/1679098172" TargetMode="External"/><Relationship Id="rId587" Type="http://schemas.openxmlformats.org/officeDocument/2006/relationships/hyperlink" Target="https://www.google.com/maps/search/?api=1&amp;query=Twin+Cities+Pain+Clinic%2C+12000+Elm+Creek+Blvd+N%2C+Maple+Grove%2C+MN+55369" TargetMode="External"/><Relationship Id="rId8" Type="http://schemas.openxmlformats.org/officeDocument/2006/relationships/hyperlink" Target="https://npiregistry.cms.hhs.gov/provider-view/1689068462" TargetMode="External"/><Relationship Id="rId142" Type="http://schemas.openxmlformats.org/officeDocument/2006/relationships/hyperlink" Target="https://npiregistry.cms.hhs.gov/provider-view/1588536197" TargetMode="External"/><Relationship Id="rId447" Type="http://schemas.openxmlformats.org/officeDocument/2006/relationships/hyperlink" Target="https://www.google.com/maps/search/?api=1&amp;query=Wellness+Way+Eden+Prairie+LLC%2C+6805+Flying+Cloud+Dr%2C+Eden+Prairie%2C+MN+55344" TargetMode="External"/><Relationship Id="rId794" Type="http://schemas.openxmlformats.org/officeDocument/2006/relationships/hyperlink" Target="https://www.google.com/maps/search/?api=1&amp;query=Revival+Physical+Therapy+and+Wellness%2C+4123+W+Broadway+Ave%2C+Robbinsdale%2C+MN+55422" TargetMode="External"/><Relationship Id="rId1077" Type="http://schemas.openxmlformats.org/officeDocument/2006/relationships/hyperlink" Target="https://www.google.com/maps/search/?api=1&amp;query=Concentra+Medical+Center%2C+4360+12th+Ave+E%2C+Shakopee%2C+MN+55379" TargetMode="External"/><Relationship Id="rId654" Type="http://schemas.openxmlformats.org/officeDocument/2006/relationships/hyperlink" Target="https://www.google.com/maps/search/?api=1&amp;query=Nura+PLLC%2C+7390+France+Ave+S%2C+Minneapolis%2C+MN+55435" TargetMode="External"/><Relationship Id="rId861" Type="http://schemas.openxmlformats.org/officeDocument/2006/relationships/hyperlink" Target="https://npiregistry.cms.hhs.gov/provider-view/1487337044" TargetMode="External"/><Relationship Id="rId959" Type="http://schemas.openxmlformats.org/officeDocument/2006/relationships/hyperlink" Target="https://npiregistry.cms.hhs.gov/provider-view/1619914207" TargetMode="External"/><Relationship Id="rId1284" Type="http://schemas.openxmlformats.org/officeDocument/2006/relationships/hyperlink" Target="https://npiregistry.cms.hhs.gov/provider-view/1679407068" TargetMode="External"/><Relationship Id="rId1491" Type="http://schemas.openxmlformats.org/officeDocument/2006/relationships/hyperlink" Target="https://www.google.com/maps/search/?api=1&amp;query=Omnia+Wellness+and+Recovery%2C+4632+W+6th+St%2C+Duluth%2C+MN+55807" TargetMode="External"/><Relationship Id="rId1589" Type="http://schemas.openxmlformats.org/officeDocument/2006/relationships/hyperlink" Target="https://www.google.com/maps/search/?api=1&amp;query=Resonance+Physical+Therapy%2C+510+22nd+Ave+E%2C+Alexandria%2C+MN+56308" TargetMode="External"/><Relationship Id="rId307" Type="http://schemas.openxmlformats.org/officeDocument/2006/relationships/hyperlink" Target="https://www.google.com/maps/search/?api=1&amp;query=Concentra+Medical+Center%2C+2520+Pilot+Knob+Rd%2C+Mendota+Heights%2C+MN+55120" TargetMode="External"/><Relationship Id="rId514" Type="http://schemas.openxmlformats.org/officeDocument/2006/relationships/hyperlink" Target="https://npiregistry.cms.hhs.gov/provider-view/1184256125" TargetMode="External"/><Relationship Id="rId721" Type="http://schemas.openxmlformats.org/officeDocument/2006/relationships/hyperlink" Target="https://npiregistry.cms.hhs.gov/provider-view/1407325830" TargetMode="External"/><Relationship Id="rId1144" Type="http://schemas.openxmlformats.org/officeDocument/2006/relationships/hyperlink" Target="https://npiregistry.cms.hhs.gov/provider-view/1346553179" TargetMode="External"/><Relationship Id="rId1351" Type="http://schemas.openxmlformats.org/officeDocument/2006/relationships/hyperlink" Target="https://www.google.com/maps/search/?api=1&amp;query=Legacy+Family+Chiropractic%2C+LLC%2C+171+7th+Ave+S%2C+Waite+Park%2C+MN+56387" TargetMode="External"/><Relationship Id="rId1449" Type="http://schemas.openxmlformats.org/officeDocument/2006/relationships/hyperlink" Target="https://www.google.com/maps/search/?api=1&amp;query=Therapy+Partners%2C+INC.%2C+1614+Golf+Course+Rd%2C+Grand+Rapids%2C+MN+55744" TargetMode="External"/><Relationship Id="rId1796" Type="http://schemas.openxmlformats.org/officeDocument/2006/relationships/hyperlink" Target="https://npiregistry.cms.hhs.gov/provider-view/1851905251" TargetMode="External"/><Relationship Id="rId88" Type="http://schemas.openxmlformats.org/officeDocument/2006/relationships/hyperlink" Target="https://npiregistry.cms.hhs.gov/provider-view/1740453968" TargetMode="External"/><Relationship Id="rId819" Type="http://schemas.openxmlformats.org/officeDocument/2006/relationships/hyperlink" Target="https://npiregistry.cms.hhs.gov/provider-view/1710809769" TargetMode="External"/><Relationship Id="rId1004" Type="http://schemas.openxmlformats.org/officeDocument/2006/relationships/hyperlink" Target="https://www.google.com/maps/search/?api=1&amp;query=Therapy+Partners%2C+INC%2C+360+Sherman+St%2C+St.+Paul%2C+MN+55102" TargetMode="External"/><Relationship Id="rId1211" Type="http://schemas.openxmlformats.org/officeDocument/2006/relationships/hyperlink" Target="https://www.google.com/maps/search/?api=1&amp;query=The+Dental+Specialists+-+Woodbury%2C+241+Radio+Drive%2C+Woodbury%2C+MN+55125" TargetMode="External"/><Relationship Id="rId1656" Type="http://schemas.openxmlformats.org/officeDocument/2006/relationships/hyperlink" Target="https://npiregistry.cms.hhs.gov/provider-view/1659346609" TargetMode="External"/><Relationship Id="rId1863" Type="http://schemas.openxmlformats.org/officeDocument/2006/relationships/hyperlink" Target="https://www.google.com/maps/search/?api=1&amp;query=Complete+Health+Center+PA%2C+111+Jewett+St%2C+Marshall%2C+MN+56258" TargetMode="External"/><Relationship Id="rId1309" Type="http://schemas.openxmlformats.org/officeDocument/2006/relationships/hyperlink" Target="https://www.google.com/maps/search/?api=1&amp;query=Gateway+Family+Health+Clinic%2C+LTD.%2C+707+Lundorff+Dr%2C+Sandstone%2C+MN+55072" TargetMode="External"/><Relationship Id="rId1516" Type="http://schemas.openxmlformats.org/officeDocument/2006/relationships/hyperlink" Target="https://npiregistry.cms.hhs.gov/provider-view/1407809494" TargetMode="External"/><Relationship Id="rId1723" Type="http://schemas.openxmlformats.org/officeDocument/2006/relationships/hyperlink" Target="https://www.google.com/maps/search/?api=1&amp;query=Serenity+Family+Chiropractic%2C+129+Fillmore+St+W%2C+Preston%2C+MN+55965"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ogle.com/maps/search/?api=1&amp;query=Neurosurgical+Associates%2C+913+E+26th+St%2C+Minneapolis%2C+MN+55404" TargetMode="External"/><Relationship Id="rId299" Type="http://schemas.openxmlformats.org/officeDocument/2006/relationships/hyperlink" Target="https://www.google.com/maps/search/?api=1&amp;query=Pipestone+County+Medical+Center+Surgical+Specialties+Avera%2C+920+4th+Ave+SW%2C+Pipestone%2C+MN+56164" TargetMode="External"/><Relationship Id="rId21" Type="http://schemas.openxmlformats.org/officeDocument/2006/relationships/hyperlink" Target="https://www.google.com/maps/search/?api=1&amp;query=Sage+Spine+Pain+and+Nerve+Center%2C+38500+Tanger+Dr%2C+North+Branch%2C+MN+55056" TargetMode="External"/><Relationship Id="rId63" Type="http://schemas.openxmlformats.org/officeDocument/2006/relationships/hyperlink" Target="https://www.google.com/maps/search/?api=1&amp;query=Odom+Health+%26+Wellness%2C+6545+Flying+Cloud+Dr%2C+Eden+Prairie%2C+MN+55344" TargetMode="External"/><Relationship Id="rId159" Type="http://schemas.openxmlformats.org/officeDocument/2006/relationships/hyperlink" Target="https://www.google.com/maps/search/?api=1&amp;query=Entira+Family+Clinics-North+St.+Paul%2C+2601+Centennial+Dr%2C+North+St+Paul%2C+MN+55109" TargetMode="External"/><Relationship Id="rId170" Type="http://schemas.openxmlformats.org/officeDocument/2006/relationships/hyperlink" Target="https://npiregistry.cms.hhs.gov/provider-view/1508099656" TargetMode="External"/><Relationship Id="rId226" Type="http://schemas.openxmlformats.org/officeDocument/2006/relationships/hyperlink" Target="https://npiregistry.cms.hhs.gov/provider-view/1871104836" TargetMode="External"/><Relationship Id="rId268" Type="http://schemas.openxmlformats.org/officeDocument/2006/relationships/hyperlink" Target="https://npiregistry.cms.hhs.gov/provider-view/1619911658" TargetMode="External"/><Relationship Id="rId32" Type="http://schemas.openxmlformats.org/officeDocument/2006/relationships/hyperlink" Target="https://npiregistry.cms.hhs.gov/provider-view/1376403857" TargetMode="External"/><Relationship Id="rId74" Type="http://schemas.openxmlformats.org/officeDocument/2006/relationships/hyperlink" Target="https://npiregistry.cms.hhs.gov/provider-view/1083253991" TargetMode="External"/><Relationship Id="rId128" Type="http://schemas.openxmlformats.org/officeDocument/2006/relationships/hyperlink" Target="https://npiregistry.cms.hhs.gov/provider-view/1295841625" TargetMode="External"/><Relationship Id="rId5" Type="http://schemas.openxmlformats.org/officeDocument/2006/relationships/hyperlink" Target="https://www.google.com/maps/search/?api=1&amp;query=Allina+Health+Brain+and+Spine+Institute+-+Coon+Rapids%2C+11850+Blackfoot+St+NW%2C+Coon+Rapids%2C+MN+55433" TargetMode="External"/><Relationship Id="rId181" Type="http://schemas.openxmlformats.org/officeDocument/2006/relationships/hyperlink" Target="https://www.google.com/maps/search/?api=1&amp;query=Family+Healthservices+Minnesota%2C+PA.%2C+2025+Sloan+Pl%2C+St.+Paul%2C+MN+55117" TargetMode="External"/><Relationship Id="rId237" Type="http://schemas.openxmlformats.org/officeDocument/2006/relationships/hyperlink" Target="https://www.google.com/maps/search/?api=1&amp;query=Aspirus+St.+Luke%27s+Clinic+Duluth+Neurology%2C+1015+E+1st+St%2C+Duluth%2C+MN+55805" TargetMode="External"/><Relationship Id="rId279" Type="http://schemas.openxmlformats.org/officeDocument/2006/relationships/hyperlink" Target="https://www.google.com/maps/search/?api=1&amp;query=Neuroglee+Health%2C+221+1st+Ave+SW%2C+Rochester%2C+MN+55902" TargetMode="External"/><Relationship Id="rId43" Type="http://schemas.openxmlformats.org/officeDocument/2006/relationships/hyperlink" Target="https://www.google.com/maps/search/?api=1&amp;query=Summit+Orthopedics%2C+LTD%2C+17210+Kenyon+Ave%2C+Lakeville%2C+MN+55044" TargetMode="External"/><Relationship Id="rId139" Type="http://schemas.openxmlformats.org/officeDocument/2006/relationships/hyperlink" Target="https://www.google.com/maps/search/?api=1&amp;query=Allina+Health+Orthopedics%2C+2805+Campus+Dr%2C+Plymouth%2C+MN+55441" TargetMode="External"/><Relationship Id="rId290" Type="http://schemas.openxmlformats.org/officeDocument/2006/relationships/hyperlink" Target="https://npiregistry.cms.hhs.gov/provider-view/1205862844" TargetMode="External"/><Relationship Id="rId304" Type="http://schemas.openxmlformats.org/officeDocument/2006/relationships/hyperlink" Target="https://npiregistry.cms.hhs.gov/provider-view/1033495379" TargetMode="External"/><Relationship Id="rId85" Type="http://schemas.openxmlformats.org/officeDocument/2006/relationships/hyperlink" Target="https://www.google.com/maps/search/?api=1&amp;query=Rehabilitation+Medicine+Associates%2C+LLC%2C+464+2nd+St%2C+Excelsior%2C+MN+55331" TargetMode="External"/><Relationship Id="rId150" Type="http://schemas.openxmlformats.org/officeDocument/2006/relationships/hyperlink" Target="https://npiregistry.cms.hhs.gov/provider-view/1609787530" TargetMode="External"/><Relationship Id="rId192" Type="http://schemas.openxmlformats.org/officeDocument/2006/relationships/hyperlink" Target="https://npiregistry.cms.hhs.gov/provider-view/1528248259" TargetMode="External"/><Relationship Id="rId206" Type="http://schemas.openxmlformats.org/officeDocument/2006/relationships/hyperlink" Target="https://npiregistry.cms.hhs.gov/provider-view/1982884615" TargetMode="External"/><Relationship Id="rId248" Type="http://schemas.openxmlformats.org/officeDocument/2006/relationships/hyperlink" Target="https://npiregistry.cms.hhs.gov/provider-view/1174263743" TargetMode="External"/><Relationship Id="rId12" Type="http://schemas.openxmlformats.org/officeDocument/2006/relationships/hyperlink" Target="https://npiregistry.cms.hhs.gov/provider-view/1922241884" TargetMode="External"/><Relationship Id="rId108" Type="http://schemas.openxmlformats.org/officeDocument/2006/relationships/hyperlink" Target="https://npiregistry.cms.hhs.gov/provider-view/1316980386" TargetMode="External"/><Relationship Id="rId54" Type="http://schemas.openxmlformats.org/officeDocument/2006/relationships/hyperlink" Target="https://npiregistry.cms.hhs.gov/provider-view/1346624384" TargetMode="External"/><Relationship Id="rId96" Type="http://schemas.openxmlformats.org/officeDocument/2006/relationships/hyperlink" Target="https://npiregistry.cms.hhs.gov/provider-view/1295402774" TargetMode="External"/><Relationship Id="rId161" Type="http://schemas.openxmlformats.org/officeDocument/2006/relationships/hyperlink" Target="https://www.google.com/maps/search/?api=1&amp;query=Minnesota+Epilepsy+Group+PA%2C+2720+Fairview+Ave+N%2C+Roseville%2C+MN+55113" TargetMode="External"/><Relationship Id="rId217" Type="http://schemas.openxmlformats.org/officeDocument/2006/relationships/hyperlink" Target="https://www.google.com/maps/search/?api=1&amp;query=Summit+Orthopedics+LTD%2C+4123+Radio+Dr%2C+Woodbury%2C+MN+55129" TargetMode="External"/><Relationship Id="rId259" Type="http://schemas.openxmlformats.org/officeDocument/2006/relationships/hyperlink" Target="https://www.google.com/maps/search/?api=1&amp;query=Sunny+S.+Kim%2C+MD+PA%2C+6600+State+Highway+29+South%2C+Alexandria%2C+MN+56308" TargetMode="External"/><Relationship Id="rId23" Type="http://schemas.openxmlformats.org/officeDocument/2006/relationships/hyperlink" Target="https://www.google.com/maps/search/?api=1&amp;query=Fairview+Express+Care%2C+5200+Fairview+Blvd%2C+Wyoming%2C+MN+55092" TargetMode="External"/><Relationship Id="rId119" Type="http://schemas.openxmlformats.org/officeDocument/2006/relationships/hyperlink" Target="https://www.google.com/maps/search/?api=1&amp;query=Nura+PLLC%2C+7390+France+Ave+S%2C+Minneapolis%2C+MN+55435" TargetMode="External"/><Relationship Id="rId270" Type="http://schemas.openxmlformats.org/officeDocument/2006/relationships/hyperlink" Target="https://npiregistry.cms.hhs.gov/provider-view/1699968057" TargetMode="External"/><Relationship Id="rId291" Type="http://schemas.openxmlformats.org/officeDocument/2006/relationships/hyperlink" Target="https://www.google.com/maps/search/?api=1&amp;query=Heartland+Orthopedic+Specialists%2C+A+Service+of+Alomere+Health%2C+2800+1st+St+S%2C+Willmar%2C+MN+56201" TargetMode="External"/><Relationship Id="rId305" Type="http://schemas.openxmlformats.org/officeDocument/2006/relationships/hyperlink" Target="https://www.google.com/maps/search/?api=1&amp;query=Sanford+Clinic%2C+112+Saint+Olaf+Ave+S%2C+Canby%2C+MN+56220" TargetMode="External"/><Relationship Id="rId44" Type="http://schemas.openxmlformats.org/officeDocument/2006/relationships/hyperlink" Target="https://npiregistry.cms.hhs.gov/provider-view/1629740949" TargetMode="External"/><Relationship Id="rId65" Type="http://schemas.openxmlformats.org/officeDocument/2006/relationships/hyperlink" Target="https://www.google.com/maps/search/?api=1&amp;query=Summit+Orthopedics+LTD%2C+11995+Singletree+Ln%2C+Eden+Prairie%2C+MN+55344" TargetMode="External"/><Relationship Id="rId86" Type="http://schemas.openxmlformats.org/officeDocument/2006/relationships/hyperlink" Target="https://npiregistry.cms.hhs.gov/provider-view/1093103145" TargetMode="External"/><Relationship Id="rId130" Type="http://schemas.openxmlformats.org/officeDocument/2006/relationships/hyperlink" Target="https://npiregistry.cms.hhs.gov/provider-view/1275231698" TargetMode="External"/><Relationship Id="rId151" Type="http://schemas.openxmlformats.org/officeDocument/2006/relationships/hyperlink" Target="https://www.google.com/maps/search/?api=1&amp;query=Volker+Sports+%26+Physical+Medicine+PLLC%2C+236+2nd+Ave+SW%2C+Cambridge%2C+MN+55008" TargetMode="External"/><Relationship Id="rId172" Type="http://schemas.openxmlformats.org/officeDocument/2006/relationships/hyperlink" Target="https://npiregistry.cms.hhs.gov/provider-view/1508099656" TargetMode="External"/><Relationship Id="rId193" Type="http://schemas.openxmlformats.org/officeDocument/2006/relationships/hyperlink" Target="https://www.google.com/maps/search/?api=1&amp;query=Summit+Orthopedics%2C+LTD%2C+3580+Arcade+St%2C+Vadnais+Heights%2C+MN+55127" TargetMode="External"/><Relationship Id="rId207" Type="http://schemas.openxmlformats.org/officeDocument/2006/relationships/hyperlink" Target="https://www.google.com/maps/search/?api=1&amp;query=Fairview+Express+Care%2C+9680+Tamarack+Rd%2C+Woodbury%2C+MN+55125" TargetMode="External"/><Relationship Id="rId228" Type="http://schemas.openxmlformats.org/officeDocument/2006/relationships/hyperlink" Target="https://npiregistry.cms.hhs.gov/provider-view/1407878424" TargetMode="External"/><Relationship Id="rId249" Type="http://schemas.openxmlformats.org/officeDocument/2006/relationships/hyperlink" Target="https://www.google.com/maps/search/?api=1&amp;query=Sanford+Thief+River+Falls%2C+3001+Sanford+Parkway%2C+Thief+River+Falls%2C+MN+56701" TargetMode="External"/><Relationship Id="rId13" Type="http://schemas.openxmlformats.org/officeDocument/2006/relationships/hyperlink" Target="https://www.google.com/maps/search/?api=1&amp;query=Pdr+Coon+Rapids%2C+INC%2C+320+Coon+Rapids+Blvd+NW%2C+Coon+Rapids%2C+MN+55433" TargetMode="External"/><Relationship Id="rId109" Type="http://schemas.openxmlformats.org/officeDocument/2006/relationships/hyperlink" Target="https://www.google.com/maps/search/?api=1&amp;query=Courage+Kenny+Rehab+Associates%2C+800+E+28th+St%2C+Minneapolis%2C+MN+55407" TargetMode="External"/><Relationship Id="rId260" Type="http://schemas.openxmlformats.org/officeDocument/2006/relationships/hyperlink" Target="https://npiregistry.cms.hhs.gov/provider-view/1659301992" TargetMode="External"/><Relationship Id="rId281" Type="http://schemas.openxmlformats.org/officeDocument/2006/relationships/hyperlink" Target="https://www.google.com/maps/search/?api=1&amp;query=Rochester+Joint+Injection%2C+PLLC%2C+2156+17th+St+NE%2C+Rochester%2C+MN+55906" TargetMode="External"/><Relationship Id="rId34" Type="http://schemas.openxmlformats.org/officeDocument/2006/relationships/hyperlink" Target="https://npiregistry.cms.hhs.gov/provider-view/1659301992" TargetMode="External"/><Relationship Id="rId55" Type="http://schemas.openxmlformats.org/officeDocument/2006/relationships/hyperlink" Target="https://www.google.com/maps/search/?api=1&amp;query=Tria+Orthopaedic+Clinic%2C+8100+Northland+Dr%2C+Bloomington%2C+MN+55431" TargetMode="External"/><Relationship Id="rId76" Type="http://schemas.openxmlformats.org/officeDocument/2006/relationships/hyperlink" Target="https://npiregistry.cms.hhs.gov/provider-view/1225916745" TargetMode="External"/><Relationship Id="rId97" Type="http://schemas.openxmlformats.org/officeDocument/2006/relationships/hyperlink" Target="https://www.google.com/maps/search/?api=1&amp;query=Twin+Cities+Pain+Clinic%2C+12000+Elm+Creek+Blvd+N%2C+Maple+Grove%2C+MN+55369" TargetMode="External"/><Relationship Id="rId120" Type="http://schemas.openxmlformats.org/officeDocument/2006/relationships/hyperlink" Target="https://npiregistry.cms.hhs.gov/provider-view/1750316014" TargetMode="External"/><Relationship Id="rId141" Type="http://schemas.openxmlformats.org/officeDocument/2006/relationships/hyperlink" Target="https://www.google.com/maps/search/?api=1&amp;query=Dpc+Medical%2C+28+Nathan+Ln+N%2C+Plymouth%2C+MN+55441" TargetMode="External"/><Relationship Id="rId7" Type="http://schemas.openxmlformats.org/officeDocument/2006/relationships/hyperlink" Target="https://www.google.com/maps/search/?api=1&amp;query=Courage+Kenny+Rehabilitation+Associates%2C+11850+Blackfoot+St+NW%2C+Coon+Rapids%2C+MN+55433" TargetMode="External"/><Relationship Id="rId162" Type="http://schemas.openxmlformats.org/officeDocument/2006/relationships/hyperlink" Target="https://npiregistry.cms.hhs.gov/provider-view/1932118056" TargetMode="External"/><Relationship Id="rId183" Type="http://schemas.openxmlformats.org/officeDocument/2006/relationships/hyperlink" Target="https://www.google.com/maps/search/?api=1&amp;query=Impact+Physical+Medicine%2C+1600+University+Ave+W%2C+St.+Paul%2C+MN+55104" TargetMode="External"/><Relationship Id="rId218" Type="http://schemas.openxmlformats.org/officeDocument/2006/relationships/hyperlink" Target="https://npiregistry.cms.hhs.gov/provider-view/1386007417" TargetMode="External"/><Relationship Id="rId239" Type="http://schemas.openxmlformats.org/officeDocument/2006/relationships/hyperlink" Target="https://www.google.com/maps/search/?api=1&amp;query=Aspirus+St.+Luke%27s+Clinic+Duluth+Neurosurgery%2C+1015+E+1st+St%2C+Duluth%2C+MN+55805" TargetMode="External"/><Relationship Id="rId250" Type="http://schemas.openxmlformats.org/officeDocument/2006/relationships/hyperlink" Target="https://npiregistry.cms.hhs.gov/provider-view/1144401514" TargetMode="External"/><Relationship Id="rId271" Type="http://schemas.openxmlformats.org/officeDocument/2006/relationships/hyperlink" Target="https://www.google.com/maps/search/?api=1&amp;query=Sanford+Clinic%2C+2150+Hospital+Dr%2C+Windom%2C+MN+56101" TargetMode="External"/><Relationship Id="rId292" Type="http://schemas.openxmlformats.org/officeDocument/2006/relationships/hyperlink" Target="https://npiregistry.cms.hhs.gov/provider-view/1821963398" TargetMode="External"/><Relationship Id="rId306" Type="http://schemas.openxmlformats.org/officeDocument/2006/relationships/hyperlink" Target="https://npiregistry.cms.hhs.gov/provider-view/1699968057" TargetMode="External"/><Relationship Id="rId24" Type="http://schemas.openxmlformats.org/officeDocument/2006/relationships/hyperlink" Target="https://npiregistry.cms.hhs.gov/provider-view/1386193613" TargetMode="External"/><Relationship Id="rId45" Type="http://schemas.openxmlformats.org/officeDocument/2006/relationships/hyperlink" Target="https://www.google.com/maps/search/?api=1&amp;query=Entira+Family+Clinics-West+St.+Paul%2C+234+Wentworth+Ave+E%2C+West+St+Paul%2C+MN+55118" TargetMode="External"/><Relationship Id="rId66" Type="http://schemas.openxmlformats.org/officeDocument/2006/relationships/hyperlink" Target="https://npiregistry.cms.hhs.gov/provider-view/1417639626" TargetMode="External"/><Relationship Id="rId87" Type="http://schemas.openxmlformats.org/officeDocument/2006/relationships/hyperlink" Target="https://www.google.com/maps/search/?api=1&amp;query=Sipple+Medical+Innovations+LLC%2C+10285+Yellow+Circle+Dr%2C+Hopkins%2C+MN+55343" TargetMode="External"/><Relationship Id="rId110" Type="http://schemas.openxmlformats.org/officeDocument/2006/relationships/hyperlink" Target="https://npiregistry.cms.hhs.gov/provider-view/1275577215" TargetMode="External"/><Relationship Id="rId131" Type="http://schemas.openxmlformats.org/officeDocument/2006/relationships/hyperlink" Target="https://www.google.com/maps/search/?api=1&amp;query=Summit+Orthopedics%2C+LTD%2C+15450+Highway+7%2C+Minnetonka%2C+MN+55345" TargetMode="External"/><Relationship Id="rId152" Type="http://schemas.openxmlformats.org/officeDocument/2006/relationships/hyperlink" Target="https://npiregistry.cms.hhs.gov/provider-view/1942161054" TargetMode="External"/><Relationship Id="rId173" Type="http://schemas.openxmlformats.org/officeDocument/2006/relationships/hyperlink" Target="https://www.google.com/maps/search/?api=1&amp;query=Courage+Kenny+Rehab+Associates%2C+280+Smith+Ave+N%2C+St.+Paul%2C+MN+55102" TargetMode="External"/><Relationship Id="rId194" Type="http://schemas.openxmlformats.org/officeDocument/2006/relationships/hyperlink" Target="https://npiregistry.cms.hhs.gov/provider-view/1215358346" TargetMode="External"/><Relationship Id="rId208" Type="http://schemas.openxmlformats.org/officeDocument/2006/relationships/hyperlink" Target="https://npiregistry.cms.hhs.gov/provider-view/1700235587" TargetMode="External"/><Relationship Id="rId229" Type="http://schemas.openxmlformats.org/officeDocument/2006/relationships/hyperlink" Target="https://www.google.com/maps/search/?api=1&amp;query=Sanford+Bemidji+Main+Clinic%2C+1233+34th+St+NW%2C+Bemidji%2C+MN+56601" TargetMode="External"/><Relationship Id="rId240" Type="http://schemas.openxmlformats.org/officeDocument/2006/relationships/hyperlink" Target="https://npiregistry.cms.hhs.gov/provider-view/1285688986" TargetMode="External"/><Relationship Id="rId261" Type="http://schemas.openxmlformats.org/officeDocument/2006/relationships/hyperlink" Target="https://www.google.com/maps/search/?api=1&amp;query=Heartland+Orthopedic+Specialists%2C+A+Service+of+Alomere+Health%2C+2609+Cenex+Dr%2C+Fergus+Falls%2C+MN+56537" TargetMode="External"/><Relationship Id="rId14" Type="http://schemas.openxmlformats.org/officeDocument/2006/relationships/hyperlink" Target="https://npiregistry.cms.hhs.gov/provider-view/1477666428" TargetMode="External"/><Relationship Id="rId35" Type="http://schemas.openxmlformats.org/officeDocument/2006/relationships/hyperlink" Target="https://www.google.com/maps/search/?api=1&amp;query=Summit+Orthopedics%2C+LTD%2C+2620+Eagan+Woods+Dr%2C+Eagan%2C+MN+55121" TargetMode="External"/><Relationship Id="rId56" Type="http://schemas.openxmlformats.org/officeDocument/2006/relationships/hyperlink" Target="https://npiregistry.cms.hhs.gov/provider-view/1518273085" TargetMode="External"/><Relationship Id="rId77" Type="http://schemas.openxmlformats.org/officeDocument/2006/relationships/hyperlink" Target="https://www.google.com/maps/search/?api=1&amp;query=Nura+PLLC%2C+7400+France+Ave+S%2C+Edina%2C+MN+55435" TargetMode="External"/><Relationship Id="rId100" Type="http://schemas.openxmlformats.org/officeDocument/2006/relationships/hyperlink" Target="https://npiregistry.cms.hhs.gov/provider-view/1891055851" TargetMode="External"/><Relationship Id="rId282" Type="http://schemas.openxmlformats.org/officeDocument/2006/relationships/hyperlink" Target="https://npiregistry.cms.hhs.gov/provider-view/1740137793" TargetMode="External"/><Relationship Id="rId8" Type="http://schemas.openxmlformats.org/officeDocument/2006/relationships/hyperlink" Target="https://npiregistry.cms.hhs.gov/provider-view/1770034670" TargetMode="External"/><Relationship Id="rId98" Type="http://schemas.openxmlformats.org/officeDocument/2006/relationships/hyperlink" Target="https://npiregistry.cms.hhs.gov/provider-view/1750797072" TargetMode="External"/><Relationship Id="rId121" Type="http://schemas.openxmlformats.org/officeDocument/2006/relationships/hyperlink" Target="https://www.google.com/maps/search/?api=1&amp;query=Pain+%26+Injury+Center+PLLC%2C+825+Nicollet+Mall%2C+Minneapolis%2C+MN+55402" TargetMode="External"/><Relationship Id="rId142" Type="http://schemas.openxmlformats.org/officeDocument/2006/relationships/hyperlink" Target="https://npiregistry.cms.hhs.gov/provider-view/1275881971" TargetMode="External"/><Relationship Id="rId163" Type="http://schemas.openxmlformats.org/officeDocument/2006/relationships/hyperlink" Target="https://www.google.com/maps/search/?api=1&amp;query=Minnesota+Institute+For+Pain+Management%2C+LLC%2C+2780+Snelling+Ave+N%2C+Roseville%2C+MN+55113" TargetMode="External"/><Relationship Id="rId184" Type="http://schemas.openxmlformats.org/officeDocument/2006/relationships/hyperlink" Target="https://npiregistry.cms.hhs.gov/provider-view/1487294401" TargetMode="External"/><Relationship Id="rId219" Type="http://schemas.openxmlformats.org/officeDocument/2006/relationships/hyperlink" Target="https://www.google.com/maps/search/?api=1&amp;query=Summit+Orthopedics%2C+LTD%2C+710+Commerce+Dr%2C+Woodbury%2C+MN+55125" TargetMode="External"/><Relationship Id="rId230" Type="http://schemas.openxmlformats.org/officeDocument/2006/relationships/hyperlink" Target="https://npiregistry.cms.hhs.gov/provider-view/1093095382" TargetMode="External"/><Relationship Id="rId251" Type="http://schemas.openxmlformats.org/officeDocument/2006/relationships/hyperlink" Target="https://www.google.com/maps/search/?api=1&amp;query=Center+For+Pain+Management+Ambulatory+Surgery%2C+LTD%2C+519+22nd+Ave+E%2C+Alexandria%2C+MN+56308" TargetMode="External"/><Relationship Id="rId25" Type="http://schemas.openxmlformats.org/officeDocument/2006/relationships/hyperlink" Target="https://www.google.com/maps/search/?api=1&amp;query=Fairview+Express+Care%2C+5130+Fairview+Blvd%2C+Wyoming%2C+MN+55092" TargetMode="External"/><Relationship Id="rId46" Type="http://schemas.openxmlformats.org/officeDocument/2006/relationships/hyperlink" Target="https://npiregistry.cms.hhs.gov/provider-view/1801076526" TargetMode="External"/><Relationship Id="rId67" Type="http://schemas.openxmlformats.org/officeDocument/2006/relationships/hyperlink" Target="https://www.google.com/maps/search/?api=1&amp;query=Allina+Health+Orthopedics%2C+8100+W+78th+St%2C+Edina%2C+MN+55439" TargetMode="External"/><Relationship Id="rId272" Type="http://schemas.openxmlformats.org/officeDocument/2006/relationships/hyperlink" Target="https://npiregistry.cms.hhs.gov/provider-view/1699968057" TargetMode="External"/><Relationship Id="rId293" Type="http://schemas.openxmlformats.org/officeDocument/2006/relationships/hyperlink" Target="https://www.google.com/maps/search/?api=1&amp;query=Avera+St.+Luke%27s%2C+300+S+Bruce+St%2C+Marshall%2C+MN+56258" TargetMode="External"/><Relationship Id="rId307" Type="http://schemas.openxmlformats.org/officeDocument/2006/relationships/table" Target="../tables/table2.xml"/><Relationship Id="rId88" Type="http://schemas.openxmlformats.org/officeDocument/2006/relationships/hyperlink" Target="https://npiregistry.cms.hhs.gov/provider-view/1861866816" TargetMode="External"/><Relationship Id="rId111" Type="http://schemas.openxmlformats.org/officeDocument/2006/relationships/hyperlink" Target="https://www.google.com/maps/search/?api=1&amp;query=M+Health+Fairview+Pain+Clinic+-+Minneapolis%2C+606+24th+Ave+S%2C+Minneapolis%2C+MN+55454" TargetMode="External"/><Relationship Id="rId132" Type="http://schemas.openxmlformats.org/officeDocument/2006/relationships/hyperlink" Target="https://npiregistry.cms.hhs.gov/provider-view/1457028946" TargetMode="External"/><Relationship Id="rId153" Type="http://schemas.openxmlformats.org/officeDocument/2006/relationships/hyperlink" Target="https://www.google.com/maps/search/?api=1&amp;query=Fairview+Express+Care%2C+1650+Beam+Ave%2C+Maplewood%2C+MN+55109" TargetMode="External"/><Relationship Id="rId174" Type="http://schemas.openxmlformats.org/officeDocument/2006/relationships/hyperlink" Target="https://npiregistry.cms.hhs.gov/provider-view/1962659094" TargetMode="External"/><Relationship Id="rId195" Type="http://schemas.openxmlformats.org/officeDocument/2006/relationships/hyperlink" Target="https://www.google.com/maps/search/?api=1&amp;query=Fyzical+Therapy+and+Balance+Centers%2C+2680+County+Road+E+E%2C+White+Bear+Lake%2C+MN+55110" TargetMode="External"/><Relationship Id="rId209" Type="http://schemas.openxmlformats.org/officeDocument/2006/relationships/hyperlink" Target="https://www.google.com/maps/search/?api=1&amp;query=Infusion+Associates%2C+652+Bielenberg+Dr%2C+Woodbury%2C+MN+55125" TargetMode="External"/><Relationship Id="rId220" Type="http://schemas.openxmlformats.org/officeDocument/2006/relationships/hyperlink" Target="https://npiregistry.cms.hhs.gov/provider-view/1306899463" TargetMode="External"/><Relationship Id="rId241" Type="http://schemas.openxmlformats.org/officeDocument/2006/relationships/hyperlink" Target="https://www.google.com/maps/search/?api=1&amp;query=Aspirus+St.+Luke%27s+Clinic+Duluth+Physical+Med+%26+Rehab%2C+1015+E+1st+St%2C+Duluth%2C+MN+55805" TargetMode="External"/><Relationship Id="rId15" Type="http://schemas.openxmlformats.org/officeDocument/2006/relationships/hyperlink" Target="https://www.google.com/maps/search/?api=1&amp;query=Nura+PLLC%2C+2104+Northdale+Boulevard+NW%2C+Minneapolis%2C+MN+55433" TargetMode="External"/><Relationship Id="rId36" Type="http://schemas.openxmlformats.org/officeDocument/2006/relationships/hyperlink" Target="https://npiregistry.cms.hhs.gov/provider-view/1063563518" TargetMode="External"/><Relationship Id="rId57" Type="http://schemas.openxmlformats.org/officeDocument/2006/relationships/hyperlink" Target="https://www.google.com/maps/search/?api=1&amp;query=Allina+Health+Orthopedics%2C+6001+96th+Ln+N%2C+Brooklyn+Park%2C+MN+55445" TargetMode="External"/><Relationship Id="rId262" Type="http://schemas.openxmlformats.org/officeDocument/2006/relationships/hyperlink" Target="https://npiregistry.cms.hhs.gov/provider-view/1821963398" TargetMode="External"/><Relationship Id="rId283" Type="http://schemas.openxmlformats.org/officeDocument/2006/relationships/hyperlink" Target="https://www.google.com/maps/search/?api=1&amp;query=Sercc-Nexus%2C+2121+Campus+Dr+SE%2C+Rochester%2C+MN+55904" TargetMode="External"/><Relationship Id="rId78" Type="http://schemas.openxmlformats.org/officeDocument/2006/relationships/hyperlink" Target="https://npiregistry.cms.hhs.gov/provider-view/1750316014" TargetMode="External"/><Relationship Id="rId99" Type="http://schemas.openxmlformats.org/officeDocument/2006/relationships/hyperlink" Target="https://www.google.com/maps/search/?api=1&amp;query=Advanced+Spine+and+Pain+Clinics+of+Minnesota+LLC%2C+2801+Wayzata+Blvd%2C+Minneapolis%2C+MN+55405" TargetMode="External"/><Relationship Id="rId101" Type="http://schemas.openxmlformats.org/officeDocument/2006/relationships/hyperlink" Target="https://www.google.com/maps/search/?api=1&amp;query=Allina+Health+Brain+and+Spine+Institute%2C+913+E+26th+St%2C+Minneapolis%2C+MN+55404" TargetMode="External"/><Relationship Id="rId122" Type="http://schemas.openxmlformats.org/officeDocument/2006/relationships/hyperlink" Target="https://npiregistry.cms.hhs.gov/provider-view/1063842243" TargetMode="External"/><Relationship Id="rId143" Type="http://schemas.openxmlformats.org/officeDocument/2006/relationships/hyperlink" Target="https://www.google.com/maps/search/?api=1&amp;query=Infusion+Associates%2C+15655+37th+Ave+N%2C+Plymouth%2C+MN+55446" TargetMode="External"/><Relationship Id="rId164" Type="http://schemas.openxmlformats.org/officeDocument/2006/relationships/hyperlink" Target="https://npiregistry.cms.hhs.gov/provider-view/1366751562" TargetMode="External"/><Relationship Id="rId185" Type="http://schemas.openxmlformats.org/officeDocument/2006/relationships/hyperlink" Target="https://www.google.com/maps/search/?api=1&amp;query=John+Nasseff+Neuroscience+Specialty+Clinic%2C+310+Smith+Ave+N%2C+St.+Paul%2C+MN+55102" TargetMode="External"/><Relationship Id="rId9" Type="http://schemas.openxmlformats.org/officeDocument/2006/relationships/hyperlink" Target="https://www.google.com/maps/search/?api=1&amp;query=Metropolitan+Neurosurgery%2C+PA%2C+11850+Blackfoot+St+NW%2C+Coon+Rapids%2C+MN+55433" TargetMode="External"/><Relationship Id="rId210" Type="http://schemas.openxmlformats.org/officeDocument/2006/relationships/hyperlink" Target="https://npiregistry.cms.hhs.gov/provider-view/1457417933" TargetMode="External"/><Relationship Id="rId26" Type="http://schemas.openxmlformats.org/officeDocument/2006/relationships/hyperlink" Target="https://npiregistry.cms.hhs.gov/provider-view/1386193613" TargetMode="External"/><Relationship Id="rId231" Type="http://schemas.openxmlformats.org/officeDocument/2006/relationships/hyperlink" Target="https://www.google.com/maps/search/?api=1&amp;query=Sanford+Bemidji+Main+Clinic+Outreach+For+Cook%2C+1233+34th+St+NW%2C+Bemidji%2C+MN+56601" TargetMode="External"/><Relationship Id="rId252" Type="http://schemas.openxmlformats.org/officeDocument/2006/relationships/hyperlink" Target="https://npiregistry.cms.hhs.gov/provider-view/1912329871" TargetMode="External"/><Relationship Id="rId273" Type="http://schemas.openxmlformats.org/officeDocument/2006/relationships/hyperlink" Target="https://www.google.com/maps/search/?api=1&amp;query=Sanford+Clinic%2C+1430+North+Hwy%2C+Jackson%2C+MN+56143" TargetMode="External"/><Relationship Id="rId294" Type="http://schemas.openxmlformats.org/officeDocument/2006/relationships/hyperlink" Target="https://npiregistry.cms.hhs.gov/provider-view/1124459391" TargetMode="External"/><Relationship Id="rId47" Type="http://schemas.openxmlformats.org/officeDocument/2006/relationships/hyperlink" Target="https://www.google.com/maps/search/?api=1&amp;query=Infinite+Health+Collaborative%2C+PA%2C+3500+American+Blvd+W%2C+Bloomington%2C+MN+55431" TargetMode="External"/><Relationship Id="rId68" Type="http://schemas.openxmlformats.org/officeDocument/2006/relationships/hyperlink" Target="https://npiregistry.cms.hhs.gov/provider-view/1508099656" TargetMode="External"/><Relationship Id="rId89" Type="http://schemas.openxmlformats.org/officeDocument/2006/relationships/hyperlink" Target="https://www.google.com/maps/search/?api=1&amp;query=Advanced+Hand+and+Upper+Extremity+Center+PC%2C+9325+Upland+Ln+N%2C+Maple+Grove%2C+MN+55369" TargetMode="External"/><Relationship Id="rId112" Type="http://schemas.openxmlformats.org/officeDocument/2006/relationships/hyperlink" Target="https://npiregistry.cms.hhs.gov/provider-view/1457397150" TargetMode="External"/><Relationship Id="rId133" Type="http://schemas.openxmlformats.org/officeDocument/2006/relationships/hyperlink" Target="https://www.google.com/maps/search/?api=1&amp;query=Allina+Health+Brain+and+Spine+Institute%2C+2855+Campus+Dr%2C+Plymouth%2C+MN+55441" TargetMode="External"/><Relationship Id="rId154" Type="http://schemas.openxmlformats.org/officeDocument/2006/relationships/hyperlink" Target="https://npiregistry.cms.hhs.gov/provider-view/1902311210" TargetMode="External"/><Relationship Id="rId175" Type="http://schemas.openxmlformats.org/officeDocument/2006/relationships/hyperlink" Target="https://www.google.com/maps/search/?api=1&amp;query=Entira+Family+Clinics-Como%2Froseville%2C+1050+Larpenteur+Ave+W%2C+St.+Paul%2C+MN+55113" TargetMode="External"/><Relationship Id="rId196" Type="http://schemas.openxmlformats.org/officeDocument/2006/relationships/hyperlink" Target="https://npiregistry.cms.hhs.gov/provider-view/1821979642" TargetMode="External"/><Relationship Id="rId200" Type="http://schemas.openxmlformats.org/officeDocument/2006/relationships/hyperlink" Target="https://npiregistry.cms.hhs.gov/provider-view/1124795612" TargetMode="External"/><Relationship Id="rId16" Type="http://schemas.openxmlformats.org/officeDocument/2006/relationships/hyperlink" Target="https://npiregistry.cms.hhs.gov/provider-view/1750316014" TargetMode="External"/><Relationship Id="rId221" Type="http://schemas.openxmlformats.org/officeDocument/2006/relationships/hyperlink" Target="https://www.google.com/maps/search/?api=1&amp;query=Allina+Health+Buffalo+Specialty+Clinic%2C+303+Catlin+St%2C+Buffalo%2C+MN+55313" TargetMode="External"/><Relationship Id="rId242" Type="http://schemas.openxmlformats.org/officeDocument/2006/relationships/hyperlink" Target="https://npiregistry.cms.hhs.gov/provider-view/1366496069" TargetMode="External"/><Relationship Id="rId263" Type="http://schemas.openxmlformats.org/officeDocument/2006/relationships/hyperlink" Target="https://www.google.com/maps/search/?api=1&amp;query=Mankato+Clinic+LTD%2C+1230+E+Main+St%2C+Mankato%2C+MN+56001" TargetMode="External"/><Relationship Id="rId284" Type="http://schemas.openxmlformats.org/officeDocument/2006/relationships/hyperlink" Target="https://npiregistry.cms.hhs.gov/provider-view/1851905251" TargetMode="External"/><Relationship Id="rId37" Type="http://schemas.openxmlformats.org/officeDocument/2006/relationships/hyperlink" Target="https://www.google.com/maps/search/?api=1&amp;query=Allina+Health+Nininger+Road+Clinic%2C+1285+Nininger+Rd%2C+Hastings%2C+MN+55033" TargetMode="External"/><Relationship Id="rId58" Type="http://schemas.openxmlformats.org/officeDocument/2006/relationships/hyperlink" Target="https://npiregistry.cms.hhs.gov/provider-view/1508099656" TargetMode="External"/><Relationship Id="rId79" Type="http://schemas.openxmlformats.org/officeDocument/2006/relationships/hyperlink" Target="https://www.google.com/maps/search/?api=1&amp;query=Orthopaedic+Institute+Surgery+Center%2C+8100+W+78th+St%2C+Edina%2C+MN+55439" TargetMode="External"/><Relationship Id="rId102" Type="http://schemas.openxmlformats.org/officeDocument/2006/relationships/hyperlink" Target="https://npiregistry.cms.hhs.gov/provider-view/1144264540" TargetMode="External"/><Relationship Id="rId123" Type="http://schemas.openxmlformats.org/officeDocument/2006/relationships/hyperlink" Target="https://www.google.com/maps/search/?api=1&amp;query=Pointcare+Family+and+Behavioral+Health+INC.%2C+825+Nicollet+Mall%2C+Minneapolis%2C+MN+55402" TargetMode="External"/><Relationship Id="rId144" Type="http://schemas.openxmlformats.org/officeDocument/2006/relationships/hyperlink" Target="https://npiregistry.cms.hhs.gov/provider-view/1457417933" TargetMode="External"/><Relationship Id="rId90" Type="http://schemas.openxmlformats.org/officeDocument/2006/relationships/hyperlink" Target="https://npiregistry.cms.hhs.gov/provider-view/1689343600" TargetMode="External"/><Relationship Id="rId165" Type="http://schemas.openxmlformats.org/officeDocument/2006/relationships/hyperlink" Target="https://www.google.com/maps/search/?api=1&amp;query=Entira+Family+Clinics-Shoreview%2C+404+Highway+96+W%2C+Shoreview%2C+MN+55126" TargetMode="External"/><Relationship Id="rId186" Type="http://schemas.openxmlformats.org/officeDocument/2006/relationships/hyperlink" Target="https://npiregistry.cms.hhs.gov/provider-view/1619914207" TargetMode="External"/><Relationship Id="rId211" Type="http://schemas.openxmlformats.org/officeDocument/2006/relationships/hyperlink" Target="https://www.google.com/maps/search/?api=1&amp;query=Merit+Spine+LLC%2C+3715+Fairway+Pt%2C+Woodbury%2C+MN+55125" TargetMode="External"/><Relationship Id="rId232" Type="http://schemas.openxmlformats.org/officeDocument/2006/relationships/hyperlink" Target="https://npiregistry.cms.hhs.gov/provider-view/1780628149" TargetMode="External"/><Relationship Id="rId253" Type="http://schemas.openxmlformats.org/officeDocument/2006/relationships/hyperlink" Target="https://www.google.com/maps/search/?api=1&amp;query=Heartland+Orthopedic+Specialists%2C+A+Service+of+Alomere+Health%2C+111+17th+Ave+E%2C+Alexandria%2C+MN+56308" TargetMode="External"/><Relationship Id="rId274" Type="http://schemas.openxmlformats.org/officeDocument/2006/relationships/hyperlink" Target="https://npiregistry.cms.hhs.gov/provider-view/1699968057" TargetMode="External"/><Relationship Id="rId295" Type="http://schemas.openxmlformats.org/officeDocument/2006/relationships/hyperlink" Target="https://www.google.com/maps/search/?api=1&amp;query=Sanford+Clinic%2C+251+5th+St+E%2C+Tracy%2C+MN+56175" TargetMode="External"/><Relationship Id="rId27" Type="http://schemas.openxmlformats.org/officeDocument/2006/relationships/hyperlink" Target="https://www.google.com/maps/search/?api=1&amp;query=Inspired+Spine+Health+%2F+Tristate+Brain+%26+Spine+Institute%2C+1601+Highway+13+E%2C+Burnsville%2C+MN+55337" TargetMode="External"/><Relationship Id="rId48" Type="http://schemas.openxmlformats.org/officeDocument/2006/relationships/hyperlink" Target="https://npiregistry.cms.hhs.gov/provider-view/1265675870" TargetMode="External"/><Relationship Id="rId69" Type="http://schemas.openxmlformats.org/officeDocument/2006/relationships/hyperlink" Target="https://www.google.com/maps/search/?api=1&amp;query=Innerwell%2C+5201+Eden+Ave%2C+Edina%2C+MN+55436" TargetMode="External"/><Relationship Id="rId113" Type="http://schemas.openxmlformats.org/officeDocument/2006/relationships/hyperlink" Target="https://www.google.com/maps/search/?api=1&amp;query=Minnesota+Pain+Prevention+Clinic%2C+PA.%2C+3475+Plymouth+Blvd%2C+Minneapolis%2C+MN+55447" TargetMode="External"/><Relationship Id="rId134" Type="http://schemas.openxmlformats.org/officeDocument/2006/relationships/hyperlink" Target="https://npiregistry.cms.hhs.gov/provider-view/1144264540" TargetMode="External"/><Relationship Id="rId80" Type="http://schemas.openxmlformats.org/officeDocument/2006/relationships/hyperlink" Target="https://npiregistry.cms.hhs.gov/provider-view/1306829866" TargetMode="External"/><Relationship Id="rId155" Type="http://schemas.openxmlformats.org/officeDocument/2006/relationships/hyperlink" Target="https://www.google.com/maps/search/?api=1&amp;query=Pdr+Maplewood%2C+INC%2C+2520+White+Bear+Ave+N%2C+Maplewood%2C+MN+55109" TargetMode="External"/><Relationship Id="rId176" Type="http://schemas.openxmlformats.org/officeDocument/2006/relationships/hyperlink" Target="https://npiregistry.cms.hhs.gov/provider-view/1629258355" TargetMode="External"/><Relationship Id="rId197" Type="http://schemas.openxmlformats.org/officeDocument/2006/relationships/hyperlink" Target="https://www.google.com/maps/search/?api=1&amp;query=Summit+Orthopedics%2C+LTD%2C+4360+12th+Ave+E%2C+Shakopee%2C+MN+55379" TargetMode="External"/><Relationship Id="rId201" Type="http://schemas.openxmlformats.org/officeDocument/2006/relationships/hyperlink" Target="https://www.google.com/maps/search/?api=1&amp;query=Entira+Family+Clinics+-+Hugo%2C+14688+Everton+Ave+N%2C+Hugo%2C+MN+55038" TargetMode="External"/><Relationship Id="rId222" Type="http://schemas.openxmlformats.org/officeDocument/2006/relationships/hyperlink" Target="https://npiregistry.cms.hhs.gov/provider-view/1295272342" TargetMode="External"/><Relationship Id="rId243" Type="http://schemas.openxmlformats.org/officeDocument/2006/relationships/hyperlink" Target="https://www.google.com/maps/search/?api=1&amp;query=Omnia+Wellness+and+Recovery%2C+4632+W+6th+St%2C+Duluth%2C+MN+55807" TargetMode="External"/><Relationship Id="rId264" Type="http://schemas.openxmlformats.org/officeDocument/2006/relationships/hyperlink" Target="https://npiregistry.cms.hhs.gov/provider-view/1629044029" TargetMode="External"/><Relationship Id="rId285" Type="http://schemas.openxmlformats.org/officeDocument/2006/relationships/hyperlink" Target="https://www.google.com/maps/search/?api=1&amp;query=Allina+Health+Orthopedic%2C+Podiatry+and+Spine+Clinic-Faribault%2C+35+State+Ave%2C+Faribault%2C+MN+55021" TargetMode="External"/><Relationship Id="rId17" Type="http://schemas.openxmlformats.org/officeDocument/2006/relationships/hyperlink" Target="https://www.google.com/maps/search/?api=1&amp;query=Ahc+Medical%2C+PC%2C+1476+White+Oak+Dr%2C+Chaska%2C+MN+55318" TargetMode="External"/><Relationship Id="rId38" Type="http://schemas.openxmlformats.org/officeDocument/2006/relationships/hyperlink" Target="https://npiregistry.cms.hhs.gov/provider-view/1578869293" TargetMode="External"/><Relationship Id="rId59" Type="http://schemas.openxmlformats.org/officeDocument/2006/relationships/hyperlink" Target="https://www.google.com/maps/search/?api=1&amp;query=Team+Care+Clinic%2C+12217+Champlin+Dr%2C+Champlin%2C+MN+55316" TargetMode="External"/><Relationship Id="rId103" Type="http://schemas.openxmlformats.org/officeDocument/2006/relationships/hyperlink" Target="https://www.google.com/maps/search/?api=1&amp;query=Allina+Health+Orthopedics%2C+2800+Chicago+Ave%2C+Minneapolis%2C+MN+55407" TargetMode="External"/><Relationship Id="rId124" Type="http://schemas.openxmlformats.org/officeDocument/2006/relationships/hyperlink" Target="https://npiregistry.cms.hhs.gov/provider-view/1740035153" TargetMode="External"/><Relationship Id="rId70" Type="http://schemas.openxmlformats.org/officeDocument/2006/relationships/hyperlink" Target="https://npiregistry.cms.hhs.gov/provider-view/1295461036" TargetMode="External"/><Relationship Id="rId91" Type="http://schemas.openxmlformats.org/officeDocument/2006/relationships/hyperlink" Target="https://www.google.com/maps/search/?api=1&amp;query=Interventional+Spine+and+Pain+Physicians%2C+PA%2C+9645+Grove+Cir+N%2C+Maple+Grove%2C+MN+55369" TargetMode="External"/><Relationship Id="rId145" Type="http://schemas.openxmlformats.org/officeDocument/2006/relationships/hyperlink" Target="https://www.google.com/maps/search/?api=1&amp;query=Ascend+Rehab%2C+LLC%2C+1660+Highway+100+S%2C+St.+Louis+Park%2C+MN+55416" TargetMode="External"/><Relationship Id="rId166" Type="http://schemas.openxmlformats.org/officeDocument/2006/relationships/hyperlink" Target="https://npiregistry.cms.hhs.gov/provider-view/1619157344" TargetMode="External"/><Relationship Id="rId187" Type="http://schemas.openxmlformats.org/officeDocument/2006/relationships/hyperlink" Target="https://www.google.com/maps/search/?api=1&amp;query=United+Hospital+-+Midwest+Spine+%26+Brain+Institute%2C+280+Smith+Ave+N%2C+St.+Paul%2C+MN+55102" TargetMode="External"/><Relationship Id="rId1" Type="http://schemas.openxmlformats.org/officeDocument/2006/relationships/hyperlink" Target="https://www.google.com/maps/search/?api=1&amp;query=HealthPartners+Riverway+Pain+Clinic%2C+2621+Greenhaven+Rd%2C+Anoka%2C+MN+55303" TargetMode="External"/><Relationship Id="rId212" Type="http://schemas.openxmlformats.org/officeDocument/2006/relationships/hyperlink" Target="https://npiregistry.cms.hhs.gov/provider-view/1710785233" TargetMode="External"/><Relationship Id="rId233" Type="http://schemas.openxmlformats.org/officeDocument/2006/relationships/hyperlink" Target="https://www.google.com/maps/search/?api=1&amp;query=Aspirus+St+Lukes+Clinic+Duluth+Interventional+Pain+Management%2C+1015+E+1st+St%2C+Duluth%2C+MN+55805" TargetMode="External"/><Relationship Id="rId254" Type="http://schemas.openxmlformats.org/officeDocument/2006/relationships/hyperlink" Target="https://npiregistry.cms.hhs.gov/provider-view/1821963398" TargetMode="External"/><Relationship Id="rId28" Type="http://schemas.openxmlformats.org/officeDocument/2006/relationships/hyperlink" Target="https://npiregistry.cms.hhs.gov/provider-view/1205481041" TargetMode="External"/><Relationship Id="rId49" Type="http://schemas.openxmlformats.org/officeDocument/2006/relationships/hyperlink" Target="https://www.google.com/maps/search/?api=1&amp;query=Ltc+Professionals%2C+PLLC%2C+7801+East+Bush+Lake+Rd%2C+Bloomington%2C+MN+55439" TargetMode="External"/><Relationship Id="rId114" Type="http://schemas.openxmlformats.org/officeDocument/2006/relationships/hyperlink" Target="https://npiregistry.cms.hhs.gov/provider-view/1285368514" TargetMode="External"/><Relationship Id="rId275" Type="http://schemas.openxmlformats.org/officeDocument/2006/relationships/hyperlink" Target="https://www.google.com/maps/search/?api=1&amp;query=Bluetail+Medical+Group%2C+LLC.%2C+1575+Lookout+Dr%2C+North+Mankato%2C+MN+56003" TargetMode="External"/><Relationship Id="rId296" Type="http://schemas.openxmlformats.org/officeDocument/2006/relationships/hyperlink" Target="https://npiregistry.cms.hhs.gov/provider-view/1699968057" TargetMode="External"/><Relationship Id="rId300" Type="http://schemas.openxmlformats.org/officeDocument/2006/relationships/hyperlink" Target="https://npiregistry.cms.hhs.gov/provider-view/1285047498" TargetMode="External"/><Relationship Id="rId60" Type="http://schemas.openxmlformats.org/officeDocument/2006/relationships/hyperlink" Target="https://npiregistry.cms.hhs.gov/provider-view/1457458689" TargetMode="External"/><Relationship Id="rId81" Type="http://schemas.openxmlformats.org/officeDocument/2006/relationships/hyperlink" Target="https://www.google.com/maps/search/?api=1&amp;query=Pdr+Southdale%2C+INC%2C+3400+W+66th+St%2C+Edina%2C+MN+55435" TargetMode="External"/><Relationship Id="rId135" Type="http://schemas.openxmlformats.org/officeDocument/2006/relationships/hyperlink" Target="https://www.google.com/maps/search/?api=1&amp;query=Allina+Health+Medical+Spine%2C+2855+Campus+Dr%2C+Plymouth%2C+MN+55441" TargetMode="External"/><Relationship Id="rId156" Type="http://schemas.openxmlformats.org/officeDocument/2006/relationships/hyperlink" Target="https://npiregistry.cms.hhs.gov/provider-view/1356454391" TargetMode="External"/><Relationship Id="rId177" Type="http://schemas.openxmlformats.org/officeDocument/2006/relationships/hyperlink" Target="https://www.google.com/maps/search/?api=1&amp;query=Entira+Family+Clinics-East+Side%2C+1385+Phalen+Blvd%2C+St.+Paul%2C+MN+55106" TargetMode="External"/><Relationship Id="rId198" Type="http://schemas.openxmlformats.org/officeDocument/2006/relationships/hyperlink" Target="https://npiregistry.cms.hhs.gov/provider-view/1053955385" TargetMode="External"/><Relationship Id="rId202" Type="http://schemas.openxmlformats.org/officeDocument/2006/relationships/hyperlink" Target="https://npiregistry.cms.hhs.gov/provider-view/1639359359" TargetMode="External"/><Relationship Id="rId223" Type="http://schemas.openxmlformats.org/officeDocument/2006/relationships/hyperlink" Target="https://www.google.com/maps/search/?api=1&amp;query=Center+For+Outpatient+Surgery%2C+2000+Abbott+Northwestern+Ct%2C+Sartell%2C+MN+56377" TargetMode="External"/><Relationship Id="rId244" Type="http://schemas.openxmlformats.org/officeDocument/2006/relationships/hyperlink" Target="https://npiregistry.cms.hhs.gov/provider-view/1063231017" TargetMode="External"/><Relationship Id="rId18" Type="http://schemas.openxmlformats.org/officeDocument/2006/relationships/hyperlink" Target="https://npiregistry.cms.hhs.gov/provider-view/1336846955" TargetMode="External"/><Relationship Id="rId39" Type="http://schemas.openxmlformats.org/officeDocument/2006/relationships/hyperlink" Target="https://www.google.com/maps/search/?api=1&amp;query=Allina+Health+Brain+and+Spine+Institute%2C+18465+Orchard+Trl%2C+Lakeville%2C+MN+55044" TargetMode="External"/><Relationship Id="rId265" Type="http://schemas.openxmlformats.org/officeDocument/2006/relationships/hyperlink" Target="https://www.google.com/maps/search/?api=1&amp;query=Orthopaedic+%26+Fracture+Clinic%2C+PA.%2C+1431+Premier+Dr%2C+Mankato%2C+MN+56001" TargetMode="External"/><Relationship Id="rId286" Type="http://schemas.openxmlformats.org/officeDocument/2006/relationships/hyperlink" Target="https://npiregistry.cms.hhs.gov/provider-view/1972006807" TargetMode="External"/><Relationship Id="rId50" Type="http://schemas.openxmlformats.org/officeDocument/2006/relationships/hyperlink" Target="https://npiregistry.cms.hhs.gov/provider-view/1417251935" TargetMode="External"/><Relationship Id="rId104" Type="http://schemas.openxmlformats.org/officeDocument/2006/relationships/hyperlink" Target="https://npiregistry.cms.hhs.gov/provider-view/1508099656" TargetMode="External"/><Relationship Id="rId125" Type="http://schemas.openxmlformats.org/officeDocument/2006/relationships/hyperlink" Target="https://www.google.com/maps/search/?api=1&amp;query=University+Anesthesia+Providers%2C+LLC%2C+2450+Riverside+Ave%2C+Minneapolis%2C+MN+55454" TargetMode="External"/><Relationship Id="rId146" Type="http://schemas.openxmlformats.org/officeDocument/2006/relationships/hyperlink" Target="https://npiregistry.cms.hhs.gov/provider-view/1437403110" TargetMode="External"/><Relationship Id="rId167" Type="http://schemas.openxmlformats.org/officeDocument/2006/relationships/hyperlink" Target="https://www.google.com/maps/search/?api=1&amp;query=Allina+Health+Orthopedics%2C+225+Smith+Ave+N%2C+St.+Paul%2C+MN+55102" TargetMode="External"/><Relationship Id="rId188" Type="http://schemas.openxmlformats.org/officeDocument/2006/relationships/hyperlink" Target="https://npiregistry.cms.hhs.gov/provider-view/1366221491" TargetMode="External"/><Relationship Id="rId71" Type="http://schemas.openxmlformats.org/officeDocument/2006/relationships/hyperlink" Target="https://www.google.com/maps/search/?api=1&amp;query=Joint+Relief+Institute%2C+7201+Ohms+Ln%2C+Edina%2C+MN+55439" TargetMode="External"/><Relationship Id="rId92" Type="http://schemas.openxmlformats.org/officeDocument/2006/relationships/hyperlink" Target="https://npiregistry.cms.hhs.gov/provider-view/1326398561" TargetMode="External"/><Relationship Id="rId213" Type="http://schemas.openxmlformats.org/officeDocument/2006/relationships/hyperlink" Target="https://www.google.com/maps/search/?api=1&amp;query=Nura+PLLC%2C+707+Bielenberg+Dr%2C+Woodbury%2C+MN+55125" TargetMode="External"/><Relationship Id="rId234" Type="http://schemas.openxmlformats.org/officeDocument/2006/relationships/hyperlink" Target="https://npiregistry.cms.hhs.gov/provider-view/1982062550" TargetMode="External"/><Relationship Id="rId2" Type="http://schemas.openxmlformats.org/officeDocument/2006/relationships/hyperlink" Target="https://npiregistry.cms.hhs.gov/provider-view/1689068462" TargetMode="External"/><Relationship Id="rId29" Type="http://schemas.openxmlformats.org/officeDocument/2006/relationships/hyperlink" Target="https://www.google.com/maps/search/?api=1&amp;query=Pdr+Burnsville%2C+INC%2C+14050+Nicollet+Ave%2C+Burnsville%2C+MN+55337" TargetMode="External"/><Relationship Id="rId255" Type="http://schemas.openxmlformats.org/officeDocument/2006/relationships/hyperlink" Target="https://www.google.com/maps/search/?api=1&amp;query=Inspired+Spine+Health+%2F+Tristate+Brain+%26+Spine+Institute%2C+6600+Highway+29+S%2C+Alexandria%2C+MN+56308" TargetMode="External"/><Relationship Id="rId276" Type="http://schemas.openxmlformats.org/officeDocument/2006/relationships/hyperlink" Target="https://npiregistry.cms.hhs.gov/provider-view/1285986398" TargetMode="External"/><Relationship Id="rId297" Type="http://schemas.openxmlformats.org/officeDocument/2006/relationships/hyperlink" Target="https://www.google.com/maps/search/?api=1&amp;query=Sanford+Worthington+Orthopedics+%26+Sports+Medicine%2C+1018+6th+Ave%2C+Worthington%2C+MN+56187" TargetMode="External"/><Relationship Id="rId40" Type="http://schemas.openxmlformats.org/officeDocument/2006/relationships/hyperlink" Target="https://npiregistry.cms.hhs.gov/provider-view/1144264540" TargetMode="External"/><Relationship Id="rId115" Type="http://schemas.openxmlformats.org/officeDocument/2006/relationships/hyperlink" Target="https://www.google.com/maps/search/?api=1&amp;query=Neura+Health%2C+333+Washington+Ave+N%2C+Minneapolis%2C+MN+55401" TargetMode="External"/><Relationship Id="rId136" Type="http://schemas.openxmlformats.org/officeDocument/2006/relationships/hyperlink" Target="https://npiregistry.cms.hhs.gov/provider-view/1063279677" TargetMode="External"/><Relationship Id="rId157" Type="http://schemas.openxmlformats.org/officeDocument/2006/relationships/hyperlink" Target="https://www.google.com/maps/search/?api=1&amp;query=Twin+Cities+Pain+Clinic%2C+1725+Legacy+Pkwy+E%2C+Maplewood%2C+MN+55109" TargetMode="External"/><Relationship Id="rId178" Type="http://schemas.openxmlformats.org/officeDocument/2006/relationships/hyperlink" Target="https://npiregistry.cms.hhs.gov/provider-view/1174703805" TargetMode="External"/><Relationship Id="rId301" Type="http://schemas.openxmlformats.org/officeDocument/2006/relationships/hyperlink" Target="https://www.google.com/maps/search/?api=1&amp;query=Sanford+Clinic%2C+1601+Sioux+Valley+Dr%2C+Luverne%2C+MN+56156" TargetMode="External"/><Relationship Id="rId61" Type="http://schemas.openxmlformats.org/officeDocument/2006/relationships/hyperlink" Target="https://www.google.com/maps/search/?api=1&amp;query=Allina+Health+Eden+Prairie+Clinic%2C+775+Prairie+Center+Dr%2C+Eden+Prairie%2C+MN+55344" TargetMode="External"/><Relationship Id="rId82" Type="http://schemas.openxmlformats.org/officeDocument/2006/relationships/hyperlink" Target="https://npiregistry.cms.hhs.gov/provider-view/1073626008" TargetMode="External"/><Relationship Id="rId199" Type="http://schemas.openxmlformats.org/officeDocument/2006/relationships/hyperlink" Target="https://www.google.com/maps/search/?api=1&amp;query=Summit+Orthopedics%2C+LTD%2C+800+Freeport+Ave+NW%2C+Elk+River%2C+MN+55330" TargetMode="External"/><Relationship Id="rId203" Type="http://schemas.openxmlformats.org/officeDocument/2006/relationships/hyperlink" Target="https://www.google.com/maps/search/?api=1&amp;query=Aroramd+LLC%2C+2042+Wooddale+Drive%2C+Woodbury%2C+MN+55125" TargetMode="External"/><Relationship Id="rId19" Type="http://schemas.openxmlformats.org/officeDocument/2006/relationships/hyperlink" Target="https://www.google.com/maps/search/?api=1&amp;query=Twin+Cities+Pain+Clinic%2C+584+Bavaria+Ln%2C+Chaska%2C+MN+55318" TargetMode="External"/><Relationship Id="rId224" Type="http://schemas.openxmlformats.org/officeDocument/2006/relationships/hyperlink" Target="https://npiregistry.cms.hhs.gov/provider-view/1447235031" TargetMode="External"/><Relationship Id="rId245" Type="http://schemas.openxmlformats.org/officeDocument/2006/relationships/hyperlink" Target="https://www.google.com/maps/search/?api=1&amp;query=Panj+Aab+Neurovascular+Associates%2C+915+E+1st+St%2C+Duluth%2C+MN+55805" TargetMode="External"/><Relationship Id="rId266" Type="http://schemas.openxmlformats.org/officeDocument/2006/relationships/hyperlink" Target="https://npiregistry.cms.hhs.gov/provider-view/1659346609" TargetMode="External"/><Relationship Id="rId287" Type="http://schemas.openxmlformats.org/officeDocument/2006/relationships/hyperlink" Target="https://www.google.com/maps/search/?api=1&amp;query=Courage+Kenny+Rehabilitation+Associates%2C+35+State+Ave%2C+Faribault%2C+MN+55021" TargetMode="External"/><Relationship Id="rId30" Type="http://schemas.openxmlformats.org/officeDocument/2006/relationships/hyperlink" Target="https://npiregistry.cms.hhs.gov/provider-view/1952414971" TargetMode="External"/><Relationship Id="rId105" Type="http://schemas.openxmlformats.org/officeDocument/2006/relationships/hyperlink" Target="https://www.google.com/maps/search/?api=1&amp;query=Allina+Health+System%2C+2833+Chicago+Ave%2C+Minneapolis%2C+MN+55407" TargetMode="External"/><Relationship Id="rId126" Type="http://schemas.openxmlformats.org/officeDocument/2006/relationships/hyperlink" Target="https://npiregistry.cms.hhs.gov/provider-view/1699711143" TargetMode="External"/><Relationship Id="rId147" Type="http://schemas.openxmlformats.org/officeDocument/2006/relationships/hyperlink" Target="https://www.google.com/maps/search/?api=1&amp;query=Guidestar+Eldercare+-+MN%2C+1650+W+End+Blvd%2C+St.+Louis+Park%2C+MN+55416" TargetMode="External"/><Relationship Id="rId168" Type="http://schemas.openxmlformats.org/officeDocument/2006/relationships/hyperlink" Target="https://npiregistry.cms.hhs.gov/provider-view/1508099656" TargetMode="External"/><Relationship Id="rId51" Type="http://schemas.openxmlformats.org/officeDocument/2006/relationships/hyperlink" Target="https://www.google.com/maps/search/?api=1&amp;query=National+Dizzy+%26+Balance+Center%2Cltd.%2C+4801+W+81st+St%2C+Bloomington%2C+MN+55437" TargetMode="External"/><Relationship Id="rId72" Type="http://schemas.openxmlformats.org/officeDocument/2006/relationships/hyperlink" Target="https://npiregistry.cms.hhs.gov/provider-view/1811778533" TargetMode="External"/><Relationship Id="rId93" Type="http://schemas.openxmlformats.org/officeDocument/2006/relationships/hyperlink" Target="https://www.google.com/maps/search/?api=1&amp;query=Metropolitan+Surgical+Center%2C+LLC%2C+9645+Grove+Cir+N%2C+Maple+Grove%2C+MN+55369" TargetMode="External"/><Relationship Id="rId189" Type="http://schemas.openxmlformats.org/officeDocument/2006/relationships/hyperlink" Target="https://www.google.com/maps/search/?api=1&amp;query=United+Pain+Center%2C+255+Smith+Ave+N%2C+St.+Paul%2C+MN+55102" TargetMode="External"/><Relationship Id="rId3" Type="http://schemas.openxmlformats.org/officeDocument/2006/relationships/hyperlink" Target="https://www.google.com/maps/search/?api=1&amp;query=Summit+Orthopedics%2C+LTD%2C+10230+Baltimore+St+NE%2C+Blaine%2C+MN+55449" TargetMode="External"/><Relationship Id="rId214" Type="http://schemas.openxmlformats.org/officeDocument/2006/relationships/hyperlink" Target="https://npiregistry.cms.hhs.gov/provider-view/1750316014" TargetMode="External"/><Relationship Id="rId235" Type="http://schemas.openxmlformats.org/officeDocument/2006/relationships/hyperlink" Target="https://www.google.com/maps/search/?api=1&amp;query=Aspirus+St+Lukes+Clinic+Duluth+Orthopedic+%26+Sports+Medicine%2C+1015+E+1st+St%2C+Duluth%2C+MN+55805" TargetMode="External"/><Relationship Id="rId256" Type="http://schemas.openxmlformats.org/officeDocument/2006/relationships/hyperlink" Target="https://npiregistry.cms.hhs.gov/provider-view/1205481041" TargetMode="External"/><Relationship Id="rId277" Type="http://schemas.openxmlformats.org/officeDocument/2006/relationships/hyperlink" Target="https://www.google.com/maps/search/?api=1&amp;query=Interventional+Orthopedic+Solutions+-+Rochester%2C+PLLC%2C+2560+2nd+St+SW%2C+Rochester%2C+MN+55902" TargetMode="External"/><Relationship Id="rId298" Type="http://schemas.openxmlformats.org/officeDocument/2006/relationships/hyperlink" Target="https://npiregistry.cms.hhs.gov/provider-view/1679859912" TargetMode="External"/><Relationship Id="rId116" Type="http://schemas.openxmlformats.org/officeDocument/2006/relationships/hyperlink" Target="https://npiregistry.cms.hhs.gov/provider-view/1265016174" TargetMode="External"/><Relationship Id="rId137" Type="http://schemas.openxmlformats.org/officeDocument/2006/relationships/hyperlink" Target="https://www.google.com/maps/search/?api=1&amp;query=Allina+Health+Neuroscience%2C+Spine%2C+and+Pain%2C+2855+Campus+Dr%2C+Plymouth%2C+MN+55441" TargetMode="External"/><Relationship Id="rId158" Type="http://schemas.openxmlformats.org/officeDocument/2006/relationships/hyperlink" Target="https://npiregistry.cms.hhs.gov/provider-view/1467157826" TargetMode="External"/><Relationship Id="rId302" Type="http://schemas.openxmlformats.org/officeDocument/2006/relationships/hyperlink" Target="https://npiregistry.cms.hhs.gov/provider-view/1699968057" TargetMode="External"/><Relationship Id="rId20" Type="http://schemas.openxmlformats.org/officeDocument/2006/relationships/hyperlink" Target="https://npiregistry.cms.hhs.gov/provider-view/1669167920" TargetMode="External"/><Relationship Id="rId41" Type="http://schemas.openxmlformats.org/officeDocument/2006/relationships/hyperlink" Target="https://www.google.com/maps/search/?api=1&amp;query=Allina+Health+Lakeville+Specialty+Center%2C+18465+Orchard+Trl%2C+Lakeville%2C+MN+55044" TargetMode="External"/><Relationship Id="rId62" Type="http://schemas.openxmlformats.org/officeDocument/2006/relationships/hyperlink" Target="https://npiregistry.cms.hhs.gov/provider-view/1699501601" TargetMode="External"/><Relationship Id="rId83" Type="http://schemas.openxmlformats.org/officeDocument/2006/relationships/hyperlink" Target="https://www.google.com/maps/search/?api=1&amp;query=Premier+Spine+and+Pain+Clinics%2C+PLLC%2C+7450+S+France+Ave%2C+Edina%2C+MN+55435" TargetMode="External"/><Relationship Id="rId179" Type="http://schemas.openxmlformats.org/officeDocument/2006/relationships/hyperlink" Target="https://www.google.com/maps/search/?api=1&amp;query=Entira+Family+Clinics-Highland%2C+280+Snelling+Ave+N%2C+St.+Paul%2C+MN+55104" TargetMode="External"/><Relationship Id="rId190" Type="http://schemas.openxmlformats.org/officeDocument/2006/relationships/hyperlink" Target="https://npiregistry.cms.hhs.gov/provider-view/1962447995" TargetMode="External"/><Relationship Id="rId204" Type="http://schemas.openxmlformats.org/officeDocument/2006/relationships/hyperlink" Target="https://npiregistry.cms.hhs.gov/provider-view/1841811163" TargetMode="External"/><Relationship Id="rId225" Type="http://schemas.openxmlformats.org/officeDocument/2006/relationships/hyperlink" Target="https://www.google.com/maps/search/?api=1&amp;query=Center+For+Pain+Management+Ambulatory+Surgery%2C+LTD%2C+804+23rd+Street+South%2C+Sartell%2C+MN+56308" TargetMode="External"/><Relationship Id="rId246" Type="http://schemas.openxmlformats.org/officeDocument/2006/relationships/hyperlink" Target="https://npiregistry.cms.hhs.gov/provider-view/1851234793" TargetMode="External"/><Relationship Id="rId267" Type="http://schemas.openxmlformats.org/officeDocument/2006/relationships/hyperlink" Target="https://www.google.com/maps/search/?api=1&amp;query=New+Ulm+Medical+Center%2C+1217+8th+St+N%2C+New+Ulm%2C+MN+56073" TargetMode="External"/><Relationship Id="rId288" Type="http://schemas.openxmlformats.org/officeDocument/2006/relationships/hyperlink" Target="https://npiregistry.cms.hhs.gov/provider-view/1467989194" TargetMode="External"/><Relationship Id="rId106" Type="http://schemas.openxmlformats.org/officeDocument/2006/relationships/hyperlink" Target="https://npiregistry.cms.hhs.gov/provider-view/1528259132" TargetMode="External"/><Relationship Id="rId127" Type="http://schemas.openxmlformats.org/officeDocument/2006/relationships/hyperlink" Target="https://www.google.com/maps/search/?api=1&amp;query=Downtown+Orthopedics%2C+PA.%2C+13911+Ridgedale+Dr%2C+Minnetonka%2C+MN+55305" TargetMode="External"/><Relationship Id="rId10" Type="http://schemas.openxmlformats.org/officeDocument/2006/relationships/hyperlink" Target="https://npiregistry.cms.hhs.gov/provider-view/1386690543" TargetMode="External"/><Relationship Id="rId31" Type="http://schemas.openxmlformats.org/officeDocument/2006/relationships/hyperlink" Target="https://www.google.com/maps/search/?api=1&amp;query=Summit+Orthopedics%2C+LTD.%2C+14101+Fairview+Dr%2C+Burnsville%2C+MN+55337" TargetMode="External"/><Relationship Id="rId52" Type="http://schemas.openxmlformats.org/officeDocument/2006/relationships/hyperlink" Target="https://npiregistry.cms.hhs.gov/provider-view/1023021938" TargetMode="External"/><Relationship Id="rId73" Type="http://schemas.openxmlformats.org/officeDocument/2006/relationships/hyperlink" Target="https://www.google.com/maps/search/?api=1&amp;query=Minnesota+Neurorehabilitation+Institute%2C+PLLC%2C+7400+Metro+Blvd%2C+Edina%2C+MN+55439" TargetMode="External"/><Relationship Id="rId94" Type="http://schemas.openxmlformats.org/officeDocument/2006/relationships/hyperlink" Target="https://npiregistry.cms.hhs.gov/provider-view/1144745951" TargetMode="External"/><Relationship Id="rId148" Type="http://schemas.openxmlformats.org/officeDocument/2006/relationships/hyperlink" Target="https://npiregistry.cms.hhs.gov/provider-view/1710809769" TargetMode="External"/><Relationship Id="rId169" Type="http://schemas.openxmlformats.org/officeDocument/2006/relationships/hyperlink" Target="https://www.google.com/maps/search/?api=1&amp;query=Allina+Health+Orthopedics%2C+255+Smith+Ave+N%2C+St.+Paul%2C+MN+55102" TargetMode="External"/><Relationship Id="rId4" Type="http://schemas.openxmlformats.org/officeDocument/2006/relationships/hyperlink" Target="https://npiregistry.cms.hhs.gov/provider-view/1043566045" TargetMode="External"/><Relationship Id="rId180" Type="http://schemas.openxmlformats.org/officeDocument/2006/relationships/hyperlink" Target="https://npiregistry.cms.hhs.gov/provider-view/1629258348" TargetMode="External"/><Relationship Id="rId215" Type="http://schemas.openxmlformats.org/officeDocument/2006/relationships/hyperlink" Target="https://www.google.com/maps/search/?api=1&amp;query=Shriners+Hospitals+For+Children%2C+215+Radio+Dr%2C+Woodbury%2C+MN+55125" TargetMode="External"/><Relationship Id="rId236" Type="http://schemas.openxmlformats.org/officeDocument/2006/relationships/hyperlink" Target="https://npiregistry.cms.hhs.gov/provider-view/1497904064" TargetMode="External"/><Relationship Id="rId257" Type="http://schemas.openxmlformats.org/officeDocument/2006/relationships/hyperlink" Target="https://www.google.com/maps/search/?api=1&amp;query=Mxc+Neurosurgical+Services%2C+111+17th+Ave+E%2C+Alexandria%2C+MN+56308" TargetMode="External"/><Relationship Id="rId278" Type="http://schemas.openxmlformats.org/officeDocument/2006/relationships/hyperlink" Target="https://npiregistry.cms.hhs.gov/provider-view/1457005084" TargetMode="External"/><Relationship Id="rId303" Type="http://schemas.openxmlformats.org/officeDocument/2006/relationships/hyperlink" Target="https://www.google.com/maps/search/?api=1&amp;query=Sanford+Luverne+Clinic%2C+1601+Sioux+Valley+Dr%2C+Luverne%2C+MN+56156" TargetMode="External"/><Relationship Id="rId42" Type="http://schemas.openxmlformats.org/officeDocument/2006/relationships/hyperlink" Target="https://npiregistry.cms.hhs.gov/provider-view/1003683244" TargetMode="External"/><Relationship Id="rId84" Type="http://schemas.openxmlformats.org/officeDocument/2006/relationships/hyperlink" Target="https://npiregistry.cms.hhs.gov/provider-view/1598414997" TargetMode="External"/><Relationship Id="rId138" Type="http://schemas.openxmlformats.org/officeDocument/2006/relationships/hyperlink" Target="https://npiregistry.cms.hhs.gov/provider-view/1518735331" TargetMode="External"/><Relationship Id="rId191" Type="http://schemas.openxmlformats.org/officeDocument/2006/relationships/hyperlink" Target="https://www.google.com/maps/search/?api=1&amp;query=Entira+Family+Clinics-Vadnais+Heights%2C+3550+Labore+Rd%2C+Vadnais+Heights%2C+MN+55110" TargetMode="External"/><Relationship Id="rId205" Type="http://schemas.openxmlformats.org/officeDocument/2006/relationships/hyperlink" Target="https://www.google.com/maps/search/?api=1&amp;query=Entira+Family+Clinics-Woodbury%2C+8325+City+Centre+Dr%2C+Woodbury%2C+MN+55125" TargetMode="External"/><Relationship Id="rId247" Type="http://schemas.openxmlformats.org/officeDocument/2006/relationships/hyperlink" Target="https://www.google.com/maps/search/?api=1&amp;query=North+Born+Physical+Therapy+PC%2C+218+Horace+Ave.+North%2C+Thief+River+Falls%2C+MN+56701" TargetMode="External"/><Relationship Id="rId107" Type="http://schemas.openxmlformats.org/officeDocument/2006/relationships/hyperlink" Target="https://www.google.com/maps/search/?api=1&amp;query=Chronic+Pain+Management%2C+800+E+28th+St%2C+Minneapolis%2C+MN+55407" TargetMode="External"/><Relationship Id="rId289" Type="http://schemas.openxmlformats.org/officeDocument/2006/relationships/hyperlink" Target="https://www.google.com/maps/search/?api=1&amp;query=Northfield+Hospital%2C+1381+Jefferson+Rd%2C+Northfield%2C+MN+55057" TargetMode="External"/><Relationship Id="rId11" Type="http://schemas.openxmlformats.org/officeDocument/2006/relationships/hyperlink" Target="https://www.google.com/maps/search/?api=1&amp;query=Minnesota+Neurosurgical+Trauma+Associates%2C+PLLC%2C+11850+Blackfoot+St+NW%2C+Coon+Rapids%2C+MN+55433" TargetMode="External"/><Relationship Id="rId53" Type="http://schemas.openxmlformats.org/officeDocument/2006/relationships/hyperlink" Target="https://www.google.com/maps/search/?api=1&amp;query=Tria+Orthopaedic+Center+LLC%2C+8100+Northland+Dr%2C+Bloomington%2C+MN+55431" TargetMode="External"/><Relationship Id="rId149" Type="http://schemas.openxmlformats.org/officeDocument/2006/relationships/hyperlink" Target="https://www.google.com/maps/search/?api=1&amp;query=Ropan+Surgical+Services+LLC%2C+1382+Hunter+Dr%2C+Wayzata%2C+MN+55391" TargetMode="External"/><Relationship Id="rId95" Type="http://schemas.openxmlformats.org/officeDocument/2006/relationships/hyperlink" Target="https://www.google.com/maps/search/?api=1&amp;query=Summit+Orthopedics%2C+LTD%2C+9825+Hospital+Dr%2C+Maple+Grove%2C+MN+55369" TargetMode="External"/><Relationship Id="rId160" Type="http://schemas.openxmlformats.org/officeDocument/2006/relationships/hyperlink" Target="https://npiregistry.cms.hhs.gov/provider-view/1083894711" TargetMode="External"/><Relationship Id="rId216" Type="http://schemas.openxmlformats.org/officeDocument/2006/relationships/hyperlink" Target="https://npiregistry.cms.hhs.gov/provider-view/1275271462" TargetMode="External"/><Relationship Id="rId258" Type="http://schemas.openxmlformats.org/officeDocument/2006/relationships/hyperlink" Target="https://npiregistry.cms.hhs.gov/provider-view/1679838023" TargetMode="External"/><Relationship Id="rId22" Type="http://schemas.openxmlformats.org/officeDocument/2006/relationships/hyperlink" Target="https://npiregistry.cms.hhs.gov/provider-view/1588536197" TargetMode="External"/><Relationship Id="rId64" Type="http://schemas.openxmlformats.org/officeDocument/2006/relationships/hyperlink" Target="https://npiregistry.cms.hhs.gov/provider-view/1275557886" TargetMode="External"/><Relationship Id="rId118" Type="http://schemas.openxmlformats.org/officeDocument/2006/relationships/hyperlink" Target="https://npiregistry.cms.hhs.gov/provider-view/1730532631" TargetMode="External"/><Relationship Id="rId171" Type="http://schemas.openxmlformats.org/officeDocument/2006/relationships/hyperlink" Target="https://www.google.com/maps/search/?api=1&amp;query=Allina+Health+Orthopedics%2C+310+Smith+Ave+N%2C+St.+Paul%2C+MN+55102" TargetMode="External"/><Relationship Id="rId227" Type="http://schemas.openxmlformats.org/officeDocument/2006/relationships/hyperlink" Target="https://www.google.com/maps/search/?api=1&amp;query=Sanford+Bemidji+East+Clinic%2C+3604+Bemidji+Ave+N%2C+Bemidji%2C+MN+56601" TargetMode="External"/><Relationship Id="rId269" Type="http://schemas.openxmlformats.org/officeDocument/2006/relationships/hyperlink" Target="https://www.google.com/maps/search/?api=1&amp;query=Sanford+Clinic%2C+920+Bell+Ave%2C+Westbrook%2C+MN+56183" TargetMode="External"/><Relationship Id="rId33" Type="http://schemas.openxmlformats.org/officeDocument/2006/relationships/hyperlink" Target="https://www.google.com/maps/search/?api=1&amp;query=Sunny+S.+Kim%2C+MD+PA%2C+1601+Highway+13+E%2C+Burnsville%2C+MN+55337" TargetMode="External"/><Relationship Id="rId129" Type="http://schemas.openxmlformats.org/officeDocument/2006/relationships/hyperlink" Target="https://www.google.com/maps/search/?api=1&amp;query=Moderni+Spine+PLLC%2C+3454+County+Road+101%2C+Minnetonka%2C+MN+55345" TargetMode="External"/><Relationship Id="rId280" Type="http://schemas.openxmlformats.org/officeDocument/2006/relationships/hyperlink" Target="https://npiregistry.cms.hhs.gov/provider-view/1336858232" TargetMode="External"/><Relationship Id="rId75" Type="http://schemas.openxmlformats.org/officeDocument/2006/relationships/hyperlink" Target="https://www.google.com/maps/search/?api=1&amp;query=Minworx+Health%2C+LLC%2C+7505+Metro+Blvd%2C+Edina%2C+MN+55439" TargetMode="External"/><Relationship Id="rId140" Type="http://schemas.openxmlformats.org/officeDocument/2006/relationships/hyperlink" Target="https://npiregistry.cms.hhs.gov/provider-view/1508099656" TargetMode="External"/><Relationship Id="rId182" Type="http://schemas.openxmlformats.org/officeDocument/2006/relationships/hyperlink" Target="https://npiregistry.cms.hhs.gov/provider-view/1124206677" TargetMode="External"/><Relationship Id="rId6" Type="http://schemas.openxmlformats.org/officeDocument/2006/relationships/hyperlink" Target="https://npiregistry.cms.hhs.gov/provider-view/1275351413" TargetMode="External"/><Relationship Id="rId238" Type="http://schemas.openxmlformats.org/officeDocument/2006/relationships/hyperlink" Target="https://npiregistry.cms.hhs.gov/provider-view/167996155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oogle.com/maps/search/?api=1&amp;query=Synapse%2C+4490+Erin+Dr%2C+Eagan%2C+MN+55122" TargetMode="External"/><Relationship Id="rId671" Type="http://schemas.openxmlformats.org/officeDocument/2006/relationships/hyperlink" Target="https://www.google.com/maps/search/?api=1&amp;query=Healing+Hands+Chiropractic+Ctr+LLC%2C+1007+NW+4th+St%2C+Grand+Rapids%2C+MN+55744" TargetMode="External"/><Relationship Id="rId769" Type="http://schemas.openxmlformats.org/officeDocument/2006/relationships/hyperlink" Target="https://www.google.com/maps/search/?api=1&amp;query=Optimal+Performance+Specialists+Clinics%2C+LLC%2C+220+S+Main+St%2C+Blue+Earth%2C+MN+56013" TargetMode="External"/><Relationship Id="rId21" Type="http://schemas.openxmlformats.org/officeDocument/2006/relationships/hyperlink" Target="https://www.google.com/maps/search/?api=1&amp;query=Restoring+Wellness+Chiropractic%2C+10811+Xavis+St+NW%2C+Coon+Rapids%2C+MN+55433" TargetMode="External"/><Relationship Id="rId324" Type="http://schemas.openxmlformats.org/officeDocument/2006/relationships/hyperlink" Target="https://npiregistry.cms.hhs.gov/provider-view/1619609781" TargetMode="External"/><Relationship Id="rId531" Type="http://schemas.openxmlformats.org/officeDocument/2006/relationships/hyperlink" Target="https://www.google.com/maps/search/?api=1&amp;query=Bluewater+Chiropractic+PC%2C+6445+Lake+Road+Ter%2C+Woodbury%2C+MN+55125" TargetMode="External"/><Relationship Id="rId629" Type="http://schemas.openxmlformats.org/officeDocument/2006/relationships/hyperlink" Target="https://www.google.com/maps/search/?api=1&amp;query=Life+Quest+Chiropractic+Center+Bemidji+PC%2C+519+Anne+St+NW%2C+Bemidji%2C+MN+56601" TargetMode="External"/><Relationship Id="rId170" Type="http://schemas.openxmlformats.org/officeDocument/2006/relationships/hyperlink" Target="https://npiregistry.cms.hhs.gov/provider-view/1669333902" TargetMode="External"/><Relationship Id="rId836" Type="http://schemas.openxmlformats.org/officeDocument/2006/relationships/hyperlink" Target="https://npiregistry.cms.hhs.gov/provider-view/1861771644" TargetMode="External"/><Relationship Id="rId268" Type="http://schemas.openxmlformats.org/officeDocument/2006/relationships/hyperlink" Target="https://npiregistry.cms.hhs.gov/provider-view/1316506678" TargetMode="External"/><Relationship Id="rId475" Type="http://schemas.openxmlformats.org/officeDocument/2006/relationships/hyperlink" Target="https://www.google.com/maps/search/?api=1&amp;query=Total+Health+Advantage%2C+150+El+Dorado+Drive%2C+Jordan%2C+MN+55352" TargetMode="External"/><Relationship Id="rId682" Type="http://schemas.openxmlformats.org/officeDocument/2006/relationships/hyperlink" Target="https://npiregistry.cms.hhs.gov/provider-view/1285831040" TargetMode="External"/><Relationship Id="rId32" Type="http://schemas.openxmlformats.org/officeDocument/2006/relationships/hyperlink" Target="https://npiregistry.cms.hhs.gov/provider-view/1720874860" TargetMode="External"/><Relationship Id="rId128" Type="http://schemas.openxmlformats.org/officeDocument/2006/relationships/hyperlink" Target="https://npiregistry.cms.hhs.gov/provider-view/1194904417" TargetMode="External"/><Relationship Id="rId335" Type="http://schemas.openxmlformats.org/officeDocument/2006/relationships/hyperlink" Target="https://www.google.com/maps/search/?api=1&amp;query=Relief+Plus+Chiropractic%2C+5810+Baker+Rd%2C+Minnetonka%2C+MN+55345" TargetMode="External"/><Relationship Id="rId542" Type="http://schemas.openxmlformats.org/officeDocument/2006/relationships/hyperlink" Target="https://npiregistry.cms.hhs.gov/provider-view/1487293981" TargetMode="External"/><Relationship Id="rId181" Type="http://schemas.openxmlformats.org/officeDocument/2006/relationships/hyperlink" Target="https://www.google.com/maps/search/?api=1&amp;query=Resonance+Chiropractic+and+Hoistic+Health+PLLC%2C+215+E+78th+St%2C+Bloomington%2C+MN+55420" TargetMode="External"/><Relationship Id="rId402" Type="http://schemas.openxmlformats.org/officeDocument/2006/relationships/hyperlink" Target="https://npiregistry.cms.hhs.gov/provider-view/1437290871" TargetMode="External"/><Relationship Id="rId847" Type="http://schemas.openxmlformats.org/officeDocument/2006/relationships/hyperlink" Target="https://www.google.com/maps/search/?api=1&amp;query=Gudie+Enterprises+PLLC%2C+3930+W+6th+St%2C+Winona%2C+MN+55987" TargetMode="External"/><Relationship Id="rId279" Type="http://schemas.openxmlformats.org/officeDocument/2006/relationships/hyperlink" Target="https://www.google.com/maps/search/?api=1&amp;query=Lopez+Health+Center%2C+LLC%2C+7200+Hemlock+Ln+N%2C+Maple+Grove%2C+MN+55369" TargetMode="External"/><Relationship Id="rId486" Type="http://schemas.openxmlformats.org/officeDocument/2006/relationships/hyperlink" Target="https://npiregistry.cms.hhs.gov/provider-view/1215086384" TargetMode="External"/><Relationship Id="rId693" Type="http://schemas.openxmlformats.org/officeDocument/2006/relationships/hyperlink" Target="https://www.google.com/maps/search/?api=1&amp;query=True+North+Spinal+Care%2C+PLLC%2C+5094+Miller+Trunk+Hwy%2C+Hermantown%2C+MN+55811" TargetMode="External"/><Relationship Id="rId707" Type="http://schemas.openxmlformats.org/officeDocument/2006/relationships/hyperlink" Target="https://www.google.com/maps/search/?api=1&amp;query=Local+Roots+Chiropractic+PLLC%2C+216+4th+St+NW%2C+East+Grand+Forks%2C+MN+56721" TargetMode="External"/><Relationship Id="rId43" Type="http://schemas.openxmlformats.org/officeDocument/2006/relationships/hyperlink" Target="https://www.google.com/maps/search/?api=1&amp;query=Opp+Family+Chiropractic+PA.%2C+23168+Saint+Francis+Blvd+NW%2C+St.+Francis%2C+MN+55070" TargetMode="External"/><Relationship Id="rId139" Type="http://schemas.openxmlformats.org/officeDocument/2006/relationships/hyperlink" Target="https://www.google.com/maps/search/?api=1&amp;query=Align+Chiropractic+PA%2C+16301+Kenrick+Ave%2C+Lakeville%2C+MN+55044" TargetMode="External"/><Relationship Id="rId346" Type="http://schemas.openxmlformats.org/officeDocument/2006/relationships/hyperlink" Target="https://npiregistry.cms.hhs.gov/provider-view/1104383058" TargetMode="External"/><Relationship Id="rId553" Type="http://schemas.openxmlformats.org/officeDocument/2006/relationships/hyperlink" Target="https://www.google.com/maps/search/?api=1&amp;query=Awaken+Life+Recovery%2C+LLC%2C+8150+20th+St+SE%2C+Buffalo%2C+MN+55313" TargetMode="External"/><Relationship Id="rId760" Type="http://schemas.openxmlformats.org/officeDocument/2006/relationships/hyperlink" Target="https://npiregistry.cms.hhs.gov/provider-view/1336830678" TargetMode="External"/><Relationship Id="rId192" Type="http://schemas.openxmlformats.org/officeDocument/2006/relationships/hyperlink" Target="https://npiregistry.cms.hhs.gov/provider-view/1588555494" TargetMode="External"/><Relationship Id="rId206" Type="http://schemas.openxmlformats.org/officeDocument/2006/relationships/hyperlink" Target="https://npiregistry.cms.hhs.gov/provider-view/1578296208" TargetMode="External"/><Relationship Id="rId413" Type="http://schemas.openxmlformats.org/officeDocument/2006/relationships/hyperlink" Target="https://www.google.com/maps/search/?api=1&amp;query=Capitol+Health+%26+Injury+Center%2C+PA.%2C+1973+Sloan+Pl%2C+St.+Paul%2C+MN+55117" TargetMode="External"/><Relationship Id="rId858" Type="http://schemas.openxmlformats.org/officeDocument/2006/relationships/hyperlink" Target="https://npiregistry.cms.hhs.gov/provider-view/1720874100" TargetMode="External"/><Relationship Id="rId497" Type="http://schemas.openxmlformats.org/officeDocument/2006/relationships/hyperlink" Target="https://www.google.com/maps/search/?api=1&amp;query=Power+Within+Chiropractic+of+Elk+River%2C+630+Freeport+Ave+NW%2C+Elk+River%2C+MN+55330" TargetMode="External"/><Relationship Id="rId620" Type="http://schemas.openxmlformats.org/officeDocument/2006/relationships/hyperlink" Target="https://npiregistry.cms.hhs.gov/provider-view/1831118918" TargetMode="External"/><Relationship Id="rId718" Type="http://schemas.openxmlformats.org/officeDocument/2006/relationships/hyperlink" Target="https://npiregistry.cms.hhs.gov/provider-view/1841160991" TargetMode="External"/><Relationship Id="rId357" Type="http://schemas.openxmlformats.org/officeDocument/2006/relationships/hyperlink" Target="https://www.google.com/maps/search/?api=1&amp;query=Natural+Chiropractic+Center%2C+12805+Highway+55%2C+Plymouth%2C+MN+55441" TargetMode="External"/><Relationship Id="rId54" Type="http://schemas.openxmlformats.org/officeDocument/2006/relationships/hyperlink" Target="https://npiregistry.cms.hhs.gov/provider-view/1952826778" TargetMode="External"/><Relationship Id="rId217" Type="http://schemas.openxmlformats.org/officeDocument/2006/relationships/hyperlink" Target="https://www.google.com/maps/search/?api=1&amp;query=Integrative+Orthopedic+Clinics%2C+PLLC%2C+6545+Flying+Cloud+Dr%2C+Eden+Prairie%2C+MN+55344" TargetMode="External"/><Relationship Id="rId564" Type="http://schemas.openxmlformats.org/officeDocument/2006/relationships/hyperlink" Target="https://npiregistry.cms.hhs.gov/provider-view/1316075799" TargetMode="External"/><Relationship Id="rId771" Type="http://schemas.openxmlformats.org/officeDocument/2006/relationships/hyperlink" Target="https://www.google.com/maps/search/?api=1&amp;query=Wells+Chiropractic+Clinic+INC%2C+105+N+Grove+St%2C+Blue+Earth%2C+MN+56013" TargetMode="External"/><Relationship Id="rId869" Type="http://schemas.openxmlformats.org/officeDocument/2006/relationships/hyperlink" Target="https://www.google.com/maps/search/?api=1&amp;query=Gravon%27s+Natural+Chiropractic+Center+P+A%2C+1024+Oxford+St%2C+Worthington%2C+MN+56187" TargetMode="External"/><Relationship Id="rId424" Type="http://schemas.openxmlformats.org/officeDocument/2006/relationships/hyperlink" Target="https://npiregistry.cms.hhs.gov/provider-view/1710216858" TargetMode="External"/><Relationship Id="rId631" Type="http://schemas.openxmlformats.org/officeDocument/2006/relationships/hyperlink" Target="https://www.google.com/maps/search/?api=1&amp;query=Mcdonald+Chiropractic+PLLC%2C+1900+Division+St+W%2C+Bemidji%2C+MN+56601" TargetMode="External"/><Relationship Id="rId729" Type="http://schemas.openxmlformats.org/officeDocument/2006/relationships/hyperlink" Target="https://www.google.com/maps/search/?api=1&amp;query=Core+Chiropractic+PLLC%2C+233+Main+St%2C+Miltona%2C+MN+56354" TargetMode="External"/><Relationship Id="rId270" Type="http://schemas.openxmlformats.org/officeDocument/2006/relationships/hyperlink" Target="https://npiregistry.cms.hhs.gov/provider-view/1114517380" TargetMode="External"/><Relationship Id="rId65" Type="http://schemas.openxmlformats.org/officeDocument/2006/relationships/hyperlink" Target="https://www.google.com/maps/search/?api=1&amp;query=North+Branch+Family+Chiropractic+LLC%2C+6241+Main+St%2C+North+Branch%2C+MN+55056" TargetMode="External"/><Relationship Id="rId130" Type="http://schemas.openxmlformats.org/officeDocument/2006/relationships/hyperlink" Target="https://npiregistry.cms.hhs.gov/provider-view/1679392781" TargetMode="External"/><Relationship Id="rId368" Type="http://schemas.openxmlformats.org/officeDocument/2006/relationships/hyperlink" Target="https://npiregistry.cms.hhs.gov/provider-view/1730030016" TargetMode="External"/><Relationship Id="rId575" Type="http://schemas.openxmlformats.org/officeDocument/2006/relationships/hyperlink" Target="https://www.google.com/maps/search/?api=1&amp;query=Mcneil+Family+Chiropractic%2C+1061+Highway+23%2C+Foley%2C+MN+56329" TargetMode="External"/><Relationship Id="rId782" Type="http://schemas.openxmlformats.org/officeDocument/2006/relationships/hyperlink" Target="https://npiregistry.cms.hhs.gov/provider-view/1790521722" TargetMode="External"/><Relationship Id="rId228" Type="http://schemas.openxmlformats.org/officeDocument/2006/relationships/hyperlink" Target="https://npiregistry.cms.hhs.gov/provider-view/1750671277" TargetMode="External"/><Relationship Id="rId435" Type="http://schemas.openxmlformats.org/officeDocument/2006/relationships/hyperlink" Target="https://www.google.com/maps/search/?api=1&amp;query=Pain+and+Joint+Care+PLLC%2C+1440+Arcade+St%2C+St.+Paul%2C+MN+55106" TargetMode="External"/><Relationship Id="rId642" Type="http://schemas.openxmlformats.org/officeDocument/2006/relationships/hyperlink" Target="https://npiregistry.cms.hhs.gov/provider-view/1104399708" TargetMode="External"/><Relationship Id="rId281" Type="http://schemas.openxmlformats.org/officeDocument/2006/relationships/hyperlink" Target="https://www.google.com/maps/search/?api=1&amp;query=Renew+Spine+and+Health%2C+9325+Upland+Ln+N%2C+Maple+Grove%2C+MN+55369" TargetMode="External"/><Relationship Id="rId502" Type="http://schemas.openxmlformats.org/officeDocument/2006/relationships/hyperlink" Target="https://npiregistry.cms.hhs.gov/provider-view/1427097849" TargetMode="External"/><Relationship Id="rId76" Type="http://schemas.openxmlformats.org/officeDocument/2006/relationships/hyperlink" Target="https://npiregistry.cms.hhs.gov/provider-view/1962568576" TargetMode="External"/><Relationship Id="rId141" Type="http://schemas.openxmlformats.org/officeDocument/2006/relationships/hyperlink" Target="https://www.google.com/maps/search/?api=1&amp;query=Alpha+Spine+Health+%26+Injury+Center%2C+7644+160th+St.+West%2C+Lakeville%2C+MN+55044" TargetMode="External"/><Relationship Id="rId379" Type="http://schemas.openxmlformats.org/officeDocument/2006/relationships/hyperlink" Target="https://www.google.com/maps/search/?api=1&amp;query=West+End+Chiropractic%2C+1660+Highway+100+S%2C+St.+Louis+Park%2C+MN+55416" TargetMode="External"/><Relationship Id="rId586" Type="http://schemas.openxmlformats.org/officeDocument/2006/relationships/hyperlink" Target="https://npiregistry.cms.hhs.gov/provider-view/1740816941" TargetMode="External"/><Relationship Id="rId793" Type="http://schemas.openxmlformats.org/officeDocument/2006/relationships/hyperlink" Target="https://www.google.com/maps/search/?api=1&amp;query=West+Concord+Chiropractic%2C+302+W+Main+St%2C+West+Concord%2C+MN+55985" TargetMode="External"/><Relationship Id="rId807" Type="http://schemas.openxmlformats.org/officeDocument/2006/relationships/hyperlink" Target="https://www.google.com/maps/search/?api=1&amp;query=La+Crescent+Chiropractic%2C+PC.%2C+306+Main+St%2C+La+Crescent%2C+MN+55947" TargetMode="External"/><Relationship Id="rId7" Type="http://schemas.openxmlformats.org/officeDocument/2006/relationships/hyperlink" Target="https://www.google.com/maps/search/?api=1&amp;query=Unison+Chiropractic+Center+PLLC%2C+2006+1st+Ave%2C+Anoka%2C+MN+55303" TargetMode="External"/><Relationship Id="rId239" Type="http://schemas.openxmlformats.org/officeDocument/2006/relationships/hyperlink" Target="https://www.google.com/maps/search/?api=1&amp;query=Global+Chiropractic+LLC%2C+6600+France+Ave+S%2C+Edina%2C+MN+55435" TargetMode="External"/><Relationship Id="rId446" Type="http://schemas.openxmlformats.org/officeDocument/2006/relationships/hyperlink" Target="https://npiregistry.cms.hhs.gov/provider-view/1144189648" TargetMode="External"/><Relationship Id="rId653" Type="http://schemas.openxmlformats.org/officeDocument/2006/relationships/hyperlink" Target="https://www.google.com/maps/search/?api=1&amp;query=Fulfilled+Family+Chiropractic+PLLC%2C+21427+County+7%2C+Park+Rapids%2C+MN+56470" TargetMode="External"/><Relationship Id="rId292" Type="http://schemas.openxmlformats.org/officeDocument/2006/relationships/hyperlink" Target="https://npiregistry.cms.hhs.gov/provider-view/1699112805" TargetMode="External"/><Relationship Id="rId306" Type="http://schemas.openxmlformats.org/officeDocument/2006/relationships/hyperlink" Target="https://npiregistry.cms.hhs.gov/provider-view/1407469935" TargetMode="External"/><Relationship Id="rId860" Type="http://schemas.openxmlformats.org/officeDocument/2006/relationships/hyperlink" Target="https://npiregistry.cms.hhs.gov/provider-view/1730979337" TargetMode="External"/><Relationship Id="rId87" Type="http://schemas.openxmlformats.org/officeDocument/2006/relationships/hyperlink" Target="https://www.google.com/maps/search/?api=1&amp;query=Institute+For+Orthopedics+%26+Chiropractic%2C+PLLC%2C+14300+Buck+Hill+Rd%2C+Burnsville%2C+MN+55306" TargetMode="External"/><Relationship Id="rId513" Type="http://schemas.openxmlformats.org/officeDocument/2006/relationships/hyperlink" Target="https://www.google.com/maps/search/?api=1&amp;query=Healthsource+of+Oakdale%2C+5705+Hadley+Ave+N%2C+Oakdale%2C+MN+55128" TargetMode="External"/><Relationship Id="rId597" Type="http://schemas.openxmlformats.org/officeDocument/2006/relationships/hyperlink" Target="https://www.google.com/maps/search/?api=1&amp;query=Northern+Roots+Chiropractic%2C+805+Main+St+S%2C+Pine+City%2C+MN+55063" TargetMode="External"/><Relationship Id="rId720" Type="http://schemas.openxmlformats.org/officeDocument/2006/relationships/hyperlink" Target="https://npiregistry.cms.hhs.gov/provider-view/1861573974" TargetMode="External"/><Relationship Id="rId818" Type="http://schemas.openxmlformats.org/officeDocument/2006/relationships/hyperlink" Target="https://npiregistry.cms.hhs.gov/provider-view/1265521447" TargetMode="External"/><Relationship Id="rId152" Type="http://schemas.openxmlformats.org/officeDocument/2006/relationships/hyperlink" Target="https://npiregistry.cms.hhs.gov/provider-view/1215197397" TargetMode="External"/><Relationship Id="rId457" Type="http://schemas.openxmlformats.org/officeDocument/2006/relationships/hyperlink" Target="https://www.google.com/maps/search/?api=1&amp;query=Wellness+Chiropractic+Center+PC%2C+621+Cleveland+Ave+S%2C+St.+Paul%2C+MN+55116" TargetMode="External"/><Relationship Id="rId664" Type="http://schemas.openxmlformats.org/officeDocument/2006/relationships/hyperlink" Target="https://npiregistry.cms.hhs.gov/provider-view/1639036205" TargetMode="External"/><Relationship Id="rId871" Type="http://schemas.openxmlformats.org/officeDocument/2006/relationships/hyperlink" Target="https://www.google.com/maps/search/?api=1&amp;query=Chiro-Plus%2C+PA.%2C+821+E+Bridge+St%2C+Redwood+Falls%2C+MN+56283" TargetMode="External"/><Relationship Id="rId14" Type="http://schemas.openxmlformats.org/officeDocument/2006/relationships/hyperlink" Target="https://npiregistry.cms.hhs.gov/provider-view/1811687015" TargetMode="External"/><Relationship Id="rId317" Type="http://schemas.openxmlformats.org/officeDocument/2006/relationships/hyperlink" Target="https://www.google.com/maps/search/?api=1&amp;query=Pure+Health%2C+LLC%2C+945+Broadway+St+NE%2C+Minneapolis%2C+MN+55413" TargetMode="External"/><Relationship Id="rId524" Type="http://schemas.openxmlformats.org/officeDocument/2006/relationships/hyperlink" Target="https://npiregistry.cms.hhs.gov/provider-view/1043168313" TargetMode="External"/><Relationship Id="rId731" Type="http://schemas.openxmlformats.org/officeDocument/2006/relationships/hyperlink" Target="https://www.google.com/maps/search/?api=1&amp;query=Carlson+Chiropractic+Group%2C+PA%2C+301+E+Lincoln+Ave%2C+Fergus+Falls%2C+MN+56537" TargetMode="External"/><Relationship Id="rId98" Type="http://schemas.openxmlformats.org/officeDocument/2006/relationships/hyperlink" Target="https://npiregistry.cms.hhs.gov/provider-view/1952414971" TargetMode="External"/><Relationship Id="rId163" Type="http://schemas.openxmlformats.org/officeDocument/2006/relationships/hyperlink" Target="https://www.google.com/maps/search/?api=1&amp;query=Restore-U+Chiropractic%2C+200+Thompson+Ave+E%2C+West+St+Paul%2C+MN+55118" TargetMode="External"/><Relationship Id="rId370" Type="http://schemas.openxmlformats.org/officeDocument/2006/relationships/hyperlink" Target="https://npiregistry.cms.hhs.gov/provider-view/1457431827" TargetMode="External"/><Relationship Id="rId829" Type="http://schemas.openxmlformats.org/officeDocument/2006/relationships/hyperlink" Target="https://www.google.com/maps/search/?api=1&amp;query=Pratt+Family+Chiropractic+LLC%2C+2766+Commerce+Dr+NW%2C+Rochester%2C+MN+55901" TargetMode="External"/><Relationship Id="rId230" Type="http://schemas.openxmlformats.org/officeDocument/2006/relationships/hyperlink" Target="https://npiregistry.cms.hhs.gov/provider-view/1952105694" TargetMode="External"/><Relationship Id="rId468" Type="http://schemas.openxmlformats.org/officeDocument/2006/relationships/hyperlink" Target="https://npiregistry.cms.hhs.gov/provider-view/1952479651" TargetMode="External"/><Relationship Id="rId675" Type="http://schemas.openxmlformats.org/officeDocument/2006/relationships/hyperlink" Target="https://www.google.com/maps/search/?api=1&amp;query=Roots+Chiropractic+Center+LLC%2C+350+NW+1st+Ave%2C+Grand+Rapids%2C+MN+55744" TargetMode="External"/><Relationship Id="rId25" Type="http://schemas.openxmlformats.org/officeDocument/2006/relationships/hyperlink" Target="https://www.google.com/maps/search/?api=1&amp;query=Heim+Chiropractic%2C+PA%2C+7101+Highway+65+NE%2C+Fridley%2C+MN+55432" TargetMode="External"/><Relationship Id="rId328" Type="http://schemas.openxmlformats.org/officeDocument/2006/relationships/hyperlink" Target="https://npiregistry.cms.hhs.gov/provider-view/1477388726" TargetMode="External"/><Relationship Id="rId535" Type="http://schemas.openxmlformats.org/officeDocument/2006/relationships/hyperlink" Target="https://www.google.com/maps/search/?api=1&amp;query=Functional+Health+Unlimited%2C+724+Bielenberg+Dr%2C+Woodbury%2C+MN+55125" TargetMode="External"/><Relationship Id="rId742" Type="http://schemas.openxmlformats.org/officeDocument/2006/relationships/hyperlink" Target="https://npiregistry.cms.hhs.gov/provider-view/1578215612" TargetMode="External"/><Relationship Id="rId174" Type="http://schemas.openxmlformats.org/officeDocument/2006/relationships/hyperlink" Target="https://npiregistry.cms.hhs.gov/provider-view/1427633080" TargetMode="External"/><Relationship Id="rId381" Type="http://schemas.openxmlformats.org/officeDocument/2006/relationships/hyperlink" Target="https://www.google.com/maps/search/?api=1&amp;query=Greenberg+Chiropractic+Care+LLC%2C+5407+Excelsior+Blvd%2C+St.+Louis+Pk%2C+MN+55416" TargetMode="External"/><Relationship Id="rId602" Type="http://schemas.openxmlformats.org/officeDocument/2006/relationships/hyperlink" Target="https://npiregistry.cms.hhs.gov/provider-view/1902862592" TargetMode="External"/><Relationship Id="rId241" Type="http://schemas.openxmlformats.org/officeDocument/2006/relationships/hyperlink" Target="https://www.google.com/maps/search/?api=1&amp;query=Healthsource+Chiropractic+and+Progressive+Rehab-Richfield%2C+PA.%2C+3300+Edinborough+Way%2C+Edina%2C+MN+55435" TargetMode="External"/><Relationship Id="rId479" Type="http://schemas.openxmlformats.org/officeDocument/2006/relationships/hyperlink" Target="https://www.google.com/maps/search/?api=1&amp;query=Hyva+Elama%2C+PA.%2C+4207+Quaker+Trl+NE%2C+Prior+Lake%2C+MN+55372" TargetMode="External"/><Relationship Id="rId686" Type="http://schemas.openxmlformats.org/officeDocument/2006/relationships/hyperlink" Target="https://npiregistry.cms.hhs.gov/provider-view/1558702894" TargetMode="External"/><Relationship Id="rId36" Type="http://schemas.openxmlformats.org/officeDocument/2006/relationships/hyperlink" Target="https://npiregistry.cms.hhs.gov/provider-view/1881795961" TargetMode="External"/><Relationship Id="rId339" Type="http://schemas.openxmlformats.org/officeDocument/2006/relationships/hyperlink" Target="https://www.google.com/maps/search/?api=1&amp;query=Sunu+Wellness+Center%2C+12455+Ridgedale+Dr%2C+Minnetonka%2C+MN+55305" TargetMode="External"/><Relationship Id="rId546" Type="http://schemas.openxmlformats.org/officeDocument/2006/relationships/hyperlink" Target="https://npiregistry.cms.hhs.gov/provider-view/1518272822" TargetMode="External"/><Relationship Id="rId753" Type="http://schemas.openxmlformats.org/officeDocument/2006/relationships/hyperlink" Target="https://www.google.com/maps/search/?api=1&amp;query=Kato+Family+Chiropractic%2C+PA.%2C+99+Navaho+Ave%2C+Mankato%2C+MN+56001" TargetMode="External"/><Relationship Id="rId101" Type="http://schemas.openxmlformats.org/officeDocument/2006/relationships/hyperlink" Target="https://www.google.com/maps/search/?api=1&amp;query=Resurgence+Chiropractic+Clinic+LLC%2C+1602+Cliff+Rd+E%2C+Burnsville%2C+MN+55337" TargetMode="External"/><Relationship Id="rId185" Type="http://schemas.openxmlformats.org/officeDocument/2006/relationships/hyperlink" Target="https://www.google.com/maps/search/?api=1&amp;query=Dettling+Chiropractic+Rehab+and+Performance+PLLC%2C+615+66th+Ave+N%2C+Brooklyn+Center%2C+MN+55430" TargetMode="External"/><Relationship Id="rId406" Type="http://schemas.openxmlformats.org/officeDocument/2006/relationships/hyperlink" Target="https://npiregistry.cms.hhs.gov/provider-view/1215123856" TargetMode="External"/><Relationship Id="rId392" Type="http://schemas.openxmlformats.org/officeDocument/2006/relationships/hyperlink" Target="https://npiregistry.cms.hhs.gov/provider-view/1548068513" TargetMode="External"/><Relationship Id="rId613" Type="http://schemas.openxmlformats.org/officeDocument/2006/relationships/hyperlink" Target="https://www.google.com/maps/search/?api=1&amp;query=Exponential+Chiropractic+Healing+Center+PLLC%2C+103+College+Ave+N%2C+St.+Joseph%2C+MN+56374" TargetMode="External"/><Relationship Id="rId697" Type="http://schemas.openxmlformats.org/officeDocument/2006/relationships/hyperlink" Target="https://www.google.com/maps/search/?api=1&amp;query=Dakota+Clinic%2C+LTD.+Thief+River+Falls%2C+1720+Highway+59+S%2C+Thief+River+Falls%2C+MN+56701" TargetMode="External"/><Relationship Id="rId820" Type="http://schemas.openxmlformats.org/officeDocument/2006/relationships/hyperlink" Target="https://npiregistry.cms.hhs.gov/provider-view/1265259451" TargetMode="External"/><Relationship Id="rId252" Type="http://schemas.openxmlformats.org/officeDocument/2006/relationships/hyperlink" Target="https://npiregistry.cms.hhs.gov/provider-view/1013899764" TargetMode="External"/><Relationship Id="rId47" Type="http://schemas.openxmlformats.org/officeDocument/2006/relationships/hyperlink" Target="https://www.google.com/maps/search/?api=1&amp;query=Backed+Chiropractic%2C+1286+Park+Rd%2C+Chanhassen%2C+MN+55317" TargetMode="External"/><Relationship Id="rId112" Type="http://schemas.openxmlformats.org/officeDocument/2006/relationships/hyperlink" Target="https://npiregistry.cms.hhs.gov/provider-view/1962215087" TargetMode="External"/><Relationship Id="rId557" Type="http://schemas.openxmlformats.org/officeDocument/2006/relationships/hyperlink" Target="https://www.google.com/maps/search/?api=1&amp;query=Healthsource+of+Buffalo%2C+701+Hwy+55+E%2C+Buffalo%2C+MN+55313" TargetMode="External"/><Relationship Id="rId764" Type="http://schemas.openxmlformats.org/officeDocument/2006/relationships/hyperlink" Target="https://npiregistry.cms.hhs.gov/provider-view/1891298865" TargetMode="External"/><Relationship Id="rId196" Type="http://schemas.openxmlformats.org/officeDocument/2006/relationships/hyperlink" Target="https://npiregistry.cms.hhs.gov/provider-view/1881795961" TargetMode="External"/><Relationship Id="rId417" Type="http://schemas.openxmlformats.org/officeDocument/2006/relationships/hyperlink" Target="https://www.google.com/maps/search/?api=1&amp;query=Chiropractic+House+PLLC%2C+400+Selby+Ave%2C+St.+Paul%2C+MN+55102" TargetMode="External"/><Relationship Id="rId624" Type="http://schemas.openxmlformats.org/officeDocument/2006/relationships/hyperlink" Target="https://npiregistry.cms.hhs.gov/provider-view/1831058593" TargetMode="External"/><Relationship Id="rId831" Type="http://schemas.openxmlformats.org/officeDocument/2006/relationships/hyperlink" Target="https://www.google.com/maps/search/?api=1&amp;query=Rak+Chiropractic%2C+3411+22nd+Ave+NW%2C+Rochester%2C+MN+55901" TargetMode="External"/><Relationship Id="rId263" Type="http://schemas.openxmlformats.org/officeDocument/2006/relationships/hyperlink" Target="https://www.google.com/maps/search/?api=1&amp;query=Zero+Distance+Acupuncture+LLC%2C+4950+Lincoln+Dr%2C+Edina%2C+MN+55436" TargetMode="External"/><Relationship Id="rId470" Type="http://schemas.openxmlformats.org/officeDocument/2006/relationships/hyperlink" Target="https://npiregistry.cms.hhs.gov/provider-view/1851005060" TargetMode="External"/><Relationship Id="rId58" Type="http://schemas.openxmlformats.org/officeDocument/2006/relationships/hyperlink" Target="https://npiregistry.cms.hhs.gov/provider-view/1649113804" TargetMode="External"/><Relationship Id="rId123" Type="http://schemas.openxmlformats.org/officeDocument/2006/relationships/hyperlink" Target="https://www.google.com/maps/search/?api=1&amp;query=Optimal+Health+Chiropractic%2C+1260+S+Frontage+Rd.%2C+Hastings%2C+MN+55033" TargetMode="External"/><Relationship Id="rId330" Type="http://schemas.openxmlformats.org/officeDocument/2006/relationships/hyperlink" Target="https://npiregistry.cms.hhs.gov/provider-view/1750673117" TargetMode="External"/><Relationship Id="rId568" Type="http://schemas.openxmlformats.org/officeDocument/2006/relationships/hyperlink" Target="https://npiregistry.cms.hhs.gov/provider-view/1932338019" TargetMode="External"/><Relationship Id="rId775" Type="http://schemas.openxmlformats.org/officeDocument/2006/relationships/hyperlink" Target="https://www.google.com/maps/search/?api=1&amp;query=Optimal+Health+Chiropractic+%26+Acupuncture%2C+PA%2C+405+2nd+St%2C+Jackson%2C+MN+56143" TargetMode="External"/><Relationship Id="rId428" Type="http://schemas.openxmlformats.org/officeDocument/2006/relationships/hyperlink" Target="https://npiregistry.cms.hhs.gov/provider-view/1336344738" TargetMode="External"/><Relationship Id="rId635" Type="http://schemas.openxmlformats.org/officeDocument/2006/relationships/hyperlink" Target="https://www.google.com/maps/search/?api=1&amp;query=Ellison+Family+Chiropractic%2C+123+Avenue+C%2C+Cloquet%2C+MN+55720" TargetMode="External"/><Relationship Id="rId842" Type="http://schemas.openxmlformats.org/officeDocument/2006/relationships/hyperlink" Target="https://npiregistry.cms.hhs.gov/provider-view/1750912499" TargetMode="External"/><Relationship Id="rId274" Type="http://schemas.openxmlformats.org/officeDocument/2006/relationships/hyperlink" Target="https://npiregistry.cms.hhs.gov/provider-view/1720969785" TargetMode="External"/><Relationship Id="rId481" Type="http://schemas.openxmlformats.org/officeDocument/2006/relationships/hyperlink" Target="https://www.google.com/maps/search/?api=1&amp;query=Lakeside+Chiropractic+LLC%2C+6885+Boudin+St+NE%2C+Prior+Lake%2C+MN+55372" TargetMode="External"/><Relationship Id="rId702" Type="http://schemas.openxmlformats.org/officeDocument/2006/relationships/hyperlink" Target="https://npiregistry.cms.hhs.gov/provider-view/1275306102" TargetMode="External"/><Relationship Id="rId69" Type="http://schemas.openxmlformats.org/officeDocument/2006/relationships/hyperlink" Target="https://www.google.com/maps/search/?api=1&amp;query=Weierke+Chiropractic+PA%2C+386+Bench+St%2C+Taylors+Falls%2C+MN+55084" TargetMode="External"/><Relationship Id="rId134" Type="http://schemas.openxmlformats.org/officeDocument/2006/relationships/hyperlink" Target="https://npiregistry.cms.hhs.gov/provider-view/1639926942" TargetMode="External"/><Relationship Id="rId579" Type="http://schemas.openxmlformats.org/officeDocument/2006/relationships/hyperlink" Target="https://www.google.com/maps/search/?api=1&amp;query=Mille+Lacs+Chiropractic%2C+150+10th+St+NW%2C+Milaca%2C+MN+56353" TargetMode="External"/><Relationship Id="rId786" Type="http://schemas.openxmlformats.org/officeDocument/2006/relationships/hyperlink" Target="https://npiregistry.cms.hhs.gov/provider-view/1093624587" TargetMode="External"/><Relationship Id="rId341" Type="http://schemas.openxmlformats.org/officeDocument/2006/relationships/hyperlink" Target="https://www.google.com/maps/search/?api=1&amp;query=The+Functional+Neurology+Center%2C+11055+Wayzata+Blvd%2C+Minnetonka%2C+MN+55305" TargetMode="External"/><Relationship Id="rId439" Type="http://schemas.openxmlformats.org/officeDocument/2006/relationships/hyperlink" Target="https://www.google.com/maps/search/?api=1&amp;query=Pure+Health+MN+LLC%2C+2059+Randolph+Ave%2C+St.+Paul%2C+MN+55105" TargetMode="External"/><Relationship Id="rId646" Type="http://schemas.openxmlformats.org/officeDocument/2006/relationships/hyperlink" Target="https://npiregistry.cms.hhs.gov/provider-view/1578624839" TargetMode="External"/><Relationship Id="rId201" Type="http://schemas.openxmlformats.org/officeDocument/2006/relationships/hyperlink" Target="https://www.google.com/maps/search/?api=1&amp;query=Lake+Life+Chiropractic+LLC%2C+7770+Dell+Rd%2C+Chanhassen%2C+MN+55317" TargetMode="External"/><Relationship Id="rId285" Type="http://schemas.openxmlformats.org/officeDocument/2006/relationships/hyperlink" Target="https://www.google.com/maps/search/?api=1&amp;query=Trillium+Chiropractic%2C+PLLC%2C+13700+Reimer+Dr+N%2C+Maple+Grove%2C+MN+55311" TargetMode="External"/><Relationship Id="rId506" Type="http://schemas.openxmlformats.org/officeDocument/2006/relationships/hyperlink" Target="https://npiregistry.cms.hhs.gov/provider-view/1588426878" TargetMode="External"/><Relationship Id="rId853" Type="http://schemas.openxmlformats.org/officeDocument/2006/relationships/hyperlink" Target="https://www.google.com/maps/search/?api=1&amp;query=Madsen+Family+Chiropractic%2C+PLLC%2C+1317+Grove+Ave%2C+Montevideo%2C+MN+56265" TargetMode="External"/><Relationship Id="rId492" Type="http://schemas.openxmlformats.org/officeDocument/2006/relationships/hyperlink" Target="https://npiregistry.cms.hhs.gov/provider-view/1699294645" TargetMode="External"/><Relationship Id="rId713" Type="http://schemas.openxmlformats.org/officeDocument/2006/relationships/hyperlink" Target="https://www.google.com/maps/search/?api=1&amp;query=Downtown+Health+%26+Wellness+PA%2C+22+6th+St+N%2C+Moorhead%2C+MN+56560" TargetMode="External"/><Relationship Id="rId797" Type="http://schemas.openxmlformats.org/officeDocument/2006/relationships/hyperlink" Target="https://www.google.com/maps/search/?api=1&amp;query=Serenity+Family+Chiropractic%2C+129+Fillmore+St+W%2C+Preston%2C+MN+55965" TargetMode="External"/><Relationship Id="rId145" Type="http://schemas.openxmlformats.org/officeDocument/2006/relationships/hyperlink" Target="https://www.google.com/maps/search/?api=1&amp;query=Lakeville+Spine+%26+Health%2C+20176+Heritage+Dr%2C+Lakeville%2C+MN+55044" TargetMode="External"/><Relationship Id="rId352" Type="http://schemas.openxmlformats.org/officeDocument/2006/relationships/hyperlink" Target="https://npiregistry.cms.hhs.gov/provider-view/1811694631" TargetMode="External"/><Relationship Id="rId212" Type="http://schemas.openxmlformats.org/officeDocument/2006/relationships/hyperlink" Target="https://npiregistry.cms.hhs.gov/provider-view/1033981261" TargetMode="External"/><Relationship Id="rId657" Type="http://schemas.openxmlformats.org/officeDocument/2006/relationships/hyperlink" Target="https://www.google.com/maps/search/?api=1&amp;query=Park+Performance+Chiropractic%2C+PLC%2C+716+1st+St+E%2C+Park+Rapids%2C+MN+56470" TargetMode="External"/><Relationship Id="rId864" Type="http://schemas.openxmlformats.org/officeDocument/2006/relationships/hyperlink" Target="https://npiregistry.cms.hhs.gov/provider-view/1346624947" TargetMode="External"/><Relationship Id="rId296" Type="http://schemas.openxmlformats.org/officeDocument/2006/relationships/hyperlink" Target="https://npiregistry.cms.hhs.gov/provider-view/1952092942" TargetMode="External"/><Relationship Id="rId517" Type="http://schemas.openxmlformats.org/officeDocument/2006/relationships/hyperlink" Target="https://www.google.com/maps/search/?api=1&amp;query=Adjust+Today+Chiropractic%2C+321+Broadway+Ave%2C+St.+Paul+Park%2C+MN+55071" TargetMode="External"/><Relationship Id="rId724" Type="http://schemas.openxmlformats.org/officeDocument/2006/relationships/hyperlink" Target="https://npiregistry.cms.hhs.gov/provider-view/1972725729" TargetMode="External"/><Relationship Id="rId60" Type="http://schemas.openxmlformats.org/officeDocument/2006/relationships/hyperlink" Target="https://npiregistry.cms.hhs.gov/provider-view/1316120272" TargetMode="External"/><Relationship Id="rId156" Type="http://schemas.openxmlformats.org/officeDocument/2006/relationships/hyperlink" Target="https://npiregistry.cms.hhs.gov/provider-view/1598293201" TargetMode="External"/><Relationship Id="rId363" Type="http://schemas.openxmlformats.org/officeDocument/2006/relationships/hyperlink" Target="https://www.google.com/maps/search/?api=1&amp;query=Body+Techs+Rx+Wellness+and+Rehab%2C+1415+E+66th+St%2C+Richfield%2C+MN+55423" TargetMode="External"/><Relationship Id="rId570" Type="http://schemas.openxmlformats.org/officeDocument/2006/relationships/hyperlink" Target="https://npiregistry.cms.hhs.gov/provider-view/1073394797" TargetMode="External"/><Relationship Id="rId223" Type="http://schemas.openxmlformats.org/officeDocument/2006/relationships/hyperlink" Target="https://www.google.com/maps/search/?api=1&amp;query=Southwest+Chiropractic.+LLC%2C+7565+Office+Ridge+Cir%2C+Eden+Prairie%2C+MN+55344" TargetMode="External"/><Relationship Id="rId430" Type="http://schemas.openxmlformats.org/officeDocument/2006/relationships/hyperlink" Target="https://npiregistry.cms.hhs.gov/provider-view/1912195124" TargetMode="External"/><Relationship Id="rId668" Type="http://schemas.openxmlformats.org/officeDocument/2006/relationships/hyperlink" Target="https://npiregistry.cms.hhs.gov/provider-view/1164256582" TargetMode="External"/><Relationship Id="rId875" Type="http://schemas.openxmlformats.org/officeDocument/2006/relationships/hyperlink" Target="https://www.google.com/maps/search/?api=1&amp;query=Backman+Chiropractic%2C+PLLC%2C+702+Highway+75+S%2C+Wheaton%2C+MN+56296" TargetMode="External"/><Relationship Id="rId18" Type="http://schemas.openxmlformats.org/officeDocument/2006/relationships/hyperlink" Target="https://npiregistry.cms.hhs.gov/provider-view/1063054302" TargetMode="External"/><Relationship Id="rId528" Type="http://schemas.openxmlformats.org/officeDocument/2006/relationships/hyperlink" Target="https://npiregistry.cms.hhs.gov/provider-view/1740035401" TargetMode="External"/><Relationship Id="rId735" Type="http://schemas.openxmlformats.org/officeDocument/2006/relationships/hyperlink" Target="https://www.google.com/maps/search/?api=1&amp;query=Lake+Region+Healthcare+Corporation%2C+301+E+Lincoln+Ave%2C+Fergus+Falls%2C+MN+56537" TargetMode="External"/><Relationship Id="rId167" Type="http://schemas.openxmlformats.org/officeDocument/2006/relationships/hyperlink" Target="https://www.google.com/maps/search/?api=1&amp;query=Cdm%2C+PLLC%2C+8120+Penn+Ave+S%2C+Bloomington%2C+MN+55431" TargetMode="External"/><Relationship Id="rId374" Type="http://schemas.openxmlformats.org/officeDocument/2006/relationships/hyperlink" Target="https://npiregistry.cms.hhs.gov/provider-view/1023223682" TargetMode="External"/><Relationship Id="rId581" Type="http://schemas.openxmlformats.org/officeDocument/2006/relationships/hyperlink" Target="https://www.google.com/maps/search/?api=1&amp;query=Mille+Lacs+Chiropractic%2C+1010+5th+St+SE%2C+Milaca%2C+MN+56353" TargetMode="External"/><Relationship Id="rId71" Type="http://schemas.openxmlformats.org/officeDocument/2006/relationships/hyperlink" Target="https://www.google.com/maps/search/?api=1&amp;query=Apex+Family+Chiropractic+LLC%2C+15678+Pilot+Knob+Road%2C+Apple+Valley%2C+MN+55124" TargetMode="External"/><Relationship Id="rId234" Type="http://schemas.openxmlformats.org/officeDocument/2006/relationships/hyperlink" Target="https://npiregistry.cms.hhs.gov/provider-view/1659238806" TargetMode="External"/><Relationship Id="rId679" Type="http://schemas.openxmlformats.org/officeDocument/2006/relationships/hyperlink" Target="https://www.google.com/maps/search/?api=1&amp;query=Duluth+Chiropractic+Clinic%2C+PA%2C+5807+Grand+Ave%2C+Duluth%2C+MN+55807" TargetMode="External"/><Relationship Id="rId802" Type="http://schemas.openxmlformats.org/officeDocument/2006/relationships/hyperlink" Target="https://npiregistry.cms.hhs.gov/provider-view/1134351901" TargetMode="External"/><Relationship Id="rId2" Type="http://schemas.openxmlformats.org/officeDocument/2006/relationships/hyperlink" Target="https://npiregistry.cms.hhs.gov/provider-view/1366657280" TargetMode="External"/><Relationship Id="rId29" Type="http://schemas.openxmlformats.org/officeDocument/2006/relationships/hyperlink" Target="https://www.google.com/maps/search/?api=1&amp;query=Spinecare+Fridley%2C+PC%2C+7872+University+Ave+NE%2C+Fridley%2C+MN+55432" TargetMode="External"/><Relationship Id="rId441" Type="http://schemas.openxmlformats.org/officeDocument/2006/relationships/hyperlink" Target="https://www.google.com/maps/search/?api=1&amp;query=Purity+Chiropractic+Clinic%2C+LLC%2C+1200+Galtier+St%2C+St.+Paul%2C+MN+55117" TargetMode="External"/><Relationship Id="rId539" Type="http://schemas.openxmlformats.org/officeDocument/2006/relationships/hyperlink" Target="https://www.google.com/maps/search/?api=1&amp;query=Parno+Family+Chiropractic+PLLC%2C+7650+Currell+Blvd%2C+Woodbury%2C+MN+55125" TargetMode="External"/><Relationship Id="rId746" Type="http://schemas.openxmlformats.org/officeDocument/2006/relationships/hyperlink" Target="https://npiregistry.cms.hhs.gov/provider-view/1407708373" TargetMode="External"/><Relationship Id="rId178" Type="http://schemas.openxmlformats.org/officeDocument/2006/relationships/hyperlink" Target="https://npiregistry.cms.hhs.gov/provider-view/1093640906" TargetMode="External"/><Relationship Id="rId301" Type="http://schemas.openxmlformats.org/officeDocument/2006/relationships/hyperlink" Target="https://www.google.com/maps/search/?api=1&amp;query=Downtown+Chiropractic+Clinic%2C+825+Hennepin+Ave%2C+Minneapolis%2C+MN+55402" TargetMode="External"/><Relationship Id="rId82" Type="http://schemas.openxmlformats.org/officeDocument/2006/relationships/hyperlink" Target="https://npiregistry.cms.hhs.gov/provider-view/1730320276" TargetMode="External"/><Relationship Id="rId385" Type="http://schemas.openxmlformats.org/officeDocument/2006/relationships/hyperlink" Target="https://www.google.com/maps/search/?api=1&amp;query=Restore+Family+Chiropractic+LLC%2C+3311+County+Road+101+S%2C+Wayzata%2C+MN+55391" TargetMode="External"/><Relationship Id="rId592" Type="http://schemas.openxmlformats.org/officeDocument/2006/relationships/hyperlink" Target="https://npiregistry.cms.hhs.gov/provider-view/1457674780" TargetMode="External"/><Relationship Id="rId606" Type="http://schemas.openxmlformats.org/officeDocument/2006/relationships/hyperlink" Target="https://npiregistry.cms.hhs.gov/provider-view/1033766654" TargetMode="External"/><Relationship Id="rId813" Type="http://schemas.openxmlformats.org/officeDocument/2006/relationships/hyperlink" Target="https://www.google.com/maps/search/?api=1&amp;query=Healthsource+Chiropractic+of+New+Prague%2C+PA%2C+314+Main+St+E%2C+New+Prague%2C+MN+56071" TargetMode="External"/><Relationship Id="rId245" Type="http://schemas.openxmlformats.org/officeDocument/2006/relationships/hyperlink" Target="https://www.google.com/maps/search/?api=1&amp;query=Integrated+Provider+Group+of+Minnesota%2C+7373+France+Ave+S%2C+Edina%2C+MN+55435" TargetMode="External"/><Relationship Id="rId452" Type="http://schemas.openxmlformats.org/officeDocument/2006/relationships/hyperlink" Target="https://npiregistry.cms.hhs.gov/provider-view/1528753712" TargetMode="External"/><Relationship Id="rId105" Type="http://schemas.openxmlformats.org/officeDocument/2006/relationships/hyperlink" Target="https://www.google.com/maps/search/?api=1&amp;query=Thrive+Chiropractic+%26+Health+LLC%2C+511+County+Road+42+E%2C+Burnsville%2C+MN+55306" TargetMode="External"/><Relationship Id="rId312" Type="http://schemas.openxmlformats.org/officeDocument/2006/relationships/hyperlink" Target="https://npiregistry.cms.hhs.gov/provider-view/1073941928" TargetMode="External"/><Relationship Id="rId757" Type="http://schemas.openxmlformats.org/officeDocument/2006/relationships/hyperlink" Target="https://www.google.com/maps/search/?api=1&amp;query=Minnesota+Institue+of+Wellness%2C+1400+E+Madison+Ave%2C+Mankato%2C+MN+56001" TargetMode="External"/><Relationship Id="rId93" Type="http://schemas.openxmlformats.org/officeDocument/2006/relationships/hyperlink" Target="https://www.google.com/maps/search/?api=1&amp;query=Limitless%2C+PLLC%2C+14612+Burnell+Park+Dr%2C+Burnsville%2C+MN+55306" TargetMode="External"/><Relationship Id="rId189" Type="http://schemas.openxmlformats.org/officeDocument/2006/relationships/hyperlink" Target="https://www.google.com/maps/search/?api=1&amp;query=Park+East+Chiropractic%2C+PC%2C+4632+85th+Ave+N%2C+Brooklyn+Park%2C+MN+55443" TargetMode="External"/><Relationship Id="rId396" Type="http://schemas.openxmlformats.org/officeDocument/2006/relationships/hyperlink" Target="https://npiregistry.cms.hhs.gov/provider-view/1700406345" TargetMode="External"/><Relationship Id="rId617" Type="http://schemas.openxmlformats.org/officeDocument/2006/relationships/hyperlink" Target="https://www.google.com/maps/search/?api=1&amp;query=Cardinal+Chiropractic%2C+92+N+Maddy+Street%2C+Mcgregor%2C+MN+55760" TargetMode="External"/><Relationship Id="rId824" Type="http://schemas.openxmlformats.org/officeDocument/2006/relationships/hyperlink" Target="https://npiregistry.cms.hhs.gov/provider-view/1609696053" TargetMode="External"/><Relationship Id="rId256" Type="http://schemas.openxmlformats.org/officeDocument/2006/relationships/hyperlink" Target="https://npiregistry.cms.hhs.gov/provider-view/1912551185" TargetMode="External"/><Relationship Id="rId463" Type="http://schemas.openxmlformats.org/officeDocument/2006/relationships/hyperlink" Target="https://www.google.com/maps/search/?api=1&amp;query=Dehaven+Chiropractic+Clinic%2C+INC%2C+4505+White+Bear+Pkwy%2C+White+Bear+Lake%2C+MN+55110" TargetMode="External"/><Relationship Id="rId670" Type="http://schemas.openxmlformats.org/officeDocument/2006/relationships/hyperlink" Target="https://npiregistry.cms.hhs.gov/provider-view/1477638310" TargetMode="External"/><Relationship Id="rId116" Type="http://schemas.openxmlformats.org/officeDocument/2006/relationships/hyperlink" Target="https://npiregistry.cms.hhs.gov/provider-view/1831411727" TargetMode="External"/><Relationship Id="rId323" Type="http://schemas.openxmlformats.org/officeDocument/2006/relationships/hyperlink" Target="https://www.google.com/maps/search/?api=1&amp;query=Revitalize+Health+%26+Wellness%2C+LLC%2C+6125+Upton+Ave+S%2C+Minneapolis%2C+MN+55410" TargetMode="External"/><Relationship Id="rId530" Type="http://schemas.openxmlformats.org/officeDocument/2006/relationships/hyperlink" Target="https://npiregistry.cms.hhs.gov/provider-view/1467266171" TargetMode="External"/><Relationship Id="rId768" Type="http://schemas.openxmlformats.org/officeDocument/2006/relationships/hyperlink" Target="https://npiregistry.cms.hhs.gov/provider-view/1891335790" TargetMode="External"/><Relationship Id="rId20" Type="http://schemas.openxmlformats.org/officeDocument/2006/relationships/hyperlink" Target="https://npiregistry.cms.hhs.gov/provider-view/1477666428" TargetMode="External"/><Relationship Id="rId628" Type="http://schemas.openxmlformats.org/officeDocument/2006/relationships/hyperlink" Target="https://npiregistry.cms.hhs.gov/provider-view/1962774158" TargetMode="External"/><Relationship Id="rId835" Type="http://schemas.openxmlformats.org/officeDocument/2006/relationships/hyperlink" Target="https://www.google.com/maps/search/?api=1&amp;query=Cannon+Pointe+Chiropractic%2C+150+Water+St+S%2C+Northfield%2C+MN+55057" TargetMode="External"/><Relationship Id="rId267" Type="http://schemas.openxmlformats.org/officeDocument/2006/relationships/hyperlink" Target="https://www.google.com/maps/search/?api=1&amp;query=Momentum+Health+%26+Wellness%2C+PLLC%2C+261+School+Ave%2C+Excelsior%2C+MN+55331" TargetMode="External"/><Relationship Id="rId474" Type="http://schemas.openxmlformats.org/officeDocument/2006/relationships/hyperlink" Target="https://npiregistry.cms.hhs.gov/provider-view/1548637739" TargetMode="External"/><Relationship Id="rId127" Type="http://schemas.openxmlformats.org/officeDocument/2006/relationships/hyperlink" Target="https://www.google.com/maps/search/?api=1&amp;query=Inver+Grove+Chiropractic+P+A%2C+2940+65th+St+E%2C+Inver+Grove+Heights%2C+MN+55076" TargetMode="External"/><Relationship Id="rId681" Type="http://schemas.openxmlformats.org/officeDocument/2006/relationships/hyperlink" Target="https://www.google.com/maps/search/?api=1&amp;query=Janzen+Chiropractic+PA%2C+4731+E+Superior+St%2C+Duluth%2C+MN+55804" TargetMode="External"/><Relationship Id="rId779" Type="http://schemas.openxmlformats.org/officeDocument/2006/relationships/hyperlink" Target="https://www.google.com/maps/search/?api=1&amp;query=Align+Chiropractic+%26+Wellness+PLC%2C+204+Lake+Ave%2C+Fairmont%2C+MN+56031" TargetMode="External"/><Relationship Id="rId31" Type="http://schemas.openxmlformats.org/officeDocument/2006/relationships/hyperlink" Target="https://www.google.com/maps/search/?api=1&amp;query=The+Minnesota+Chiroworks%2C+PC%2C+7872+University+Ave+NE%2C+Fridley%2C+MN+55432" TargetMode="External"/><Relationship Id="rId334" Type="http://schemas.openxmlformats.org/officeDocument/2006/relationships/hyperlink" Target="https://npiregistry.cms.hhs.gov/provider-view/1124841028" TargetMode="External"/><Relationship Id="rId541" Type="http://schemas.openxmlformats.org/officeDocument/2006/relationships/hyperlink" Target="https://www.google.com/maps/search/?api=1&amp;query=The+Wellness+Way+Woodbury%2C+700+Commerce+Dr%2C+Woodbury%2C+MN+55125" TargetMode="External"/><Relationship Id="rId639" Type="http://schemas.openxmlformats.org/officeDocument/2006/relationships/hyperlink" Target="https://www.google.com/maps/search/?api=1&amp;query=Healthfirst+Chiropractic+INC%2C+2594+Tilden+Trl+SW%2C+Pine+River%2C+MN+56474" TargetMode="External"/><Relationship Id="rId180" Type="http://schemas.openxmlformats.org/officeDocument/2006/relationships/hyperlink" Target="https://npiregistry.cms.hhs.gov/provider-view/1982744140" TargetMode="External"/><Relationship Id="rId278" Type="http://schemas.openxmlformats.org/officeDocument/2006/relationships/hyperlink" Target="https://npiregistry.cms.hhs.gov/provider-view/1871025031" TargetMode="External"/><Relationship Id="rId401" Type="http://schemas.openxmlformats.org/officeDocument/2006/relationships/hyperlink" Target="https://www.google.com/maps/search/?api=1&amp;query=Peterson+Chiropractic+Center%2C+2599+White+Bear+Ave+N%2C+Maplewood%2C+MN+55109" TargetMode="External"/><Relationship Id="rId846" Type="http://schemas.openxmlformats.org/officeDocument/2006/relationships/hyperlink" Target="https://npiregistry.cms.hhs.gov/provider-view/1710248059" TargetMode="External"/><Relationship Id="rId485" Type="http://schemas.openxmlformats.org/officeDocument/2006/relationships/hyperlink" Target="https://www.google.com/maps/search/?api=1&amp;query=Hyva+Elama%2C+PA.%2C+7447+Egan+Dr%2C+Savage%2C+MN+55378" TargetMode="External"/><Relationship Id="rId692" Type="http://schemas.openxmlformats.org/officeDocument/2006/relationships/hyperlink" Target="https://npiregistry.cms.hhs.gov/provider-view/1063394609" TargetMode="External"/><Relationship Id="rId706" Type="http://schemas.openxmlformats.org/officeDocument/2006/relationships/hyperlink" Target="https://npiregistry.cms.hhs.gov/provider-view/1811814122" TargetMode="External"/><Relationship Id="rId42" Type="http://schemas.openxmlformats.org/officeDocument/2006/relationships/hyperlink" Target="https://npiregistry.cms.hhs.gov/provider-view/1750142360" TargetMode="External"/><Relationship Id="rId138" Type="http://schemas.openxmlformats.org/officeDocument/2006/relationships/hyperlink" Target="https://npiregistry.cms.hhs.gov/provider-view/1194496471" TargetMode="External"/><Relationship Id="rId345" Type="http://schemas.openxmlformats.org/officeDocument/2006/relationships/hyperlink" Target="https://www.google.com/maps/search/?api=1&amp;query=Meridian+Chiropractic%2C+INC%2C+4900+Highway+169+N%2C+New+Hope%2C+MN+55428" TargetMode="External"/><Relationship Id="rId552" Type="http://schemas.openxmlformats.org/officeDocument/2006/relationships/hyperlink" Target="https://npiregistry.cms.hhs.gov/provider-view/1588523377" TargetMode="External"/><Relationship Id="rId191" Type="http://schemas.openxmlformats.org/officeDocument/2006/relationships/hyperlink" Target="https://www.google.com/maps/search/?api=1&amp;query=Rooted+Wellness+Chiropractic%2C+PLLC%2C+8465+W+Broadway+Ave%2C+Brooklyn+Park%2C+MN+55445" TargetMode="External"/><Relationship Id="rId205" Type="http://schemas.openxmlformats.org/officeDocument/2006/relationships/hyperlink" Target="https://www.google.com/maps/search/?api=1&amp;query=Dauntless+Health+Services+PLLC%2C+8577+Columbine+Rd%2C+Eden+Prairie%2C+MN+55344" TargetMode="External"/><Relationship Id="rId412" Type="http://schemas.openxmlformats.org/officeDocument/2006/relationships/hyperlink" Target="https://npiregistry.cms.hhs.gov/provider-view/1699913970" TargetMode="External"/><Relationship Id="rId857" Type="http://schemas.openxmlformats.org/officeDocument/2006/relationships/hyperlink" Target="https://www.google.com/maps/search/?api=1&amp;query=Acupuncture+Chiropractic+Clinic+LLC%2C+130+Willmar+Ave+SE%2C+Willmar%2C+MN+56201" TargetMode="External"/><Relationship Id="rId289" Type="http://schemas.openxmlformats.org/officeDocument/2006/relationships/hyperlink" Target="https://www.google.com/maps/search/?api=1&amp;query=Vitalign+Spine+Clinic+PLLC%2C+7835+Main+St+N%2C+Maple+Grove%2C+MN+55369" TargetMode="External"/><Relationship Id="rId496" Type="http://schemas.openxmlformats.org/officeDocument/2006/relationships/hyperlink" Target="https://npiregistry.cms.hhs.gov/provider-view/1649136250" TargetMode="External"/><Relationship Id="rId717" Type="http://schemas.openxmlformats.org/officeDocument/2006/relationships/hyperlink" Target="https://www.google.com/maps/search/?api=1&amp;query=Integrix+Health%2C+LLC%2C+22+6th+St+N%2C+Moorhead%2C+MN+56560" TargetMode="External"/><Relationship Id="rId53" Type="http://schemas.openxmlformats.org/officeDocument/2006/relationships/hyperlink" Target="https://www.google.com/maps/search/?api=1&amp;query=Lake+Life+Chiropractic+LLC%2C+3650+N+Chestnut+St%2C+Chaska%2C+MN+55318" TargetMode="External"/><Relationship Id="rId149" Type="http://schemas.openxmlformats.org/officeDocument/2006/relationships/hyperlink" Target="https://www.google.com/maps/search/?api=1&amp;query=New+Life+Chiropractic%2C+17595+Kenwood+Trl%2C+Lakeville%2C+MN+55044" TargetMode="External"/><Relationship Id="rId356" Type="http://schemas.openxmlformats.org/officeDocument/2006/relationships/hyperlink" Target="https://npiregistry.cms.hhs.gov/provider-view/1831587930" TargetMode="External"/><Relationship Id="rId563" Type="http://schemas.openxmlformats.org/officeDocument/2006/relationships/hyperlink" Target="https://www.google.com/maps/search/?api=1&amp;query=Olson+Chiropractic+Clinic%2C+INC%2C+130+Lake+Boulevard+South%2C+Buffalo%2C+MN+55313" TargetMode="External"/><Relationship Id="rId770" Type="http://schemas.openxmlformats.org/officeDocument/2006/relationships/hyperlink" Target="https://npiregistry.cms.hhs.gov/provider-view/1942459987" TargetMode="External"/><Relationship Id="rId216" Type="http://schemas.openxmlformats.org/officeDocument/2006/relationships/hyperlink" Target="https://npiregistry.cms.hhs.gov/provider-view/1710216858" TargetMode="External"/><Relationship Id="rId423" Type="http://schemas.openxmlformats.org/officeDocument/2006/relationships/hyperlink" Target="https://www.google.com/maps/search/?api=1&amp;query=Institute+For+Orthopedics+%26+Chiropractic%2C+PLLC%2C+2550+University+Ave+W%2C+St.+Paul%2C+MN+55114" TargetMode="External"/><Relationship Id="rId868" Type="http://schemas.openxmlformats.org/officeDocument/2006/relationships/hyperlink" Target="https://npiregistry.cms.hhs.gov/provider-view/1275267775" TargetMode="External"/><Relationship Id="rId630" Type="http://schemas.openxmlformats.org/officeDocument/2006/relationships/hyperlink" Target="https://npiregistry.cms.hhs.gov/provider-view/1942490750" TargetMode="External"/><Relationship Id="rId728" Type="http://schemas.openxmlformats.org/officeDocument/2006/relationships/hyperlink" Target="https://npiregistry.cms.hhs.gov/provider-view/1639538051" TargetMode="External"/><Relationship Id="rId64" Type="http://schemas.openxmlformats.org/officeDocument/2006/relationships/hyperlink" Target="https://npiregistry.cms.hhs.gov/provider-view/1316185036" TargetMode="External"/><Relationship Id="rId367" Type="http://schemas.openxmlformats.org/officeDocument/2006/relationships/hyperlink" Target="https://www.google.com/maps/search/?api=1&amp;query=True+Movement+PLLC%2C+21151+John+Milless+Dr%2C+Rogers%2C+MN+55374" TargetMode="External"/><Relationship Id="rId574" Type="http://schemas.openxmlformats.org/officeDocument/2006/relationships/hyperlink" Target="https://npiregistry.cms.hhs.gov/provider-view/1356892285" TargetMode="External"/><Relationship Id="rId227" Type="http://schemas.openxmlformats.org/officeDocument/2006/relationships/hyperlink" Target="https://www.google.com/maps/search/?api=1&amp;query=Zen+Healing+Center%2C+6400+Flying+Cloud+Dr%2C+Eden+Prairie%2C+MN+55344" TargetMode="External"/><Relationship Id="rId781" Type="http://schemas.openxmlformats.org/officeDocument/2006/relationships/hyperlink" Target="https://www.google.com/maps/search/?api=1&amp;query=Journey+Chiropractic+PLC%2C+1125+Spruce+St%2C+Fairmont%2C+MN+56031" TargetMode="External"/><Relationship Id="rId879" Type="http://schemas.openxmlformats.org/officeDocument/2006/relationships/hyperlink" Target="https://www.google.com/maps/search/?api=1&amp;query=Handeland+Chiropractic%2C+LLC%2C+713+Prentice+St%2C+Granite+Falls%2C+MN+56241" TargetMode="External"/><Relationship Id="rId434" Type="http://schemas.openxmlformats.org/officeDocument/2006/relationships/hyperlink" Target="https://npiregistry.cms.hhs.gov/provider-view/1306053673" TargetMode="External"/><Relationship Id="rId641" Type="http://schemas.openxmlformats.org/officeDocument/2006/relationships/hyperlink" Target="https://www.google.com/maps/search/?api=1&amp;query=Klettenberg+Chiropractic+PLLC%2C+119+Main+Ave+N%2C+Bagley%2C+MN+56621" TargetMode="External"/><Relationship Id="rId739" Type="http://schemas.openxmlformats.org/officeDocument/2006/relationships/hyperlink" Target="https://www.google.com/maps/search/?api=1&amp;query=Touching+Lives+Chiropractic%2C+PC.%2C+1515+W+Lincoln+Ave%2C+Fergus+Falls%2C+MN+56537" TargetMode="External"/><Relationship Id="rId280" Type="http://schemas.openxmlformats.org/officeDocument/2006/relationships/hyperlink" Target="https://npiregistry.cms.hhs.gov/provider-view/1801167804" TargetMode="External"/><Relationship Id="rId501" Type="http://schemas.openxmlformats.org/officeDocument/2006/relationships/hyperlink" Target="https://www.google.com/maps/search/?api=1&amp;query=The+New+Art+of+Chiropractic%2C+7501+80th+St+S%2C+Cottage+Grove%2C+MN+55016" TargetMode="External"/><Relationship Id="rId75" Type="http://schemas.openxmlformats.org/officeDocument/2006/relationships/hyperlink" Target="https://www.google.com/maps/search/?api=1&amp;query=Lifeway+Chiropractic+and+Wellness+LLC%2C+7300+147th+St+W%2C+Apple+Valley%2C+MN+55124" TargetMode="External"/><Relationship Id="rId140" Type="http://schemas.openxmlformats.org/officeDocument/2006/relationships/hyperlink" Target="https://npiregistry.cms.hhs.gov/provider-view/1679098172" TargetMode="External"/><Relationship Id="rId378" Type="http://schemas.openxmlformats.org/officeDocument/2006/relationships/hyperlink" Target="https://npiregistry.cms.hhs.gov/provider-view/1467736231" TargetMode="External"/><Relationship Id="rId585" Type="http://schemas.openxmlformats.org/officeDocument/2006/relationships/hyperlink" Target="https://www.google.com/maps/search/?api=1&amp;query=St+Raphaels+Chiropractic+Care+Center+PLLC%2C+120+Central+Ave+N%2C+Milaca%2C+MN+56353" TargetMode="External"/><Relationship Id="rId792" Type="http://schemas.openxmlformats.org/officeDocument/2006/relationships/hyperlink" Target="https://npiregistry.cms.hhs.gov/provider-view/1891335790" TargetMode="External"/><Relationship Id="rId806" Type="http://schemas.openxmlformats.org/officeDocument/2006/relationships/hyperlink" Target="https://npiregistry.cms.hhs.gov/provider-view/1689910291" TargetMode="External"/><Relationship Id="rId6" Type="http://schemas.openxmlformats.org/officeDocument/2006/relationships/hyperlink" Target="https://npiregistry.cms.hhs.gov/provider-view/1821895756" TargetMode="External"/><Relationship Id="rId238" Type="http://schemas.openxmlformats.org/officeDocument/2006/relationships/hyperlink" Target="https://npiregistry.cms.hhs.gov/provider-view/1679415541" TargetMode="External"/><Relationship Id="rId445" Type="http://schemas.openxmlformats.org/officeDocument/2006/relationships/hyperlink" Target="https://www.google.com/maps/search/?api=1&amp;query=Rooted+Health+and+Research%2C+INC.%2C+400+Selby+Ave%2C+St.+Paul%2C+MN+55102" TargetMode="External"/><Relationship Id="rId652" Type="http://schemas.openxmlformats.org/officeDocument/2006/relationships/hyperlink" Target="https://npiregistry.cms.hhs.gov/provider-view/1376284372" TargetMode="External"/><Relationship Id="rId291" Type="http://schemas.openxmlformats.org/officeDocument/2006/relationships/hyperlink" Target="https://www.google.com/maps/search/?api=1&amp;query=Waypoint+Minnesota+PC%2C+9325+Upland+Ln+N%2C+Maple+Grove%2C+MN+55369" TargetMode="External"/><Relationship Id="rId305" Type="http://schemas.openxmlformats.org/officeDocument/2006/relationships/hyperlink" Target="https://www.google.com/maps/search/?api=1&amp;query=Healthy+Roots+Chiropractic%2C+3115+Hennepin+Ave%2C+Minneapolis%2C+MN+55408" TargetMode="External"/><Relationship Id="rId512" Type="http://schemas.openxmlformats.org/officeDocument/2006/relationships/hyperlink" Target="https://npiregistry.cms.hhs.gov/provider-view/1568876993" TargetMode="External"/><Relationship Id="rId86" Type="http://schemas.openxmlformats.org/officeDocument/2006/relationships/hyperlink" Target="https://npiregistry.cms.hhs.gov/provider-view/1912184573" TargetMode="External"/><Relationship Id="rId151" Type="http://schemas.openxmlformats.org/officeDocument/2006/relationships/hyperlink" Target="https://www.google.com/maps/search/?api=1&amp;query=Rozmarin+Family+Chiropractic%2C+P.+A.%2C+18476+Kenrick+Ave%2C+Lakeville%2C+MN+55044" TargetMode="External"/><Relationship Id="rId389" Type="http://schemas.openxmlformats.org/officeDocument/2006/relationships/hyperlink" Target="https://www.google.com/maps/search/?api=1&amp;query=Ohana+Chiropractic+and+Wellness%2C+PLLC%2C+4+Enterprise+Ave+NE%2C+Isanti%2C+MN+55040" TargetMode="External"/><Relationship Id="rId596" Type="http://schemas.openxmlformats.org/officeDocument/2006/relationships/hyperlink" Target="https://npiregistry.cms.hhs.gov/provider-view/1407160534" TargetMode="External"/><Relationship Id="rId817" Type="http://schemas.openxmlformats.org/officeDocument/2006/relationships/hyperlink" Target="https://www.google.com/maps/search/?api=1&amp;query=Back+To+Health+Chiropractic+Clinic%2C+PA%2C+5231+E.+Frontage+Hwy+52+Rd+NW%2C+Rochester%2C+MN+55901" TargetMode="External"/><Relationship Id="rId249" Type="http://schemas.openxmlformats.org/officeDocument/2006/relationships/hyperlink" Target="https://www.google.com/maps/search/?api=1&amp;query=Nordic+Rehab+and+Chiropractic%2C+5250+W+74th+St%2C+Edina%2C+MN+55439" TargetMode="External"/><Relationship Id="rId456" Type="http://schemas.openxmlformats.org/officeDocument/2006/relationships/hyperlink" Target="https://npiregistry.cms.hhs.gov/provider-view/1912751496" TargetMode="External"/><Relationship Id="rId663" Type="http://schemas.openxmlformats.org/officeDocument/2006/relationships/hyperlink" Target="https://www.google.com/maps/search/?api=1&amp;query=Alliance+Chiropractic+%26+Wellness+PA%2C+504+NW+1st+Ave%2C+Grand+Rapids%2C+MN+55744" TargetMode="External"/><Relationship Id="rId870" Type="http://schemas.openxmlformats.org/officeDocument/2006/relationships/hyperlink" Target="https://npiregistry.cms.hhs.gov/provider-view/1205905924" TargetMode="External"/><Relationship Id="rId13" Type="http://schemas.openxmlformats.org/officeDocument/2006/relationships/hyperlink" Target="https://www.google.com/maps/search/?api=1&amp;query=Open+Heart+Chiropractic+PA%2C+12265+Central+Ave+NE%2C+Blaine%2C+MN+55434" TargetMode="External"/><Relationship Id="rId109" Type="http://schemas.openxmlformats.org/officeDocument/2006/relationships/hyperlink" Target="https://www.google.com/maps/search/?api=1&amp;query=A.m.+Family+Chiropractic+and+Nutrition+PLLC.%2C+1121+Town+Centre+Dr%2C+Eagan%2C+MN+55123" TargetMode="External"/><Relationship Id="rId316" Type="http://schemas.openxmlformats.org/officeDocument/2006/relationships/hyperlink" Target="https://npiregistry.cms.hhs.gov/provider-view/1205370285" TargetMode="External"/><Relationship Id="rId523" Type="http://schemas.openxmlformats.org/officeDocument/2006/relationships/hyperlink" Target="https://www.google.com/maps/search/?api=1&amp;query=Lifetime+Fat+Loss+Centers+of+Hugo+LLC%2C+1290+Frontage+Rd+W%2C+Stillwater%2C+MN+55082" TargetMode="External"/><Relationship Id="rId97" Type="http://schemas.openxmlformats.org/officeDocument/2006/relationships/hyperlink" Target="https://www.google.com/maps/search/?api=1&amp;query=Pdr+Burnsville%2C+INC%2C+14050+Nicollet+Ave%2C+Burnsville%2C+MN+55337" TargetMode="External"/><Relationship Id="rId730" Type="http://schemas.openxmlformats.org/officeDocument/2006/relationships/hyperlink" Target="https://npiregistry.cms.hhs.gov/provider-view/1548093735" TargetMode="External"/><Relationship Id="rId828" Type="http://schemas.openxmlformats.org/officeDocument/2006/relationships/hyperlink" Target="https://npiregistry.cms.hhs.gov/provider-view/1306532429" TargetMode="External"/><Relationship Id="rId162" Type="http://schemas.openxmlformats.org/officeDocument/2006/relationships/hyperlink" Target="https://npiregistry.cms.hhs.gov/provider-view/1467736231" TargetMode="External"/><Relationship Id="rId467" Type="http://schemas.openxmlformats.org/officeDocument/2006/relationships/hyperlink" Target="https://www.google.com/maps/search/?api=1&amp;query=Quaas+Chiropractic+Center%2C+4651+White+Bear+Pkwy%2C+White+Bear+Lake%2C+MN+55110" TargetMode="External"/><Relationship Id="rId674" Type="http://schemas.openxmlformats.org/officeDocument/2006/relationships/hyperlink" Target="https://npiregistry.cms.hhs.gov/provider-view/1760872717" TargetMode="External"/><Relationship Id="rId881" Type="http://schemas.openxmlformats.org/officeDocument/2006/relationships/table" Target="../tables/table3.xml"/><Relationship Id="rId24" Type="http://schemas.openxmlformats.org/officeDocument/2006/relationships/hyperlink" Target="https://npiregistry.cms.hhs.gov/provider-view/1538970660" TargetMode="External"/><Relationship Id="rId327" Type="http://schemas.openxmlformats.org/officeDocument/2006/relationships/hyperlink" Target="https://www.google.com/maps/search/?api=1&amp;query=The+Haven+Chiropractic+Health+Center+PLLC%2C+643+N+5th+St%2C+Minneapolis%2C+MN+55401" TargetMode="External"/><Relationship Id="rId534" Type="http://schemas.openxmlformats.org/officeDocument/2006/relationships/hyperlink" Target="https://npiregistry.cms.hhs.gov/provider-view/1710867452" TargetMode="External"/><Relationship Id="rId741" Type="http://schemas.openxmlformats.org/officeDocument/2006/relationships/hyperlink" Target="https://www.google.com/maps/search/?api=1&amp;query=Johnson+Chiropractic+and+Sports+Clinic%2C+117+W+5th+St%2C+Starbuck%2C+MN+56381" TargetMode="External"/><Relationship Id="rId839" Type="http://schemas.openxmlformats.org/officeDocument/2006/relationships/hyperlink" Target="https://www.google.com/maps/search/?api=1&amp;query=Chiropractic+Care+of+Owatonna%2C+317+N+Cedar%2C+Owatonna%2C+MN+55060" TargetMode="External"/><Relationship Id="rId173" Type="http://schemas.openxmlformats.org/officeDocument/2006/relationships/hyperlink" Target="https://www.google.com/maps/search/?api=1&amp;query=Freitag+Family+Chiropractic%2C+140+W+98th+St%2C+Bloomington%2C+MN+55420" TargetMode="External"/><Relationship Id="rId380" Type="http://schemas.openxmlformats.org/officeDocument/2006/relationships/hyperlink" Target="https://npiregistry.cms.hhs.gov/provider-view/1760128169" TargetMode="External"/><Relationship Id="rId601" Type="http://schemas.openxmlformats.org/officeDocument/2006/relationships/hyperlink" Target="https://www.google.com/maps/search/?api=1&amp;query=Regional+Health+Center+of+Richmond%2C+INC.%2C+307+Ivy+Ave+SE%2C+Richmond%2C+MN+56368" TargetMode="External"/><Relationship Id="rId240" Type="http://schemas.openxmlformats.org/officeDocument/2006/relationships/hyperlink" Target="https://npiregistry.cms.hhs.gov/provider-view/1265374862" TargetMode="External"/><Relationship Id="rId478" Type="http://schemas.openxmlformats.org/officeDocument/2006/relationships/hyperlink" Target="https://npiregistry.cms.hhs.gov/provider-view/1114615150" TargetMode="External"/><Relationship Id="rId685" Type="http://schemas.openxmlformats.org/officeDocument/2006/relationships/hyperlink" Target="https://www.google.com/maps/search/?api=1&amp;query=Jonker+Chiropractic+Sc%2C+1620+London+Rd%2C+Duluth%2C+MN+55812" TargetMode="External"/><Relationship Id="rId35" Type="http://schemas.openxmlformats.org/officeDocument/2006/relationships/hyperlink" Target="https://www.google.com/maps/search/?api=1&amp;query=Exceptional+Chiropractic+P+A%2C+2415+149th+Ave+NE%2C+Ham+Lake%2C+MN+55304" TargetMode="External"/><Relationship Id="rId100" Type="http://schemas.openxmlformats.org/officeDocument/2006/relationships/hyperlink" Target="https://npiregistry.cms.hhs.gov/provider-view/1144031675" TargetMode="External"/><Relationship Id="rId338" Type="http://schemas.openxmlformats.org/officeDocument/2006/relationships/hyperlink" Target="https://npiregistry.cms.hhs.gov/provider-view/1598530891" TargetMode="External"/><Relationship Id="rId545" Type="http://schemas.openxmlformats.org/officeDocument/2006/relationships/hyperlink" Target="https://www.google.com/maps/search/?api=1&amp;query=Woodbury+Chiropractic+%26+Wellness+Center+INC%2C+1951+Woodlane+Dr%2C+Woodbury%2C+MN+55125" TargetMode="External"/><Relationship Id="rId752" Type="http://schemas.openxmlformats.org/officeDocument/2006/relationships/hyperlink" Target="https://npiregistry.cms.hhs.gov/provider-view/1083474571" TargetMode="External"/><Relationship Id="rId184" Type="http://schemas.openxmlformats.org/officeDocument/2006/relationships/hyperlink" Target="https://npiregistry.cms.hhs.gov/provider-view/1902327547" TargetMode="External"/><Relationship Id="rId391" Type="http://schemas.openxmlformats.org/officeDocument/2006/relationships/hyperlink" Target="https://www.google.com/maps/search/?api=1&amp;query=Sorenson+Chiropractic%2C+LLC%2C+3673+Lexington+Ave+N%2C+Arden+Hills%2C+MN+55126" TargetMode="External"/><Relationship Id="rId405" Type="http://schemas.openxmlformats.org/officeDocument/2006/relationships/hyperlink" Target="https://www.google.com/maps/search/?api=1&amp;query=Bandana+Chiropractic+%26+Wellness+Center+PA%2C+1912+Lexington+Ave+N%2C+Roseville%2C+MN+55113" TargetMode="External"/><Relationship Id="rId612" Type="http://schemas.openxmlformats.org/officeDocument/2006/relationships/hyperlink" Target="https://npiregistry.cms.hhs.gov/provider-view/1437884905" TargetMode="External"/><Relationship Id="rId251" Type="http://schemas.openxmlformats.org/officeDocument/2006/relationships/hyperlink" Target="https://www.google.com/maps/search/?api=1&amp;query=Olympus+Chiropractic+PLLC%2C+6600+France+Ave+S%2C+Edina%2C+MN+55435" TargetMode="External"/><Relationship Id="rId489" Type="http://schemas.openxmlformats.org/officeDocument/2006/relationships/hyperlink" Target="https://www.google.com/maps/search/?api=1&amp;query=Mission+Chiropractic+%26+Acupuncture+PLLC%2C+4109+Dean+Lakes+Blvd%2C+Shakopee%2C+MN+55379" TargetMode="External"/><Relationship Id="rId696" Type="http://schemas.openxmlformats.org/officeDocument/2006/relationships/hyperlink" Target="https://npiregistry.cms.hhs.gov/provider-view/1588118202" TargetMode="External"/><Relationship Id="rId46" Type="http://schemas.openxmlformats.org/officeDocument/2006/relationships/hyperlink" Target="https://npiregistry.cms.hhs.gov/provider-view/1235715574" TargetMode="External"/><Relationship Id="rId349" Type="http://schemas.openxmlformats.org/officeDocument/2006/relationships/hyperlink" Target="https://www.google.com/maps/search/?api=1&amp;query=Advanced+Chiropractic+Health+PA%2C+4205+Lancaster+Ln+N%2C+Plymouth%2C+MN+55441" TargetMode="External"/><Relationship Id="rId556" Type="http://schemas.openxmlformats.org/officeDocument/2006/relationships/hyperlink" Target="https://npiregistry.cms.hhs.gov/provider-view/1427828961" TargetMode="External"/><Relationship Id="rId763" Type="http://schemas.openxmlformats.org/officeDocument/2006/relationships/hyperlink" Target="https://www.google.com/maps/search/?api=1&amp;query=Axis+Chiropractic%2C+PA.%2C+510+1st+St+N%2C+New+Ulm%2C+MN+56073" TargetMode="External"/><Relationship Id="rId111" Type="http://schemas.openxmlformats.org/officeDocument/2006/relationships/hyperlink" Target="https://www.google.com/maps/search/?api=1&amp;query=Chris+Johnson+DC%2C+2119+Cliff+Rd%2C+Eagan%2C+MN+55122" TargetMode="External"/><Relationship Id="rId195" Type="http://schemas.openxmlformats.org/officeDocument/2006/relationships/hyperlink" Target="https://www.google.com/maps/search/?api=1&amp;query=Exceptional+Chiropractic+P+A%2C+11660+Theatre+Dr+N%2C+Champlin%2C+MN+55316" TargetMode="External"/><Relationship Id="rId209" Type="http://schemas.openxmlformats.org/officeDocument/2006/relationships/hyperlink" Target="https://www.google.com/maps/search/?api=1&amp;query=Elite+Spine+Chiropractic%2C+14675+Martin+Dr%2C+Eden+Prairie%2C+MN+55344" TargetMode="External"/><Relationship Id="rId416" Type="http://schemas.openxmlformats.org/officeDocument/2006/relationships/hyperlink" Target="https://npiregistry.cms.hhs.gov/provider-view/1952521676" TargetMode="External"/><Relationship Id="rId623" Type="http://schemas.openxmlformats.org/officeDocument/2006/relationships/hyperlink" Target="https://www.google.com/maps/search/?api=1&amp;query=Fox+and+Fern+Chiropractic%2C+612+5th+St+NW%2C+Bemidji%2C+MN+56601" TargetMode="External"/><Relationship Id="rId830" Type="http://schemas.openxmlformats.org/officeDocument/2006/relationships/hyperlink" Target="https://npiregistry.cms.hhs.gov/provider-view/1649532698" TargetMode="External"/><Relationship Id="rId15" Type="http://schemas.openxmlformats.org/officeDocument/2006/relationships/hyperlink" Target="https://www.google.com/maps/search/?api=1&amp;query=Caring+Chiropractic+Center%2C+PA.%2C+10811+Xavis+St+NW%2C+Coon+Rapids%2C+MN+55433" TargetMode="External"/><Relationship Id="rId57" Type="http://schemas.openxmlformats.org/officeDocument/2006/relationships/hyperlink" Target="https://www.google.com/maps/search/?api=1&amp;query=Sports+Performance+Chiropractic%2C+350+Highway+7%2C+Excelsior%2C+MN+55331" TargetMode="External"/><Relationship Id="rId262" Type="http://schemas.openxmlformats.org/officeDocument/2006/relationships/hyperlink" Target="https://npiregistry.cms.hhs.gov/provider-view/1750671277" TargetMode="External"/><Relationship Id="rId318" Type="http://schemas.openxmlformats.org/officeDocument/2006/relationships/hyperlink" Target="https://npiregistry.cms.hhs.gov/provider-view/1073855953" TargetMode="External"/><Relationship Id="rId525" Type="http://schemas.openxmlformats.org/officeDocument/2006/relationships/hyperlink" Target="https://www.google.com/maps/search/?api=1&amp;query=Northland+Chiropractic+Clinic%2C+LLC%2C+1940+Greeley+St+S%2C+Stillwater%2C+MN+55082" TargetMode="External"/><Relationship Id="rId567" Type="http://schemas.openxmlformats.org/officeDocument/2006/relationships/hyperlink" Target="https://www.google.com/maps/search/?api=1&amp;query=Thompson+Chiropractic+Clinic+PA%2C+1262+Crossing+Dr%2C+Delano%2C+MN+55328" TargetMode="External"/><Relationship Id="rId732" Type="http://schemas.openxmlformats.org/officeDocument/2006/relationships/hyperlink" Target="https://npiregistry.cms.hhs.gov/provider-view/1700062718" TargetMode="External"/><Relationship Id="rId99" Type="http://schemas.openxmlformats.org/officeDocument/2006/relationships/hyperlink" Target="https://www.google.com/maps/search/?api=1&amp;query=Peak+Performance+Chiropractic+Center%2C+12750+Nicollet+Ave%2C+Burnsville%2C+MN+55337" TargetMode="External"/><Relationship Id="rId122" Type="http://schemas.openxmlformats.org/officeDocument/2006/relationships/hyperlink" Target="https://npiregistry.cms.hhs.gov/provider-view/1336505551" TargetMode="External"/><Relationship Id="rId164" Type="http://schemas.openxmlformats.org/officeDocument/2006/relationships/hyperlink" Target="https://npiregistry.cms.hhs.gov/provider-view/1164724332" TargetMode="External"/><Relationship Id="rId371" Type="http://schemas.openxmlformats.org/officeDocument/2006/relationships/hyperlink" Target="https://www.google.com/maps/search/?api=1&amp;query=Christopher+J.+Foley+DC.+%2C+PA.%2C+8700+W+36th+St%2C+St.+Louis+Park%2C+MN+55426" TargetMode="External"/><Relationship Id="rId774" Type="http://schemas.openxmlformats.org/officeDocument/2006/relationships/hyperlink" Target="https://npiregistry.cms.hhs.gov/provider-view/1134931926" TargetMode="External"/><Relationship Id="rId427" Type="http://schemas.openxmlformats.org/officeDocument/2006/relationships/hyperlink" Target="https://www.google.com/maps/search/?api=1&amp;query=Jason+A+Smith+DC+PA%2C+1820+Rice+St%2C+St.+Paul%2C+MN+55113" TargetMode="External"/><Relationship Id="rId469" Type="http://schemas.openxmlformats.org/officeDocument/2006/relationships/hyperlink" Target="https://www.google.com/maps/search/?api=1&amp;query=Soul+Chiropractic%2C+4760+Banning+Ave%2C+White+Bear+Lake%2C+MN+55110" TargetMode="External"/><Relationship Id="rId634" Type="http://schemas.openxmlformats.org/officeDocument/2006/relationships/hyperlink" Target="https://npiregistry.cms.hhs.gov/provider-view/1114465366" TargetMode="External"/><Relationship Id="rId676" Type="http://schemas.openxmlformats.org/officeDocument/2006/relationships/hyperlink" Target="https://npiregistry.cms.hhs.gov/provider-view/1891478988" TargetMode="External"/><Relationship Id="rId841" Type="http://schemas.openxmlformats.org/officeDocument/2006/relationships/hyperlink" Target="https://www.google.com/maps/search/?api=1&amp;query=Wellfit+Chiropractic+LLC%2C+685+W+Bridge+St%2C+Owatonna%2C+MN+55060" TargetMode="External"/><Relationship Id="rId26" Type="http://schemas.openxmlformats.org/officeDocument/2006/relationships/hyperlink" Target="https://npiregistry.cms.hhs.gov/provider-view/1073675047" TargetMode="External"/><Relationship Id="rId231" Type="http://schemas.openxmlformats.org/officeDocument/2006/relationships/hyperlink" Target="https://www.google.com/maps/search/?api=1&amp;query=Bewell%2C+7401+Metro+Blvd%2C+Edina%2C+MN+55439" TargetMode="External"/><Relationship Id="rId273" Type="http://schemas.openxmlformats.org/officeDocument/2006/relationships/hyperlink" Target="https://www.google.com/maps/search/?api=1&amp;query=Dmr+Methods%2C+15+8th+Ave+N%2C+Hopkins%2C+MN+55343" TargetMode="External"/><Relationship Id="rId329" Type="http://schemas.openxmlformats.org/officeDocument/2006/relationships/hyperlink" Target="https://www.google.com/maps/search/?api=1&amp;query=Uptown+Chirocenter%2C+1936+Lyndale+Ave+S%2C+Minneapolis%2C+MN+55403" TargetMode="External"/><Relationship Id="rId480" Type="http://schemas.openxmlformats.org/officeDocument/2006/relationships/hyperlink" Target="https://npiregistry.cms.hhs.gov/provider-view/1215086384" TargetMode="External"/><Relationship Id="rId536" Type="http://schemas.openxmlformats.org/officeDocument/2006/relationships/hyperlink" Target="https://npiregistry.cms.hhs.gov/provider-view/1154122950" TargetMode="External"/><Relationship Id="rId701" Type="http://schemas.openxmlformats.org/officeDocument/2006/relationships/hyperlink" Target="https://www.google.com/maps/search/?api=1&amp;query=Biermaier+Chiropractic+PLLC%2C+1226+University+Ave%2C+Crookston%2C+MN+56716" TargetMode="External"/><Relationship Id="rId68" Type="http://schemas.openxmlformats.org/officeDocument/2006/relationships/hyperlink" Target="https://npiregistry.cms.hhs.gov/provider-view/1578850061" TargetMode="External"/><Relationship Id="rId133" Type="http://schemas.openxmlformats.org/officeDocument/2006/relationships/hyperlink" Target="https://www.google.com/maps/search/?api=1&amp;query=Oyespa+LLC%2C+7741+Amana+Trl%2C+Inver+Grove+Heights%2C+MN+55077" TargetMode="External"/><Relationship Id="rId175" Type="http://schemas.openxmlformats.org/officeDocument/2006/relationships/hyperlink" Target="https://www.google.com/maps/search/?api=1&amp;query=Good+Bones+Chiropractic%2C+8500+Normandale%2C%2C+Bloomington%2C+MN+55429" TargetMode="External"/><Relationship Id="rId340" Type="http://schemas.openxmlformats.org/officeDocument/2006/relationships/hyperlink" Target="https://npiregistry.cms.hhs.gov/provider-view/1992002661" TargetMode="External"/><Relationship Id="rId578" Type="http://schemas.openxmlformats.org/officeDocument/2006/relationships/hyperlink" Target="https://npiregistry.cms.hhs.gov/provider-view/1245146620" TargetMode="External"/><Relationship Id="rId743" Type="http://schemas.openxmlformats.org/officeDocument/2006/relationships/hyperlink" Target="https://www.google.com/maps/search/?api=1&amp;query=Healthsource+of+Morris%2C+210+Atlantic+Ave%2C+Morris%2C+MN+56267" TargetMode="External"/><Relationship Id="rId785" Type="http://schemas.openxmlformats.org/officeDocument/2006/relationships/hyperlink" Target="https://www.google.com/maps/search/?api=1&amp;query=Mecca+Health+Epicenter%2C+LLC%2C+1761+Commerce+Dr%2C+North+Mankato%2C+MN+56003" TargetMode="External"/><Relationship Id="rId200" Type="http://schemas.openxmlformats.org/officeDocument/2006/relationships/hyperlink" Target="https://npiregistry.cms.hhs.gov/provider-view/1457458689" TargetMode="External"/><Relationship Id="rId382" Type="http://schemas.openxmlformats.org/officeDocument/2006/relationships/hyperlink" Target="https://npiregistry.cms.hhs.gov/provider-view/1194811299" TargetMode="External"/><Relationship Id="rId438" Type="http://schemas.openxmlformats.org/officeDocument/2006/relationships/hyperlink" Target="https://npiregistry.cms.hhs.gov/provider-view/1245983097" TargetMode="External"/><Relationship Id="rId603" Type="http://schemas.openxmlformats.org/officeDocument/2006/relationships/hyperlink" Target="https://www.google.com/maps/search/?api=1&amp;query=Williams+Integracare+Clinic%2C+2251+Connecticut+Ave+S%2C+Sartell%2C+MN+56377" TargetMode="External"/><Relationship Id="rId645" Type="http://schemas.openxmlformats.org/officeDocument/2006/relationships/hyperlink" Target="https://www.google.com/maps/search/?api=1&amp;query=Health+First+Chiropractic+of+Baxter%2C+14213+Golf+Course+Drive%2C+Baxter%2C+MN+56425" TargetMode="External"/><Relationship Id="rId687" Type="http://schemas.openxmlformats.org/officeDocument/2006/relationships/hyperlink" Target="https://www.google.com/maps/search/?api=1&amp;query=Nels+Torgrimson+DC%2C+1320+Kenwood+Ave%2C+Duluth%2C+MN+55811" TargetMode="External"/><Relationship Id="rId810" Type="http://schemas.openxmlformats.org/officeDocument/2006/relationships/hyperlink" Target="https://npiregistry.cms.hhs.gov/provider-view/1689589913" TargetMode="External"/><Relationship Id="rId852" Type="http://schemas.openxmlformats.org/officeDocument/2006/relationships/hyperlink" Target="https://npiregistry.cms.hhs.gov/provider-view/1831132687" TargetMode="External"/><Relationship Id="rId242" Type="http://schemas.openxmlformats.org/officeDocument/2006/relationships/hyperlink" Target="https://npiregistry.cms.hhs.gov/provider-view/1588915722" TargetMode="External"/><Relationship Id="rId284" Type="http://schemas.openxmlformats.org/officeDocument/2006/relationships/hyperlink" Target="https://npiregistry.cms.hhs.gov/provider-view/1922529528" TargetMode="External"/><Relationship Id="rId491" Type="http://schemas.openxmlformats.org/officeDocument/2006/relationships/hyperlink" Target="https://www.google.com/maps/search/?api=1&amp;query=Tune+Chiropractic+LTD%2C+17177+Trillium+Ln%2C+Big+Lake%2C+MN+55309" TargetMode="External"/><Relationship Id="rId505" Type="http://schemas.openxmlformats.org/officeDocument/2006/relationships/hyperlink" Target="https://www.google.com/maps/search/?api=1&amp;query=Hugo+Chiropractic+Clinic%2C+5673+147th+St+N%2C+Hugo%2C+MN+55038" TargetMode="External"/><Relationship Id="rId712" Type="http://schemas.openxmlformats.org/officeDocument/2006/relationships/hyperlink" Target="https://npiregistry.cms.hhs.gov/provider-view/1598371635" TargetMode="External"/><Relationship Id="rId37" Type="http://schemas.openxmlformats.org/officeDocument/2006/relationships/hyperlink" Target="https://www.google.com/maps/search/?api=1&amp;query=Silver+View+Chiropractic+Center%2C+PA.%2C+4137+Woodland+Road%2C+Lexington%2C+MN+55014" TargetMode="External"/><Relationship Id="rId79" Type="http://schemas.openxmlformats.org/officeDocument/2006/relationships/hyperlink" Target="https://www.google.com/maps/search/?api=1&amp;query=Chiroflex+PLLC%2C+1103+W+Burnsville+Pkwy%2C+Burnsville%2C+MN+55337" TargetMode="External"/><Relationship Id="rId102" Type="http://schemas.openxmlformats.org/officeDocument/2006/relationships/hyperlink" Target="https://npiregistry.cms.hhs.gov/provider-view/1124919071" TargetMode="External"/><Relationship Id="rId144" Type="http://schemas.openxmlformats.org/officeDocument/2006/relationships/hyperlink" Target="https://npiregistry.cms.hhs.gov/provider-view/1639710957" TargetMode="External"/><Relationship Id="rId547" Type="http://schemas.openxmlformats.org/officeDocument/2006/relationships/hyperlink" Target="https://www.google.com/maps/search/?api=1&amp;query=Woodbury+Family+Chiropractic%2C+2110+Eagle+Creek+Ln%2C+Woodbury%2C+MN+55129" TargetMode="External"/><Relationship Id="rId589" Type="http://schemas.openxmlformats.org/officeDocument/2006/relationships/hyperlink" Target="https://www.google.com/maps/search/?api=1&amp;query=Knafla+Chiropractic+Clinic%2C+LTD%2C+900+S+Rum+River+Dr%2C+Princeton%2C+MN+55371" TargetMode="External"/><Relationship Id="rId754" Type="http://schemas.openxmlformats.org/officeDocument/2006/relationships/hyperlink" Target="https://npiregistry.cms.hhs.gov/provider-view/1912366030" TargetMode="External"/><Relationship Id="rId796" Type="http://schemas.openxmlformats.org/officeDocument/2006/relationships/hyperlink" Target="https://npiregistry.cms.hhs.gov/provider-view/1255016978" TargetMode="External"/><Relationship Id="rId90" Type="http://schemas.openxmlformats.org/officeDocument/2006/relationships/hyperlink" Target="https://npiregistry.cms.hhs.gov/provider-view/1295366888" TargetMode="External"/><Relationship Id="rId186" Type="http://schemas.openxmlformats.org/officeDocument/2006/relationships/hyperlink" Target="https://npiregistry.cms.hhs.gov/provider-view/1083081418" TargetMode="External"/><Relationship Id="rId351" Type="http://schemas.openxmlformats.org/officeDocument/2006/relationships/hyperlink" Target="https://www.google.com/maps/search/?api=1&amp;query=Core+Lifestyle+Clinic%2C+2700+Annapolis+Cir+N%2C+Plymouth%2C+MN+55441" TargetMode="External"/><Relationship Id="rId393" Type="http://schemas.openxmlformats.org/officeDocument/2006/relationships/hyperlink" Target="https://www.google.com/maps/search/?api=1&amp;query=Bartlett+Family+Chiropractic+LLC%2C+3035+White+Bear+Ave+N%2C+Maplewood%2C+MN+55109" TargetMode="External"/><Relationship Id="rId407" Type="http://schemas.openxmlformats.org/officeDocument/2006/relationships/hyperlink" Target="https://www.google.com/maps/search/?api=1&amp;query=Platinum+Health+Solutions%2C+2780+E+Snelling+Service+Drive%2C+Roseville%2C+MN+55113" TargetMode="External"/><Relationship Id="rId449" Type="http://schemas.openxmlformats.org/officeDocument/2006/relationships/hyperlink" Target="https://www.google.com/maps/search/?api=1&amp;query=Summit+Hill+Chiropractic+LLC%2C+976+Grand+Ave%2C+St.+Paul%2C+MN+55105" TargetMode="External"/><Relationship Id="rId614" Type="http://schemas.openxmlformats.org/officeDocument/2006/relationships/hyperlink" Target="https://npiregistry.cms.hhs.gov/provider-view/1689156358" TargetMode="External"/><Relationship Id="rId656" Type="http://schemas.openxmlformats.org/officeDocument/2006/relationships/hyperlink" Target="https://npiregistry.cms.hhs.gov/provider-view/1376894014" TargetMode="External"/><Relationship Id="rId821" Type="http://schemas.openxmlformats.org/officeDocument/2006/relationships/hyperlink" Target="https://www.google.com/maps/search/?api=1&amp;query=Elite+Chiropractic+PLLC%2C+1724+37th+St+NW%2C+Rochester%2C+MN+55901" TargetMode="External"/><Relationship Id="rId863" Type="http://schemas.openxmlformats.org/officeDocument/2006/relationships/hyperlink" Target="https://www.google.com/maps/search/?api=1&amp;query=Healthsource+of+Marshall%2C+317+W+Main+St%2C+Marshall%2C+MN+56258" TargetMode="External"/><Relationship Id="rId211" Type="http://schemas.openxmlformats.org/officeDocument/2006/relationships/hyperlink" Target="https://www.google.com/maps/search/?api=1&amp;query=Ellis+Performance+%26+Injury+Center%2C+6640+Shady+Oak+Rd%2C+Eden+Prairie%2C+MN+55344" TargetMode="External"/><Relationship Id="rId253" Type="http://schemas.openxmlformats.org/officeDocument/2006/relationships/hyperlink" Target="https://www.google.com/maps/search/?api=1&amp;query=Pdr+Southdale%2C+INC%2C+3400+W+66th+St%2C+Edina%2C+MN+55435" TargetMode="External"/><Relationship Id="rId295" Type="http://schemas.openxmlformats.org/officeDocument/2006/relationships/hyperlink" Target="https://www.google.com/maps/search/?api=1&amp;query=All+Care+Health+and+Wellness+Center%2C+1010+Park+Ave%2C+Minneapolis%2C+MN+55404" TargetMode="External"/><Relationship Id="rId309" Type="http://schemas.openxmlformats.org/officeDocument/2006/relationships/hyperlink" Target="https://www.google.com/maps/search/?api=1&amp;query=Ls+Pain+Relief+Center+PA%2C+515+W+Lake+St%2C+Minneapolis%2C+MN+55408" TargetMode="External"/><Relationship Id="rId460" Type="http://schemas.openxmlformats.org/officeDocument/2006/relationships/hyperlink" Target="https://npiregistry.cms.hhs.gov/provider-view/1871507772" TargetMode="External"/><Relationship Id="rId516" Type="http://schemas.openxmlformats.org/officeDocument/2006/relationships/hyperlink" Target="https://npiregistry.cms.hhs.gov/provider-view/1447017959" TargetMode="External"/><Relationship Id="rId698" Type="http://schemas.openxmlformats.org/officeDocument/2006/relationships/hyperlink" Target="https://npiregistry.cms.hhs.gov/provider-view/1003985516" TargetMode="External"/><Relationship Id="rId48" Type="http://schemas.openxmlformats.org/officeDocument/2006/relationships/hyperlink" Target="https://npiregistry.cms.hhs.gov/provider-view/1720862931" TargetMode="External"/><Relationship Id="rId113" Type="http://schemas.openxmlformats.org/officeDocument/2006/relationships/hyperlink" Target="https://www.google.com/maps/search/?api=1&amp;query=Cornerstone+Family+Chiropractic%2C+PLLC%2C+1590+Thomas+Center+Dr%2C+Eagan%2C+MN+55122" TargetMode="External"/><Relationship Id="rId320" Type="http://schemas.openxmlformats.org/officeDocument/2006/relationships/hyperlink" Target="https://npiregistry.cms.hhs.gov/provider-view/1487512018" TargetMode="External"/><Relationship Id="rId558" Type="http://schemas.openxmlformats.org/officeDocument/2006/relationships/hyperlink" Target="https://npiregistry.cms.hhs.gov/provider-view/1134531395" TargetMode="External"/><Relationship Id="rId723" Type="http://schemas.openxmlformats.org/officeDocument/2006/relationships/hyperlink" Target="https://www.google.com/maps/search/?api=1&amp;query=Life+Quest+Chiropractic+%26+Sports%2C+123+3rd+Ave+E%2C+Alexandria%2C+MN+56308" TargetMode="External"/><Relationship Id="rId765" Type="http://schemas.openxmlformats.org/officeDocument/2006/relationships/hyperlink" Target="https://www.google.com/maps/search/?api=1&amp;query=Legacy+Chiropractic%2C+511+16th+South+St%2C+New+Ulm%2C+MN+56073" TargetMode="External"/><Relationship Id="rId155" Type="http://schemas.openxmlformats.org/officeDocument/2006/relationships/hyperlink" Target="https://www.google.com/maps/search/?api=1&amp;query=Inspire+Life+Chiropractic+Center%2C+PLLC%2C+750+Main+St%2C+Mendota+Heights%2C+MN+55118" TargetMode="External"/><Relationship Id="rId197" Type="http://schemas.openxmlformats.org/officeDocument/2006/relationships/hyperlink" Target="https://www.google.com/maps/search/?api=1&amp;query=Summit+Chiropractic%2C+INC%2C+11030+Douglas+Dr+N%2C+Champlin%2C+MN+55316" TargetMode="External"/><Relationship Id="rId362" Type="http://schemas.openxmlformats.org/officeDocument/2006/relationships/hyperlink" Target="https://npiregistry.cms.hhs.gov/provider-view/1710322086" TargetMode="External"/><Relationship Id="rId418" Type="http://schemas.openxmlformats.org/officeDocument/2006/relationships/hyperlink" Target="https://npiregistry.cms.hhs.gov/provider-view/1437070596" TargetMode="External"/><Relationship Id="rId625" Type="http://schemas.openxmlformats.org/officeDocument/2006/relationships/hyperlink" Target="https://www.google.com/maps/search/?api=1&amp;query=Horn+Health+PLLC%2C+2300+24th+St+NW%2C+Bemidji%2C+MN+56601" TargetMode="External"/><Relationship Id="rId832" Type="http://schemas.openxmlformats.org/officeDocument/2006/relationships/hyperlink" Target="https://npiregistry.cms.hhs.gov/provider-view/1912225624" TargetMode="External"/><Relationship Id="rId222" Type="http://schemas.openxmlformats.org/officeDocument/2006/relationships/hyperlink" Target="https://npiregistry.cms.hhs.gov/provider-view/1669527636" TargetMode="External"/><Relationship Id="rId264" Type="http://schemas.openxmlformats.org/officeDocument/2006/relationships/hyperlink" Target="https://npiregistry.cms.hhs.gov/provider-view/1194496471" TargetMode="External"/><Relationship Id="rId471" Type="http://schemas.openxmlformats.org/officeDocument/2006/relationships/hyperlink" Target="https://www.google.com/maps/search/?api=1&amp;query=Wildwood+Chiropractic+Center%2C+3580+Linden+Ave%2C+White+Bear+Lake%2C+MN+55110" TargetMode="External"/><Relationship Id="rId667" Type="http://schemas.openxmlformats.org/officeDocument/2006/relationships/hyperlink" Target="https://www.google.com/maps/search/?api=1&amp;query=Freedom+Chiropractic+PLLC%2C+104+NE+3rd+St%2C+Grand+Rapids%2C+MN+55744" TargetMode="External"/><Relationship Id="rId874" Type="http://schemas.openxmlformats.org/officeDocument/2006/relationships/hyperlink" Target="https://npiregistry.cms.hhs.gov/provider-view/1497575419" TargetMode="External"/><Relationship Id="rId17" Type="http://schemas.openxmlformats.org/officeDocument/2006/relationships/hyperlink" Target="https://www.google.com/maps/search/?api=1&amp;query=Fit+Family+Chiropractic%2C+1835+Gateway+Dr%2C+Coon+Rapids%2C+MN+55448" TargetMode="External"/><Relationship Id="rId59" Type="http://schemas.openxmlformats.org/officeDocument/2006/relationships/hyperlink" Target="https://www.google.com/maps/search/?api=1&amp;query=Power+of+Life+Alternative+and+Holistic+Health%2C+1700+Stieger+Lake+Ln%2C+Victoria%2C+MN+55386" TargetMode="External"/><Relationship Id="rId124" Type="http://schemas.openxmlformats.org/officeDocument/2006/relationships/hyperlink" Target="https://npiregistry.cms.hhs.gov/provider-view/1194453365" TargetMode="External"/><Relationship Id="rId527" Type="http://schemas.openxmlformats.org/officeDocument/2006/relationships/hyperlink" Target="https://www.google.com/maps/search/?api=1&amp;query=Oswald+LLC%2C+11233+Neal+Ave+N%2C+Stillwater%2C+MN+55082" TargetMode="External"/><Relationship Id="rId569" Type="http://schemas.openxmlformats.org/officeDocument/2006/relationships/hyperlink" Target="https://www.google.com/maps/search/?api=1&amp;query=Freedom+Chiropractic+LLC%2C+10981+4th+St+NE%2C+Hanover%2C+MN+55341" TargetMode="External"/><Relationship Id="rId734" Type="http://schemas.openxmlformats.org/officeDocument/2006/relationships/hyperlink" Target="https://npiregistry.cms.hhs.gov/provider-view/1841945573" TargetMode="External"/><Relationship Id="rId776" Type="http://schemas.openxmlformats.org/officeDocument/2006/relationships/hyperlink" Target="https://npiregistry.cms.hhs.gov/provider-view/1972854040" TargetMode="External"/><Relationship Id="rId70" Type="http://schemas.openxmlformats.org/officeDocument/2006/relationships/hyperlink" Target="https://npiregistry.cms.hhs.gov/provider-view/1568876993" TargetMode="External"/><Relationship Id="rId166" Type="http://schemas.openxmlformats.org/officeDocument/2006/relationships/hyperlink" Target="https://npiregistry.cms.hhs.gov/provider-view/1225175755" TargetMode="External"/><Relationship Id="rId331" Type="http://schemas.openxmlformats.org/officeDocument/2006/relationships/hyperlink" Target="https://www.google.com/maps/search/?api=1&amp;query=Apex+Performance+Clinic+PLLC%2C+13911+Ridgedale+Dr%2C+Minnetonka%2C+MN+55305" TargetMode="External"/><Relationship Id="rId373" Type="http://schemas.openxmlformats.org/officeDocument/2006/relationships/hyperlink" Target="https://www.google.com/maps/search/?api=1&amp;query=Cities+Chiropractic+and+Acupuncture%2C+5806+W+36th+St%2C+St.+Louis+Park%2C+MN+55416" TargetMode="External"/><Relationship Id="rId429" Type="http://schemas.openxmlformats.org/officeDocument/2006/relationships/hyperlink" Target="https://www.google.com/maps/search/?api=1&amp;query=Midway+Chiropractic+and+Health+Services+PA%2C+464+Hamline+Ave+S%2C+St.+Paul%2C+MN+55105" TargetMode="External"/><Relationship Id="rId580" Type="http://schemas.openxmlformats.org/officeDocument/2006/relationships/hyperlink" Target="https://npiregistry.cms.hhs.gov/provider-view/1417108531" TargetMode="External"/><Relationship Id="rId636" Type="http://schemas.openxmlformats.org/officeDocument/2006/relationships/hyperlink" Target="https://npiregistry.cms.hhs.gov/provider-view/1306144100" TargetMode="External"/><Relationship Id="rId801" Type="http://schemas.openxmlformats.org/officeDocument/2006/relationships/hyperlink" Target="https://www.google.com/maps/search/?api=1&amp;query=Red+Wing+Chiropractic+Clinic%2C+1660+Siewert+St%2C+Red+Wing%2C+MN+55066" TargetMode="External"/><Relationship Id="rId1" Type="http://schemas.openxmlformats.org/officeDocument/2006/relationships/hyperlink" Target="https://www.google.com/maps/search/?api=1&amp;query=Health+and+Healing+Family+Chiropractic%2C+1883+Station+Pkwy+NW%2C+Andover%2C+MN+55304" TargetMode="External"/><Relationship Id="rId233" Type="http://schemas.openxmlformats.org/officeDocument/2006/relationships/hyperlink" Target="https://www.google.com/maps/search/?api=1&amp;query=Clarity+Chiropractic+PLLC%2C+3209+W+76th+St%2C+Edina%2C+MN+55435" TargetMode="External"/><Relationship Id="rId440" Type="http://schemas.openxmlformats.org/officeDocument/2006/relationships/hyperlink" Target="https://npiregistry.cms.hhs.gov/provider-view/1144093667" TargetMode="External"/><Relationship Id="rId678" Type="http://schemas.openxmlformats.org/officeDocument/2006/relationships/hyperlink" Target="https://npiregistry.cms.hhs.gov/provider-view/1376757682" TargetMode="External"/><Relationship Id="rId843" Type="http://schemas.openxmlformats.org/officeDocument/2006/relationships/hyperlink" Target="https://www.google.com/maps/search/?api=1&amp;query=Precision+Chiropractic+and+Wellness%2C+104+22nd+Ave+NE%2C+Waseca%2C+MN+56093" TargetMode="External"/><Relationship Id="rId28" Type="http://schemas.openxmlformats.org/officeDocument/2006/relationships/hyperlink" Target="https://npiregistry.cms.hhs.gov/provider-view/1750917068" TargetMode="External"/><Relationship Id="rId275" Type="http://schemas.openxmlformats.org/officeDocument/2006/relationships/hyperlink" Target="https://www.google.com/maps/search/?api=1&amp;query=Redbird+Wellness%2C+PA%2C+7900+Excelsior+Blvd%2C+Hopkins%2C+MN+55343" TargetMode="External"/><Relationship Id="rId300" Type="http://schemas.openxmlformats.org/officeDocument/2006/relationships/hyperlink" Target="https://npiregistry.cms.hhs.gov/provider-view/1801594619" TargetMode="External"/><Relationship Id="rId482" Type="http://schemas.openxmlformats.org/officeDocument/2006/relationships/hyperlink" Target="https://npiregistry.cms.hhs.gov/provider-view/1144063447" TargetMode="External"/><Relationship Id="rId538" Type="http://schemas.openxmlformats.org/officeDocument/2006/relationships/hyperlink" Target="https://npiregistry.cms.hhs.gov/provider-view/1447853585" TargetMode="External"/><Relationship Id="rId703" Type="http://schemas.openxmlformats.org/officeDocument/2006/relationships/hyperlink" Target="https://www.google.com/maps/search/?api=1&amp;query=Choice+Therapy+Crookston+LLC%2C+1728+N+Front+St%2C+Crookston%2C+MN+56716" TargetMode="External"/><Relationship Id="rId745" Type="http://schemas.openxmlformats.org/officeDocument/2006/relationships/hyperlink" Target="https://www.google.com/maps/search/?api=1&amp;query=Morris+Chiropractic+Clinic%2C+210+Atlantic+Ave%2C+Morris%2C+MN+56267" TargetMode="External"/><Relationship Id="rId81" Type="http://schemas.openxmlformats.org/officeDocument/2006/relationships/hyperlink" Target="https://www.google.com/maps/search/?api=1&amp;query=Healthpro+Chiropractic+PC%2C+150+E+Travelers+Trl%2C+Burnsville%2C+MN+55337" TargetMode="External"/><Relationship Id="rId135" Type="http://schemas.openxmlformats.org/officeDocument/2006/relationships/hyperlink" Target="https://www.google.com/maps/search/?api=1&amp;query=Twin+Cities+Movement+Chiropractic+and+Rehabilitation+PLLC%2C+5844+Blaine+Ave%2C+Inver+Grove+Heights%2C+MN+55076" TargetMode="External"/><Relationship Id="rId177" Type="http://schemas.openxmlformats.org/officeDocument/2006/relationships/hyperlink" Target="https://www.google.com/maps/search/?api=1&amp;query=Jbc+Services+PLLC%2C+1700+Haeg+Dr%2C+Bloomington%2C+MN+55431" TargetMode="External"/><Relationship Id="rId342" Type="http://schemas.openxmlformats.org/officeDocument/2006/relationships/hyperlink" Target="https://npiregistry.cms.hhs.gov/provider-view/1912292616" TargetMode="External"/><Relationship Id="rId384" Type="http://schemas.openxmlformats.org/officeDocument/2006/relationships/hyperlink" Target="https://npiregistry.cms.hhs.gov/provider-view/1104562602" TargetMode="External"/><Relationship Id="rId591" Type="http://schemas.openxmlformats.org/officeDocument/2006/relationships/hyperlink" Target="https://www.google.com/maps/search/?api=1&amp;query=Allison+Zak%2C+DC.%2C+LLC%2C+220+1st+St+SE%2C+Little+Falls%2C+MN+56345" TargetMode="External"/><Relationship Id="rId605" Type="http://schemas.openxmlformats.org/officeDocument/2006/relationships/hyperlink" Target="https://www.google.com/maps/search/?api=1&amp;query=Arrow+Health+PC%2C+519+Main+St+S%2C+Sauk+Centre%2C+MN+56378" TargetMode="External"/><Relationship Id="rId787" Type="http://schemas.openxmlformats.org/officeDocument/2006/relationships/hyperlink" Target="https://www.google.com/maps/search/?api=1&amp;query=Back+In+Balance+Health+and+Wellness+PLLC%2C+220+Broadway+Ave%2C+St.+Peter%2C+MN+56082" TargetMode="External"/><Relationship Id="rId812" Type="http://schemas.openxmlformats.org/officeDocument/2006/relationships/hyperlink" Target="https://npiregistry.cms.hhs.gov/provider-view/1922889724" TargetMode="External"/><Relationship Id="rId202" Type="http://schemas.openxmlformats.org/officeDocument/2006/relationships/hyperlink" Target="https://npiregistry.cms.hhs.gov/provider-view/1952826778" TargetMode="External"/><Relationship Id="rId244" Type="http://schemas.openxmlformats.org/officeDocument/2006/relationships/hyperlink" Target="https://npiregistry.cms.hhs.gov/provider-view/1710216858" TargetMode="External"/><Relationship Id="rId647" Type="http://schemas.openxmlformats.org/officeDocument/2006/relationships/hyperlink" Target="https://www.google.com/maps/search/?api=1&amp;query=Lakes+Chiropractic%2C+413+S+6th+St%2C+Brainerd%2C+MN+56401" TargetMode="External"/><Relationship Id="rId689" Type="http://schemas.openxmlformats.org/officeDocument/2006/relationships/hyperlink" Target="https://www.google.com/maps/search/?api=1&amp;query=Nielson+Family+Chiropractic+PLLC%2C+2510+Maple+Grove+Rd%2C+Duluth%2C+MN+55811" TargetMode="External"/><Relationship Id="rId854" Type="http://schemas.openxmlformats.org/officeDocument/2006/relationships/hyperlink" Target="https://npiregistry.cms.hhs.gov/provider-view/1811594567" TargetMode="External"/><Relationship Id="rId39" Type="http://schemas.openxmlformats.org/officeDocument/2006/relationships/hyperlink" Target="https://www.google.com/maps/search/?api=1&amp;query=Sprout+Chiropractic+%26+Wellness%2C+7525+Village+Dr%2C+Lino+Lakes%2C+MN+55014" TargetMode="External"/><Relationship Id="rId286" Type="http://schemas.openxmlformats.org/officeDocument/2006/relationships/hyperlink" Target="https://npiregistry.cms.hhs.gov/provider-view/1942957972" TargetMode="External"/><Relationship Id="rId451" Type="http://schemas.openxmlformats.org/officeDocument/2006/relationships/hyperlink" Target="https://www.google.com/maps/search/?api=1&amp;query=The+Spinery+PLLC%2C+2050+Saint+Clair+Ave%2C+St.+Paul%2C+MN+55105" TargetMode="External"/><Relationship Id="rId493" Type="http://schemas.openxmlformats.org/officeDocument/2006/relationships/hyperlink" Target="https://www.google.com/maps/search/?api=1&amp;query=Healthsource+Chiropractic+of+Elk+River%2C+18157+Carson+Ct+NW%2C+Elk+River%2C+MN+55330" TargetMode="External"/><Relationship Id="rId507" Type="http://schemas.openxmlformats.org/officeDocument/2006/relationships/hyperlink" Target="https://www.google.com/maps/search/?api=1&amp;query=Core+Chiropractic+%26+Health%2C+219+Wedgewood+Dr%2C+Mahtomedi%2C+MN+55115" TargetMode="External"/><Relationship Id="rId549" Type="http://schemas.openxmlformats.org/officeDocument/2006/relationships/hyperlink" Target="https://www.google.com/maps/search/?api=1&amp;query=Woodbury+Spine+Wellness+Center%2C+8147+Globe+Dr%2C+Woodbury%2C+MN+55125" TargetMode="External"/><Relationship Id="rId714" Type="http://schemas.openxmlformats.org/officeDocument/2006/relationships/hyperlink" Target="https://npiregistry.cms.hhs.gov/provider-view/1144381187" TargetMode="External"/><Relationship Id="rId756" Type="http://schemas.openxmlformats.org/officeDocument/2006/relationships/hyperlink" Target="https://npiregistry.cms.hhs.gov/provider-view/1649902891" TargetMode="External"/><Relationship Id="rId50" Type="http://schemas.openxmlformats.org/officeDocument/2006/relationships/hyperlink" Target="https://npiregistry.cms.hhs.gov/provider-view/1639528508" TargetMode="External"/><Relationship Id="rId104" Type="http://schemas.openxmlformats.org/officeDocument/2006/relationships/hyperlink" Target="https://npiregistry.cms.hhs.gov/provider-view/1053253781" TargetMode="External"/><Relationship Id="rId146" Type="http://schemas.openxmlformats.org/officeDocument/2006/relationships/hyperlink" Target="https://npiregistry.cms.hhs.gov/provider-view/1043873821" TargetMode="External"/><Relationship Id="rId188" Type="http://schemas.openxmlformats.org/officeDocument/2006/relationships/hyperlink" Target="https://npiregistry.cms.hhs.gov/provider-view/1952484602" TargetMode="External"/><Relationship Id="rId311" Type="http://schemas.openxmlformats.org/officeDocument/2006/relationships/hyperlink" Target="https://www.google.com/maps/search/?api=1&amp;query=Lyn+Lake+Chiropractic%2C+2937+Lyndale+Ave+S%2C+Minneapolis%2C+MN+55408" TargetMode="External"/><Relationship Id="rId353" Type="http://schemas.openxmlformats.org/officeDocument/2006/relationships/hyperlink" Target="https://www.google.com/maps/search/?api=1&amp;query=Experience+Wellness+Chiropractic+PA%2C+3001+Harbor+Ln+N%2C+Plymouth%2C+MN+55447" TargetMode="External"/><Relationship Id="rId395" Type="http://schemas.openxmlformats.org/officeDocument/2006/relationships/hyperlink" Target="https://www.google.com/maps/search/?api=1&amp;query=Discovery+Chiropractic+PLLC%2C+2785+White+Bear+Ave+N%2C+Maplewood%2C+MN+55109" TargetMode="External"/><Relationship Id="rId409" Type="http://schemas.openxmlformats.org/officeDocument/2006/relationships/hyperlink" Target="https://www.google.com/maps/search/?api=1&amp;query=Arete+Networks+of+Minnesota+LLC%2C+1021+Bandana+Blvd+E%2C+St.+Paul%2C+MN+55108" TargetMode="External"/><Relationship Id="rId560" Type="http://schemas.openxmlformats.org/officeDocument/2006/relationships/hyperlink" Target="https://npiregistry.cms.hhs.gov/provider-view/1730176637" TargetMode="External"/><Relationship Id="rId798" Type="http://schemas.openxmlformats.org/officeDocument/2006/relationships/hyperlink" Target="https://npiregistry.cms.hhs.gov/provider-view/1427911122" TargetMode="External"/><Relationship Id="rId92" Type="http://schemas.openxmlformats.org/officeDocument/2006/relationships/hyperlink" Target="https://npiregistry.cms.hhs.gov/provider-view/1558208033" TargetMode="External"/><Relationship Id="rId213" Type="http://schemas.openxmlformats.org/officeDocument/2006/relationships/hyperlink" Target="https://www.google.com/maps/search/?api=1&amp;query=Flying+Cloud+Spine+%26+Sport%2C+PA.%2C+7707+Flying+Cloud+Dr%2C+Eden+Prairie%2C+MN+55344" TargetMode="External"/><Relationship Id="rId420" Type="http://schemas.openxmlformats.org/officeDocument/2006/relationships/hyperlink" Target="https://npiregistry.cms.hhs.gov/provider-view/1548959737" TargetMode="External"/><Relationship Id="rId616" Type="http://schemas.openxmlformats.org/officeDocument/2006/relationships/hyperlink" Target="https://npiregistry.cms.hhs.gov/provider-view/1205183050" TargetMode="External"/><Relationship Id="rId658" Type="http://schemas.openxmlformats.org/officeDocument/2006/relationships/hyperlink" Target="https://npiregistry.cms.hhs.gov/provider-view/1417358490" TargetMode="External"/><Relationship Id="rId823" Type="http://schemas.openxmlformats.org/officeDocument/2006/relationships/hyperlink" Target="https://www.google.com/maps/search/?api=1&amp;query=Hartley+Health+and+Chiropractic+Clinic+LLC%2C+3257+19th+St+NW%2C+Rochester%2C+MN+55901" TargetMode="External"/><Relationship Id="rId865" Type="http://schemas.openxmlformats.org/officeDocument/2006/relationships/hyperlink" Target="https://www.google.com/maps/search/?api=1&amp;query=Preferred+Health+of+Marshall%2C+PA%2C+303+Oconnell+St%2C+Marshall%2C+MN+56258" TargetMode="External"/><Relationship Id="rId255" Type="http://schemas.openxmlformats.org/officeDocument/2006/relationships/hyperlink" Target="https://www.google.com/maps/search/?api=1&amp;query=Romanie+Health+Services%2C+PA%2C+5325+W+74th+St%2C+Edina%2C+MN+55439" TargetMode="External"/><Relationship Id="rId297" Type="http://schemas.openxmlformats.org/officeDocument/2006/relationships/hyperlink" Target="https://www.google.com/maps/search/?api=1&amp;query=City+Chiropractic%2C+1931+University+Ave+NE%2C+Minneapolis%2C+MN+55418" TargetMode="External"/><Relationship Id="rId462" Type="http://schemas.openxmlformats.org/officeDocument/2006/relationships/hyperlink" Target="https://npiregistry.cms.hhs.gov/provider-view/1952779605" TargetMode="External"/><Relationship Id="rId518" Type="http://schemas.openxmlformats.org/officeDocument/2006/relationships/hyperlink" Target="https://npiregistry.cms.hhs.gov/provider-view/1093315855" TargetMode="External"/><Relationship Id="rId725" Type="http://schemas.openxmlformats.org/officeDocument/2006/relationships/hyperlink" Target="https://www.google.com/maps/search/?api=1&amp;query=Summit+Chiropractic+Care+PLLC%2C+324+Broadway+St%2C+Alexandria%2C+MN+56308" TargetMode="External"/><Relationship Id="rId115" Type="http://schemas.openxmlformats.org/officeDocument/2006/relationships/hyperlink" Target="https://www.google.com/maps/search/?api=1&amp;query=Genesis+Chiropractic+Health+Center%2C+4678+Slater+Rd%2C+Eagan%2C+MN+55122" TargetMode="External"/><Relationship Id="rId157" Type="http://schemas.openxmlformats.org/officeDocument/2006/relationships/hyperlink" Target="https://www.google.com/maps/search/?api=1&amp;query=Lifestyle+Chiropractic+and+Wellness%2C+PA%2C+750+S+Plaza+Dr%2C+Mendota+Heights%2C+MN+55120" TargetMode="External"/><Relationship Id="rId322" Type="http://schemas.openxmlformats.org/officeDocument/2006/relationships/hyperlink" Target="https://npiregistry.cms.hhs.gov/provider-view/1619609781" TargetMode="External"/><Relationship Id="rId364" Type="http://schemas.openxmlformats.org/officeDocument/2006/relationships/hyperlink" Target="https://npiregistry.cms.hhs.gov/provider-view/1609503291" TargetMode="External"/><Relationship Id="rId767" Type="http://schemas.openxmlformats.org/officeDocument/2006/relationships/hyperlink" Target="https://www.google.com/maps/search/?api=1&amp;query=Progressive+Chiropractic%2C+304+10th+St+N%2C+Mountain+Lake%2C+MN+56159" TargetMode="External"/><Relationship Id="rId61" Type="http://schemas.openxmlformats.org/officeDocument/2006/relationships/hyperlink" Target="https://www.google.com/maps/search/?api=1&amp;query=Movewell+Chiropractc+%26+Wellness%2C+9360+Oak+Ave%2C+Waconia%2C+MN+55387" TargetMode="External"/><Relationship Id="rId199" Type="http://schemas.openxmlformats.org/officeDocument/2006/relationships/hyperlink" Target="https://www.google.com/maps/search/?api=1&amp;query=Team+Care+Clinic%2C+12217+Champlin+Dr%2C+Champlin%2C+MN+55316" TargetMode="External"/><Relationship Id="rId571" Type="http://schemas.openxmlformats.org/officeDocument/2006/relationships/hyperlink" Target="https://www.google.com/maps/search/?api=1&amp;query=Polaris+Chiropractic+LLC%2C+1539+E+7th+St%2C+Monticello%2C+MN+55362" TargetMode="External"/><Relationship Id="rId627" Type="http://schemas.openxmlformats.org/officeDocument/2006/relationships/hyperlink" Target="https://www.google.com/maps/search/?api=1&amp;query=Lakeview+Health+and+Wellness+PLLC%2C+118+Paul+Bunyan+Dr+S%2C+Bemidji%2C+MN+56601" TargetMode="External"/><Relationship Id="rId669" Type="http://schemas.openxmlformats.org/officeDocument/2006/relationships/hyperlink" Target="https://www.google.com/maps/search/?api=1&amp;query=Healing+Hands+Chiropractic+Center%2C+1007+NW+4th+St%2C+Grand+Rapids%2C+MN+55744" TargetMode="External"/><Relationship Id="rId834" Type="http://schemas.openxmlformats.org/officeDocument/2006/relationships/hyperlink" Target="https://npiregistry.cms.hhs.gov/provider-view/1487341749" TargetMode="External"/><Relationship Id="rId876" Type="http://schemas.openxmlformats.org/officeDocument/2006/relationships/hyperlink" Target="https://npiregistry.cms.hhs.gov/provider-view/1477240521" TargetMode="External"/><Relationship Id="rId19" Type="http://schemas.openxmlformats.org/officeDocument/2006/relationships/hyperlink" Target="https://www.google.com/maps/search/?api=1&amp;query=Pdr+Coon+Rapids%2C+INC%2C+320+Coon+Rapids+Blvd+NW%2C+Coon+Rapids%2C+MN+55433" TargetMode="External"/><Relationship Id="rId224" Type="http://schemas.openxmlformats.org/officeDocument/2006/relationships/hyperlink" Target="https://npiregistry.cms.hhs.gov/provider-view/1487864906" TargetMode="External"/><Relationship Id="rId266" Type="http://schemas.openxmlformats.org/officeDocument/2006/relationships/hyperlink" Target="https://npiregistry.cms.hhs.gov/provider-view/1487505426" TargetMode="External"/><Relationship Id="rId431" Type="http://schemas.openxmlformats.org/officeDocument/2006/relationships/hyperlink" Target="https://www.google.com/maps/search/?api=1&amp;query=MN+Chiropractic+%26+Acupuncture%2C+PA%2C+970+Raymond+Ave%2C+St.+Paul%2C+MN+55114" TargetMode="External"/><Relationship Id="rId473" Type="http://schemas.openxmlformats.org/officeDocument/2006/relationships/hyperlink" Target="https://www.google.com/maps/search/?api=1&amp;query=Triage+Wellness+Institute+PA%2C+115+Old+Town+Rd%2C+Elko+New+Market%2C+MN+55054" TargetMode="External"/><Relationship Id="rId529" Type="http://schemas.openxmlformats.org/officeDocument/2006/relationships/hyperlink" Target="https://www.google.com/maps/search/?api=1&amp;query=Ascend+Sport+and+Spine%2C+PA%2C+2379+Windsor+Ln%2C+Woodbury%2C+MN+55125" TargetMode="External"/><Relationship Id="rId680" Type="http://schemas.openxmlformats.org/officeDocument/2006/relationships/hyperlink" Target="https://npiregistry.cms.hhs.gov/provider-view/1457441800" TargetMode="External"/><Relationship Id="rId736" Type="http://schemas.openxmlformats.org/officeDocument/2006/relationships/hyperlink" Target="https://npiregistry.cms.hhs.gov/provider-view/1265148480" TargetMode="External"/><Relationship Id="rId30" Type="http://schemas.openxmlformats.org/officeDocument/2006/relationships/hyperlink" Target="https://npiregistry.cms.hhs.gov/provider-view/1265953061" TargetMode="External"/><Relationship Id="rId126" Type="http://schemas.openxmlformats.org/officeDocument/2006/relationships/hyperlink" Target="https://npiregistry.cms.hhs.gov/provider-view/1467517953" TargetMode="External"/><Relationship Id="rId168" Type="http://schemas.openxmlformats.org/officeDocument/2006/relationships/hyperlink" Target="https://npiregistry.cms.hhs.gov/provider-view/1871432906" TargetMode="External"/><Relationship Id="rId333" Type="http://schemas.openxmlformats.org/officeDocument/2006/relationships/hyperlink" Target="https://www.google.com/maps/search/?api=1&amp;query=Gameday+Sport+and+Spine%2C+11545+K-Tel+Drive%2C+Minnetonka%2C+MN+55343" TargetMode="External"/><Relationship Id="rId540" Type="http://schemas.openxmlformats.org/officeDocument/2006/relationships/hyperlink" Target="https://npiregistry.cms.hhs.gov/provider-view/1538473152" TargetMode="External"/><Relationship Id="rId778" Type="http://schemas.openxmlformats.org/officeDocument/2006/relationships/hyperlink" Target="https://npiregistry.cms.hhs.gov/provider-view/1487453239" TargetMode="External"/><Relationship Id="rId72" Type="http://schemas.openxmlformats.org/officeDocument/2006/relationships/hyperlink" Target="https://npiregistry.cms.hhs.gov/provider-view/1982126926" TargetMode="External"/><Relationship Id="rId375" Type="http://schemas.openxmlformats.org/officeDocument/2006/relationships/hyperlink" Target="https://www.google.com/maps/search/?api=1&amp;query=Excelsior+and+Grand+Chiropractic%2C+5605+W+36th+St%2C+St.+Louis+Park%2C+MN+55416" TargetMode="External"/><Relationship Id="rId582" Type="http://schemas.openxmlformats.org/officeDocument/2006/relationships/hyperlink" Target="https://npiregistry.cms.hhs.gov/provider-view/1417108531" TargetMode="External"/><Relationship Id="rId638" Type="http://schemas.openxmlformats.org/officeDocument/2006/relationships/hyperlink" Target="https://npiregistry.cms.hhs.gov/provider-view/1356344451" TargetMode="External"/><Relationship Id="rId803" Type="http://schemas.openxmlformats.org/officeDocument/2006/relationships/hyperlink" Target="https://www.google.com/maps/search/?api=1&amp;query=Global+Family+Chiropractic+PLLC%2C+404+S+Main+St%2C+Zumbrota%2C+MN+55992" TargetMode="External"/><Relationship Id="rId845" Type="http://schemas.openxmlformats.org/officeDocument/2006/relationships/hyperlink" Target="https://www.google.com/maps/search/?api=1&amp;query=Great+River+Chiropractic+PLLC%2C+1215+Gilmore+Ave%2C+Winona%2C+MN+55987" TargetMode="External"/><Relationship Id="rId3" Type="http://schemas.openxmlformats.org/officeDocument/2006/relationships/hyperlink" Target="https://www.google.com/maps/search/?api=1&amp;query=7th+Avenue+Chiropractic%2C+3722+7th+Ave%2C+Anoka%2C+MN+55303" TargetMode="External"/><Relationship Id="rId235" Type="http://schemas.openxmlformats.org/officeDocument/2006/relationships/hyperlink" Target="https://www.google.com/maps/search/?api=1&amp;query=Edina+Family+Chiropractic%2C+LLC%2C+3925+W+50th+St%2C+Edina%2C+MN+55424" TargetMode="External"/><Relationship Id="rId277" Type="http://schemas.openxmlformats.org/officeDocument/2006/relationships/hyperlink" Target="https://www.google.com/maps/search/?api=1&amp;query=Chirocenter+INC.%2C+1865+W+Wayzata+Blvd%2C+Long+Lake%2C+MN+55356" TargetMode="External"/><Relationship Id="rId400" Type="http://schemas.openxmlformats.org/officeDocument/2006/relationships/hyperlink" Target="https://npiregistry.cms.hhs.gov/provider-view/1356454391" TargetMode="External"/><Relationship Id="rId442" Type="http://schemas.openxmlformats.org/officeDocument/2006/relationships/hyperlink" Target="https://npiregistry.cms.hhs.gov/provider-view/1255191474" TargetMode="External"/><Relationship Id="rId484" Type="http://schemas.openxmlformats.org/officeDocument/2006/relationships/hyperlink" Target="https://npiregistry.cms.hhs.gov/provider-view/1013933381" TargetMode="External"/><Relationship Id="rId705" Type="http://schemas.openxmlformats.org/officeDocument/2006/relationships/hyperlink" Target="https://www.google.com/maps/search/?api=1&amp;query=Local+Roots+Chiropractic+PLLC%2C+1406+Central+Ave+NE%2C+East+Grand+Forks%2C+MN+56721" TargetMode="External"/><Relationship Id="rId137" Type="http://schemas.openxmlformats.org/officeDocument/2006/relationships/hyperlink" Target="https://www.google.com/maps/search/?api=1&amp;query=Zero+Distance+Acupuncture+LLC%2C+5810+Blackshire+Path%2C+Inver+Grove+Heights%2C+MN+55076" TargetMode="External"/><Relationship Id="rId302" Type="http://schemas.openxmlformats.org/officeDocument/2006/relationships/hyperlink" Target="https://npiregistry.cms.hhs.gov/provider-view/1235456054" TargetMode="External"/><Relationship Id="rId344" Type="http://schemas.openxmlformats.org/officeDocument/2006/relationships/hyperlink" Target="https://npiregistry.cms.hhs.gov/provider-view/1710698477" TargetMode="External"/><Relationship Id="rId691" Type="http://schemas.openxmlformats.org/officeDocument/2006/relationships/hyperlink" Target="https://www.google.com/maps/search/?api=1&amp;query=Excel+North+Chiropractic+PA.%2C+4135+Richard+Ave%2C+Hermantown%2C+MN+55811" TargetMode="External"/><Relationship Id="rId747" Type="http://schemas.openxmlformats.org/officeDocument/2006/relationships/hyperlink" Target="https://www.google.com/maps/search/?api=1&amp;query=Eagle+Lake+Chiropractic%2C+PLLC%2C+213+Parkway+Ave%2C+Eagle+Lake%2C+MN+56024" TargetMode="External"/><Relationship Id="rId789" Type="http://schemas.openxmlformats.org/officeDocument/2006/relationships/hyperlink" Target="https://www.google.com/maps/search/?api=1&amp;query=Rising+Sun+Chiropractic%2C+PLC%2C+1520+S+Minnesota+Ave%2C+St.+Peter%2C+MN+56082" TargetMode="External"/><Relationship Id="rId41" Type="http://schemas.openxmlformats.org/officeDocument/2006/relationships/hyperlink" Target="https://www.google.com/maps/search/?api=1&amp;query=Meraki+Chiropractic+PLLC%2C+19201+Lake+George+Blvd%2C+Oak+Grove%2C+MN+55303" TargetMode="External"/><Relationship Id="rId83" Type="http://schemas.openxmlformats.org/officeDocument/2006/relationships/hyperlink" Target="https://www.google.com/maps/search/?api=1&amp;query=Heartlight+Chiropractic%2C+PA.%2C+2960+Judicial+Rd%2C+Burnsville%2C+MN+55337" TargetMode="External"/><Relationship Id="rId179" Type="http://schemas.openxmlformats.org/officeDocument/2006/relationships/hyperlink" Target="https://www.google.com/maps/search/?api=1&amp;query=Planet+Gratitude+Chiropractic%2C+220+W+98th+St%2C+Bloomington%2C+MN+55420" TargetMode="External"/><Relationship Id="rId386" Type="http://schemas.openxmlformats.org/officeDocument/2006/relationships/hyperlink" Target="https://npiregistry.cms.hhs.gov/provider-view/1154191377" TargetMode="External"/><Relationship Id="rId551" Type="http://schemas.openxmlformats.org/officeDocument/2006/relationships/hyperlink" Target="https://www.google.com/maps/search/?api=1&amp;query=Mobilize+Chiropractic+PLLC%2C+711+Morrison+Ave+S%2C+Annandale%2C+MN+55302" TargetMode="External"/><Relationship Id="rId593" Type="http://schemas.openxmlformats.org/officeDocument/2006/relationships/hyperlink" Target="https://www.google.com/maps/search/?api=1&amp;query=Allison+Zak%2C+DC.%2C+LLC%2C+72+E+Broadway%2C+Little+Falls%2C+MN+56345" TargetMode="External"/><Relationship Id="rId607" Type="http://schemas.openxmlformats.org/officeDocument/2006/relationships/hyperlink" Target="https://www.google.com/maps/search/?api=1&amp;query=Advantage+Chiropractic%2C+32+32nd+Ave+S%2C+St.+Cloud%2C+MN+56301" TargetMode="External"/><Relationship Id="rId649" Type="http://schemas.openxmlformats.org/officeDocument/2006/relationships/hyperlink" Target="https://www.google.com/maps/search/?api=1&amp;query=Smart+Chiropractic%2C+PA.%2C+19513+State+Highway+371%2C+Brainerd%2C+MN+56401" TargetMode="External"/><Relationship Id="rId814" Type="http://schemas.openxmlformats.org/officeDocument/2006/relationships/hyperlink" Target="https://npiregistry.cms.hhs.gov/provider-view/1093469397" TargetMode="External"/><Relationship Id="rId856" Type="http://schemas.openxmlformats.org/officeDocument/2006/relationships/hyperlink" Target="https://npiregistry.cms.hhs.gov/provider-view/1336667492" TargetMode="External"/><Relationship Id="rId190" Type="http://schemas.openxmlformats.org/officeDocument/2006/relationships/hyperlink" Target="https://npiregistry.cms.hhs.gov/provider-view/1285154542" TargetMode="External"/><Relationship Id="rId204" Type="http://schemas.openxmlformats.org/officeDocument/2006/relationships/hyperlink" Target="https://npiregistry.cms.hhs.gov/provider-view/1972264083" TargetMode="External"/><Relationship Id="rId246" Type="http://schemas.openxmlformats.org/officeDocument/2006/relationships/hyperlink" Target="https://npiregistry.cms.hhs.gov/provider-view/1023880911" TargetMode="External"/><Relationship Id="rId288" Type="http://schemas.openxmlformats.org/officeDocument/2006/relationships/hyperlink" Target="https://npiregistry.cms.hhs.gov/provider-view/1578483848" TargetMode="External"/><Relationship Id="rId411" Type="http://schemas.openxmlformats.org/officeDocument/2006/relationships/hyperlink" Target="https://www.google.com/maps/search/?api=1&amp;query=Back+To+Wellness+Chiropractic+and+Nutrition%2C+1173+7th+St+W%2C+St.+Paul%2C+MN+55102" TargetMode="External"/><Relationship Id="rId453" Type="http://schemas.openxmlformats.org/officeDocument/2006/relationships/hyperlink" Target="https://www.google.com/maps/search/?api=1&amp;query=Twin+Cities+Headache+%26+Neck%2C+LTD.%2C+245+Ruth+St+N%2C+St.+Paul%2C+MN+55119" TargetMode="External"/><Relationship Id="rId509" Type="http://schemas.openxmlformats.org/officeDocument/2006/relationships/hyperlink" Target="https://www.google.com/maps/search/?api=1&amp;query=Wildwood+Wellness+LLC%2C+744+Wildwood+Rd%2C+Mahtomedi%2C+MN+55115" TargetMode="External"/><Relationship Id="rId660" Type="http://schemas.openxmlformats.org/officeDocument/2006/relationships/hyperlink" Target="https://npiregistry.cms.hhs.gov/provider-view/1417358490" TargetMode="External"/><Relationship Id="rId106" Type="http://schemas.openxmlformats.org/officeDocument/2006/relationships/hyperlink" Target="https://npiregistry.cms.hhs.gov/provider-view/1457081275" TargetMode="External"/><Relationship Id="rId313" Type="http://schemas.openxmlformats.org/officeDocument/2006/relationships/hyperlink" Target="https://www.google.com/maps/search/?api=1&amp;query=Millennium+Chiropractic+Clinic%2C+2722+Park+Ave%2C+Minneapolis%2C+MN+55407" TargetMode="External"/><Relationship Id="rId495" Type="http://schemas.openxmlformats.org/officeDocument/2006/relationships/hyperlink" Target="https://www.google.com/maps/search/?api=1&amp;query=Momentum+Health+and+Wellness+Minnesota%2C+PLLC.%2C+231+Main+St+NW%2C+Elk+River%2C+MN+55330" TargetMode="External"/><Relationship Id="rId716" Type="http://schemas.openxmlformats.org/officeDocument/2006/relationships/hyperlink" Target="https://npiregistry.cms.hhs.gov/provider-view/1114028503" TargetMode="External"/><Relationship Id="rId758" Type="http://schemas.openxmlformats.org/officeDocument/2006/relationships/hyperlink" Target="https://npiregistry.cms.hhs.gov/provider-view/1225230337" TargetMode="External"/><Relationship Id="rId10" Type="http://schemas.openxmlformats.org/officeDocument/2006/relationships/hyperlink" Target="https://npiregistry.cms.hhs.gov/provider-view/1376759589" TargetMode="External"/><Relationship Id="rId52" Type="http://schemas.openxmlformats.org/officeDocument/2006/relationships/hyperlink" Target="https://npiregistry.cms.hhs.gov/provider-view/1861317349" TargetMode="External"/><Relationship Id="rId94" Type="http://schemas.openxmlformats.org/officeDocument/2006/relationships/hyperlink" Target="https://npiregistry.cms.hhs.gov/provider-view/1750871372" TargetMode="External"/><Relationship Id="rId148" Type="http://schemas.openxmlformats.org/officeDocument/2006/relationships/hyperlink" Target="https://npiregistry.cms.hhs.gov/provider-view/1669281341" TargetMode="External"/><Relationship Id="rId355" Type="http://schemas.openxmlformats.org/officeDocument/2006/relationships/hyperlink" Target="https://www.google.com/maps/search/?api=1&amp;query=Ibackcheck+Sport+Therapy%2C+3650+Plymouth+Blvd%2C+Plymouth%2C+MN+55446" TargetMode="External"/><Relationship Id="rId397" Type="http://schemas.openxmlformats.org/officeDocument/2006/relationships/hyperlink" Target="https://www.google.com/maps/search/?api=1&amp;query=Johnson+Spine+and+Joint+PLLC%2C+1636+Gervais+Ave%2C+Maplewood%2C+MN+55109" TargetMode="External"/><Relationship Id="rId520" Type="http://schemas.openxmlformats.org/officeDocument/2006/relationships/hyperlink" Target="https://npiregistry.cms.hhs.gov/provider-view/1770398059" TargetMode="External"/><Relationship Id="rId562" Type="http://schemas.openxmlformats.org/officeDocument/2006/relationships/hyperlink" Target="https://npiregistry.cms.hhs.gov/provider-view/1972426799" TargetMode="External"/><Relationship Id="rId618" Type="http://schemas.openxmlformats.org/officeDocument/2006/relationships/hyperlink" Target="https://npiregistry.cms.hhs.gov/provider-view/1760185128" TargetMode="External"/><Relationship Id="rId825" Type="http://schemas.openxmlformats.org/officeDocument/2006/relationships/hyperlink" Target="https://www.google.com/maps/search/?api=1&amp;query=Maxfield+Family+Chiropractic%2C+3456+E+Circle+Dr+NE%2C+Rochester%2C+MN+55906" TargetMode="External"/><Relationship Id="rId215" Type="http://schemas.openxmlformats.org/officeDocument/2006/relationships/hyperlink" Target="https://www.google.com/maps/search/?api=1&amp;query=Institute+For+Orthopedics+%26+Chiropractic%2C+PLLC%2C+6545+Flying+Cloud+Dr%2C+Eden+Prairie%2C+MN+55344" TargetMode="External"/><Relationship Id="rId257" Type="http://schemas.openxmlformats.org/officeDocument/2006/relationships/hyperlink" Target="https://www.google.com/maps/search/?api=1&amp;query=Statera+Health+PLLC%2C+4820+77th+St+W%2C+Edina%2C+MN+55435" TargetMode="External"/><Relationship Id="rId422" Type="http://schemas.openxmlformats.org/officeDocument/2006/relationships/hyperlink" Target="https://npiregistry.cms.hhs.gov/provider-view/1104021435" TargetMode="External"/><Relationship Id="rId464" Type="http://schemas.openxmlformats.org/officeDocument/2006/relationships/hyperlink" Target="https://npiregistry.cms.hhs.gov/provider-view/1851525893" TargetMode="External"/><Relationship Id="rId867" Type="http://schemas.openxmlformats.org/officeDocument/2006/relationships/hyperlink" Target="https://www.google.com/maps/search/?api=1&amp;query=Functional+Health+and+Wellness%2C+906+3rd+Ave%2C+Worthington%2C+MN+56187" TargetMode="External"/><Relationship Id="rId299" Type="http://schemas.openxmlformats.org/officeDocument/2006/relationships/hyperlink" Target="https://www.google.com/maps/search/?api=1&amp;query=Core+Lifestyle+Clinic%2C+2837+Lyndale+Ave+S%2C+Minneapolis%2C+MN+55408" TargetMode="External"/><Relationship Id="rId727" Type="http://schemas.openxmlformats.org/officeDocument/2006/relationships/hyperlink" Target="https://www.google.com/maps/search/?api=1&amp;query=West+Central+Chiropractic+%26+Wellness%2C+LLC%2C+123+3rd+Ave.+E%2C+Alexandria%2C+MN+56308" TargetMode="External"/><Relationship Id="rId63" Type="http://schemas.openxmlformats.org/officeDocument/2006/relationships/hyperlink" Target="https://www.google.com/maps/search/?api=1&amp;query=Watertown+Family+Chiropractic%2C+204+Lewis+Ave+S%2C+Watertown%2C+MN+55388" TargetMode="External"/><Relationship Id="rId159" Type="http://schemas.openxmlformats.org/officeDocument/2006/relationships/hyperlink" Target="https://www.google.com/maps/search/?api=1&amp;query=Healthpro+Chiropractic+PC%2C+2930+146th+St+W%2C+Rosemount%2C+MN+55068" TargetMode="External"/><Relationship Id="rId366" Type="http://schemas.openxmlformats.org/officeDocument/2006/relationships/hyperlink" Target="https://npiregistry.cms.hhs.gov/provider-view/1568302867" TargetMode="External"/><Relationship Id="rId573" Type="http://schemas.openxmlformats.org/officeDocument/2006/relationships/hyperlink" Target="https://www.google.com/maps/search/?api=1&amp;query=Ripple+Health+Clinic%2C+9000+Quantrelle+Ave+NE%2C+Otsego%2C+MN+55330" TargetMode="External"/><Relationship Id="rId780" Type="http://schemas.openxmlformats.org/officeDocument/2006/relationships/hyperlink" Target="https://npiregistry.cms.hhs.gov/provider-view/1871915421" TargetMode="External"/><Relationship Id="rId226" Type="http://schemas.openxmlformats.org/officeDocument/2006/relationships/hyperlink" Target="https://npiregistry.cms.hhs.gov/provider-view/1336650043" TargetMode="External"/><Relationship Id="rId433" Type="http://schemas.openxmlformats.org/officeDocument/2006/relationships/hyperlink" Target="https://www.google.com/maps/search/?api=1&amp;query=Mounds+View+Chiropractic%2C+PA%2C+5372+Edgewood+Dr%2C+St.+Paul%2C+MN+55112" TargetMode="External"/><Relationship Id="rId878" Type="http://schemas.openxmlformats.org/officeDocument/2006/relationships/hyperlink" Target="https://npiregistry.cms.hhs.gov/provider-view/1093426462" TargetMode="External"/><Relationship Id="rId640" Type="http://schemas.openxmlformats.org/officeDocument/2006/relationships/hyperlink" Target="https://npiregistry.cms.hhs.gov/provider-view/1891857959" TargetMode="External"/><Relationship Id="rId738" Type="http://schemas.openxmlformats.org/officeDocument/2006/relationships/hyperlink" Target="https://npiregistry.cms.hhs.gov/provider-view/1881849040" TargetMode="External"/><Relationship Id="rId74" Type="http://schemas.openxmlformats.org/officeDocument/2006/relationships/hyperlink" Target="https://npiregistry.cms.hhs.gov/provider-view/1285711663" TargetMode="External"/><Relationship Id="rId377" Type="http://schemas.openxmlformats.org/officeDocument/2006/relationships/hyperlink" Target="https://www.google.com/maps/search/?api=1&amp;query=Premier+Health+of+St.+Louis+Park%2C+5050+W+36th+St%2C+St.+Louis+Park%2C+MN+55416" TargetMode="External"/><Relationship Id="rId500" Type="http://schemas.openxmlformats.org/officeDocument/2006/relationships/hyperlink" Target="https://npiregistry.cms.hhs.gov/provider-view/1699294645" TargetMode="External"/><Relationship Id="rId584" Type="http://schemas.openxmlformats.org/officeDocument/2006/relationships/hyperlink" Target="https://npiregistry.cms.hhs.gov/provider-view/1942932264" TargetMode="External"/><Relationship Id="rId805" Type="http://schemas.openxmlformats.org/officeDocument/2006/relationships/hyperlink" Target="https://www.google.com/maps/search/?api=1&amp;query=Your+Family+Healthcare%2C+89+W+9th+St%2C+Zumbrota%2C+MN+55992" TargetMode="External"/><Relationship Id="rId5" Type="http://schemas.openxmlformats.org/officeDocument/2006/relationships/hyperlink" Target="https://www.google.com/maps/search/?api=1&amp;query=Kuss+Chiropractic%2C+440+Bunker+Lake+Blvd+NW%2C+Anoka%2C+MN+55303" TargetMode="External"/><Relationship Id="rId237" Type="http://schemas.openxmlformats.org/officeDocument/2006/relationships/hyperlink" Target="https://www.google.com/maps/search/?api=1&amp;query=Evexia+Metabolic+Health+and+Longevity+Clinic%2C+7200+Metro+Blvd%2C+Edina%2C+MN+55439" TargetMode="External"/><Relationship Id="rId791" Type="http://schemas.openxmlformats.org/officeDocument/2006/relationships/hyperlink" Target="https://www.google.com/maps/search/?api=1&amp;query=Progressive+Chiropractic%2C+422+Railroad+Ave%2C+St.+James%2C+MN+56081" TargetMode="External"/><Relationship Id="rId444" Type="http://schemas.openxmlformats.org/officeDocument/2006/relationships/hyperlink" Target="https://npiregistry.cms.hhs.gov/provider-view/1467233478" TargetMode="External"/><Relationship Id="rId651" Type="http://schemas.openxmlformats.org/officeDocument/2006/relationships/hyperlink" Target="https://www.google.com/maps/search/?api=1&amp;query=Garrison+Family+Chiropractic%2C+27180+Allen+Rd%2C+Garrison%2C+MN+56450" TargetMode="External"/><Relationship Id="rId749" Type="http://schemas.openxmlformats.org/officeDocument/2006/relationships/hyperlink" Target="https://www.google.com/maps/search/?api=1&amp;query=Freedom+Health+Center+of+Minnesota+PLLC%2C+1635+N+Riverfront+Dr%2C+Mankato%2C+MN+56001" TargetMode="External"/><Relationship Id="rId290" Type="http://schemas.openxmlformats.org/officeDocument/2006/relationships/hyperlink" Target="https://npiregistry.cms.hhs.gov/provider-view/1043964471" TargetMode="External"/><Relationship Id="rId304" Type="http://schemas.openxmlformats.org/officeDocument/2006/relationships/hyperlink" Target="https://npiregistry.cms.hhs.gov/provider-view/1023845211" TargetMode="External"/><Relationship Id="rId388" Type="http://schemas.openxmlformats.org/officeDocument/2006/relationships/hyperlink" Target="https://npiregistry.cms.hhs.gov/provider-view/1083785679" TargetMode="External"/><Relationship Id="rId511" Type="http://schemas.openxmlformats.org/officeDocument/2006/relationships/hyperlink" Target="https://www.google.com/maps/search/?api=1&amp;query=Weierke+Chiropractic+PA%2C+303+21st+St%2C+Newport%2C+MN+55055" TargetMode="External"/><Relationship Id="rId609" Type="http://schemas.openxmlformats.org/officeDocument/2006/relationships/hyperlink" Target="https://www.google.com/maps/search/?api=1&amp;query=Hjort+Chiropractic%2C+PA.%2C+3700+W+Division+St%2C+St.+Cloud%2C+MN+56301" TargetMode="External"/><Relationship Id="rId85" Type="http://schemas.openxmlformats.org/officeDocument/2006/relationships/hyperlink" Target="https://www.google.com/maps/search/?api=1&amp;query=Heartlight+Chiropractic%2C+PA.%2C+13955+W+Preserve+Blvd%2C+Burnsville%2C+MN+55337" TargetMode="External"/><Relationship Id="rId150" Type="http://schemas.openxmlformats.org/officeDocument/2006/relationships/hyperlink" Target="https://npiregistry.cms.hhs.gov/provider-view/1306555719" TargetMode="External"/><Relationship Id="rId595" Type="http://schemas.openxmlformats.org/officeDocument/2006/relationships/hyperlink" Target="https://www.google.com/maps/search/?api=1&amp;query=Healthsource+of+Little+Falls%2C+109+5th+St+NE%2C+Little+Falls%2C+MN+56345" TargetMode="External"/><Relationship Id="rId816" Type="http://schemas.openxmlformats.org/officeDocument/2006/relationships/hyperlink" Target="https://npiregistry.cms.hhs.gov/provider-view/1487127197" TargetMode="External"/><Relationship Id="rId248" Type="http://schemas.openxmlformats.org/officeDocument/2006/relationships/hyperlink" Target="https://npiregistry.cms.hhs.gov/provider-view/1538925292" TargetMode="External"/><Relationship Id="rId455" Type="http://schemas.openxmlformats.org/officeDocument/2006/relationships/hyperlink" Target="https://www.google.com/maps/search/?api=1&amp;query=United+Family+Chiropractic+LLC%2C+995+University+Ave+W%2C+St.+Paul%2C+MN+55104" TargetMode="External"/><Relationship Id="rId662" Type="http://schemas.openxmlformats.org/officeDocument/2006/relationships/hyperlink" Target="https://npiregistry.cms.hhs.gov/provider-view/1558513879" TargetMode="External"/><Relationship Id="rId12" Type="http://schemas.openxmlformats.org/officeDocument/2006/relationships/hyperlink" Target="https://npiregistry.cms.hhs.gov/provider-view/1427447432" TargetMode="External"/><Relationship Id="rId108" Type="http://schemas.openxmlformats.org/officeDocument/2006/relationships/hyperlink" Target="https://npiregistry.cms.hhs.gov/provider-view/1447901996" TargetMode="External"/><Relationship Id="rId315" Type="http://schemas.openxmlformats.org/officeDocument/2006/relationships/hyperlink" Target="https://www.google.com/maps/search/?api=1&amp;query=Northeast+Chiropractic+PLLC%2C+34+13th+Ave+NE%2C+Minneapolis%2C+MN+55413" TargetMode="External"/><Relationship Id="rId522" Type="http://schemas.openxmlformats.org/officeDocument/2006/relationships/hyperlink" Target="https://npiregistry.cms.hhs.gov/provider-view/1184823890" TargetMode="External"/><Relationship Id="rId96" Type="http://schemas.openxmlformats.org/officeDocument/2006/relationships/hyperlink" Target="https://npiregistry.cms.hhs.gov/provider-view/1871212951" TargetMode="External"/><Relationship Id="rId161" Type="http://schemas.openxmlformats.org/officeDocument/2006/relationships/hyperlink" Target="https://www.google.com/maps/search/?api=1&amp;query=Nielson+Family+Chiropractic+PLLC%2C+14450+S+Robert+Trl%2C+Rosemount%2C+MN+55068" TargetMode="External"/><Relationship Id="rId399" Type="http://schemas.openxmlformats.org/officeDocument/2006/relationships/hyperlink" Target="https://www.google.com/maps/search/?api=1&amp;query=Pdr+Maplewood%2C+INC%2C+2520+White+Bear+Ave+N%2C+Maplewood%2C+MN+55109" TargetMode="External"/><Relationship Id="rId827" Type="http://schemas.openxmlformats.org/officeDocument/2006/relationships/hyperlink" Target="https://www.google.com/maps/search/?api=1&amp;query=Nevsimal+Chiropractic+LLC%2C+2150+2nd+St+SW%2C+Rochester%2C+MN+55902" TargetMode="External"/><Relationship Id="rId259" Type="http://schemas.openxmlformats.org/officeDocument/2006/relationships/hyperlink" Target="https://www.google.com/maps/search/?api=1&amp;query=Transcend+Chiropractic+%26+Wellness%2C+PLLC%2C+3209+W+76th+St%2C+Edina%2C+MN+55435" TargetMode="External"/><Relationship Id="rId466" Type="http://schemas.openxmlformats.org/officeDocument/2006/relationships/hyperlink" Target="https://npiregistry.cms.hhs.gov/provider-view/1548068968" TargetMode="External"/><Relationship Id="rId673" Type="http://schemas.openxmlformats.org/officeDocument/2006/relationships/hyperlink" Target="https://www.google.com/maps/search/?api=1&amp;query=North+Lakes+Chiropractic%2C+1200+S+Pokegama+Ave%2C+Grand+Rapids%2C+MN+55744" TargetMode="External"/><Relationship Id="rId880" Type="http://schemas.openxmlformats.org/officeDocument/2006/relationships/hyperlink" Target="https://npiregistry.cms.hhs.gov/provider-view/1144523929" TargetMode="External"/><Relationship Id="rId23" Type="http://schemas.openxmlformats.org/officeDocument/2006/relationships/hyperlink" Target="https://www.google.com/maps/search/?api=1&amp;query=Rooted+In+Wellness+Chiropractic+LLC%2C+20730+Hamlet+Ave+N%2C+Forest+Lake%2C+MN+55025" TargetMode="External"/><Relationship Id="rId119" Type="http://schemas.openxmlformats.org/officeDocument/2006/relationships/hyperlink" Target="https://www.google.com/maps/search/?api=1&amp;query=Healthpro+Chiropractic+PC%2C+19685+Pilot+Knob+Rd%2C+Farmington%2C+MN+55024" TargetMode="External"/><Relationship Id="rId326" Type="http://schemas.openxmlformats.org/officeDocument/2006/relationships/hyperlink" Target="https://npiregistry.cms.hhs.gov/provider-view/1447174081" TargetMode="External"/><Relationship Id="rId533" Type="http://schemas.openxmlformats.org/officeDocument/2006/relationships/hyperlink" Target="https://www.google.com/maps/search/?api=1&amp;query=Brain+Balance+of+Woodbury%2C+700+Commerce+Dr%2C+Woodbury%2C+MN+55125" TargetMode="External"/><Relationship Id="rId740" Type="http://schemas.openxmlformats.org/officeDocument/2006/relationships/hyperlink" Target="https://npiregistry.cms.hhs.gov/provider-view/1972519528" TargetMode="External"/><Relationship Id="rId838" Type="http://schemas.openxmlformats.org/officeDocument/2006/relationships/hyperlink" Target="https://npiregistry.cms.hhs.gov/provider-view/1699974006" TargetMode="External"/><Relationship Id="rId172" Type="http://schemas.openxmlformats.org/officeDocument/2006/relationships/hyperlink" Target="https://npiregistry.cms.hhs.gov/provider-view/1003751603" TargetMode="External"/><Relationship Id="rId477" Type="http://schemas.openxmlformats.org/officeDocument/2006/relationships/hyperlink" Target="https://www.google.com/maps/search/?api=1&amp;query=Domier+Chiropractic%2C+PLLC%2C+16180+Hastings+Ave+SE%2C+Prior+Lake%2C+MN+55372" TargetMode="External"/><Relationship Id="rId600" Type="http://schemas.openxmlformats.org/officeDocument/2006/relationships/hyperlink" Target="https://npiregistry.cms.hhs.gov/provider-view/1790772259" TargetMode="External"/><Relationship Id="rId684" Type="http://schemas.openxmlformats.org/officeDocument/2006/relationships/hyperlink" Target="https://npiregistry.cms.hhs.gov/provider-view/1558702894" TargetMode="External"/><Relationship Id="rId337" Type="http://schemas.openxmlformats.org/officeDocument/2006/relationships/hyperlink" Target="https://www.google.com/maps/search/?api=1&amp;query=Sundial+Chiropractic+PLLC.%2C+5757+Sanibel+Dr%2C+Minnetonka%2C+MN+55343" TargetMode="External"/><Relationship Id="rId34" Type="http://schemas.openxmlformats.org/officeDocument/2006/relationships/hyperlink" Target="https://npiregistry.cms.hhs.gov/provider-view/1881795961" TargetMode="External"/><Relationship Id="rId544" Type="http://schemas.openxmlformats.org/officeDocument/2006/relationships/hyperlink" Target="https://npiregistry.cms.hhs.gov/provider-view/1932325578" TargetMode="External"/><Relationship Id="rId751" Type="http://schemas.openxmlformats.org/officeDocument/2006/relationships/hyperlink" Target="https://www.google.com/maps/search/?api=1&amp;query=Healthsource+of+Mankato%2C+1400+Madison+Ave%2C+Mankato%2C+MN+56001" TargetMode="External"/><Relationship Id="rId849" Type="http://schemas.openxmlformats.org/officeDocument/2006/relationships/hyperlink" Target="https://www.google.com/maps/search/?api=1&amp;query=Big+Stone+Chiropractic+Health+Center+PC%2C+16+2nd+St+NW%2C+Ortonville%2C+MN+56278" TargetMode="External"/><Relationship Id="rId183" Type="http://schemas.openxmlformats.org/officeDocument/2006/relationships/hyperlink" Target="https://www.google.com/maps/search/?api=1&amp;query=Wellness+Centers%2C+PLLC%2C+11133+France+Ave+S%2C+Bloomington%2C+MN+55431" TargetMode="External"/><Relationship Id="rId390" Type="http://schemas.openxmlformats.org/officeDocument/2006/relationships/hyperlink" Target="https://npiregistry.cms.hhs.gov/provider-view/1609790807" TargetMode="External"/><Relationship Id="rId404" Type="http://schemas.openxmlformats.org/officeDocument/2006/relationships/hyperlink" Target="https://npiregistry.cms.hhs.gov/provider-view/1194496471" TargetMode="External"/><Relationship Id="rId611" Type="http://schemas.openxmlformats.org/officeDocument/2006/relationships/hyperlink" Target="https://www.google.com/maps/search/?api=1&amp;query=Wellness+Way+St+Cloud+LLC%2C+3400+1st+St+N%2C+St.+Cloud%2C+MN+56303" TargetMode="External"/><Relationship Id="rId250" Type="http://schemas.openxmlformats.org/officeDocument/2006/relationships/hyperlink" Target="https://npiregistry.cms.hhs.gov/provider-view/1780547406" TargetMode="External"/><Relationship Id="rId488" Type="http://schemas.openxmlformats.org/officeDocument/2006/relationships/hyperlink" Target="https://npiregistry.cms.hhs.gov/provider-view/1508984105" TargetMode="External"/><Relationship Id="rId695" Type="http://schemas.openxmlformats.org/officeDocument/2006/relationships/hyperlink" Target="https://www.google.com/maps/search/?api=1&amp;query=Karlstad+Family+Chiropractic%2C+205+Roosevelt+Ave+W%2C+Karlstad%2C+MN+56732" TargetMode="External"/><Relationship Id="rId709" Type="http://schemas.openxmlformats.org/officeDocument/2006/relationships/hyperlink" Target="https://www.google.com/maps/search/?api=1&amp;query=Family+Chiropractic+Center%2C+1013+3rd+St+NE%2C+Roseau%2C+MN+56751" TargetMode="External"/><Relationship Id="rId45" Type="http://schemas.openxmlformats.org/officeDocument/2006/relationships/hyperlink" Target="https://www.google.com/maps/search/?api=1&amp;query=St+Lukes+Chiropractic%2C+3220+Bridge+St+NW%2C+St.+Francis%2C+MN+55070" TargetMode="External"/><Relationship Id="rId110" Type="http://schemas.openxmlformats.org/officeDocument/2006/relationships/hyperlink" Target="https://npiregistry.cms.hhs.gov/provider-view/1912833070" TargetMode="External"/><Relationship Id="rId348" Type="http://schemas.openxmlformats.org/officeDocument/2006/relationships/hyperlink" Target="https://npiregistry.cms.hhs.gov/provider-view/1467736231" TargetMode="External"/><Relationship Id="rId555" Type="http://schemas.openxmlformats.org/officeDocument/2006/relationships/hyperlink" Target="https://www.google.com/maps/search/?api=1&amp;query=Freedom+Chiropractic+PC%2C+1111+Highway+25+N%2C+Buffalo%2C+MN+55313" TargetMode="External"/><Relationship Id="rId762" Type="http://schemas.openxmlformats.org/officeDocument/2006/relationships/hyperlink" Target="https://npiregistry.cms.hhs.gov/provider-view/1336830678" TargetMode="External"/><Relationship Id="rId194" Type="http://schemas.openxmlformats.org/officeDocument/2006/relationships/hyperlink" Target="https://npiregistry.cms.hhs.gov/provider-view/1912147281" TargetMode="External"/><Relationship Id="rId208" Type="http://schemas.openxmlformats.org/officeDocument/2006/relationships/hyperlink" Target="https://npiregistry.cms.hhs.gov/provider-view/1043929813" TargetMode="External"/><Relationship Id="rId415" Type="http://schemas.openxmlformats.org/officeDocument/2006/relationships/hyperlink" Target="https://www.google.com/maps/search/?api=1&amp;query=Cathedral+Hill+Chiropractic%2C+400+Selby+Ave%2C+St.+Paul%2C+MN+55102" TargetMode="External"/><Relationship Id="rId622" Type="http://schemas.openxmlformats.org/officeDocument/2006/relationships/hyperlink" Target="https://npiregistry.cms.hhs.gov/provider-view/1780681437" TargetMode="External"/><Relationship Id="rId261" Type="http://schemas.openxmlformats.org/officeDocument/2006/relationships/hyperlink" Target="https://www.google.com/maps/search/?api=1&amp;query=Zen+Healing+Center%2C+4570+West+77th+Street%2C+Edina%2C+MN+55435" TargetMode="External"/><Relationship Id="rId499" Type="http://schemas.openxmlformats.org/officeDocument/2006/relationships/hyperlink" Target="https://www.google.com/maps/search/?api=1&amp;query=Tune+Chiropractic+LTD%2C+18336+Joplin+St+NW%2C+Elk+River%2C+MN+55330" TargetMode="External"/><Relationship Id="rId56" Type="http://schemas.openxmlformats.org/officeDocument/2006/relationships/hyperlink" Target="https://npiregistry.cms.hhs.gov/provider-view/1215773049" TargetMode="External"/><Relationship Id="rId359" Type="http://schemas.openxmlformats.org/officeDocument/2006/relationships/hyperlink" Target="https://www.google.com/maps/search/?api=1&amp;query=Plymouth+Chirocenter+LLC%2C+3900+Vinewood+Ln+N%2C+Plymouth%2C+MN+55441" TargetMode="External"/><Relationship Id="rId566" Type="http://schemas.openxmlformats.org/officeDocument/2006/relationships/hyperlink" Target="https://npiregistry.cms.hhs.gov/provider-view/1417273665" TargetMode="External"/><Relationship Id="rId773" Type="http://schemas.openxmlformats.org/officeDocument/2006/relationships/hyperlink" Target="https://www.google.com/maps/search/?api=1&amp;query=Swea+City+Chiropractic+PLLC%2C+1+Main+St+N%2C+Winnebago%2C+MN+56098" TargetMode="External"/><Relationship Id="rId121" Type="http://schemas.openxmlformats.org/officeDocument/2006/relationships/hyperlink" Target="https://www.google.com/maps/search/?api=1&amp;query=Hastings+Sport+and+Spine+LLC%2C+1806+Vermillion+St%2C+Hastings%2C+MN+55033" TargetMode="External"/><Relationship Id="rId219" Type="http://schemas.openxmlformats.org/officeDocument/2006/relationships/hyperlink" Target="https://www.google.com/maps/search/?api=1&amp;query=Midwest+Chiropractic+and+Wellness%2C+8941+Aztec+Dr%2C+Eden+Prairie%2C+MN+55347" TargetMode="External"/><Relationship Id="rId426" Type="http://schemas.openxmlformats.org/officeDocument/2006/relationships/hyperlink" Target="https://npiregistry.cms.hhs.gov/provider-view/1558208033" TargetMode="External"/><Relationship Id="rId633" Type="http://schemas.openxmlformats.org/officeDocument/2006/relationships/hyperlink" Target="https://www.google.com/maps/search/?api=1&amp;query=Blackduck+Chiropractic%2C+LLC%2C+22388+Blackduck+Lake+Rd+NE%2C+Blackduck%2C+MN+56630" TargetMode="External"/><Relationship Id="rId840" Type="http://schemas.openxmlformats.org/officeDocument/2006/relationships/hyperlink" Target="https://npiregistry.cms.hhs.gov/provider-view/1821337577" TargetMode="External"/><Relationship Id="rId67" Type="http://schemas.openxmlformats.org/officeDocument/2006/relationships/hyperlink" Target="https://www.google.com/maps/search/?api=1&amp;query=Revive+Chiropractic%2C+6272+Main+St%2C+North+Branch%2C+MN+55056" TargetMode="External"/><Relationship Id="rId272" Type="http://schemas.openxmlformats.org/officeDocument/2006/relationships/hyperlink" Target="https://npiregistry.cms.hhs.gov/provider-view/1922733500" TargetMode="External"/><Relationship Id="rId577" Type="http://schemas.openxmlformats.org/officeDocument/2006/relationships/hyperlink" Target="https://www.google.com/maps/search/?api=1&amp;query=Natural+Touch+Chiropractic+and+Wellness%2C+PLLC%2C+1250+Highway+15+S%2C+Hutchinson%2C+MN+55350" TargetMode="External"/><Relationship Id="rId700" Type="http://schemas.openxmlformats.org/officeDocument/2006/relationships/hyperlink" Target="https://npiregistry.cms.hhs.gov/provider-view/1144401514" TargetMode="External"/><Relationship Id="rId132" Type="http://schemas.openxmlformats.org/officeDocument/2006/relationships/hyperlink" Target="https://npiregistry.cms.hhs.gov/provider-view/1578375630" TargetMode="External"/><Relationship Id="rId784" Type="http://schemas.openxmlformats.org/officeDocument/2006/relationships/hyperlink" Target="https://npiregistry.cms.hhs.gov/provider-view/1215638051" TargetMode="External"/><Relationship Id="rId437" Type="http://schemas.openxmlformats.org/officeDocument/2006/relationships/hyperlink" Target="https://www.google.com/maps/search/?api=1&amp;query=Premier+Health+of+West+Saint+Paul+LTD%2C+205+Cesar+Chavez+St%2C+St.+Paul%2C+MN+55107" TargetMode="External"/><Relationship Id="rId644" Type="http://schemas.openxmlformats.org/officeDocument/2006/relationships/hyperlink" Target="https://npiregistry.cms.hhs.gov/provider-view/1578664660" TargetMode="External"/><Relationship Id="rId851" Type="http://schemas.openxmlformats.org/officeDocument/2006/relationships/hyperlink" Target="https://www.google.com/maps/search/?api=1&amp;query=Ambient+Chiropractic+PA%2C+2302+E+Highway+7%2C+Montevideo%2C+MN+56265" TargetMode="External"/><Relationship Id="rId283" Type="http://schemas.openxmlformats.org/officeDocument/2006/relationships/hyperlink" Target="https://www.google.com/maps/search/?api=1&amp;query=Restore+Chiropractic+LLC%2C+15507+Grove+Cir+N%2C+Maple+Grove%2C+MN+55369" TargetMode="External"/><Relationship Id="rId490" Type="http://schemas.openxmlformats.org/officeDocument/2006/relationships/hyperlink" Target="https://npiregistry.cms.hhs.gov/provider-view/1457156366" TargetMode="External"/><Relationship Id="rId504" Type="http://schemas.openxmlformats.org/officeDocument/2006/relationships/hyperlink" Target="https://npiregistry.cms.hhs.gov/provider-view/1851702237" TargetMode="External"/><Relationship Id="rId711" Type="http://schemas.openxmlformats.org/officeDocument/2006/relationships/hyperlink" Target="https://www.google.com/maps/search/?api=1&amp;query=True+Wellness+Chiropractic+%26+Acupuncture+PC%2C+421+Front+St+S%2C+Barnesville%2C+MN+56514" TargetMode="External"/><Relationship Id="rId78" Type="http://schemas.openxmlformats.org/officeDocument/2006/relationships/hyperlink" Target="https://npiregistry.cms.hhs.gov/provider-view/1417075532" TargetMode="External"/><Relationship Id="rId143" Type="http://schemas.openxmlformats.org/officeDocument/2006/relationships/hyperlink" Target="https://www.google.com/maps/search/?api=1&amp;query=Lakeville+Integrated+Health+Clinic+INC.%2C+16283+Ipava+Ave%2C+Lakeville%2C+MN+55044" TargetMode="External"/><Relationship Id="rId350" Type="http://schemas.openxmlformats.org/officeDocument/2006/relationships/hyperlink" Target="https://npiregistry.cms.hhs.gov/provider-view/1568679264" TargetMode="External"/><Relationship Id="rId588" Type="http://schemas.openxmlformats.org/officeDocument/2006/relationships/hyperlink" Target="https://npiregistry.cms.hhs.gov/provider-view/1740816941" TargetMode="External"/><Relationship Id="rId795" Type="http://schemas.openxmlformats.org/officeDocument/2006/relationships/hyperlink" Target="https://www.google.com/maps/search/?api=1&amp;query=Chatfield+Family+Chiropractic+LLC%2C+119+Main+St+S%2C+Chatfield%2C+MN+55923" TargetMode="External"/><Relationship Id="rId809" Type="http://schemas.openxmlformats.org/officeDocument/2006/relationships/hyperlink" Target="https://www.google.com/maps/search/?api=1&amp;query=Rocky+Mountain+Spine+and+Sport+PLLC%2C+734+N+4th+St%2C+La+Crescent%2C+MN+55947" TargetMode="External"/><Relationship Id="rId9" Type="http://schemas.openxmlformats.org/officeDocument/2006/relationships/hyperlink" Target="https://www.google.com/maps/search/?api=1&amp;query=Blaine+Chiropractic+Center+PA%2C+11919+Central+Ave+NE%2C+Blaine%2C+MN+55434" TargetMode="External"/><Relationship Id="rId210" Type="http://schemas.openxmlformats.org/officeDocument/2006/relationships/hyperlink" Target="https://npiregistry.cms.hhs.gov/provider-view/1932856457" TargetMode="External"/><Relationship Id="rId448" Type="http://schemas.openxmlformats.org/officeDocument/2006/relationships/hyperlink" Target="https://npiregistry.cms.hhs.gov/provider-view/1710612023" TargetMode="External"/><Relationship Id="rId655" Type="http://schemas.openxmlformats.org/officeDocument/2006/relationships/hyperlink" Target="https://www.google.com/maps/search/?api=1&amp;query=Heartland+Center+of+Natural+Healing%2C+PLLC%2C+1202+1st+St+E%2C+Park+Rapids%2C+MN+56470" TargetMode="External"/><Relationship Id="rId862" Type="http://schemas.openxmlformats.org/officeDocument/2006/relationships/hyperlink" Target="https://npiregistry.cms.hhs.gov/provider-view/1700093911" TargetMode="External"/><Relationship Id="rId294" Type="http://schemas.openxmlformats.org/officeDocument/2006/relationships/hyperlink" Target="https://npiregistry.cms.hhs.gov/provider-view/1255060141" TargetMode="External"/><Relationship Id="rId308" Type="http://schemas.openxmlformats.org/officeDocument/2006/relationships/hyperlink" Target="https://npiregistry.cms.hhs.gov/provider-view/1467978247" TargetMode="External"/><Relationship Id="rId515" Type="http://schemas.openxmlformats.org/officeDocument/2006/relationships/hyperlink" Target="https://www.google.com/maps/search/?api=1&amp;query=Mccarron+Lake+Chiropractic%2C+1971+Geneva+Ave+N%2C+Oakdale%2C+MN+55128" TargetMode="External"/><Relationship Id="rId722" Type="http://schemas.openxmlformats.org/officeDocument/2006/relationships/hyperlink" Target="https://npiregistry.cms.hhs.gov/provider-view/1578215612" TargetMode="External"/><Relationship Id="rId89" Type="http://schemas.openxmlformats.org/officeDocument/2006/relationships/hyperlink" Target="https://www.google.com/maps/search/?api=1&amp;query=Integrate+Chiropractic+PLLC%2C+1103+W+Burnsville+Pkwy%2C+Burnsville%2C+MN+55337" TargetMode="External"/><Relationship Id="rId154" Type="http://schemas.openxmlformats.org/officeDocument/2006/relationships/hyperlink" Target="https://npiregistry.cms.hhs.gov/provider-view/1528110376" TargetMode="External"/><Relationship Id="rId361" Type="http://schemas.openxmlformats.org/officeDocument/2006/relationships/hyperlink" Target="https://www.google.com/maps/search/?api=1&amp;query=Uptown+Healing+Clinic+LLC%2C+14440+28th+Pl+N%2C+Plymouth%2C+MN+55447" TargetMode="External"/><Relationship Id="rId599" Type="http://schemas.openxmlformats.org/officeDocument/2006/relationships/hyperlink" Target="https://www.google.com/maps/search/?api=1&amp;query=Gateway+Family+Health+Clinic%2C+LTD.%2C+707+Lundorff+Dr%2C+Sandstone%2C+MN+55072" TargetMode="External"/><Relationship Id="rId459" Type="http://schemas.openxmlformats.org/officeDocument/2006/relationships/hyperlink" Target="https://www.google.com/maps/search/?api=1&amp;query=Willow+Family+Chiropractic%2C+730+Cleveland+Ave+S%2C+St.+Paul%2C+MN+55116" TargetMode="External"/><Relationship Id="rId666" Type="http://schemas.openxmlformats.org/officeDocument/2006/relationships/hyperlink" Target="https://npiregistry.cms.hhs.gov/provider-view/1306592829" TargetMode="External"/><Relationship Id="rId873" Type="http://schemas.openxmlformats.org/officeDocument/2006/relationships/hyperlink" Target="https://www.google.com/maps/search/?api=1&amp;query=Henderson+Chiropractic%2C+220+13th+St+S%2C+Benson%2C+MN+56215" TargetMode="External"/><Relationship Id="rId16" Type="http://schemas.openxmlformats.org/officeDocument/2006/relationships/hyperlink" Target="https://npiregistry.cms.hhs.gov/provider-view/1134494818" TargetMode="External"/><Relationship Id="rId221" Type="http://schemas.openxmlformats.org/officeDocument/2006/relationships/hyperlink" Target="https://www.google.com/maps/search/?api=1&amp;query=Platinum+Chiropractoc%2C+12300+Singletree+Ln%2C+Eden+Prairie%2C+MN+55344" TargetMode="External"/><Relationship Id="rId319" Type="http://schemas.openxmlformats.org/officeDocument/2006/relationships/hyperlink" Target="https://www.google.com/maps/search/?api=1&amp;query=Rebound+Chiropractic+%26+Rehab+LLC%2C+811+SE+9th+St.%2C+Minneapolis%2C+MN+55414" TargetMode="External"/><Relationship Id="rId526" Type="http://schemas.openxmlformats.org/officeDocument/2006/relationships/hyperlink" Target="https://npiregistry.cms.hhs.gov/provider-view/1477709814" TargetMode="External"/><Relationship Id="rId733" Type="http://schemas.openxmlformats.org/officeDocument/2006/relationships/hyperlink" Target="https://www.google.com/maps/search/?api=1&amp;query=Core+Family+Chiropractic%2C+909+N+Cleveland+Ave%2C+Fergus+Falls%2C+MN+56537" TargetMode="External"/><Relationship Id="rId165" Type="http://schemas.openxmlformats.org/officeDocument/2006/relationships/hyperlink" Target="https://www.google.com/maps/search/?api=1&amp;query=Bloomington+Wellness+Center%2C+PA%2C+5143+W+98th+St%2C+Bloomington%2C+MN+55437" TargetMode="External"/><Relationship Id="rId372" Type="http://schemas.openxmlformats.org/officeDocument/2006/relationships/hyperlink" Target="https://npiregistry.cms.hhs.gov/provider-view/1124108170" TargetMode="External"/><Relationship Id="rId677" Type="http://schemas.openxmlformats.org/officeDocument/2006/relationships/hyperlink" Target="https://www.google.com/maps/search/?api=1&amp;query=Chiropractic+Health+Center+P+A%2C+5807+Grand+Ave%2C+Duluth%2C+MN+55807" TargetMode="External"/><Relationship Id="rId800" Type="http://schemas.openxmlformats.org/officeDocument/2006/relationships/hyperlink" Target="https://npiregistry.cms.hhs.gov/provider-view/1538873591" TargetMode="External"/><Relationship Id="rId232" Type="http://schemas.openxmlformats.org/officeDocument/2006/relationships/hyperlink" Target="https://npiregistry.cms.hhs.gov/provider-view/1902720857" TargetMode="External"/><Relationship Id="rId27" Type="http://schemas.openxmlformats.org/officeDocument/2006/relationships/hyperlink" Target="https://www.google.com/maps/search/?api=1&amp;query=Minnesota+Chiroworks%2C+PLLC%2C+7400+University+Ave+NE%2C+Fridley%2C+MN+55432" TargetMode="External"/><Relationship Id="rId537" Type="http://schemas.openxmlformats.org/officeDocument/2006/relationships/hyperlink" Target="https://www.google.com/maps/search/?api=1&amp;query=Live+Well+Adjusted%2C+PA.%2C+7803+Afton+Rd%2C+Woodbury%2C+MN+55125" TargetMode="External"/><Relationship Id="rId744" Type="http://schemas.openxmlformats.org/officeDocument/2006/relationships/hyperlink" Target="https://npiregistry.cms.hhs.gov/provider-view/1265640544" TargetMode="External"/><Relationship Id="rId80" Type="http://schemas.openxmlformats.org/officeDocument/2006/relationships/hyperlink" Target="https://npiregistry.cms.hhs.gov/provider-view/1114618618" TargetMode="External"/><Relationship Id="rId176" Type="http://schemas.openxmlformats.org/officeDocument/2006/relationships/hyperlink" Target="https://npiregistry.cms.hhs.gov/provider-view/1144041294" TargetMode="External"/><Relationship Id="rId383" Type="http://schemas.openxmlformats.org/officeDocument/2006/relationships/hyperlink" Target="https://www.google.com/maps/search/?api=1&amp;query=Lake+Minnetonka+Chiropractic+LLC%2C+3701+Shoreline+Dr%2C+Wayzata%2C+MN+55391" TargetMode="External"/><Relationship Id="rId590" Type="http://schemas.openxmlformats.org/officeDocument/2006/relationships/hyperlink" Target="https://npiregistry.cms.hhs.gov/provider-view/1720167117" TargetMode="External"/><Relationship Id="rId604" Type="http://schemas.openxmlformats.org/officeDocument/2006/relationships/hyperlink" Target="https://npiregistry.cms.hhs.gov/provider-view/1770646937" TargetMode="External"/><Relationship Id="rId811" Type="http://schemas.openxmlformats.org/officeDocument/2006/relationships/hyperlink" Target="https://www.google.com/maps/search/?api=1&amp;query=Country+Care+Chiropractic%2C+41614+Gorman+Lake+Rd%2C+Le+Center%2C+MN+56057" TargetMode="External"/><Relationship Id="rId243" Type="http://schemas.openxmlformats.org/officeDocument/2006/relationships/hyperlink" Target="https://www.google.com/maps/search/?api=1&amp;query=Institute+For+Orthopedics+%26+Chiropractic%2C+PLLC%2C+6550+York+Ave+S%2C+Edina%2C+MN+55435" TargetMode="External"/><Relationship Id="rId450" Type="http://schemas.openxmlformats.org/officeDocument/2006/relationships/hyperlink" Target="https://npiregistry.cms.hhs.gov/provider-view/1336762897" TargetMode="External"/><Relationship Id="rId688" Type="http://schemas.openxmlformats.org/officeDocument/2006/relationships/hyperlink" Target="https://npiregistry.cms.hhs.gov/provider-view/1205526571" TargetMode="External"/><Relationship Id="rId38" Type="http://schemas.openxmlformats.org/officeDocument/2006/relationships/hyperlink" Target="https://npiregistry.cms.hhs.gov/provider-view/1740453968" TargetMode="External"/><Relationship Id="rId103" Type="http://schemas.openxmlformats.org/officeDocument/2006/relationships/hyperlink" Target="https://www.google.com/maps/search/?api=1&amp;query=Revibe+Chiropractic+and+Rehabilitation%2C+14300+Buck+Hill+Rd%2C+Burnsville%2C+MN+55306" TargetMode="External"/><Relationship Id="rId310" Type="http://schemas.openxmlformats.org/officeDocument/2006/relationships/hyperlink" Target="https://npiregistry.cms.hhs.gov/provider-view/1316793912" TargetMode="External"/><Relationship Id="rId548" Type="http://schemas.openxmlformats.org/officeDocument/2006/relationships/hyperlink" Target="https://npiregistry.cms.hhs.gov/provider-view/1427479617" TargetMode="External"/><Relationship Id="rId755" Type="http://schemas.openxmlformats.org/officeDocument/2006/relationships/hyperlink" Target="https://www.google.com/maps/search/?api=1&amp;query=Kuch+Chiropractic%2C+1704+N+Riverfront+Dr%2C+Mankato%2C+MN+56001" TargetMode="External"/><Relationship Id="rId91" Type="http://schemas.openxmlformats.org/officeDocument/2006/relationships/hyperlink" Target="https://www.google.com/maps/search/?api=1&amp;query=Integrative+Orthopedic+Clinics%2C+PLLC%2C+14300+Buck+Hill+Rd%2C+Burnsville%2C+MN+55306" TargetMode="External"/><Relationship Id="rId187" Type="http://schemas.openxmlformats.org/officeDocument/2006/relationships/hyperlink" Target="https://www.google.com/maps/search/?api=1&amp;query=Family+Chiropractic+Health+Service%2C+8465+W+Broadway+Ave%2C+Brooklyn+Park%2C+MN+55445" TargetMode="External"/><Relationship Id="rId394" Type="http://schemas.openxmlformats.org/officeDocument/2006/relationships/hyperlink" Target="https://npiregistry.cms.hhs.gov/provider-view/1487337044" TargetMode="External"/><Relationship Id="rId408" Type="http://schemas.openxmlformats.org/officeDocument/2006/relationships/hyperlink" Target="https://npiregistry.cms.hhs.gov/provider-view/1881314672" TargetMode="External"/><Relationship Id="rId615" Type="http://schemas.openxmlformats.org/officeDocument/2006/relationships/hyperlink" Target="https://www.google.com/maps/search/?api=1&amp;query=Legacy+Family+Chiropractic%2C+LLC%2C+171+7th+Ave+S%2C+Waite+Park%2C+MN+56387" TargetMode="External"/><Relationship Id="rId822" Type="http://schemas.openxmlformats.org/officeDocument/2006/relationships/hyperlink" Target="https://npiregistry.cms.hhs.gov/provider-view/1346659794" TargetMode="External"/><Relationship Id="rId254" Type="http://schemas.openxmlformats.org/officeDocument/2006/relationships/hyperlink" Target="https://npiregistry.cms.hhs.gov/provider-view/1073626008" TargetMode="External"/><Relationship Id="rId699" Type="http://schemas.openxmlformats.org/officeDocument/2006/relationships/hyperlink" Target="https://www.google.com/maps/search/?api=1&amp;query=Sanford+Thief+River+Falls%2C+3001+Sanford+Parkway%2C+Thief+River+Falls%2C+MN+56701" TargetMode="External"/><Relationship Id="rId49" Type="http://schemas.openxmlformats.org/officeDocument/2006/relationships/hyperlink" Target="https://www.google.com/maps/search/?api=1&amp;query=Chanhassen+Chiropractic%2C+7800+Market+Blvd%2C+Chanhassen%2C+MN+55317" TargetMode="External"/><Relationship Id="rId114" Type="http://schemas.openxmlformats.org/officeDocument/2006/relationships/hyperlink" Target="https://npiregistry.cms.hhs.gov/provider-view/1487848719" TargetMode="External"/><Relationship Id="rId461" Type="http://schemas.openxmlformats.org/officeDocument/2006/relationships/hyperlink" Target="https://www.google.com/maps/search/?api=1&amp;query=Olive+Me+Chiropractic%2C+Corporation%2C+1468+County+Road+E+E%2C+Vadnais+Heights%2C+MN+55110" TargetMode="External"/><Relationship Id="rId559" Type="http://schemas.openxmlformats.org/officeDocument/2006/relationships/hyperlink" Target="https://www.google.com/maps/search/?api=1&amp;query=Inmotion+Chiropractic%2C+101+Marty+Dr%2C+Buffalo%2C+MN+55313" TargetMode="External"/><Relationship Id="rId766" Type="http://schemas.openxmlformats.org/officeDocument/2006/relationships/hyperlink" Target="https://npiregistry.cms.hhs.gov/provider-view/1386408979" TargetMode="External"/><Relationship Id="rId198" Type="http://schemas.openxmlformats.org/officeDocument/2006/relationships/hyperlink" Target="https://npiregistry.cms.hhs.gov/provider-view/1326273798" TargetMode="External"/><Relationship Id="rId321" Type="http://schemas.openxmlformats.org/officeDocument/2006/relationships/hyperlink" Target="https://www.google.com/maps/search/?api=1&amp;query=Revitalize+Health+%26+Wellness%2C+LLC%2C+3018+W+56th+St%2C+Minneapolis%2C+MN+55410" TargetMode="External"/><Relationship Id="rId419" Type="http://schemas.openxmlformats.org/officeDocument/2006/relationships/hyperlink" Target="https://www.google.com/maps/search/?api=1&amp;query=Evergreen+Chiropractic%2C+3454+Rice+St%2C+St.+Paul%2C+MN+55126" TargetMode="External"/><Relationship Id="rId626" Type="http://schemas.openxmlformats.org/officeDocument/2006/relationships/hyperlink" Target="https://npiregistry.cms.hhs.gov/provider-view/1952266041" TargetMode="External"/><Relationship Id="rId833" Type="http://schemas.openxmlformats.org/officeDocument/2006/relationships/hyperlink" Target="https://www.google.com/maps/search/?api=1&amp;query=Skare+Spine+and+Performance+PLLC%2C+1615+Broadway+Ave+N%2C+Rochester%2C+MN+55906" TargetMode="External"/><Relationship Id="rId265" Type="http://schemas.openxmlformats.org/officeDocument/2006/relationships/hyperlink" Target="https://www.google.com/maps/search/?api=1&amp;query=Mcsharry+Chiro+LLC%2C+373+George+St%2C+Excelsior%2C+MN+55331" TargetMode="External"/><Relationship Id="rId472" Type="http://schemas.openxmlformats.org/officeDocument/2006/relationships/hyperlink" Target="https://npiregistry.cms.hhs.gov/provider-view/1326773748" TargetMode="External"/><Relationship Id="rId125" Type="http://schemas.openxmlformats.org/officeDocument/2006/relationships/hyperlink" Target="https://www.google.com/maps/search/?api=1&amp;query=Power+Within+Chiropractic+PA%2C+925+Highway+55%2C+Hastings%2C+MN+55033" TargetMode="External"/><Relationship Id="rId332" Type="http://schemas.openxmlformats.org/officeDocument/2006/relationships/hyperlink" Target="https://npiregistry.cms.hhs.gov/provider-view/1538850391" TargetMode="External"/><Relationship Id="rId777" Type="http://schemas.openxmlformats.org/officeDocument/2006/relationships/hyperlink" Target="https://www.google.com/maps/search/?api=1&amp;query=Restore+Chiropractic+and+Wellness%2C+711+3rd+St%2C+Jackson%2C+MN+56143" TargetMode="External"/><Relationship Id="rId637" Type="http://schemas.openxmlformats.org/officeDocument/2006/relationships/hyperlink" Target="https://www.google.com/maps/search/?api=1&amp;query=Gateway+Family+Health+Clinic%2C+LTD.%2C+4570+Cty+Hwy+61%2C+Moose+Lake%2C+MN+55767" TargetMode="External"/><Relationship Id="rId844" Type="http://schemas.openxmlformats.org/officeDocument/2006/relationships/hyperlink" Target="https://npiregistry.cms.hhs.gov/provider-view/1386922250" TargetMode="External"/><Relationship Id="rId276" Type="http://schemas.openxmlformats.org/officeDocument/2006/relationships/hyperlink" Target="https://npiregistry.cms.hhs.gov/provider-view/1679534812" TargetMode="External"/><Relationship Id="rId483" Type="http://schemas.openxmlformats.org/officeDocument/2006/relationships/hyperlink" Target="https://www.google.com/maps/search/?api=1&amp;query=Shakopee+Dakota+Clinic%2C+2330+Sioux+Trl+NW%2C+Prior+Lake%2C+MN+55372" TargetMode="External"/><Relationship Id="rId690" Type="http://schemas.openxmlformats.org/officeDocument/2006/relationships/hyperlink" Target="https://npiregistry.cms.hhs.gov/provider-view/1467736231" TargetMode="External"/><Relationship Id="rId704" Type="http://schemas.openxmlformats.org/officeDocument/2006/relationships/hyperlink" Target="https://npiregistry.cms.hhs.gov/provider-view/1821870643" TargetMode="External"/><Relationship Id="rId40" Type="http://schemas.openxmlformats.org/officeDocument/2006/relationships/hyperlink" Target="https://npiregistry.cms.hhs.gov/provider-view/1699054304" TargetMode="External"/><Relationship Id="rId136" Type="http://schemas.openxmlformats.org/officeDocument/2006/relationships/hyperlink" Target="https://npiregistry.cms.hhs.gov/provider-view/1881534220" TargetMode="External"/><Relationship Id="rId343" Type="http://schemas.openxmlformats.org/officeDocument/2006/relationships/hyperlink" Target="https://www.google.com/maps/search/?api=1&amp;query=Healthsource+Chiropractic+of+Mound%2C+2204+Commerce+Blvd%2C+Mound%2C+MN+55364" TargetMode="External"/><Relationship Id="rId550" Type="http://schemas.openxmlformats.org/officeDocument/2006/relationships/hyperlink" Target="https://npiregistry.cms.hhs.gov/provider-view/1477868891" TargetMode="External"/><Relationship Id="rId788" Type="http://schemas.openxmlformats.org/officeDocument/2006/relationships/hyperlink" Target="https://npiregistry.cms.hhs.gov/provider-view/1003669722" TargetMode="External"/><Relationship Id="rId203" Type="http://schemas.openxmlformats.org/officeDocument/2006/relationships/hyperlink" Target="https://www.google.com/maps/search/?api=1&amp;query=Chirostrength+Twin+Cities+LLC%2C+11311+Dayton+River+Rd%2C+Dayton%2C+MN+55327" TargetMode="External"/><Relationship Id="rId648" Type="http://schemas.openxmlformats.org/officeDocument/2006/relationships/hyperlink" Target="https://npiregistry.cms.hhs.gov/provider-view/1861591737" TargetMode="External"/><Relationship Id="rId855" Type="http://schemas.openxmlformats.org/officeDocument/2006/relationships/hyperlink" Target="https://www.google.com/maps/search/?api=1&amp;query=Opdahl+Chiropractic%2C+551+SW+1st+St%2C+Montevideo%2C+MN+56265" TargetMode="External"/><Relationship Id="rId287" Type="http://schemas.openxmlformats.org/officeDocument/2006/relationships/hyperlink" Target="https://www.google.com/maps/search/?api=1&amp;query=Twin+Cities+Functional+Neurology+%26+Chiropractic%2C+PLLC%2C+6543+Bluebird+Dr%2C+Maple+Grove%2C+MN+55369" TargetMode="External"/><Relationship Id="rId410" Type="http://schemas.openxmlformats.org/officeDocument/2006/relationships/hyperlink" Target="https://npiregistry.cms.hhs.gov/provider-view/1952111387" TargetMode="External"/><Relationship Id="rId494" Type="http://schemas.openxmlformats.org/officeDocument/2006/relationships/hyperlink" Target="https://npiregistry.cms.hhs.gov/provider-view/1740406685" TargetMode="External"/><Relationship Id="rId508" Type="http://schemas.openxmlformats.org/officeDocument/2006/relationships/hyperlink" Target="https://npiregistry.cms.hhs.gov/provider-view/1972968337" TargetMode="External"/><Relationship Id="rId715" Type="http://schemas.openxmlformats.org/officeDocument/2006/relationships/hyperlink" Target="https://www.google.com/maps/search/?api=1&amp;query=Foss+Spine+and+Wellness%2C+2921+S+Frontage+Rd%2C+Moorhead%2C+MN+56560" TargetMode="External"/><Relationship Id="rId147" Type="http://schemas.openxmlformats.org/officeDocument/2006/relationships/hyperlink" Target="https://www.google.com/maps/search/?api=1&amp;query=Midwest+Integrated+Health+Clinic%2C+16283+Ipava+Ave%2C+Lakeville%2C+MN+55044" TargetMode="External"/><Relationship Id="rId354" Type="http://schemas.openxmlformats.org/officeDocument/2006/relationships/hyperlink" Target="https://npiregistry.cms.hhs.gov/provider-view/1275370215" TargetMode="External"/><Relationship Id="rId799" Type="http://schemas.openxmlformats.org/officeDocument/2006/relationships/hyperlink" Target="https://www.google.com/maps/search/?api=1&amp;query=Albert+Lea+Chiropractic%2C+1340+W+Main+St%2C+Albert+Lea%2C+MN+56007" TargetMode="External"/><Relationship Id="rId51" Type="http://schemas.openxmlformats.org/officeDocument/2006/relationships/hyperlink" Target="https://www.google.com/maps/search/?api=1&amp;query=Discover+Chiropractic%2C+1107+Hazeltine+Blvd%2C+Chaska%2C+MN+55318" TargetMode="External"/><Relationship Id="rId561" Type="http://schemas.openxmlformats.org/officeDocument/2006/relationships/hyperlink" Target="https://www.google.com/maps/search/?api=1&amp;query=Mangas+Family+Chiropractic+PLLC%2C+1111+Highway+25+N%2C+Buffalo%2C+MN+55313" TargetMode="External"/><Relationship Id="rId659" Type="http://schemas.openxmlformats.org/officeDocument/2006/relationships/hyperlink" Target="https://www.google.com/maps/search/?api=1&amp;query=Park+Performance+Chiropractic%2C+PLC%2C+19037+US+Hwy+71%2C+Park+Rapids%2C+MN+56470" TargetMode="External"/><Relationship Id="rId866" Type="http://schemas.openxmlformats.org/officeDocument/2006/relationships/hyperlink" Target="https://npiregistry.cms.hhs.gov/provider-view/1336107671" TargetMode="External"/><Relationship Id="rId214" Type="http://schemas.openxmlformats.org/officeDocument/2006/relationships/hyperlink" Target="https://npiregistry.cms.hhs.gov/provider-view/1861405128" TargetMode="External"/><Relationship Id="rId298" Type="http://schemas.openxmlformats.org/officeDocument/2006/relationships/hyperlink" Target="https://npiregistry.cms.hhs.gov/provider-view/1538341953" TargetMode="External"/><Relationship Id="rId421" Type="http://schemas.openxmlformats.org/officeDocument/2006/relationships/hyperlink" Target="https://www.google.com/maps/search/?api=1&amp;query=Healthquest%2C+1053+Grand+Ave%2C+St.+Paul%2C+MN+55105" TargetMode="External"/><Relationship Id="rId519" Type="http://schemas.openxmlformats.org/officeDocument/2006/relationships/hyperlink" Target="https://www.google.com/maps/search/?api=1&amp;query=Clarity+Chiropractic+LLC%2C+5898+Omaha+Ave+N%2C+Stillwater%2C+MN+55082" TargetMode="External"/><Relationship Id="rId158" Type="http://schemas.openxmlformats.org/officeDocument/2006/relationships/hyperlink" Target="https://npiregistry.cms.hhs.gov/provider-view/1376104901" TargetMode="External"/><Relationship Id="rId726" Type="http://schemas.openxmlformats.org/officeDocument/2006/relationships/hyperlink" Target="https://npiregistry.cms.hhs.gov/provider-view/1477317196" TargetMode="External"/><Relationship Id="rId62" Type="http://schemas.openxmlformats.org/officeDocument/2006/relationships/hyperlink" Target="https://npiregistry.cms.hhs.gov/provider-view/1972142081" TargetMode="External"/><Relationship Id="rId365" Type="http://schemas.openxmlformats.org/officeDocument/2006/relationships/hyperlink" Target="https://www.google.com/maps/search/?api=1&amp;query=Tara+Schug+DC+PLLC%2C+6640+Lyndale+Ave+S%2C+Richfield%2C+MN+55423" TargetMode="External"/><Relationship Id="rId572" Type="http://schemas.openxmlformats.org/officeDocument/2006/relationships/hyperlink" Target="https://npiregistry.cms.hhs.gov/provider-view/1598496176" TargetMode="External"/><Relationship Id="rId225" Type="http://schemas.openxmlformats.org/officeDocument/2006/relationships/hyperlink" Target="https://www.google.com/maps/search/?api=1&amp;query=Wellness+Way+Eden+Prairie+LLC%2C+6805+Flying+Cloud+Dr%2C+Eden+Prairie%2C+MN+55344" TargetMode="External"/><Relationship Id="rId432" Type="http://schemas.openxmlformats.org/officeDocument/2006/relationships/hyperlink" Target="https://npiregistry.cms.hhs.gov/provider-view/1154715340" TargetMode="External"/><Relationship Id="rId877" Type="http://schemas.openxmlformats.org/officeDocument/2006/relationships/hyperlink" Target="https://www.google.com/maps/search/?api=1&amp;query=Granite+Family+Chiropractic+Center%2C+PC%2C+868+Prentice+St%2C+Granite+Falls%2C+MN+56241" TargetMode="External"/><Relationship Id="rId737" Type="http://schemas.openxmlformats.org/officeDocument/2006/relationships/hyperlink" Target="https://www.google.com/maps/search/?api=1&amp;query=Quad+Cities+Chiropractic+Center%2C+LLC%2C+3509+Pebble+Hills+Dr%2C+Fergus+Falls%2C+MN+56537" TargetMode="External"/><Relationship Id="rId73" Type="http://schemas.openxmlformats.org/officeDocument/2006/relationships/hyperlink" Target="https://www.google.com/maps/search/?api=1&amp;query=Johnson+Spinal+Care+Associates%2C+PA.%2C+14859+Energy+Way%2C+Apple+Valley%2C+MN+55124" TargetMode="External"/><Relationship Id="rId169" Type="http://schemas.openxmlformats.org/officeDocument/2006/relationships/hyperlink" Target="https://www.google.com/maps/search/?api=1&amp;query=Dr.+Cassie+Mcguire%2C+Holistic+Chiropractic+%26+Wellness%2C+8120+Penn+Ave+S%2C+Bloomington%2C+MN+55431" TargetMode="External"/><Relationship Id="rId376" Type="http://schemas.openxmlformats.org/officeDocument/2006/relationships/hyperlink" Target="https://npiregistry.cms.hhs.gov/provider-view/1932691714" TargetMode="External"/><Relationship Id="rId583" Type="http://schemas.openxmlformats.org/officeDocument/2006/relationships/hyperlink" Target="https://www.google.com/maps/search/?api=1&amp;query=Mille+Lacs+Health+System+Milaca+Family+Clinic%2C+150+10th+St+NW%2C+Milaca%2C+MN+56353" TargetMode="External"/><Relationship Id="rId790" Type="http://schemas.openxmlformats.org/officeDocument/2006/relationships/hyperlink" Target="https://npiregistry.cms.hhs.gov/provider-view/1669769121" TargetMode="External"/><Relationship Id="rId804" Type="http://schemas.openxmlformats.org/officeDocument/2006/relationships/hyperlink" Target="https://npiregistry.cms.hhs.gov/provider-view/1154206506" TargetMode="External"/><Relationship Id="rId4" Type="http://schemas.openxmlformats.org/officeDocument/2006/relationships/hyperlink" Target="https://npiregistry.cms.hhs.gov/provider-view/1053120220" TargetMode="External"/><Relationship Id="rId236" Type="http://schemas.openxmlformats.org/officeDocument/2006/relationships/hyperlink" Target="https://npiregistry.cms.hhs.gov/provider-view/1255685624" TargetMode="External"/><Relationship Id="rId443" Type="http://schemas.openxmlformats.org/officeDocument/2006/relationships/hyperlink" Target="https://www.google.com/maps/search/?api=1&amp;query=Restoration+Chiropractic+PLLC%2C+2103+County+Road+D+E%2C+St.+Paul%2C+MN+55109" TargetMode="External"/><Relationship Id="rId650" Type="http://schemas.openxmlformats.org/officeDocument/2006/relationships/hyperlink" Target="https://npiregistry.cms.hhs.gov/provider-view/1952598534" TargetMode="External"/><Relationship Id="rId303" Type="http://schemas.openxmlformats.org/officeDocument/2006/relationships/hyperlink" Target="https://www.google.com/maps/search/?api=1&amp;query=Embrace+Life+Chiropractic+PLLC%2C+10500+Kentucky+Ave+S%2C+Minneapolis%2C+MN+55438" TargetMode="External"/><Relationship Id="rId748" Type="http://schemas.openxmlformats.org/officeDocument/2006/relationships/hyperlink" Target="https://npiregistry.cms.hhs.gov/provider-view/1194648543" TargetMode="External"/><Relationship Id="rId84" Type="http://schemas.openxmlformats.org/officeDocument/2006/relationships/hyperlink" Target="https://npiregistry.cms.hhs.gov/provider-view/1912184573" TargetMode="External"/><Relationship Id="rId387" Type="http://schemas.openxmlformats.org/officeDocument/2006/relationships/hyperlink" Target="https://www.google.com/maps/search/?api=1&amp;query=Cambridge+Chiropractic%2C+137+2nd+Ave+SW%2C+Cambridge%2C+MN+55008" TargetMode="External"/><Relationship Id="rId510" Type="http://schemas.openxmlformats.org/officeDocument/2006/relationships/hyperlink" Target="https://npiregistry.cms.hhs.gov/provider-view/1730816661" TargetMode="External"/><Relationship Id="rId594" Type="http://schemas.openxmlformats.org/officeDocument/2006/relationships/hyperlink" Target="https://npiregistry.cms.hhs.gov/provider-view/1457674780" TargetMode="External"/><Relationship Id="rId608" Type="http://schemas.openxmlformats.org/officeDocument/2006/relationships/hyperlink" Target="https://npiregistry.cms.hhs.gov/provider-view/1487754842" TargetMode="External"/><Relationship Id="rId815" Type="http://schemas.openxmlformats.org/officeDocument/2006/relationships/hyperlink" Target="https://www.google.com/maps/search/?api=1&amp;query=K+Chiropractic%2C+13+W+Main+St%2C+Adams%2C+MN+55909" TargetMode="External"/><Relationship Id="rId247" Type="http://schemas.openxmlformats.org/officeDocument/2006/relationships/hyperlink" Target="https://www.google.com/maps/search/?api=1&amp;query=Moe+Chiropractic+PA%2C+7108+Ohms+Ln%2C+Edina%2C+MN+55439" TargetMode="External"/><Relationship Id="rId107" Type="http://schemas.openxmlformats.org/officeDocument/2006/relationships/hyperlink" Target="https://www.google.com/maps/search/?api=1&amp;query=Vector+Sport+and+Spine+%3A+Chiro+%26+Rehab+PLLC%2C+12919+Oliver+Ave+S%2C+Burnsville%2C+MN+55337" TargetMode="External"/><Relationship Id="rId454" Type="http://schemas.openxmlformats.org/officeDocument/2006/relationships/hyperlink" Target="https://npiregistry.cms.hhs.gov/provider-view/1043457997" TargetMode="External"/><Relationship Id="rId661" Type="http://schemas.openxmlformats.org/officeDocument/2006/relationships/hyperlink" Target="https://www.google.com/maps/search/?api=1&amp;query=Bergren+Family+Chiropractic%2C+PA%2C+41025+Scenic+Hwy%2C+Bovey%2C+MN+55709" TargetMode="External"/><Relationship Id="rId759" Type="http://schemas.openxmlformats.org/officeDocument/2006/relationships/hyperlink" Target="https://www.google.com/maps/search/?api=1&amp;query=Stenzel+Chiropractic+Clinic%2C+PLLC%2C+1704+N+Riverfront+Dr%2C+Mankato%2C+MN+56001" TargetMode="External"/><Relationship Id="rId11" Type="http://schemas.openxmlformats.org/officeDocument/2006/relationships/hyperlink" Target="https://www.google.com/maps/search/?api=1&amp;query=Club+West+Chiropractic+PA%2C+10950+Club+West+Pkwy%2C+Blaine%2C+MN+55449" TargetMode="External"/><Relationship Id="rId314" Type="http://schemas.openxmlformats.org/officeDocument/2006/relationships/hyperlink" Target="https://npiregistry.cms.hhs.gov/provider-view/1851115125" TargetMode="External"/><Relationship Id="rId398" Type="http://schemas.openxmlformats.org/officeDocument/2006/relationships/hyperlink" Target="https://npiregistry.cms.hhs.gov/provider-view/1750299079" TargetMode="External"/><Relationship Id="rId521" Type="http://schemas.openxmlformats.org/officeDocument/2006/relationships/hyperlink" Target="https://www.google.com/maps/search/?api=1&amp;query=Leif+Erik+Schley+DC+LLC%2C+105+New+England+Place%2C+Stillwater%2C+MN+55082" TargetMode="External"/><Relationship Id="rId619" Type="http://schemas.openxmlformats.org/officeDocument/2006/relationships/hyperlink" Target="https://www.google.com/maps/search/?api=1&amp;query=Skadsem+Weum+Chiropractic+PLLC%2C+1225+Washington+Ave%2C+Detroit+Lakes%2C+MN+56501" TargetMode="External"/><Relationship Id="rId95" Type="http://schemas.openxmlformats.org/officeDocument/2006/relationships/hyperlink" Target="https://www.google.com/maps/search/?api=1&amp;query=Nova+Chiropractic+and+Wellness%2C+2424+E+117th+St%2C+Burnsville%2C+MN+55337" TargetMode="External"/><Relationship Id="rId160" Type="http://schemas.openxmlformats.org/officeDocument/2006/relationships/hyperlink" Target="https://npiregistry.cms.hhs.gov/provider-view/1730320276" TargetMode="External"/><Relationship Id="rId826" Type="http://schemas.openxmlformats.org/officeDocument/2006/relationships/hyperlink" Target="https://npiregistry.cms.hhs.gov/provider-view/1558015545" TargetMode="External"/><Relationship Id="rId258" Type="http://schemas.openxmlformats.org/officeDocument/2006/relationships/hyperlink" Target="https://npiregistry.cms.hhs.gov/provider-view/1184256125" TargetMode="External"/><Relationship Id="rId465" Type="http://schemas.openxmlformats.org/officeDocument/2006/relationships/hyperlink" Target="https://www.google.com/maps/search/?api=1&amp;query=North+Star+Medical+PLLC%2C+1330+Highway+96+E%2C+White+Bear+Lake%2C+MN+55110" TargetMode="External"/><Relationship Id="rId672" Type="http://schemas.openxmlformats.org/officeDocument/2006/relationships/hyperlink" Target="https://npiregistry.cms.hhs.gov/provider-view/1659205391" TargetMode="External"/><Relationship Id="rId22" Type="http://schemas.openxmlformats.org/officeDocument/2006/relationships/hyperlink" Target="https://npiregistry.cms.hhs.gov/provider-view/1447934385" TargetMode="External"/><Relationship Id="rId118" Type="http://schemas.openxmlformats.org/officeDocument/2006/relationships/hyperlink" Target="https://npiregistry.cms.hhs.gov/provider-view/1285761825" TargetMode="External"/><Relationship Id="rId325" Type="http://schemas.openxmlformats.org/officeDocument/2006/relationships/hyperlink" Target="https://www.google.com/maps/search/?api=1&amp;query=Salita+Healing%2C+LLC%2C+3041+Aldrich+Ave+S%2C+Minneapolis%2C+MN+55408" TargetMode="External"/><Relationship Id="rId532" Type="http://schemas.openxmlformats.org/officeDocument/2006/relationships/hyperlink" Target="https://npiregistry.cms.hhs.gov/provider-view/1548527872" TargetMode="External"/><Relationship Id="rId171" Type="http://schemas.openxmlformats.org/officeDocument/2006/relationships/hyperlink" Target="https://www.google.com/maps/search/?api=1&amp;query=Elysium+Chiropractic+PLLC%2C+10800+Lyndale+Ave+S%2C+Bloomington%2C+MN+55420" TargetMode="External"/><Relationship Id="rId837" Type="http://schemas.openxmlformats.org/officeDocument/2006/relationships/hyperlink" Target="https://www.google.com/maps/search/?api=1&amp;query=Cram+Chiropractic+%26+Wellness+Center%2C+158+Water+St+N%2C+Northfield%2C+MN+55057" TargetMode="External"/><Relationship Id="rId269" Type="http://schemas.openxmlformats.org/officeDocument/2006/relationships/hyperlink" Target="https://www.google.com/maps/search/?api=1&amp;query=Forward+Spine+Center%2C+701+Decatur+Ave+N%2C+Golden+Valley%2C+MN+55427" TargetMode="External"/><Relationship Id="rId476" Type="http://schemas.openxmlformats.org/officeDocument/2006/relationships/hyperlink" Target="https://npiregistry.cms.hhs.gov/provider-view/1659551869" TargetMode="External"/><Relationship Id="rId683" Type="http://schemas.openxmlformats.org/officeDocument/2006/relationships/hyperlink" Target="https://www.google.com/maps/search/?api=1&amp;query=Jonker+Chiropractic+Sc%2C+1730+E+Superior+St%2C+Duluth%2C+MN+55812" TargetMode="External"/><Relationship Id="rId33" Type="http://schemas.openxmlformats.org/officeDocument/2006/relationships/hyperlink" Target="https://www.google.com/maps/search/?api=1&amp;query=Exceptional+Chiropractic+P+A%2C+16230+Aberdeen+St+NE%2C+Ham+Lake%2C+MN+55304" TargetMode="External"/><Relationship Id="rId129" Type="http://schemas.openxmlformats.org/officeDocument/2006/relationships/hyperlink" Target="https://www.google.com/maps/search/?api=1&amp;query=Limitless+Chiropractic+LLC%2C+9086+Buchanan+Trl%2C+Inver+Grove+Heights%2C+MN+55076" TargetMode="External"/><Relationship Id="rId336" Type="http://schemas.openxmlformats.org/officeDocument/2006/relationships/hyperlink" Target="https://npiregistry.cms.hhs.gov/provider-view/1316285935" TargetMode="External"/><Relationship Id="rId543" Type="http://schemas.openxmlformats.org/officeDocument/2006/relationships/hyperlink" Target="https://www.google.com/maps/search/?api=1&amp;query=Valley+Chiropractic+Clinic%2C+LTD%2C+7975+Afton+Rd%2C+Woodbury%2C+MN+55125" TargetMode="External"/><Relationship Id="rId182" Type="http://schemas.openxmlformats.org/officeDocument/2006/relationships/hyperlink" Target="https://npiregistry.cms.hhs.gov/provider-view/1952120800" TargetMode="External"/><Relationship Id="rId403" Type="http://schemas.openxmlformats.org/officeDocument/2006/relationships/hyperlink" Target="https://www.google.com/maps/search/?api=1&amp;query=Zero+Distance+Acupuncture+LLC%2C+1736+Cope+Ave+E%2C+Maplewood%2C+MN+55109" TargetMode="External"/><Relationship Id="rId750" Type="http://schemas.openxmlformats.org/officeDocument/2006/relationships/hyperlink" Target="https://npiregistry.cms.hhs.gov/provider-view/1053274779" TargetMode="External"/><Relationship Id="rId848" Type="http://schemas.openxmlformats.org/officeDocument/2006/relationships/hyperlink" Target="https://npiregistry.cms.hhs.gov/provider-view/1659263754" TargetMode="External"/><Relationship Id="rId487" Type="http://schemas.openxmlformats.org/officeDocument/2006/relationships/hyperlink" Target="https://www.google.com/maps/search/?api=1&amp;query=Pathways+Chiropractic+Health+Center+of+Savage%2C+PA.%2C+14233+Oconnell+Ct%2C+Savage%2C+MN+55378" TargetMode="External"/><Relationship Id="rId610" Type="http://schemas.openxmlformats.org/officeDocument/2006/relationships/hyperlink" Target="https://npiregistry.cms.hhs.gov/provider-view/1104376169" TargetMode="External"/><Relationship Id="rId694" Type="http://schemas.openxmlformats.org/officeDocument/2006/relationships/hyperlink" Target="https://npiregistry.cms.hhs.gov/provider-view/1992193825" TargetMode="External"/><Relationship Id="rId708" Type="http://schemas.openxmlformats.org/officeDocument/2006/relationships/hyperlink" Target="https://npiregistry.cms.hhs.gov/provider-view/1811814122" TargetMode="External"/><Relationship Id="rId347" Type="http://schemas.openxmlformats.org/officeDocument/2006/relationships/hyperlink" Target="https://www.google.com/maps/search/?api=1&amp;query=Nielson+Family+Chiropractic+PLLC%2C+518+Central+Ave%2C+Osseo%2C+MN+55369" TargetMode="External"/><Relationship Id="rId44" Type="http://schemas.openxmlformats.org/officeDocument/2006/relationships/hyperlink" Target="https://npiregistry.cms.hhs.gov/provider-view/1982890810" TargetMode="External"/><Relationship Id="rId554" Type="http://schemas.openxmlformats.org/officeDocument/2006/relationships/hyperlink" Target="https://npiregistry.cms.hhs.gov/provider-view/1790589430" TargetMode="External"/><Relationship Id="rId761" Type="http://schemas.openxmlformats.org/officeDocument/2006/relationships/hyperlink" Target="https://www.google.com/maps/search/?api=1&amp;query=Stenzel+Chiropractic+Clinic%2C+PLLC%2C+313+Main+St+NE%2C+Mapleton%2C+MN+56065" TargetMode="External"/><Relationship Id="rId859" Type="http://schemas.openxmlformats.org/officeDocument/2006/relationships/hyperlink" Target="https://www.google.com/maps/search/?api=1&amp;query=Barberry+Health+%26+Spine%2C+118+W+College+Dr%2C+Marshall%2C+MN+56258" TargetMode="External"/><Relationship Id="rId193" Type="http://schemas.openxmlformats.org/officeDocument/2006/relationships/hyperlink" Target="https://www.google.com/maps/search/?api=1&amp;query=Tozer+Chiropractic+PA%2C+8500+Edinbrook+Pkwy%2C+Brooklyn+Park%2C+MN+55443" TargetMode="External"/><Relationship Id="rId207" Type="http://schemas.openxmlformats.org/officeDocument/2006/relationships/hyperlink" Target="https://www.google.com/maps/search/?api=1&amp;query=Eden+Prairie+Chirocenter%2C+7820+Terrey+Pine+Ct%2C+Eden+Prairie%2C+MN+55347" TargetMode="External"/><Relationship Id="rId414" Type="http://schemas.openxmlformats.org/officeDocument/2006/relationships/hyperlink" Target="https://npiregistry.cms.hhs.gov/provider-view/1124562616" TargetMode="External"/><Relationship Id="rId498" Type="http://schemas.openxmlformats.org/officeDocument/2006/relationships/hyperlink" Target="https://npiregistry.cms.hhs.gov/provider-view/1083882740" TargetMode="External"/><Relationship Id="rId621" Type="http://schemas.openxmlformats.org/officeDocument/2006/relationships/hyperlink" Target="https://www.google.com/maps/search/?api=1&amp;query=Bemidji+Health+and+Wellness+Center%2C+PC.%2C+403+America+Ave+NW%2C+Bemidji%2C+MN+56601" TargetMode="External"/><Relationship Id="rId260" Type="http://schemas.openxmlformats.org/officeDocument/2006/relationships/hyperlink" Target="https://npiregistry.cms.hhs.gov/provider-view/1356064323" TargetMode="External"/><Relationship Id="rId719" Type="http://schemas.openxmlformats.org/officeDocument/2006/relationships/hyperlink" Target="https://www.google.com/maps/search/?api=1&amp;query=Activecare+Chiropractic%2C+1804+Broadway+St%2C+Alexandria%2C+MN+56308" TargetMode="External"/><Relationship Id="rId55" Type="http://schemas.openxmlformats.org/officeDocument/2006/relationships/hyperlink" Target="https://www.google.com/maps/search/?api=1&amp;query=Peak+Chiropractic+LLC%2C+1107+Hazeltine+Blvd%2C+Chaska%2C+MN+55318" TargetMode="External"/><Relationship Id="rId120" Type="http://schemas.openxmlformats.org/officeDocument/2006/relationships/hyperlink" Target="https://npiregistry.cms.hhs.gov/provider-view/1730320276" TargetMode="External"/><Relationship Id="rId358" Type="http://schemas.openxmlformats.org/officeDocument/2006/relationships/hyperlink" Target="https://npiregistry.cms.hhs.gov/provider-view/1508032376" TargetMode="External"/><Relationship Id="rId565" Type="http://schemas.openxmlformats.org/officeDocument/2006/relationships/hyperlink" Target="https://www.google.com/maps/search/?api=1&amp;query=Healthsource+of+Delano%2C+128+River+St+N%2C+Delano%2C+MN+55328" TargetMode="External"/><Relationship Id="rId772" Type="http://schemas.openxmlformats.org/officeDocument/2006/relationships/hyperlink" Target="https://npiregistry.cms.hhs.gov/provider-view/1063696540" TargetMode="External"/><Relationship Id="rId218" Type="http://schemas.openxmlformats.org/officeDocument/2006/relationships/hyperlink" Target="https://npiregistry.cms.hhs.gov/provider-view/1558208033" TargetMode="External"/><Relationship Id="rId425" Type="http://schemas.openxmlformats.org/officeDocument/2006/relationships/hyperlink" Target="https://www.google.com/maps/search/?api=1&amp;query=Integrative+Orthopedic+Clinics%2C+PLLC%2C+2550+University+Ave+W%2C+St.+Paul%2C+MN+55114" TargetMode="External"/><Relationship Id="rId632" Type="http://schemas.openxmlformats.org/officeDocument/2006/relationships/hyperlink" Target="https://npiregistry.cms.hhs.gov/provider-view/1063305274" TargetMode="External"/><Relationship Id="rId271" Type="http://schemas.openxmlformats.org/officeDocument/2006/relationships/hyperlink" Target="https://www.google.com/maps/search/?api=1&amp;query=Sota+Chiropractic+LLC%2C+833+Meander+Ct%2C+Hamel%2C+MN+55340" TargetMode="External"/><Relationship Id="rId66" Type="http://schemas.openxmlformats.org/officeDocument/2006/relationships/hyperlink" Target="https://npiregistry.cms.hhs.gov/provider-view/1437943677" TargetMode="External"/><Relationship Id="rId131" Type="http://schemas.openxmlformats.org/officeDocument/2006/relationships/hyperlink" Target="https://www.google.com/maps/search/?api=1&amp;query=Optimum+Health%2C+7781+Amana+Trl%2C+Inver+Grove+Heights%2C+MN+55077" TargetMode="External"/><Relationship Id="rId369" Type="http://schemas.openxmlformats.org/officeDocument/2006/relationships/hyperlink" Target="https://www.google.com/maps/search/?api=1&amp;query=Aagesen+Chiropractic+Clinic+PA%2C+5050+W+36th+St%2C+St.+Louis+Park%2C+MN+55416" TargetMode="External"/><Relationship Id="rId576" Type="http://schemas.openxmlformats.org/officeDocument/2006/relationships/hyperlink" Target="https://npiregistry.cms.hhs.gov/provider-view/1770712135" TargetMode="External"/><Relationship Id="rId783" Type="http://schemas.openxmlformats.org/officeDocument/2006/relationships/hyperlink" Target="https://www.google.com/maps/search/?api=1&amp;query=Zebedee+Chiropractic%2C+PLLC%2C+118+W+2nd+St%2C+Fairmont%2C+MN+56031" TargetMode="External"/><Relationship Id="rId229" Type="http://schemas.openxmlformats.org/officeDocument/2006/relationships/hyperlink" Target="https://www.google.com/maps/search/?api=1&amp;query=Awaken+Life+Chiropractic%2C+LLC%2C+7401+Metro+Blvd%2C+Edina%2C+MN+55439" TargetMode="External"/><Relationship Id="rId436" Type="http://schemas.openxmlformats.org/officeDocument/2006/relationships/hyperlink" Target="https://npiregistry.cms.hhs.gov/provider-view/1902692585" TargetMode="External"/><Relationship Id="rId643" Type="http://schemas.openxmlformats.org/officeDocument/2006/relationships/hyperlink" Target="https://www.google.com/maps/search/?api=1&amp;query=Family+Chiropractic+Clinic+and+Physical+Therapy%2C+15574+Edgewood+Dr%2C+Baxter%2C+MN+56425" TargetMode="External"/><Relationship Id="rId850" Type="http://schemas.openxmlformats.org/officeDocument/2006/relationships/hyperlink" Target="https://npiregistry.cms.hhs.gov/provider-view/1649500984" TargetMode="External"/><Relationship Id="rId77" Type="http://schemas.openxmlformats.org/officeDocument/2006/relationships/hyperlink" Target="https://www.google.com/maps/search/?api=1&amp;query=Bloom+Chiropractic+Center+PA%2C+1606+Cliff+Rd+E%2C+Burnsville%2C+MN+55337" TargetMode="External"/><Relationship Id="rId282" Type="http://schemas.openxmlformats.org/officeDocument/2006/relationships/hyperlink" Target="https://npiregistry.cms.hhs.gov/provider-view/1487213377" TargetMode="External"/><Relationship Id="rId503" Type="http://schemas.openxmlformats.org/officeDocument/2006/relationships/hyperlink" Target="https://www.google.com/maps/search/?api=1&amp;query=Whole+Health+Chiropractic+PC%2C+8617+W+Point+Douglas+Rd+S%2C+Cottage+Grove%2C+MN+55016" TargetMode="External"/><Relationship Id="rId587" Type="http://schemas.openxmlformats.org/officeDocument/2006/relationships/hyperlink" Target="https://www.google.com/maps/search/?api=1&amp;query=St+Raphaels+Chiropractic+Care+Center+PLLC%2C+115+1st+St+W%2C+Milaca%2C+MN+56353" TargetMode="External"/><Relationship Id="rId710" Type="http://schemas.openxmlformats.org/officeDocument/2006/relationships/hyperlink" Target="https://npiregistry.cms.hhs.gov/provider-view/1982886024" TargetMode="External"/><Relationship Id="rId808" Type="http://schemas.openxmlformats.org/officeDocument/2006/relationships/hyperlink" Target="https://npiregistry.cms.hhs.gov/provider-view/1275553737" TargetMode="External"/><Relationship Id="rId8" Type="http://schemas.openxmlformats.org/officeDocument/2006/relationships/hyperlink" Target="https://npiregistry.cms.hhs.gov/provider-view/1538644885" TargetMode="External"/><Relationship Id="rId142" Type="http://schemas.openxmlformats.org/officeDocument/2006/relationships/hyperlink" Target="https://npiregistry.cms.hhs.gov/provider-view/1205083540" TargetMode="External"/><Relationship Id="rId447" Type="http://schemas.openxmlformats.org/officeDocument/2006/relationships/hyperlink" Target="https://www.google.com/maps/search/?api=1&amp;query=Spinal+Health+LLC%2C+1204+Grand+Ave%2C+St.+Paul%2C+MN+55105" TargetMode="External"/><Relationship Id="rId794" Type="http://schemas.openxmlformats.org/officeDocument/2006/relationships/hyperlink" Target="https://npiregistry.cms.hhs.gov/provider-view/1700625217" TargetMode="External"/><Relationship Id="rId654" Type="http://schemas.openxmlformats.org/officeDocument/2006/relationships/hyperlink" Target="https://npiregistry.cms.hhs.gov/provider-view/1124649108" TargetMode="External"/><Relationship Id="rId861" Type="http://schemas.openxmlformats.org/officeDocument/2006/relationships/hyperlink" Target="https://www.google.com/maps/search/?api=1&amp;query=Complete+Health+Center+PA%2C+111+Jewett+St%2C+Marshall%2C+MN+56258" TargetMode="External"/><Relationship Id="rId293" Type="http://schemas.openxmlformats.org/officeDocument/2006/relationships/hyperlink" Target="https://www.google.com/maps/search/?api=1&amp;query=Northbound+Chiropractic+PLLC%2C+1532+Meadow+Ln%2C+Maple+Plain%2C+MN+55359" TargetMode="External"/><Relationship Id="rId307" Type="http://schemas.openxmlformats.org/officeDocument/2006/relationships/hyperlink" Target="https://www.google.com/maps/search/?api=1&amp;query=Lakes+Holistic+Care+LLC%2C+5601+Chicago+Ave%2C+Minneapolis%2C+MN+55417" TargetMode="External"/><Relationship Id="rId514" Type="http://schemas.openxmlformats.org/officeDocument/2006/relationships/hyperlink" Target="https://npiregistry.cms.hhs.gov/provider-view/1275736613" TargetMode="External"/><Relationship Id="rId721" Type="http://schemas.openxmlformats.org/officeDocument/2006/relationships/hyperlink" Target="https://www.google.com/maps/search/?api=1&amp;query=Johnson+Chiropractic+and+Sports+Clinic%2C+503+Hawthorne+St%2C+Alexandria%2C+MN+56308" TargetMode="External"/><Relationship Id="rId88" Type="http://schemas.openxmlformats.org/officeDocument/2006/relationships/hyperlink" Target="https://npiregistry.cms.hhs.gov/provider-view/1710216858" TargetMode="External"/><Relationship Id="rId153" Type="http://schemas.openxmlformats.org/officeDocument/2006/relationships/hyperlink" Target="https://www.google.com/maps/search/?api=1&amp;query=Turning+Leaf+Chiropractic%2C+PA.%2C+10438+185th+St+W%2C+Lakeville%2C+MN+55044" TargetMode="External"/><Relationship Id="rId360" Type="http://schemas.openxmlformats.org/officeDocument/2006/relationships/hyperlink" Target="https://npiregistry.cms.hhs.gov/provider-view/1063013340" TargetMode="External"/><Relationship Id="rId598" Type="http://schemas.openxmlformats.org/officeDocument/2006/relationships/hyperlink" Target="https://npiregistry.cms.hhs.gov/provider-view/1801495957" TargetMode="External"/><Relationship Id="rId819" Type="http://schemas.openxmlformats.org/officeDocument/2006/relationships/hyperlink" Target="https://www.google.com/maps/search/?api=1&amp;query=Elevate+Chiropractic+and+Wellness%2C+2768+Superior+Dr+NW%2C+Rochester%2C+MN+55901" TargetMode="External"/><Relationship Id="rId220" Type="http://schemas.openxmlformats.org/officeDocument/2006/relationships/hyperlink" Target="https://npiregistry.cms.hhs.gov/provider-view/1144551383" TargetMode="External"/><Relationship Id="rId458" Type="http://schemas.openxmlformats.org/officeDocument/2006/relationships/hyperlink" Target="https://npiregistry.cms.hhs.gov/provider-view/1578854048" TargetMode="External"/><Relationship Id="rId665" Type="http://schemas.openxmlformats.org/officeDocument/2006/relationships/hyperlink" Target="https://www.google.com/maps/search/?api=1&amp;query=Always+In+Motion+Chiropractic%2C+1235+S+Pokegama+Ave%2C+Grand+Rapids%2C+MN+55744" TargetMode="External"/><Relationship Id="rId872" Type="http://schemas.openxmlformats.org/officeDocument/2006/relationships/hyperlink" Target="https://npiregistry.cms.hhs.gov/provider-view/1184613226"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oogle.com/maps/search/?api=1&amp;query=Viverant+PT+LLC%2C+5107+W+98th+St%2C+Bloomington%2C+MN+55437" TargetMode="External"/><Relationship Id="rId21" Type="http://schemas.openxmlformats.org/officeDocument/2006/relationships/hyperlink" Target="https://www.google.com/maps/search/?api=1&amp;query=Therapy+Partners+INC%2C+11800+Xeon+Blvd+NW%2C+Coon+Rapids%2C+MN+55448" TargetMode="External"/><Relationship Id="rId324" Type="http://schemas.openxmlformats.org/officeDocument/2006/relationships/hyperlink" Target="https://npiregistry.cms.hhs.gov/provider-view/1558099747" TargetMode="External"/><Relationship Id="rId531" Type="http://schemas.openxmlformats.org/officeDocument/2006/relationships/hyperlink" Target="https://www.google.com/maps/search/?api=1&amp;query=Prairie+Rehabilitation+Services%2C+INC%2C+412+Fox+Lake+Avenue%2C+Sherburn%2C+MN+56171" TargetMode="External"/><Relationship Id="rId170" Type="http://schemas.openxmlformats.org/officeDocument/2006/relationships/hyperlink" Target="https://npiregistry.cms.hhs.gov/provider-view/1720969785" TargetMode="External"/><Relationship Id="rId268" Type="http://schemas.openxmlformats.org/officeDocument/2006/relationships/hyperlink" Target="https://npiregistry.cms.hhs.gov/provider-view/1467736231" TargetMode="External"/><Relationship Id="rId475" Type="http://schemas.openxmlformats.org/officeDocument/2006/relationships/hyperlink" Target="https://www.google.com/maps/search/?api=1&amp;query=Renewed+Therapy+LLC%2C+505+W+2nd+St%2C+Argyle%2C+MN+56713" TargetMode="External"/><Relationship Id="rId32" Type="http://schemas.openxmlformats.org/officeDocument/2006/relationships/hyperlink" Target="https://npiregistry.cms.hhs.gov/provider-view/1114885357" TargetMode="External"/><Relationship Id="rId128" Type="http://schemas.openxmlformats.org/officeDocument/2006/relationships/hyperlink" Target="https://npiregistry.cms.hhs.gov/provider-view/1306496278" TargetMode="External"/><Relationship Id="rId335" Type="http://schemas.openxmlformats.org/officeDocument/2006/relationships/hyperlink" Target="https://www.google.com/maps/search/?api=1&amp;query=Therapy+Partners%2C+INC.%2C+18055+198th+Ave+NW%2C+Big+Lake%2C+MN+55309" TargetMode="External"/><Relationship Id="rId542" Type="http://schemas.openxmlformats.org/officeDocument/2006/relationships/hyperlink" Target="https://npiregistry.cms.hhs.gov/provider-view/1174107072" TargetMode="External"/><Relationship Id="rId181" Type="http://schemas.openxmlformats.org/officeDocument/2006/relationships/hyperlink" Target="https://www.google.com/maps/search/?api=1&amp;query=Sunnydays+Therapy+INC%2C+6433+Sycamore+Ct+N%2C+Maple+Grove%2C+MN+55369" TargetMode="External"/><Relationship Id="rId402" Type="http://schemas.openxmlformats.org/officeDocument/2006/relationships/hyperlink" Target="https://npiregistry.cms.hhs.gov/provider-view/1285486944" TargetMode="External"/><Relationship Id="rId279" Type="http://schemas.openxmlformats.org/officeDocument/2006/relationships/hyperlink" Target="https://www.google.com/maps/search/?api=1&amp;query=Arete+Networks+of+Minnesota+LLC%2C+1021+Bandana+Blvd+E%2C+St.+Paul%2C+MN+55108" TargetMode="External"/><Relationship Id="rId486" Type="http://schemas.openxmlformats.org/officeDocument/2006/relationships/hyperlink" Target="https://npiregistry.cms.hhs.gov/provider-view/1982477030" TargetMode="External"/><Relationship Id="rId43" Type="http://schemas.openxmlformats.org/officeDocument/2006/relationships/hyperlink" Target="https://www.google.com/maps/search/?api=1&amp;query=Liberty+Physical+Therapy+LLC%2C+272+Cimarron+Rd%2C+Apple+Valley%2C+MN+55124" TargetMode="External"/><Relationship Id="rId139" Type="http://schemas.openxmlformats.org/officeDocument/2006/relationships/hyperlink" Target="https://www.google.com/maps/search/?api=1&amp;query=Sturm+Physical+Therapy+%26+Lymphatic+Health+LLC%2C+8901+Aztec+Dr%2C+Eden+Prairie%2C+MN+55347" TargetMode="External"/><Relationship Id="rId346" Type="http://schemas.openxmlformats.org/officeDocument/2006/relationships/hyperlink" Target="https://npiregistry.cms.hhs.gov/provider-view/1225918279" TargetMode="External"/><Relationship Id="rId553" Type="http://schemas.openxmlformats.org/officeDocument/2006/relationships/hyperlink" Target="https://www.google.com/maps/search/?api=1&amp;query=Activept+Corp%2C+3265+19th+St+NW%2C+Rochester%2C+MN+55901" TargetMode="External"/><Relationship Id="rId192" Type="http://schemas.openxmlformats.org/officeDocument/2006/relationships/hyperlink" Target="https://npiregistry.cms.hhs.gov/provider-view/1043199334" TargetMode="External"/><Relationship Id="rId206" Type="http://schemas.openxmlformats.org/officeDocument/2006/relationships/hyperlink" Target="https://npiregistry.cms.hhs.gov/provider-view/1760263461" TargetMode="External"/><Relationship Id="rId413" Type="http://schemas.openxmlformats.org/officeDocument/2006/relationships/hyperlink" Target="https://www.google.com/maps/search/?api=1&amp;query=Kinesis+Physical+Therapy%2C+INC%2C+1521+Northway+Dr%2C+St.+Cloud%2C+MN+56303" TargetMode="External"/><Relationship Id="rId497" Type="http://schemas.openxmlformats.org/officeDocument/2006/relationships/hyperlink" Target="https://www.google.com/maps/search/?api=1&amp;query=Med-Plus+Physical+Therapy%2C+2901+S+Frontage+Rd%2C+Moorhead%2C+MN+56560" TargetMode="External"/><Relationship Id="rId357" Type="http://schemas.openxmlformats.org/officeDocument/2006/relationships/hyperlink" Target="https://www.google.com/maps/search/?api=1&amp;query=Fluid+Health+and+Fitness%2C+5639+Memorial+Ave+N%2C+Stillwater%2C+MN+55082" TargetMode="External"/><Relationship Id="rId54" Type="http://schemas.openxmlformats.org/officeDocument/2006/relationships/hyperlink" Target="https://npiregistry.cms.hhs.gov/provider-view/1407809494" TargetMode="External"/><Relationship Id="rId217" Type="http://schemas.openxmlformats.org/officeDocument/2006/relationships/hyperlink" Target="https://www.google.com/maps/search/?api=1&amp;query=Sunnydays+Therapy+INC%2C+15265+Minnetonka+Boulevard%2C+Minnetonka%2C+MN+55345" TargetMode="External"/><Relationship Id="rId564" Type="http://schemas.openxmlformats.org/officeDocument/2006/relationships/hyperlink" Target="https://npiregistry.cms.hhs.gov/provider-view/1407809494" TargetMode="External"/><Relationship Id="rId424" Type="http://schemas.openxmlformats.org/officeDocument/2006/relationships/hyperlink" Target="https://npiregistry.cms.hhs.gov/provider-view/1659298016" TargetMode="External"/><Relationship Id="rId270" Type="http://schemas.openxmlformats.org/officeDocument/2006/relationships/hyperlink" Target="https://npiregistry.cms.hhs.gov/provider-view/1861948739" TargetMode="External"/><Relationship Id="rId65" Type="http://schemas.openxmlformats.org/officeDocument/2006/relationships/hyperlink" Target="https://www.google.com/maps/search/?api=1&amp;query=Therapy+Partners%2C+INC.%2C+1351+Larc+Industrial+Blvd%2C+Burnsville%2C+MN+55337" TargetMode="External"/><Relationship Id="rId130" Type="http://schemas.openxmlformats.org/officeDocument/2006/relationships/hyperlink" Target="https://npiregistry.cms.hhs.gov/provider-view/1861405128" TargetMode="External"/><Relationship Id="rId368" Type="http://schemas.openxmlformats.org/officeDocument/2006/relationships/hyperlink" Target="https://npiregistry.cms.hhs.gov/provider-view/1942174644" TargetMode="External"/><Relationship Id="rId575" Type="http://schemas.openxmlformats.org/officeDocument/2006/relationships/hyperlink" Target="https://www.google.com/maps/search/?api=1&amp;query=Big+Stone+Therapies%2C+INC%2C+123+W+Broadway+St%2C+Owatonna%2C+MN+55060" TargetMode="External"/><Relationship Id="rId228" Type="http://schemas.openxmlformats.org/officeDocument/2006/relationships/hyperlink" Target="https://npiregistry.cms.hhs.gov/provider-view/1831587930" TargetMode="External"/><Relationship Id="rId435" Type="http://schemas.openxmlformats.org/officeDocument/2006/relationships/hyperlink" Target="https://www.google.com/maps/search/?api=1&amp;query=Select+Therapy%2C+INC.%2C+31170+Government+Dr%2C+Pequot+Lakes%2C+MN+56472" TargetMode="External"/><Relationship Id="rId281" Type="http://schemas.openxmlformats.org/officeDocument/2006/relationships/hyperlink" Target="https://www.google.com/maps/search/?api=1&amp;query=Berres+PT+and+Yoga+LLC%2C+165+Dunlap+St+N%2C+St.+Paul%2C+MN+55104" TargetMode="External"/><Relationship Id="rId502" Type="http://schemas.openxmlformats.org/officeDocument/2006/relationships/hyperlink" Target="https://npiregistry.cms.hhs.gov/provider-view/1306319389" TargetMode="External"/><Relationship Id="rId76" Type="http://schemas.openxmlformats.org/officeDocument/2006/relationships/hyperlink" Target="https://npiregistry.cms.hhs.gov/provider-view/1063563518" TargetMode="External"/><Relationship Id="rId141" Type="http://schemas.openxmlformats.org/officeDocument/2006/relationships/hyperlink" Target="https://www.google.com/maps/search/?api=1&amp;query=Therapy+Partners%2C+INC.%2C+11995+Singletree+Ln%2C+Eden+Prairie%2C+MN+55344" TargetMode="External"/><Relationship Id="rId379" Type="http://schemas.openxmlformats.org/officeDocument/2006/relationships/hyperlink" Target="https://www.google.com/maps/search/?api=1&amp;query=Skilled+Fitness+%26+Therapy+LLC%2C+170+Willow+Dr+W%2C+Annandale%2C+MN+55302" TargetMode="External"/><Relationship Id="rId586" Type="http://schemas.openxmlformats.org/officeDocument/2006/relationships/hyperlink" Target="https://npiregistry.cms.hhs.gov/provider-view/1659838290" TargetMode="External"/><Relationship Id="rId7" Type="http://schemas.openxmlformats.org/officeDocument/2006/relationships/hyperlink" Target="https://www.google.com/maps/search/?api=1&amp;query=Novacare+Rehabilitation%2C+11855+Ulysses+St+NE%2C+Blaine%2C+MN+55434" TargetMode="External"/><Relationship Id="rId239" Type="http://schemas.openxmlformats.org/officeDocument/2006/relationships/hyperlink" Target="https://www.google.com/maps/search/?api=1&amp;query=Therapy+Partners%2C+INC.%2C+15010+23rd+Ave+N%2C+Plymouth%2C+MN+55447" TargetMode="External"/><Relationship Id="rId446" Type="http://schemas.openxmlformats.org/officeDocument/2006/relationships/hyperlink" Target="https://npiregistry.cms.hhs.gov/provider-view/1881431419" TargetMode="External"/><Relationship Id="rId292" Type="http://schemas.openxmlformats.org/officeDocument/2006/relationships/hyperlink" Target="https://npiregistry.cms.hhs.gov/provider-view/1558208033" TargetMode="External"/><Relationship Id="rId306" Type="http://schemas.openxmlformats.org/officeDocument/2006/relationships/hyperlink" Target="https://npiregistry.cms.hhs.gov/provider-view/1225908577" TargetMode="External"/><Relationship Id="rId87" Type="http://schemas.openxmlformats.org/officeDocument/2006/relationships/hyperlink" Target="https://www.google.com/maps/search/?api=1&amp;query=Therapy+Ops%2C+LLC%2C+2925+Buckley+Way%2C+Inver+Grove+Heights%2C+MN+55076" TargetMode="External"/><Relationship Id="rId513" Type="http://schemas.openxmlformats.org/officeDocument/2006/relationships/hyperlink" Target="https://www.google.com/maps/search/?api=1&amp;query=True+Freedom+Physical+Therapy+LLC%2C+1103+Broadway+St%2C+Alexandria%2C+MN+56308" TargetMode="External"/><Relationship Id="rId597" Type="http://schemas.openxmlformats.org/officeDocument/2006/relationships/table" Target="../tables/table4.xml"/><Relationship Id="rId152" Type="http://schemas.openxmlformats.org/officeDocument/2006/relationships/hyperlink" Target="https://npiregistry.cms.hhs.gov/provider-view/1841063872" TargetMode="External"/><Relationship Id="rId457" Type="http://schemas.openxmlformats.org/officeDocument/2006/relationships/hyperlink" Target="https://www.google.com/maps/search/?api=1&amp;query=Northern+Movement%2C+5726+Wyoming+St%2C+Duluth%2C+MN+55804" TargetMode="External"/><Relationship Id="rId261" Type="http://schemas.openxmlformats.org/officeDocument/2006/relationships/hyperlink" Target="https://www.google.com/maps/search/?api=1&amp;query=Ascend+Rehab%2C+LLC%2C+1660+Highway+100+S%2C+St.+Louis+Park%2C+MN+55416" TargetMode="External"/><Relationship Id="rId499" Type="http://schemas.openxmlformats.org/officeDocument/2006/relationships/hyperlink" Target="https://www.google.com/maps/search/?api=1&amp;query=Med-Plus+Physical+Therapy%2C+312+Highway+75+N%2C+Moorhead%2C+MN+56560" TargetMode="External"/><Relationship Id="rId14" Type="http://schemas.openxmlformats.org/officeDocument/2006/relationships/hyperlink" Target="https://npiregistry.cms.hhs.gov/provider-view/1386466886" TargetMode="External"/><Relationship Id="rId56" Type="http://schemas.openxmlformats.org/officeDocument/2006/relationships/hyperlink" Target="https://npiregistry.cms.hhs.gov/provider-view/1407809494" TargetMode="External"/><Relationship Id="rId317" Type="http://schemas.openxmlformats.org/officeDocument/2006/relationships/hyperlink" Target="https://www.google.com/maps/search/?api=1&amp;query=Fix+It+Physical+Therapy%2C+LLC%2C+3485+Willow+Lake+Blvd%2C+Vadnais+Heights%2C+MN+55110" TargetMode="External"/><Relationship Id="rId359" Type="http://schemas.openxmlformats.org/officeDocument/2006/relationships/hyperlink" Target="https://www.google.com/maps/search/?api=1&amp;query=Awake+Pelvic+Health+and+Wellness+LLC%2C+700+Commerce+Dr%2C+Woodbury%2C+MN+55125" TargetMode="External"/><Relationship Id="rId524" Type="http://schemas.openxmlformats.org/officeDocument/2006/relationships/hyperlink" Target="https://npiregistry.cms.hhs.gov/provider-view/1134001670" TargetMode="External"/><Relationship Id="rId566" Type="http://schemas.openxmlformats.org/officeDocument/2006/relationships/hyperlink" Target="https://npiregistry.cms.hhs.gov/provider-view/1407809494" TargetMode="External"/><Relationship Id="rId98" Type="http://schemas.openxmlformats.org/officeDocument/2006/relationships/hyperlink" Target="https://npiregistry.cms.hhs.gov/provider-view/1487064507" TargetMode="External"/><Relationship Id="rId121" Type="http://schemas.openxmlformats.org/officeDocument/2006/relationships/hyperlink" Target="https://www.google.com/maps/search/?api=1&amp;query=Sunnydays+Therapy+INC%2C+18872+Lake+Dr+E%2C+Chanhassen%2C+MN+55317" TargetMode="External"/><Relationship Id="rId163" Type="http://schemas.openxmlformats.org/officeDocument/2006/relationships/hyperlink" Target="https://www.google.com/maps/search/?api=1&amp;query=Therapy+Partners%2C+INC.%2C+6529+Cecilia+Cir%2C+Edina%2C+MN+55439" TargetMode="External"/><Relationship Id="rId219" Type="http://schemas.openxmlformats.org/officeDocument/2006/relationships/hyperlink" Target="https://www.google.com/maps/search/?api=1&amp;query=Therapeutic+Intervention+Programs%2C+INC.%2C+10721+Smetana+Rd%2C+Minnetonka%2C+MN+55343" TargetMode="External"/><Relationship Id="rId370" Type="http://schemas.openxmlformats.org/officeDocument/2006/relationships/hyperlink" Target="https://npiregistry.cms.hhs.gov/provider-view/1306899463" TargetMode="External"/><Relationship Id="rId426" Type="http://schemas.openxmlformats.org/officeDocument/2006/relationships/hyperlink" Target="https://npiregistry.cms.hhs.gov/provider-view/1558030098" TargetMode="External"/><Relationship Id="rId230" Type="http://schemas.openxmlformats.org/officeDocument/2006/relationships/hyperlink" Target="https://npiregistry.cms.hhs.gov/provider-view/1871037630" TargetMode="External"/><Relationship Id="rId468" Type="http://schemas.openxmlformats.org/officeDocument/2006/relationships/hyperlink" Target="https://npiregistry.cms.hhs.gov/provider-view/1407809494" TargetMode="External"/><Relationship Id="rId25" Type="http://schemas.openxmlformats.org/officeDocument/2006/relationships/hyperlink" Target="https://www.google.com/maps/search/?api=1&amp;query=Novacare+Rehabilitation%2C+480+Osborne+Road%2C+Fridley%2C+MN+55432" TargetMode="External"/><Relationship Id="rId67" Type="http://schemas.openxmlformats.org/officeDocument/2006/relationships/hyperlink" Target="https://www.google.com/maps/search/?api=1&amp;query=Children%27s+Therapy+Center%2C+INC%2C+2795+Pilot+Knob+Rd%2C+Eagan%2C+MN+55121" TargetMode="External"/><Relationship Id="rId272" Type="http://schemas.openxmlformats.org/officeDocument/2006/relationships/hyperlink" Target="https://npiregistry.cms.hhs.gov/provider-view/1356454391" TargetMode="External"/><Relationship Id="rId328" Type="http://schemas.openxmlformats.org/officeDocument/2006/relationships/hyperlink" Target="https://npiregistry.cms.hhs.gov/provider-view/1407809494" TargetMode="External"/><Relationship Id="rId535" Type="http://schemas.openxmlformats.org/officeDocument/2006/relationships/hyperlink" Target="https://www.google.com/maps/search/?api=1&amp;query=St.+James+Area+Rehabilitation+Services%2C+1101+Moulton+And+Parsons+Dr%2C+St.+James%2C+MN+56081" TargetMode="External"/><Relationship Id="rId577" Type="http://schemas.openxmlformats.org/officeDocument/2006/relationships/hyperlink" Target="https://www.google.com/maps/search/?api=1&amp;query=Compcare+Occupational+Medicine+%26+Urgent+Care%2C+1232+S+Oak+Ave%2C+Owatonna%2C+MN+55060" TargetMode="External"/><Relationship Id="rId132" Type="http://schemas.openxmlformats.org/officeDocument/2006/relationships/hyperlink" Target="https://npiregistry.cms.hhs.gov/provider-view/1710216858" TargetMode="External"/><Relationship Id="rId174" Type="http://schemas.openxmlformats.org/officeDocument/2006/relationships/hyperlink" Target="https://npiregistry.cms.hhs.gov/provider-view/1326398561" TargetMode="External"/><Relationship Id="rId381" Type="http://schemas.openxmlformats.org/officeDocument/2006/relationships/hyperlink" Target="https://www.google.com/maps/search/?api=1&amp;query=Novacare+Rehabilitation%2C+300+Catlin+St%2C+Buffalo%2C+MN+55313" TargetMode="External"/><Relationship Id="rId241" Type="http://schemas.openxmlformats.org/officeDocument/2006/relationships/hyperlink" Target="https://www.google.com/maps/search/?api=1&amp;query=Therapy+Partners%2C+INC.%2C+14100+Carlson+Pkwy%2C+Plymouth%2C+MN+55441" TargetMode="External"/><Relationship Id="rId437" Type="http://schemas.openxmlformats.org/officeDocument/2006/relationships/hyperlink" Target="https://www.google.com/maps/search/?api=1&amp;query=Essentia+Health+Park+Rapids+Therapy%2C+1103+1st+St+E%2C+Park+Rapids%2C+MN+56470" TargetMode="External"/><Relationship Id="rId479" Type="http://schemas.openxmlformats.org/officeDocument/2006/relationships/hyperlink" Target="https://www.google.com/maps/search/?api=1&amp;query=Pediatric+Therapy+Partners%2C+INC.%2C+419+Atlantic+Ave%2C+Thief+River+Falls%2C+MN+56701" TargetMode="External"/><Relationship Id="rId36" Type="http://schemas.openxmlformats.org/officeDocument/2006/relationships/hyperlink" Target="https://npiregistry.cms.hhs.gov/provider-view/1790266153" TargetMode="External"/><Relationship Id="rId283" Type="http://schemas.openxmlformats.org/officeDocument/2006/relationships/hyperlink" Target="https://www.google.com/maps/search/?api=1&amp;query=Concentra+Medical+Center%2C+1661+Saint+Anthony+Ave%2C+St.+Paul%2C+MN+55104" TargetMode="External"/><Relationship Id="rId339" Type="http://schemas.openxmlformats.org/officeDocument/2006/relationships/hyperlink" Target="https://www.google.com/maps/search/?api=1&amp;query=Novacare+Rehabilitation%2C+555+Railroad+Dr+NW%2C+Elk+River%2C+MN+55330" TargetMode="External"/><Relationship Id="rId490" Type="http://schemas.openxmlformats.org/officeDocument/2006/relationships/hyperlink" Target="https://npiregistry.cms.hhs.gov/provider-view/1063113470" TargetMode="External"/><Relationship Id="rId504" Type="http://schemas.openxmlformats.org/officeDocument/2006/relationships/hyperlink" Target="https://npiregistry.cms.hhs.gov/provider-view/1730988817" TargetMode="External"/><Relationship Id="rId546" Type="http://schemas.openxmlformats.org/officeDocument/2006/relationships/hyperlink" Target="https://npiregistry.cms.hhs.gov/provider-view/1801600036" TargetMode="External"/><Relationship Id="rId78" Type="http://schemas.openxmlformats.org/officeDocument/2006/relationships/hyperlink" Target="https://npiregistry.cms.hhs.gov/provider-view/1407809494" TargetMode="External"/><Relationship Id="rId101" Type="http://schemas.openxmlformats.org/officeDocument/2006/relationships/hyperlink" Target="https://www.google.com/maps/search/?api=1&amp;query=Nielson+Family+Chiropractic+PLLC%2C+14450+S+Robert+Trl%2C+Rosemount%2C+MN+55068" TargetMode="External"/><Relationship Id="rId143" Type="http://schemas.openxmlformats.org/officeDocument/2006/relationships/hyperlink" Target="https://www.google.com/maps/search/?api=1&amp;query=Active+Life+Physical+Therapy+and+Wellness+LLC%2C+5200+Willson+Rd%2C+Edina%2C+MN+55424" TargetMode="External"/><Relationship Id="rId185" Type="http://schemas.openxmlformats.org/officeDocument/2006/relationships/hyperlink" Target="https://www.google.com/maps/search/?api=1&amp;query=Arlo+Physical+Therapy+%26+Wellness%2C+575+9th+St+SE%2C+Minneapolis%2C+MN+55414" TargetMode="External"/><Relationship Id="rId350" Type="http://schemas.openxmlformats.org/officeDocument/2006/relationships/hyperlink" Target="https://npiregistry.cms.hhs.gov/provider-view/1720156680" TargetMode="External"/><Relationship Id="rId406" Type="http://schemas.openxmlformats.org/officeDocument/2006/relationships/hyperlink" Target="https://npiregistry.cms.hhs.gov/provider-view/1770646937" TargetMode="External"/><Relationship Id="rId588" Type="http://schemas.openxmlformats.org/officeDocument/2006/relationships/hyperlink" Target="https://npiregistry.cms.hhs.gov/provider-view/1124044656" TargetMode="External"/><Relationship Id="rId9" Type="http://schemas.openxmlformats.org/officeDocument/2006/relationships/hyperlink" Target="https://www.google.com/maps/search/?api=1&amp;query=Concentra+Medical+Center%2C+600+Coon+Rapids+Blvd+NW%2C+Coon+Rapids%2C+MN+55433" TargetMode="External"/><Relationship Id="rId210" Type="http://schemas.openxmlformats.org/officeDocument/2006/relationships/hyperlink" Target="https://npiregistry.cms.hhs.gov/provider-view/1669365839" TargetMode="External"/><Relationship Id="rId392" Type="http://schemas.openxmlformats.org/officeDocument/2006/relationships/hyperlink" Target="https://npiregistry.cms.hhs.gov/provider-view/1740816941" TargetMode="External"/><Relationship Id="rId448" Type="http://schemas.openxmlformats.org/officeDocument/2006/relationships/hyperlink" Target="https://npiregistry.cms.hhs.gov/provider-view/1124044656" TargetMode="External"/><Relationship Id="rId252" Type="http://schemas.openxmlformats.org/officeDocument/2006/relationships/hyperlink" Target="https://npiregistry.cms.hhs.gov/provider-view/1326289422" TargetMode="External"/><Relationship Id="rId294" Type="http://schemas.openxmlformats.org/officeDocument/2006/relationships/hyperlink" Target="https://npiregistry.cms.hhs.gov/provider-view/1780288134" TargetMode="External"/><Relationship Id="rId308" Type="http://schemas.openxmlformats.org/officeDocument/2006/relationships/hyperlink" Target="https://npiregistry.cms.hhs.gov/provider-view/1962429779" TargetMode="External"/><Relationship Id="rId515" Type="http://schemas.openxmlformats.org/officeDocument/2006/relationships/hyperlink" Target="https://www.google.com/maps/search/?api=1&amp;query=Viverant+PT+LLC%2C+301+30th+Ave+W%2C+Alexandria%2C+MN+56308" TargetMode="External"/><Relationship Id="rId47" Type="http://schemas.openxmlformats.org/officeDocument/2006/relationships/hyperlink" Target="https://www.google.com/maps/search/?api=1&amp;query=North+Star+Balance+LLC%2C+15083+Flagstaff+Ave%2C+Apple+Valley%2C+MN+55124" TargetMode="External"/><Relationship Id="rId89" Type="http://schemas.openxmlformats.org/officeDocument/2006/relationships/hyperlink" Target="https://www.google.com/maps/search/?api=1&amp;query=Fyzical+Therapy+%26+Balance%2C+17761+Kenwood+Trl%2C+Lakeville%2C+MN+55044" TargetMode="External"/><Relationship Id="rId112" Type="http://schemas.openxmlformats.org/officeDocument/2006/relationships/hyperlink" Target="https://npiregistry.cms.hhs.gov/provider-view/1952091464" TargetMode="External"/><Relationship Id="rId154" Type="http://schemas.openxmlformats.org/officeDocument/2006/relationships/hyperlink" Target="https://npiregistry.cms.hhs.gov/provider-view/1710216858" TargetMode="External"/><Relationship Id="rId361" Type="http://schemas.openxmlformats.org/officeDocument/2006/relationships/hyperlink" Target="https://www.google.com/maps/search/?api=1&amp;query=Awake+Pelvic+Health+and+Wellness+LLC%2C+3213+Countryside+Ct%2C+Woodbury%2C+MN+55129" TargetMode="External"/><Relationship Id="rId557" Type="http://schemas.openxmlformats.org/officeDocument/2006/relationships/hyperlink" Target="https://www.google.com/maps/search/?api=1&amp;query=Compcare+Occupational+Medicine+%26+Urgent+Care%2C+5507+Chateau+Rd+NW%2C+Rochester%2C+MN+55901" TargetMode="External"/><Relationship Id="rId196" Type="http://schemas.openxmlformats.org/officeDocument/2006/relationships/hyperlink" Target="https://npiregistry.cms.hhs.gov/provider-view/1073361283" TargetMode="External"/><Relationship Id="rId417" Type="http://schemas.openxmlformats.org/officeDocument/2006/relationships/hyperlink" Target="https://www.google.com/maps/search/?api=1&amp;query=Dakota+Clinic%2C+LTD.+Detroit+Lakes%2C+125+Frazee+St+E%2C+Detroit+Lakes%2C+MN+56501" TargetMode="External"/><Relationship Id="rId459" Type="http://schemas.openxmlformats.org/officeDocument/2006/relationships/hyperlink" Target="https://www.google.com/maps/search/?api=1&amp;query=Therapy+Partners%2C+INC.%2C+66+E+Saint+Marie+St%2C+Duluth%2C+MN+55803" TargetMode="External"/><Relationship Id="rId16" Type="http://schemas.openxmlformats.org/officeDocument/2006/relationships/hyperlink" Target="https://npiregistry.cms.hhs.gov/provider-view/1982246013" TargetMode="External"/><Relationship Id="rId221" Type="http://schemas.openxmlformats.org/officeDocument/2006/relationships/hyperlink" Target="https://www.google.com/maps/search/?api=1&amp;query=Therapy+Partners%2C+INC.%2C+10650+Red+Circle+Dr%2C+Minnetonka%2C+MN+55343" TargetMode="External"/><Relationship Id="rId263" Type="http://schemas.openxmlformats.org/officeDocument/2006/relationships/hyperlink" Target="https://www.google.com/maps/search/?api=1&amp;query=Minnesota+Medical+and+Rehabilitation%2C+4201+Excelsior+Blvd%2C+St.+Louis+Park%2C+MN+55416" TargetMode="External"/><Relationship Id="rId319" Type="http://schemas.openxmlformats.org/officeDocument/2006/relationships/hyperlink" Target="https://www.google.com/maps/search/?api=1&amp;query=Novacare+Rehabilitation%2C+480+Highway+96+E%2C+Vadnais+Heights%2C+MN+55127" TargetMode="External"/><Relationship Id="rId470" Type="http://schemas.openxmlformats.org/officeDocument/2006/relationships/hyperlink" Target="https://npiregistry.cms.hhs.gov/provider-view/1407809494" TargetMode="External"/><Relationship Id="rId526" Type="http://schemas.openxmlformats.org/officeDocument/2006/relationships/hyperlink" Target="https://npiregistry.cms.hhs.gov/provider-view/1386358141" TargetMode="External"/><Relationship Id="rId58" Type="http://schemas.openxmlformats.org/officeDocument/2006/relationships/hyperlink" Target="https://npiregistry.cms.hhs.gov/provider-view/1710216858" TargetMode="External"/><Relationship Id="rId123" Type="http://schemas.openxmlformats.org/officeDocument/2006/relationships/hyperlink" Target="https://www.google.com/maps/search/?api=1&amp;query=Novacare+Rehabilitation%2C+5700+Bottineau+Blvd%2C+Crystal%2C+MN+55429" TargetMode="External"/><Relationship Id="rId330" Type="http://schemas.openxmlformats.org/officeDocument/2006/relationships/hyperlink" Target="https://npiregistry.cms.hhs.gov/provider-view/1144900176" TargetMode="External"/><Relationship Id="rId568" Type="http://schemas.openxmlformats.org/officeDocument/2006/relationships/hyperlink" Target="https://npiregistry.cms.hhs.gov/provider-view/1194645267" TargetMode="External"/><Relationship Id="rId165" Type="http://schemas.openxmlformats.org/officeDocument/2006/relationships/hyperlink" Target="https://www.google.com/maps/search/?api=1&amp;query=Therapy+Partners%2C+INC.%2C+4956+Lincoln+Dr%2C+Edina%2C+MN+55436" TargetMode="External"/><Relationship Id="rId372" Type="http://schemas.openxmlformats.org/officeDocument/2006/relationships/hyperlink" Target="https://npiregistry.cms.hhs.gov/provider-view/1407809494" TargetMode="External"/><Relationship Id="rId428" Type="http://schemas.openxmlformats.org/officeDocument/2006/relationships/hyperlink" Target="https://npiregistry.cms.hhs.gov/provider-view/1407809494" TargetMode="External"/><Relationship Id="rId232" Type="http://schemas.openxmlformats.org/officeDocument/2006/relationships/hyperlink" Target="https://npiregistry.cms.hhs.gov/provider-view/1639896913" TargetMode="External"/><Relationship Id="rId274" Type="http://schemas.openxmlformats.org/officeDocument/2006/relationships/hyperlink" Target="https://npiregistry.cms.hhs.gov/provider-view/1407834302" TargetMode="External"/><Relationship Id="rId481" Type="http://schemas.openxmlformats.org/officeDocument/2006/relationships/hyperlink" Target="https://www.google.com/maps/search/?api=1&amp;query=Choice+Therapy+Crookston+LLC%2C+1728+N+Front+St%2C+Crookston%2C+MN+56716" TargetMode="External"/><Relationship Id="rId27" Type="http://schemas.openxmlformats.org/officeDocument/2006/relationships/hyperlink" Target="https://www.google.com/maps/search/?api=1&amp;query=Novacare+Rehabilitation%2C+480+Osborne+Rd+NE%2C+Fridley%2C+MN+55432" TargetMode="External"/><Relationship Id="rId69" Type="http://schemas.openxmlformats.org/officeDocument/2006/relationships/hyperlink" Target="https://www.google.com/maps/search/?api=1&amp;query=Concentra+Medical+Center%2C+1400+Corporate+Center+Curv%2C+Eagan%2C+MN+55121" TargetMode="External"/><Relationship Id="rId134" Type="http://schemas.openxmlformats.org/officeDocument/2006/relationships/hyperlink" Target="https://npiregistry.cms.hhs.gov/provider-view/1558208033" TargetMode="External"/><Relationship Id="rId537" Type="http://schemas.openxmlformats.org/officeDocument/2006/relationships/hyperlink" Target="https://www.google.com/maps/search/?api=1&amp;query=Whitmarsh+Health+and+Wellness%2C+LLC%2C+16+1st+Ave+NW%2C+Kasson%2C+MN+55944" TargetMode="External"/><Relationship Id="rId579" Type="http://schemas.openxmlformats.org/officeDocument/2006/relationships/hyperlink" Target="https://www.google.com/maps/search/?api=1&amp;query=Fourth+Trimester+Physical+Therapy+LLC%2C+1590+Gray+Fox+Dr+NE%2C+Owatonna%2C+MN+55060" TargetMode="External"/><Relationship Id="rId80" Type="http://schemas.openxmlformats.org/officeDocument/2006/relationships/hyperlink" Target="https://npiregistry.cms.hhs.gov/provider-view/1760263461" TargetMode="External"/><Relationship Id="rId176" Type="http://schemas.openxmlformats.org/officeDocument/2006/relationships/hyperlink" Target="https://npiregistry.cms.hhs.gov/provider-view/1184543001" TargetMode="External"/><Relationship Id="rId341" Type="http://schemas.openxmlformats.org/officeDocument/2006/relationships/hyperlink" Target="https://www.google.com/maps/search/?api=1&amp;query=On+the+Move+Therapy+%26+Wellness%2C+6471+Inspire+Cir+S%2C+Cottage+Grove%2C+MN+55016" TargetMode="External"/><Relationship Id="rId383" Type="http://schemas.openxmlformats.org/officeDocument/2006/relationships/hyperlink" Target="https://www.google.com/maps/search/?api=1&amp;query=Sunnydays+Therapy+INC%2C+1344+E+7th+St%2C+Monticello%2C+MN+55362" TargetMode="External"/><Relationship Id="rId439" Type="http://schemas.openxmlformats.org/officeDocument/2006/relationships/hyperlink" Target="https://www.google.com/maps/search/?api=1&amp;query=Flourish+Health+and+Wellness+LLC%2C+1833+W+US+Highway+2%2C+Grand+Rapids%2C+MN+55744" TargetMode="External"/><Relationship Id="rId590" Type="http://schemas.openxmlformats.org/officeDocument/2006/relationships/hyperlink" Target="https://npiregistry.cms.hhs.gov/provider-view/1023737715" TargetMode="External"/><Relationship Id="rId201" Type="http://schemas.openxmlformats.org/officeDocument/2006/relationships/hyperlink" Target="https://www.google.com/maps/search/?api=1&amp;query=Southpointe+Physical+Therapy+LLC%2C+1305+E+24th+St%2C+Minneapolis%2C+MN+55404" TargetMode="External"/><Relationship Id="rId243" Type="http://schemas.openxmlformats.org/officeDocument/2006/relationships/hyperlink" Target="https://www.google.com/maps/search/?api=1&amp;query=Moms+In+Motion+PT%2C+7420+4th+Ave+S%2C+Richfield%2C+MN+55423" TargetMode="External"/><Relationship Id="rId285" Type="http://schemas.openxmlformats.org/officeDocument/2006/relationships/hyperlink" Target="https://www.google.com/maps/search/?api=1&amp;query=Empower+Physical+Therapy%2C+1999+Pinehurst+Ave%2C+St.+Paul%2C+MN+55116" TargetMode="External"/><Relationship Id="rId450" Type="http://schemas.openxmlformats.org/officeDocument/2006/relationships/hyperlink" Target="https://npiregistry.cms.hhs.gov/provider-view/1376757682" TargetMode="External"/><Relationship Id="rId506" Type="http://schemas.openxmlformats.org/officeDocument/2006/relationships/hyperlink" Target="https://npiregistry.cms.hhs.gov/provider-view/1558236091" TargetMode="External"/><Relationship Id="rId38" Type="http://schemas.openxmlformats.org/officeDocument/2006/relationships/hyperlink" Target="https://npiregistry.cms.hhs.gov/provider-view/1912782749" TargetMode="External"/><Relationship Id="rId103" Type="http://schemas.openxmlformats.org/officeDocument/2006/relationships/hyperlink" Target="https://www.google.com/maps/search/?api=1&amp;query=Novacare+Rehabilitation%2C+60+Marie+Ave+E%2C+West+St+Paul%2C+MN+55118" TargetMode="External"/><Relationship Id="rId310" Type="http://schemas.openxmlformats.org/officeDocument/2006/relationships/hyperlink" Target="https://npiregistry.cms.hhs.gov/provider-view/1407809494" TargetMode="External"/><Relationship Id="rId492" Type="http://schemas.openxmlformats.org/officeDocument/2006/relationships/hyperlink" Target="https://npiregistry.cms.hhs.gov/provider-view/1679766802" TargetMode="External"/><Relationship Id="rId548" Type="http://schemas.openxmlformats.org/officeDocument/2006/relationships/hyperlink" Target="https://npiregistry.cms.hhs.gov/provider-view/1407809494" TargetMode="External"/><Relationship Id="rId91" Type="http://schemas.openxmlformats.org/officeDocument/2006/relationships/hyperlink" Target="https://www.google.com/maps/search/?api=1&amp;query=Novacare+Rehabilitation%2C+17305+Cedar+Ave+S%2C+Lakeville%2C+MN+55044" TargetMode="External"/><Relationship Id="rId145" Type="http://schemas.openxmlformats.org/officeDocument/2006/relationships/hyperlink" Target="https://www.google.com/maps/search/?api=1&amp;query=Bethany+Hansen%2C+LLC%2C+7250+Metro+Blvd%2C+Edina%2C+MN+55439" TargetMode="External"/><Relationship Id="rId187" Type="http://schemas.openxmlformats.org/officeDocument/2006/relationships/hyperlink" Target="https://www.google.com/maps/search/?api=1&amp;query=Atrium+Physical+Therapy%2C+5646+Interlachen+Cir%2C+Minneapolis%2C+MN+55436" TargetMode="External"/><Relationship Id="rId352" Type="http://schemas.openxmlformats.org/officeDocument/2006/relationships/hyperlink" Target="https://npiregistry.cms.hhs.gov/provider-view/1346553179" TargetMode="External"/><Relationship Id="rId394" Type="http://schemas.openxmlformats.org/officeDocument/2006/relationships/hyperlink" Target="https://npiregistry.cms.hhs.gov/provider-view/1740816941" TargetMode="External"/><Relationship Id="rId408" Type="http://schemas.openxmlformats.org/officeDocument/2006/relationships/hyperlink" Target="https://npiregistry.cms.hhs.gov/provider-view/1760155881" TargetMode="External"/><Relationship Id="rId212" Type="http://schemas.openxmlformats.org/officeDocument/2006/relationships/hyperlink" Target="https://npiregistry.cms.hhs.gov/provider-view/1457172140" TargetMode="External"/><Relationship Id="rId254" Type="http://schemas.openxmlformats.org/officeDocument/2006/relationships/hyperlink" Target="https://npiregistry.cms.hhs.gov/provider-view/1619718186" TargetMode="External"/><Relationship Id="rId49" Type="http://schemas.openxmlformats.org/officeDocument/2006/relationships/hyperlink" Target="https://www.google.com/maps/search/?api=1&amp;query=Novacare+Rehabilitation%2C+15290+Pennock+Ln%2C+Apple+Valley%2C+MN+55124" TargetMode="External"/><Relationship Id="rId114" Type="http://schemas.openxmlformats.org/officeDocument/2006/relationships/hyperlink" Target="https://npiregistry.cms.hhs.gov/provider-view/1346624384" TargetMode="External"/><Relationship Id="rId296" Type="http://schemas.openxmlformats.org/officeDocument/2006/relationships/hyperlink" Target="https://npiregistry.cms.hhs.gov/provider-view/1932920725" TargetMode="External"/><Relationship Id="rId461" Type="http://schemas.openxmlformats.org/officeDocument/2006/relationships/hyperlink" Target="https://www.google.com/maps/search/?api=1&amp;query=Therapy+Partners%2C+INC.%2C+4316+Rice+Lake+Rd%2C+Duluth%2C+MN+55811" TargetMode="External"/><Relationship Id="rId517" Type="http://schemas.openxmlformats.org/officeDocument/2006/relationships/hyperlink" Target="https://www.google.com/maps/search/?api=1&amp;query=Total+Body+Therapy%2C+110+W+Henning+St+Apt+121%2C+Battle+Lake%2C+MN+56515" TargetMode="External"/><Relationship Id="rId559" Type="http://schemas.openxmlformats.org/officeDocument/2006/relationships/hyperlink" Target="https://www.google.com/maps/search/?api=1&amp;query=Compcare+Physical+Therapy+LLC%2C+4224+W+Frontage+Rd+N%2C+Rochester%2C+MN+55901" TargetMode="External"/><Relationship Id="rId60" Type="http://schemas.openxmlformats.org/officeDocument/2006/relationships/hyperlink" Target="https://npiregistry.cms.hhs.gov/provider-view/1558208033" TargetMode="External"/><Relationship Id="rId156" Type="http://schemas.openxmlformats.org/officeDocument/2006/relationships/hyperlink" Target="https://npiregistry.cms.hhs.gov/provider-view/1518963909" TargetMode="External"/><Relationship Id="rId198" Type="http://schemas.openxmlformats.org/officeDocument/2006/relationships/hyperlink" Target="https://npiregistry.cms.hhs.gov/provider-view/1487240693" TargetMode="External"/><Relationship Id="rId321" Type="http://schemas.openxmlformats.org/officeDocument/2006/relationships/hyperlink" Target="https://www.google.com/maps/search/?api=1&amp;query=Summit+Orthopedics%2C+LTD%2C+3580+Arcade+St%2C+Vadnais+Heights%2C+MN+55127" TargetMode="External"/><Relationship Id="rId363" Type="http://schemas.openxmlformats.org/officeDocument/2006/relationships/hyperlink" Target="https://www.google.com/maps/search/?api=1&amp;query=Awake+Pelvic+Health+and+Wellness+LLC%2C+10150+Hudson+Rd%2C+Woodbury%2C+MN+55129" TargetMode="External"/><Relationship Id="rId419" Type="http://schemas.openxmlformats.org/officeDocument/2006/relationships/hyperlink" Target="https://www.google.com/maps/search/?api=1&amp;query=Therapy+Partners%2C+INC.%2C+1325+Pelican+Ln%2C+Detroit+Lakes%2C+MN+56501" TargetMode="External"/><Relationship Id="rId570" Type="http://schemas.openxmlformats.org/officeDocument/2006/relationships/hyperlink" Target="https://npiregistry.cms.hhs.gov/provider-view/1407809494" TargetMode="External"/><Relationship Id="rId223" Type="http://schemas.openxmlformats.org/officeDocument/2006/relationships/hyperlink" Target="https://www.google.com/maps/search/?api=1&amp;query=Viverant%2C+LLC%2C+12324+Wayzata+Blvd%2C+Minnetonka%2C+MN+55305" TargetMode="External"/><Relationship Id="rId430" Type="http://schemas.openxmlformats.org/officeDocument/2006/relationships/hyperlink" Target="https://npiregistry.cms.hhs.gov/provider-view/1407809494" TargetMode="External"/><Relationship Id="rId18" Type="http://schemas.openxmlformats.org/officeDocument/2006/relationships/hyperlink" Target="https://npiregistry.cms.hhs.gov/provider-view/1477666428" TargetMode="External"/><Relationship Id="rId265" Type="http://schemas.openxmlformats.org/officeDocument/2006/relationships/hyperlink" Target="https://www.google.com/maps/search/?api=1&amp;query=Novacare+Rehabilitation%2C+1665+Utica+Ave+S%2C+St.+Louis+Park%2C+MN+55416" TargetMode="External"/><Relationship Id="rId472" Type="http://schemas.openxmlformats.org/officeDocument/2006/relationships/hyperlink" Target="https://npiregistry.cms.hhs.gov/provider-view/1497597371" TargetMode="External"/><Relationship Id="rId528" Type="http://schemas.openxmlformats.org/officeDocument/2006/relationships/hyperlink" Target="https://npiregistry.cms.hhs.gov/provider-view/1760278782" TargetMode="External"/><Relationship Id="rId125" Type="http://schemas.openxmlformats.org/officeDocument/2006/relationships/hyperlink" Target="https://www.google.com/maps/search/?api=1&amp;query=Active+Therapy+MN%2C+10300+Hennepin+Town+Rd%2C+Eden+Prairie%2C+MN+55347" TargetMode="External"/><Relationship Id="rId167" Type="http://schemas.openxmlformats.org/officeDocument/2006/relationships/hyperlink" Target="https://www.google.com/maps/search/?api=1&amp;query=Intrinsic+Physical+Therapy+%26+Wellness%2C+4250+Dahlberg+Dr%2C+Golden+Valley%2C+MN+55422" TargetMode="External"/><Relationship Id="rId332" Type="http://schemas.openxmlformats.org/officeDocument/2006/relationships/hyperlink" Target="https://npiregistry.cms.hhs.gov/provider-view/1467370361" TargetMode="External"/><Relationship Id="rId374" Type="http://schemas.openxmlformats.org/officeDocument/2006/relationships/hyperlink" Target="https://npiregistry.cms.hhs.gov/provider-view/1497564181" TargetMode="External"/><Relationship Id="rId581" Type="http://schemas.openxmlformats.org/officeDocument/2006/relationships/hyperlink" Target="https://www.google.com/maps/search/?api=1&amp;query=Owatonna+Physical+Therapy+Center%2C+INC%2C+1414+S+Oak+Ave%2C+Owatonna%2C+MN+55060" TargetMode="External"/><Relationship Id="rId71" Type="http://schemas.openxmlformats.org/officeDocument/2006/relationships/hyperlink" Target="https://www.google.com/maps/search/?api=1&amp;query=M+Health+Fairview+Rehabilitation%2C+3305+Central+Park+Village+Drive%2C+Eagan%2C+MN+55121" TargetMode="External"/><Relationship Id="rId234" Type="http://schemas.openxmlformats.org/officeDocument/2006/relationships/hyperlink" Target="https://npiregistry.cms.hhs.gov/provider-view/1306668702" TargetMode="External"/><Relationship Id="rId2" Type="http://schemas.openxmlformats.org/officeDocument/2006/relationships/hyperlink" Target="https://npiregistry.cms.hhs.gov/provider-view/1225884661" TargetMode="External"/><Relationship Id="rId29" Type="http://schemas.openxmlformats.org/officeDocument/2006/relationships/hyperlink" Target="https://www.google.com/maps/search/?api=1&amp;query=Hands+Hooves+and+Hearts+Therapeutic+Services+LLC%2C+9457+Highway+10+NW%2C+Ramsey%2C+MN+55303" TargetMode="External"/><Relationship Id="rId276" Type="http://schemas.openxmlformats.org/officeDocument/2006/relationships/hyperlink" Target="https://npiregistry.cms.hhs.gov/provider-view/1386830768" TargetMode="External"/><Relationship Id="rId441" Type="http://schemas.openxmlformats.org/officeDocument/2006/relationships/hyperlink" Target="https://www.google.com/maps/search/?api=1&amp;query=Therapy+Partners%2C+INC.%2C+1614+Golf+Course+Rd%2C+Grand+Rapids%2C+MN+55744" TargetMode="External"/><Relationship Id="rId483" Type="http://schemas.openxmlformats.org/officeDocument/2006/relationships/hyperlink" Target="https://www.google.com/maps/search/?api=1&amp;query=Achieve+Therapy+of+Park+Rapids%2C+1421+Central+Ave+NW%2C+East+Grand+Forks%2C+MN+56721" TargetMode="External"/><Relationship Id="rId539" Type="http://schemas.openxmlformats.org/officeDocument/2006/relationships/hyperlink" Target="https://www.google.com/maps/search/?api=1&amp;query=Owl+Therapy+Services+LLC%2C+61278+260th+Ave%2C+Mantorville%2C+MN+55955" TargetMode="External"/><Relationship Id="rId40" Type="http://schemas.openxmlformats.org/officeDocument/2006/relationships/hyperlink" Target="https://npiregistry.cms.hhs.gov/provider-view/1891914412" TargetMode="External"/><Relationship Id="rId136" Type="http://schemas.openxmlformats.org/officeDocument/2006/relationships/hyperlink" Target="https://npiregistry.cms.hhs.gov/provider-view/1437451853" TargetMode="External"/><Relationship Id="rId178" Type="http://schemas.openxmlformats.org/officeDocument/2006/relationships/hyperlink" Target="https://npiregistry.cms.hhs.gov/provider-view/1366084402" TargetMode="External"/><Relationship Id="rId301" Type="http://schemas.openxmlformats.org/officeDocument/2006/relationships/hyperlink" Target="https://www.google.com/maps/search/?api=1&amp;query=Saunders+Therapy+Centers+INC%2C+755+Prior+Ave+N%2C+St.+Paul%2C+MN+55104" TargetMode="External"/><Relationship Id="rId343" Type="http://schemas.openxmlformats.org/officeDocument/2006/relationships/hyperlink" Target="https://www.google.com/maps/search/?api=1&amp;query=Prosper+Physical+Therapy%2C+LLC%2C+168+Lake+St+S%2C+Forest+Lake%2C+MN+55025" TargetMode="External"/><Relationship Id="rId550" Type="http://schemas.openxmlformats.org/officeDocument/2006/relationships/hyperlink" Target="https://npiregistry.cms.hhs.gov/provider-view/1407809494" TargetMode="External"/><Relationship Id="rId82" Type="http://schemas.openxmlformats.org/officeDocument/2006/relationships/hyperlink" Target="https://npiregistry.cms.hhs.gov/provider-view/1013323559" TargetMode="External"/><Relationship Id="rId203" Type="http://schemas.openxmlformats.org/officeDocument/2006/relationships/hyperlink" Target="https://www.google.com/maps/search/?api=1&amp;query=Studio+Me%2C+LLC%2C+305+1st+Ave+NE%2C+Minneapolis%2C+MN+55413" TargetMode="External"/><Relationship Id="rId385" Type="http://schemas.openxmlformats.org/officeDocument/2006/relationships/hyperlink" Target="https://www.google.com/maps/search/?api=1&amp;query=Therapy+Partners%2C+INC.%2C+106+W+Broadway+St%2C+Monticello%2C+MN+55362" TargetMode="External"/><Relationship Id="rId592" Type="http://schemas.openxmlformats.org/officeDocument/2006/relationships/hyperlink" Target="https://npiregistry.cms.hhs.gov/provider-view/1245959105" TargetMode="External"/><Relationship Id="rId245" Type="http://schemas.openxmlformats.org/officeDocument/2006/relationships/hyperlink" Target="https://www.google.com/maps/search/?api=1&amp;query=Novacare+Rehabilitation%2C+6605+Nicollet+Ave%2C+Richfield%2C+MN+55423" TargetMode="External"/><Relationship Id="rId287" Type="http://schemas.openxmlformats.org/officeDocument/2006/relationships/hyperlink" Target="https://www.google.com/maps/search/?api=1&amp;query=Impact+Physical+Medicine%2C+1600+University+Ave+W%2C+St.+Paul%2C+MN+55104" TargetMode="External"/><Relationship Id="rId410" Type="http://schemas.openxmlformats.org/officeDocument/2006/relationships/hyperlink" Target="https://npiregistry.cms.hhs.gov/provider-view/1184488280" TargetMode="External"/><Relationship Id="rId452" Type="http://schemas.openxmlformats.org/officeDocument/2006/relationships/hyperlink" Target="https://npiregistry.cms.hhs.gov/provider-view/1881429850" TargetMode="External"/><Relationship Id="rId494" Type="http://schemas.openxmlformats.org/officeDocument/2006/relationships/hyperlink" Target="https://npiregistry.cms.hhs.gov/provider-view/1275498644" TargetMode="External"/><Relationship Id="rId508" Type="http://schemas.openxmlformats.org/officeDocument/2006/relationships/hyperlink" Target="https://npiregistry.cms.hhs.gov/provider-view/1003465147" TargetMode="External"/><Relationship Id="rId105" Type="http://schemas.openxmlformats.org/officeDocument/2006/relationships/hyperlink" Target="https://www.google.com/maps/search/?api=1&amp;query=Infinite+Health+Collaborative%2C+PA%2C+3500+American+Blvd+W%2C+Bloomington%2C+MN+55431" TargetMode="External"/><Relationship Id="rId147" Type="http://schemas.openxmlformats.org/officeDocument/2006/relationships/hyperlink" Target="https://www.google.com/maps/search/?api=1&amp;query=Center+For+Pediatric+Movement+LLC%2C+6600+France+Ave+S%2C+Edina%2C+MN+55435" TargetMode="External"/><Relationship Id="rId312" Type="http://schemas.openxmlformats.org/officeDocument/2006/relationships/hyperlink" Target="https://npiregistry.cms.hhs.gov/provider-view/1407809494" TargetMode="External"/><Relationship Id="rId354" Type="http://schemas.openxmlformats.org/officeDocument/2006/relationships/hyperlink" Target="https://npiregistry.cms.hhs.gov/provider-view/1942126792" TargetMode="External"/><Relationship Id="rId51" Type="http://schemas.openxmlformats.org/officeDocument/2006/relationships/hyperlink" Target="https://www.google.com/maps/search/?api=1&amp;query=Spinefocus+Physical+Therapy+LLC%2C+7300+147th+St+W%2C+Apple+Valley%2C+MN+55124" TargetMode="External"/><Relationship Id="rId93" Type="http://schemas.openxmlformats.org/officeDocument/2006/relationships/hyperlink" Target="https://www.google.com/maps/search/?api=1&amp;query=Concentra+Medical+Center%2C+2520+Pilot+Knob+Rd%2C+Mendota+Heights%2C+MN+55120" TargetMode="External"/><Relationship Id="rId189" Type="http://schemas.openxmlformats.org/officeDocument/2006/relationships/hyperlink" Target="https://www.google.com/maps/search/?api=1&amp;query=Concentra+Medical+Center%2C+7550+34th+Ave+S%2C+Minneapolis%2C+MN+55450" TargetMode="External"/><Relationship Id="rId396" Type="http://schemas.openxmlformats.org/officeDocument/2006/relationships/hyperlink" Target="https://npiregistry.cms.hhs.gov/provider-view/1164353827" TargetMode="External"/><Relationship Id="rId561" Type="http://schemas.openxmlformats.org/officeDocument/2006/relationships/hyperlink" Target="https://www.google.com/maps/search/?api=1&amp;query=Ea+Therapeutic+Health%2C+2530+Broadway+Ave+N%2C+Rochester%2C+MN+55906" TargetMode="External"/><Relationship Id="rId214" Type="http://schemas.openxmlformats.org/officeDocument/2006/relationships/hyperlink" Target="https://npiregistry.cms.hhs.gov/provider-view/1376752337" TargetMode="External"/><Relationship Id="rId256" Type="http://schemas.openxmlformats.org/officeDocument/2006/relationships/hyperlink" Target="https://npiregistry.cms.hhs.gov/provider-view/1609872522" TargetMode="External"/><Relationship Id="rId298" Type="http://schemas.openxmlformats.org/officeDocument/2006/relationships/hyperlink" Target="https://npiregistry.cms.hhs.gov/provider-view/1215556998" TargetMode="External"/><Relationship Id="rId421" Type="http://schemas.openxmlformats.org/officeDocument/2006/relationships/hyperlink" Target="https://www.google.com/maps/search/?api=1&amp;query=Choice+Therapy%2C+PA.%2C+3835+Supreme+Ct+NW%2C+Bemidji%2C+MN+56601" TargetMode="External"/><Relationship Id="rId463" Type="http://schemas.openxmlformats.org/officeDocument/2006/relationships/hyperlink" Target="https://www.google.com/maps/search/?api=1&amp;query=Therapy+Partners%2C+INC.%2C+2701+W+Superior+St%2C+Duluth%2C+MN+55806" TargetMode="External"/><Relationship Id="rId519" Type="http://schemas.openxmlformats.org/officeDocument/2006/relationships/hyperlink" Target="https://www.google.com/maps/search/?api=1&amp;query=Total+Body+Therapy%2C+106+Main+St%2C+Ottertail%2C+MN+56571" TargetMode="External"/><Relationship Id="rId116" Type="http://schemas.openxmlformats.org/officeDocument/2006/relationships/hyperlink" Target="https://npiregistry.cms.hhs.gov/provider-view/1518273085" TargetMode="External"/><Relationship Id="rId158" Type="http://schemas.openxmlformats.org/officeDocument/2006/relationships/hyperlink" Target="https://npiregistry.cms.hhs.gov/provider-view/1073626008" TargetMode="External"/><Relationship Id="rId323" Type="http://schemas.openxmlformats.org/officeDocument/2006/relationships/hyperlink" Target="https://www.google.com/maps/search/?api=1&amp;query=Rhivive+Physical+Therapy%2C+1011+Meadowlands+Dr%2C+White+Bear+Lake%2C+MN+55127" TargetMode="External"/><Relationship Id="rId530" Type="http://schemas.openxmlformats.org/officeDocument/2006/relationships/hyperlink" Target="https://npiregistry.cms.hhs.gov/provider-view/1912611773" TargetMode="External"/><Relationship Id="rId20" Type="http://schemas.openxmlformats.org/officeDocument/2006/relationships/hyperlink" Target="https://npiregistry.cms.hhs.gov/provider-view/1770207193" TargetMode="External"/><Relationship Id="rId62" Type="http://schemas.openxmlformats.org/officeDocument/2006/relationships/hyperlink" Target="https://npiregistry.cms.hhs.gov/provider-view/1538842711" TargetMode="External"/><Relationship Id="rId365" Type="http://schemas.openxmlformats.org/officeDocument/2006/relationships/hyperlink" Target="https://www.google.com/maps/search/?api=1&amp;query=Fyzical+Therapy+and+Balance+Centers+Woodbury%2C+670+Commerce+Dr%2C+Woodbury%2C+MN+55125" TargetMode="External"/><Relationship Id="rId572" Type="http://schemas.openxmlformats.org/officeDocument/2006/relationships/hyperlink" Target="https://npiregistry.cms.hhs.gov/provider-view/1124044656" TargetMode="External"/><Relationship Id="rId225" Type="http://schemas.openxmlformats.org/officeDocument/2006/relationships/hyperlink" Target="https://www.google.com/maps/search/?api=1&amp;query=Nielson+Family+Chiropractic+PLLC%2C+518+Central+Ave%2C+Osseo%2C+MN+55369" TargetMode="External"/><Relationship Id="rId267" Type="http://schemas.openxmlformats.org/officeDocument/2006/relationships/hyperlink" Target="https://www.google.com/maps/search/?api=1&amp;query=Premier+Health+of+St.+Louis+Park%2C+5050+W+36th+St%2C+St.+Louis+Park%2C+MN+55416" TargetMode="External"/><Relationship Id="rId432" Type="http://schemas.openxmlformats.org/officeDocument/2006/relationships/hyperlink" Target="https://npiregistry.cms.hhs.gov/provider-view/1407809494" TargetMode="External"/><Relationship Id="rId474" Type="http://schemas.openxmlformats.org/officeDocument/2006/relationships/hyperlink" Target="https://npiregistry.cms.hhs.gov/provider-view/1407809494" TargetMode="External"/><Relationship Id="rId127" Type="http://schemas.openxmlformats.org/officeDocument/2006/relationships/hyperlink" Target="https://www.google.com/maps/search/?api=1&amp;query=Atrium+Physical+Therapy%2C+6400+Flying+Cloud+Dr%2C+Eden+Prairie%2C+MN+55344" TargetMode="External"/><Relationship Id="rId31" Type="http://schemas.openxmlformats.org/officeDocument/2006/relationships/hyperlink" Target="https://www.google.com/maps/search/?api=1&amp;query=Kandor+Physical+Therapy+%26+Pelvic+Health+LLC%2C+8951+Crossroads+Blvd%2C+Chanhassen%2C+MN+55317" TargetMode="External"/><Relationship Id="rId73" Type="http://schemas.openxmlformats.org/officeDocument/2006/relationships/hyperlink" Target="https://www.google.com/maps/search/?api=1&amp;query=Medlinq+Clinics%2C+860+Blue+Gentian+Rd%2C+Eagan%2C+MN+55121" TargetMode="External"/><Relationship Id="rId169" Type="http://schemas.openxmlformats.org/officeDocument/2006/relationships/hyperlink" Target="https://www.google.com/maps/search/?api=1&amp;query=Dmr+Methods%2C+15+8th+Ave+N%2C+Hopkins%2C+MN+55343" TargetMode="External"/><Relationship Id="rId334" Type="http://schemas.openxmlformats.org/officeDocument/2006/relationships/hyperlink" Target="https://npiregistry.cms.hhs.gov/provider-view/1407555758" TargetMode="External"/><Relationship Id="rId376" Type="http://schemas.openxmlformats.org/officeDocument/2006/relationships/hyperlink" Target="https://npiregistry.cms.hhs.gov/provider-view/1235674037" TargetMode="External"/><Relationship Id="rId541" Type="http://schemas.openxmlformats.org/officeDocument/2006/relationships/hyperlink" Target="https://www.google.com/maps/search/?api=1&amp;query=Bst+Albert+Lea%2C+LLC%2C+2440+Bridge+Ave%2C+Albert+Lea%2C+MN+56007" TargetMode="External"/><Relationship Id="rId583" Type="http://schemas.openxmlformats.org/officeDocument/2006/relationships/hyperlink" Target="https://www.google.com/maps/search/?api=1&amp;query=Transcend+Rehab+%26+Wellness%2C+2800+1st+St+S%2C+Willmar%2C+MN+56201" TargetMode="External"/><Relationship Id="rId4" Type="http://schemas.openxmlformats.org/officeDocument/2006/relationships/hyperlink" Target="https://npiregistry.cms.hhs.gov/provider-view/1427447432" TargetMode="External"/><Relationship Id="rId180" Type="http://schemas.openxmlformats.org/officeDocument/2006/relationships/hyperlink" Target="https://npiregistry.cms.hhs.gov/provider-view/1952554495" TargetMode="External"/><Relationship Id="rId236" Type="http://schemas.openxmlformats.org/officeDocument/2006/relationships/hyperlink" Target="https://npiregistry.cms.hhs.gov/provider-view/1487240693" TargetMode="External"/><Relationship Id="rId278" Type="http://schemas.openxmlformats.org/officeDocument/2006/relationships/hyperlink" Target="https://npiregistry.cms.hhs.gov/provider-view/1518963909" TargetMode="External"/><Relationship Id="rId401" Type="http://schemas.openxmlformats.org/officeDocument/2006/relationships/hyperlink" Target="https://www.google.com/maps/search/?api=1&amp;query=Northern+Plains+Physical+Therapy%2C+1301+Mockingbird+Loop%2C+Sartell%2C+MN+56377" TargetMode="External"/><Relationship Id="rId443" Type="http://schemas.openxmlformats.org/officeDocument/2006/relationships/hyperlink" Target="https://www.google.com/maps/search/?api=1&amp;query=Journey+Physical+Therapy+%26+Childbirth+Services+LLC%2C+8947+Austin+Rd%2C+Alborn%2C+MN+55702" TargetMode="External"/><Relationship Id="rId303" Type="http://schemas.openxmlformats.org/officeDocument/2006/relationships/hyperlink" Target="https://www.google.com/maps/search/?api=1&amp;query=Summit+Orthopedics%2C+LTD%2C+1661+Saint+Anthony+Ave%2C+St.+Paul%2C+MN+55104" TargetMode="External"/><Relationship Id="rId485" Type="http://schemas.openxmlformats.org/officeDocument/2006/relationships/hyperlink" Target="https://www.google.com/maps/search/?api=1&amp;query=Pine+Peak+Audiology%2C+903+Hilligoss+Blvd+SE%2C+Fosston%2C+MN+56542" TargetMode="External"/><Relationship Id="rId42" Type="http://schemas.openxmlformats.org/officeDocument/2006/relationships/hyperlink" Target="https://npiregistry.cms.hhs.gov/provider-view/1295809366" TargetMode="External"/><Relationship Id="rId84" Type="http://schemas.openxmlformats.org/officeDocument/2006/relationships/hyperlink" Target="https://npiregistry.cms.hhs.gov/provider-view/1780162552" TargetMode="External"/><Relationship Id="rId138" Type="http://schemas.openxmlformats.org/officeDocument/2006/relationships/hyperlink" Target="https://npiregistry.cms.hhs.gov/provider-view/1104574763" TargetMode="External"/><Relationship Id="rId345" Type="http://schemas.openxmlformats.org/officeDocument/2006/relationships/hyperlink" Target="https://www.google.com/maps/search/?api=1&amp;query=Steady+Strides+LLC%2C+3394+Lake+Elmo+Ave+N%2C+Lake+Elmo%2C+MN+55042" TargetMode="External"/><Relationship Id="rId387" Type="http://schemas.openxmlformats.org/officeDocument/2006/relationships/hyperlink" Target="https://www.google.com/maps/search/?api=1&amp;query=Therapy+Partners%2C+INC.%2C+601+Central+Ave+W%2C+St.+Michael%2C+MN+55376" TargetMode="External"/><Relationship Id="rId510" Type="http://schemas.openxmlformats.org/officeDocument/2006/relationships/hyperlink" Target="https://npiregistry.cms.hhs.gov/provider-view/1255897765" TargetMode="External"/><Relationship Id="rId552" Type="http://schemas.openxmlformats.org/officeDocument/2006/relationships/hyperlink" Target="https://npiregistry.cms.hhs.gov/provider-view/1124205604" TargetMode="External"/><Relationship Id="rId594" Type="http://schemas.openxmlformats.org/officeDocument/2006/relationships/hyperlink" Target="https://npiregistry.cms.hhs.gov/provider-view/1033826003" TargetMode="External"/><Relationship Id="rId191" Type="http://schemas.openxmlformats.org/officeDocument/2006/relationships/hyperlink" Target="https://www.google.com/maps/search/?api=1&amp;query=Fairview+Specialty+Services%2C+2450+Riverside+Ave%2C+Minneapolis%2C+MN+55454" TargetMode="External"/><Relationship Id="rId205" Type="http://schemas.openxmlformats.org/officeDocument/2006/relationships/hyperlink" Target="https://www.google.com/maps/search/?api=1&amp;query=The+Next+Level+Physio%2C+LLC%2C+383+W+60th+St%2C+Minneapolis%2C+MN+55419" TargetMode="External"/><Relationship Id="rId247" Type="http://schemas.openxmlformats.org/officeDocument/2006/relationships/hyperlink" Target="https://www.google.com/maps/search/?api=1&amp;query=Concentra+Medical+Center%2C+4080+W+Broadway+Ave%2C+Robbinsdale%2C+MN+55422" TargetMode="External"/><Relationship Id="rId412" Type="http://schemas.openxmlformats.org/officeDocument/2006/relationships/hyperlink" Target="https://npiregistry.cms.hhs.gov/provider-view/1871365411" TargetMode="External"/><Relationship Id="rId107" Type="http://schemas.openxmlformats.org/officeDocument/2006/relationships/hyperlink" Target="https://www.google.com/maps/search/?api=1&amp;query=National+Dizzy+%26+Balance+Center%2Cltd.%2C+4801+W+81st+St%2C+Bloomington%2C+MN+55437" TargetMode="External"/><Relationship Id="rId289" Type="http://schemas.openxmlformats.org/officeDocument/2006/relationships/hyperlink" Target="https://www.google.com/maps/search/?api=1&amp;query=Institute+For+Orthopedics+%26+Chiropractic%2C+PLLC%2C+2550+University+Ave+W%2C+St.+Paul%2C+MN+55114" TargetMode="External"/><Relationship Id="rId454" Type="http://schemas.openxmlformats.org/officeDocument/2006/relationships/hyperlink" Target="https://npiregistry.cms.hhs.gov/provider-view/1811395874" TargetMode="External"/><Relationship Id="rId496" Type="http://schemas.openxmlformats.org/officeDocument/2006/relationships/hyperlink" Target="https://npiregistry.cms.hhs.gov/provider-view/1114028503" TargetMode="External"/><Relationship Id="rId11" Type="http://schemas.openxmlformats.org/officeDocument/2006/relationships/hyperlink" Target="https://www.google.com/maps/search/?api=1&amp;query=Mary+T+Outpatient%2C+11800+Xeon+Blvd+NW%2C+Coon+Rapids%2C+MN+55448" TargetMode="External"/><Relationship Id="rId53" Type="http://schemas.openxmlformats.org/officeDocument/2006/relationships/hyperlink" Target="https://www.google.com/maps/search/?api=1&amp;query=Therapy+Partners%2C+INC.%2C+15160+Foliage+Ave%2C+Apple+Valley%2C+MN+55124" TargetMode="External"/><Relationship Id="rId149" Type="http://schemas.openxmlformats.org/officeDocument/2006/relationships/hyperlink" Target="https://www.google.com/maps/search/?api=1&amp;query=Fyzical+Therapy+and+Balance+Centers+Edina%2C+5227+W+73rd+St%2C+Edina%2C+MN+55439" TargetMode="External"/><Relationship Id="rId314" Type="http://schemas.openxmlformats.org/officeDocument/2006/relationships/hyperlink" Target="https://npiregistry.cms.hhs.gov/provider-view/1407809494" TargetMode="External"/><Relationship Id="rId356" Type="http://schemas.openxmlformats.org/officeDocument/2006/relationships/hyperlink" Target="https://npiregistry.cms.hhs.gov/provider-view/1720970759" TargetMode="External"/><Relationship Id="rId398" Type="http://schemas.openxmlformats.org/officeDocument/2006/relationships/hyperlink" Target="https://npiregistry.cms.hhs.gov/provider-view/1295557692" TargetMode="External"/><Relationship Id="rId521" Type="http://schemas.openxmlformats.org/officeDocument/2006/relationships/hyperlink" Target="https://www.google.com/maps/search/?api=1&amp;query=Rehabplus+and+Fitness+LLC%2C+46+N+Broadway%2C+Pelican+Rapids%2C+MN+56572" TargetMode="External"/><Relationship Id="rId563" Type="http://schemas.openxmlformats.org/officeDocument/2006/relationships/hyperlink" Target="https://www.google.com/maps/search/?api=1&amp;query=Therapy+Partners%2C+INC.%2C+125+Elton+Hills+Dr+NW%2C+Rochester%2C+MN+55901" TargetMode="External"/><Relationship Id="rId95" Type="http://schemas.openxmlformats.org/officeDocument/2006/relationships/hyperlink" Target="https://www.google.com/maps/search/?api=1&amp;query=Heights+PT+PLLC%2C+665+Woodridge+Dr%2C+Mendota+Heights%2C+MN+55118" TargetMode="External"/><Relationship Id="rId160" Type="http://schemas.openxmlformats.org/officeDocument/2006/relationships/hyperlink" Target="https://npiregistry.cms.hhs.gov/provider-view/1912551185" TargetMode="External"/><Relationship Id="rId216" Type="http://schemas.openxmlformats.org/officeDocument/2006/relationships/hyperlink" Target="https://npiregistry.cms.hhs.gov/provider-view/1457028946" TargetMode="External"/><Relationship Id="rId423" Type="http://schemas.openxmlformats.org/officeDocument/2006/relationships/hyperlink" Target="https://www.google.com/maps/search/?api=1&amp;query=Origin+Physical+Therapy+and+Performance%2C+772+Mag+Seven+Ct+SW%2C+Bemidji%2C+MN+56601" TargetMode="External"/><Relationship Id="rId258" Type="http://schemas.openxmlformats.org/officeDocument/2006/relationships/hyperlink" Target="https://npiregistry.cms.hhs.gov/provider-view/1407809494" TargetMode="External"/><Relationship Id="rId465" Type="http://schemas.openxmlformats.org/officeDocument/2006/relationships/hyperlink" Target="https://www.google.com/maps/search/?api=1&amp;query=Therapy+Partners%2C+INC.%2C+1029+W+Central+Entrance%2C+Duluth%2C+MN+55811" TargetMode="External"/><Relationship Id="rId22" Type="http://schemas.openxmlformats.org/officeDocument/2006/relationships/hyperlink" Target="https://npiregistry.cms.hhs.gov/provider-view/1306606397" TargetMode="External"/><Relationship Id="rId64" Type="http://schemas.openxmlformats.org/officeDocument/2006/relationships/hyperlink" Target="https://npiregistry.cms.hhs.gov/provider-view/1952414971" TargetMode="External"/><Relationship Id="rId118" Type="http://schemas.openxmlformats.org/officeDocument/2006/relationships/hyperlink" Target="https://npiregistry.cms.hhs.gov/provider-view/1346553179" TargetMode="External"/><Relationship Id="rId325" Type="http://schemas.openxmlformats.org/officeDocument/2006/relationships/hyperlink" Target="https://www.google.com/maps/search/?api=1&amp;query=Therapy+Partners%2C+Ins%2C+4800+White+Bear+Pkwy%2C+White+Bear+Lake%2C+MN+55110" TargetMode="External"/><Relationship Id="rId367" Type="http://schemas.openxmlformats.org/officeDocument/2006/relationships/hyperlink" Target="https://www.google.com/maps/search/?api=1&amp;query=Miles+of+Cares+LLC%2C+6043+Hudson+Rd%2C+Woodbury%2C+MN+55125" TargetMode="External"/><Relationship Id="rId532" Type="http://schemas.openxmlformats.org/officeDocument/2006/relationships/hyperlink" Target="https://npiregistry.cms.hhs.gov/provider-view/1790498962" TargetMode="External"/><Relationship Id="rId574" Type="http://schemas.openxmlformats.org/officeDocument/2006/relationships/hyperlink" Target="https://npiregistry.cms.hhs.gov/provider-view/1407809494" TargetMode="External"/><Relationship Id="rId171" Type="http://schemas.openxmlformats.org/officeDocument/2006/relationships/hyperlink" Target="https://www.google.com/maps/search/?api=1&amp;query=Fix+It+Physical+Therapy%2C+LLC%2C+11102+91st+Ave+N%2C+Maple+Grove%2C+MN+55369" TargetMode="External"/><Relationship Id="rId227" Type="http://schemas.openxmlformats.org/officeDocument/2006/relationships/hyperlink" Target="https://www.google.com/maps/search/?api=1&amp;query=Ibackcheck+Sport+Therapy%2C+3650+Plymouth+Blvd%2C+Plymouth%2C+MN+55446" TargetMode="External"/><Relationship Id="rId269" Type="http://schemas.openxmlformats.org/officeDocument/2006/relationships/hyperlink" Target="https://www.google.com/maps/search/?api=1&amp;query=Reneu+Sport+and+Health%2C+101+Lake+St+W%2C+Wayzata%2C+MN+55391" TargetMode="External"/><Relationship Id="rId434" Type="http://schemas.openxmlformats.org/officeDocument/2006/relationships/hyperlink" Target="https://npiregistry.cms.hhs.gov/provider-view/1194020669" TargetMode="External"/><Relationship Id="rId476" Type="http://schemas.openxmlformats.org/officeDocument/2006/relationships/hyperlink" Target="https://npiregistry.cms.hhs.gov/provider-view/1568307403" TargetMode="External"/><Relationship Id="rId33" Type="http://schemas.openxmlformats.org/officeDocument/2006/relationships/hyperlink" Target="https://www.google.com/maps/search/?api=1&amp;query=Therapy+Partners%2C+INC.%2C+600+Market+St%2C+Chanhassen%2C+MN+55317" TargetMode="External"/><Relationship Id="rId129" Type="http://schemas.openxmlformats.org/officeDocument/2006/relationships/hyperlink" Target="https://www.google.com/maps/search/?api=1&amp;query=Flying+Cloud+Spine+%26+Sport%2C+PA.%2C+7707+Flying+Cloud+Dr%2C+Eden+Prairie%2C+MN+55344" TargetMode="External"/><Relationship Id="rId280" Type="http://schemas.openxmlformats.org/officeDocument/2006/relationships/hyperlink" Target="https://npiregistry.cms.hhs.gov/provider-view/1952111387" TargetMode="External"/><Relationship Id="rId336" Type="http://schemas.openxmlformats.org/officeDocument/2006/relationships/hyperlink" Target="https://npiregistry.cms.hhs.gov/provider-view/1407809494" TargetMode="External"/><Relationship Id="rId501" Type="http://schemas.openxmlformats.org/officeDocument/2006/relationships/hyperlink" Target="https://www.google.com/maps/search/?api=1&amp;query=Recharge+Physical+Therapy+%26+Wellness%2C+1518+29th+Ave+S%2C+Moorhead%2C+MN+56560" TargetMode="External"/><Relationship Id="rId543" Type="http://schemas.openxmlformats.org/officeDocument/2006/relationships/hyperlink" Target="https://www.google.com/maps/search/?api=1&amp;query=Activept+Corp%2C+1215+N+7th+St%2C+Lake+City%2C+MN+55041" TargetMode="External"/><Relationship Id="rId75" Type="http://schemas.openxmlformats.org/officeDocument/2006/relationships/hyperlink" Target="https://www.google.com/maps/search/?api=1&amp;query=Summit+Orthopedics%2C+LTD%2C+2620+Eagan+Woods+Dr%2C+Eagan%2C+MN+55121" TargetMode="External"/><Relationship Id="rId140" Type="http://schemas.openxmlformats.org/officeDocument/2006/relationships/hyperlink" Target="https://npiregistry.cms.hhs.gov/provider-view/1447190202" TargetMode="External"/><Relationship Id="rId182" Type="http://schemas.openxmlformats.org/officeDocument/2006/relationships/hyperlink" Target="https://npiregistry.cms.hhs.gov/provider-view/1891914412" TargetMode="External"/><Relationship Id="rId378" Type="http://schemas.openxmlformats.org/officeDocument/2006/relationships/hyperlink" Target="https://npiregistry.cms.hhs.gov/provider-view/1891914412" TargetMode="External"/><Relationship Id="rId403" Type="http://schemas.openxmlformats.org/officeDocument/2006/relationships/hyperlink" Target="https://www.google.com/maps/search/?api=1&amp;query=Novacare+Rehabilitation%2C+2251+Connecticut+Ave+S%2C+Sartell%2C+MN+56377" TargetMode="External"/><Relationship Id="rId585" Type="http://schemas.openxmlformats.org/officeDocument/2006/relationships/hyperlink" Target="https://www.google.com/maps/search/?api=1&amp;query=Avera+Therapy+Marshall%2C+1420+E+College+Dr%2C+Marshall%2C+MN+56258" TargetMode="External"/><Relationship Id="rId6" Type="http://schemas.openxmlformats.org/officeDocument/2006/relationships/hyperlink" Target="https://npiregistry.cms.hhs.gov/provider-view/1508347964" TargetMode="External"/><Relationship Id="rId238" Type="http://schemas.openxmlformats.org/officeDocument/2006/relationships/hyperlink" Target="https://npiregistry.cms.hhs.gov/provider-view/1184958704" TargetMode="External"/><Relationship Id="rId445" Type="http://schemas.openxmlformats.org/officeDocument/2006/relationships/hyperlink" Target="https://www.google.com/maps/search/?api=1&amp;query=River+Iron+Therapy%2C+LLC%2C+337+Forestry+Rd%2C+Aurora%2C+MN+55705" TargetMode="External"/><Relationship Id="rId487" Type="http://schemas.openxmlformats.org/officeDocument/2006/relationships/hyperlink" Target="https://www.google.com/maps/search/?api=1&amp;query=Pine+Peak+Audiology%2C+103+1st+St+W%2C+Fosston%2C+MN+56542" TargetMode="External"/><Relationship Id="rId291" Type="http://schemas.openxmlformats.org/officeDocument/2006/relationships/hyperlink" Target="https://www.google.com/maps/search/?api=1&amp;query=Integrative+Orthopedic+Clinics%2C+PLLC%2C+2550+University+Ave+W%2C+St.+Paul%2C+MN+55114" TargetMode="External"/><Relationship Id="rId305" Type="http://schemas.openxmlformats.org/officeDocument/2006/relationships/hyperlink" Target="https://www.google.com/maps/search/?api=1&amp;query=The+Good+Movement+Pelvic+Health+%26+Wellness%2C+2327+Wycliff+St%2C+St.+Paul%2C+MN+55114" TargetMode="External"/><Relationship Id="rId347" Type="http://schemas.openxmlformats.org/officeDocument/2006/relationships/hyperlink" Target="https://www.google.com/maps/search/?api=1&amp;query=Thrive+Hq%2C+3511+Lake+Elmo+Ave+N%2C+Lake+Elmo%2C+MN+55042" TargetMode="External"/><Relationship Id="rId512" Type="http://schemas.openxmlformats.org/officeDocument/2006/relationships/hyperlink" Target="https://npiregistry.cms.hhs.gov/provider-view/1497499768" TargetMode="External"/><Relationship Id="rId44" Type="http://schemas.openxmlformats.org/officeDocument/2006/relationships/hyperlink" Target="https://npiregistry.cms.hhs.gov/provider-view/1497474274" TargetMode="External"/><Relationship Id="rId86" Type="http://schemas.openxmlformats.org/officeDocument/2006/relationships/hyperlink" Target="https://npiregistry.cms.hhs.gov/provider-view/1194904417" TargetMode="External"/><Relationship Id="rId151" Type="http://schemas.openxmlformats.org/officeDocument/2006/relationships/hyperlink" Target="https://www.google.com/maps/search/?api=1&amp;query=Healthpro+Heritage+Rehab+%26+Fitness%2C+LLC%2C+7128+France+Ave+S%2C+Edina%2C+MN+55435" TargetMode="External"/><Relationship Id="rId389" Type="http://schemas.openxmlformats.org/officeDocument/2006/relationships/hyperlink" Target="https://www.google.com/maps/search/?api=1&amp;query=True+North+Family+Clinic%2C+471+Highway+23%2C+Foley%2C+MN+56329" TargetMode="External"/><Relationship Id="rId554" Type="http://schemas.openxmlformats.org/officeDocument/2006/relationships/hyperlink" Target="https://npiregistry.cms.hhs.gov/provider-view/1124205604" TargetMode="External"/><Relationship Id="rId596" Type="http://schemas.openxmlformats.org/officeDocument/2006/relationships/hyperlink" Target="https://npiregistry.cms.hhs.gov/provider-view/1194438531" TargetMode="External"/><Relationship Id="rId193" Type="http://schemas.openxmlformats.org/officeDocument/2006/relationships/hyperlink" Target="https://www.google.com/maps/search/?api=1&amp;query=Minnesota+Orthopedic+Performance+and+Prevention+LLC%2C+2721+E+Franklin+Ave%2C+Minneapolis%2C+MN+55406" TargetMode="External"/><Relationship Id="rId207" Type="http://schemas.openxmlformats.org/officeDocument/2006/relationships/hyperlink" Target="https://www.google.com/maps/search/?api=1&amp;query=Therapy+Partners%2C+INC.%2C+2125+E+Hennepin+Ave%2C+Minneapolis%2C+MN+55413" TargetMode="External"/><Relationship Id="rId249" Type="http://schemas.openxmlformats.org/officeDocument/2006/relationships/hyperlink" Target="https://www.google.com/maps/search/?api=1&amp;query=Revival+Physical+Therapy+and+Wellness%2C+4123+W+Broadway+Ave%2C+Robbinsdale%2C+MN+55422" TargetMode="External"/><Relationship Id="rId414" Type="http://schemas.openxmlformats.org/officeDocument/2006/relationships/hyperlink" Target="https://npiregistry.cms.hhs.gov/provider-view/1427146737" TargetMode="External"/><Relationship Id="rId456" Type="http://schemas.openxmlformats.org/officeDocument/2006/relationships/hyperlink" Target="https://npiregistry.cms.hhs.gov/provider-view/1467736231" TargetMode="External"/><Relationship Id="rId498" Type="http://schemas.openxmlformats.org/officeDocument/2006/relationships/hyperlink" Target="https://npiregistry.cms.hhs.gov/provider-view/1528303310" TargetMode="External"/><Relationship Id="rId13" Type="http://schemas.openxmlformats.org/officeDocument/2006/relationships/hyperlink" Target="https://www.google.com/maps/search/?api=1&amp;query=Novacare+Rehabilitation%2C+2104+Northdale+Blvd+NW%2C+Coon+Rapids%2C+MN+55433" TargetMode="External"/><Relationship Id="rId109" Type="http://schemas.openxmlformats.org/officeDocument/2006/relationships/hyperlink" Target="https://www.google.com/maps/search/?api=1&amp;query=Saunders+Therapy+Centers+INC%2C+4801+W+81st+St%2C+Bloomington%2C+MN+55437" TargetMode="External"/><Relationship Id="rId260" Type="http://schemas.openxmlformats.org/officeDocument/2006/relationships/hyperlink" Target="https://npiregistry.cms.hhs.gov/provider-view/1457431827" TargetMode="External"/><Relationship Id="rId316" Type="http://schemas.openxmlformats.org/officeDocument/2006/relationships/hyperlink" Target="https://npiregistry.cms.hhs.gov/provider-view/1659849735" TargetMode="External"/><Relationship Id="rId523" Type="http://schemas.openxmlformats.org/officeDocument/2006/relationships/hyperlink" Target="https://www.google.com/maps/search/?api=1&amp;query=Revive+and+Thrive+Therapy+LLC%2C+139+1st+Ave+S%2C+Perham%2C+MN+56573" TargetMode="External"/><Relationship Id="rId55" Type="http://schemas.openxmlformats.org/officeDocument/2006/relationships/hyperlink" Target="https://www.google.com/maps/search/?api=1&amp;query=Therapy+Partners%2C+INC.%2C+14665+Galaxie+Ave%2C+Apple+Valley%2C+MN+55124" TargetMode="External"/><Relationship Id="rId97" Type="http://schemas.openxmlformats.org/officeDocument/2006/relationships/hyperlink" Target="https://www.google.com/maps/search/?api=1&amp;query=Mendota+Physical+Therapy+LLC%2C+1270+Northland+Dr%2C+Mendota+Heights%2C+MN+55120" TargetMode="External"/><Relationship Id="rId120" Type="http://schemas.openxmlformats.org/officeDocument/2006/relationships/hyperlink" Target="https://npiregistry.cms.hhs.gov/provider-view/1497602551" TargetMode="External"/><Relationship Id="rId358" Type="http://schemas.openxmlformats.org/officeDocument/2006/relationships/hyperlink" Target="https://npiregistry.cms.hhs.gov/provider-view/1760096424" TargetMode="External"/><Relationship Id="rId565" Type="http://schemas.openxmlformats.org/officeDocument/2006/relationships/hyperlink" Target="https://www.google.com/maps/search/?api=1&amp;query=Therapy+Partners%2C+INC.%2C+401+16th+St+SE%2C+Rochester%2C+MN+55904" TargetMode="External"/><Relationship Id="rId162" Type="http://schemas.openxmlformats.org/officeDocument/2006/relationships/hyperlink" Target="https://npiregistry.cms.hhs.gov/provider-view/1316780349" TargetMode="External"/><Relationship Id="rId218" Type="http://schemas.openxmlformats.org/officeDocument/2006/relationships/hyperlink" Target="https://npiregistry.cms.hhs.gov/provider-view/1891914412" TargetMode="External"/><Relationship Id="rId425" Type="http://schemas.openxmlformats.org/officeDocument/2006/relationships/hyperlink" Target="https://www.google.com/maps/search/?api=1&amp;query=First+Steps+Pediatric+Physical+Therapy%2C+LLC%2C+1565+Red+Pine+Trl%2C+Cloquet%2C+MN+55720" TargetMode="External"/><Relationship Id="rId467" Type="http://schemas.openxmlformats.org/officeDocument/2006/relationships/hyperlink" Target="https://www.google.com/maps/search/?api=1&amp;query=Therapy+Partners%2C+INC.%2C+227+Mckinley+Ave%2C+Eveleth%2C+MN+55734" TargetMode="External"/><Relationship Id="rId271" Type="http://schemas.openxmlformats.org/officeDocument/2006/relationships/hyperlink" Target="https://www.google.com/maps/search/?api=1&amp;query=Pdr+Maplewood%2C+INC%2C+2520+White+Bear+Ave+N%2C+Maplewood%2C+MN+55109" TargetMode="External"/><Relationship Id="rId24" Type="http://schemas.openxmlformats.org/officeDocument/2006/relationships/hyperlink" Target="https://npiregistry.cms.hhs.gov/provider-view/1407809494" TargetMode="External"/><Relationship Id="rId66" Type="http://schemas.openxmlformats.org/officeDocument/2006/relationships/hyperlink" Target="https://npiregistry.cms.hhs.gov/provider-view/1407809494" TargetMode="External"/><Relationship Id="rId131" Type="http://schemas.openxmlformats.org/officeDocument/2006/relationships/hyperlink" Target="https://www.google.com/maps/search/?api=1&amp;query=Institute+For+Orthopedics+%26+Chiropractic%2C+PLLC%2C+6545+Flying+Cloud+Dr%2C+Eden+Prairie%2C+MN+55344" TargetMode="External"/><Relationship Id="rId327" Type="http://schemas.openxmlformats.org/officeDocument/2006/relationships/hyperlink" Target="https://www.google.com/maps/search/?api=1&amp;query=Therapy+Partners%2C+INC.%2C+4646+Colorado+St+SE%2C+Prior+Lake%2C+MN+55372" TargetMode="External"/><Relationship Id="rId369" Type="http://schemas.openxmlformats.org/officeDocument/2006/relationships/hyperlink" Target="https://www.google.com/maps/search/?api=1&amp;query=Summit+Orthopedics%2C+LTD%2C+710+Commerce+Dr%2C+Woodbury%2C+MN+55125" TargetMode="External"/><Relationship Id="rId534" Type="http://schemas.openxmlformats.org/officeDocument/2006/relationships/hyperlink" Target="https://npiregistry.cms.hhs.gov/provider-view/1841903283" TargetMode="External"/><Relationship Id="rId576" Type="http://schemas.openxmlformats.org/officeDocument/2006/relationships/hyperlink" Target="https://npiregistry.cms.hhs.gov/provider-view/1124044656" TargetMode="External"/><Relationship Id="rId173" Type="http://schemas.openxmlformats.org/officeDocument/2006/relationships/hyperlink" Target="https://www.google.com/maps/search/?api=1&amp;query=Interventional+Spine+and+Pain+Physicians%2C+PA%2C+9645+Grove+Cir+N%2C+Maple+Grove%2C+MN+55369" TargetMode="External"/><Relationship Id="rId229" Type="http://schemas.openxmlformats.org/officeDocument/2006/relationships/hyperlink" Target="https://www.google.com/maps/search/?api=1&amp;query=Midwest+Physical+Therapy+LLC%2C+14440+28th+Pl+N%2C+Plymouth%2C+MN+55447" TargetMode="External"/><Relationship Id="rId380" Type="http://schemas.openxmlformats.org/officeDocument/2006/relationships/hyperlink" Target="https://npiregistry.cms.hhs.gov/provider-view/1154144087" TargetMode="External"/><Relationship Id="rId436" Type="http://schemas.openxmlformats.org/officeDocument/2006/relationships/hyperlink" Target="https://npiregistry.cms.hhs.gov/provider-view/1437011996" TargetMode="External"/><Relationship Id="rId240" Type="http://schemas.openxmlformats.org/officeDocument/2006/relationships/hyperlink" Target="https://npiregistry.cms.hhs.gov/provider-view/1407809494" TargetMode="External"/><Relationship Id="rId478" Type="http://schemas.openxmlformats.org/officeDocument/2006/relationships/hyperlink" Target="https://npiregistry.cms.hhs.gov/provider-view/1003985516" TargetMode="External"/><Relationship Id="rId35" Type="http://schemas.openxmlformats.org/officeDocument/2006/relationships/hyperlink" Target="https://www.google.com/maps/search/?api=1&amp;query=Concentra+Medical+Center%2C+1580+White+Oak+Dr%2C+Chaska%2C+MN+55318" TargetMode="External"/><Relationship Id="rId77" Type="http://schemas.openxmlformats.org/officeDocument/2006/relationships/hyperlink" Target="https://www.google.com/maps/search/?api=1&amp;query=Therapy+Partners%2C+INC.%2C+2119+Cliff+Rd%2C+Eagan%2C+MN+55122" TargetMode="External"/><Relationship Id="rId100" Type="http://schemas.openxmlformats.org/officeDocument/2006/relationships/hyperlink" Target="https://npiregistry.cms.hhs.gov/provider-view/1407809494" TargetMode="External"/><Relationship Id="rId282" Type="http://schemas.openxmlformats.org/officeDocument/2006/relationships/hyperlink" Target="https://npiregistry.cms.hhs.gov/provider-view/1033020722" TargetMode="External"/><Relationship Id="rId338" Type="http://schemas.openxmlformats.org/officeDocument/2006/relationships/hyperlink" Target="https://npiregistry.cms.hhs.gov/provider-view/1053753095" TargetMode="External"/><Relationship Id="rId503" Type="http://schemas.openxmlformats.org/officeDocument/2006/relationships/hyperlink" Target="https://www.google.com/maps/search/?api=1&amp;query=Alex+PT+LLC%2C+591+Northside+Dr%2C+Alexandria%2C+MN+56308" TargetMode="External"/><Relationship Id="rId545" Type="http://schemas.openxmlformats.org/officeDocument/2006/relationships/hyperlink" Target="https://www.google.com/maps/search/?api=1&amp;query=Synergy+Industrial+Rehab%2C+1499+Hay+Creek+Valley+Rd%2C+Red+Wing%2C+MN+55066" TargetMode="External"/><Relationship Id="rId587" Type="http://schemas.openxmlformats.org/officeDocument/2006/relationships/hyperlink" Target="https://www.google.com/maps/search/?api=1&amp;query=Big+Stone+Therapies%2C+INC%2C+700+N+Monroe+St%2C+Minneota%2C+MN+56264" TargetMode="External"/><Relationship Id="rId8" Type="http://schemas.openxmlformats.org/officeDocument/2006/relationships/hyperlink" Target="https://npiregistry.cms.hhs.gov/provider-view/1235950957" TargetMode="External"/><Relationship Id="rId142" Type="http://schemas.openxmlformats.org/officeDocument/2006/relationships/hyperlink" Target="https://npiregistry.cms.hhs.gov/provider-view/1407809494" TargetMode="External"/><Relationship Id="rId184" Type="http://schemas.openxmlformats.org/officeDocument/2006/relationships/hyperlink" Target="https://npiregistry.cms.hhs.gov/provider-view/1407809494" TargetMode="External"/><Relationship Id="rId391" Type="http://schemas.openxmlformats.org/officeDocument/2006/relationships/hyperlink" Target="https://www.google.com/maps/search/?api=1&amp;query=St+Raphaels+Chiropractic+Care+Center+PLLC%2C+120+Central+Ave+N%2C+Milaca%2C+MN+56353" TargetMode="External"/><Relationship Id="rId405" Type="http://schemas.openxmlformats.org/officeDocument/2006/relationships/hyperlink" Target="https://www.google.com/maps/search/?api=1&amp;query=Williams+Integracare+Clinic%2C+2251+Connecticut+Ave+S%2C+Sartell%2C+MN+56377" TargetMode="External"/><Relationship Id="rId447" Type="http://schemas.openxmlformats.org/officeDocument/2006/relationships/hyperlink" Target="https://www.google.com/maps/search/?api=1&amp;query=Big+Stone+Therapies%2C+INC%2C+724+Maple+Grove+Rd%2C+Duluth%2C+MN+55811" TargetMode="External"/><Relationship Id="rId251" Type="http://schemas.openxmlformats.org/officeDocument/2006/relationships/hyperlink" Target="https://www.google.com/maps/search/?api=1&amp;query=Ageility+Physical+Therapy+Solutions+At+the+Wellstead+of+Rogers%2C+20600+S+Diamond+Lake+Rd%2C+Rogers%2C+MN+55374" TargetMode="External"/><Relationship Id="rId489" Type="http://schemas.openxmlformats.org/officeDocument/2006/relationships/hyperlink" Target="https://www.google.com/maps/search/?api=1&amp;query=Warroad+Physical+Therapy%2C+608+Emily+Ave+NW%2C+Warroad%2C+MN+56763" TargetMode="External"/><Relationship Id="rId46" Type="http://schemas.openxmlformats.org/officeDocument/2006/relationships/hyperlink" Target="https://npiregistry.cms.hhs.gov/provider-view/1770440810" TargetMode="External"/><Relationship Id="rId293" Type="http://schemas.openxmlformats.org/officeDocument/2006/relationships/hyperlink" Target="https://www.google.com/maps/search/?api=1&amp;query=Minnesota+Luna+Care+Physical+Therapy+LLC%2C+428+Minnesota+St%2C+St.+Paul%2C+MN+55101" TargetMode="External"/><Relationship Id="rId307" Type="http://schemas.openxmlformats.org/officeDocument/2006/relationships/hyperlink" Target="https://www.google.com/maps/search/?api=1&amp;query=Therapy+Partners%2C+INC%2C+360+Sherman+St%2C+St.+Paul%2C+MN+55102" TargetMode="External"/><Relationship Id="rId349" Type="http://schemas.openxmlformats.org/officeDocument/2006/relationships/hyperlink" Target="https://www.google.com/maps/search/?api=1&amp;query=Fitness+Focus%2C+688+Wildwood+Road%2C+Mahtomedi%2C+MN+55115" TargetMode="External"/><Relationship Id="rId514" Type="http://schemas.openxmlformats.org/officeDocument/2006/relationships/hyperlink" Target="https://npiregistry.cms.hhs.gov/provider-view/1275268799" TargetMode="External"/><Relationship Id="rId556" Type="http://schemas.openxmlformats.org/officeDocument/2006/relationships/hyperlink" Target="https://npiregistry.cms.hhs.gov/provider-view/1598366882" TargetMode="External"/><Relationship Id="rId88" Type="http://schemas.openxmlformats.org/officeDocument/2006/relationships/hyperlink" Target="https://npiregistry.cms.hhs.gov/provider-view/1013323559" TargetMode="External"/><Relationship Id="rId111" Type="http://schemas.openxmlformats.org/officeDocument/2006/relationships/hyperlink" Target="https://www.google.com/maps/search/?api=1&amp;query=Shooting+Star+Pediatric+Physical+Therapy+LLC%2C+8120+Penn+Ave+S%2C+Bloomington%2C+MN+55431" TargetMode="External"/><Relationship Id="rId153" Type="http://schemas.openxmlformats.org/officeDocument/2006/relationships/hyperlink" Target="https://www.google.com/maps/search/?api=1&amp;query=Institute+For+Orthopedics+%26+Chiropractic%2C+PLLC%2C+6550+York+Ave+S%2C+Edina%2C+MN+55435" TargetMode="External"/><Relationship Id="rId195" Type="http://schemas.openxmlformats.org/officeDocument/2006/relationships/hyperlink" Target="https://www.google.com/maps/search/?api=1&amp;query=Motion+Forward+Physical+Therapy+and+Wellness+LLC%2C+305+1st+Ave+NE%2C+Minneapolis%2C+MN+55413" TargetMode="External"/><Relationship Id="rId209" Type="http://schemas.openxmlformats.org/officeDocument/2006/relationships/hyperlink" Target="https://www.google.com/maps/search/?api=1&amp;query=Treadwell%2C+Dpt%2C+2500+Highway+88%2C+Minneapolis%2C+MN+55418" TargetMode="External"/><Relationship Id="rId360" Type="http://schemas.openxmlformats.org/officeDocument/2006/relationships/hyperlink" Target="https://npiregistry.cms.hhs.gov/provider-view/1861066789" TargetMode="External"/><Relationship Id="rId416" Type="http://schemas.openxmlformats.org/officeDocument/2006/relationships/hyperlink" Target="https://npiregistry.cms.hhs.gov/provider-view/1669127726" TargetMode="External"/><Relationship Id="rId220" Type="http://schemas.openxmlformats.org/officeDocument/2006/relationships/hyperlink" Target="https://npiregistry.cms.hhs.gov/provider-view/1518950815" TargetMode="External"/><Relationship Id="rId458" Type="http://schemas.openxmlformats.org/officeDocument/2006/relationships/hyperlink" Target="https://npiregistry.cms.hhs.gov/provider-view/1417632308" TargetMode="External"/><Relationship Id="rId15" Type="http://schemas.openxmlformats.org/officeDocument/2006/relationships/hyperlink" Target="https://www.google.com/maps/search/?api=1&amp;query=Novacare+Rehabilitation%2C+10091+Dogwood+St+NW%2C+Coon+Rapids%2C+MN+55448" TargetMode="External"/><Relationship Id="rId57" Type="http://schemas.openxmlformats.org/officeDocument/2006/relationships/hyperlink" Target="https://www.google.com/maps/search/?api=1&amp;query=Institute+For+Orthopedics+%26+Chiropractic%2C+PLLC%2C+14300+Buck+Hill+Rd%2C+Burnsville%2C+MN+55306" TargetMode="External"/><Relationship Id="rId262" Type="http://schemas.openxmlformats.org/officeDocument/2006/relationships/hyperlink" Target="https://npiregistry.cms.hhs.gov/provider-view/1437403110" TargetMode="External"/><Relationship Id="rId318" Type="http://schemas.openxmlformats.org/officeDocument/2006/relationships/hyperlink" Target="https://npiregistry.cms.hhs.gov/provider-view/1356277511" TargetMode="External"/><Relationship Id="rId525" Type="http://schemas.openxmlformats.org/officeDocument/2006/relationships/hyperlink" Target="https://www.google.com/maps/search/?api=1&amp;query=Prairie+Rehabilitation+Services%2C+INC%2C+816+3rd+St%2C+Jackson%2C+MN+56143" TargetMode="External"/><Relationship Id="rId567" Type="http://schemas.openxmlformats.org/officeDocument/2006/relationships/hyperlink" Target="https://www.google.com/maps/search/?api=1&amp;query=Vital+Years+Physical+Therapy+%26+Rehabilitation%2C+3528+8th+St+NW%2C+Rochester%2C+MN+55901" TargetMode="External"/><Relationship Id="rId99" Type="http://schemas.openxmlformats.org/officeDocument/2006/relationships/hyperlink" Target="https://www.google.com/maps/search/?api=1&amp;query=Therapy+Partners%2C+INC.%2C+1270+Northland+Dr%2C+Mendota+Heights%2C+MN+55120" TargetMode="External"/><Relationship Id="rId122" Type="http://schemas.openxmlformats.org/officeDocument/2006/relationships/hyperlink" Target="https://npiregistry.cms.hhs.gov/provider-view/1891914412" TargetMode="External"/><Relationship Id="rId164" Type="http://schemas.openxmlformats.org/officeDocument/2006/relationships/hyperlink" Target="https://npiregistry.cms.hhs.gov/provider-view/1407809494" TargetMode="External"/><Relationship Id="rId371" Type="http://schemas.openxmlformats.org/officeDocument/2006/relationships/hyperlink" Target="https://www.google.com/maps/search/?api=1&amp;query=Therapy+Partners%2C+INC.%2C+257+Rivertown+Dr%2C+Woodbury%2C+MN+55125" TargetMode="External"/><Relationship Id="rId427" Type="http://schemas.openxmlformats.org/officeDocument/2006/relationships/hyperlink" Target="https://www.google.com/maps/search/?api=1&amp;query=Therapy+Partners%2C+INC.%2C+1220+Villa+Court+Dr%2C+Cromwell%2C+MN+55726" TargetMode="External"/><Relationship Id="rId469" Type="http://schemas.openxmlformats.org/officeDocument/2006/relationships/hyperlink" Target="https://www.google.com/maps/search/?api=1&amp;query=Therapy+Partners%2C+INC.%2C+4135+Richard+Ave%2C+Hermantown%2C+MN+55811" TargetMode="External"/><Relationship Id="rId26" Type="http://schemas.openxmlformats.org/officeDocument/2006/relationships/hyperlink" Target="https://npiregistry.cms.hhs.gov/provider-view/1558610519" TargetMode="External"/><Relationship Id="rId231" Type="http://schemas.openxmlformats.org/officeDocument/2006/relationships/hyperlink" Target="https://www.google.com/maps/search/?api=1&amp;query=Minnesota+Therapy+%26+Balance+Center+LLC%2C+12805+Highway+55%2C+Plymouth%2C+MN+55441" TargetMode="External"/><Relationship Id="rId273" Type="http://schemas.openxmlformats.org/officeDocument/2006/relationships/hyperlink" Target="https://www.google.com/maps/search/?api=1&amp;query=Institute+For+Athletic+Medicine%2C+2600+39th+Ave+NE%2C+Minneapolis%2C+MN+55421" TargetMode="External"/><Relationship Id="rId329" Type="http://schemas.openxmlformats.org/officeDocument/2006/relationships/hyperlink" Target="https://www.google.com/maps/search/?api=1&amp;query=Mpower+PT%2C+13116+Zinran+Pl%2C+Savage%2C+MN+55378" TargetMode="External"/><Relationship Id="rId480" Type="http://schemas.openxmlformats.org/officeDocument/2006/relationships/hyperlink" Target="https://npiregistry.cms.hhs.gov/provider-view/1457479958" TargetMode="External"/><Relationship Id="rId536" Type="http://schemas.openxmlformats.org/officeDocument/2006/relationships/hyperlink" Target="https://npiregistry.cms.hhs.gov/provider-view/1932017746" TargetMode="External"/><Relationship Id="rId68" Type="http://schemas.openxmlformats.org/officeDocument/2006/relationships/hyperlink" Target="https://npiregistry.cms.hhs.gov/provider-view/1295809366" TargetMode="External"/><Relationship Id="rId133" Type="http://schemas.openxmlformats.org/officeDocument/2006/relationships/hyperlink" Target="https://www.google.com/maps/search/?api=1&amp;query=Integrative+Orthopedic+Clinics%2C+PLLC%2C+6545+Flying+Cloud+Dr%2C+Eden+Prairie%2C+MN+55344" TargetMode="External"/><Relationship Id="rId175" Type="http://schemas.openxmlformats.org/officeDocument/2006/relationships/hyperlink" Target="https://www.google.com/maps/search/?api=1&amp;query=Movement+Lab+Physical+Therapy+LLC%2C+6274+Fountain+Ln+N%2C+Maple+Grove%2C+MN+55311" TargetMode="External"/><Relationship Id="rId340" Type="http://schemas.openxmlformats.org/officeDocument/2006/relationships/hyperlink" Target="https://npiregistry.cms.hhs.gov/provider-view/1780405480" TargetMode="External"/><Relationship Id="rId578" Type="http://schemas.openxmlformats.org/officeDocument/2006/relationships/hyperlink" Target="https://npiregistry.cms.hhs.gov/provider-view/1780162552" TargetMode="External"/><Relationship Id="rId200" Type="http://schemas.openxmlformats.org/officeDocument/2006/relationships/hyperlink" Target="https://npiregistry.cms.hhs.gov/provider-view/1609744002" TargetMode="External"/><Relationship Id="rId382" Type="http://schemas.openxmlformats.org/officeDocument/2006/relationships/hyperlink" Target="https://npiregistry.cms.hhs.gov/provider-view/1679394357" TargetMode="External"/><Relationship Id="rId438" Type="http://schemas.openxmlformats.org/officeDocument/2006/relationships/hyperlink" Target="https://npiregistry.cms.hhs.gov/provider-view/1669998571" TargetMode="External"/><Relationship Id="rId242" Type="http://schemas.openxmlformats.org/officeDocument/2006/relationships/hyperlink" Target="https://npiregistry.cms.hhs.gov/provider-view/1407809494" TargetMode="External"/><Relationship Id="rId284" Type="http://schemas.openxmlformats.org/officeDocument/2006/relationships/hyperlink" Target="https://npiregistry.cms.hhs.gov/provider-view/1972421873" TargetMode="External"/><Relationship Id="rId491" Type="http://schemas.openxmlformats.org/officeDocument/2006/relationships/hyperlink" Target="https://www.google.com/maps/search/?api=1&amp;query=Rehabplus+and+Fitness+LLC%2C+220+Front+St+S%2C+Barnesville%2C+MN+56514" TargetMode="External"/><Relationship Id="rId505" Type="http://schemas.openxmlformats.org/officeDocument/2006/relationships/hyperlink" Target="https://www.google.com/maps/search/?api=1&amp;query=Alomere+Health%2C+111+17th+Ave+E%2C+Alexandria%2C+MN+56308" TargetMode="External"/><Relationship Id="rId37" Type="http://schemas.openxmlformats.org/officeDocument/2006/relationships/hyperlink" Target="https://www.google.com/maps/search/?api=1&amp;query=Inmind+Health%2C+LLC%2C+1107+Hazeltine+Blvd%2C+Chaska%2C+MN+55318" TargetMode="External"/><Relationship Id="rId79" Type="http://schemas.openxmlformats.org/officeDocument/2006/relationships/hyperlink" Target="https://www.google.com/maps/search/?api=1&amp;query=The+Next+Level+Physio%2C+LLC%2C+21210+Eaton+Ave%2C+Farmington%2C+MN+55024" TargetMode="External"/><Relationship Id="rId102" Type="http://schemas.openxmlformats.org/officeDocument/2006/relationships/hyperlink" Target="https://npiregistry.cms.hhs.gov/provider-view/1467736231" TargetMode="External"/><Relationship Id="rId144" Type="http://schemas.openxmlformats.org/officeDocument/2006/relationships/hyperlink" Target="https://npiregistry.cms.hhs.gov/provider-view/1205694742" TargetMode="External"/><Relationship Id="rId547" Type="http://schemas.openxmlformats.org/officeDocument/2006/relationships/hyperlink" Target="https://www.google.com/maps/search/?api=1&amp;query=Therapy+Partners%2C+INC.%2C+325+Bush+St%2C+Red+Wing%2C+MN+55066" TargetMode="External"/><Relationship Id="rId589" Type="http://schemas.openxmlformats.org/officeDocument/2006/relationships/hyperlink" Target="https://www.google.com/maps/search/?api=1&amp;query=Prairie+Rehabilitation+Services%2C+INC.%2C+1216+Ryans+Rd+3rd%2C+Worthington%2C+MN+56187" TargetMode="External"/><Relationship Id="rId90" Type="http://schemas.openxmlformats.org/officeDocument/2006/relationships/hyperlink" Target="https://npiregistry.cms.hhs.gov/provider-view/1871294538" TargetMode="External"/><Relationship Id="rId186" Type="http://schemas.openxmlformats.org/officeDocument/2006/relationships/hyperlink" Target="https://npiregistry.cms.hhs.gov/provider-view/1831948199" TargetMode="External"/><Relationship Id="rId351" Type="http://schemas.openxmlformats.org/officeDocument/2006/relationships/hyperlink" Target="https://www.google.com/maps/search/?api=1&amp;query=Viverant+PT+LLC%2C+7825+3rd+St+N%2C+Oakdale%2C+MN+55128" TargetMode="External"/><Relationship Id="rId393" Type="http://schemas.openxmlformats.org/officeDocument/2006/relationships/hyperlink" Target="https://www.google.com/maps/search/?api=1&amp;query=St+Raphaels+Chiropractic+Care+Center+PLLC%2C+115+1st+St+W%2C+Milaca%2C+MN+56353" TargetMode="External"/><Relationship Id="rId407" Type="http://schemas.openxmlformats.org/officeDocument/2006/relationships/hyperlink" Target="https://www.google.com/maps/search/?api=1&amp;query=Communitywise+Services%2C+INC.%2C+3339+W+Saint+Germain+St%2C+St.+Cloud%2C+MN+56301" TargetMode="External"/><Relationship Id="rId449" Type="http://schemas.openxmlformats.org/officeDocument/2006/relationships/hyperlink" Target="https://www.google.com/maps/search/?api=1&amp;query=Chiropractic+Health+Center+P+A%2C+5807+Grand+Ave%2C+Duluth%2C+MN+55807" TargetMode="External"/><Relationship Id="rId211" Type="http://schemas.openxmlformats.org/officeDocument/2006/relationships/hyperlink" Target="https://www.google.com/maps/search/?api=1&amp;query=Novacare+Rehabilitation%2C+2000+Plymouth+Rd%2C+Minnetonka%2C+MN+55305" TargetMode="External"/><Relationship Id="rId253" Type="http://schemas.openxmlformats.org/officeDocument/2006/relationships/hyperlink" Target="https://www.google.com/maps/search/?api=1&amp;query=Kusin+II+LLC%2C+21897+S+Diamond+Lake+Rd%2C+Rogers%2C+MN+55374" TargetMode="External"/><Relationship Id="rId295" Type="http://schemas.openxmlformats.org/officeDocument/2006/relationships/hyperlink" Target="https://www.google.com/maps/search/?api=1&amp;query=Novacare+Rehabilitation%2C+1050+Larpenteur+Ave+W%2C+St.+Paul%2C+MN+55113" TargetMode="External"/><Relationship Id="rId309" Type="http://schemas.openxmlformats.org/officeDocument/2006/relationships/hyperlink" Target="https://www.google.com/maps/search/?api=1&amp;query=Therapy+Partners%2C+INC.%2C+1939+Minnehaha+Ave+W%2C+St.+Paul%2C+MN+55104" TargetMode="External"/><Relationship Id="rId460" Type="http://schemas.openxmlformats.org/officeDocument/2006/relationships/hyperlink" Target="https://npiregistry.cms.hhs.gov/provider-view/1407809494" TargetMode="External"/><Relationship Id="rId516" Type="http://schemas.openxmlformats.org/officeDocument/2006/relationships/hyperlink" Target="https://npiregistry.cms.hhs.gov/provider-view/1346553179" TargetMode="External"/><Relationship Id="rId48" Type="http://schemas.openxmlformats.org/officeDocument/2006/relationships/hyperlink" Target="https://npiregistry.cms.hhs.gov/provider-view/1023959228" TargetMode="External"/><Relationship Id="rId113" Type="http://schemas.openxmlformats.org/officeDocument/2006/relationships/hyperlink" Target="https://www.google.com/maps/search/?api=1&amp;query=Tria+Orthopaedic+Center+LLC%2C+8100+Northland+Dr%2C+Bloomington%2C+MN+55431" TargetMode="External"/><Relationship Id="rId320" Type="http://schemas.openxmlformats.org/officeDocument/2006/relationships/hyperlink" Target="https://npiregistry.cms.hhs.gov/provider-view/1518963909" TargetMode="External"/><Relationship Id="rId558" Type="http://schemas.openxmlformats.org/officeDocument/2006/relationships/hyperlink" Target="https://npiregistry.cms.hhs.gov/provider-view/1780162552" TargetMode="External"/><Relationship Id="rId155" Type="http://schemas.openxmlformats.org/officeDocument/2006/relationships/hyperlink" Target="https://www.google.com/maps/search/?api=1&amp;query=Novacare+Rehabilitation%2C+6515+Barrie+Rd%2C+Edina%2C+MN+55435" TargetMode="External"/><Relationship Id="rId197" Type="http://schemas.openxmlformats.org/officeDocument/2006/relationships/hyperlink" Target="https://www.google.com/maps/search/?api=1&amp;query=Prescott+Therapies+LLC%2C+825+Nicollet+Mall%2C+Minneapolis%2C+MN+55402" TargetMode="External"/><Relationship Id="rId362" Type="http://schemas.openxmlformats.org/officeDocument/2006/relationships/hyperlink" Target="https://npiregistry.cms.hhs.gov/provider-view/1861066789" TargetMode="External"/><Relationship Id="rId418" Type="http://schemas.openxmlformats.org/officeDocument/2006/relationships/hyperlink" Target="https://npiregistry.cms.hhs.gov/provider-view/1437228574" TargetMode="External"/><Relationship Id="rId222" Type="http://schemas.openxmlformats.org/officeDocument/2006/relationships/hyperlink" Target="https://npiregistry.cms.hhs.gov/provider-view/1407809494" TargetMode="External"/><Relationship Id="rId264" Type="http://schemas.openxmlformats.org/officeDocument/2006/relationships/hyperlink" Target="https://npiregistry.cms.hhs.gov/provider-view/1154302545" TargetMode="External"/><Relationship Id="rId471" Type="http://schemas.openxmlformats.org/officeDocument/2006/relationships/hyperlink" Target="https://www.google.com/maps/search/?api=1&amp;query=Sister+Strength+PT%2C+2121+1st+Ave%2C+Hibbing%2C+MN+55746" TargetMode="External"/><Relationship Id="rId17" Type="http://schemas.openxmlformats.org/officeDocument/2006/relationships/hyperlink" Target="https://www.google.com/maps/search/?api=1&amp;query=Pdr+Coon+Rapids%2C+INC%2C+320+Coon+Rapids+Blvd+NW%2C+Coon+Rapids%2C+MN+55433" TargetMode="External"/><Relationship Id="rId59" Type="http://schemas.openxmlformats.org/officeDocument/2006/relationships/hyperlink" Target="https://www.google.com/maps/search/?api=1&amp;query=Integrative+Orthopedic+Clinics%2C+PLLC%2C+14300+Buck+Hill+Rd%2C+Burnsville%2C+MN+55306" TargetMode="External"/><Relationship Id="rId124" Type="http://schemas.openxmlformats.org/officeDocument/2006/relationships/hyperlink" Target="https://npiregistry.cms.hhs.gov/provider-view/1518963909" TargetMode="External"/><Relationship Id="rId527" Type="http://schemas.openxmlformats.org/officeDocument/2006/relationships/hyperlink" Target="https://www.google.com/maps/search/?api=1&amp;query=Liepold+Consulting%2C+LLC%2C+80348+410th+Ave%2C+Lakefield%2C+MN+56150" TargetMode="External"/><Relationship Id="rId569" Type="http://schemas.openxmlformats.org/officeDocument/2006/relationships/hyperlink" Target="https://www.google.com/maps/search/?api=1&amp;query=Therapy+Partners%2C+INC.%2C+1961+Cardinal+Ln%2C+Faribault%2C+MN+55021" TargetMode="External"/><Relationship Id="rId70" Type="http://schemas.openxmlformats.org/officeDocument/2006/relationships/hyperlink" Target="https://npiregistry.cms.hhs.gov/provider-view/1174441083" TargetMode="External"/><Relationship Id="rId166" Type="http://schemas.openxmlformats.org/officeDocument/2006/relationships/hyperlink" Target="https://npiregistry.cms.hhs.gov/provider-view/1407809494" TargetMode="External"/><Relationship Id="rId331" Type="http://schemas.openxmlformats.org/officeDocument/2006/relationships/hyperlink" Target="https://www.google.com/maps/search/?api=1&amp;query=Concentra+Medical+Center%2C+4360+12th+Ave+E%2C+Shakopee%2C+MN+55379" TargetMode="External"/><Relationship Id="rId373" Type="http://schemas.openxmlformats.org/officeDocument/2006/relationships/hyperlink" Target="https://www.google.com/maps/search/?api=1&amp;query=Elevate+Physical+Therapy+LLC%2C+6589+Laketowne+Pl%2C+Albertville%2C+MN+55301" TargetMode="External"/><Relationship Id="rId429" Type="http://schemas.openxmlformats.org/officeDocument/2006/relationships/hyperlink" Target="https://www.google.com/maps/search/?api=1&amp;query=Therapy+Partners%2C+INC.%2C+5568+Clark+Ave%2C+Cromwell%2C+MN+55726" TargetMode="External"/><Relationship Id="rId580" Type="http://schemas.openxmlformats.org/officeDocument/2006/relationships/hyperlink" Target="https://npiregistry.cms.hhs.gov/provider-view/1295687150" TargetMode="External"/><Relationship Id="rId1" Type="http://schemas.openxmlformats.org/officeDocument/2006/relationships/hyperlink" Target="https://www.google.com/maps/search/?api=1&amp;query=Moore+Therapies%2C+PLLC%2C+16817+Zion+St+NW%2C+Andover%2C+MN+55304" TargetMode="External"/><Relationship Id="rId233" Type="http://schemas.openxmlformats.org/officeDocument/2006/relationships/hyperlink" Target="https://www.google.com/maps/search/?api=1&amp;query=Novacare+Rehabilitation%2C+1465+County+Road+N%2C+Plymouth%2C+MN+55447" TargetMode="External"/><Relationship Id="rId440" Type="http://schemas.openxmlformats.org/officeDocument/2006/relationships/hyperlink" Target="https://npiregistry.cms.hhs.gov/provider-view/1245056365" TargetMode="External"/><Relationship Id="rId28" Type="http://schemas.openxmlformats.org/officeDocument/2006/relationships/hyperlink" Target="https://npiregistry.cms.hhs.gov/provider-view/1356162051" TargetMode="External"/><Relationship Id="rId275" Type="http://schemas.openxmlformats.org/officeDocument/2006/relationships/hyperlink" Target="https://www.google.com/maps/search/?api=1&amp;query=Gateway+Physical+Therapy%2C+INC%2C+2601+Centennial+Dr%2C+North+St+Paul%2C+MN+55109" TargetMode="External"/><Relationship Id="rId300" Type="http://schemas.openxmlformats.org/officeDocument/2006/relationships/hyperlink" Target="https://npiregistry.cms.hhs.gov/provider-view/1972476836" TargetMode="External"/><Relationship Id="rId482" Type="http://schemas.openxmlformats.org/officeDocument/2006/relationships/hyperlink" Target="https://npiregistry.cms.hhs.gov/provider-view/1821870643" TargetMode="External"/><Relationship Id="rId538" Type="http://schemas.openxmlformats.org/officeDocument/2006/relationships/hyperlink" Target="https://npiregistry.cms.hhs.gov/provider-view/1306556030" TargetMode="External"/><Relationship Id="rId81" Type="http://schemas.openxmlformats.org/officeDocument/2006/relationships/hyperlink" Target="https://www.google.com/maps/search/?api=1&amp;query=Therapy+Ops%2C+LLC%2C+1312+S+Frontage+Rd%2C+Hastings%2C+MN+55033" TargetMode="External"/><Relationship Id="rId135" Type="http://schemas.openxmlformats.org/officeDocument/2006/relationships/hyperlink" Target="https://www.google.com/maps/search/?api=1&amp;query=Orthology%2C+11995+Singletree+Lane%2C+Eden+Prairie%2C+MN+55344" TargetMode="External"/><Relationship Id="rId177" Type="http://schemas.openxmlformats.org/officeDocument/2006/relationships/hyperlink" Target="https://www.google.com/maps/search/?api=1&amp;query=Novacare+Rehabilitation%2C+16366+County+Road+30%2C+Maple+Grove%2C+MN+55311" TargetMode="External"/><Relationship Id="rId342" Type="http://schemas.openxmlformats.org/officeDocument/2006/relationships/hyperlink" Target="https://npiregistry.cms.hhs.gov/provider-view/1699512806" TargetMode="External"/><Relationship Id="rId384" Type="http://schemas.openxmlformats.org/officeDocument/2006/relationships/hyperlink" Target="https://npiregistry.cms.hhs.gov/provider-view/1891914412" TargetMode="External"/><Relationship Id="rId591" Type="http://schemas.openxmlformats.org/officeDocument/2006/relationships/hyperlink" Target="https://www.google.com/maps/search/?api=1&amp;query=Prairie+Rehabilitation+Services%2C+INC.%2C+315+Oxford+St%2C+Worthington%2C+MN+56187" TargetMode="External"/><Relationship Id="rId202" Type="http://schemas.openxmlformats.org/officeDocument/2006/relationships/hyperlink" Target="https://npiregistry.cms.hhs.gov/provider-view/1053791905" TargetMode="External"/><Relationship Id="rId244" Type="http://schemas.openxmlformats.org/officeDocument/2006/relationships/hyperlink" Target="https://npiregistry.cms.hhs.gov/provider-view/1326638289" TargetMode="External"/><Relationship Id="rId39" Type="http://schemas.openxmlformats.org/officeDocument/2006/relationships/hyperlink" Target="https://www.google.com/maps/search/?api=1&amp;query=Sunnydays+Therapy+INC%2C+9346+Oak+Ave%2C+Waconia%2C+MN+55387" TargetMode="External"/><Relationship Id="rId286" Type="http://schemas.openxmlformats.org/officeDocument/2006/relationships/hyperlink" Target="https://npiregistry.cms.hhs.gov/provider-view/1952267510" TargetMode="External"/><Relationship Id="rId451" Type="http://schemas.openxmlformats.org/officeDocument/2006/relationships/hyperlink" Target="https://www.google.com/maps/search/?api=1&amp;query=Fascial+Connections+PT%2C+LLC%2C+4292+Turner+Rd%2C+Duluth%2C+MN+55803" TargetMode="External"/><Relationship Id="rId493" Type="http://schemas.openxmlformats.org/officeDocument/2006/relationships/hyperlink" Target="https://www.google.com/maps/search/?api=1&amp;query=Forward+Physical+Therapy%2C+685+Appletree+Ln%2C+Moorhead%2C+MN+56560" TargetMode="External"/><Relationship Id="rId507" Type="http://schemas.openxmlformats.org/officeDocument/2006/relationships/hyperlink" Target="https://www.google.com/maps/search/?api=1&amp;query=Bst+Alexandria+LLC%2C+6600+State+Highway+29+S%2C+Alexandria%2C+MN+56308" TargetMode="External"/><Relationship Id="rId549" Type="http://schemas.openxmlformats.org/officeDocument/2006/relationships/hyperlink" Target="https://www.google.com/maps/search/?api=1&amp;query=Therapy+Partners%2C+INC.%2C+98+W+5th+St%2C+Zumbrota%2C+MN+55992" TargetMode="External"/><Relationship Id="rId50" Type="http://schemas.openxmlformats.org/officeDocument/2006/relationships/hyperlink" Target="https://npiregistry.cms.hhs.gov/provider-view/1669668026" TargetMode="External"/><Relationship Id="rId104" Type="http://schemas.openxmlformats.org/officeDocument/2006/relationships/hyperlink" Target="https://npiregistry.cms.hhs.gov/provider-view/1689634131" TargetMode="External"/><Relationship Id="rId146" Type="http://schemas.openxmlformats.org/officeDocument/2006/relationships/hyperlink" Target="https://npiregistry.cms.hhs.gov/provider-view/1811661747" TargetMode="External"/><Relationship Id="rId188" Type="http://schemas.openxmlformats.org/officeDocument/2006/relationships/hyperlink" Target="https://npiregistry.cms.hhs.gov/provider-view/1306496278" TargetMode="External"/><Relationship Id="rId311" Type="http://schemas.openxmlformats.org/officeDocument/2006/relationships/hyperlink" Target="https://www.google.com/maps/search/?api=1&amp;query=Therapy+Partners%2C+INC.%2C+375+Selby+Ave%2C+St.+Paul%2C+MN+55102" TargetMode="External"/><Relationship Id="rId353" Type="http://schemas.openxmlformats.org/officeDocument/2006/relationships/hyperlink" Target="https://www.google.com/maps/search/?api=1&amp;query=Peak+Physical+Therapy%2C+PLLC%2C+611+Bielenberg+Dr%2C+St.+Paul%2C+MN+55125" TargetMode="External"/><Relationship Id="rId395" Type="http://schemas.openxmlformats.org/officeDocument/2006/relationships/hyperlink" Target="https://www.google.com/maps/search/?api=1&amp;query=Flexed+Mettle+MN%2C+LLC%2C+111+N+Rum+River+Dr%2C+Princeton%2C+MN+55371" TargetMode="External"/><Relationship Id="rId409" Type="http://schemas.openxmlformats.org/officeDocument/2006/relationships/hyperlink" Target="https://www.google.com/maps/search/?api=1&amp;query=Family+Achievement+Center+of+Central+Minnesota%2C+2904+Roosevelt+Rd%2C+St.+Cloud%2C+MN+56301" TargetMode="External"/><Relationship Id="rId560" Type="http://schemas.openxmlformats.org/officeDocument/2006/relationships/hyperlink" Target="https://npiregistry.cms.hhs.gov/provider-view/1396476032" TargetMode="External"/><Relationship Id="rId92" Type="http://schemas.openxmlformats.org/officeDocument/2006/relationships/hyperlink" Target="https://npiregistry.cms.hhs.gov/provider-view/1356162143" TargetMode="External"/><Relationship Id="rId213" Type="http://schemas.openxmlformats.org/officeDocument/2006/relationships/hyperlink" Target="https://www.google.com/maps/search/?api=1&amp;query=St.+David%27s+Center+For+Child+%26+Family+Development%2C+3395+Plymouth+Rd%2C+Minnetonka%2C+MN+55305" TargetMode="External"/><Relationship Id="rId420" Type="http://schemas.openxmlformats.org/officeDocument/2006/relationships/hyperlink" Target="https://npiregistry.cms.hhs.gov/provider-view/1407809494" TargetMode="External"/><Relationship Id="rId255" Type="http://schemas.openxmlformats.org/officeDocument/2006/relationships/hyperlink" Target="https://www.google.com/maps/search/?api=1&amp;query=Novacare+Rehabilitation%2C+21395+John+Milless+Dr%2C+Rogers%2C+MN+55374" TargetMode="External"/><Relationship Id="rId297" Type="http://schemas.openxmlformats.org/officeDocument/2006/relationships/hyperlink" Target="https://www.google.com/maps/search/?api=1&amp;query=Novacare+Rehabilitation%2C+1387+Phalen+Boulevard%2C+St.+Paul%2C+MN+55106" TargetMode="External"/><Relationship Id="rId462" Type="http://schemas.openxmlformats.org/officeDocument/2006/relationships/hyperlink" Target="https://npiregistry.cms.hhs.gov/provider-view/1407809494" TargetMode="External"/><Relationship Id="rId518" Type="http://schemas.openxmlformats.org/officeDocument/2006/relationships/hyperlink" Target="https://npiregistry.cms.hhs.gov/provider-view/1104636299" TargetMode="External"/><Relationship Id="rId115" Type="http://schemas.openxmlformats.org/officeDocument/2006/relationships/hyperlink" Target="https://www.google.com/maps/search/?api=1&amp;query=Tria+Orthopaedic+Clinic%2C+8100+Northland+Dr%2C+Bloomington%2C+MN+55431" TargetMode="External"/><Relationship Id="rId157" Type="http://schemas.openxmlformats.org/officeDocument/2006/relationships/hyperlink" Target="https://www.google.com/maps/search/?api=1&amp;query=Pdr+Southdale%2C+INC%2C+3400+W+66th+St%2C+Edina%2C+MN+55435" TargetMode="External"/><Relationship Id="rId322" Type="http://schemas.openxmlformats.org/officeDocument/2006/relationships/hyperlink" Target="https://npiregistry.cms.hhs.gov/provider-view/1215358346" TargetMode="External"/><Relationship Id="rId364" Type="http://schemas.openxmlformats.org/officeDocument/2006/relationships/hyperlink" Target="https://npiregistry.cms.hhs.gov/provider-view/1861066789" TargetMode="External"/><Relationship Id="rId61" Type="http://schemas.openxmlformats.org/officeDocument/2006/relationships/hyperlink" Target="https://www.google.com/maps/search/?api=1&amp;query=Mprove+Physical+Therapy%2C+LLC%2C+1103+W+Burnsville+Pkwy%2C+Burnsville%2C+MN+55337" TargetMode="External"/><Relationship Id="rId199" Type="http://schemas.openxmlformats.org/officeDocument/2006/relationships/hyperlink" Target="https://www.google.com/maps/search/?api=1&amp;query=Resilience+Physical+Therapy%2C+2703+Girard+Ave+S%2C+Minneapolis%2C+MN+55408" TargetMode="External"/><Relationship Id="rId571" Type="http://schemas.openxmlformats.org/officeDocument/2006/relationships/hyperlink" Target="https://www.google.com/maps/search/?api=1&amp;query=Big+Stone+Therapies%2C+INC%2C+900+Cannon+Valley+Dr%2C+Northfield%2C+MN+55057" TargetMode="External"/><Relationship Id="rId19" Type="http://schemas.openxmlformats.org/officeDocument/2006/relationships/hyperlink" Target="https://www.google.com/maps/search/?api=1&amp;query=Summit+Orthopedics%2C+LTD.%2C+600+Coon+Rapids+Blvd+NW%2C+Coon+Rapids%2C+MN+55433" TargetMode="External"/><Relationship Id="rId224" Type="http://schemas.openxmlformats.org/officeDocument/2006/relationships/hyperlink" Target="https://npiregistry.cms.hhs.gov/provider-view/1023530862" TargetMode="External"/><Relationship Id="rId266" Type="http://schemas.openxmlformats.org/officeDocument/2006/relationships/hyperlink" Target="https://npiregistry.cms.hhs.gov/provider-view/1518963909" TargetMode="External"/><Relationship Id="rId431" Type="http://schemas.openxmlformats.org/officeDocument/2006/relationships/hyperlink" Target="https://www.google.com/maps/search/?api=1&amp;query=Therapy+Partners%2C+INC.%2C+4791+County+Road+10%2C+Moose+Lake%2C+MN+55767" TargetMode="External"/><Relationship Id="rId473" Type="http://schemas.openxmlformats.org/officeDocument/2006/relationships/hyperlink" Target="https://www.google.com/maps/search/?api=1&amp;query=Therapy+Partners%2C+INC.%2C+402+Spruce+St%2C+Tower%2C+MN+55790" TargetMode="External"/><Relationship Id="rId529" Type="http://schemas.openxmlformats.org/officeDocument/2006/relationships/hyperlink" Target="https://www.google.com/maps/search/?api=1&amp;query=Prairie+Rehabilitation+Services%2C+INC%2C+403+Colonial+Ave%2C+Lakefield%2C+MN+56150" TargetMode="External"/><Relationship Id="rId30" Type="http://schemas.openxmlformats.org/officeDocument/2006/relationships/hyperlink" Target="https://npiregistry.cms.hhs.gov/provider-view/1891332599" TargetMode="External"/><Relationship Id="rId126" Type="http://schemas.openxmlformats.org/officeDocument/2006/relationships/hyperlink" Target="https://npiregistry.cms.hhs.gov/provider-view/1730835257" TargetMode="External"/><Relationship Id="rId168" Type="http://schemas.openxmlformats.org/officeDocument/2006/relationships/hyperlink" Target="https://npiregistry.cms.hhs.gov/provider-view/1770264426" TargetMode="External"/><Relationship Id="rId333" Type="http://schemas.openxmlformats.org/officeDocument/2006/relationships/hyperlink" Target="https://www.google.com/maps/search/?api=1&amp;query=Jag+Health+LLC%2C+13640+Olivia+Ct%2C+Becker%2C+MN+55308" TargetMode="External"/><Relationship Id="rId540" Type="http://schemas.openxmlformats.org/officeDocument/2006/relationships/hyperlink" Target="https://npiregistry.cms.hhs.gov/provider-view/1811451701" TargetMode="External"/><Relationship Id="rId72" Type="http://schemas.openxmlformats.org/officeDocument/2006/relationships/hyperlink" Target="https://npiregistry.cms.hhs.gov/provider-view/1881141349" TargetMode="External"/><Relationship Id="rId375" Type="http://schemas.openxmlformats.org/officeDocument/2006/relationships/hyperlink" Target="https://www.google.com/maps/search/?api=1&amp;query=Gusto+Integrative+Therapies%2C+5232+Kyler+Ave+NE%2C+Albertville%2C+MN+55301" TargetMode="External"/><Relationship Id="rId582" Type="http://schemas.openxmlformats.org/officeDocument/2006/relationships/hyperlink" Target="https://npiregistry.cms.hhs.gov/provider-view/1861495582" TargetMode="External"/><Relationship Id="rId3" Type="http://schemas.openxmlformats.org/officeDocument/2006/relationships/hyperlink" Target="https://www.google.com/maps/search/?api=1&amp;query=Club+West+Chiropractic+PA%2C+10950+Club+West+Pkwy%2C+Blaine%2C+MN+55449" TargetMode="External"/><Relationship Id="rId235" Type="http://schemas.openxmlformats.org/officeDocument/2006/relationships/hyperlink" Target="https://www.google.com/maps/search/?api=1&amp;query=Prescott+Therapies+LLC%2C+18872+42nd+Ave+N%2C+Plymouth%2C+MN+55446" TargetMode="External"/><Relationship Id="rId277" Type="http://schemas.openxmlformats.org/officeDocument/2006/relationships/hyperlink" Target="https://www.google.com/maps/search/?api=1&amp;query=Novacare+Rehabilitation%2C+1835+County+Road+C+W%2C+Roseville%2C+MN+55113" TargetMode="External"/><Relationship Id="rId400" Type="http://schemas.openxmlformats.org/officeDocument/2006/relationships/hyperlink" Target="https://npiregistry.cms.hhs.gov/provider-view/1649091315" TargetMode="External"/><Relationship Id="rId442" Type="http://schemas.openxmlformats.org/officeDocument/2006/relationships/hyperlink" Target="https://npiregistry.cms.hhs.gov/provider-view/1407809494" TargetMode="External"/><Relationship Id="rId484" Type="http://schemas.openxmlformats.org/officeDocument/2006/relationships/hyperlink" Target="https://npiregistry.cms.hhs.gov/provider-view/1407919210" TargetMode="External"/><Relationship Id="rId137" Type="http://schemas.openxmlformats.org/officeDocument/2006/relationships/hyperlink" Target="https://www.google.com/maps/search/?api=1&amp;query=Sartorial+Physical+Therapy+and+Wellness%2C+9642+Jonathan+Ln%2C+Eden+Prairie%2C+MN+55347" TargetMode="External"/><Relationship Id="rId302" Type="http://schemas.openxmlformats.org/officeDocument/2006/relationships/hyperlink" Target="https://npiregistry.cms.hhs.gov/provider-view/1952554495" TargetMode="External"/><Relationship Id="rId344" Type="http://schemas.openxmlformats.org/officeDocument/2006/relationships/hyperlink" Target="https://npiregistry.cms.hhs.gov/provider-view/1841888054" TargetMode="External"/><Relationship Id="rId41" Type="http://schemas.openxmlformats.org/officeDocument/2006/relationships/hyperlink" Target="https://www.google.com/maps/search/?api=1&amp;query=Children%27s+Therapy+Center%2C+INC%2C+14635+Pennock+Ave%2C+Apple+Valley%2C+MN+55124" TargetMode="External"/><Relationship Id="rId83" Type="http://schemas.openxmlformats.org/officeDocument/2006/relationships/hyperlink" Target="https://www.google.com/maps/search/?api=1&amp;query=Compcare+Occupational+Medicine+%26+Urgent+Care%2C+7635+Addisen+Path%2C+Inver+Grove+Heights%2C+MN+55077" TargetMode="External"/><Relationship Id="rId179" Type="http://schemas.openxmlformats.org/officeDocument/2006/relationships/hyperlink" Target="https://www.google.com/maps/search/?api=1&amp;query=Saunders+Therapy+Centers+INC%2C+10900+73rd+Ave+N%2C+Maple+Grove%2C+MN+55369" TargetMode="External"/><Relationship Id="rId386" Type="http://schemas.openxmlformats.org/officeDocument/2006/relationships/hyperlink" Target="https://npiregistry.cms.hhs.gov/provider-view/1407809494" TargetMode="External"/><Relationship Id="rId551" Type="http://schemas.openxmlformats.org/officeDocument/2006/relationships/hyperlink" Target="https://www.google.com/maps/search/?api=1&amp;query=Activept+Corp%2C+3708+Hwy+63+N%2C+Rochester%2C+MN+55906" TargetMode="External"/><Relationship Id="rId593" Type="http://schemas.openxmlformats.org/officeDocument/2006/relationships/hyperlink" Target="https://www.google.com/maps/search/?api=1&amp;query=Re+Active+Wellness+LLC%2C+109+W+Main+St%2C+Pipestone%2C+MN+56164" TargetMode="External"/><Relationship Id="rId190" Type="http://schemas.openxmlformats.org/officeDocument/2006/relationships/hyperlink" Target="https://npiregistry.cms.hhs.gov/provider-view/1427539881" TargetMode="External"/><Relationship Id="rId204" Type="http://schemas.openxmlformats.org/officeDocument/2006/relationships/hyperlink" Target="https://npiregistry.cms.hhs.gov/provider-view/1154100667" TargetMode="External"/><Relationship Id="rId246" Type="http://schemas.openxmlformats.org/officeDocument/2006/relationships/hyperlink" Target="https://npiregistry.cms.hhs.gov/provider-view/1720620867" TargetMode="External"/><Relationship Id="rId288" Type="http://schemas.openxmlformats.org/officeDocument/2006/relationships/hyperlink" Target="https://npiregistry.cms.hhs.gov/provider-view/1487294401" TargetMode="External"/><Relationship Id="rId411" Type="http://schemas.openxmlformats.org/officeDocument/2006/relationships/hyperlink" Target="https://www.google.com/maps/search/?api=1&amp;query=Jamie+Jones+Therapy%2C+LLC%2C+14+7th+Ave+N%2C+St.+Cloud%2C+MN+56303" TargetMode="External"/><Relationship Id="rId453" Type="http://schemas.openxmlformats.org/officeDocument/2006/relationships/hyperlink" Target="https://www.google.com/maps/search/?api=1&amp;query=Lighthouse+Center+For+Vital+Living%2C+309+West+1st+Street%2C+Duluth%2C+MN+55802" TargetMode="External"/><Relationship Id="rId509" Type="http://schemas.openxmlformats.org/officeDocument/2006/relationships/hyperlink" Target="https://www.google.com/maps/search/?api=1&amp;query=Resonance+Physical+Therapy%2C+510+22nd+Ave+E%2C+Alexandria%2C+MN+56308" TargetMode="External"/><Relationship Id="rId106" Type="http://schemas.openxmlformats.org/officeDocument/2006/relationships/hyperlink" Target="https://npiregistry.cms.hhs.gov/provider-view/1265675870" TargetMode="External"/><Relationship Id="rId313" Type="http://schemas.openxmlformats.org/officeDocument/2006/relationships/hyperlink" Target="https://www.google.com/maps/search/?api=1&amp;query=Therapy+Partners%2C+INC.%2C+333+Grand+Ave%2C+St.+Paul%2C+MN+55102" TargetMode="External"/><Relationship Id="rId495" Type="http://schemas.openxmlformats.org/officeDocument/2006/relationships/hyperlink" Target="https://www.google.com/maps/search/?api=1&amp;query=Foss+Spine+and+Wellness%2C+2921+S+Frontage+Rd%2C+Moorhead%2C+MN+56560" TargetMode="External"/><Relationship Id="rId10" Type="http://schemas.openxmlformats.org/officeDocument/2006/relationships/hyperlink" Target="https://npiregistry.cms.hhs.gov/provider-view/1326966300" TargetMode="External"/><Relationship Id="rId52" Type="http://schemas.openxmlformats.org/officeDocument/2006/relationships/hyperlink" Target="https://npiregistry.cms.hhs.gov/provider-view/1013859305" TargetMode="External"/><Relationship Id="rId94" Type="http://schemas.openxmlformats.org/officeDocument/2006/relationships/hyperlink" Target="https://npiregistry.cms.hhs.gov/provider-view/1407337868" TargetMode="External"/><Relationship Id="rId148" Type="http://schemas.openxmlformats.org/officeDocument/2006/relationships/hyperlink" Target="https://npiregistry.cms.hhs.gov/provider-view/1881307932" TargetMode="External"/><Relationship Id="rId355" Type="http://schemas.openxmlformats.org/officeDocument/2006/relationships/hyperlink" Target="https://www.google.com/maps/search/?api=1&amp;query=Enhance+PT+LLC%2C+1826+Northwestern+Ave+S%2C+Stillwater%2C+MN+55082" TargetMode="External"/><Relationship Id="rId397" Type="http://schemas.openxmlformats.org/officeDocument/2006/relationships/hyperlink" Target="https://www.google.com/maps/search/?api=1&amp;query=Novacare+Rehabilitation%2C+600+County+Road+75%2C+Clearwater%2C+MN+55320" TargetMode="External"/><Relationship Id="rId520" Type="http://schemas.openxmlformats.org/officeDocument/2006/relationships/hyperlink" Target="https://npiregistry.cms.hhs.gov/provider-view/1104636299" TargetMode="External"/><Relationship Id="rId562" Type="http://schemas.openxmlformats.org/officeDocument/2006/relationships/hyperlink" Target="https://npiregistry.cms.hhs.gov/provider-view/1265798037" TargetMode="External"/><Relationship Id="rId215" Type="http://schemas.openxmlformats.org/officeDocument/2006/relationships/hyperlink" Target="https://www.google.com/maps/search/?api=1&amp;query=Summit+Orthopedics%2C+LTD%2C+15450+Highway+7%2C+Minnetonka%2C+MN+55345" TargetMode="External"/><Relationship Id="rId257" Type="http://schemas.openxmlformats.org/officeDocument/2006/relationships/hyperlink" Target="https://www.google.com/maps/search/?api=1&amp;query=Therapy+Partners%2C+INC.%2C+23490+Highway+7%2C+Shorewood%2C+MN+55331" TargetMode="External"/><Relationship Id="rId422" Type="http://schemas.openxmlformats.org/officeDocument/2006/relationships/hyperlink" Target="https://npiregistry.cms.hhs.gov/provider-view/1831325620" TargetMode="External"/><Relationship Id="rId464" Type="http://schemas.openxmlformats.org/officeDocument/2006/relationships/hyperlink" Target="https://npiregistry.cms.hhs.gov/provider-view/1407809494" TargetMode="External"/><Relationship Id="rId299" Type="http://schemas.openxmlformats.org/officeDocument/2006/relationships/hyperlink" Target="https://www.google.com/maps/search/?api=1&amp;query=Sakura+Pelvic+Health+and+Wellness%2C+1504+Eleanor+Ave%2C+St.+Paul%2C+MN+55116" TargetMode="External"/><Relationship Id="rId63" Type="http://schemas.openxmlformats.org/officeDocument/2006/relationships/hyperlink" Target="https://www.google.com/maps/search/?api=1&amp;query=Pdr+Burnsville%2C+INC%2C+14050+Nicollet+Ave%2C+Burnsville%2C+MN+55337" TargetMode="External"/><Relationship Id="rId159" Type="http://schemas.openxmlformats.org/officeDocument/2006/relationships/hyperlink" Target="https://www.google.com/maps/search/?api=1&amp;query=Romanie+Health+Services%2C+PA%2C+5325+W+74th+St%2C+Edina%2C+MN+55439" TargetMode="External"/><Relationship Id="rId366" Type="http://schemas.openxmlformats.org/officeDocument/2006/relationships/hyperlink" Target="https://npiregistry.cms.hhs.gov/provider-view/1629004692" TargetMode="External"/><Relationship Id="rId573" Type="http://schemas.openxmlformats.org/officeDocument/2006/relationships/hyperlink" Target="https://www.google.com/maps/search/?api=1&amp;query=Therapy+Partners%2C+INC.%2C+1605+Heritage+Dr%2C+Northfield%2C+MN+55057" TargetMode="External"/><Relationship Id="rId226" Type="http://schemas.openxmlformats.org/officeDocument/2006/relationships/hyperlink" Target="https://npiregistry.cms.hhs.gov/provider-view/1467736231" TargetMode="External"/><Relationship Id="rId433" Type="http://schemas.openxmlformats.org/officeDocument/2006/relationships/hyperlink" Target="https://www.google.com/maps/search/?api=1&amp;query=Big+Stone+Therapies+Baxter%2C+LLC%2C+15620+Edgewood+Dr%2C+Baxter%2C+MN+56425" TargetMode="External"/><Relationship Id="rId74" Type="http://schemas.openxmlformats.org/officeDocument/2006/relationships/hyperlink" Target="https://npiregistry.cms.hhs.gov/provider-view/1689150120" TargetMode="External"/><Relationship Id="rId377" Type="http://schemas.openxmlformats.org/officeDocument/2006/relationships/hyperlink" Target="https://www.google.com/maps/search/?api=1&amp;query=Sunnydays+Therapy+INC%2C+5232+Kyler+Ave+NE%2C+Albertville%2C+MN+55301" TargetMode="External"/><Relationship Id="rId500" Type="http://schemas.openxmlformats.org/officeDocument/2006/relationships/hyperlink" Target="https://npiregistry.cms.hhs.gov/provider-view/1528303310" TargetMode="External"/><Relationship Id="rId584" Type="http://schemas.openxmlformats.org/officeDocument/2006/relationships/hyperlink" Target="https://npiregistry.cms.hhs.gov/provider-view/1083176101" TargetMode="External"/><Relationship Id="rId5" Type="http://schemas.openxmlformats.org/officeDocument/2006/relationships/hyperlink" Target="https://www.google.com/maps/search/?api=1&amp;query=Concentra+Medical+Center%2C+10190+Baltimore+St+NE%2C+Blaine%2C+MN+55449" TargetMode="External"/><Relationship Id="rId237" Type="http://schemas.openxmlformats.org/officeDocument/2006/relationships/hyperlink" Target="https://www.google.com/maps/search/?api=1&amp;query=Therapy+Junction%2C+14130+23rd+Ave+N%2C+Plymouth%2C+MN+55447" TargetMode="External"/><Relationship Id="rId444" Type="http://schemas.openxmlformats.org/officeDocument/2006/relationships/hyperlink" Target="https://npiregistry.cms.hhs.gov/provider-view/1427795558" TargetMode="External"/><Relationship Id="rId290" Type="http://schemas.openxmlformats.org/officeDocument/2006/relationships/hyperlink" Target="https://npiregistry.cms.hhs.gov/provider-view/1710216858" TargetMode="External"/><Relationship Id="rId304" Type="http://schemas.openxmlformats.org/officeDocument/2006/relationships/hyperlink" Target="https://npiregistry.cms.hhs.gov/provider-view/1477604320" TargetMode="External"/><Relationship Id="rId388" Type="http://schemas.openxmlformats.org/officeDocument/2006/relationships/hyperlink" Target="https://npiregistry.cms.hhs.gov/provider-view/1407809494" TargetMode="External"/><Relationship Id="rId511" Type="http://schemas.openxmlformats.org/officeDocument/2006/relationships/hyperlink" Target="https://www.google.com/maps/search/?api=1&amp;query=The+Wellness+PT+LLC%2C+510+22nd+Ave+E%2C+Alexandria%2C+MN+56308" TargetMode="External"/><Relationship Id="rId85" Type="http://schemas.openxmlformats.org/officeDocument/2006/relationships/hyperlink" Target="https://www.google.com/maps/search/?api=1&amp;query=Inver+Grove+Chiropractic+P+A%2C+2940+65th+St+E%2C+Inver+Grove+Heights%2C+MN+55076" TargetMode="External"/><Relationship Id="rId150" Type="http://schemas.openxmlformats.org/officeDocument/2006/relationships/hyperlink" Target="https://npiregistry.cms.hhs.gov/provider-view/1629004692" TargetMode="External"/><Relationship Id="rId595" Type="http://schemas.openxmlformats.org/officeDocument/2006/relationships/hyperlink" Target="https://www.google.com/maps/search/?api=1&amp;query=Prairie+Rehabilitation+Services%2C+INC%2C+106+N+Cedar+St%2C+Luverne%2C+MN+56156" TargetMode="External"/><Relationship Id="rId248" Type="http://schemas.openxmlformats.org/officeDocument/2006/relationships/hyperlink" Target="https://npiregistry.cms.hhs.gov/provider-view/1891276259" TargetMode="External"/><Relationship Id="rId455" Type="http://schemas.openxmlformats.org/officeDocument/2006/relationships/hyperlink" Target="https://www.google.com/maps/search/?api=1&amp;query=Nielson+Family+Chiropractic+PLLC%2C+2510+Maple+Grove+Rd%2C+Duluth%2C+MN+55811" TargetMode="External"/><Relationship Id="rId12" Type="http://schemas.openxmlformats.org/officeDocument/2006/relationships/hyperlink" Target="https://npiregistry.cms.hhs.gov/provider-view/1396475927" TargetMode="External"/><Relationship Id="rId108" Type="http://schemas.openxmlformats.org/officeDocument/2006/relationships/hyperlink" Target="https://npiregistry.cms.hhs.gov/provider-view/1023021938" TargetMode="External"/><Relationship Id="rId315" Type="http://schemas.openxmlformats.org/officeDocument/2006/relationships/hyperlink" Target="https://www.google.com/maps/search/?api=1&amp;query=Tria%40work%2C+640+Jackson+St%2C+St.+Paul%2C+MN+55101" TargetMode="External"/><Relationship Id="rId522" Type="http://schemas.openxmlformats.org/officeDocument/2006/relationships/hyperlink" Target="https://npiregistry.cms.hhs.gov/provider-view/1679766802" TargetMode="External"/><Relationship Id="rId96" Type="http://schemas.openxmlformats.org/officeDocument/2006/relationships/hyperlink" Target="https://npiregistry.cms.hhs.gov/provider-view/1407727191" TargetMode="External"/><Relationship Id="rId161" Type="http://schemas.openxmlformats.org/officeDocument/2006/relationships/hyperlink" Target="https://www.google.com/maps/search/?api=1&amp;query=Romanie+Health+Services%2C+PA%2C+4510+77th+St+W%2C+Edina%2C+MN+55435" TargetMode="External"/><Relationship Id="rId399" Type="http://schemas.openxmlformats.org/officeDocument/2006/relationships/hyperlink" Target="https://www.google.com/maps/search/?api=1&amp;query=Novacare+Rehabilitation%2C+402+Red+River+Ave+N%2C+Cold+Spring%2C+MN+56320" TargetMode="External"/><Relationship Id="rId259" Type="http://schemas.openxmlformats.org/officeDocument/2006/relationships/hyperlink" Target="https://www.google.com/maps/search/?api=1&amp;query=Aagesen+Chiropractic+Clinic+PA%2C+5050+W+36th+St%2C+St.+Louis+Park%2C+MN+55416" TargetMode="External"/><Relationship Id="rId466" Type="http://schemas.openxmlformats.org/officeDocument/2006/relationships/hyperlink" Target="https://npiregistry.cms.hhs.gov/provider-view/1407809494" TargetMode="External"/><Relationship Id="rId23" Type="http://schemas.openxmlformats.org/officeDocument/2006/relationships/hyperlink" Target="https://www.google.com/maps/search/?api=1&amp;query=Therapy+Partners%2C+INC.%2C+8770+Springbrook+Dr+NW%2C+Coon+Rapids%2C+MN+55433" TargetMode="External"/><Relationship Id="rId119" Type="http://schemas.openxmlformats.org/officeDocument/2006/relationships/hyperlink" Target="https://www.google.com/maps/search/?api=1&amp;query=Drift+North+Therapy+Co.+PLLC%2C+5320+95th+Ln+N%2C+Brooklyn+Park%2C+MN+55443" TargetMode="External"/><Relationship Id="rId326" Type="http://schemas.openxmlformats.org/officeDocument/2006/relationships/hyperlink" Target="https://npiregistry.cms.hhs.gov/provider-view/1245315704" TargetMode="External"/><Relationship Id="rId533" Type="http://schemas.openxmlformats.org/officeDocument/2006/relationships/hyperlink" Target="https://www.google.com/maps/search/?api=1&amp;query=Prairie+Rehabilitation+Services%2C+INC%2C+400+7th+St+NE%2C+Fulda%2C+MN+56131" TargetMode="External"/><Relationship Id="rId172" Type="http://schemas.openxmlformats.org/officeDocument/2006/relationships/hyperlink" Target="https://npiregistry.cms.hhs.gov/provider-view/1356277511" TargetMode="External"/><Relationship Id="rId477" Type="http://schemas.openxmlformats.org/officeDocument/2006/relationships/hyperlink" Target="https://www.google.com/maps/search/?api=1&amp;query=Dakota+Clinic%2C+LTD.+Thief+River+Falls%2C+1720+Highway+59+S%2C+Thief+River+Falls%2C+MN+56701" TargetMode="External"/><Relationship Id="rId337" Type="http://schemas.openxmlformats.org/officeDocument/2006/relationships/hyperlink" Target="https://www.google.com/maps/search/?api=1&amp;query=Ibackcheck+Sport+Therapy%2C+1000+School+St+NW%2C+Elk+River%2C+MN+55330" TargetMode="External"/><Relationship Id="rId34" Type="http://schemas.openxmlformats.org/officeDocument/2006/relationships/hyperlink" Target="https://npiregistry.cms.hhs.gov/provider-view/1407809494" TargetMode="External"/><Relationship Id="rId544" Type="http://schemas.openxmlformats.org/officeDocument/2006/relationships/hyperlink" Target="https://npiregistry.cms.hhs.gov/provider-view/1124205604" TargetMode="External"/><Relationship Id="rId183" Type="http://schemas.openxmlformats.org/officeDocument/2006/relationships/hyperlink" Target="https://www.google.com/maps/search/?api=1&amp;query=Therapy+Partners%2C+INC.%2C+9325+Upland+Ln+N%2C+Maple+Grove%2C+MN+55369" TargetMode="External"/><Relationship Id="rId390" Type="http://schemas.openxmlformats.org/officeDocument/2006/relationships/hyperlink" Target="https://npiregistry.cms.hhs.gov/provider-view/1679407068" TargetMode="External"/><Relationship Id="rId404" Type="http://schemas.openxmlformats.org/officeDocument/2006/relationships/hyperlink" Target="https://npiregistry.cms.hhs.gov/provider-view/1538165881" TargetMode="External"/><Relationship Id="rId250" Type="http://schemas.openxmlformats.org/officeDocument/2006/relationships/hyperlink" Target="https://npiregistry.cms.hhs.gov/provider-view/1730943424" TargetMode="External"/><Relationship Id="rId488" Type="http://schemas.openxmlformats.org/officeDocument/2006/relationships/hyperlink" Target="https://npiregistry.cms.hhs.gov/provider-view/1982477030" TargetMode="External"/><Relationship Id="rId45" Type="http://schemas.openxmlformats.org/officeDocument/2006/relationships/hyperlink" Target="https://www.google.com/maps/search/?api=1&amp;query=Niko+Physical+Therapy+LLC%2C+7300+147th+St+W%2C+Apple+Valley%2C+MN+55124" TargetMode="External"/><Relationship Id="rId110" Type="http://schemas.openxmlformats.org/officeDocument/2006/relationships/hyperlink" Target="https://npiregistry.cms.hhs.gov/provider-view/1952554495" TargetMode="External"/><Relationship Id="rId348" Type="http://schemas.openxmlformats.org/officeDocument/2006/relationships/hyperlink" Target="https://npiregistry.cms.hhs.gov/provider-view/1023609799" TargetMode="External"/><Relationship Id="rId555" Type="http://schemas.openxmlformats.org/officeDocument/2006/relationships/hyperlink" Target="https://www.google.com/maps/search/?api=1&amp;query=Aim+Therapy+PLLC%2C+613+Portland+Ct+NE%2C+Rochester%2C+MN+55906" TargetMode="External"/><Relationship Id="rId194" Type="http://schemas.openxmlformats.org/officeDocument/2006/relationships/hyperlink" Target="https://npiregistry.cms.hhs.gov/provider-view/1770238396" TargetMode="External"/><Relationship Id="rId208" Type="http://schemas.openxmlformats.org/officeDocument/2006/relationships/hyperlink" Target="https://npiregistry.cms.hhs.gov/provider-view/1407809494" TargetMode="External"/><Relationship Id="rId415" Type="http://schemas.openxmlformats.org/officeDocument/2006/relationships/hyperlink" Target="https://www.google.com/maps/search/?api=1&amp;query=Comfort+Corner+Massage%2C+315+Jefferson+St+S%2C+Wadena%2C+MN+5648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google.com/maps/search/?api=1&amp;query=Summit+Orthopedics+LTD%2C+6050+Sycamore+Lane+N.%2C+Plymouth%2C+MN+55442" TargetMode="External"/><Relationship Id="rId18" Type="http://schemas.openxmlformats.org/officeDocument/2006/relationships/hyperlink" Target="https://npiregistry.cms.hhs.gov/provider-view/1659348092" TargetMode="External"/><Relationship Id="rId26" Type="http://schemas.openxmlformats.org/officeDocument/2006/relationships/hyperlink" Target="https://npiregistry.cms.hhs.gov/provider-view/1043643059" TargetMode="External"/><Relationship Id="rId3" Type="http://schemas.openxmlformats.org/officeDocument/2006/relationships/hyperlink" Target="https://www.google.com/maps/search/?api=1&amp;query=Summit+Orthopedics%2C+LTD%2C+17210+Kenyon+Ave%2C+Lakeville%2C+MN+55044" TargetMode="External"/><Relationship Id="rId21" Type="http://schemas.openxmlformats.org/officeDocument/2006/relationships/hyperlink" Target="https://www.google.com/maps/search/?api=1&amp;query=Elite+Radiology+PA.%2C+441+University+Ave+W%2C+St.+Paul%2C+MN+55103" TargetMode="External"/><Relationship Id="rId7" Type="http://schemas.openxmlformats.org/officeDocument/2006/relationships/hyperlink" Target="https://www.google.com/maps/search/?api=1&amp;query=Icare+Diagnostic+Imaging%2C+2781+Freeway+Blvd%2C+Brooklyn+Center%2C+MN+55430" TargetMode="External"/><Relationship Id="rId12" Type="http://schemas.openxmlformats.org/officeDocument/2006/relationships/hyperlink" Target="https://npiregistry.cms.hhs.gov/provider-view/1558406074" TargetMode="External"/><Relationship Id="rId17" Type="http://schemas.openxmlformats.org/officeDocument/2006/relationships/hyperlink" Target="https://www.google.com/maps/search/?api=1&amp;query=Rayus+Radiology%2C+5775+Wayzata+Blvd%2C+St.+Louis+Park%2C+MN+55416" TargetMode="External"/><Relationship Id="rId25" Type="http://schemas.openxmlformats.org/officeDocument/2006/relationships/hyperlink" Target="https://www.google.com/maps/search/?api=1&amp;query=Voyageur+Imaging%2Cllc%2C+393+Dunlap+St+N%2C+St.+Paul%2C+MN+55104" TargetMode="External"/><Relationship Id="rId33" Type="http://schemas.openxmlformats.org/officeDocument/2006/relationships/table" Target="../tables/table5.xml"/><Relationship Id="rId2" Type="http://schemas.openxmlformats.org/officeDocument/2006/relationships/hyperlink" Target="https://npiregistry.cms.hhs.gov/provider-view/1811174923" TargetMode="External"/><Relationship Id="rId16" Type="http://schemas.openxmlformats.org/officeDocument/2006/relationships/hyperlink" Target="https://npiregistry.cms.hhs.gov/provider-view/1609392349" TargetMode="External"/><Relationship Id="rId20" Type="http://schemas.openxmlformats.org/officeDocument/2006/relationships/hyperlink" Target="https://npiregistry.cms.hhs.gov/provider-view/1164604146" TargetMode="External"/><Relationship Id="rId29" Type="http://schemas.openxmlformats.org/officeDocument/2006/relationships/hyperlink" Target="https://www.google.com/maps/search/?api=1&amp;query=Mankato+Clinic+LTD%2C+1230+E+Main+St%2C+Mankato%2C+MN+56001" TargetMode="External"/><Relationship Id="rId1" Type="http://schemas.openxmlformats.org/officeDocument/2006/relationships/hyperlink" Target="https://www.google.com/maps/search/?api=1&amp;query=Ridgeview+Medical+Center%2C+500+S+Maple+St%2C+Waconia%2C+MN+55387" TargetMode="External"/><Relationship Id="rId6" Type="http://schemas.openxmlformats.org/officeDocument/2006/relationships/hyperlink" Target="https://npiregistry.cms.hhs.gov/provider-view/1265675870" TargetMode="External"/><Relationship Id="rId11" Type="http://schemas.openxmlformats.org/officeDocument/2006/relationships/hyperlink" Target="https://www.google.com/maps/search/?api=1&amp;query=Diagnostic+Imaging%2C+INC%2C+6500+Barrie+Rd%2C+Edina%2C+MN+55435" TargetMode="External"/><Relationship Id="rId24" Type="http://schemas.openxmlformats.org/officeDocument/2006/relationships/hyperlink" Target="https://npiregistry.cms.hhs.gov/provider-view/1477604320" TargetMode="External"/><Relationship Id="rId32" Type="http://schemas.openxmlformats.org/officeDocument/2006/relationships/hyperlink" Target="https://npiregistry.cms.hhs.gov/provider-view/1033495379" TargetMode="External"/><Relationship Id="rId5" Type="http://schemas.openxmlformats.org/officeDocument/2006/relationships/hyperlink" Target="https://www.google.com/maps/search/?api=1&amp;query=Infinite+Health+Collaborative%2C+PA%2C+3500+American+Blvd+W%2C+Bloomington%2C+MN+55431" TargetMode="External"/><Relationship Id="rId15" Type="http://schemas.openxmlformats.org/officeDocument/2006/relationships/hyperlink" Target="https://www.google.com/maps/search/?api=1&amp;query=Center+For+Diagnostic+Imaging%2C+5775+Wayzata+Blvd%2C+St.+Louis+Park%2C+MN+55416" TargetMode="External"/><Relationship Id="rId23" Type="http://schemas.openxmlformats.org/officeDocument/2006/relationships/hyperlink" Target="https://www.google.com/maps/search/?api=1&amp;query=Summit+Orthopedics%2C+LTD%2C+1661+Saint+Anthony+Ave%2C+St.+Paul%2C+MN+55104" TargetMode="External"/><Relationship Id="rId28" Type="http://schemas.openxmlformats.org/officeDocument/2006/relationships/hyperlink" Target="https://npiregistry.cms.hhs.gov/provider-view/1386601383" TargetMode="External"/><Relationship Id="rId10" Type="http://schemas.openxmlformats.org/officeDocument/2006/relationships/hyperlink" Target="https://npiregistry.cms.hhs.gov/provider-view/1699706176" TargetMode="External"/><Relationship Id="rId19" Type="http://schemas.openxmlformats.org/officeDocument/2006/relationships/hyperlink" Target="https://www.google.com/maps/search/?api=1&amp;query=Maplewood+Imaging+Center+LLC%2C+2945+Hazelwood+St%2C+Maplewood%2C+MN+55109" TargetMode="External"/><Relationship Id="rId31" Type="http://schemas.openxmlformats.org/officeDocument/2006/relationships/hyperlink" Target="https://www.google.com/maps/search/?api=1&amp;query=Sanford+Luverne+Clinic%2C+1601+Sioux+Valley+Dr%2C+Luverne%2C+MN+56156" TargetMode="External"/><Relationship Id="rId4" Type="http://schemas.openxmlformats.org/officeDocument/2006/relationships/hyperlink" Target="https://npiregistry.cms.hhs.gov/provider-view/1629740949" TargetMode="External"/><Relationship Id="rId9" Type="http://schemas.openxmlformats.org/officeDocument/2006/relationships/hyperlink" Target="https://www.google.com/maps/search/?api=1&amp;query=Rayus+Radiology%2C+775+Prairie+Center+Dr%2C+Eden+Prairie%2C+MN+55344" TargetMode="External"/><Relationship Id="rId14" Type="http://schemas.openxmlformats.org/officeDocument/2006/relationships/hyperlink" Target="https://npiregistry.cms.hhs.gov/provider-view/1952103905" TargetMode="External"/><Relationship Id="rId22" Type="http://schemas.openxmlformats.org/officeDocument/2006/relationships/hyperlink" Target="https://npiregistry.cms.hhs.gov/provider-view/1316852908" TargetMode="External"/><Relationship Id="rId27" Type="http://schemas.openxmlformats.org/officeDocument/2006/relationships/hyperlink" Target="https://www.google.com/maps/search/?api=1&amp;query=Medical+X-Ray+Consultants%2C+LTD%2C+111+17th+Ave+E%2C+Alexandria%2C+MN+56308" TargetMode="External"/><Relationship Id="rId30" Type="http://schemas.openxmlformats.org/officeDocument/2006/relationships/hyperlink" Target="https://npiregistry.cms.hhs.gov/provider-view/1629044029" TargetMode="External"/><Relationship Id="rId8" Type="http://schemas.openxmlformats.org/officeDocument/2006/relationships/hyperlink" Target="https://npiregistry.cms.hhs.gov/provider-view/1336580018"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npiregistry.cms.hhs.gov/provider-view/1902850738" TargetMode="External"/><Relationship Id="rId21" Type="http://schemas.openxmlformats.org/officeDocument/2006/relationships/hyperlink" Target="https://npiregistry.cms.hhs.gov/provider-view/1306513023" TargetMode="External"/><Relationship Id="rId42" Type="http://schemas.openxmlformats.org/officeDocument/2006/relationships/hyperlink" Target="https://www.google.com/maps/search/?api=1&amp;query=The+Facial+Pain+Center%2C+1835+County+Road+C+W%2C+Roseville%2C+MN+55113" TargetMode="External"/><Relationship Id="rId47" Type="http://schemas.openxmlformats.org/officeDocument/2006/relationships/hyperlink" Target="https://mncranio.com/" TargetMode="External"/><Relationship Id="rId63" Type="http://schemas.openxmlformats.org/officeDocument/2006/relationships/hyperlink" Target="https://npiregistry.cms.hhs.gov/provider-view/1811288269" TargetMode="External"/><Relationship Id="rId68" Type="http://schemas.openxmlformats.org/officeDocument/2006/relationships/hyperlink" Target="https://www.google.com/maps/search/?api=1&amp;query=Minnesota+Head+and+Neck+Pain+Clinic%2C+PA%2C+9950+Valley+Creek+Rd%2C+Woodbury%2C+MN+55125" TargetMode="External"/><Relationship Id="rId84" Type="http://schemas.openxmlformats.org/officeDocument/2006/relationships/hyperlink" Target="https://www.hylanddental.net/" TargetMode="External"/><Relationship Id="rId89" Type="http://schemas.openxmlformats.org/officeDocument/2006/relationships/hyperlink" Target="https://npiregistry.cms.hhs.gov/provider-view/1003702408" TargetMode="External"/><Relationship Id="rId16" Type="http://schemas.openxmlformats.org/officeDocument/2006/relationships/hyperlink" Target="https://www.twincitiestmj.com/" TargetMode="External"/><Relationship Id="rId11" Type="http://schemas.openxmlformats.org/officeDocument/2006/relationships/hyperlink" Target="https://www.google.com/maps/search/?api=1&amp;query=The+Facial+Pain+Center%2C+4200+W+Old+Shakopee+Rd%2C+Bloomington%2C+MN+55437" TargetMode="External"/><Relationship Id="rId32" Type="http://schemas.openxmlformats.org/officeDocument/2006/relationships/hyperlink" Target="https://dentalclinics.umn.edu/specialty/tmd-orofacial-pain-dental-sleep-medicine" TargetMode="External"/><Relationship Id="rId37" Type="http://schemas.openxmlformats.org/officeDocument/2006/relationships/hyperlink" Target="https://npiregistry.cms.hhs.gov/provider-view/1407325830" TargetMode="External"/><Relationship Id="rId53" Type="http://schemas.openxmlformats.org/officeDocument/2006/relationships/hyperlink" Target="https://www.tmjandsleeptherapycentreofminnesota.com/" TargetMode="External"/><Relationship Id="rId58" Type="http://schemas.openxmlformats.org/officeDocument/2006/relationships/hyperlink" Target="https://my.officite.com/0029582/" TargetMode="External"/><Relationship Id="rId74" Type="http://schemas.openxmlformats.org/officeDocument/2006/relationships/hyperlink" Target="https://www.google.com/maps/search/?api=1&amp;query=Hanson+Dental%2C+1100+Highway+25+North%2C+Buffalo%2C+MN+55313" TargetMode="External"/><Relationship Id="rId79" Type="http://schemas.openxmlformats.org/officeDocument/2006/relationships/hyperlink" Target="https://mhnpc.com/about/contact/" TargetMode="External"/><Relationship Id="rId5" Type="http://schemas.openxmlformats.org/officeDocument/2006/relationships/hyperlink" Target="https://www.google.com/maps/search/?api=1&amp;query=Minnesota+Head+and+Neck+Pain+Clinic%2C+PA%2C+675+E+Nicollet+Blvd%2C+Burnsville%2C+MN+55337" TargetMode="External"/><Relationship Id="rId90" Type="http://schemas.openxmlformats.org/officeDocument/2006/relationships/hyperlink" Target="https://www.mayoclinic.org/biographies/giri-subha-b-d-s-m-s/bio-20453018" TargetMode="External"/><Relationship Id="rId95" Type="http://schemas.openxmlformats.org/officeDocument/2006/relationships/hyperlink" Target="https://npiregistry.cms.hhs.gov/provider-view/1255928917" TargetMode="External"/><Relationship Id="rId22" Type="http://schemas.openxmlformats.org/officeDocument/2006/relationships/hyperlink" Target="https://www.google.com/maps/search/?api=1&amp;query=Bloomington+Sleep+and+TMD+Care+PLLC%2C+9820+Nicollet+Ave+S%2C+Minneapolis%2C+MN+55420" TargetMode="External"/><Relationship Id="rId27" Type="http://schemas.openxmlformats.org/officeDocument/2006/relationships/hyperlink" Target="https://providers.mhealthfairview.org/provider/donald-nixdorf/2241251" TargetMode="External"/><Relationship Id="rId43" Type="http://schemas.openxmlformats.org/officeDocument/2006/relationships/hyperlink" Target="https://npiregistry.cms.hhs.gov/provider-view/1407325830" TargetMode="External"/><Relationship Id="rId48" Type="http://schemas.openxmlformats.org/officeDocument/2006/relationships/hyperlink" Target="https://www.google.com/maps/search/?api=1&amp;query=Minnesota+Craniofacial+Center+for+TMJ+%26+Sleep+Treatment%2C+2550+University+Ave+W%2C+St.+Paul%2C+MN+55114" TargetMode="External"/><Relationship Id="rId64" Type="http://schemas.openxmlformats.org/officeDocument/2006/relationships/hyperlink" Target="https://www.stillwaterbeautifulsmiles.com/" TargetMode="External"/><Relationship Id="rId69" Type="http://schemas.openxmlformats.org/officeDocument/2006/relationships/hyperlink" Target="https://npiregistry.cms.hhs.gov/provider-view/1710854369" TargetMode="External"/><Relationship Id="rId8" Type="http://schemas.openxmlformats.org/officeDocument/2006/relationships/hyperlink" Target="https://www.google.com/maps/search/?api=1&amp;query=The+Facial+Pain+Center%2C+40+W+Nicollet+Blvd%2C+Burnsville%2C+MN+55337" TargetMode="External"/><Relationship Id="rId51" Type="http://schemas.openxmlformats.org/officeDocument/2006/relationships/hyperlink" Target="https://www.google.com/maps/search/?api=1&amp;query=Minnesota+Head+and+Neck+Pain+Clinic%2C+PA%2C+2550+University+Ave+W%2C+St.+Paul%2C+MN+55114" TargetMode="External"/><Relationship Id="rId72" Type="http://schemas.openxmlformats.org/officeDocument/2006/relationships/hyperlink" Target="https://npiregistry.cms.hhs.gov/provider-view/1407325830" TargetMode="External"/><Relationship Id="rId80" Type="http://schemas.openxmlformats.org/officeDocument/2006/relationships/hyperlink" Target="https://www.google.com/maps/search/?api=1&amp;query=Minnesota+Head+%26+Neck+Pain+Clinic%2C+622+Roosevelt+Rd%2C+St.+Cloud%2C+MN+56301" TargetMode="External"/><Relationship Id="rId85" Type="http://schemas.openxmlformats.org/officeDocument/2006/relationships/hyperlink" Target="https://www.google.com/maps/search/?api=1&amp;query=Hyland+Dental%2C+810+Independence+Dr%2C+Mankato%2C+MN+56001" TargetMode="External"/><Relationship Id="rId93" Type="http://schemas.openxmlformats.org/officeDocument/2006/relationships/hyperlink" Target="https://www.respirawell.com/" TargetMode="External"/><Relationship Id="rId3" Type="http://schemas.openxmlformats.org/officeDocument/2006/relationships/hyperlink" Target="https://npiregistry.cms.hhs.gov/provider-view/1407325830" TargetMode="External"/><Relationship Id="rId12" Type="http://schemas.openxmlformats.org/officeDocument/2006/relationships/hyperlink" Target="https://npiregistry.cms.hhs.gov/provider-view/1043839574" TargetMode="External"/><Relationship Id="rId17" Type="http://schemas.openxmlformats.org/officeDocument/2006/relationships/hyperlink" Target="https://www.google.com/maps/search/?api=1&amp;query=Twin+Cities+TMJ+%26+Facial+Pain+Clinic%2C+4956+Lincoln+Dr%2C+Edina%2C+MN+55436" TargetMode="External"/><Relationship Id="rId25" Type="http://schemas.openxmlformats.org/officeDocument/2006/relationships/hyperlink" Target="https://www.google.com/maps/search/?api=1&amp;query=Hennepin+Healthcare+Dental+%26+Oral+Surgery%2C+715+S+8th+St%2C+Minneapolis%2C+MN+55404" TargetMode="External"/><Relationship Id="rId33" Type="http://schemas.openxmlformats.org/officeDocument/2006/relationships/hyperlink" Target="https://www.google.com/maps/search/?api=1&amp;query=University+of+Minnesota+TMD%2C+Orofacial+Pain+%26+Dental+Sleep+Medicine+Clinic%2C+515+Delaware+St+SE%2C+Minneapolis%2C+MN+55455" TargetMode="External"/><Relationship Id="rId38" Type="http://schemas.openxmlformats.org/officeDocument/2006/relationships/hyperlink" Target="https://mhnpc.com/" TargetMode="External"/><Relationship Id="rId46" Type="http://schemas.openxmlformats.org/officeDocument/2006/relationships/hyperlink" Target="https://npiregistry.cms.hhs.gov/provider-view/1952042053" TargetMode="External"/><Relationship Id="rId59" Type="http://schemas.openxmlformats.org/officeDocument/2006/relationships/hyperlink" Target="https://www.google.com/maps/search/?api=1&amp;query=Ross+Orthodontics+%28Dr.+Gregory+Ross%29%2C+368+Lake+St+S%2C+Forest+Lake%2C+MN+55025" TargetMode="External"/><Relationship Id="rId67" Type="http://schemas.openxmlformats.org/officeDocument/2006/relationships/hyperlink" Target="https://mhnpc.com/about/contact/" TargetMode="External"/><Relationship Id="rId20" Type="http://schemas.openxmlformats.org/officeDocument/2006/relationships/hyperlink" Target="https://www.google.com/maps/search/?api=1&amp;query=Zoya%27s+Orofacial+Pain+and+Dental+Sleep+Remedies+PLLC%2C+1405+Lilac+Lane+Drive+North%2C+Golden+Valley%2C+MN+55422" TargetMode="External"/><Relationship Id="rId41" Type="http://schemas.openxmlformats.org/officeDocument/2006/relationships/hyperlink" Target="https://www.thefacialpaincenter.com/location/roseville/" TargetMode="External"/><Relationship Id="rId54" Type="http://schemas.openxmlformats.org/officeDocument/2006/relationships/hyperlink" Target="https://www.google.com/maps/search/?api=1&amp;query=TMJ+%26+Sleep+Therapy+Centre+of+St.+Paul+%28at+Smiles+of+Distinction+Dentistry%29%2C+4300+Egan+Dr%2C+Savage%2C+MN+55378" TargetMode="External"/><Relationship Id="rId62" Type="http://schemas.openxmlformats.org/officeDocument/2006/relationships/hyperlink" Target="https://www.google.com/maps/search/?api=1&amp;query=HealthPartners+TMD+Lake+Elmo%2C+8515+Eagle+Point+Blvd%2C+Lake+Elmo%2C+MN+55042" TargetMode="External"/><Relationship Id="rId70" Type="http://schemas.openxmlformats.org/officeDocument/2006/relationships/hyperlink" Target="https://www.thefacialpaincenter.com/" TargetMode="External"/><Relationship Id="rId75" Type="http://schemas.openxmlformats.org/officeDocument/2006/relationships/hyperlink" Target="https://npiregistry.cms.hhs.gov/provider-view/1871663831" TargetMode="External"/><Relationship Id="rId83" Type="http://schemas.openxmlformats.org/officeDocument/2006/relationships/hyperlink" Target="https://npiregistry.cms.hhs.gov/provider-view/1033723309" TargetMode="External"/><Relationship Id="rId88" Type="http://schemas.openxmlformats.org/officeDocument/2006/relationships/hyperlink" Target="https://www.google.com/maps/search/?api=1&amp;query=Honor+Dental%2C+2112+Viking+Dr+NW%2C+Rochester%2C+MN+55901" TargetMode="External"/><Relationship Id="rId91" Type="http://schemas.openxmlformats.org/officeDocument/2006/relationships/hyperlink" Target="https://www.google.com/maps/search/?api=1&amp;query=Mayo+Clinic+%E2%80%93+Orofacial+Pain+%28Dental+Specialties%29%2C+200+1st+St+SW%2C+Rochester%2C+MN+55905" TargetMode="External"/><Relationship Id="rId96" Type="http://schemas.openxmlformats.org/officeDocument/2006/relationships/table" Target="../tables/table6.xml"/><Relationship Id="rId1" Type="http://schemas.openxmlformats.org/officeDocument/2006/relationships/hyperlink" Target="https://www.thefacialpaincenter.com/" TargetMode="External"/><Relationship Id="rId6" Type="http://schemas.openxmlformats.org/officeDocument/2006/relationships/hyperlink" Target="https://npiregistry.cms.hhs.gov/provider-view/1255715181" TargetMode="External"/><Relationship Id="rId15" Type="http://schemas.openxmlformats.org/officeDocument/2006/relationships/hyperlink" Target="https://npiregistry.cms.hhs.gov/provider-view/1841353992" TargetMode="External"/><Relationship Id="rId23" Type="http://schemas.openxmlformats.org/officeDocument/2006/relationships/hyperlink" Target="https://npiregistry.cms.hhs.gov/provider-view/1922947142" TargetMode="External"/><Relationship Id="rId28" Type="http://schemas.openxmlformats.org/officeDocument/2006/relationships/hyperlink" Target="https://www.google.com/maps/search/?api=1&amp;query=M+Health+Fairview+Neurosurgery+Clinic+Minneapolis%2C+909+Fulton+St+SE%2C+Minneapolis%2C+MN+55455" TargetMode="External"/><Relationship Id="rId36" Type="http://schemas.openxmlformats.org/officeDocument/2006/relationships/hyperlink" Target="https://www.google.com/maps/search/?api=1&amp;query=The+Facial+Pain+Center%2C+13059+Ridgedale+Dr%2C+Minnetonka%2C+MN+55305" TargetMode="External"/><Relationship Id="rId49" Type="http://schemas.openxmlformats.org/officeDocument/2006/relationships/hyperlink" Target="https://npiregistry.cms.hhs.gov/provider-view/1285757864" TargetMode="External"/><Relationship Id="rId57" Type="http://schemas.openxmlformats.org/officeDocument/2006/relationships/hyperlink" Target="https://npiregistry.cms.hhs.gov/provider-view/1043839574" TargetMode="External"/><Relationship Id="rId10" Type="http://schemas.openxmlformats.org/officeDocument/2006/relationships/hyperlink" Target="https://www.thefacialpaincenter.com/location/bloomington/" TargetMode="External"/><Relationship Id="rId31" Type="http://schemas.openxmlformats.org/officeDocument/2006/relationships/hyperlink" Target="https://npiregistry.cms.hhs.gov/provider-view/1043839574" TargetMode="External"/><Relationship Id="rId44" Type="http://schemas.openxmlformats.org/officeDocument/2006/relationships/hyperlink" Target="https://www.healthpartners.com/institute/education/ohpe/dentistry-residency/" TargetMode="External"/><Relationship Id="rId52" Type="http://schemas.openxmlformats.org/officeDocument/2006/relationships/hyperlink" Target="https://npiregistry.cms.hhs.gov/provider-view/1104850155" TargetMode="External"/><Relationship Id="rId60" Type="http://schemas.openxmlformats.org/officeDocument/2006/relationships/hyperlink" Target="https://npiregistry.cms.hhs.gov/provider-view/1588094171" TargetMode="External"/><Relationship Id="rId65" Type="http://schemas.openxmlformats.org/officeDocument/2006/relationships/hyperlink" Target="https://www.google.com/maps/search/?api=1&amp;query=Carlson+Dental+Group%2C+1701+Curve+Crest+Blvd+W%2C+Stillwater%2C+MN+55082" TargetMode="External"/><Relationship Id="rId73" Type="http://schemas.openxmlformats.org/officeDocument/2006/relationships/hyperlink" Target="https://hansondental.com/" TargetMode="External"/><Relationship Id="rId78" Type="http://schemas.openxmlformats.org/officeDocument/2006/relationships/hyperlink" Target="https://npiregistry.cms.hhs.gov/provider-view/1386312411" TargetMode="External"/><Relationship Id="rId81" Type="http://schemas.openxmlformats.org/officeDocument/2006/relationships/hyperlink" Target="https://npiregistry.cms.hhs.gov/provider-view/1003316852" TargetMode="External"/><Relationship Id="rId86" Type="http://schemas.openxmlformats.org/officeDocument/2006/relationships/hyperlink" Target="https://npiregistry.cms.hhs.gov/provider-view/1780108209" TargetMode="External"/><Relationship Id="rId94" Type="http://schemas.openxmlformats.org/officeDocument/2006/relationships/hyperlink" Target="https://www.google.com/maps/search/?api=1&amp;query=Respira%2C+1309+Salem+Rd+SW%2C+Rochester%2C+MN+55902" TargetMode="External"/><Relationship Id="rId4" Type="http://schemas.openxmlformats.org/officeDocument/2006/relationships/hyperlink" Target="https://mhnpc.com/" TargetMode="External"/><Relationship Id="rId9" Type="http://schemas.openxmlformats.org/officeDocument/2006/relationships/hyperlink" Target="https://npiregistry.cms.hhs.gov/provider-view/1821473927" TargetMode="External"/><Relationship Id="rId13" Type="http://schemas.openxmlformats.org/officeDocument/2006/relationships/hyperlink" Target="https://www.gallaghercosmeticdentistry.com/" TargetMode="External"/><Relationship Id="rId18" Type="http://schemas.openxmlformats.org/officeDocument/2006/relationships/hyperlink" Target="https://npiregistry.cms.hhs.gov/provider-view/1225201213" TargetMode="External"/><Relationship Id="rId39" Type="http://schemas.openxmlformats.org/officeDocument/2006/relationships/hyperlink" Target="https://www.google.com/maps/search/?api=1&amp;query=Minnesota+Head+and+Neck+Pain+Clinic%2C+PA%2C+3475+Plymouth+Blvd%2C+Plymouth%2C+MN+55447" TargetMode="External"/><Relationship Id="rId34" Type="http://schemas.openxmlformats.org/officeDocument/2006/relationships/hyperlink" Target="https://npiregistry.cms.hhs.gov/provider-view/1457448615" TargetMode="External"/><Relationship Id="rId50" Type="http://schemas.openxmlformats.org/officeDocument/2006/relationships/hyperlink" Target="https://mhnpc.com/" TargetMode="External"/><Relationship Id="rId55" Type="http://schemas.openxmlformats.org/officeDocument/2006/relationships/hyperlink" Target="https://www.thefacialpaincenter.com/location/shakopee/" TargetMode="External"/><Relationship Id="rId76" Type="http://schemas.openxmlformats.org/officeDocument/2006/relationships/hyperlink" Target="https://mncenterfordentalcare.com/" TargetMode="External"/><Relationship Id="rId7" Type="http://schemas.openxmlformats.org/officeDocument/2006/relationships/hyperlink" Target="https://www.thefacialpaincenter.com/location/burnsville/" TargetMode="External"/><Relationship Id="rId71" Type="http://schemas.openxmlformats.org/officeDocument/2006/relationships/hyperlink" Target="https://www.google.com/maps/search/?api=1&amp;query=The+Facial+Pain+Center%2C+241+Radio+Dr%2C+Woodbury%2C+MN+55125" TargetMode="External"/><Relationship Id="rId92" Type="http://schemas.openxmlformats.org/officeDocument/2006/relationships/hyperlink" Target="https://npiregistry.cms.hhs.gov/provider-view/1780066282" TargetMode="External"/><Relationship Id="rId2" Type="http://schemas.openxmlformats.org/officeDocument/2006/relationships/hyperlink" Target="https://www.google.com/maps/search/?api=1&amp;query=The+Facial+Pain+Center%2C+4190+108th+Ave+NE%2C+Blaine%2C+MN+55449" TargetMode="External"/><Relationship Id="rId29" Type="http://schemas.openxmlformats.org/officeDocument/2006/relationships/hyperlink" Target="https://www.thefacialpaincenter.com/location/st-louis-park/" TargetMode="External"/><Relationship Id="rId24" Type="http://schemas.openxmlformats.org/officeDocument/2006/relationships/hyperlink" Target="https://hennepinhealthcare.org/services/dental-and-oral-surgery" TargetMode="External"/><Relationship Id="rId40" Type="http://schemas.openxmlformats.org/officeDocument/2006/relationships/hyperlink" Target="https://npiregistry.cms.hhs.gov/provider-view/1871975607" TargetMode="External"/><Relationship Id="rId45" Type="http://schemas.openxmlformats.org/officeDocument/2006/relationships/hyperlink" Target="https://www.google.com/maps/search/?api=1&amp;query=HealthPartners+St.+Paul+%28Wabasha%29+Dental+Clinic%2C+205+Wabasha+St+S%2C+St.+Paul%2C+MN+55107" TargetMode="External"/><Relationship Id="rId66" Type="http://schemas.openxmlformats.org/officeDocument/2006/relationships/hyperlink" Target="https://npiregistry.cms.hhs.gov/provider-view/1598243990" TargetMode="External"/><Relationship Id="rId87" Type="http://schemas.openxmlformats.org/officeDocument/2006/relationships/hyperlink" Target="https://www.honordentalrochester.com/" TargetMode="External"/><Relationship Id="rId61" Type="http://schemas.openxmlformats.org/officeDocument/2006/relationships/hyperlink" Target="https://www.healthpartners.com/care/find/location/clinics/dental/healthpartners/como-st-paul/tmd/" TargetMode="External"/><Relationship Id="rId82" Type="http://schemas.openxmlformats.org/officeDocument/2006/relationships/hyperlink" Target="https://www.google.com/maps/search/?api=1&amp;query=Riverfront+Dental%2C+124+E+Lincoln+Ave%2C+Fergus+Falls%2C+MN+56537" TargetMode="External"/><Relationship Id="rId19" Type="http://schemas.openxmlformats.org/officeDocument/2006/relationships/hyperlink" Target="https://zoyaorofacialpaindentalsleep.org/" TargetMode="External"/><Relationship Id="rId14" Type="http://schemas.openxmlformats.org/officeDocument/2006/relationships/hyperlink" Target="https://www.google.com/maps/search/?api=1&amp;query=Gallagher+Dentistry+%26+Facial+Pain+Center%2C+11800+Singletree+Ln%2C+Eden+Prairie%2C+MN+55344" TargetMode="External"/><Relationship Id="rId30" Type="http://schemas.openxmlformats.org/officeDocument/2006/relationships/hyperlink" Target="https://www.google.com/maps/search/?api=1&amp;query=The+Facial+Pain+Center%2C+5000+W+36th+St%2C+Minneapolis%2C+MN+55416" TargetMode="External"/><Relationship Id="rId35" Type="http://schemas.openxmlformats.org/officeDocument/2006/relationships/hyperlink" Target="https://www.thefacialpaincenter.com/" TargetMode="External"/><Relationship Id="rId56" Type="http://schemas.openxmlformats.org/officeDocument/2006/relationships/hyperlink" Target="https://www.google.com/maps/search/?api=1&amp;query=The+Facial+Pain+Center%2C+4155+Dean+Lakes+Blvd%2C+Shakopee%2C+MN+55379" TargetMode="External"/><Relationship Id="rId77" Type="http://schemas.openxmlformats.org/officeDocument/2006/relationships/hyperlink" Target="https://www.google.com/maps/search/?api=1&amp;query=MN+Center+for+Dental+Care%2C+9075+Quaday+Ave+NE%2C+Otsego%2C+MN+55330"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tpauloralsurgery.com/" TargetMode="External"/><Relationship Id="rId21" Type="http://schemas.openxmlformats.org/officeDocument/2006/relationships/hyperlink" Target="https://www.tcoralsurgery.com/contact-us/apple-valley-mn-office/" TargetMode="External"/><Relationship Id="rId42" Type="http://schemas.openxmlformats.org/officeDocument/2006/relationships/hyperlink" Target="https://www.google.com/maps/search/?api=1&amp;query=Oral+and+Maxillofacial+Surgical+Consultants+PA%2C+7770+Dell+Road%2C+Chanhassen%2C+MN+55317" TargetMode="External"/><Relationship Id="rId63" Type="http://schemas.openxmlformats.org/officeDocument/2006/relationships/hyperlink" Target="https://www.google.com/maps/search/?api=1&amp;query=OMS+Specialists%2C+13950+Grove+Dr%2C+Maple+Grove%2C+MN+55311" TargetMode="External"/><Relationship Id="rId84" Type="http://schemas.openxmlformats.org/officeDocument/2006/relationships/hyperlink" Target="https://npiregistry.cms.hhs.gov/provider-view/1699901140" TargetMode="External"/><Relationship Id="rId138" Type="http://schemas.openxmlformats.org/officeDocument/2006/relationships/hyperlink" Target="https://npiregistry.cms.hhs.gov/provider-view/1346316189" TargetMode="External"/><Relationship Id="rId159" Type="http://schemas.openxmlformats.org/officeDocument/2006/relationships/hyperlink" Target="https://npiregistry.cms.hhs.gov/provider-view/1942382379" TargetMode="External"/><Relationship Id="rId170" Type="http://schemas.openxmlformats.org/officeDocument/2006/relationships/hyperlink" Target="https://npiregistry.cms.hhs.gov/provider-view/1588715163" TargetMode="External"/><Relationship Id="rId191" Type="http://schemas.openxmlformats.org/officeDocument/2006/relationships/hyperlink" Target="https://npiregistry.cms.hhs.gov/provider-view/1659492312" TargetMode="External"/><Relationship Id="rId107" Type="http://schemas.openxmlformats.org/officeDocument/2006/relationships/hyperlink" Target="https://www.google.com/maps/search/?api=1&amp;query=The+Dental+Specialists+-+Roseville%2C+1835+County+Road+C-West%2C+Roseville%2C+MN+55113" TargetMode="External"/><Relationship Id="rId11" Type="http://schemas.openxmlformats.org/officeDocument/2006/relationships/hyperlink" Target="https://npiregistry.cms.hhs.gov/provider-view/1245809458" TargetMode="External"/><Relationship Id="rId32" Type="http://schemas.openxmlformats.org/officeDocument/2006/relationships/hyperlink" Target="https://www.tcoralsurgery.com/contact-us/hastings-mn-office/" TargetMode="External"/><Relationship Id="rId53" Type="http://schemas.openxmlformats.org/officeDocument/2006/relationships/hyperlink" Target="https://www.thedentalspecialists.com/location/edina/" TargetMode="External"/><Relationship Id="rId74" Type="http://schemas.openxmlformats.org/officeDocument/2006/relationships/hyperlink" Target="https://www.google.com/maps/search/?api=1&amp;query=Wise+Decision+Wisdom+Teeth+Specialists%2C+10653+Wayzata+Blvd%2C+Minnetonka%2C+MN+55305" TargetMode="External"/><Relationship Id="rId128" Type="http://schemas.openxmlformats.org/officeDocument/2006/relationships/hyperlink" Target="https://npiregistry.cms.hhs.gov/provider-view/1649043662" TargetMode="External"/><Relationship Id="rId149" Type="http://schemas.openxmlformats.org/officeDocument/2006/relationships/hyperlink" Target="https://www.google.com/maps/search/?api=1&amp;query=Associated+Oral+%26+Maxillofacial+Surgeons+%28Associated+OMS%29%2C+114+W+3rd+St%2C+Monticello%2C+MN+55362" TargetMode="External"/><Relationship Id="rId5" Type="http://schemas.openxmlformats.org/officeDocument/2006/relationships/hyperlink" Target="https://npiregistry.cms.hhs.gov/provider-view/1467563510" TargetMode="External"/><Relationship Id="rId95" Type="http://schemas.openxmlformats.org/officeDocument/2006/relationships/hyperlink" Target="https://www.google.com/maps/search/?api=1&amp;query=ClearChoice+Dental+Implant+Center+-+Roseville%2C+3130+Cleveland+Ave+N%2C+Arden+Hills%2C+MN+55112" TargetMode="External"/><Relationship Id="rId160" Type="http://schemas.openxmlformats.org/officeDocument/2006/relationships/hyperlink" Target="https://www.bluewateroral.surgery/contact-us/grand-rapids-mn/" TargetMode="External"/><Relationship Id="rId181" Type="http://schemas.openxmlformats.org/officeDocument/2006/relationships/hyperlink" Target="https://www.google.com/maps/search/?api=1&amp;query=Soderholm+Oral+Surgery+and+Implants%2C+940+Market+St%2C+Perham%2C+MN+56573" TargetMode="External"/><Relationship Id="rId22" Type="http://schemas.openxmlformats.org/officeDocument/2006/relationships/hyperlink" Target="https://www.google.com/maps/search/?api=1&amp;query=Twin+Cities+Oral+%26+Maxillofacial+Surgery%2C+14635+Pennock+Ave%2C+Apple+Valley%2C+MN+55124" TargetMode="External"/><Relationship Id="rId43" Type="http://schemas.openxmlformats.org/officeDocument/2006/relationships/hyperlink" Target="https://npiregistry.cms.hhs.gov/provider-view/1720206428" TargetMode="External"/><Relationship Id="rId64" Type="http://schemas.openxmlformats.org/officeDocument/2006/relationships/hyperlink" Target="https://npiregistry.cms.hhs.gov/provider-view/1902917057" TargetMode="External"/><Relationship Id="rId118" Type="http://schemas.openxmlformats.org/officeDocument/2006/relationships/hyperlink" Target="https://www.google.com/maps/search/?api=1&amp;query=St.+Paul+Oral+Surgery%2C+2550+University+Ave+W%2C+St.+Paul%2C+MN+55114" TargetMode="External"/><Relationship Id="rId139" Type="http://schemas.openxmlformats.org/officeDocument/2006/relationships/hyperlink" Target="https://www.theoralsurgerycenter.com/" TargetMode="External"/><Relationship Id="rId85" Type="http://schemas.openxmlformats.org/officeDocument/2006/relationships/hyperlink" Target="https://www.omscmn.com/contact-us/wayzata-office/" TargetMode="External"/><Relationship Id="rId150" Type="http://schemas.openxmlformats.org/officeDocument/2006/relationships/hyperlink" Target="https://npiregistry.cms.hhs.gov/provider-view/1649043662" TargetMode="External"/><Relationship Id="rId171" Type="http://schemas.openxmlformats.org/officeDocument/2006/relationships/hyperlink" Target="https://www.bluewateroral.surgery/contact-us/virginia-mn/" TargetMode="External"/><Relationship Id="rId192" Type="http://schemas.openxmlformats.org/officeDocument/2006/relationships/hyperlink" Target="https://www.google.com/maps/search/?api=1&amp;query=Oral+and+Maxillofacial+Surgery+of+Minnesota+PLLC%2C+1029+19th+Ave+SW%2C+Willmar%2C+MN+56201" TargetMode="External"/><Relationship Id="rId12" Type="http://schemas.openxmlformats.org/officeDocument/2006/relationships/hyperlink" Target="https://www.thedentalspecialists.com/location/coon-rapids-riverdale/" TargetMode="External"/><Relationship Id="rId33" Type="http://schemas.openxmlformats.org/officeDocument/2006/relationships/hyperlink" Target="https://www.google.com/maps/search/?api=1&amp;query=Twin+Cities+Oral+%26+Maxillofacial+Surgery+PA.%2C+925+Highway+55%2C+Hastings%2C+MN+55033" TargetMode="External"/><Relationship Id="rId108" Type="http://schemas.openxmlformats.org/officeDocument/2006/relationships/hyperlink" Target="https://npiregistry.cms.hhs.gov/provider-view/1780750539" TargetMode="External"/><Relationship Id="rId129" Type="http://schemas.openxmlformats.org/officeDocument/2006/relationships/hyperlink" Target="https://www.google.com/maps/search/?api=1&amp;query=HealthPartners+Dental+Specialty+Center+Woodbury+-+Lake+Elmo%2C+8515+Eagle+Point+Blvd%2C+Lake+Elmo%2C+MN+55042" TargetMode="External"/><Relationship Id="rId54" Type="http://schemas.openxmlformats.org/officeDocument/2006/relationships/hyperlink" Target="https://www.google.com/maps/search/?api=1&amp;query=The+Dental+Specialists%2C+6545+France+Ave+S%2C+Edina%2C+MN+55435" TargetMode="External"/><Relationship Id="rId75" Type="http://schemas.openxmlformats.org/officeDocument/2006/relationships/hyperlink" Target="https://npiregistry.cms.hhs.gov/provider-view/1407613375" TargetMode="External"/><Relationship Id="rId96" Type="http://schemas.openxmlformats.org/officeDocument/2006/relationships/hyperlink" Target="https://npiregistry.cms.hhs.gov/provider-view/1538963590" TargetMode="External"/><Relationship Id="rId140" Type="http://schemas.openxmlformats.org/officeDocument/2006/relationships/hyperlink" Target="https://www.google.com/maps/search/?api=1&amp;query=The+Oral+Surgery+Center%2C+748+Bielenberg+Drive%2C+Woodbury%2C+MN+55125" TargetMode="External"/><Relationship Id="rId161" Type="http://schemas.openxmlformats.org/officeDocument/2006/relationships/hyperlink" Target="https://www.google.com/maps/search/?api=1&amp;query=Blue+Water+Oral+and+Facial+Surgery%2C+303+SE+1st+St%2C+Grand+Rapids%2C+MN+55744" TargetMode="External"/><Relationship Id="rId182" Type="http://schemas.openxmlformats.org/officeDocument/2006/relationships/hyperlink" Target="https://npiregistry.cms.hhs.gov/provider-view/1841991262" TargetMode="External"/><Relationship Id="rId6" Type="http://schemas.openxmlformats.org/officeDocument/2006/relationships/hyperlink" Target="https://associatedoms.com/coon-rapids/" TargetMode="External"/><Relationship Id="rId23" Type="http://schemas.openxmlformats.org/officeDocument/2006/relationships/hyperlink" Target="https://npiregistry.cms.hhs.gov/provider-view/1821299041" TargetMode="External"/><Relationship Id="rId119" Type="http://schemas.openxmlformats.org/officeDocument/2006/relationships/hyperlink" Target="https://npiregistry.cms.hhs.gov/provider-view/1043870645" TargetMode="External"/><Relationship Id="rId44" Type="http://schemas.openxmlformats.org/officeDocument/2006/relationships/hyperlink" Target="https://eosoralsurgery.com/" TargetMode="External"/><Relationship Id="rId65" Type="http://schemas.openxmlformats.org/officeDocument/2006/relationships/hyperlink" Target="https://www.thedentalspecialists.com/location/maple-grove/" TargetMode="External"/><Relationship Id="rId86" Type="http://schemas.openxmlformats.org/officeDocument/2006/relationships/hyperlink" Target="https://www.google.com/maps/search/?api=1&amp;query=Oral+and+Maxillofacial+Surgical+Consultants+PA%2C+250+Central+Ave+N%2C+Wayzata%2C+MN+55391" TargetMode="External"/><Relationship Id="rId130" Type="http://schemas.openxmlformats.org/officeDocument/2006/relationships/hyperlink" Target="https://npiregistry.cms.hhs.gov/provider-view/1093261190" TargetMode="External"/><Relationship Id="rId151" Type="http://schemas.openxmlformats.org/officeDocument/2006/relationships/hyperlink" Target="https://www.mnofs.com/" TargetMode="External"/><Relationship Id="rId172" Type="http://schemas.openxmlformats.org/officeDocument/2006/relationships/hyperlink" Target="https://www.google.com/maps/search/?api=1&amp;query=Blue+Water+Oral+and+Facial+Surgery%2C+505+S+12th+Ave+W%2C+Virginia%2C+MN+55792" TargetMode="External"/><Relationship Id="rId193" Type="http://schemas.openxmlformats.org/officeDocument/2006/relationships/hyperlink" Target="https://npiregistry.cms.hhs.gov/provider-view/1942072871" TargetMode="External"/><Relationship Id="rId13" Type="http://schemas.openxmlformats.org/officeDocument/2006/relationships/hyperlink" Target="https://www.google.com/maps/search/?api=1&amp;query=The+Dental+Specialists+-+Coon+Rapids+%2F+Riverdale%2C+3360+Northdale+Blvd.%2C+Coon+Rapids%2C+MN+55448" TargetMode="External"/><Relationship Id="rId109" Type="http://schemas.openxmlformats.org/officeDocument/2006/relationships/hyperlink" Target="https://www.tcoralsurgery.com/contact-us/roseville-mn-office/" TargetMode="External"/><Relationship Id="rId34" Type="http://schemas.openxmlformats.org/officeDocument/2006/relationships/hyperlink" Target="https://npiregistry.cms.hhs.gov/provider-view/1083792279" TargetMode="External"/><Relationship Id="rId50" Type="http://schemas.openxmlformats.org/officeDocument/2006/relationships/hyperlink" Target="https://www.omscmn.com/contact-us/edina-office/" TargetMode="External"/><Relationship Id="rId55" Type="http://schemas.openxmlformats.org/officeDocument/2006/relationships/hyperlink" Target="https://npiregistry.cms.hhs.gov/provider-view/1376619114" TargetMode="External"/><Relationship Id="rId76" Type="http://schemas.openxmlformats.org/officeDocument/2006/relationships/hyperlink" Target="https://www.mnmax.com/" TargetMode="External"/><Relationship Id="rId97" Type="http://schemas.openxmlformats.org/officeDocument/2006/relationships/hyperlink" Target="https://www.tcoralsurgery.com/contact-us/maplewood-mn-office/" TargetMode="External"/><Relationship Id="rId104" Type="http://schemas.openxmlformats.org/officeDocument/2006/relationships/hyperlink" Target="https://www.google.com/maps/search/?api=1&amp;query=Momenta+Oral+%26+Maxillofacial+Surgery%2C+700+Village+Center+Dr%2C+North+Oaks%2C+MN+55127" TargetMode="External"/><Relationship Id="rId120" Type="http://schemas.openxmlformats.org/officeDocument/2006/relationships/hyperlink" Target="https://eosoralsurgery.com/locations/" TargetMode="External"/><Relationship Id="rId125" Type="http://schemas.openxmlformats.org/officeDocument/2006/relationships/hyperlink" Target="https://npiregistry.cms.hhs.gov/provider-view/1063122976" TargetMode="External"/><Relationship Id="rId141" Type="http://schemas.openxmlformats.org/officeDocument/2006/relationships/hyperlink" Target="https://npiregistry.cms.hhs.gov/provider-view/1104864529" TargetMode="External"/><Relationship Id="rId146" Type="http://schemas.openxmlformats.org/officeDocument/2006/relationships/hyperlink" Target="https://www.google.com/maps/search/?api=1&amp;query=Associated+Oral+%26+Maxillofacial+Surgeons%2C+215+Highway+55+E%2C+Buffalo%2C+MN+55313" TargetMode="External"/><Relationship Id="rId167" Type="http://schemas.openxmlformats.org/officeDocument/2006/relationships/hyperlink" Target="https://www.google.com/maps/search/?api=1&amp;query=Northern+Oral+Surgery+%26+Implant+Center%2C+3617+W+Arrowhead+Rd%2C+Duluth%2C+MN+55811" TargetMode="External"/><Relationship Id="rId188" Type="http://schemas.openxmlformats.org/officeDocument/2006/relationships/hyperlink" Target="https://npiregistry.cms.hhs.gov/provider-view/1770533531" TargetMode="External"/><Relationship Id="rId7" Type="http://schemas.openxmlformats.org/officeDocument/2006/relationships/hyperlink" Target="https://www.google.com/maps/search/?api=1&amp;query=Associated+Oral+%26+Maxillofacial+Surgeons+%28Associated+OMS%29%2C+3833+Coon+Rapids+Blvd+NW%2C+Coon+Rapids%2C+MN+55433" TargetMode="External"/><Relationship Id="rId71" Type="http://schemas.openxmlformats.org/officeDocument/2006/relationships/hyperlink" Target="https://www.google.com/maps/search/?api=1&amp;query=Facial+Designs%2C+P.A.%2C+11601+Minnetonka+Mills+Rd%2C+Minnetonka%2C+MN+55305" TargetMode="External"/><Relationship Id="rId92" Type="http://schemas.openxmlformats.org/officeDocument/2006/relationships/hyperlink" Target="https://www.google.com/maps/search/?api=1&amp;query=OMS+Specialists%2C+1595+2nd+Ave+NE%2C+Cambridge%2C+MN+55008" TargetMode="External"/><Relationship Id="rId162" Type="http://schemas.openxmlformats.org/officeDocument/2006/relationships/hyperlink" Target="https://npiregistry.cms.hhs.gov/provider-view/1679668529" TargetMode="External"/><Relationship Id="rId183" Type="http://schemas.openxmlformats.org/officeDocument/2006/relationships/hyperlink" Target="https://www.semoms.com/contact-us/contact-information/" TargetMode="External"/><Relationship Id="rId2" Type="http://schemas.openxmlformats.org/officeDocument/2006/relationships/hyperlink" Target="https://npiregistry.cms.hhs.gov/provider-view/1730838186" TargetMode="External"/><Relationship Id="rId29" Type="http://schemas.openxmlformats.org/officeDocument/2006/relationships/hyperlink" Target="https://www.thedentalspecialists.com/location/burnsville/" TargetMode="External"/><Relationship Id="rId24" Type="http://schemas.openxmlformats.org/officeDocument/2006/relationships/hyperlink" Target="https://mdscburnsvilleoralsurgery.com/" TargetMode="External"/><Relationship Id="rId40" Type="http://schemas.openxmlformats.org/officeDocument/2006/relationships/hyperlink" Target="https://npiregistry.cms.hhs.gov/provider-view/1366568206" TargetMode="External"/><Relationship Id="rId45" Type="http://schemas.openxmlformats.org/officeDocument/2006/relationships/hyperlink" Target="https://www.google.com/maps/search/?api=1&amp;query=EOS+Expert+Oral+Surgery%2C+11800+Singletree+Ln%2C+Eden+Prairie%2C+MN+55344" TargetMode="External"/><Relationship Id="rId66" Type="http://schemas.openxmlformats.org/officeDocument/2006/relationships/hyperlink" Target="https://www.google.com/maps/search/?api=1&amp;query=The+Dental+Specialists+-+Maple+Grove%2C+15701+Grove+Circle+N%2C+Maple+Grove%2C+MN+55369" TargetMode="External"/><Relationship Id="rId87" Type="http://schemas.openxmlformats.org/officeDocument/2006/relationships/hyperlink" Target="https://npiregistry.cms.hhs.gov/provider-view/1265650956" TargetMode="External"/><Relationship Id="rId110" Type="http://schemas.openxmlformats.org/officeDocument/2006/relationships/hyperlink" Target="https://www.google.com/maps/search/?api=1&amp;query=Twin+Cities+Oral+%26+Maxillofacial+Surgery%2C+1790+Lexington+Ave+N%2C+Roseville%2C+MN+55113" TargetMode="External"/><Relationship Id="rId115" Type="http://schemas.openxmlformats.org/officeDocument/2006/relationships/hyperlink" Target="https://www.google.com/maps/search/?api=1&amp;query=HealthPartners+St.+Paul+%28Wabasha%29+Dental+Clinic%2C+205+Wabasha+St+S%2C+St.+Paul%2C+MN+55107" TargetMode="External"/><Relationship Id="rId131" Type="http://schemas.openxmlformats.org/officeDocument/2006/relationships/hyperlink" Target="https://www.google.com/maps/search/?api=1&amp;query=Saint+Croix+Oral+Surgery%2C+1701+Curve+Crest+Blvd+W%2C+Stillwater%2C+MN+55082" TargetMode="External"/><Relationship Id="rId136" Type="http://schemas.openxmlformats.org/officeDocument/2006/relationships/hyperlink" Target="https://www.thedentalspecialists.com/location/woodbury/" TargetMode="External"/><Relationship Id="rId157" Type="http://schemas.openxmlformats.org/officeDocument/2006/relationships/hyperlink" Target="https://www.omsabrainerd.com/" TargetMode="External"/><Relationship Id="rId178" Type="http://schemas.openxmlformats.org/officeDocument/2006/relationships/hyperlink" Target="https://www.google.com/maps/search/?api=1&amp;query=Soderholm+Oral+Surgery+and+Implants%2C+215+N+Tower+Rd%2C+Fergus+Falls%2C+MN+56537" TargetMode="External"/><Relationship Id="rId61" Type="http://schemas.openxmlformats.org/officeDocument/2006/relationships/hyperlink" Target="https://npiregistry.cms.hhs.gov/provider-view/1649043662" TargetMode="External"/><Relationship Id="rId82" Type="http://schemas.openxmlformats.org/officeDocument/2006/relationships/hyperlink" Target="https://northernstaroms.com/" TargetMode="External"/><Relationship Id="rId152" Type="http://schemas.openxmlformats.org/officeDocument/2006/relationships/hyperlink" Target="https://www.google.com/maps/search/?api=1&amp;query=Minnesota+Oral+%26+Facial+Surgery%2C+2380+Troop+Drive%2C+Sartell%2C+MN+56377" TargetMode="External"/><Relationship Id="rId173" Type="http://schemas.openxmlformats.org/officeDocument/2006/relationships/hyperlink" Target="https://npiregistry.cms.hhs.gov/provider-view/1417042367" TargetMode="External"/><Relationship Id="rId194" Type="http://schemas.openxmlformats.org/officeDocument/2006/relationships/table" Target="../tables/table7.xml"/><Relationship Id="rId19" Type="http://schemas.openxmlformats.org/officeDocument/2006/relationships/hyperlink" Target="https://www.google.com/maps/search/?api=1&amp;query=OMS+Specialists%2C+490+S+Maple+St%2C+Waconia%2C+MN+55387" TargetMode="External"/><Relationship Id="rId14" Type="http://schemas.openxmlformats.org/officeDocument/2006/relationships/hyperlink" Target="https://npiregistry.cms.hhs.gov/provider-view/1396095048" TargetMode="External"/><Relationship Id="rId30" Type="http://schemas.openxmlformats.org/officeDocument/2006/relationships/hyperlink" Target="https://www.google.com/maps/search/?api=1&amp;query=The+Dental+Specialists%2C+40+W+Nicollet+Blvd%2C+Burnsville%2C+MN+55337" TargetMode="External"/><Relationship Id="rId35" Type="http://schemas.openxmlformats.org/officeDocument/2006/relationships/hyperlink" Target="https://advancedoralsurgerymn.com/contact-lakeville-office/" TargetMode="External"/><Relationship Id="rId56" Type="http://schemas.openxmlformats.org/officeDocument/2006/relationships/hyperlink" Target="https://zoyaorofacialpaindentalsleep.org/" TargetMode="External"/><Relationship Id="rId77" Type="http://schemas.openxmlformats.org/officeDocument/2006/relationships/hyperlink" Target="https://www.google.com/maps/search/?api=1&amp;query=Minnesota+Maxillofacial+and+Oral+Consultants%2C+15600+36th+Ave+N%2C+Plymouth%2C+MN+55446" TargetMode="External"/><Relationship Id="rId100" Type="http://schemas.openxmlformats.org/officeDocument/2006/relationships/hyperlink" Target="https://www.omsspecialists.com/new-brighton" TargetMode="External"/><Relationship Id="rId105" Type="http://schemas.openxmlformats.org/officeDocument/2006/relationships/hyperlink" Target="https://npiregistry.cms.hhs.gov/provider-view/1497814032" TargetMode="External"/><Relationship Id="rId126" Type="http://schemas.openxmlformats.org/officeDocument/2006/relationships/hyperlink" Target="https://associatedoms.com/elk-river/" TargetMode="External"/><Relationship Id="rId147" Type="http://schemas.openxmlformats.org/officeDocument/2006/relationships/hyperlink" Target="https://npiregistry.cms.hhs.gov/provider-view/1649043662" TargetMode="External"/><Relationship Id="rId168" Type="http://schemas.openxmlformats.org/officeDocument/2006/relationships/hyperlink" Target="https://npiregistry.cms.hhs.gov/provider-view/1457401820" TargetMode="External"/><Relationship Id="rId8" Type="http://schemas.openxmlformats.org/officeDocument/2006/relationships/hyperlink" Target="https://npiregistry.cms.hhs.gov/provider-view/1649043662" TargetMode="External"/><Relationship Id="rId51" Type="http://schemas.openxmlformats.org/officeDocument/2006/relationships/hyperlink" Target="https://www.google.com/maps/search/?api=1&amp;query=Oral+and+Maxillofacial+Surgical+Consultants+PA%2C+7373+France+Ave+S%2C+Edina%2C+MN+55435" TargetMode="External"/><Relationship Id="rId72" Type="http://schemas.openxmlformats.org/officeDocument/2006/relationships/hyperlink" Target="https://npiregistry.cms.hhs.gov/provider-view/1679620801" TargetMode="External"/><Relationship Id="rId93" Type="http://schemas.openxmlformats.org/officeDocument/2006/relationships/hyperlink" Target="https://npiregistry.cms.hhs.gov/provider-view/1508160060" TargetMode="External"/><Relationship Id="rId98" Type="http://schemas.openxmlformats.org/officeDocument/2006/relationships/hyperlink" Target="https://www.google.com/maps/search/?api=1&amp;query=Twin+Cities+Oral+%26+Maxillofacial+Surgery%2C+PA%2C+1655+Beam+Ave%2C+Maplewood%2C+MN+55109" TargetMode="External"/><Relationship Id="rId121" Type="http://schemas.openxmlformats.org/officeDocument/2006/relationships/hyperlink" Target="https://www.google.com/maps/search/?api=1&amp;query=EOS+Oral+Surgery%2C+13875+Hwy+13+Frontage+Rd%2C+Savage%2C+MN+55378" TargetMode="External"/><Relationship Id="rId142" Type="http://schemas.openxmlformats.org/officeDocument/2006/relationships/hyperlink" Target="https://www.truenorthoralsurgery.com/contact-us/woodbury-office/" TargetMode="External"/><Relationship Id="rId163" Type="http://schemas.openxmlformats.org/officeDocument/2006/relationships/hyperlink" Target="https://www.bluewateroral.surgery/" TargetMode="External"/><Relationship Id="rId184" Type="http://schemas.openxmlformats.org/officeDocument/2006/relationships/hyperlink" Target="https://www.google.com/maps/search/?api=1&amp;query=Southeastern+Minnesota+Oral+%26+Maxillofacial+Surgery+Associates%2C+PLLC%2C+1410+Madison+Ave%2C+Mankato%2C+MN+56001" TargetMode="External"/><Relationship Id="rId189" Type="http://schemas.openxmlformats.org/officeDocument/2006/relationships/hyperlink" Target="https://www.semoms.com/" TargetMode="External"/><Relationship Id="rId3" Type="http://schemas.openxmlformats.org/officeDocument/2006/relationships/hyperlink" Target="https://www.omsspecialists.com/blaine" TargetMode="External"/><Relationship Id="rId25" Type="http://schemas.openxmlformats.org/officeDocument/2006/relationships/hyperlink" Target="https://www.google.com/maps/search/?api=1&amp;query=Metro+Dentalcare+Specialty+Center+Burnsville+-+Oral+Surgery%2C+14344+Burnhaven+Dr%2C+Burnsville%2C+MN+55306" TargetMode="External"/><Relationship Id="rId46" Type="http://schemas.openxmlformats.org/officeDocument/2006/relationships/hyperlink" Target="https://npiregistry.cms.hhs.gov/provider-view/1063122976" TargetMode="External"/><Relationship Id="rId67" Type="http://schemas.openxmlformats.org/officeDocument/2006/relationships/hyperlink" Target="https://npiregistry.cms.hhs.gov/provider-view/1912143843" TargetMode="External"/><Relationship Id="rId116" Type="http://schemas.openxmlformats.org/officeDocument/2006/relationships/hyperlink" Target="https://npiregistry.cms.hhs.gov/provider-view/1952042053" TargetMode="External"/><Relationship Id="rId137" Type="http://schemas.openxmlformats.org/officeDocument/2006/relationships/hyperlink" Target="https://www.google.com/maps/search/?api=1&amp;query=The+Dental+Specialists+-+Woodbury%2C+241+Radio+Drive%2C+Woodbury%2C+MN+55125" TargetMode="External"/><Relationship Id="rId158" Type="http://schemas.openxmlformats.org/officeDocument/2006/relationships/hyperlink" Target="https://www.google.com/maps/search/?api=1&amp;query=Oral+and+Maxillofacial+Surgery+Associates%2C+LTD%2C+1903+S+6th+St%2C+Brainerd%2C+MN+56401" TargetMode="External"/><Relationship Id="rId20" Type="http://schemas.openxmlformats.org/officeDocument/2006/relationships/hyperlink" Target="https://npiregistry.cms.hhs.gov/provider-view/1770694812" TargetMode="External"/><Relationship Id="rId41" Type="http://schemas.openxmlformats.org/officeDocument/2006/relationships/hyperlink" Target="https://www.omscmn.com/contact-us/chanhassen-office/" TargetMode="External"/><Relationship Id="rId62" Type="http://schemas.openxmlformats.org/officeDocument/2006/relationships/hyperlink" Target="https://www.omsspecialists.com/maple-grove" TargetMode="External"/><Relationship Id="rId83" Type="http://schemas.openxmlformats.org/officeDocument/2006/relationships/hyperlink" Target="https://www.google.com/maps/search/?api=1&amp;query=Northern+Star+Oral+and+Maxillofacial+Surgery+PLLC%2C+1660+Highway+100+S%2C+St.+Louis+Park%2C+MN+55416" TargetMode="External"/><Relationship Id="rId88" Type="http://schemas.openxmlformats.org/officeDocument/2006/relationships/hyperlink" Target="https://www.thedentalspecialists.com/location/deephaven/" TargetMode="External"/><Relationship Id="rId111" Type="http://schemas.openxmlformats.org/officeDocument/2006/relationships/hyperlink" Target="https://npiregistry.cms.hhs.gov/provider-view/1154522373" TargetMode="External"/><Relationship Id="rId132" Type="http://schemas.openxmlformats.org/officeDocument/2006/relationships/hyperlink" Target="https://npiregistry.cms.hhs.gov/provider-view/1427129717" TargetMode="External"/><Relationship Id="rId153" Type="http://schemas.openxmlformats.org/officeDocument/2006/relationships/hyperlink" Target="https://npiregistry.cms.hhs.gov/provider-view/1386723575" TargetMode="External"/><Relationship Id="rId174" Type="http://schemas.openxmlformats.org/officeDocument/2006/relationships/hyperlink" Target="https://www.soderholmoralsurgery.com/contact-us/contact-our-alexandria-office/" TargetMode="External"/><Relationship Id="rId179" Type="http://schemas.openxmlformats.org/officeDocument/2006/relationships/hyperlink" Target="https://npiregistry.cms.hhs.gov/provider-view/1841991262" TargetMode="External"/><Relationship Id="rId190" Type="http://schemas.openxmlformats.org/officeDocument/2006/relationships/hyperlink" Target="https://www.google.com/maps/search/?api=1&amp;query=Southeastern+Minnesota+Oral+%26+Maxillofacial+Surgery+Associates%2C+PLLC%2C+2519+Commerce+Dr+NW%2C+Rochester%2C+MN+55901" TargetMode="External"/><Relationship Id="rId15" Type="http://schemas.openxmlformats.org/officeDocument/2006/relationships/hyperlink" Target="https://www.thedentalspecialists.com/location/coon-rapids-riverdale/" TargetMode="External"/><Relationship Id="rId36" Type="http://schemas.openxmlformats.org/officeDocument/2006/relationships/hyperlink" Target="https://www.google.com/maps/search/?api=1&amp;query=Advanced+Oral+Surgery+%26+Periodontics%2C+19925+Idealic+Ave%2C+Lakeville%2C+MN+55044" TargetMode="External"/><Relationship Id="rId57" Type="http://schemas.openxmlformats.org/officeDocument/2006/relationships/hyperlink" Target="https://www.google.com/maps/search/?api=1&amp;query=Zoya%27s+Orofacial+Pain+and+Dental+Sleep+Remedies+PLLC%2C+1405+Lilac+Lane+Drive+North%2C+Golden+Valley%2C+MN+55422" TargetMode="External"/><Relationship Id="rId106" Type="http://schemas.openxmlformats.org/officeDocument/2006/relationships/hyperlink" Target="https://www.thedentalspecialists.com/location/roseville/" TargetMode="External"/><Relationship Id="rId127" Type="http://schemas.openxmlformats.org/officeDocument/2006/relationships/hyperlink" Target="https://www.google.com/maps/search/?api=1&amp;query=Associated+Oral+%26+Maxillofacial+Surgeons+%28Elk+River%29%2C+501+Main+St+NW%2C+Elk+River%2C+MN+55330" TargetMode="External"/><Relationship Id="rId10" Type="http://schemas.openxmlformats.org/officeDocument/2006/relationships/hyperlink" Target="https://www.google.com/maps/search/?api=1&amp;query=Northside+Minnesota+Oral+and+Maxillofacial+Surgeons%2C+PLLC%2C+11441+Osage+St+NW%2C+Coon+Rapids%2C+MN+55433" TargetMode="External"/><Relationship Id="rId31" Type="http://schemas.openxmlformats.org/officeDocument/2006/relationships/hyperlink" Target="https://npiregistry.cms.hhs.gov/provider-view/1508932344" TargetMode="External"/><Relationship Id="rId52" Type="http://schemas.openxmlformats.org/officeDocument/2006/relationships/hyperlink" Target="https://npiregistry.cms.hhs.gov/provider-view/1619049921" TargetMode="External"/><Relationship Id="rId73" Type="http://schemas.openxmlformats.org/officeDocument/2006/relationships/hyperlink" Target="https://www.wisedecision.com/" TargetMode="External"/><Relationship Id="rId78" Type="http://schemas.openxmlformats.org/officeDocument/2006/relationships/hyperlink" Target="https://npiregistry.cms.hhs.gov/provider-view/1417034661" TargetMode="External"/><Relationship Id="rId94" Type="http://schemas.openxmlformats.org/officeDocument/2006/relationships/hyperlink" Target="https://www.clearchoice.com/locations/mn/arden-hills/3130-cleveland-ave-n/" TargetMode="External"/><Relationship Id="rId99" Type="http://schemas.openxmlformats.org/officeDocument/2006/relationships/hyperlink" Target="https://npiregistry.cms.hhs.gov/provider-view/1356542575" TargetMode="External"/><Relationship Id="rId101" Type="http://schemas.openxmlformats.org/officeDocument/2006/relationships/hyperlink" Target="https://www.google.com/maps/search/?api=1&amp;query=OMS+Specialists%2C+550+County+Road+D%2C+New+Brighton%2C+MN+55421" TargetMode="External"/><Relationship Id="rId122" Type="http://schemas.openxmlformats.org/officeDocument/2006/relationships/hyperlink" Target="https://npiregistry.cms.hhs.gov/provider-view/1063122976" TargetMode="External"/><Relationship Id="rId143" Type="http://schemas.openxmlformats.org/officeDocument/2006/relationships/hyperlink" Target="https://www.google.com/maps/search/?api=1&amp;query=True+North+Oral+Surgery+%26+Implants%2C+9950+Valley+Creek+Rd%2C+Woodbury%2C+MN+55125" TargetMode="External"/><Relationship Id="rId148" Type="http://schemas.openxmlformats.org/officeDocument/2006/relationships/hyperlink" Target="https://associatedoms.com/monticello/" TargetMode="External"/><Relationship Id="rId164" Type="http://schemas.openxmlformats.org/officeDocument/2006/relationships/hyperlink" Target="https://www.google.com/maps/search/?api=1&amp;query=Blue+Water+Oral+and+Facial+Surgery%2C+1000+E+1st+St%2C+Duluth%2C+MN+55805" TargetMode="External"/><Relationship Id="rId169" Type="http://schemas.openxmlformats.org/officeDocument/2006/relationships/hyperlink" Target="https://www.google.com/maps/search/?api=1&amp;query=Northern+Oral+%26+Maxillofacial+Surgeons%2C+PA%2C+3899+Highway+73%2C+Hibbing%2C+MN+55746" TargetMode="External"/><Relationship Id="rId185" Type="http://schemas.openxmlformats.org/officeDocument/2006/relationships/hyperlink" Target="https://npiregistry.cms.hhs.gov/provider-view/1659492312" TargetMode="External"/><Relationship Id="rId4" Type="http://schemas.openxmlformats.org/officeDocument/2006/relationships/hyperlink" Target="https://www.google.com/maps/search/?api=1&amp;query=OMS+Specialists%2C+11855+Ulysses+Street+NE%2C+Blaine%2C+MN+55434" TargetMode="External"/><Relationship Id="rId9" Type="http://schemas.openxmlformats.org/officeDocument/2006/relationships/hyperlink" Target="https://www.northsideoms.com/" TargetMode="External"/><Relationship Id="rId180" Type="http://schemas.openxmlformats.org/officeDocument/2006/relationships/hyperlink" Target="https://www.soderholmoralsurgery.com/contact-us/contact-our-perham-office/" TargetMode="External"/><Relationship Id="rId26" Type="http://schemas.openxmlformats.org/officeDocument/2006/relationships/hyperlink" Target="https://npiregistry.cms.hhs.gov/provider-view/1407505829" TargetMode="External"/><Relationship Id="rId47" Type="http://schemas.openxmlformats.org/officeDocument/2006/relationships/hyperlink" Target="https://www.healthpartners.com/care/find/location/dental/healthpartners/eden-prairie/" TargetMode="External"/><Relationship Id="rId68" Type="http://schemas.openxmlformats.org/officeDocument/2006/relationships/hyperlink" Target="https://www.google.com/maps/search/?api=1&amp;query=University+of+Minnesota+Dental+Clinics+%E2%80%93+Oral+%26+Maxillofacial+Surgery%2C+515+Delaware+St+SE%2C+Minneapolis%2C+MN+55455" TargetMode="External"/><Relationship Id="rId89" Type="http://schemas.openxmlformats.org/officeDocument/2006/relationships/hyperlink" Target="https://www.google.com/maps/search/?api=1&amp;query=The+Dental+Specialists+-+Deephaven%2C+18258+Minnetonka+Blvd%2C+Wayzata%2C+MN+55391" TargetMode="External"/><Relationship Id="rId112" Type="http://schemas.openxmlformats.org/officeDocument/2006/relationships/hyperlink" Target="https://www.google.com/maps/search/?api=1&amp;query=HealthPartners+Dental+Specialty+Center+%28Como%29%2C+2500+Como+Ave%2C+St.+Paul%2C+MN+55108" TargetMode="External"/><Relationship Id="rId133" Type="http://schemas.openxmlformats.org/officeDocument/2006/relationships/hyperlink" Target="https://www.theoralsurgerycenter.com/contact-us/stillwater-mn/" TargetMode="External"/><Relationship Id="rId154" Type="http://schemas.openxmlformats.org/officeDocument/2006/relationships/hyperlink" Target="https://www.centrasotaoms.com/" TargetMode="External"/><Relationship Id="rId175" Type="http://schemas.openxmlformats.org/officeDocument/2006/relationships/hyperlink" Target="https://www.google.com/maps/search/?api=1&amp;query=Soderholm+Oral+Surgery+and+Implants%2C+120+12th+Ave+E%2C+Alexandria%2C+MN+56308" TargetMode="External"/><Relationship Id="rId16" Type="http://schemas.openxmlformats.org/officeDocument/2006/relationships/hyperlink" Target="https://www.google.com/maps/search/?api=1&amp;query=The+Dental+Specialists+-+Coon+Rapids+Riverdale%2C+3360+Northdale+Blvd+NW%2C+Coon+Rapids%2C+MN+55448" TargetMode="External"/><Relationship Id="rId37" Type="http://schemas.openxmlformats.org/officeDocument/2006/relationships/hyperlink" Target="https://npiregistry.cms.hhs.gov/provider-view/1295218303" TargetMode="External"/><Relationship Id="rId58" Type="http://schemas.openxmlformats.org/officeDocument/2006/relationships/hyperlink" Target="https://npiregistry.cms.hhs.gov/provider-view/1306513023" TargetMode="External"/><Relationship Id="rId79" Type="http://schemas.openxmlformats.org/officeDocument/2006/relationships/hyperlink" Target="https://www.healthpartners.com/care/find/location/dental/healthpartners/st-louis-park/" TargetMode="External"/><Relationship Id="rId102" Type="http://schemas.openxmlformats.org/officeDocument/2006/relationships/hyperlink" Target="https://npiregistry.cms.hhs.gov/provider-view/1982634010" TargetMode="External"/><Relationship Id="rId123" Type="http://schemas.openxmlformats.org/officeDocument/2006/relationships/hyperlink" Target="https://eosoralsurgery.com/locations/" TargetMode="External"/><Relationship Id="rId144" Type="http://schemas.openxmlformats.org/officeDocument/2006/relationships/hyperlink" Target="https://npiregistry.cms.hhs.gov/provider-view/1003993304" TargetMode="External"/><Relationship Id="rId90" Type="http://schemas.openxmlformats.org/officeDocument/2006/relationships/hyperlink" Target="https://npiregistry.cms.hhs.gov/provider-view/1568071199" TargetMode="External"/><Relationship Id="rId165" Type="http://schemas.openxmlformats.org/officeDocument/2006/relationships/hyperlink" Target="https://npiregistry.cms.hhs.gov/provider-view/1104911056" TargetMode="External"/><Relationship Id="rId186" Type="http://schemas.openxmlformats.org/officeDocument/2006/relationships/hyperlink" Target="https://psimosoralsurgery.com/" TargetMode="External"/><Relationship Id="rId27" Type="http://schemas.openxmlformats.org/officeDocument/2006/relationships/hyperlink" Target="https://www.google.com/maps/search/?api=1&amp;query=South+Suburban+Oral+%26+Maxillofacial+Surgeons+LTD%2C+625+East+Nicollet+Boulevard%2C+Burnsville%2C+MN+55337" TargetMode="External"/><Relationship Id="rId48" Type="http://schemas.openxmlformats.org/officeDocument/2006/relationships/hyperlink" Target="https://www.google.com/maps/search/?api=1&amp;query=HealthPartners+Dental+Clinic+Eden+Prairie%2C+8455+Flying+Cloud+Dr%2C+Eden+Prairie%2C+MN+55344" TargetMode="External"/><Relationship Id="rId69" Type="http://schemas.openxmlformats.org/officeDocument/2006/relationships/hyperlink" Target="https://npiregistry.cms.hhs.gov/provider-view/1164763629" TargetMode="External"/><Relationship Id="rId113" Type="http://schemas.openxmlformats.org/officeDocument/2006/relationships/hyperlink" Target="https://npiregistry.cms.hhs.gov/provider-view/1780739417" TargetMode="External"/><Relationship Id="rId134" Type="http://schemas.openxmlformats.org/officeDocument/2006/relationships/hyperlink" Target="https://www.google.com/maps/search/?api=1&amp;query=The+Oral+Surgery+Center%2C+2850+Curve+Crest+Blvd%2C+Stillwater%2C+MN+55082" TargetMode="External"/><Relationship Id="rId80" Type="http://schemas.openxmlformats.org/officeDocument/2006/relationships/hyperlink" Target="https://www.google.com/maps/search/?api=1&amp;query=HealthPartners+Dental+Clinic+St.+Louis+Park%2C+5500+Excelsior+Blvd%2C+St.+Louis+Park%2C+MN+55416" TargetMode="External"/><Relationship Id="rId155" Type="http://schemas.openxmlformats.org/officeDocument/2006/relationships/hyperlink" Target="https://www.google.com/maps/search/?api=1&amp;query=Centrasota+Oral+Surgeons%2C+3950+Veterans+Dr%2C+St.+Cloud%2C+MN+56303" TargetMode="External"/><Relationship Id="rId176" Type="http://schemas.openxmlformats.org/officeDocument/2006/relationships/hyperlink" Target="https://npiregistry.cms.hhs.gov/provider-view/1841991262" TargetMode="External"/><Relationship Id="rId17" Type="http://schemas.openxmlformats.org/officeDocument/2006/relationships/hyperlink" Target="https://npiregistry.cms.hhs.gov/provider-view/1518200286" TargetMode="External"/><Relationship Id="rId38" Type="http://schemas.openxmlformats.org/officeDocument/2006/relationships/hyperlink" Target="https://www.dakotavalley-oms.com/" TargetMode="External"/><Relationship Id="rId59" Type="http://schemas.openxmlformats.org/officeDocument/2006/relationships/hyperlink" Target="https://associatedoms.com/maple-grove/" TargetMode="External"/><Relationship Id="rId103" Type="http://schemas.openxmlformats.org/officeDocument/2006/relationships/hyperlink" Target="https://www.momentaoms.com/contact-us/north-oaks-office/" TargetMode="External"/><Relationship Id="rId124" Type="http://schemas.openxmlformats.org/officeDocument/2006/relationships/hyperlink" Target="https://www.google.com/maps/search/?api=1&amp;query=EOS%3A+Expert+Oral+Surgery%2C+403+East+First+Avenue%2C+Shakopee%2C+MN+55379" TargetMode="External"/><Relationship Id="rId70" Type="http://schemas.openxmlformats.org/officeDocument/2006/relationships/hyperlink" Target="https://www.facial-designs.com/" TargetMode="External"/><Relationship Id="rId91" Type="http://schemas.openxmlformats.org/officeDocument/2006/relationships/hyperlink" Target="https://www.omsspecialists.com/cambridge" TargetMode="External"/><Relationship Id="rId145" Type="http://schemas.openxmlformats.org/officeDocument/2006/relationships/hyperlink" Target="https://associatedoms.com/buffalo/" TargetMode="External"/><Relationship Id="rId166" Type="http://schemas.openxmlformats.org/officeDocument/2006/relationships/hyperlink" Target="https://www.northernoralsurgeons.com/contact-us/duluth-office/" TargetMode="External"/><Relationship Id="rId187" Type="http://schemas.openxmlformats.org/officeDocument/2006/relationships/hyperlink" Target="https://www.google.com/maps/search/?api=1&amp;query=Psimos+Oral+Surgery%2C+1101+N+Broadway%2C+Rochester%2C+MN+55906" TargetMode="External"/><Relationship Id="rId1" Type="http://schemas.openxmlformats.org/officeDocument/2006/relationships/hyperlink" Target="https://www.google.com/maps/search/?api=1&amp;query=Metro+Dentalcare+Blaine+10%2C+261+County+Road+10+NE%2C+Blaine%2C+MN+55434" TargetMode="External"/><Relationship Id="rId28" Type="http://schemas.openxmlformats.org/officeDocument/2006/relationships/hyperlink" Target="https://npiregistry.cms.hhs.gov/provider-view/1134103674" TargetMode="External"/><Relationship Id="rId49" Type="http://schemas.openxmlformats.org/officeDocument/2006/relationships/hyperlink" Target="https://npiregistry.cms.hhs.gov/provider-view/1164959938" TargetMode="External"/><Relationship Id="rId114" Type="http://schemas.openxmlformats.org/officeDocument/2006/relationships/hyperlink" Target="https://www.healthpartners.com/institute/education/ohpe/dentistry-residency/" TargetMode="External"/><Relationship Id="rId60" Type="http://schemas.openxmlformats.org/officeDocument/2006/relationships/hyperlink" Target="https://www.google.com/maps/search/?api=1&amp;query=Associated+Oral+%26+Maxillofacial+Surgeons%2C+12000+Elm+Creek+Blvd+N%2C+Maple+Grove%2C+MN+55369" TargetMode="External"/><Relationship Id="rId81" Type="http://schemas.openxmlformats.org/officeDocument/2006/relationships/hyperlink" Target="https://npiregistry.cms.hhs.gov/provider-view/1699272427" TargetMode="External"/><Relationship Id="rId135" Type="http://schemas.openxmlformats.org/officeDocument/2006/relationships/hyperlink" Target="https://npiregistry.cms.hhs.gov/provider-view/1508058322" TargetMode="External"/><Relationship Id="rId156" Type="http://schemas.openxmlformats.org/officeDocument/2006/relationships/hyperlink" Target="https://npiregistry.cms.hhs.gov/provider-view/1598710477" TargetMode="External"/><Relationship Id="rId177" Type="http://schemas.openxmlformats.org/officeDocument/2006/relationships/hyperlink" Target="https://www.soderholmoralsurgery.com/" TargetMode="External"/><Relationship Id="rId18" Type="http://schemas.openxmlformats.org/officeDocument/2006/relationships/hyperlink" Target="https://www.omsspecialists.com/waconia" TargetMode="External"/><Relationship Id="rId39" Type="http://schemas.openxmlformats.org/officeDocument/2006/relationships/hyperlink" Target="https://www.google.com/maps/search/?api=1&amp;query=Dakota+Valley+Oral+and+Maxillofacial+Surgery%2C+PLLC%2C+2130+Cliff+Rd%2C+St.+Paul%2C+MN+55122" TargetMode="External"/></Relationships>
</file>

<file path=xl/worksheets/_rels/sheet9.xml.rels><?xml version="1.0" encoding="UTF-8" standalone="yes"?>
<Relationships xmlns="http://schemas.openxmlformats.org/package/2006/relationships"><Relationship Id="rId1827" Type="http://schemas.openxmlformats.org/officeDocument/2006/relationships/hyperlink" Target="https://www.google.com/maps/search/?api=1&amp;query=Chiropractic+Concepts+LLC%2C+3311+County+Road+101+S%2C+Wayzata%2C+MN+55391" TargetMode="External"/><Relationship Id="rId3182" Type="http://schemas.openxmlformats.org/officeDocument/2006/relationships/hyperlink" Target="https://npiregistry.cms.hhs.gov/provider-view/1326290727" TargetMode="External"/><Relationship Id="rId3999" Type="http://schemas.openxmlformats.org/officeDocument/2006/relationships/hyperlink" Target="https://www.google.com/maps/search/?api=1&amp;query=Dr.+William+R+Beschnett%2C+PA%2C+212+15th+Ave+NE%2C+Waseca%2C+MN+56093" TargetMode="External"/><Relationship Id="rId170" Type="http://schemas.openxmlformats.org/officeDocument/2006/relationships/hyperlink" Target="https://npiregistry.cms.hhs.gov/provider-view/1710902028" TargetMode="External"/><Relationship Id="rId987" Type="http://schemas.openxmlformats.org/officeDocument/2006/relationships/hyperlink" Target="https://www.google.com/maps/search/?api=1&amp;query=Twin+Cities+Spine+%26+Sports%2C+LLC%2C+4510+W+77th+St%2C+Edina%2C+MN+55435" TargetMode="External"/><Relationship Id="rId2668" Type="http://schemas.openxmlformats.org/officeDocument/2006/relationships/hyperlink" Target="https://npiregistry.cms.hhs.gov/provider-view/1255520128" TargetMode="External"/><Relationship Id="rId3719" Type="http://schemas.openxmlformats.org/officeDocument/2006/relationships/hyperlink" Target="https://www.google.com/maps/search/?api=1&amp;query=Sherburn+Chiropractic%2C+27+N+Main+St%2C+Sherburn%2C+MN+56171" TargetMode="External"/><Relationship Id="rId4090" Type="http://schemas.openxmlformats.org/officeDocument/2006/relationships/hyperlink" Target="https://npiregistry.cms.hhs.gov/provider-view/1326542473" TargetMode="External"/><Relationship Id="rId1684" Type="http://schemas.openxmlformats.org/officeDocument/2006/relationships/hyperlink" Target="https://npiregistry.cms.hhs.gov/provider-view/1467795393" TargetMode="External"/><Relationship Id="rId2735" Type="http://schemas.openxmlformats.org/officeDocument/2006/relationships/hyperlink" Target="https://www.google.com/maps/search/?api=1&amp;query=Schotzko+Chiropractic+PA%2C+700+Commerce+Dr%2C+Woodbury%2C+MN+55125" TargetMode="External"/><Relationship Id="rId707" Type="http://schemas.openxmlformats.org/officeDocument/2006/relationships/hyperlink" Target="https://www.google.com/maps/search/?api=1&amp;query=Brook+West+Chiropractic+Clinic%2C+PLLC%2C+6800+78th+Ave+N%2C+Brooklyn+Park%2C+MN+55445" TargetMode="External"/><Relationship Id="rId1337" Type="http://schemas.openxmlformats.org/officeDocument/2006/relationships/hyperlink" Target="https://www.google.com/maps/search/?api=1&amp;query=Loon+State+Physical+Therapy%2C+2400+N+2nd+St%2C+Minneapolis%2C+MN+55411" TargetMode="External"/><Relationship Id="rId1751" Type="http://schemas.openxmlformats.org/officeDocument/2006/relationships/hyperlink" Target="https://www.google.com/maps/search/?api=1&amp;query=Burke+Mays+PA.%2C+6200+Excelsior+Blvd%2C+St.+Louis+Park%2C+MN+55416" TargetMode="External"/><Relationship Id="rId2802" Type="http://schemas.openxmlformats.org/officeDocument/2006/relationships/hyperlink" Target="https://npiregistry.cms.hhs.gov/provider-view/1922150432" TargetMode="External"/><Relationship Id="rId43" Type="http://schemas.openxmlformats.org/officeDocument/2006/relationships/hyperlink" Target="https://www.google.com/maps/search/?api=1&amp;query=Elevated+Health+Center%2C+10705+Town+Square+Dr+NE%2C+Blaine%2C+MN+55449" TargetMode="External"/><Relationship Id="rId1404" Type="http://schemas.openxmlformats.org/officeDocument/2006/relationships/hyperlink" Target="https://npiregistry.cms.hhs.gov/provider-view/1912315144" TargetMode="External"/><Relationship Id="rId3576" Type="http://schemas.openxmlformats.org/officeDocument/2006/relationships/hyperlink" Target="https://npiregistry.cms.hhs.gov/provider-view/1346890258" TargetMode="External"/><Relationship Id="rId497" Type="http://schemas.openxmlformats.org/officeDocument/2006/relationships/hyperlink" Target="https://www.google.com/maps/search/?api=1&amp;query=Vermillion+Street+Chiropractic+LLC%2C+1300+Vermillion+St%2C+Hastings%2C+MN+55033" TargetMode="External"/><Relationship Id="rId2178" Type="http://schemas.openxmlformats.org/officeDocument/2006/relationships/hyperlink" Target="https://npiregistry.cms.hhs.gov/provider-view/1225045362" TargetMode="External"/><Relationship Id="rId3229" Type="http://schemas.openxmlformats.org/officeDocument/2006/relationships/hyperlink" Target="https://www.google.com/maps/search/?api=1&amp;query=The+Amazing+Journey%2C+INC%2C+7658+Design+Rd%2C+Baxter%2C+MN+56425" TargetMode="External"/><Relationship Id="rId3990" Type="http://schemas.openxmlformats.org/officeDocument/2006/relationships/hyperlink" Target="https://npiregistry.cms.hhs.gov/provider-view/1992879134" TargetMode="External"/><Relationship Id="rId1194" Type="http://schemas.openxmlformats.org/officeDocument/2006/relationships/hyperlink" Target="https://npiregistry.cms.hhs.gov/provider-view/1598180408" TargetMode="External"/><Relationship Id="rId2592" Type="http://schemas.openxmlformats.org/officeDocument/2006/relationships/hyperlink" Target="https://npiregistry.cms.hhs.gov/provider-view/1609265156" TargetMode="External"/><Relationship Id="rId3643" Type="http://schemas.openxmlformats.org/officeDocument/2006/relationships/hyperlink" Target="https://www.google.com/maps/search/?api=1&amp;query=Bodikey+Physical+Therapy%2C+LLC%2C+1821+Bassett+Dr%2C+Mankato%2C+MN+56001" TargetMode="External"/><Relationship Id="rId217" Type="http://schemas.openxmlformats.org/officeDocument/2006/relationships/hyperlink" Target="https://www.google.com/maps/search/?api=1&amp;query=Riesgraf+Chiropractor+Clinic+LTD%2C+1476+White+Oak+Dr%2C+Chaska%2C+MN+55318" TargetMode="External"/><Relationship Id="rId564" Type="http://schemas.openxmlformats.org/officeDocument/2006/relationships/hyperlink" Target="https://npiregistry.cms.hhs.gov/provider-view/1285179606" TargetMode="External"/><Relationship Id="rId2245" Type="http://schemas.openxmlformats.org/officeDocument/2006/relationships/hyperlink" Target="https://www.google.com/maps/search/?api=1&amp;query=Schumacher+Chiropractic+Clinic+PA%2C+1201+Payne+Ave%2C+St.+Paul%2C+MN+55130" TargetMode="External"/><Relationship Id="rId3710" Type="http://schemas.openxmlformats.org/officeDocument/2006/relationships/hyperlink" Target="https://npiregistry.cms.hhs.gov/provider-view/1578966859" TargetMode="External"/><Relationship Id="rId631" Type="http://schemas.openxmlformats.org/officeDocument/2006/relationships/hyperlink" Target="https://www.google.com/maps/search/?api=1&amp;query=Evolution+Chiropractic+PA%2C+8120+Penn+Ave+S%2C+Bloomington%2C+MN+55431" TargetMode="External"/><Relationship Id="rId1261" Type="http://schemas.openxmlformats.org/officeDocument/2006/relationships/hyperlink" Target="https://www.google.com/maps/search/?api=1&amp;query=Endless+Possibilities+-+Integrative+Physical+Therapy%2C+LLC%2C+3100+W+Lake+St%2C+Minneapolis%2C+MN+55416" TargetMode="External"/><Relationship Id="rId2312" Type="http://schemas.openxmlformats.org/officeDocument/2006/relationships/hyperlink" Target="https://npiregistry.cms.hhs.gov/provider-view/1891821799" TargetMode="External"/><Relationship Id="rId3086" Type="http://schemas.openxmlformats.org/officeDocument/2006/relationships/hyperlink" Target="https://npiregistry.cms.hhs.gov/provider-view/1710078407" TargetMode="External"/><Relationship Id="rId4137" Type="http://schemas.openxmlformats.org/officeDocument/2006/relationships/hyperlink" Target="https://www.google.com/maps/search/?api=1&amp;query=Prairie+Chiropractic%2C+134+Highway+68%2C+Wabasso%2C+MN+56293" TargetMode="External"/><Relationship Id="rId3153" Type="http://schemas.openxmlformats.org/officeDocument/2006/relationships/hyperlink" Target="https://www.google.com/maps/search/?api=1&amp;query=Dixon+Chiropractic+PA.%2C+140+Paul+Bunyan+Dr+NW%2C+Bemidji%2C+MN+56601" TargetMode="External"/><Relationship Id="rId141" Type="http://schemas.openxmlformats.org/officeDocument/2006/relationships/hyperlink" Target="https://www.google.com/maps/search/?api=1&amp;query=Buys+Chiropractic%2C+7661+Lake+Dr%2C+Lino+Lakes%2C+MN+55014" TargetMode="External"/><Relationship Id="rId3220" Type="http://schemas.openxmlformats.org/officeDocument/2006/relationships/hyperlink" Target="https://npiregistry.cms.hhs.gov/provider-view/1255801353" TargetMode="External"/><Relationship Id="rId7" Type="http://schemas.openxmlformats.org/officeDocument/2006/relationships/hyperlink" Target="https://www.google.com/maps/search/?api=1&amp;query=Essentials+of+Life+Chiropractic%2C+15190+Bluebird+St+NW%2C+Andover%2C+MN+55304" TargetMode="External"/><Relationship Id="rId2779" Type="http://schemas.openxmlformats.org/officeDocument/2006/relationships/hyperlink" Target="https://www.google.com/maps/search/?api=1&amp;query=Kuzma+Chiropractic%2C+PA%2C+110+Division+St+E%2C+Buffalo%2C+MN+55313" TargetMode="External"/><Relationship Id="rId2986" Type="http://schemas.openxmlformats.org/officeDocument/2006/relationships/hyperlink" Target="https://npiregistry.cms.hhs.gov/provider-view/1235329970" TargetMode="External"/><Relationship Id="rId958" Type="http://schemas.openxmlformats.org/officeDocument/2006/relationships/hyperlink" Target="https://npiregistry.cms.hhs.gov/provider-view/1235611922" TargetMode="External"/><Relationship Id="rId1588" Type="http://schemas.openxmlformats.org/officeDocument/2006/relationships/hyperlink" Target="https://npiregistry.cms.hhs.gov/provider-view/1164583977" TargetMode="External"/><Relationship Id="rId1795" Type="http://schemas.openxmlformats.org/officeDocument/2006/relationships/hyperlink" Target="https://www.google.com/maps/search/?api=1&amp;query=Realief+Medical%2C+PA.%2C+1660+Highway+100+S%2C+St.+Louis+Park%2C+MN+55416" TargetMode="External"/><Relationship Id="rId2639" Type="http://schemas.openxmlformats.org/officeDocument/2006/relationships/hyperlink" Target="https://www.google.com/maps/search/?api=1&amp;query=Back+To+Life+Chiropractic+PC%2C+333+Main+St+N%2C+Stillwater%2C+MN+55082" TargetMode="External"/><Relationship Id="rId2846" Type="http://schemas.openxmlformats.org/officeDocument/2006/relationships/hyperlink" Target="https://npiregistry.cms.hhs.gov/provider-view/1801251145" TargetMode="External"/><Relationship Id="rId87" Type="http://schemas.openxmlformats.org/officeDocument/2006/relationships/hyperlink" Target="https://www.google.com/maps/search/?api=1&amp;query=Odom+Health+and+Wellness%2C+3801+Hart+Blvd%2C+Columbia+Heights%2C+MN+55421" TargetMode="External"/><Relationship Id="rId818" Type="http://schemas.openxmlformats.org/officeDocument/2006/relationships/hyperlink" Target="https://npiregistry.cms.hhs.gov/provider-view/1679184162" TargetMode="External"/><Relationship Id="rId1448" Type="http://schemas.openxmlformats.org/officeDocument/2006/relationships/hyperlink" Target="https://npiregistry.cms.hhs.gov/provider-view/1780718882" TargetMode="External"/><Relationship Id="rId1655" Type="http://schemas.openxmlformats.org/officeDocument/2006/relationships/hyperlink" Target="https://www.google.com/maps/search/?api=1&amp;query=Valentini+Chiropractic%2C+4455+N+Hwy+169%2C+Plymouth%2C+MN+55442" TargetMode="External"/><Relationship Id="rId2706" Type="http://schemas.openxmlformats.org/officeDocument/2006/relationships/hyperlink" Target="https://npiregistry.cms.hhs.gov/provider-view/1922562883" TargetMode="External"/><Relationship Id="rId4061" Type="http://schemas.openxmlformats.org/officeDocument/2006/relationships/hyperlink" Target="https://www.google.com/maps/search/?api=1&amp;query=Nelson+Clinic+and+Rehabilitation+Care+PA%2C+515+19th+Ave+SW%2C+Willmar%2C+MN+56201" TargetMode="External"/><Relationship Id="rId1308" Type="http://schemas.openxmlformats.org/officeDocument/2006/relationships/hyperlink" Target="https://npiregistry.cms.hhs.gov/provider-view/1730284753" TargetMode="External"/><Relationship Id="rId1862" Type="http://schemas.openxmlformats.org/officeDocument/2006/relationships/hyperlink" Target="https://npiregistry.cms.hhs.gov/provider-view/1912108911" TargetMode="External"/><Relationship Id="rId2913" Type="http://schemas.openxmlformats.org/officeDocument/2006/relationships/hyperlink" Target="https://www.google.com/maps/search/?api=1&amp;query=Watkins+Chiropractic+Clinic%2C+165+Central+Ave+N%2C+Watkins%2C+MN+55389" TargetMode="External"/><Relationship Id="rId1515" Type="http://schemas.openxmlformats.org/officeDocument/2006/relationships/hyperlink" Target="https://www.google.com/maps/search/?api=1&amp;query=Dynamic+Family+Chiropractic+PA%2C+4739+County+Road+101%2C+Minnetonka%2C+MN+55345" TargetMode="External"/><Relationship Id="rId1722" Type="http://schemas.openxmlformats.org/officeDocument/2006/relationships/hyperlink" Target="https://npiregistry.cms.hhs.gov/provider-view/1942734801" TargetMode="External"/><Relationship Id="rId14" Type="http://schemas.openxmlformats.org/officeDocument/2006/relationships/hyperlink" Target="https://npiregistry.cms.hhs.gov/provider-view/1912055435" TargetMode="External"/><Relationship Id="rId3687" Type="http://schemas.openxmlformats.org/officeDocument/2006/relationships/hyperlink" Target="https://www.google.com/maps/search/?api=1&amp;query=New+Ulm+Chiropractic+Office%2C+PA%2C+117+S+Broadway%2C+New+Ulm%2C+MN+56073" TargetMode="External"/><Relationship Id="rId3894" Type="http://schemas.openxmlformats.org/officeDocument/2006/relationships/hyperlink" Target="https://npiregistry.cms.hhs.gov/provider-view/1831335769" TargetMode="External"/><Relationship Id="rId2289" Type="http://schemas.openxmlformats.org/officeDocument/2006/relationships/hyperlink" Target="https://www.google.com/maps/search/?api=1&amp;query=Twin+Cities+Movement+Chiropractic+and+Rehabilitation+PSC%2C+21+Langford+Park%2C+St.+Paul%2C+MN+55108" TargetMode="External"/><Relationship Id="rId2496" Type="http://schemas.openxmlformats.org/officeDocument/2006/relationships/hyperlink" Target="https://npiregistry.cms.hhs.gov/provider-view/1598203325" TargetMode="External"/><Relationship Id="rId3547" Type="http://schemas.openxmlformats.org/officeDocument/2006/relationships/hyperlink" Target="https://www.google.com/maps/search/?api=1&amp;query=Heartland+Orthopedic+Specialists%2C+111+17th+Ave+E%2C+Alexandria%2C+MN+56308" TargetMode="External"/><Relationship Id="rId3754" Type="http://schemas.openxmlformats.org/officeDocument/2006/relationships/hyperlink" Target="https://npiregistry.cms.hhs.gov/provider-view/1346437795" TargetMode="External"/><Relationship Id="rId3961" Type="http://schemas.openxmlformats.org/officeDocument/2006/relationships/hyperlink" Target="https://www.google.com/maps/search/?api=1&amp;query=Prairie+Family+%26+Sports+Chiropractic+PA%2C+344+E+Main+St%2C+Blooming+Prairie%2C+MN+55917" TargetMode="External"/><Relationship Id="rId468" Type="http://schemas.openxmlformats.org/officeDocument/2006/relationships/hyperlink" Target="https://npiregistry.cms.hhs.gov/provider-view/1568843621" TargetMode="External"/><Relationship Id="rId675" Type="http://schemas.openxmlformats.org/officeDocument/2006/relationships/hyperlink" Target="https://www.google.com/maps/search/?api=1&amp;query=Brookdale+Health%2C+5740+Brooklyn+Blvd%2C+Brooklyn+Center%2C+MN+55429" TargetMode="External"/><Relationship Id="rId882" Type="http://schemas.openxmlformats.org/officeDocument/2006/relationships/hyperlink" Target="https://npiregistry.cms.hhs.gov/provider-view/1578116786" TargetMode="External"/><Relationship Id="rId1098" Type="http://schemas.openxmlformats.org/officeDocument/2006/relationships/hyperlink" Target="https://npiregistry.cms.hhs.gov/provider-view/1376721878" TargetMode="External"/><Relationship Id="rId2149" Type="http://schemas.openxmlformats.org/officeDocument/2006/relationships/hyperlink" Target="https://www.google.com/maps/search/?api=1&amp;query=Healing+Life+Chiropractic+Clinic+PA%2C+1618+White+Bear+Ave+N%2C+St.+Paul%2C+MN+55106" TargetMode="External"/><Relationship Id="rId2356" Type="http://schemas.openxmlformats.org/officeDocument/2006/relationships/hyperlink" Target="https://npiregistry.cms.hhs.gov/provider-view/1407157902" TargetMode="External"/><Relationship Id="rId2563" Type="http://schemas.openxmlformats.org/officeDocument/2006/relationships/hyperlink" Target="https://www.google.com/maps/search/?api=1&amp;query=Dayspring+Family+Wellness+Center%2C+1401+14th+Ave+SE%2C+Forest+Lake%2C+MN+55025" TargetMode="External"/><Relationship Id="rId2770" Type="http://schemas.openxmlformats.org/officeDocument/2006/relationships/hyperlink" Target="https://npiregistry.cms.hhs.gov/provider-view/1386850345" TargetMode="External"/><Relationship Id="rId3407" Type="http://schemas.openxmlformats.org/officeDocument/2006/relationships/hyperlink" Target="https://www.google.com/maps/search/?api=1&amp;query=Robert+J+Torgrimson+PA%2C+1320+Kenwood+Ave%2C+Duluth%2C+MN+55811" TargetMode="External"/><Relationship Id="rId3614" Type="http://schemas.openxmlformats.org/officeDocument/2006/relationships/hyperlink" Target="https://npiregistry.cms.hhs.gov/provider-view/1730239385" TargetMode="External"/><Relationship Id="rId3821" Type="http://schemas.openxmlformats.org/officeDocument/2006/relationships/hyperlink" Target="https://www.google.com/maps/search/?api=1&amp;query=Minnesota+Spine+%26+Sports+Rehab%2C+29+S+Walnut+St%2C+La+Crescent%2C+MN+55947" TargetMode="External"/><Relationship Id="rId328" Type="http://schemas.openxmlformats.org/officeDocument/2006/relationships/hyperlink" Target="https://npiregistry.cms.hhs.gov/provider-view/1831540889" TargetMode="External"/><Relationship Id="rId535" Type="http://schemas.openxmlformats.org/officeDocument/2006/relationships/hyperlink" Target="https://www.google.com/maps/search/?api=1&amp;query=Life+Wellness+Center%2C+INC.%2C+10551+165th+St+W%2C+Lakeville%2C+MN+55044" TargetMode="External"/><Relationship Id="rId742" Type="http://schemas.openxmlformats.org/officeDocument/2006/relationships/hyperlink" Target="https://npiregistry.cms.hhs.gov/provider-view/1295966059" TargetMode="External"/><Relationship Id="rId1165" Type="http://schemas.openxmlformats.org/officeDocument/2006/relationships/hyperlink" Target="https://www.google.com/maps/search/?api=1&amp;query=Spine+and+Sports+Insitute%2C+LLC%2C+9325+Upland+Ln+N%2C+Maple+Grove%2C+MN+55369" TargetMode="External"/><Relationship Id="rId1372" Type="http://schemas.openxmlformats.org/officeDocument/2006/relationships/hyperlink" Target="https://npiregistry.cms.hhs.gov/provider-view/1215059878" TargetMode="External"/><Relationship Id="rId2009" Type="http://schemas.openxmlformats.org/officeDocument/2006/relationships/hyperlink" Target="https://www.google.com/maps/search/?api=1&amp;query=Colleen+Martens+Endrizzi%2C+INC.%2C+1030+County+Road+E+W%2C+Shoreview%2C+MN+55126" TargetMode="External"/><Relationship Id="rId2216" Type="http://schemas.openxmlformats.org/officeDocument/2006/relationships/hyperlink" Target="https://npiregistry.cms.hhs.gov/provider-view/1043434616" TargetMode="External"/><Relationship Id="rId2423" Type="http://schemas.openxmlformats.org/officeDocument/2006/relationships/hyperlink" Target="https://www.google.com/maps/search/?api=1&amp;query=Prior+Lake+Natural+Health+Clinic%2C+16228+Main+Ave+SE%2C+Prior+Lake%2C+MN+55372" TargetMode="External"/><Relationship Id="rId2630" Type="http://schemas.openxmlformats.org/officeDocument/2006/relationships/hyperlink" Target="https://npiregistry.cms.hhs.gov/provider-view/1851594550" TargetMode="External"/><Relationship Id="rId602" Type="http://schemas.openxmlformats.org/officeDocument/2006/relationships/hyperlink" Target="https://npiregistry.cms.hhs.gov/provider-view/1265614242" TargetMode="External"/><Relationship Id="rId1025" Type="http://schemas.openxmlformats.org/officeDocument/2006/relationships/hyperlink" Target="https://www.google.com/maps/search/?api=1&amp;query=Chronic+Pain+Rehabilitation+Program%2C+3915+Golden+Valley+Rd%2C+Golden+Valley%2C+MN+55422" TargetMode="External"/><Relationship Id="rId1232" Type="http://schemas.openxmlformats.org/officeDocument/2006/relationships/hyperlink" Target="https://npiregistry.cms.hhs.gov/provider-view/1578743167" TargetMode="External"/><Relationship Id="rId3197" Type="http://schemas.openxmlformats.org/officeDocument/2006/relationships/hyperlink" Target="https://www.google.com/maps/search/?api=1&amp;query=Walker+Wellness+Chiropractic%2C+507+Front+Street+West%2C+Walker%2C+MN+56484" TargetMode="External"/><Relationship Id="rId3057" Type="http://schemas.openxmlformats.org/officeDocument/2006/relationships/hyperlink" Target="https://www.google.com/maps/search/?api=1&amp;query=Granite+City+Chiropractic%2C+1747+7th+St+S%2C+St.+Cloud%2C+MN+56301" TargetMode="External"/><Relationship Id="rId4108" Type="http://schemas.openxmlformats.org/officeDocument/2006/relationships/hyperlink" Target="https://npiregistry.cms.hhs.gov/provider-view/1053338780" TargetMode="External"/><Relationship Id="rId185" Type="http://schemas.openxmlformats.org/officeDocument/2006/relationships/hyperlink" Target="https://www.google.com/maps/search/?api=1&amp;query=Osr+Physical+Therapy+Limited+Partnership%2C+7872+Century+Blvd%2C+Chanhassen%2C+MN+55317" TargetMode="External"/><Relationship Id="rId1909" Type="http://schemas.openxmlformats.org/officeDocument/2006/relationships/hyperlink" Target="https://www.google.com/maps/search/?api=1&amp;query=Specific+Health+%26+Chiropractic+PLLC%2C+2785+White+Bear+Ave+N%2C+Maplewood%2C+MN+55109" TargetMode="External"/><Relationship Id="rId3264" Type="http://schemas.openxmlformats.org/officeDocument/2006/relationships/hyperlink" Target="https://npiregistry.cms.hhs.gov/provider-view/1477610194" TargetMode="External"/><Relationship Id="rId3471" Type="http://schemas.openxmlformats.org/officeDocument/2006/relationships/hyperlink" Target="https://www.google.com/maps/search/?api=1&amp;query=True+North+Chiropractic%2C+205+Brooks+Ave+N%2C+Thief+River+Falls%2C+MN+56701" TargetMode="External"/><Relationship Id="rId392" Type="http://schemas.openxmlformats.org/officeDocument/2006/relationships/hyperlink" Target="https://npiregistry.cms.hhs.gov/provider-view/1750823431" TargetMode="External"/><Relationship Id="rId2073" Type="http://schemas.openxmlformats.org/officeDocument/2006/relationships/hyperlink" Target="https://www.google.com/maps/search/?api=1&amp;query=Casual+Chiropractic%2C+555+7th+St+W%2C+St.+Paul%2C+MN+55102" TargetMode="External"/><Relationship Id="rId2280" Type="http://schemas.openxmlformats.org/officeDocument/2006/relationships/hyperlink" Target="https://npiregistry.cms.hhs.gov/provider-view/1336471580" TargetMode="External"/><Relationship Id="rId3124" Type="http://schemas.openxmlformats.org/officeDocument/2006/relationships/hyperlink" Target="https://npiregistry.cms.hhs.gov/provider-view/1922123868" TargetMode="External"/><Relationship Id="rId3331" Type="http://schemas.openxmlformats.org/officeDocument/2006/relationships/hyperlink" Target="https://www.google.com/maps/search/?api=1&amp;query=Nashwauk+Chiropractic+PC%2C+113+First+Street%2C+Nashwauk%2C+MN+55769" TargetMode="External"/><Relationship Id="rId252" Type="http://schemas.openxmlformats.org/officeDocument/2006/relationships/hyperlink" Target="https://npiregistry.cms.hhs.gov/provider-view/1710027990" TargetMode="External"/><Relationship Id="rId2140" Type="http://schemas.openxmlformats.org/officeDocument/2006/relationships/hyperlink" Target="https://npiregistry.cms.hhs.gov/provider-view/1669862843" TargetMode="External"/><Relationship Id="rId112" Type="http://schemas.openxmlformats.org/officeDocument/2006/relationships/hyperlink" Target="https://npiregistry.cms.hhs.gov/provider-view/1134175862" TargetMode="External"/><Relationship Id="rId1699" Type="http://schemas.openxmlformats.org/officeDocument/2006/relationships/hyperlink" Target="https://www.google.com/maps/search/?api=1&amp;query=Healthplus+Chiropractic%2C+PA.%2C+4080+W+Broadway+Ave%2C+Robbinsdale%2C+MN+55422" TargetMode="External"/><Relationship Id="rId2000" Type="http://schemas.openxmlformats.org/officeDocument/2006/relationships/hyperlink" Target="https://npiregistry.cms.hhs.gov/provider-view/1033129861" TargetMode="External"/><Relationship Id="rId2957" Type="http://schemas.openxmlformats.org/officeDocument/2006/relationships/hyperlink" Target="https://www.google.com/maps/search/?api=1&amp;query=Premier+Chiropractic+LLC%2C+510+2nd+St+SE%2C+Pine+City%2C+MN+55063" TargetMode="External"/><Relationship Id="rId929" Type="http://schemas.openxmlformats.org/officeDocument/2006/relationships/hyperlink" Target="https://www.google.com/maps/search/?api=1&amp;query=Lallier+Chiropractic+PA.%2C+4950+Lincoln+Dr%2C+Edina%2C+MN+55436" TargetMode="External"/><Relationship Id="rId1559" Type="http://schemas.openxmlformats.org/officeDocument/2006/relationships/hyperlink" Target="https://www.google.com/maps/search/?api=1&amp;query=Mound+Back+%26+Neck+Clinic+Limited%2C+2365+Commerce+Blvd%2C+Mound%2C+MN+55364" TargetMode="External"/><Relationship Id="rId1766" Type="http://schemas.openxmlformats.org/officeDocument/2006/relationships/hyperlink" Target="https://npiregistry.cms.hhs.gov/provider-view/1114104759" TargetMode="External"/><Relationship Id="rId1973" Type="http://schemas.openxmlformats.org/officeDocument/2006/relationships/hyperlink" Target="https://www.google.com/maps/search/?api=1&amp;query=Minnesota+Spine+Institute%2C+2780+Snelling+Ave+N%2C+Roseville%2C+MN+55113" TargetMode="External"/><Relationship Id="rId2817" Type="http://schemas.openxmlformats.org/officeDocument/2006/relationships/hyperlink" Target="https://www.google.com/maps/search/?api=1&amp;query=Back+2+Health+Chiropractic%2C+PA.%2C+1125+South+Cedar+St%2C+Monticello%2C+MN+55362" TargetMode="External"/><Relationship Id="rId4032" Type="http://schemas.openxmlformats.org/officeDocument/2006/relationships/hyperlink" Target="https://npiregistry.cms.hhs.gov/provider-view/1750683355" TargetMode="External"/><Relationship Id="rId58" Type="http://schemas.openxmlformats.org/officeDocument/2006/relationships/hyperlink" Target="https://npiregistry.cms.hhs.gov/provider-view/1154715787" TargetMode="External"/><Relationship Id="rId1419" Type="http://schemas.openxmlformats.org/officeDocument/2006/relationships/hyperlink" Target="https://www.google.com/maps/search/?api=1&amp;query=Riverstone+Chiropractic+and+Wellness+PC%2C+3764+Minnehaha+Ave%2C+Minneapolis%2C+MN+55406" TargetMode="External"/><Relationship Id="rId1626" Type="http://schemas.openxmlformats.org/officeDocument/2006/relationships/hyperlink" Target="https://npiregistry.cms.hhs.gov/provider-view/1598068439" TargetMode="External"/><Relationship Id="rId1833" Type="http://schemas.openxmlformats.org/officeDocument/2006/relationships/hyperlink" Target="https://www.google.com/maps/search/?api=1&amp;query=Freidson+Chiropractic+%26+Rehabilitation%2C+PA.%2C+801+Twelve+Oaks+Center+Dr%2C+Wayzata%2C+MN+55391" TargetMode="External"/><Relationship Id="rId1900" Type="http://schemas.openxmlformats.org/officeDocument/2006/relationships/hyperlink" Target="https://npiregistry.cms.hhs.gov/provider-view/1700221454" TargetMode="External"/><Relationship Id="rId3798" Type="http://schemas.openxmlformats.org/officeDocument/2006/relationships/hyperlink" Target="https://npiregistry.cms.hhs.gov/provider-view/1013244656" TargetMode="External"/><Relationship Id="rId3658" Type="http://schemas.openxmlformats.org/officeDocument/2006/relationships/hyperlink" Target="https://npiregistry.cms.hhs.gov/provider-view/1730207226" TargetMode="External"/><Relationship Id="rId3865" Type="http://schemas.openxmlformats.org/officeDocument/2006/relationships/hyperlink" Target="https://www.google.com/maps/search/?api=1&amp;query=Agape+Chiropractic%2C+PA.%2C+275+37th+St+NE%2C+Rochester%2C+MN+55906" TargetMode="External"/><Relationship Id="rId579" Type="http://schemas.openxmlformats.org/officeDocument/2006/relationships/hyperlink" Target="https://www.google.com/maps/search/?api=1&amp;query=Health+1st+Chiropractic+and+Wellness+Center%2C+PC.%2C+1020+Marie+Avenue%2C+South+St.+Paul%2C+MN+55075" TargetMode="External"/><Relationship Id="rId786" Type="http://schemas.openxmlformats.org/officeDocument/2006/relationships/hyperlink" Target="https://npiregistry.cms.hhs.gov/provider-view/1174750467" TargetMode="External"/><Relationship Id="rId993" Type="http://schemas.openxmlformats.org/officeDocument/2006/relationships/hyperlink" Target="https://www.google.com/maps/search/?api=1&amp;query=Warren+Internal+Health%2C+3601+Minnesota+Dr%2C+Edina%2C+MN+55435" TargetMode="External"/><Relationship Id="rId2467" Type="http://schemas.openxmlformats.org/officeDocument/2006/relationships/hyperlink" Target="https://www.google.com/maps/search/?api=1&amp;query=Auto+Inury+T+and+C+LLC%2C+3240+Molina+St%2C+Shakopee%2C+MN+55379" TargetMode="External"/><Relationship Id="rId2674" Type="http://schemas.openxmlformats.org/officeDocument/2006/relationships/hyperlink" Target="https://npiregistry.cms.hhs.gov/provider-view/1255549705" TargetMode="External"/><Relationship Id="rId3518" Type="http://schemas.openxmlformats.org/officeDocument/2006/relationships/hyperlink" Target="https://npiregistry.cms.hhs.gov/provider-view/1962509166" TargetMode="External"/><Relationship Id="rId439" Type="http://schemas.openxmlformats.org/officeDocument/2006/relationships/hyperlink" Target="https://www.google.com/maps/search/?api=1&amp;query=Hilltop+Family+Chiropractic+Center+PA%2C+1121+Town+Centre+Drive%2C+Eagan%2C+MN+55123" TargetMode="External"/><Relationship Id="rId646" Type="http://schemas.openxmlformats.org/officeDocument/2006/relationships/hyperlink" Target="https://npiregistry.cms.hhs.gov/provider-view/1023452059" TargetMode="External"/><Relationship Id="rId1069" Type="http://schemas.openxmlformats.org/officeDocument/2006/relationships/hyperlink" Target="https://www.google.com/maps/search/?api=1&amp;query=Fortin+Health+%26+Wellness+Clinic%2C+PA%2C+149+Hamel+Road%2C+Hamel%2C+MN+55340" TargetMode="External"/><Relationship Id="rId1276" Type="http://schemas.openxmlformats.org/officeDocument/2006/relationships/hyperlink" Target="https://npiregistry.cms.hhs.gov/provider-view/1669682761" TargetMode="External"/><Relationship Id="rId1483" Type="http://schemas.openxmlformats.org/officeDocument/2006/relationships/hyperlink" Target="https://www.google.com/maps/search/?api=1&amp;query=Wellness+Education+Systems%2C+4920+York+Ave+S%2C+Minneapolis%2C+MN+55410" TargetMode="External"/><Relationship Id="rId2327" Type="http://schemas.openxmlformats.org/officeDocument/2006/relationships/hyperlink" Target="https://www.google.com/maps/search/?api=1&amp;query=Apogee+Chiropractic+LTD%2C+1060+Centerville+Cir%2C+Vadnais+Heights%2C+MN+55127" TargetMode="External"/><Relationship Id="rId2881" Type="http://schemas.openxmlformats.org/officeDocument/2006/relationships/hyperlink" Target="https://www.google.com/maps/search/?api=1&amp;query=Glencoe+Family+Chiropractic%2C+PA.%2C+627+12th+St+E%2C+Glencoe%2C+MN+55336" TargetMode="External"/><Relationship Id="rId3725" Type="http://schemas.openxmlformats.org/officeDocument/2006/relationships/hyperlink" Target="https://www.google.com/maps/search/?api=1&amp;query=Northland+Chiropractic+PA.%2C+1476+130th+Ave%2C+Welcome%2C+MN+56181" TargetMode="External"/><Relationship Id="rId3932" Type="http://schemas.openxmlformats.org/officeDocument/2006/relationships/hyperlink" Target="https://npiregistry.cms.hhs.gov/provider-view/1598172926" TargetMode="External"/><Relationship Id="rId506" Type="http://schemas.openxmlformats.org/officeDocument/2006/relationships/hyperlink" Target="https://npiregistry.cms.hhs.gov/provider-view/1487966651" TargetMode="External"/><Relationship Id="rId853" Type="http://schemas.openxmlformats.org/officeDocument/2006/relationships/hyperlink" Target="https://www.google.com/maps/search/?api=1&amp;query=Scholastic+Health+Group%2C+8577+Columbine+Rd%2C+Eden+Prairie%2C+MN+55344" TargetMode="External"/><Relationship Id="rId1136" Type="http://schemas.openxmlformats.org/officeDocument/2006/relationships/hyperlink" Target="https://npiregistry.cms.hhs.gov/provider-view/1326531476" TargetMode="External"/><Relationship Id="rId1690" Type="http://schemas.openxmlformats.org/officeDocument/2006/relationships/hyperlink" Target="https://npiregistry.cms.hhs.gov/provider-view/1265447023" TargetMode="External"/><Relationship Id="rId2534" Type="http://schemas.openxmlformats.org/officeDocument/2006/relationships/hyperlink" Target="https://npiregistry.cms.hhs.gov/provider-view/1083138036" TargetMode="External"/><Relationship Id="rId2741" Type="http://schemas.openxmlformats.org/officeDocument/2006/relationships/hyperlink" Target="https://www.google.com/maps/search/?api=1&amp;query=Secoya+Health%2C+7650+Currell+Blvd%2C+Woodbury%2C+MN+55125" TargetMode="External"/><Relationship Id="rId713" Type="http://schemas.openxmlformats.org/officeDocument/2006/relationships/hyperlink" Target="https://www.google.com/maps/search/?api=1&amp;query=Excel+Mri%2C+PA.%2C+4610+Oak+Grove+Pkwy+N%2C+Brooklyn+Park%2C+MN+55443" TargetMode="External"/><Relationship Id="rId920" Type="http://schemas.openxmlformats.org/officeDocument/2006/relationships/hyperlink" Target="https://npiregistry.cms.hhs.gov/provider-view/1144641978" TargetMode="External"/><Relationship Id="rId1343" Type="http://schemas.openxmlformats.org/officeDocument/2006/relationships/hyperlink" Target="https://www.google.com/maps/search/?api=1&amp;query=Mayfield+Chiropractic%2C+1221+W+Lake+St%2C+Minneapolis%2C+MN+55408" TargetMode="External"/><Relationship Id="rId1550" Type="http://schemas.openxmlformats.org/officeDocument/2006/relationships/hyperlink" Target="https://npiregistry.cms.hhs.gov/provider-view/1528457868" TargetMode="External"/><Relationship Id="rId2601" Type="http://schemas.openxmlformats.org/officeDocument/2006/relationships/hyperlink" Target="https://www.google.com/maps/search/?api=1&amp;query=Mahtomedi+Natural+Care+Center%2C+1526+Mahtomedi+Ave%2C+Mahtomedi%2C+MN+55115" TargetMode="External"/><Relationship Id="rId1203" Type="http://schemas.openxmlformats.org/officeDocument/2006/relationships/hyperlink" Target="https://www.google.com/maps/search/?api=1&amp;query=Bend+In+the+River+Chiropractic%2C+LLC%2C+2021+E+Hennepin+Ave%2C+Minneapolis%2C+MN+55413" TargetMode="External"/><Relationship Id="rId1410" Type="http://schemas.openxmlformats.org/officeDocument/2006/relationships/hyperlink" Target="https://npiregistry.cms.hhs.gov/provider-view/1992043145" TargetMode="External"/><Relationship Id="rId3168" Type="http://schemas.openxmlformats.org/officeDocument/2006/relationships/hyperlink" Target="https://npiregistry.cms.hhs.gov/provider-view/1508318221" TargetMode="External"/><Relationship Id="rId3375" Type="http://schemas.openxmlformats.org/officeDocument/2006/relationships/hyperlink" Target="https://www.google.com/maps/search/?api=1&amp;query=Duluth+Natural+Medicine+%26+Chiropractic%2C+PA%2C+1731+London+Rd%2C+Duluth%2C+MN+55812" TargetMode="External"/><Relationship Id="rId3582" Type="http://schemas.openxmlformats.org/officeDocument/2006/relationships/hyperlink" Target="https://npiregistry.cms.hhs.gov/provider-view/1942604848" TargetMode="External"/><Relationship Id="rId296" Type="http://schemas.openxmlformats.org/officeDocument/2006/relationships/hyperlink" Target="https://npiregistry.cms.hhs.gov/provider-view/1093943912" TargetMode="External"/><Relationship Id="rId2184" Type="http://schemas.openxmlformats.org/officeDocument/2006/relationships/hyperlink" Target="https://npiregistry.cms.hhs.gov/provider-view/1265061709" TargetMode="External"/><Relationship Id="rId2391" Type="http://schemas.openxmlformats.org/officeDocument/2006/relationships/hyperlink" Target="https://www.google.com/maps/search/?api=1&amp;query=Penney+Family+Chiropractic%2C+LLC%2C+401+Broadway+St+S%2C+Jordan%2C+MN+55352" TargetMode="External"/><Relationship Id="rId3028" Type="http://schemas.openxmlformats.org/officeDocument/2006/relationships/hyperlink" Target="https://npiregistry.cms.hhs.gov/provider-view/1942963269" TargetMode="External"/><Relationship Id="rId3235" Type="http://schemas.openxmlformats.org/officeDocument/2006/relationships/hyperlink" Target="https://www.google.com/maps/search/?api=1&amp;query=Functional+Movement+Therapies%2C+318+W+Laurel+St%2C+Brainerd%2C+MN+56401" TargetMode="External"/><Relationship Id="rId3442" Type="http://schemas.openxmlformats.org/officeDocument/2006/relationships/hyperlink" Target="https://npiregistry.cms.hhs.gov/provider-view/1578683710" TargetMode="External"/><Relationship Id="rId156" Type="http://schemas.openxmlformats.org/officeDocument/2006/relationships/hyperlink" Target="https://npiregistry.cms.hhs.gov/provider-view/1922124528" TargetMode="External"/><Relationship Id="rId363" Type="http://schemas.openxmlformats.org/officeDocument/2006/relationships/hyperlink" Target="https://www.google.com/maps/search/?api=1&amp;query=Nelson+Chiropractic%2C+LTD%2C+14321+Nicollet+Ct%2C+Burnsville%2C+MN+55306" TargetMode="External"/><Relationship Id="rId570" Type="http://schemas.openxmlformats.org/officeDocument/2006/relationships/hyperlink" Target="https://npiregistry.cms.hhs.gov/provider-view/1235310913" TargetMode="External"/><Relationship Id="rId2044" Type="http://schemas.openxmlformats.org/officeDocument/2006/relationships/hyperlink" Target="https://npiregistry.cms.hhs.gov/provider-view/1801911292" TargetMode="External"/><Relationship Id="rId2251" Type="http://schemas.openxmlformats.org/officeDocument/2006/relationships/hyperlink" Target="https://www.google.com/maps/search/?api=1&amp;query=Skon+Chiropractic+PA%2C+856+Raymond+Ave%2C+St.+Paul%2C+MN+55114" TargetMode="External"/><Relationship Id="rId3302" Type="http://schemas.openxmlformats.org/officeDocument/2006/relationships/hyperlink" Target="https://npiregistry.cms.hhs.gov/provider-view/1639456197" TargetMode="External"/><Relationship Id="rId223" Type="http://schemas.openxmlformats.org/officeDocument/2006/relationships/hyperlink" Target="https://www.google.com/maps/search/?api=1&amp;query=Wow+Accident+and+Injury+Centers%2C+758+Ashley+Dr%2C+Chaska%2C+MN+55318" TargetMode="External"/><Relationship Id="rId430" Type="http://schemas.openxmlformats.org/officeDocument/2006/relationships/hyperlink" Target="https://npiregistry.cms.hhs.gov/provider-view/1982259685" TargetMode="External"/><Relationship Id="rId1060" Type="http://schemas.openxmlformats.org/officeDocument/2006/relationships/hyperlink" Target="https://npiregistry.cms.hhs.gov/provider-view/1679601553" TargetMode="External"/><Relationship Id="rId2111" Type="http://schemas.openxmlformats.org/officeDocument/2006/relationships/hyperlink" Target="https://www.google.com/maps/search/?api=1&amp;query=Crest+Chiropractic+Clinic%2C+1497+White+Bear+Ave+N%2C+St.+Paul%2C+MN+55106" TargetMode="External"/><Relationship Id="rId4076" Type="http://schemas.openxmlformats.org/officeDocument/2006/relationships/hyperlink" Target="https://npiregistry.cms.hhs.gov/provider-view/1154624096" TargetMode="External"/><Relationship Id="rId1877" Type="http://schemas.openxmlformats.org/officeDocument/2006/relationships/hyperlink" Target="https://www.google.com/maps/search/?api=1&amp;query=New+Normal+PT%2C+1790+Holton+St%2C+Falcon+Heights%2C+MN+55113" TargetMode="External"/><Relationship Id="rId2928" Type="http://schemas.openxmlformats.org/officeDocument/2006/relationships/hyperlink" Target="https://npiregistry.cms.hhs.gov/provider-view/1699034850" TargetMode="External"/><Relationship Id="rId1737" Type="http://schemas.openxmlformats.org/officeDocument/2006/relationships/hyperlink" Target="https://www.google.com/maps/search/?api=1&amp;query=St.+Bonifacius+Chiropractic%2C+4080+Tower+St%2C+St.+Bonifacius%2C+MN+55375" TargetMode="External"/><Relationship Id="rId1944" Type="http://schemas.openxmlformats.org/officeDocument/2006/relationships/hyperlink" Target="https://npiregistry.cms.hhs.gov/provider-view/1518153154" TargetMode="External"/><Relationship Id="rId3092" Type="http://schemas.openxmlformats.org/officeDocument/2006/relationships/hyperlink" Target="https://npiregistry.cms.hhs.gov/provider-view/1144498593" TargetMode="External"/><Relationship Id="rId4143" Type="http://schemas.openxmlformats.org/officeDocument/2006/relationships/hyperlink" Target="https://www.google.com/maps/search/?api=1&amp;query=Western+Orthopaedics+%26+Sports+Medicine+Consultants%2C+611+E+Fairview+St%2C+Olivia%2C+MN+56277" TargetMode="External"/><Relationship Id="rId29" Type="http://schemas.openxmlformats.org/officeDocument/2006/relationships/hyperlink" Target="https://www.google.com/maps/search/?api=1&amp;query=Build+and+Balance+Chiropractic+Center%2C+12203+Aberdeen+St+NE%2C+Blaine%2C+MN+55449" TargetMode="External"/><Relationship Id="rId4003" Type="http://schemas.openxmlformats.org/officeDocument/2006/relationships/hyperlink" Target="https://www.google.com/maps/search/?api=1&amp;query=St.+Charles+Family+Chiropractic%2C+213+E+6th+St%2C+St.+Charles%2C+MN+55972" TargetMode="External"/><Relationship Id="rId1804" Type="http://schemas.openxmlformats.org/officeDocument/2006/relationships/hyperlink" Target="https://npiregistry.cms.hhs.gov/provider-view/1679187157" TargetMode="External"/><Relationship Id="rId3769" Type="http://schemas.openxmlformats.org/officeDocument/2006/relationships/hyperlink" Target="https://www.google.com/maps/search/?api=1&amp;query=Fillmore+County+Physical+Therapy+Services%2C+INC%2C+212+Fillmore+St+W%2C+Preston%2C+MN+55965" TargetMode="External"/><Relationship Id="rId3976" Type="http://schemas.openxmlformats.org/officeDocument/2006/relationships/hyperlink" Target="https://npiregistry.cms.hhs.gov/provider-view/1376930263" TargetMode="External"/><Relationship Id="rId897" Type="http://schemas.openxmlformats.org/officeDocument/2006/relationships/hyperlink" Target="https://www.google.com/maps/search/?api=1&amp;query=Discover+Life+Chiropractic%2C+LLC%2C+4820+W+77th+St%2C+Edina%2C+MN+55435" TargetMode="External"/><Relationship Id="rId2578" Type="http://schemas.openxmlformats.org/officeDocument/2006/relationships/hyperlink" Target="https://npiregistry.cms.hhs.gov/provider-view/1861457335" TargetMode="External"/><Relationship Id="rId2785" Type="http://schemas.openxmlformats.org/officeDocument/2006/relationships/hyperlink" Target="https://www.google.com/maps/search/?api=1&amp;query=Smock+Chiropractic+LLC%2C+1495+Pulaski+Cir%2C+Buffalo%2C+MN+55313" TargetMode="External"/><Relationship Id="rId2992" Type="http://schemas.openxmlformats.org/officeDocument/2006/relationships/hyperlink" Target="https://npiregistry.cms.hhs.gov/provider-view/1346840733" TargetMode="External"/><Relationship Id="rId3629" Type="http://schemas.openxmlformats.org/officeDocument/2006/relationships/hyperlink" Target="https://www.google.com/maps/search/?api=1&amp;query=Jackson+Chiropractic+of+Lake+Crystal%2C+242+Hiway+60%2C+Lake+Crystal%2C+MN+56055" TargetMode="External"/><Relationship Id="rId3836" Type="http://schemas.openxmlformats.org/officeDocument/2006/relationships/hyperlink" Target="https://npiregistry.cms.hhs.gov/provider-view/1699352807" TargetMode="External"/><Relationship Id="rId757" Type="http://schemas.openxmlformats.org/officeDocument/2006/relationships/hyperlink" Target="https://www.google.com/maps/search/?api=1&amp;query=Apex+Chiropractic+of+Champlin%2C+11468+Marketplace+Dr+N%2C+Champlin%2C+MN+55316" TargetMode="External"/><Relationship Id="rId964" Type="http://schemas.openxmlformats.org/officeDocument/2006/relationships/hyperlink" Target="https://npiregistry.cms.hhs.gov/provider-view/1073626081" TargetMode="External"/><Relationship Id="rId1387" Type="http://schemas.openxmlformats.org/officeDocument/2006/relationships/hyperlink" Target="https://www.google.com/maps/search/?api=1&amp;query=Nokomis+Chiropractic+Center+PA.%2C+5313+Lyndale+Ave+S%2C+Minneapolis%2C+MN+55419" TargetMode="External"/><Relationship Id="rId1594" Type="http://schemas.openxmlformats.org/officeDocument/2006/relationships/hyperlink" Target="https://npiregistry.cms.hhs.gov/provider-view/1275843559" TargetMode="External"/><Relationship Id="rId2438" Type="http://schemas.openxmlformats.org/officeDocument/2006/relationships/hyperlink" Target="https://npiregistry.cms.hhs.gov/provider-view/1477212660" TargetMode="External"/><Relationship Id="rId2645" Type="http://schemas.openxmlformats.org/officeDocument/2006/relationships/hyperlink" Target="https://www.google.com/maps/search/?api=1&amp;query=Bridgeview+Chiropractic%2C+PA.%2C+1970+Northwestern+Ave+S%2C+Stillwater%2C+MN+55082" TargetMode="External"/><Relationship Id="rId2852" Type="http://schemas.openxmlformats.org/officeDocument/2006/relationships/hyperlink" Target="https://npiregistry.cms.hhs.gov/provider-view/1902255383" TargetMode="External"/><Relationship Id="rId3903" Type="http://schemas.openxmlformats.org/officeDocument/2006/relationships/hyperlink" Target="https://www.google.com/maps/search/?api=1&amp;query=Rochester+Chiropractic+%26+Welln%2C+3510+8th+St+NW%2C+Rochester%2C+MN+55901" TargetMode="External"/><Relationship Id="rId93" Type="http://schemas.openxmlformats.org/officeDocument/2006/relationships/hyperlink" Target="https://www.google.com/maps/search/?api=1&amp;query=Due+North+Wellness+Center+PLLC%2C+1820+Coon+Rapids+Blvd+NW%2C+Coon+Rapids%2C+MN+55433" TargetMode="External"/><Relationship Id="rId617" Type="http://schemas.openxmlformats.org/officeDocument/2006/relationships/hyperlink" Target="https://www.google.com/maps/search/?api=1&amp;query=Chiropractic+Advantage%2C+LLC%2C+8900+Penn+Ave+S%2C+Bloomington%2C+MN+55431" TargetMode="External"/><Relationship Id="rId824" Type="http://schemas.openxmlformats.org/officeDocument/2006/relationships/hyperlink" Target="https://npiregistry.cms.hhs.gov/provider-view/1366884900" TargetMode="External"/><Relationship Id="rId1247" Type="http://schemas.openxmlformats.org/officeDocument/2006/relationships/hyperlink" Target="https://www.google.com/maps/search/?api=1&amp;query=Dirks+Chiropractic+Center%2C+INC.%2C+3551+Chicago+Ave%2C+Minneapolis%2C+MN+55407" TargetMode="External"/><Relationship Id="rId1454" Type="http://schemas.openxmlformats.org/officeDocument/2006/relationships/hyperlink" Target="https://npiregistry.cms.hhs.gov/provider-view/1699028183" TargetMode="External"/><Relationship Id="rId1661" Type="http://schemas.openxmlformats.org/officeDocument/2006/relationships/hyperlink" Target="https://www.google.com/maps/search/?api=1&amp;query=Wayzata+Orthopedics+PA%2C+2805+Campus+Dr%2C+Plymouth%2C+MN+55441" TargetMode="External"/><Relationship Id="rId2505" Type="http://schemas.openxmlformats.org/officeDocument/2006/relationships/hyperlink" Target="https://www.google.com/maps/search/?api=1&amp;query=Scheideman+Chiropractic+and+Body+Shop%2C+14030+Bank+St.%2C+Becker%2C+MN+55362" TargetMode="External"/><Relationship Id="rId2712" Type="http://schemas.openxmlformats.org/officeDocument/2006/relationships/hyperlink" Target="https://npiregistry.cms.hhs.gov/provider-view/1578621710" TargetMode="External"/><Relationship Id="rId1107" Type="http://schemas.openxmlformats.org/officeDocument/2006/relationships/hyperlink" Target="https://www.google.com/maps/search/?api=1&amp;query=Broman+Chiropractic+Clinic+PA%2C+7237+Forestview+Ln+N%2C+Maple+Grove%2C+MN+55369" TargetMode="External"/><Relationship Id="rId1314" Type="http://schemas.openxmlformats.org/officeDocument/2006/relationships/hyperlink" Target="https://npiregistry.cms.hhs.gov/provider-view/1902456015" TargetMode="External"/><Relationship Id="rId1521" Type="http://schemas.openxmlformats.org/officeDocument/2006/relationships/hyperlink" Target="https://www.google.com/maps/search/?api=1&amp;query=Health+Connection+Family+Chiropractic%2C+5101+Thimsen+Ave%2C+Minnetonka%2C+MN+55345" TargetMode="External"/><Relationship Id="rId3279" Type="http://schemas.openxmlformats.org/officeDocument/2006/relationships/hyperlink" Target="https://www.google.com/maps/search/?api=1&amp;query=Pequot+Lakes+Chiropractic+PA%2C+31095+Berquist+Dr%2C+Pequot+Lakes%2C+MN+56472" TargetMode="External"/><Relationship Id="rId3486" Type="http://schemas.openxmlformats.org/officeDocument/2006/relationships/hyperlink" Target="https://npiregistry.cms.hhs.gov/provider-view/1376719112" TargetMode="External"/><Relationship Id="rId3693" Type="http://schemas.openxmlformats.org/officeDocument/2006/relationships/hyperlink" Target="https://www.google.com/maps/search/?api=1&amp;query=Beckman+Enterprises%2C+604+S+County+Road+5%2C+Springfield%2C+MN+56087" TargetMode="External"/><Relationship Id="rId20" Type="http://schemas.openxmlformats.org/officeDocument/2006/relationships/hyperlink" Target="https://npiregistry.cms.hhs.gov/provider-view/1326246810" TargetMode="External"/><Relationship Id="rId2088" Type="http://schemas.openxmlformats.org/officeDocument/2006/relationships/hyperlink" Target="https://npiregistry.cms.hhs.gov/provider-view/1215302211" TargetMode="External"/><Relationship Id="rId2295" Type="http://schemas.openxmlformats.org/officeDocument/2006/relationships/hyperlink" Target="https://www.google.com/maps/search/?api=1&amp;query=United+Medical+Imaging+PA%2C+485+Arundel+St%2C+St.+Paul%2C+MN+55103" TargetMode="External"/><Relationship Id="rId3139" Type="http://schemas.openxmlformats.org/officeDocument/2006/relationships/hyperlink" Target="https://www.google.com/maps/search/?api=1&amp;query=Strive+Chiropractic%2C+1852+Nodaway+Drive%2C+Detroit+Lakes%2C+MN+56501" TargetMode="External"/><Relationship Id="rId3346" Type="http://schemas.openxmlformats.org/officeDocument/2006/relationships/hyperlink" Target="https://npiregistry.cms.hhs.gov/provider-view/1801945985" TargetMode="External"/><Relationship Id="rId267" Type="http://schemas.openxmlformats.org/officeDocument/2006/relationships/hyperlink" Target="https://www.google.com/maps/search/?api=1&amp;query=Nebula+Health+Services+LLC%2C+38460+Lincoln+Trl%2C+North+Branch%2C+MN+55056" TargetMode="External"/><Relationship Id="rId474" Type="http://schemas.openxmlformats.org/officeDocument/2006/relationships/hyperlink" Target="https://npiregistry.cms.hhs.gov/provider-view/1083765234" TargetMode="External"/><Relationship Id="rId2155" Type="http://schemas.openxmlformats.org/officeDocument/2006/relationships/hyperlink" Target="https://www.google.com/maps/search/?api=1&amp;query=Healthsource%2C+1754+Old+Hudson+Rd%2C+St.+Paul%2C+MN+55106" TargetMode="External"/><Relationship Id="rId3553" Type="http://schemas.openxmlformats.org/officeDocument/2006/relationships/hyperlink" Target="https://www.google.com/maps/search/?api=1&amp;query=Klepetka+Chiropractic+Clinic%2C+418+3rd+Ave+E%2C+Alexandria%2C+MN+56308" TargetMode="External"/><Relationship Id="rId3760" Type="http://schemas.openxmlformats.org/officeDocument/2006/relationships/hyperlink" Target="https://npiregistry.cms.hhs.gov/provider-view/1669699005" TargetMode="External"/><Relationship Id="rId127" Type="http://schemas.openxmlformats.org/officeDocument/2006/relationships/hyperlink" Target="https://www.google.com/maps/search/?api=1&amp;query=Columbia+Park+Medical+Group%2C+PA%2C+6401+University+Ave+NE%2C+Fridley%2C+MN+55432" TargetMode="External"/><Relationship Id="rId681" Type="http://schemas.openxmlformats.org/officeDocument/2006/relationships/hyperlink" Target="https://www.google.com/maps/search/?api=1&amp;query=Brooklyn+Center+Sports+%26+Injury%2C+6300+Shingle+Creek+Pkwy%2C+Brooklyn+Center%2C+MN+55430" TargetMode="External"/><Relationship Id="rId2362" Type="http://schemas.openxmlformats.org/officeDocument/2006/relationships/hyperlink" Target="https://npiregistry.cms.hhs.gov/provider-view/1538468293" TargetMode="External"/><Relationship Id="rId3206" Type="http://schemas.openxmlformats.org/officeDocument/2006/relationships/hyperlink" Target="https://npiregistry.cms.hhs.gov/provider-view/1700026762" TargetMode="External"/><Relationship Id="rId3413" Type="http://schemas.openxmlformats.org/officeDocument/2006/relationships/hyperlink" Target="https://www.google.com/maps/search/?api=1&amp;query=Timothy+T.+Zakrajsek%2C+1410+Kenwood+Ave%2C+Duluth%2C+MN+55811" TargetMode="External"/><Relationship Id="rId3620" Type="http://schemas.openxmlformats.org/officeDocument/2006/relationships/hyperlink" Target="https://npiregistry.cms.hhs.gov/provider-view/1629207444" TargetMode="External"/><Relationship Id="rId334" Type="http://schemas.openxmlformats.org/officeDocument/2006/relationships/hyperlink" Target="https://npiregistry.cms.hhs.gov/provider-view/1629435136" TargetMode="External"/><Relationship Id="rId541" Type="http://schemas.openxmlformats.org/officeDocument/2006/relationships/hyperlink" Target="https://www.google.com/maps/search/?api=1&amp;query=Mahmood+Ameli+LLC%2C+10880+175th+Ct+W%2C+Lakeville%2C+MN+55044" TargetMode="External"/><Relationship Id="rId1171" Type="http://schemas.openxmlformats.org/officeDocument/2006/relationships/hyperlink" Target="https://www.google.com/maps/search/?api=1&amp;query=Trillium+Chiropractic%2C+PA.%2C+13563+Grove+Dr%2C+Maple+Grove%2C+MN+55311" TargetMode="External"/><Relationship Id="rId2015" Type="http://schemas.openxmlformats.org/officeDocument/2006/relationships/hyperlink" Target="https://www.google.com/maps/search/?api=1&amp;query=Lowell+Magelssen+DC+PA%2C+1042+Highway+96+W%2C+Shoreview%2C+MN+55126" TargetMode="External"/><Relationship Id="rId2222" Type="http://schemas.openxmlformats.org/officeDocument/2006/relationships/hyperlink" Target="https://npiregistry.cms.hhs.gov/provider-view/1225068067" TargetMode="External"/><Relationship Id="rId401" Type="http://schemas.openxmlformats.org/officeDocument/2006/relationships/hyperlink" Target="https://www.google.com/maps/search/?api=1&amp;query=Back+%26+Body+Chiropractic%2C+2020+Silver+Bell+Rd%2C+Eagan%2C+MN+55122" TargetMode="External"/><Relationship Id="rId1031" Type="http://schemas.openxmlformats.org/officeDocument/2006/relationships/hyperlink" Target="https://www.google.com/maps/search/?api=1&amp;query=Folske+Spine+%26+Rehab+Clinic%2C+5851+Duluth+St%2C+Golden+Valley%2C+MN+55422" TargetMode="External"/><Relationship Id="rId1988" Type="http://schemas.openxmlformats.org/officeDocument/2006/relationships/hyperlink" Target="https://npiregistry.cms.hhs.gov/provider-view/1881718708" TargetMode="External"/><Relationship Id="rId4047" Type="http://schemas.openxmlformats.org/officeDocument/2006/relationships/hyperlink" Target="https://www.google.com/maps/search/?api=1&amp;query=Boline+Fenstra+Chiropractic+PC%2C+1101+1st+St+S%2C+Willmar%2C+MN+56201" TargetMode="External"/><Relationship Id="rId1848" Type="http://schemas.openxmlformats.org/officeDocument/2006/relationships/hyperlink" Target="https://npiregistry.cms.hhs.gov/provider-view/1407069776" TargetMode="External"/><Relationship Id="rId3063" Type="http://schemas.openxmlformats.org/officeDocument/2006/relationships/hyperlink" Target="https://www.google.com/maps/search/?api=1&amp;query=Minser+Chiropractic+Clinic%2C+PA.%2C+INC.%2C+203+Park+Ave+S%2C+St.+Cloud%2C+MN+56301" TargetMode="External"/><Relationship Id="rId3270" Type="http://schemas.openxmlformats.org/officeDocument/2006/relationships/hyperlink" Target="https://npiregistry.cms.hhs.gov/provider-view/1396221966" TargetMode="External"/><Relationship Id="rId4114" Type="http://schemas.openxmlformats.org/officeDocument/2006/relationships/hyperlink" Target="https://npiregistry.cms.hhs.gov/provider-view/1700934429" TargetMode="External"/><Relationship Id="rId191" Type="http://schemas.openxmlformats.org/officeDocument/2006/relationships/hyperlink" Target="https://www.google.com/maps/search/?api=1&amp;query=Serk+Family+Chiropractic%2C+PLLC%2C+7800+Market+Boulevard%2C+Chanhassen%2C+MN+55317" TargetMode="External"/><Relationship Id="rId1708" Type="http://schemas.openxmlformats.org/officeDocument/2006/relationships/hyperlink" Target="https://npiregistry.cms.hhs.gov/provider-view/1265625883" TargetMode="External"/><Relationship Id="rId1915" Type="http://schemas.openxmlformats.org/officeDocument/2006/relationships/hyperlink" Target="https://www.google.com/maps/search/?api=1&amp;query=Vertical+Chiropractic%2C+1900+County+Road+D+E%2C+Maplewood%2C+MN+55109" TargetMode="External"/><Relationship Id="rId3130" Type="http://schemas.openxmlformats.org/officeDocument/2006/relationships/hyperlink" Target="https://npiregistry.cms.hhs.gov/provider-view/1316074875" TargetMode="External"/><Relationship Id="rId2689" Type="http://schemas.openxmlformats.org/officeDocument/2006/relationships/hyperlink" Target="https://www.google.com/maps/search/?api=1&amp;query=Benassi+Chiropractic%2C+PA.%2C+731+Bielenberg+Dr%2C+Woodbury%2C+MN+55125" TargetMode="External"/><Relationship Id="rId2896" Type="http://schemas.openxmlformats.org/officeDocument/2006/relationships/hyperlink" Target="https://npiregistry.cms.hhs.gov/provider-view/1326360934" TargetMode="External"/><Relationship Id="rId3947" Type="http://schemas.openxmlformats.org/officeDocument/2006/relationships/hyperlink" Target="https://www.google.com/maps/search/?api=1&amp;query=Therapywerks+PA%2C+1620+17th+St+NW%2C+Faribault%2C+MN+55021" TargetMode="External"/><Relationship Id="rId868" Type="http://schemas.openxmlformats.org/officeDocument/2006/relationships/hyperlink" Target="https://npiregistry.cms.hhs.gov/provider-view/1396982393" TargetMode="External"/><Relationship Id="rId1498" Type="http://schemas.openxmlformats.org/officeDocument/2006/relationships/hyperlink" Target="https://npiregistry.cms.hhs.gov/provider-view/1326408568" TargetMode="External"/><Relationship Id="rId2549" Type="http://schemas.openxmlformats.org/officeDocument/2006/relationships/hyperlink" Target="https://www.google.com/maps/search/?api=1&amp;query=Green+Cross+Chiropractic%2C+PA.%2C+6910+Pine+Arbor+Alcove+S%2C+Cottage+Grove%2C+MN+55016" TargetMode="External"/><Relationship Id="rId2756" Type="http://schemas.openxmlformats.org/officeDocument/2006/relationships/hyperlink" Target="https://npiregistry.cms.hhs.gov/provider-view/1942598016" TargetMode="External"/><Relationship Id="rId2963" Type="http://schemas.openxmlformats.org/officeDocument/2006/relationships/hyperlink" Target="https://www.google.com/maps/search/?api=1&amp;query=Cura+Physical+Therapy+and+Massage%2C+39386+205th+Ave%2C+Albany%2C+MN+56307" TargetMode="External"/><Relationship Id="rId3807" Type="http://schemas.openxmlformats.org/officeDocument/2006/relationships/hyperlink" Target="https://www.google.com/maps/search/?api=1&amp;query=Red+Wing+Chiropractic+Clinic+PA%2C+29218+Highway+58+Blvd%2C+Red+Wing%2C+MN+55066" TargetMode="External"/><Relationship Id="rId728" Type="http://schemas.openxmlformats.org/officeDocument/2006/relationships/hyperlink" Target="https://npiregistry.cms.hhs.gov/provider-view/1851569651" TargetMode="External"/><Relationship Id="rId935" Type="http://schemas.openxmlformats.org/officeDocument/2006/relationships/hyperlink" Target="https://www.google.com/maps/search/?api=1&amp;query=Mark+C+Engasser+M+D+P+A%2C+6600+France+Ave+S%2C+Edina%2C+MN+55435" TargetMode="External"/><Relationship Id="rId1358" Type="http://schemas.openxmlformats.org/officeDocument/2006/relationships/hyperlink" Target="https://npiregistry.cms.hhs.gov/provider-view/1447654637" TargetMode="External"/><Relationship Id="rId1565" Type="http://schemas.openxmlformats.org/officeDocument/2006/relationships/hyperlink" Target="https://www.google.com/maps/search/?api=1&amp;query=Apex+Chiropractic+DC.%2C+PA%2C+4221+Winnetka+Ave+N%2C+New+Hope%2C+MN+55428" TargetMode="External"/><Relationship Id="rId1772" Type="http://schemas.openxmlformats.org/officeDocument/2006/relationships/hyperlink" Target="https://npiregistry.cms.hhs.gov/provider-view/1518167956" TargetMode="External"/><Relationship Id="rId2409" Type="http://schemas.openxmlformats.org/officeDocument/2006/relationships/hyperlink" Target="https://www.google.com/maps/search/?api=1&amp;query=Eagle+Creek+Wellness+Center+LLC%2C+14180+Commerce+Ave+NE%2C+Prior+Lake%2C+MN+55372" TargetMode="External"/><Relationship Id="rId2616" Type="http://schemas.openxmlformats.org/officeDocument/2006/relationships/hyperlink" Target="https://npiregistry.cms.hhs.gov/provider-view/1548565765" TargetMode="External"/><Relationship Id="rId64" Type="http://schemas.openxmlformats.org/officeDocument/2006/relationships/hyperlink" Target="https://npiregistry.cms.hhs.gov/provider-view/1861985178" TargetMode="External"/><Relationship Id="rId1218" Type="http://schemas.openxmlformats.org/officeDocument/2006/relationships/hyperlink" Target="https://npiregistry.cms.hhs.gov/provider-view/1841626272" TargetMode="External"/><Relationship Id="rId1425" Type="http://schemas.openxmlformats.org/officeDocument/2006/relationships/hyperlink" Target="https://www.google.com/maps/search/?api=1&amp;query=Shriners+Hospitals+For+Children%2C+2025+E+River+Pkwy%2C+Minneapolis%2C+MN+55414" TargetMode="External"/><Relationship Id="rId2823" Type="http://schemas.openxmlformats.org/officeDocument/2006/relationships/hyperlink" Target="https://www.google.com/maps/search/?api=1&amp;query=Ihs+Midwest+PC%2C+211+Highway+25+S%2C+Monticello%2C+MN+55362" TargetMode="External"/><Relationship Id="rId1632" Type="http://schemas.openxmlformats.org/officeDocument/2006/relationships/hyperlink" Target="https://npiregistry.cms.hhs.gov/provider-view/1891998035" TargetMode="External"/><Relationship Id="rId2199" Type="http://schemas.openxmlformats.org/officeDocument/2006/relationships/hyperlink" Target="https://www.google.com/maps/search/?api=1&amp;query=Midway+Healthcare+Services+PA%2C+1919+University+Ave+W%2C+St.+Paul%2C+MN+55104" TargetMode="External"/><Relationship Id="rId3597" Type="http://schemas.openxmlformats.org/officeDocument/2006/relationships/hyperlink" Target="https://www.google.com/maps/search/?api=1&amp;query=New+York+Mills+Family+Spine+Clinic%2C+18+N+Main+St%2C+New+York+Mills%2C+MN+56567" TargetMode="External"/><Relationship Id="rId3457" Type="http://schemas.openxmlformats.org/officeDocument/2006/relationships/hyperlink" Target="https://www.google.com/maps/search/?api=1&amp;query=Northland+Chiropractic%2C+603+8th+St+N%2C+Virginia%2C+MN+55792" TargetMode="External"/><Relationship Id="rId3664" Type="http://schemas.openxmlformats.org/officeDocument/2006/relationships/hyperlink" Target="https://npiregistry.cms.hhs.gov/provider-view/1659323004" TargetMode="External"/><Relationship Id="rId3871" Type="http://schemas.openxmlformats.org/officeDocument/2006/relationships/hyperlink" Target="https://www.google.com/maps/search/?api=1&amp;query=Banks+Physical+Therapy%2C+4270+Maine+Ave+SE%2C+Rochester%2C+MN+55904" TargetMode="External"/><Relationship Id="rId378" Type="http://schemas.openxmlformats.org/officeDocument/2006/relationships/hyperlink" Target="https://npiregistry.cms.hhs.gov/provider-view/1508902636" TargetMode="External"/><Relationship Id="rId585" Type="http://schemas.openxmlformats.org/officeDocument/2006/relationships/hyperlink" Target="https://www.google.com/maps/search/?api=1&amp;query=Therapy+Partners+INC%2C+433+Mendota+Rd+E%2C+St.+Paul%2C+MN+55118" TargetMode="External"/><Relationship Id="rId792" Type="http://schemas.openxmlformats.org/officeDocument/2006/relationships/hyperlink" Target="https://npiregistry.cms.hhs.gov/provider-view/1326521865" TargetMode="External"/><Relationship Id="rId2059" Type="http://schemas.openxmlformats.org/officeDocument/2006/relationships/hyperlink" Target="https://www.google.com/maps/search/?api=1&amp;query=Bridging+Health+Chiropractic%2C+6+West+5th+Street%2C+St.+Paul%2C+MN+55101" TargetMode="External"/><Relationship Id="rId2266" Type="http://schemas.openxmlformats.org/officeDocument/2006/relationships/hyperlink" Target="https://npiregistry.cms.hhs.gov/provider-view/1992870117" TargetMode="External"/><Relationship Id="rId2473" Type="http://schemas.openxmlformats.org/officeDocument/2006/relationships/hyperlink" Target="https://www.google.com/maps/search/?api=1&amp;query=Canterbury+Chiropractic%2C+135+1st+Ave+E%2C+Shakopee%2C+MN+55379" TargetMode="External"/><Relationship Id="rId2680" Type="http://schemas.openxmlformats.org/officeDocument/2006/relationships/hyperlink" Target="https://npiregistry.cms.hhs.gov/provider-view/1396893533" TargetMode="External"/><Relationship Id="rId3317" Type="http://schemas.openxmlformats.org/officeDocument/2006/relationships/hyperlink" Target="https://www.google.com/maps/search/?api=1&amp;query=Pokegama+Physical+Therapy+Consultants%2C+LLC%2C+19259+S+Gama+Beach+Rd%2C+Grand+Rapids%2C+MN+55744" TargetMode="External"/><Relationship Id="rId3524" Type="http://schemas.openxmlformats.org/officeDocument/2006/relationships/hyperlink" Target="https://npiregistry.cms.hhs.gov/provider-view/1952711764" TargetMode="External"/><Relationship Id="rId3731" Type="http://schemas.openxmlformats.org/officeDocument/2006/relationships/hyperlink" Target="https://www.google.com/maps/search/?api=1&amp;query=Southwest+Minnesota+Orthopedics+and+Sports+Medicine%2C+INC.%2C+2331+20th+St%2C+Slayton%2C+MN+56172" TargetMode="External"/><Relationship Id="rId238" Type="http://schemas.openxmlformats.org/officeDocument/2006/relationships/hyperlink" Target="https://npiregistry.cms.hhs.gov/provider-view/1902083967" TargetMode="External"/><Relationship Id="rId445" Type="http://schemas.openxmlformats.org/officeDocument/2006/relationships/hyperlink" Target="https://www.google.com/maps/search/?api=1&amp;query=Joy+Physical+Therapy+INC.%2C+1648+River+Bluff+Ct%2C+Eagan%2C+MN+55121" TargetMode="External"/><Relationship Id="rId652" Type="http://schemas.openxmlformats.org/officeDocument/2006/relationships/hyperlink" Target="https://npiregistry.cms.hhs.gov/provider-view/1780183491" TargetMode="External"/><Relationship Id="rId1075" Type="http://schemas.openxmlformats.org/officeDocument/2006/relationships/hyperlink" Target="https://www.google.com/maps/search/?api=1&amp;query=Center+For+Alternative+Health+and+Chiropractic+PA%2C+17+10th+Ave+S%2C+Hopkins%2C+MN+55343" TargetMode="External"/><Relationship Id="rId1282" Type="http://schemas.openxmlformats.org/officeDocument/2006/relationships/hyperlink" Target="https://npiregistry.cms.hhs.gov/provider-view/1356640684" TargetMode="External"/><Relationship Id="rId2126" Type="http://schemas.openxmlformats.org/officeDocument/2006/relationships/hyperlink" Target="https://npiregistry.cms.hhs.gov/provider-view/1972529634" TargetMode="External"/><Relationship Id="rId2333" Type="http://schemas.openxmlformats.org/officeDocument/2006/relationships/hyperlink" Target="https://www.google.com/maps/search/?api=1&amp;query=Performance+Chiropractic+and+Rehab%2C+1038+Centerville+Cir%2C+Vadnais+Heights%2C+MN+55127" TargetMode="External"/><Relationship Id="rId2540" Type="http://schemas.openxmlformats.org/officeDocument/2006/relationships/hyperlink" Target="https://npiregistry.cms.hhs.gov/provider-view/1508018482" TargetMode="External"/><Relationship Id="rId305" Type="http://schemas.openxmlformats.org/officeDocument/2006/relationships/hyperlink" Target="https://www.google.com/maps/search/?api=1&amp;query=Ellen+Weis+Chiropractic+LLC%2C+15368+Frost+Path%2C+Apple+Valley%2C+MN+55124" TargetMode="External"/><Relationship Id="rId512" Type="http://schemas.openxmlformats.org/officeDocument/2006/relationships/hyperlink" Target="https://npiregistry.cms.hhs.gov/provider-view/1003185760" TargetMode="External"/><Relationship Id="rId1142" Type="http://schemas.openxmlformats.org/officeDocument/2006/relationships/hyperlink" Target="https://npiregistry.cms.hhs.gov/provider-view/1184392128" TargetMode="External"/><Relationship Id="rId2400" Type="http://schemas.openxmlformats.org/officeDocument/2006/relationships/hyperlink" Target="https://npiregistry.cms.hhs.gov/provider-view/1750512950" TargetMode="External"/><Relationship Id="rId1002" Type="http://schemas.openxmlformats.org/officeDocument/2006/relationships/hyperlink" Target="https://npiregistry.cms.hhs.gov/provider-view/1013140599" TargetMode="External"/><Relationship Id="rId4158" Type="http://schemas.openxmlformats.org/officeDocument/2006/relationships/hyperlink" Target="https://npiregistry.cms.hhs.gov/provider-view/1346371556" TargetMode="External"/><Relationship Id="rId1959" Type="http://schemas.openxmlformats.org/officeDocument/2006/relationships/hyperlink" Target="https://www.google.com/maps/search/?api=1&amp;query=Hamline+Health+%26+Wellness+PA%2C+2151+Hamline+Ave+N%2C+Roseville%2C+MN+55113" TargetMode="External"/><Relationship Id="rId3174" Type="http://schemas.openxmlformats.org/officeDocument/2006/relationships/hyperlink" Target="https://npiregistry.cms.hhs.gov/provider-view/1457661209" TargetMode="External"/><Relationship Id="rId4018" Type="http://schemas.openxmlformats.org/officeDocument/2006/relationships/hyperlink" Target="https://npiregistry.cms.hhs.gov/provider-view/1588604342" TargetMode="External"/><Relationship Id="rId1819" Type="http://schemas.openxmlformats.org/officeDocument/2006/relationships/hyperlink" Target="https://www.google.com/maps/search/?api=1&amp;query=Advanced+Back+Technology%2C+PA.%2C+1421+Wayzata+Blvd+East%2C+Wayzata%2C+MN+55391" TargetMode="External"/><Relationship Id="rId3381" Type="http://schemas.openxmlformats.org/officeDocument/2006/relationships/hyperlink" Target="https://www.google.com/maps/search/?api=1&amp;query=In+Motion+Therapy%2C+LLC%2C+2711+W+Superior+St%2C+Duluth%2C+MN+55806" TargetMode="External"/><Relationship Id="rId2190" Type="http://schemas.openxmlformats.org/officeDocument/2006/relationships/hyperlink" Target="https://npiregistry.cms.hhs.gov/provider-view/1467630293" TargetMode="External"/><Relationship Id="rId3034" Type="http://schemas.openxmlformats.org/officeDocument/2006/relationships/hyperlink" Target="https://npiregistry.cms.hhs.gov/provider-view/1831515048" TargetMode="External"/><Relationship Id="rId3241" Type="http://schemas.openxmlformats.org/officeDocument/2006/relationships/hyperlink" Target="https://www.google.com/maps/search/?api=1&amp;query=Inmotion+Physical+Therapy+LLC%2C+1927+S+6th+St%2C+Brainerd%2C+MN+56401" TargetMode="External"/><Relationship Id="rId162" Type="http://schemas.openxmlformats.org/officeDocument/2006/relationships/hyperlink" Target="https://npiregistry.cms.hhs.gov/provider-view/1952474314" TargetMode="External"/><Relationship Id="rId2050" Type="http://schemas.openxmlformats.org/officeDocument/2006/relationships/hyperlink" Target="https://npiregistry.cms.hhs.gov/provider-view/1336311166" TargetMode="External"/><Relationship Id="rId3101" Type="http://schemas.openxmlformats.org/officeDocument/2006/relationships/hyperlink" Target="https://www.google.com/maps/search/?api=1&amp;query=Family+First+Chiropractic%2C+79+10th+Ave+S%2C+Waite+Park%2C+MN+56387" TargetMode="External"/><Relationship Id="rId979" Type="http://schemas.openxmlformats.org/officeDocument/2006/relationships/hyperlink" Target="https://www.google.com/maps/search/?api=1&amp;query=Swanson+Family+Chiropractic%2C+PA.%2C+4010+W+65th+St%2C+Edina%2C+MN+55435" TargetMode="External"/><Relationship Id="rId839" Type="http://schemas.openxmlformats.org/officeDocument/2006/relationships/hyperlink" Target="https://www.google.com/maps/search/?api=1&amp;query=Park+Nicollet%2C+8455+Flying+Cloud+Dr%2C+Eden+Prairie%2C+MN+55344" TargetMode="External"/><Relationship Id="rId1469" Type="http://schemas.openxmlformats.org/officeDocument/2006/relationships/hyperlink" Target="https://www.google.com/maps/search/?api=1&amp;query=Twin+City+Pain+Center%2C+1+W+Lake+St%2C+Minneapolis%2C+MN+55408" TargetMode="External"/><Relationship Id="rId2867" Type="http://schemas.openxmlformats.org/officeDocument/2006/relationships/hyperlink" Target="https://www.google.com/maps/search/?api=1&amp;query=Silvia+Spinal+Center+PC%2C+22+Wilson+Ave+NE%2C+St.+Cloud%2C+MN+56302" TargetMode="External"/><Relationship Id="rId3918" Type="http://schemas.openxmlformats.org/officeDocument/2006/relationships/hyperlink" Target="https://npiregistry.cms.hhs.gov/provider-view/1588024434" TargetMode="External"/><Relationship Id="rId4082" Type="http://schemas.openxmlformats.org/officeDocument/2006/relationships/hyperlink" Target="https://npiregistry.cms.hhs.gov/provider-view/1811146301" TargetMode="External"/><Relationship Id="rId1676" Type="http://schemas.openxmlformats.org/officeDocument/2006/relationships/hyperlink" Target="https://npiregistry.cms.hhs.gov/provider-view/1528526852" TargetMode="External"/><Relationship Id="rId1883" Type="http://schemas.openxmlformats.org/officeDocument/2006/relationships/hyperlink" Target="https://www.google.com/maps/search/?api=1&amp;query=Chirome+Health+and+Wellness+LLC%2C+2885+Country+Dr%2C+Little+Canada%2C+MN+55117" TargetMode="External"/><Relationship Id="rId2727" Type="http://schemas.openxmlformats.org/officeDocument/2006/relationships/hyperlink" Target="https://www.google.com/maps/search/?api=1&amp;query=Poeschel+Chiropractic+PSC%2C+1818+Wooddale+Dr%2C+Woodbury%2C+MN+55125" TargetMode="External"/><Relationship Id="rId2934" Type="http://schemas.openxmlformats.org/officeDocument/2006/relationships/hyperlink" Target="https://npiregistry.cms.hhs.gov/provider-view/1033238308" TargetMode="External"/><Relationship Id="rId906" Type="http://schemas.openxmlformats.org/officeDocument/2006/relationships/hyperlink" Target="https://npiregistry.cms.hhs.gov/provider-view/1245360155" TargetMode="External"/><Relationship Id="rId1329" Type="http://schemas.openxmlformats.org/officeDocument/2006/relationships/hyperlink" Target="https://www.google.com/maps/search/?api=1&amp;query=Lifelong+Health+Fmaily+Chiropractic%2C+1121+Jackson+St+NE%2C+Minneapolis%2C+MN+55413" TargetMode="External"/><Relationship Id="rId1536" Type="http://schemas.openxmlformats.org/officeDocument/2006/relationships/hyperlink" Target="https://npiregistry.cms.hhs.gov/provider-view/1639211253" TargetMode="External"/><Relationship Id="rId1743" Type="http://schemas.openxmlformats.org/officeDocument/2006/relationships/hyperlink" Target="https://www.google.com/maps/search/?api=1&amp;query=Arnold+Chiropractic+and+Acupuncture%2C+5009+Excelsior+Blvd%2C+St.+Louis+Park%2C+MN+55416" TargetMode="External"/><Relationship Id="rId1950" Type="http://schemas.openxmlformats.org/officeDocument/2006/relationships/hyperlink" Target="https://npiregistry.cms.hhs.gov/provider-view/1508945411" TargetMode="External"/><Relationship Id="rId35" Type="http://schemas.openxmlformats.org/officeDocument/2006/relationships/hyperlink" Target="https://www.google.com/maps/search/?api=1&amp;query=Community+Chiropractic+Center%2C+13060+Central+Ave+NE%2C+Blaine%2C+MN+55434" TargetMode="External"/><Relationship Id="rId1603" Type="http://schemas.openxmlformats.org/officeDocument/2006/relationships/hyperlink" Target="https://www.google.com/maps/search/?api=1&amp;query=Encompass+Chiropractic%2C+13605+27th+Ave+N%2C+Plymouth%2C+MN+55441" TargetMode="External"/><Relationship Id="rId1810" Type="http://schemas.openxmlformats.org/officeDocument/2006/relationships/hyperlink" Target="https://npiregistry.cms.hhs.gov/provider-view/1568661601" TargetMode="External"/><Relationship Id="rId3568" Type="http://schemas.openxmlformats.org/officeDocument/2006/relationships/hyperlink" Target="https://npiregistry.cms.hhs.gov/provider-view/1326055468" TargetMode="External"/><Relationship Id="rId3775" Type="http://schemas.openxmlformats.org/officeDocument/2006/relationships/hyperlink" Target="https://www.google.com/maps/search/?api=1&amp;query=Quantum+Physical+Therapy+%26+Personal+Trng+INC%2C+115+N+Broadway%2C+Spring+Valley%2C+MN+55975" TargetMode="External"/><Relationship Id="rId3982" Type="http://schemas.openxmlformats.org/officeDocument/2006/relationships/hyperlink" Target="https://npiregistry.cms.hhs.gov/provider-view/1992877690" TargetMode="External"/><Relationship Id="rId489" Type="http://schemas.openxmlformats.org/officeDocument/2006/relationships/hyperlink" Target="https://www.google.com/maps/search/?api=1&amp;query=Petterson+Chiropractic+Clinic+PA%2C+825+Bahls+Drive%2C+Hastings%2C+MN+55033" TargetMode="External"/><Relationship Id="rId696" Type="http://schemas.openxmlformats.org/officeDocument/2006/relationships/hyperlink" Target="https://npiregistry.cms.hhs.gov/provider-view/1205205069" TargetMode="External"/><Relationship Id="rId2377" Type="http://schemas.openxmlformats.org/officeDocument/2006/relationships/hyperlink" Target="https://www.google.com/maps/search/?api=1&amp;query=Total+Health+Solutions%2C+INC.%2C+1310+Highway+96+E%2C+White+Bear+Lake%2C+MN+55110" TargetMode="External"/><Relationship Id="rId2584" Type="http://schemas.openxmlformats.org/officeDocument/2006/relationships/hyperlink" Target="https://npiregistry.cms.hhs.gov/provider-view/1790972727" TargetMode="External"/><Relationship Id="rId2791" Type="http://schemas.openxmlformats.org/officeDocument/2006/relationships/hyperlink" Target="https://www.google.com/maps/search/?api=1&amp;query=Cokato+Chiropractic%2C+PA.%2C+225+Millard+Ave+SW%2C+Cokato%2C+MN+55321" TargetMode="External"/><Relationship Id="rId3428" Type="http://schemas.openxmlformats.org/officeDocument/2006/relationships/hyperlink" Target="https://npiregistry.cms.hhs.gov/provider-view/1669611521" TargetMode="External"/><Relationship Id="rId3635" Type="http://schemas.openxmlformats.org/officeDocument/2006/relationships/hyperlink" Target="https://www.google.com/maps/search/?api=1&amp;query=Andrews+Family+Chiropractic+Clinic+PA%2C+285+Saint+Andrews+Dr%2C+Mankato%2C+MN+56001" TargetMode="External"/><Relationship Id="rId349" Type="http://schemas.openxmlformats.org/officeDocument/2006/relationships/hyperlink" Target="https://www.google.com/maps/search/?api=1&amp;query=Health+Resources+Chiropractic+%26+Naturopathic+Clinic%2C+11970+Portland+Ave%2C+Burnsville%2C+MN+55337" TargetMode="External"/><Relationship Id="rId556" Type="http://schemas.openxmlformats.org/officeDocument/2006/relationships/hyperlink" Target="https://npiregistry.cms.hhs.gov/provider-view/1124585161" TargetMode="External"/><Relationship Id="rId763" Type="http://schemas.openxmlformats.org/officeDocument/2006/relationships/hyperlink" Target="https://www.google.com/maps/search/?api=1&amp;query=Champlin+Dayton+Chiropractic+Center%2C+11225+Commerce+Dr+N%2C+Champlin%2C+MN+55316" TargetMode="External"/><Relationship Id="rId1186" Type="http://schemas.openxmlformats.org/officeDocument/2006/relationships/hyperlink" Target="https://npiregistry.cms.hhs.gov/provider-view/1699110809" TargetMode="External"/><Relationship Id="rId1393" Type="http://schemas.openxmlformats.org/officeDocument/2006/relationships/hyperlink" Target="https://www.google.com/maps/search/?api=1&amp;query=Northwest+Chiropractic+PA.%2C+2703+E+Lake+St%2C+Minneapolis%2C+MN+55406" TargetMode="External"/><Relationship Id="rId2237" Type="http://schemas.openxmlformats.org/officeDocument/2006/relationships/hyperlink" Target="https://www.google.com/maps/search/?api=1&amp;query=Robert+S.+Robitaille+DO+LLC%2C+559+Capitol+Blvd%2C+St.+Paul%2C+MN+55103" TargetMode="External"/><Relationship Id="rId2444" Type="http://schemas.openxmlformats.org/officeDocument/2006/relationships/hyperlink" Target="https://npiregistry.cms.hhs.gov/provider-view/1639349269" TargetMode="External"/><Relationship Id="rId3842" Type="http://schemas.openxmlformats.org/officeDocument/2006/relationships/hyperlink" Target="https://npiregistry.cms.hhs.gov/provider-view/1447701875" TargetMode="External"/><Relationship Id="rId209" Type="http://schemas.openxmlformats.org/officeDocument/2006/relationships/hyperlink" Target="https://www.google.com/maps/search/?api=1&amp;query=Hasse+Chiropractic%2C+PA.%2C+122+Pioneer+Trl%2C+Chaska%2C+MN+55318" TargetMode="External"/><Relationship Id="rId416" Type="http://schemas.openxmlformats.org/officeDocument/2006/relationships/hyperlink" Target="https://npiregistry.cms.hhs.gov/provider-view/1770948721" TargetMode="External"/><Relationship Id="rId970" Type="http://schemas.openxmlformats.org/officeDocument/2006/relationships/hyperlink" Target="https://npiregistry.cms.hhs.gov/provider-view/1558745778" TargetMode="External"/><Relationship Id="rId1046" Type="http://schemas.openxmlformats.org/officeDocument/2006/relationships/hyperlink" Target="https://npiregistry.cms.hhs.gov/provider-view/1629326871" TargetMode="External"/><Relationship Id="rId1253" Type="http://schemas.openxmlformats.org/officeDocument/2006/relationships/hyperlink" Target="https://www.google.com/maps/search/?api=1&amp;query=Dr.+Kimberly+Berkus%2C+PC.%2C+2101+Hennepin+Ave+S%2C+Minneapolis%2C+MN+55405" TargetMode="External"/><Relationship Id="rId2651" Type="http://schemas.openxmlformats.org/officeDocument/2006/relationships/hyperlink" Target="https://www.google.com/maps/search/?api=1&amp;query=F.i.t.+Chiropractic%2C+215+William+St+N%2C+Stillwater%2C+MN+55082" TargetMode="External"/><Relationship Id="rId3702" Type="http://schemas.openxmlformats.org/officeDocument/2006/relationships/hyperlink" Target="https://npiregistry.cms.hhs.gov/provider-view/1497241095" TargetMode="External"/><Relationship Id="rId623" Type="http://schemas.openxmlformats.org/officeDocument/2006/relationships/hyperlink" Target="https://www.google.com/maps/search/?api=1&amp;query=Countryside+Chiropractic+%26+Massage%2C+7700+W+Old+Shakopee+Rd%2C+Bloomington%2C+MN+55438" TargetMode="External"/><Relationship Id="rId830" Type="http://schemas.openxmlformats.org/officeDocument/2006/relationships/hyperlink" Target="https://npiregistry.cms.hhs.gov/provider-view/1932651205" TargetMode="External"/><Relationship Id="rId1460" Type="http://schemas.openxmlformats.org/officeDocument/2006/relationships/hyperlink" Target="https://npiregistry.cms.hhs.gov/provider-view/1356677801" TargetMode="External"/><Relationship Id="rId2304" Type="http://schemas.openxmlformats.org/officeDocument/2006/relationships/hyperlink" Target="https://npiregistry.cms.hhs.gov/provider-view/1043836406" TargetMode="External"/><Relationship Id="rId2511" Type="http://schemas.openxmlformats.org/officeDocument/2006/relationships/hyperlink" Target="https://www.google.com/maps/search/?api=1&amp;query=Bennie+Kuhlmann%2C+11567+42nd+St+SE%2C+Clear+Lake%2C+MN+55319" TargetMode="External"/><Relationship Id="rId1113" Type="http://schemas.openxmlformats.org/officeDocument/2006/relationships/hyperlink" Target="https://www.google.com/maps/search/?api=1&amp;query=Conscious+Chiropractic+Center%2C+13786+Reimer+Dr+N%2C+Maple+Grove%2C+MN+55311" TargetMode="External"/><Relationship Id="rId1320" Type="http://schemas.openxmlformats.org/officeDocument/2006/relationships/hyperlink" Target="https://npiregistry.cms.hhs.gov/provider-view/1154453892" TargetMode="External"/><Relationship Id="rId3078" Type="http://schemas.openxmlformats.org/officeDocument/2006/relationships/hyperlink" Target="https://npiregistry.cms.hhs.gov/provider-view/1679088157" TargetMode="External"/><Relationship Id="rId3285" Type="http://schemas.openxmlformats.org/officeDocument/2006/relationships/hyperlink" Target="https://www.google.com/maps/search/?api=1&amp;query=Park+Rapids+Physical+Therapy+and+Rehabilitation+Center+INC%2C+200+Main+Ave+S%2C+Park+Rapids%2C+MN+56470" TargetMode="External"/><Relationship Id="rId3492" Type="http://schemas.openxmlformats.org/officeDocument/2006/relationships/hyperlink" Target="https://npiregistry.cms.hhs.gov/provider-view/1942460811" TargetMode="External"/><Relationship Id="rId4129" Type="http://schemas.openxmlformats.org/officeDocument/2006/relationships/hyperlink" Target="https://www.google.com/maps/search/?api=1&amp;query=Active+Life+Chiropractic%2C+LLC%2C+726+E+Bridge+St%2C+Redwood+Falls%2C+MN+56283" TargetMode="External"/><Relationship Id="rId2094" Type="http://schemas.openxmlformats.org/officeDocument/2006/relationships/hyperlink" Target="https://npiregistry.cms.hhs.gov/provider-view/1225180359" TargetMode="External"/><Relationship Id="rId3145" Type="http://schemas.openxmlformats.org/officeDocument/2006/relationships/hyperlink" Target="https://www.google.com/maps/search/?api=1&amp;query=Bemidji+Explore+Chiropractic+Incorporated%2C+1426+Bemidji+Ave+N%2C+Bemidji%2C+MN+56601" TargetMode="External"/><Relationship Id="rId3352" Type="http://schemas.openxmlformats.org/officeDocument/2006/relationships/hyperlink" Target="https://npiregistry.cms.hhs.gov/provider-view/1447494174" TargetMode="External"/><Relationship Id="rId273" Type="http://schemas.openxmlformats.org/officeDocument/2006/relationships/hyperlink" Target="https://www.google.com/maps/search/?api=1&amp;query=Roger+E+Perreault%2C+263+W+4th+St%2C+Rush+City%2C+MN+55069" TargetMode="External"/><Relationship Id="rId480" Type="http://schemas.openxmlformats.org/officeDocument/2006/relationships/hyperlink" Target="https://npiregistry.cms.hhs.gov/provider-view/1609920826" TargetMode="External"/><Relationship Id="rId2161" Type="http://schemas.openxmlformats.org/officeDocument/2006/relationships/hyperlink" Target="https://www.google.com/maps/search/?api=1&amp;query=Highland+Chiropractic+Center%2C+PA%2C+550+Snelling+Ave+S%2C+St.+Paul%2C+MN+55116" TargetMode="External"/><Relationship Id="rId3005" Type="http://schemas.openxmlformats.org/officeDocument/2006/relationships/hyperlink" Target="https://www.google.com/maps/search/?api=1&amp;query=Northern+Star+Therapy+LTD%2C+2395+Troop+Dr%2C+Sartell%2C+MN+56377" TargetMode="External"/><Relationship Id="rId3212" Type="http://schemas.openxmlformats.org/officeDocument/2006/relationships/hyperlink" Target="https://npiregistry.cms.hhs.gov/provider-view/1528263290" TargetMode="External"/><Relationship Id="rId133" Type="http://schemas.openxmlformats.org/officeDocument/2006/relationships/hyperlink" Target="https://www.google.com/maps/search/?api=1&amp;query=Wellspring+Chiropractic+Center+INC.%2C+6425+Highway+65+NE%2C+Fridley%2C+MN+55432" TargetMode="External"/><Relationship Id="rId340" Type="http://schemas.openxmlformats.org/officeDocument/2006/relationships/hyperlink" Target="https://npiregistry.cms.hhs.gov/provider-view/1124321732" TargetMode="External"/><Relationship Id="rId2021" Type="http://schemas.openxmlformats.org/officeDocument/2006/relationships/hyperlink" Target="https://www.google.com/maps/search/?api=1&amp;query=Millsop+Chiropractic%2C+PA.%2C+3570+Lexington+Ave+N%2C+Shoreview%2C+MN+55126" TargetMode="External"/><Relationship Id="rId200" Type="http://schemas.openxmlformats.org/officeDocument/2006/relationships/hyperlink" Target="https://npiregistry.cms.hhs.gov/provider-view/1174837892" TargetMode="External"/><Relationship Id="rId2978" Type="http://schemas.openxmlformats.org/officeDocument/2006/relationships/hyperlink" Target="https://npiregistry.cms.hhs.gov/provider-view/1285971606" TargetMode="External"/><Relationship Id="rId1787" Type="http://schemas.openxmlformats.org/officeDocument/2006/relationships/hyperlink" Target="https://www.google.com/maps/search/?api=1&amp;query=Neurology+Specialists%2C+LLC%2C+4500+Park+Glen+Road%2C+St.+Louis+Park%2C+MN+55416" TargetMode="External"/><Relationship Id="rId1994" Type="http://schemas.openxmlformats.org/officeDocument/2006/relationships/hyperlink" Target="https://npiregistry.cms.hhs.gov/provider-view/1205087251" TargetMode="External"/><Relationship Id="rId2838" Type="http://schemas.openxmlformats.org/officeDocument/2006/relationships/hyperlink" Target="https://npiregistry.cms.hhs.gov/provider-view/1992988265" TargetMode="External"/><Relationship Id="rId79" Type="http://schemas.openxmlformats.org/officeDocument/2006/relationships/hyperlink" Target="https://www.google.com/maps/search/?api=1&amp;query=Central+Chiropractic+Clinic%2C+PLC%2C+999+50th+Ave+NE%2C+Columbia+Heights%2C+MN+55421" TargetMode="External"/><Relationship Id="rId1647" Type="http://schemas.openxmlformats.org/officeDocument/2006/relationships/hyperlink" Target="https://www.google.com/maps/search/?api=1&amp;query=Shanahan+Chiropractic+LLC%2C+16795+County+Road+24%2C+Plymouth%2C+MN+55447" TargetMode="External"/><Relationship Id="rId1854" Type="http://schemas.openxmlformats.org/officeDocument/2006/relationships/hyperlink" Target="https://npiregistry.cms.hhs.gov/provider-view/1699920249" TargetMode="External"/><Relationship Id="rId2905" Type="http://schemas.openxmlformats.org/officeDocument/2006/relationships/hyperlink" Target="https://www.google.com/maps/search/?api=1&amp;query=Charger+Chiropractic+%26+Soft+Tissue+Center+PC.%2C+450+4th+Street+North%2C+Dassel%2C+MN+55321" TargetMode="External"/><Relationship Id="rId4053" Type="http://schemas.openxmlformats.org/officeDocument/2006/relationships/hyperlink" Target="https://www.google.com/maps/search/?api=1&amp;query=Duininck+Chiropractic%2C+PA%2C+1550+Willmar+Ave+SE%2C+Willmar%2C+MN+56201" TargetMode="External"/><Relationship Id="rId1507" Type="http://schemas.openxmlformats.org/officeDocument/2006/relationships/hyperlink" Target="https://www.google.com/maps/search/?api=1&amp;query=Back+In+Line+Family+Chiropractic%2C+11500+Highway+7%2C+Minnetonka%2C+MN+55305" TargetMode="External"/><Relationship Id="rId1714" Type="http://schemas.openxmlformats.org/officeDocument/2006/relationships/hyperlink" Target="https://npiregistry.cms.hhs.gov/provider-view/1649461922" TargetMode="External"/><Relationship Id="rId4120" Type="http://schemas.openxmlformats.org/officeDocument/2006/relationships/hyperlink" Target="https://npiregistry.cms.hhs.gov/provider-view/1720219918" TargetMode="External"/><Relationship Id="rId1921" Type="http://schemas.openxmlformats.org/officeDocument/2006/relationships/hyperlink" Target="https://www.google.com/maps/search/?api=1&amp;query=Alan+Arvidson+Chiropractic+Clinic+PA.%2C+2030+Silver+Lake+Rd+NW%2C+New+Brighton%2C+MN+55112" TargetMode="External"/><Relationship Id="rId3679" Type="http://schemas.openxmlformats.org/officeDocument/2006/relationships/hyperlink" Target="https://www.google.com/maps/search/?api=1&amp;query=Broadway+Chiropractic+PA%2C+1510+N+Broadway+St%2C+New+Ulm%2C+MN+56073" TargetMode="External"/><Relationship Id="rId2488" Type="http://schemas.openxmlformats.org/officeDocument/2006/relationships/hyperlink" Target="https://npiregistry.cms.hhs.gov/provider-view/1295781920" TargetMode="External"/><Relationship Id="rId3886" Type="http://schemas.openxmlformats.org/officeDocument/2006/relationships/hyperlink" Target="https://npiregistry.cms.hhs.gov/provider-view/1033320742" TargetMode="External"/><Relationship Id="rId1297" Type="http://schemas.openxmlformats.org/officeDocument/2006/relationships/hyperlink" Target="https://www.google.com/maps/search/?api=1&amp;query=Hyjek+Chiropractic%2C+2817+Lyndale+Ave+S%2C+Minneapolis%2C+MN+55408" TargetMode="External"/><Relationship Id="rId2695" Type="http://schemas.openxmlformats.org/officeDocument/2006/relationships/hyperlink" Target="https://www.google.com/maps/search/?api=1&amp;query=Cornerstone+Chiropractic+Clinic+LLC%2C+8470+City+Centre+Dr%2C+Woodbury%2C+MN+55125" TargetMode="External"/><Relationship Id="rId3539" Type="http://schemas.openxmlformats.org/officeDocument/2006/relationships/hyperlink" Target="https://www.google.com/maps/search/?api=1&amp;query=Century+Chiropractic+Center%2C+PA.%2C+2308+S+Broadway+St%2C+Alexandria%2C+MN+56308" TargetMode="External"/><Relationship Id="rId3746" Type="http://schemas.openxmlformats.org/officeDocument/2006/relationships/hyperlink" Target="https://npiregistry.cms.hhs.gov/provider-view/1801033931" TargetMode="External"/><Relationship Id="rId3953" Type="http://schemas.openxmlformats.org/officeDocument/2006/relationships/hyperlink" Target="https://www.google.com/maps/search/?api=1&amp;query=Twin+Cities+Spine+%26+Injury+Rehabilitation%2C+PLLC%2C+708+11th+Ave+NE%2C+Lonsdale%2C+MN+55046" TargetMode="External"/><Relationship Id="rId667" Type="http://schemas.openxmlformats.org/officeDocument/2006/relationships/hyperlink" Target="https://www.google.com/maps/search/?api=1&amp;query=Riverview+Spine%2C+PA.%2C+5402+W.+Old+Shakopee+Road%2C+Bloomington%2C+MN+55437" TargetMode="External"/><Relationship Id="rId874" Type="http://schemas.openxmlformats.org/officeDocument/2006/relationships/hyperlink" Target="https://npiregistry.cms.hhs.gov/provider-view/1760418362" TargetMode="External"/><Relationship Id="rId2348" Type="http://schemas.openxmlformats.org/officeDocument/2006/relationships/hyperlink" Target="https://npiregistry.cms.hhs.gov/provider-view/1982888020" TargetMode="External"/><Relationship Id="rId2555" Type="http://schemas.openxmlformats.org/officeDocument/2006/relationships/hyperlink" Target="https://www.google.com/maps/search/?api=1&amp;query=Oasis+Chiropractic+PA%2C+7424+E+Pt+Douglas+Rd+S%2C+Cottage+Grove%2C+MN+55016" TargetMode="External"/><Relationship Id="rId2762" Type="http://schemas.openxmlformats.org/officeDocument/2006/relationships/hyperlink" Target="https://npiregistry.cms.hhs.gov/provider-view/1124478110" TargetMode="External"/><Relationship Id="rId3606" Type="http://schemas.openxmlformats.org/officeDocument/2006/relationships/hyperlink" Target="https://npiregistry.cms.hhs.gov/provider-view/1881094621" TargetMode="External"/><Relationship Id="rId3813" Type="http://schemas.openxmlformats.org/officeDocument/2006/relationships/hyperlink" Target="https://www.google.com/maps/search/?api=1&amp;query=Gundersen+Clinic+LTD%2C+405+S+Highway+44+76%2C+Caledonia%2C+MN+55921" TargetMode="External"/><Relationship Id="rId527" Type="http://schemas.openxmlformats.org/officeDocument/2006/relationships/hyperlink" Target="https://www.google.com/maps/search/?api=1&amp;query=Kenrick+Chiropractic%2C+16372+Kenrick+Ave%2C+Lakeville%2C+MN+55044" TargetMode="External"/><Relationship Id="rId734" Type="http://schemas.openxmlformats.org/officeDocument/2006/relationships/hyperlink" Target="https://npiregistry.cms.hhs.gov/provider-view/1326229063" TargetMode="External"/><Relationship Id="rId941" Type="http://schemas.openxmlformats.org/officeDocument/2006/relationships/hyperlink" Target="https://www.google.com/maps/search/?api=1&amp;query=Mellin+Chiropractic+Care+Clinic%2C+PC.%2C+3300+Edinborough+Way%2C+Edina%2C+MN+55435" TargetMode="External"/><Relationship Id="rId1157" Type="http://schemas.openxmlformats.org/officeDocument/2006/relationships/hyperlink" Target="https://www.google.com/maps/search/?api=1&amp;query=Relevium+Chiropractic+Care+PA%2C+9555+Upland+Ln+N%2C+Maple+Grove%2C+MN+55369" TargetMode="External"/><Relationship Id="rId1364" Type="http://schemas.openxmlformats.org/officeDocument/2006/relationships/hyperlink" Target="https://npiregistry.cms.hhs.gov/provider-view/1003373689" TargetMode="External"/><Relationship Id="rId1571" Type="http://schemas.openxmlformats.org/officeDocument/2006/relationships/hyperlink" Target="https://www.google.com/maps/search/?api=1&amp;query=Empower+You+Physical+Therapy+and+Wellness%2C+4082+Flag+Ave+N%2C+New+Hope%2C+MN+55427" TargetMode="External"/><Relationship Id="rId2208" Type="http://schemas.openxmlformats.org/officeDocument/2006/relationships/hyperlink" Target="https://npiregistry.cms.hhs.gov/provider-view/1255300984" TargetMode="External"/><Relationship Id="rId2415" Type="http://schemas.openxmlformats.org/officeDocument/2006/relationships/hyperlink" Target="https://www.google.com/maps/search/?api=1&amp;query=Max+Well+Physical+Therapy%2C+14033+Commerce+Ave+NE%2C+Prior+Lake%2C+MN+55372" TargetMode="External"/><Relationship Id="rId2622" Type="http://schemas.openxmlformats.org/officeDocument/2006/relationships/hyperlink" Target="https://npiregistry.cms.hhs.gov/provider-view/1609014620" TargetMode="External"/><Relationship Id="rId70" Type="http://schemas.openxmlformats.org/officeDocument/2006/relationships/hyperlink" Target="https://npiregistry.cms.hhs.gov/provider-view/1831634252" TargetMode="External"/><Relationship Id="rId801" Type="http://schemas.openxmlformats.org/officeDocument/2006/relationships/hyperlink" Target="https://www.google.com/maps/search/?api=1&amp;query=Casey+J+Oie+PA%2C+16550+W+78th+St%2C+Eden+Prairie%2C+MN+55346" TargetMode="External"/><Relationship Id="rId1017" Type="http://schemas.openxmlformats.org/officeDocument/2006/relationships/hyperlink" Target="https://www.google.com/maps/search/?api=1&amp;query=Abram+A+Voyen+DC+PA%2C+669+Winnetka+Ave+N%2C+Golden+Valley%2C+MN+55427" TargetMode="External"/><Relationship Id="rId1224" Type="http://schemas.openxmlformats.org/officeDocument/2006/relationships/hyperlink" Target="https://npiregistry.cms.hhs.gov/provider-view/1699099838" TargetMode="External"/><Relationship Id="rId1431" Type="http://schemas.openxmlformats.org/officeDocument/2006/relationships/hyperlink" Target="https://www.google.com/maps/search/?api=1&amp;query=Southgate+Physical+Therapy+%2C+LTD%2C+3017+Bloomington+Ave%2C+Minneapolis%2C+MN+55407" TargetMode="External"/><Relationship Id="rId3189" Type="http://schemas.openxmlformats.org/officeDocument/2006/relationships/hyperlink" Target="https://www.google.com/maps/search/?api=1&amp;query=Lieffring+Chiropractic%2C+LTD.%2C+111+Arrowhead+Lane%2C+Moose+Lake%2C+MN+55767" TargetMode="External"/><Relationship Id="rId3396" Type="http://schemas.openxmlformats.org/officeDocument/2006/relationships/hyperlink" Target="https://npiregistry.cms.hhs.gov/provider-view/1508861451" TargetMode="External"/><Relationship Id="rId3049" Type="http://schemas.openxmlformats.org/officeDocument/2006/relationships/hyperlink" Target="https://www.google.com/maps/search/?api=1&amp;query=Chiropractic+Health+Center%2C+3290+42nd+Ave+South%2C+St.+Cloud%2C+MN+56301" TargetMode="External"/><Relationship Id="rId3256" Type="http://schemas.openxmlformats.org/officeDocument/2006/relationships/hyperlink" Target="https://npiregistry.cms.hhs.gov/provider-view/1245638584" TargetMode="External"/><Relationship Id="rId3463" Type="http://schemas.openxmlformats.org/officeDocument/2006/relationships/hyperlink" Target="https://www.google.com/maps/search/?api=1&amp;query=Family+Chiropractic+of+Warren+INC%2C+603+N+Main+Street%2C+Warren%2C+MN+56762" TargetMode="External"/><Relationship Id="rId177" Type="http://schemas.openxmlformats.org/officeDocument/2006/relationships/hyperlink" Target="https://www.google.com/maps/search/?api=1&amp;query=Live+Well+Chiropractic+Spa+and+Acupuncture+Center%2C+7975+Stone+Creek+Dr%2C+Chanhassen%2C+MN+55317" TargetMode="External"/><Relationship Id="rId384" Type="http://schemas.openxmlformats.org/officeDocument/2006/relationships/hyperlink" Target="https://npiregistry.cms.hhs.gov/provider-view/1841366085" TargetMode="External"/><Relationship Id="rId591" Type="http://schemas.openxmlformats.org/officeDocument/2006/relationships/hyperlink" Target="https://www.google.com/maps/search/?api=1&amp;query=Msk+Chiropractic%2C+1551+Livingston+Ave%2C+West+St+Paul%2C+MN+55118" TargetMode="External"/><Relationship Id="rId2065" Type="http://schemas.openxmlformats.org/officeDocument/2006/relationships/hyperlink" Target="https://www.google.com/maps/search/?api=1&amp;query=Capitol+Pain+Management+PLLC%2C+651+Arcade+St%2C+St.+Paul%2C+MN+55106" TargetMode="External"/><Relationship Id="rId2272" Type="http://schemas.openxmlformats.org/officeDocument/2006/relationships/hyperlink" Target="https://npiregistry.cms.hhs.gov/provider-view/1194195628" TargetMode="External"/><Relationship Id="rId3116" Type="http://schemas.openxmlformats.org/officeDocument/2006/relationships/hyperlink" Target="https://npiregistry.cms.hhs.gov/provider-view/1710403639" TargetMode="External"/><Relationship Id="rId3670" Type="http://schemas.openxmlformats.org/officeDocument/2006/relationships/hyperlink" Target="https://npiregistry.cms.hhs.gov/provider-view/1699321638" TargetMode="External"/><Relationship Id="rId244" Type="http://schemas.openxmlformats.org/officeDocument/2006/relationships/hyperlink" Target="https://npiregistry.cms.hhs.gov/provider-view/1740625870" TargetMode="External"/><Relationship Id="rId1081" Type="http://schemas.openxmlformats.org/officeDocument/2006/relationships/hyperlink" Target="https://www.google.com/maps/search/?api=1&amp;query=Hopkins+Back+and+Neck+Clinic%2C+15+8th+Ave+N%2C+Hopkins%2C+MN+55343" TargetMode="External"/><Relationship Id="rId3323" Type="http://schemas.openxmlformats.org/officeDocument/2006/relationships/hyperlink" Target="https://www.google.com/maps/search/?api=1&amp;query=Radtke+Physical+Therapy+Limited+Partnership%2C+111+Golf+Course+Rd%2C+Grand+Rapids%2C+MN+55744" TargetMode="External"/><Relationship Id="rId3530" Type="http://schemas.openxmlformats.org/officeDocument/2006/relationships/hyperlink" Target="https://npiregistry.cms.hhs.gov/provider-view/1811184120" TargetMode="External"/><Relationship Id="rId451" Type="http://schemas.openxmlformats.org/officeDocument/2006/relationships/hyperlink" Target="https://www.google.com/maps/search/?api=1&amp;query=Rehabilitation+Consultants%2C+INC.%2C+880+Blue+Gentian+Rd%2C+Eagan%2C+MN+55121" TargetMode="External"/><Relationship Id="rId2132" Type="http://schemas.openxmlformats.org/officeDocument/2006/relationships/hyperlink" Target="https://npiregistry.cms.hhs.gov/provider-view/1760868236" TargetMode="External"/><Relationship Id="rId104" Type="http://schemas.openxmlformats.org/officeDocument/2006/relationships/hyperlink" Target="https://npiregistry.cms.hhs.gov/provider-view/1740555143" TargetMode="External"/><Relationship Id="rId311" Type="http://schemas.openxmlformats.org/officeDocument/2006/relationships/hyperlink" Target="https://www.google.com/maps/search/?api=1&amp;query=Integrated+Medical+Rehabilitation+of+MN.%2C+LLC%2C+14655+Galaxie+Ave%2C+Apple+Valley%2C+MN+55124" TargetMode="External"/><Relationship Id="rId1898" Type="http://schemas.openxmlformats.org/officeDocument/2006/relationships/hyperlink" Target="https://npiregistry.cms.hhs.gov/provider-view/1689723686" TargetMode="External"/><Relationship Id="rId2949" Type="http://schemas.openxmlformats.org/officeDocument/2006/relationships/hyperlink" Target="https://www.google.com/maps/search/?api=1&amp;query=Dynamic+Therapy+and+Wellness+LLC%2C+221+Main+St+N%2C+Pierz%2C+MN+56364" TargetMode="External"/><Relationship Id="rId4097" Type="http://schemas.openxmlformats.org/officeDocument/2006/relationships/hyperlink" Target="https://www.google.com/maps/search/?api=1&amp;query=Southwest+Minnesota+and+Sports+Medicine%2C+INC.+-+%28marshall%29%2C+1401+Nwakama+St%2C+Marshall%2C+MN+56258" TargetMode="External"/><Relationship Id="rId1758" Type="http://schemas.openxmlformats.org/officeDocument/2006/relationships/hyperlink" Target="https://npiregistry.cms.hhs.gov/provider-view/1598971640" TargetMode="External"/><Relationship Id="rId2809" Type="http://schemas.openxmlformats.org/officeDocument/2006/relationships/hyperlink" Target="https://www.google.com/maps/search/?api=1&amp;query=Ridgeview+Howard+Lake+Clinic%2Fwestern+Orthopaedics+%26+Sports+Medicine+Co%2C+900+6th+St%2C+Howard+Lake%2C+MN+55349" TargetMode="External"/><Relationship Id="rId1965" Type="http://schemas.openxmlformats.org/officeDocument/2006/relationships/hyperlink" Target="https://www.google.com/maps/search/?api=1&amp;query=Ingbretson+Chiropractic%2C+1752+Lexington+Ave+N%2C+Roseville%2C+MN+55113" TargetMode="External"/><Relationship Id="rId3180" Type="http://schemas.openxmlformats.org/officeDocument/2006/relationships/hyperlink" Target="https://npiregistry.cms.hhs.gov/provider-view/1992078802" TargetMode="External"/><Relationship Id="rId4024" Type="http://schemas.openxmlformats.org/officeDocument/2006/relationships/hyperlink" Target="https://npiregistry.cms.hhs.gov/provider-view/1467510750" TargetMode="External"/><Relationship Id="rId1618" Type="http://schemas.openxmlformats.org/officeDocument/2006/relationships/hyperlink" Target="https://npiregistry.cms.hhs.gov/provider-view/1659419018" TargetMode="External"/><Relationship Id="rId1825" Type="http://schemas.openxmlformats.org/officeDocument/2006/relationships/hyperlink" Target="https://www.google.com/maps/search/?api=1&amp;query=Brewer+Chi%2C+3800+Shoreline+Dr.%2C+Wayzata%2C+MN+55391" TargetMode="External"/><Relationship Id="rId3040" Type="http://schemas.openxmlformats.org/officeDocument/2006/relationships/hyperlink" Target="https://npiregistry.cms.hhs.gov/provider-view/1124246459" TargetMode="External"/><Relationship Id="rId3997" Type="http://schemas.openxmlformats.org/officeDocument/2006/relationships/hyperlink" Target="https://www.google.com/maps/search/?api=1&amp;query=Janesville+Family+Chiropractic+Center+LTD%2C+133+N+Main%2C+Janesville%2C+MN+56048" TargetMode="External"/><Relationship Id="rId2599" Type="http://schemas.openxmlformats.org/officeDocument/2006/relationships/hyperlink" Target="https://www.google.com/maps/search/?api=1&amp;query=Bloom+Physical+Therapy+and+Wellness+LLC%2C+270+72nd+St+N%2C+Mahtomedi%2C+MN+55115" TargetMode="External"/><Relationship Id="rId3857" Type="http://schemas.openxmlformats.org/officeDocument/2006/relationships/hyperlink" Target="https://www.google.com/maps/search/?api=1&amp;query=Byron+Chiropractic%2C+INC.%2C+501+NW+Frontage+Rd%2C+Byron%2C+MN+55920" TargetMode="External"/><Relationship Id="rId778" Type="http://schemas.openxmlformats.org/officeDocument/2006/relationships/hyperlink" Target="https://npiregistry.cms.hhs.gov/provider-view/1104491026" TargetMode="External"/><Relationship Id="rId985" Type="http://schemas.openxmlformats.org/officeDocument/2006/relationships/hyperlink" Target="https://www.google.com/maps/search/?api=1&amp;query=Twin+Cities+Pain+Management%2C+PLLC%2C+4444+W+76th+St%2C+Edina%2C+MN+55435" TargetMode="External"/><Relationship Id="rId2459" Type="http://schemas.openxmlformats.org/officeDocument/2006/relationships/hyperlink" Target="https://www.google.com/maps/search/?api=1&amp;query=Physiyo%2C+LLC%2C+8646+Eagle+Creek+Cir%2C+Savage%2C+MN+55378" TargetMode="External"/><Relationship Id="rId2666" Type="http://schemas.openxmlformats.org/officeDocument/2006/relationships/hyperlink" Target="https://npiregistry.cms.hhs.gov/provider-view/1699072413" TargetMode="External"/><Relationship Id="rId2873" Type="http://schemas.openxmlformats.org/officeDocument/2006/relationships/hyperlink" Target="https://www.google.com/maps/search/?api=1&amp;query=Fore+Chiropractic+%26+Wellness%2C+200+Forest+Ave+E%2C+Mora%2C+MN+55051" TargetMode="External"/><Relationship Id="rId3717" Type="http://schemas.openxmlformats.org/officeDocument/2006/relationships/hyperlink" Target="https://www.google.com/maps/search/?api=1&amp;query=Fairmont+Chiropractic+%26+Acupuncture+Healthcare%2C+LTD%2C+1125+Spruce+St%2C+Fairmont%2C+MN+56031" TargetMode="External"/><Relationship Id="rId3924" Type="http://schemas.openxmlformats.org/officeDocument/2006/relationships/hyperlink" Target="https://npiregistry.cms.hhs.gov/provider-view/1477732261" TargetMode="External"/><Relationship Id="rId638" Type="http://schemas.openxmlformats.org/officeDocument/2006/relationships/hyperlink" Target="https://npiregistry.cms.hhs.gov/provider-view/1770850489" TargetMode="External"/><Relationship Id="rId845" Type="http://schemas.openxmlformats.org/officeDocument/2006/relationships/hyperlink" Target="https://www.google.com/maps/search/?api=1&amp;query=Prospine+Health+and+Injury+Center%2C+8345+Crystal+View+Rd%2C+Eden+Prairie%2C+MN+55344" TargetMode="External"/><Relationship Id="rId1268" Type="http://schemas.openxmlformats.org/officeDocument/2006/relationships/hyperlink" Target="https://npiregistry.cms.hhs.gov/provider-view/1770999716" TargetMode="External"/><Relationship Id="rId1475" Type="http://schemas.openxmlformats.org/officeDocument/2006/relationships/hyperlink" Target="https://www.google.com/maps/search/?api=1&amp;query=Uptown+Natural+Care+Center%2C+PA.%2C+2201+Hennepin+Ave%2C+Minneapolis%2C+MN+55405" TargetMode="External"/><Relationship Id="rId1682" Type="http://schemas.openxmlformats.org/officeDocument/2006/relationships/hyperlink" Target="https://npiregistry.cms.hhs.gov/provider-view/1649677758" TargetMode="External"/><Relationship Id="rId2319" Type="http://schemas.openxmlformats.org/officeDocument/2006/relationships/hyperlink" Target="https://www.google.com/maps/search/?api=1&amp;query=Whole+Family+Chiropractic%2C+PLC%2C+2221+Ford+Pkwy%2C+St.+Paul%2C+MN+55116" TargetMode="External"/><Relationship Id="rId2526" Type="http://schemas.openxmlformats.org/officeDocument/2006/relationships/hyperlink" Target="https://npiregistry.cms.hhs.gov/provider-view/1518121656" TargetMode="External"/><Relationship Id="rId2733" Type="http://schemas.openxmlformats.org/officeDocument/2006/relationships/hyperlink" Target="https://www.google.com/maps/search/?api=1&amp;query=Schmidt+Chiropractic+Clinc%2C+PA.%2C+8360+City+Centre+Dr%2C+Woodbury%2C+MN+55125" TargetMode="External"/><Relationship Id="rId705" Type="http://schemas.openxmlformats.org/officeDocument/2006/relationships/hyperlink" Target="https://www.google.com/maps/search/?api=1&amp;query=B.p.+Spine+Center%2C+PA.%2C+3330+Brookdale+Dr+N%2C+Brooklyn+Park%2C+MN+55443" TargetMode="External"/><Relationship Id="rId1128" Type="http://schemas.openxmlformats.org/officeDocument/2006/relationships/hyperlink" Target="https://npiregistry.cms.hhs.gov/provider-view/1164620613" TargetMode="External"/><Relationship Id="rId1335" Type="http://schemas.openxmlformats.org/officeDocument/2006/relationships/hyperlink" Target="https://www.google.com/maps/search/?api=1&amp;query=Loon+State+Physical+Therapy%2C+4420+Drew+Ave+S%2C+Minneapolis%2C+MN+55410" TargetMode="External"/><Relationship Id="rId1542" Type="http://schemas.openxmlformats.org/officeDocument/2006/relationships/hyperlink" Target="https://npiregistry.cms.hhs.gov/provider-view/1336625326" TargetMode="External"/><Relationship Id="rId2940" Type="http://schemas.openxmlformats.org/officeDocument/2006/relationships/hyperlink" Target="https://npiregistry.cms.hhs.gov/provider-view/1174089783" TargetMode="External"/><Relationship Id="rId912" Type="http://schemas.openxmlformats.org/officeDocument/2006/relationships/hyperlink" Target="https://npiregistry.cms.hhs.gov/provider-view/1447644257" TargetMode="External"/><Relationship Id="rId2800" Type="http://schemas.openxmlformats.org/officeDocument/2006/relationships/hyperlink" Target="https://npiregistry.cms.hhs.gov/provider-view/1770608564" TargetMode="External"/><Relationship Id="rId41" Type="http://schemas.openxmlformats.org/officeDocument/2006/relationships/hyperlink" Target="https://www.google.com/maps/search/?api=1&amp;query=Dr.+Andrew+Brown+Chiropracitc+PC%2C+12203+Aberdeen+St+NE%2C+Blaine%2C+MN+55449" TargetMode="External"/><Relationship Id="rId1402" Type="http://schemas.openxmlformats.org/officeDocument/2006/relationships/hyperlink" Target="https://npiregistry.cms.hhs.gov/provider-view/1255730917" TargetMode="External"/><Relationship Id="rId288" Type="http://schemas.openxmlformats.org/officeDocument/2006/relationships/hyperlink" Target="https://npiregistry.cms.hhs.gov/provider-view/1104865179" TargetMode="External"/><Relationship Id="rId3367" Type="http://schemas.openxmlformats.org/officeDocument/2006/relationships/hyperlink" Target="https://www.google.com/maps/search/?api=1&amp;query=Chester+Creek+Chiropractic%2C+1324+E+4th+St%2C+Duluth%2C+MN+55805" TargetMode="External"/><Relationship Id="rId3574" Type="http://schemas.openxmlformats.org/officeDocument/2006/relationships/hyperlink" Target="https://npiregistry.cms.hhs.gov/provider-view/1003272154" TargetMode="External"/><Relationship Id="rId3781" Type="http://schemas.openxmlformats.org/officeDocument/2006/relationships/hyperlink" Target="https://www.google.com/maps/search/?api=1&amp;query=Tubbs+Chiropractic%2C+PA.%2C+226+W+Clark+St%2C+Albert+Lea%2C+MN+56007" TargetMode="External"/><Relationship Id="rId495" Type="http://schemas.openxmlformats.org/officeDocument/2006/relationships/hyperlink" Target="https://www.google.com/maps/search/?api=1&amp;query=Summit+Orthopedics%2C+LTD.%2C+1285+Nininger+Rd%2C+Hastings%2C+MN+55033" TargetMode="External"/><Relationship Id="rId2176" Type="http://schemas.openxmlformats.org/officeDocument/2006/relationships/hyperlink" Target="https://npiregistry.cms.hhs.gov/provider-view/1225506942" TargetMode="External"/><Relationship Id="rId2383" Type="http://schemas.openxmlformats.org/officeDocument/2006/relationships/hyperlink" Target="https://www.google.com/maps/search/?api=1&amp;query=Back+To+Health+Chiropractic+Center%2C+PA.%2C+730+Main+St%2C+Elko%2C+MN+55020" TargetMode="External"/><Relationship Id="rId2590" Type="http://schemas.openxmlformats.org/officeDocument/2006/relationships/hyperlink" Target="https://npiregistry.cms.hhs.gov/provider-view/1972723633" TargetMode="External"/><Relationship Id="rId3227" Type="http://schemas.openxmlformats.org/officeDocument/2006/relationships/hyperlink" Target="https://www.google.com/maps/search/?api=1&amp;query=Select+Therapy%2C+INC.%2C+14884+Kirkwood+Drive%2C+Baxter%2C+MN+56425" TargetMode="External"/><Relationship Id="rId3434" Type="http://schemas.openxmlformats.org/officeDocument/2006/relationships/hyperlink" Target="https://npiregistry.cms.hhs.gov/provider-view/1942438692" TargetMode="External"/><Relationship Id="rId3641" Type="http://schemas.openxmlformats.org/officeDocument/2006/relationships/hyperlink" Target="https://www.google.com/maps/search/?api=1&amp;query=Bodikey+Physical+Therapy%2C+LLC%2C+1522+N+Riverfront+Dr%2C+Mankato%2C+MN+56001" TargetMode="External"/><Relationship Id="rId148" Type="http://schemas.openxmlformats.org/officeDocument/2006/relationships/hyperlink" Target="https://npiregistry.cms.hhs.gov/provider-view/1407144579" TargetMode="External"/><Relationship Id="rId355" Type="http://schemas.openxmlformats.org/officeDocument/2006/relationships/hyperlink" Target="https://www.google.com/maps/search/?api=1&amp;query=Hidden+Valley+Chiropractic%2C+3701+Highway+13+W%2C+Burnsville%2C+MN+55337" TargetMode="External"/><Relationship Id="rId562" Type="http://schemas.openxmlformats.org/officeDocument/2006/relationships/hyperlink" Target="https://npiregistry.cms.hhs.gov/provider-view/1922056126" TargetMode="External"/><Relationship Id="rId1192" Type="http://schemas.openxmlformats.org/officeDocument/2006/relationships/hyperlink" Target="https://npiregistry.cms.hhs.gov/provider-view/1467865865" TargetMode="External"/><Relationship Id="rId2036" Type="http://schemas.openxmlformats.org/officeDocument/2006/relationships/hyperlink" Target="https://npiregistry.cms.hhs.gov/provider-view/1437310711" TargetMode="External"/><Relationship Id="rId2243" Type="http://schemas.openxmlformats.org/officeDocument/2006/relationships/hyperlink" Target="https://www.google.com/maps/search/?api=1&amp;query=Rose+Chiropractic+Care%2C+P.+A.%2C+661+Dale+St+N%2C+St.+Paul%2C+MN+55103" TargetMode="External"/><Relationship Id="rId2450" Type="http://schemas.openxmlformats.org/officeDocument/2006/relationships/hyperlink" Target="https://npiregistry.cms.hhs.gov/provider-view/1528404142" TargetMode="External"/><Relationship Id="rId3501" Type="http://schemas.openxmlformats.org/officeDocument/2006/relationships/hyperlink" Target="https://www.google.com/maps/search/?api=1&amp;query=Legacy+Chiropractic+and+Wellness+PLLC%2C+1675+Center+Ave+W%2C+Dilworth%2C+MN+56529" TargetMode="External"/><Relationship Id="rId215" Type="http://schemas.openxmlformats.org/officeDocument/2006/relationships/hyperlink" Target="https://www.google.com/maps/search/?api=1&amp;query=Osr+Physical+Therapy+Limited+Partnership%2C+110105+Pioneer+Trl+W%2C+Chaska%2C+MN+55318" TargetMode="External"/><Relationship Id="rId422" Type="http://schemas.openxmlformats.org/officeDocument/2006/relationships/hyperlink" Target="https://npiregistry.cms.hhs.gov/provider-view/1851692289" TargetMode="External"/><Relationship Id="rId1052" Type="http://schemas.openxmlformats.org/officeDocument/2006/relationships/hyperlink" Target="https://npiregistry.cms.hhs.gov/provider-view/1720485394" TargetMode="External"/><Relationship Id="rId2103" Type="http://schemas.openxmlformats.org/officeDocument/2006/relationships/hyperlink" Target="https://www.google.com/maps/search/?api=1&amp;query=Community+Health+Chiropractic+Clinic%2C+PA.%2C+393+Maryland+Ave+E%2C+St.+Paul%2C+MN+55130" TargetMode="External"/><Relationship Id="rId2310" Type="http://schemas.openxmlformats.org/officeDocument/2006/relationships/hyperlink" Target="https://npiregistry.cms.hhs.gov/provider-view/1326455452" TargetMode="External"/><Relationship Id="rId4068" Type="http://schemas.openxmlformats.org/officeDocument/2006/relationships/hyperlink" Target="https://npiregistry.cms.hhs.gov/provider-view/1942809900" TargetMode="External"/><Relationship Id="rId1869" Type="http://schemas.openxmlformats.org/officeDocument/2006/relationships/hyperlink" Target="https://www.google.com/maps/search/?api=1&amp;query=Bohnen+Chiropractic+Center+P+A%2C+401+East+Dual+Blvd%2C+Isanti%2C+MN+55040" TargetMode="External"/><Relationship Id="rId3084" Type="http://schemas.openxmlformats.org/officeDocument/2006/relationships/hyperlink" Target="https://npiregistry.cms.hhs.gov/provider-view/1841561537" TargetMode="External"/><Relationship Id="rId3291" Type="http://schemas.openxmlformats.org/officeDocument/2006/relationships/hyperlink" Target="https://www.google.com/maps/search/?api=1&amp;query=Newman+Chiropractic+PC%2C+10+W+Highway+2%2C+Cohasset%2C+MN+55721" TargetMode="External"/><Relationship Id="rId4135" Type="http://schemas.openxmlformats.org/officeDocument/2006/relationships/hyperlink" Target="https://www.google.com/maps/search/?api=1&amp;query=Redwood+Health+%26+Wellness%2C+523+E+Bridge+St%2C+Redwood+Falls%2C+MN+56283" TargetMode="External"/><Relationship Id="rId1729" Type="http://schemas.openxmlformats.org/officeDocument/2006/relationships/hyperlink" Target="https://www.google.com/maps/search/?api=1&amp;query=Rogers+Chiropractic+PA%2C+21370+John+Milless+Dr%2C+Rogers%2C+MN+55374" TargetMode="External"/><Relationship Id="rId1936" Type="http://schemas.openxmlformats.org/officeDocument/2006/relationships/hyperlink" Target="https://npiregistry.cms.hhs.gov/provider-view/1457549172" TargetMode="External"/><Relationship Id="rId3151" Type="http://schemas.openxmlformats.org/officeDocument/2006/relationships/hyperlink" Target="https://www.google.com/maps/search/?api=1&amp;query=Deep+Rock+Chiropractic+PC%2C+1900+Division+St+W%2C+Bemidji%2C+MN+56601" TargetMode="External"/><Relationship Id="rId3011" Type="http://schemas.openxmlformats.org/officeDocument/2006/relationships/hyperlink" Target="https://www.google.com/maps/search/?api=1&amp;query=Regional+Diagnostic+Radiology%2C+1990+Connecticut+Ave+S%2C+Sartell%2C+MN+56377" TargetMode="External"/><Relationship Id="rId3968" Type="http://schemas.openxmlformats.org/officeDocument/2006/relationships/hyperlink" Target="https://npiregistry.cms.hhs.gov/provider-view/1083882849" TargetMode="External"/><Relationship Id="rId5" Type="http://schemas.openxmlformats.org/officeDocument/2006/relationships/hyperlink" Target="https://www.google.com/maps/search/?api=1&amp;query=Andrews+Chiropractic%2C+PA.%2C+3368+Bunker+Lake+Blvd+NW%2C+Andover%2C+MN+55304" TargetMode="External"/><Relationship Id="rId889" Type="http://schemas.openxmlformats.org/officeDocument/2006/relationships/hyperlink" Target="https://www.google.com/maps/search/?api=1&amp;query=Burke+Chiropractic+Center+PA.%2C+7250+France+Ave+S%2C+Edina%2C+MN+55435" TargetMode="External"/><Relationship Id="rId2777" Type="http://schemas.openxmlformats.org/officeDocument/2006/relationships/hyperlink" Target="https://www.google.com/maps/search/?api=1&amp;query=Kuzma+Chiropractic+PA%2C+105+Center+Dr%2C+Buffalo%2C+MN+55313" TargetMode="External"/><Relationship Id="rId749" Type="http://schemas.openxmlformats.org/officeDocument/2006/relationships/hyperlink" Target="https://www.google.com/maps/search/?api=1&amp;query=Soli+Chiropractic%2C+PA%2C+7240+Brooklyn+Blvd%2C+Brooklyn+Park%2C+MN+55429" TargetMode="External"/><Relationship Id="rId1379" Type="http://schemas.openxmlformats.org/officeDocument/2006/relationships/hyperlink" Target="https://www.google.com/maps/search/?api=1&amp;query=Morrow+Accident+Rehabilitation+Center%2C+125+Main+St+SE%2C+Minneapolis%2C+MN+55414" TargetMode="External"/><Relationship Id="rId1586" Type="http://schemas.openxmlformats.org/officeDocument/2006/relationships/hyperlink" Target="https://npiregistry.cms.hhs.gov/provider-view/1386867844" TargetMode="External"/><Relationship Id="rId2984" Type="http://schemas.openxmlformats.org/officeDocument/2006/relationships/hyperlink" Target="https://npiregistry.cms.hhs.gov/provider-view/1861693269" TargetMode="External"/><Relationship Id="rId3828" Type="http://schemas.openxmlformats.org/officeDocument/2006/relationships/hyperlink" Target="https://npiregistry.cms.hhs.gov/provider-view/1245419282" TargetMode="External"/><Relationship Id="rId609" Type="http://schemas.openxmlformats.org/officeDocument/2006/relationships/hyperlink" Target="https://www.google.com/maps/search/?api=1&amp;query=Body+Balance+For+Performance%2C+2070+W+96th+St%2C+Bloomington%2C+MN+55431" TargetMode="External"/><Relationship Id="rId956" Type="http://schemas.openxmlformats.org/officeDocument/2006/relationships/hyperlink" Target="https://npiregistry.cms.hhs.gov/provider-view/1750584777" TargetMode="External"/><Relationship Id="rId1239" Type="http://schemas.openxmlformats.org/officeDocument/2006/relationships/hyperlink" Target="https://www.google.com/maps/search/?api=1&amp;query=Cultural+Chiropractic%2C+PA%2C+2009+Plymouth+Ave+N%2C+Minneapolis%2C+MN+55411" TargetMode="External"/><Relationship Id="rId1793" Type="http://schemas.openxmlformats.org/officeDocument/2006/relationships/hyperlink" Target="https://www.google.com/maps/search/?api=1&amp;query=Phoenix+Center+LLC%2C+4418+Excelsior+Blvd%2C+St.+Louis+Park%2C+MN+55416" TargetMode="External"/><Relationship Id="rId2637" Type="http://schemas.openxmlformats.org/officeDocument/2006/relationships/hyperlink" Target="https://www.google.com/maps/search/?api=1&amp;query=Anchored+Health+Chiropractic+PLLC%2C+1060+Curve+Crest+Blvd+W%2C+Stillwater%2C+MN+55082" TargetMode="External"/><Relationship Id="rId2844" Type="http://schemas.openxmlformats.org/officeDocument/2006/relationships/hyperlink" Target="https://npiregistry.cms.hhs.gov/provider-view/1902997703" TargetMode="External"/><Relationship Id="rId85" Type="http://schemas.openxmlformats.org/officeDocument/2006/relationships/hyperlink" Target="https://www.google.com/maps/search/?api=1&amp;query=Minnesota+Spine+and+Pain+Institute%2C+PA%2C+5174+Central+Ave+NE%2C+Columbia+Heights%2C+MN+55421" TargetMode="External"/><Relationship Id="rId816" Type="http://schemas.openxmlformats.org/officeDocument/2006/relationships/hyperlink" Target="https://npiregistry.cms.hhs.gov/provider-view/1700159878" TargetMode="External"/><Relationship Id="rId1446" Type="http://schemas.openxmlformats.org/officeDocument/2006/relationships/hyperlink" Target="https://npiregistry.cms.hhs.gov/provider-view/1316319528" TargetMode="External"/><Relationship Id="rId1653" Type="http://schemas.openxmlformats.org/officeDocument/2006/relationships/hyperlink" Target="https://www.google.com/maps/search/?api=1&amp;query=Sundberg+Chiropractic%2C+PA.%2C+14332+21st+Ave+N%2C+Plymouth%2C+MN+55447" TargetMode="External"/><Relationship Id="rId1860" Type="http://schemas.openxmlformats.org/officeDocument/2006/relationships/hyperlink" Target="https://npiregistry.cms.hhs.gov/provider-view/1336385723" TargetMode="External"/><Relationship Id="rId2704" Type="http://schemas.openxmlformats.org/officeDocument/2006/relationships/hyperlink" Target="https://npiregistry.cms.hhs.gov/provider-view/1497978134" TargetMode="External"/><Relationship Id="rId2911" Type="http://schemas.openxmlformats.org/officeDocument/2006/relationships/hyperlink" Target="https://www.google.com/maps/search/?api=1&amp;query=Patten+Chiropractic+Center%2C+PA%2C+1455+US+Highway+12%2C+Litchfield%2C+MN+55355" TargetMode="External"/><Relationship Id="rId1306" Type="http://schemas.openxmlformats.org/officeDocument/2006/relationships/hyperlink" Target="https://npiregistry.cms.hhs.gov/provider-view/1184998510" TargetMode="External"/><Relationship Id="rId1513" Type="http://schemas.openxmlformats.org/officeDocument/2006/relationships/hyperlink" Target="https://www.google.com/maps/search/?api=1&amp;query=Conscious+Living+Clinic%2C+1730+Plymouth+Rd%2C+Minnetonka%2C+MN+55305" TargetMode="External"/><Relationship Id="rId1720" Type="http://schemas.openxmlformats.org/officeDocument/2006/relationships/hyperlink" Target="https://npiregistry.cms.hhs.gov/provider-view/1891076949" TargetMode="External"/><Relationship Id="rId12" Type="http://schemas.openxmlformats.org/officeDocument/2006/relationships/hyperlink" Target="https://npiregistry.cms.hhs.gov/provider-view/1225251770" TargetMode="External"/><Relationship Id="rId3478" Type="http://schemas.openxmlformats.org/officeDocument/2006/relationships/hyperlink" Target="https://npiregistry.cms.hhs.gov/provider-view/1003145376" TargetMode="External"/><Relationship Id="rId3685" Type="http://schemas.openxmlformats.org/officeDocument/2006/relationships/hyperlink" Target="https://www.google.com/maps/search/?api=1&amp;query=Neubauer+Family+Chiropractic%2C+PA.%2C+1316+S+Broadway+St%2C+New+Ulm%2C+MN+56073" TargetMode="External"/><Relationship Id="rId3892" Type="http://schemas.openxmlformats.org/officeDocument/2006/relationships/hyperlink" Target="https://npiregistry.cms.hhs.gov/provider-view/1710293832" TargetMode="External"/><Relationship Id="rId399" Type="http://schemas.openxmlformats.org/officeDocument/2006/relationships/hyperlink" Target="https://www.google.com/maps/search/?api=1&amp;query=Acu-Chiropractic+Wellness+Center%2C+PA%2C+4590+Scott+Trl%2C+Eagan%2C+MN+55122" TargetMode="External"/><Relationship Id="rId2287" Type="http://schemas.openxmlformats.org/officeDocument/2006/relationships/hyperlink" Target="https://www.google.com/maps/search/?api=1&amp;query=Twin+Cities+Medical+Group+PLLC%2C+2785+White+Bear+Ave+N%2C+St.+Paul%2C+MN+55109" TargetMode="External"/><Relationship Id="rId2494" Type="http://schemas.openxmlformats.org/officeDocument/2006/relationships/hyperlink" Target="https://npiregistry.cms.hhs.gov/provider-view/1992954853" TargetMode="External"/><Relationship Id="rId3338" Type="http://schemas.openxmlformats.org/officeDocument/2006/relationships/hyperlink" Target="https://npiregistry.cms.hhs.gov/provider-view/1770199226" TargetMode="External"/><Relationship Id="rId3545" Type="http://schemas.openxmlformats.org/officeDocument/2006/relationships/hyperlink" Target="https://www.google.com/maps/search/?api=1&amp;query=Godfrey+Chiropractic+Clinic+INC%2C+119+6th+Ave+E%2C+Alexandria%2C+MN+56308" TargetMode="External"/><Relationship Id="rId3752" Type="http://schemas.openxmlformats.org/officeDocument/2006/relationships/hyperlink" Target="https://npiregistry.cms.hhs.gov/provider-view/1659873420" TargetMode="External"/><Relationship Id="rId259" Type="http://schemas.openxmlformats.org/officeDocument/2006/relationships/hyperlink" Target="https://www.google.com/maps/search/?api=1&amp;query=Lakes+Area+Chiropractic+Clinic%2C+12814+Lake+Blvd%2C+Lindstrom%2C+MN+55045" TargetMode="External"/><Relationship Id="rId466" Type="http://schemas.openxmlformats.org/officeDocument/2006/relationships/hyperlink" Target="https://npiregistry.cms.hhs.gov/provider-view/1780910802" TargetMode="External"/><Relationship Id="rId673" Type="http://schemas.openxmlformats.org/officeDocument/2006/relationships/hyperlink" Target="https://www.google.com/maps/search/?api=1&amp;query=Boulevard+Natural+Healing+Arts%2C+PA%2C+6142+Brooklyn+Blvd%2C+Brooklyn+Center%2C+MN+55429" TargetMode="External"/><Relationship Id="rId880" Type="http://schemas.openxmlformats.org/officeDocument/2006/relationships/hyperlink" Target="https://npiregistry.cms.hhs.gov/provider-view/1730105495" TargetMode="External"/><Relationship Id="rId1096" Type="http://schemas.openxmlformats.org/officeDocument/2006/relationships/hyperlink" Target="https://npiregistry.cms.hhs.gov/provider-view/1497175467" TargetMode="External"/><Relationship Id="rId2147" Type="http://schemas.openxmlformats.org/officeDocument/2006/relationships/hyperlink" Target="https://www.google.com/maps/search/?api=1&amp;query=Healing+Hands+Wellness+Center%2C+LLC%2C+1036+Cleveland+Ave+S%2C+St.+Paul%2C+MN+55116" TargetMode="External"/><Relationship Id="rId2354" Type="http://schemas.openxmlformats.org/officeDocument/2006/relationships/hyperlink" Target="https://npiregistry.cms.hhs.gov/provider-view/1154743300" TargetMode="External"/><Relationship Id="rId2561" Type="http://schemas.openxmlformats.org/officeDocument/2006/relationships/hyperlink" Target="https://www.google.com/maps/search/?api=1&amp;query=The+Wellness+Way+Cottage+Grove+LLC%2C+7145+E+Point+Douglas+Rd+S%2C+Cottage+Grove%2C+MN+55016" TargetMode="External"/><Relationship Id="rId3405" Type="http://schemas.openxmlformats.org/officeDocument/2006/relationships/hyperlink" Target="https://www.google.com/maps/search/?api=1&amp;query=Pure+Chiropractic%2C+PA%2C+404+W+Superior+St%2C+Duluth%2C+MN+55802" TargetMode="External"/><Relationship Id="rId119" Type="http://schemas.openxmlformats.org/officeDocument/2006/relationships/hyperlink" Target="https://www.google.com/maps/search/?api=1&amp;query=Summit+Orthopedics%2C+LTD%2C+146+Lake+St+N%2C+Forest+Lake%2C+MN+55025" TargetMode="External"/><Relationship Id="rId326" Type="http://schemas.openxmlformats.org/officeDocument/2006/relationships/hyperlink" Target="https://npiregistry.cms.hhs.gov/provider-view/1225203185" TargetMode="External"/><Relationship Id="rId533" Type="http://schemas.openxmlformats.org/officeDocument/2006/relationships/hyperlink" Target="https://www.google.com/maps/search/?api=1&amp;query=Lakeville+Family+Health+Clinic%2C+LTD%2C+16283+Ipava+Ave%2C+Lakeville%2C+MN+55044" TargetMode="External"/><Relationship Id="rId1163" Type="http://schemas.openxmlformats.org/officeDocument/2006/relationships/hyperlink" Target="https://www.google.com/maps/search/?api=1&amp;query=Spine+%26+Sports+Institute%2C+9325+Upland+Lane+N%2C+Maple+Grove%2C+MN+55369" TargetMode="External"/><Relationship Id="rId1370" Type="http://schemas.openxmlformats.org/officeDocument/2006/relationships/hyperlink" Target="https://npiregistry.cms.hhs.gov/provider-view/1033401930" TargetMode="External"/><Relationship Id="rId2007" Type="http://schemas.openxmlformats.org/officeDocument/2006/relationships/hyperlink" Target="https://www.google.com/maps/search/?api=1&amp;query=Chiropractic+Servics+LTD.%2C+1050+County+Road+E+W%2C+Shoreview%2C+MN+55126" TargetMode="External"/><Relationship Id="rId2214" Type="http://schemas.openxmlformats.org/officeDocument/2006/relationships/hyperlink" Target="https://npiregistry.cms.hhs.gov/provider-view/1538351945" TargetMode="External"/><Relationship Id="rId3612" Type="http://schemas.openxmlformats.org/officeDocument/2006/relationships/hyperlink" Target="https://npiregistry.cms.hhs.gov/provider-view/1932113768" TargetMode="External"/><Relationship Id="rId740" Type="http://schemas.openxmlformats.org/officeDocument/2006/relationships/hyperlink" Target="https://npiregistry.cms.hhs.gov/provider-view/1447668678" TargetMode="External"/><Relationship Id="rId1023" Type="http://schemas.openxmlformats.org/officeDocument/2006/relationships/hyperlink" Target="https://www.google.com/maps/search/?api=1&amp;query=Back+In+Shape+Chiropractic%2C+669+Winnetka+Ave+N%2C+Golden+Valley%2C+MN+55427" TargetMode="External"/><Relationship Id="rId2421" Type="http://schemas.openxmlformats.org/officeDocument/2006/relationships/hyperlink" Target="https://www.google.com/maps/search/?api=1&amp;query=Pivotal+Family+Chiropractic+LLC%2C+16731+Highway+13+S%2C+Prior+Lake%2C+MN+55372" TargetMode="External"/><Relationship Id="rId600" Type="http://schemas.openxmlformats.org/officeDocument/2006/relationships/hyperlink" Target="https://npiregistry.cms.hhs.gov/provider-view/1417153925" TargetMode="External"/><Relationship Id="rId1230" Type="http://schemas.openxmlformats.org/officeDocument/2006/relationships/hyperlink" Target="https://npiregistry.cms.hhs.gov/provider-view/1992929541" TargetMode="External"/><Relationship Id="rId3195" Type="http://schemas.openxmlformats.org/officeDocument/2006/relationships/hyperlink" Target="https://www.google.com/maps/search/?api=1&amp;query=Sanford+Health+Walker+Rehab+Services%2C+106+5th+St+South%2C+Walker%2C+MN+56484" TargetMode="External"/><Relationship Id="rId4039" Type="http://schemas.openxmlformats.org/officeDocument/2006/relationships/hyperlink" Target="https://www.google.com/maps/search/?api=1&amp;query=Preferred+Health+of+Montevideo%2C+PA.%2C+1845+E+Highway+7%2C+Montevideo%2C+MN+56265" TargetMode="External"/><Relationship Id="rId3055" Type="http://schemas.openxmlformats.org/officeDocument/2006/relationships/hyperlink" Target="https://www.google.com/maps/search/?api=1&amp;query=Gerhardson+Chiropractic+LLC%2C+3333+W+Division+St%2C+St.+Cloud%2C+MN+56301" TargetMode="External"/><Relationship Id="rId3262" Type="http://schemas.openxmlformats.org/officeDocument/2006/relationships/hyperlink" Target="https://npiregistry.cms.hhs.gov/provider-view/1134397094" TargetMode="External"/><Relationship Id="rId4106" Type="http://schemas.openxmlformats.org/officeDocument/2006/relationships/hyperlink" Target="https://npiregistry.cms.hhs.gov/provider-view/1245313212" TargetMode="External"/><Relationship Id="rId183" Type="http://schemas.openxmlformats.org/officeDocument/2006/relationships/hyperlink" Target="https://www.google.com/maps/search/?api=1&amp;query=Oneil+Chiropractic+PA%2C+2675+W+78th+St%2C+Chanhassen%2C+MN+55317" TargetMode="External"/><Relationship Id="rId390" Type="http://schemas.openxmlformats.org/officeDocument/2006/relationships/hyperlink" Target="https://npiregistry.cms.hhs.gov/provider-view/1386841781" TargetMode="External"/><Relationship Id="rId1907" Type="http://schemas.openxmlformats.org/officeDocument/2006/relationships/hyperlink" Target="https://www.google.com/maps/search/?api=1&amp;query=Specific+Family+Chiropractic%2C+LLC%2C+2785+White+Bear+Ave+N%2C+Maplewood%2C+MN+55109" TargetMode="External"/><Relationship Id="rId2071" Type="http://schemas.openxmlformats.org/officeDocument/2006/relationships/hyperlink" Target="https://www.google.com/maps/search/?api=1&amp;query=Cascade+Chiropractic+PC.%2C+1390+W.+7th+Street%2C+St.+Paul%2C+MN+55102" TargetMode="External"/><Relationship Id="rId3122" Type="http://schemas.openxmlformats.org/officeDocument/2006/relationships/hyperlink" Target="https://npiregistry.cms.hhs.gov/provider-view/1578733671" TargetMode="External"/><Relationship Id="rId250" Type="http://schemas.openxmlformats.org/officeDocument/2006/relationships/hyperlink" Target="https://npiregistry.cms.hhs.gov/provider-view/1598960247" TargetMode="External"/><Relationship Id="rId110" Type="http://schemas.openxmlformats.org/officeDocument/2006/relationships/hyperlink" Target="https://npiregistry.cms.hhs.gov/provider-view/1346886298" TargetMode="External"/><Relationship Id="rId2888" Type="http://schemas.openxmlformats.org/officeDocument/2006/relationships/hyperlink" Target="https://npiregistry.cms.hhs.gov/provider-view/1598270738" TargetMode="External"/><Relationship Id="rId3939" Type="http://schemas.openxmlformats.org/officeDocument/2006/relationships/hyperlink" Target="https://www.google.com/maps/search/?api=1&amp;query=Humfeld+Family+Chiropractic%2C+PC.%2C+119+Central+Ave+N%2C+Faribault%2C+MN+55021" TargetMode="External"/><Relationship Id="rId1697" Type="http://schemas.openxmlformats.org/officeDocument/2006/relationships/hyperlink" Target="https://www.google.com/maps/search/?api=1&amp;query=Healthplus+Chiropractic+Clinic%2C+PA.%2C+4080+W+Broadway+Ave%2C+Robbinsdale%2C+MN+55422" TargetMode="External"/><Relationship Id="rId2748" Type="http://schemas.openxmlformats.org/officeDocument/2006/relationships/hyperlink" Target="https://npiregistry.cms.hhs.gov/provider-view/1699199737" TargetMode="External"/><Relationship Id="rId2955" Type="http://schemas.openxmlformats.org/officeDocument/2006/relationships/hyperlink" Target="https://www.google.com/maps/search/?api=1&amp;query=Nilsson+Chiropractic%2C+253+5th+St+SE%2C+Pine+City%2C+MN+55063" TargetMode="External"/><Relationship Id="rId927" Type="http://schemas.openxmlformats.org/officeDocument/2006/relationships/hyperlink" Target="https://www.google.com/maps/search/?api=1&amp;query=Kc+Core%2C+6545+France+Ave+S%2C+Edina%2C+MN+55435" TargetMode="External"/><Relationship Id="rId1557" Type="http://schemas.openxmlformats.org/officeDocument/2006/relationships/hyperlink" Target="https://www.google.com/maps/search/?api=1&amp;query=Keystone+Chiropractic+Health+Centre+PA%2C+2305+Commerce+Blvd%2C+Mound%2C+MN+55364" TargetMode="External"/><Relationship Id="rId1764" Type="http://schemas.openxmlformats.org/officeDocument/2006/relationships/hyperlink" Target="https://npiregistry.cms.hhs.gov/provider-view/1497774640" TargetMode="External"/><Relationship Id="rId1971" Type="http://schemas.openxmlformats.org/officeDocument/2006/relationships/hyperlink" Target="https://www.google.com/maps/search/?api=1&amp;query=Minnesota+Pain+Relief+and+Wellness+Institute+PA%2C+2151+Hamline+Ave+N%2C+Roseville%2C+MN+55113" TargetMode="External"/><Relationship Id="rId2608" Type="http://schemas.openxmlformats.org/officeDocument/2006/relationships/hyperlink" Target="https://npiregistry.cms.hhs.gov/provider-view/1912415159" TargetMode="External"/><Relationship Id="rId2815" Type="http://schemas.openxmlformats.org/officeDocument/2006/relationships/hyperlink" Target="https://www.google.com/maps/search/?api=1&amp;query=Atlas+Advantage+Chiropractic+LLC.%2C+9766+Fallon+Ave+NE%2C+Monticello%2C+MN+55362" TargetMode="External"/><Relationship Id="rId56" Type="http://schemas.openxmlformats.org/officeDocument/2006/relationships/hyperlink" Target="https://npiregistry.cms.hhs.gov/provider-view/1023381043" TargetMode="External"/><Relationship Id="rId1417" Type="http://schemas.openxmlformats.org/officeDocument/2006/relationships/hyperlink" Target="https://www.google.com/maps/search/?api=1&amp;query=Rivera+Chiropractic+Center%2C+3647+Cedar+Ave+S%2C+Minneapolis%2C+MN+55407" TargetMode="External"/><Relationship Id="rId1624" Type="http://schemas.openxmlformats.org/officeDocument/2006/relationships/hyperlink" Target="https://npiregistry.cms.hhs.gov/provider-view/1427353093" TargetMode="External"/><Relationship Id="rId1831" Type="http://schemas.openxmlformats.org/officeDocument/2006/relationships/hyperlink" Target="https://www.google.com/maps/search/?api=1&amp;query=Deephaven+Chiropractic%2C+PA.%2C+18281+Minnetonka+Blvd%2C+Wayzata%2C+MN+55391" TargetMode="External"/><Relationship Id="rId4030" Type="http://schemas.openxmlformats.org/officeDocument/2006/relationships/hyperlink" Target="https://npiregistry.cms.hhs.gov/provider-view/1669599908" TargetMode="External"/><Relationship Id="rId3589" Type="http://schemas.openxmlformats.org/officeDocument/2006/relationships/hyperlink" Target="https://www.google.com/maps/search/?api=1&amp;query=Vistad+Chiropractic+Clinic+PA%2C+301+North+Union%2C+Fergus+Falls%2C+MN+56537" TargetMode="External"/><Relationship Id="rId3796" Type="http://schemas.openxmlformats.org/officeDocument/2006/relationships/hyperlink" Target="https://npiregistry.cms.hhs.gov/provider-view/1467676346" TargetMode="External"/><Relationship Id="rId2398" Type="http://schemas.openxmlformats.org/officeDocument/2006/relationships/hyperlink" Target="https://npiregistry.cms.hhs.gov/provider-view/1730302118" TargetMode="External"/><Relationship Id="rId3449" Type="http://schemas.openxmlformats.org/officeDocument/2006/relationships/hyperlink" Target="https://www.google.com/maps/search/?api=1&amp;query=Value+Medical+Imaging%2C+2900+E+Beltline%2C+Hibbing%2C+MN+55746" TargetMode="External"/><Relationship Id="rId577" Type="http://schemas.openxmlformats.org/officeDocument/2006/relationships/hyperlink" Target="https://www.google.com/maps/search/?api=1&amp;query=South+St.+Paul+Family+Chiropractic%2C+LTD%2C+1345+Thompson+Ave%2C+South+St+Paul%2C+MN+55075" TargetMode="External"/><Relationship Id="rId2258" Type="http://schemas.openxmlformats.org/officeDocument/2006/relationships/hyperlink" Target="https://npiregistry.cms.hhs.gov/provider-view/1124272398" TargetMode="External"/><Relationship Id="rId3656" Type="http://schemas.openxmlformats.org/officeDocument/2006/relationships/hyperlink" Target="https://npiregistry.cms.hhs.gov/provider-view/1952810996" TargetMode="External"/><Relationship Id="rId3863" Type="http://schemas.openxmlformats.org/officeDocument/2006/relationships/hyperlink" Target="https://www.google.com/maps/search/?api=1&amp;query=Achieve+Results+Physical+Therapy%2C+2001+2nd+St+SW%2C+Rochester%2C+MN+55902" TargetMode="External"/><Relationship Id="rId784" Type="http://schemas.openxmlformats.org/officeDocument/2006/relationships/hyperlink" Target="https://npiregistry.cms.hhs.gov/provider-view/1487747226" TargetMode="External"/><Relationship Id="rId991" Type="http://schemas.openxmlformats.org/officeDocument/2006/relationships/hyperlink" Target="https://www.google.com/maps/search/?api=1&amp;query=Viverant%2C+LLC%2C+5400+France+Ave+S%2C+Edina%2C+MN+55410" TargetMode="External"/><Relationship Id="rId1067" Type="http://schemas.openxmlformats.org/officeDocument/2006/relationships/hyperlink" Target="https://www.google.com/maps/search/?api=1&amp;query=Valley+Wellness%2C+1710+Douglas+Dr+N%2C+Golden+Valley%2C+MN+55422" TargetMode="External"/><Relationship Id="rId2465" Type="http://schemas.openxmlformats.org/officeDocument/2006/relationships/hyperlink" Target="https://www.google.com/maps/search/?api=1&amp;query=Ascension+Chiropractic%2C+1914+Parkway+Ave%2C+Shakopee%2C+MN+55379" TargetMode="External"/><Relationship Id="rId2672" Type="http://schemas.openxmlformats.org/officeDocument/2006/relationships/hyperlink" Target="https://npiregistry.cms.hhs.gov/provider-view/1215601299" TargetMode="External"/><Relationship Id="rId3309" Type="http://schemas.openxmlformats.org/officeDocument/2006/relationships/hyperlink" Target="https://www.google.com/maps/search/?api=1&amp;query=Northern+Pines+Orthopaedic+Center%2C+LLC%2C+111+Golf+Course+Rd%2C+Grand+Rapids%2C+MN+55744" TargetMode="External"/><Relationship Id="rId3516" Type="http://schemas.openxmlformats.org/officeDocument/2006/relationships/hyperlink" Target="https://npiregistry.cms.hhs.gov/provider-view/1720431802" TargetMode="External"/><Relationship Id="rId3723" Type="http://schemas.openxmlformats.org/officeDocument/2006/relationships/hyperlink" Target="https://www.google.com/maps/search/?api=1&amp;query=Wohlrabe+Chiropractic+%26+Acupuncture%2C+PA.%2C+11+Chestnut+St+E%2C+Trimont%2C+MN+56176" TargetMode="External"/><Relationship Id="rId3930" Type="http://schemas.openxmlformats.org/officeDocument/2006/relationships/hyperlink" Target="https://npiregistry.cms.hhs.gov/provider-view/1467517128" TargetMode="External"/><Relationship Id="rId437" Type="http://schemas.openxmlformats.org/officeDocument/2006/relationships/hyperlink" Target="https://www.google.com/maps/search/?api=1&amp;query=Healthsource+of+Apple+Valley%2C+4315+Clemson+Cir%2C+Eagan%2C+MN+55122" TargetMode="External"/><Relationship Id="rId644" Type="http://schemas.openxmlformats.org/officeDocument/2006/relationships/hyperlink" Target="https://npiregistry.cms.hhs.gov/provider-view/1023001815" TargetMode="External"/><Relationship Id="rId851" Type="http://schemas.openxmlformats.org/officeDocument/2006/relationships/hyperlink" Target="https://www.google.com/maps/search/?api=1&amp;query=Royal+Care+Chiropractic+PLLC%2C+6805+Flying+Cloud+Dr%2C+Eden+Prairie%2C+MN+55344" TargetMode="External"/><Relationship Id="rId1274" Type="http://schemas.openxmlformats.org/officeDocument/2006/relationships/hyperlink" Target="https://npiregistry.cms.hhs.gov/provider-view/1124290473" TargetMode="External"/><Relationship Id="rId1481" Type="http://schemas.openxmlformats.org/officeDocument/2006/relationships/hyperlink" Target="https://www.google.com/maps/search/?api=1&amp;query=Well+Adjusted+Minneapolis%2C+126+N+3rd+St%2C+Minneapolis%2C+MN+55401" TargetMode="External"/><Relationship Id="rId2118" Type="http://schemas.openxmlformats.org/officeDocument/2006/relationships/hyperlink" Target="https://npiregistry.cms.hhs.gov/provider-view/1154414407" TargetMode="External"/><Relationship Id="rId2325" Type="http://schemas.openxmlformats.org/officeDocument/2006/relationships/hyperlink" Target="https://www.google.com/maps/search/?api=1&amp;query=Yin+%26+Yarrow+Acupuncture%2C+780+Lexington+Pkwy+S%2C+St.+Paul%2C+MN+55116" TargetMode="External"/><Relationship Id="rId2532" Type="http://schemas.openxmlformats.org/officeDocument/2006/relationships/hyperlink" Target="https://npiregistry.cms.hhs.gov/provider-view/1427275130" TargetMode="External"/><Relationship Id="rId504" Type="http://schemas.openxmlformats.org/officeDocument/2006/relationships/hyperlink" Target="https://npiregistry.cms.hhs.gov/provider-view/1932523768" TargetMode="External"/><Relationship Id="rId711" Type="http://schemas.openxmlformats.org/officeDocument/2006/relationships/hyperlink" Target="https://www.google.com/maps/search/?api=1&amp;query=Edinburgh+Family+Chiropractic%2C+3619+85th+Ave+N%2C+Brooklyn+Park%2C+MN+55443" TargetMode="External"/><Relationship Id="rId1134" Type="http://schemas.openxmlformats.org/officeDocument/2006/relationships/hyperlink" Target="https://npiregistry.cms.hhs.gov/provider-view/1801087903" TargetMode="External"/><Relationship Id="rId1341" Type="http://schemas.openxmlformats.org/officeDocument/2006/relationships/hyperlink" Target="https://www.google.com/maps/search/?api=1&amp;query=Mai+Chiropractic+Center%2C+PA%2C+4400+Oliver+Ave+N%2C+Minneapolis%2C+MN+55412" TargetMode="External"/><Relationship Id="rId1201" Type="http://schemas.openxmlformats.org/officeDocument/2006/relationships/hyperlink" Target="https://www.google.com/maps/search/?api=1&amp;query=Back+To+Basics+Chiropractic+%26+Wellness+LLC%2C+4450+Nicollet+Ave%2C+Minneapolis%2C+MN+55419" TargetMode="External"/><Relationship Id="rId3099" Type="http://schemas.openxmlformats.org/officeDocument/2006/relationships/hyperlink" Target="https://www.google.com/maps/search/?api=1&amp;query=Complete+Chiropractic+Clinic+INC.%2C+304+4th+Ave+NE%2C+Waite+Park%2C+MN+56387" TargetMode="External"/><Relationship Id="rId3166" Type="http://schemas.openxmlformats.org/officeDocument/2006/relationships/hyperlink" Target="https://npiregistry.cms.hhs.gov/provider-view/1780974998" TargetMode="External"/><Relationship Id="rId3373" Type="http://schemas.openxmlformats.org/officeDocument/2006/relationships/hyperlink" Target="https://www.google.com/maps/search/?api=1&amp;query=Dr+Angela+Staubs+DC%2C+LLC%2C+1003+E.+Central+Entrance%2C+Duluth%2C+MN+55811" TargetMode="External"/><Relationship Id="rId3580" Type="http://schemas.openxmlformats.org/officeDocument/2006/relationships/hyperlink" Target="https://npiregistry.cms.hhs.gov/provider-view/1144542333" TargetMode="External"/><Relationship Id="rId294" Type="http://schemas.openxmlformats.org/officeDocument/2006/relationships/hyperlink" Target="https://npiregistry.cms.hhs.gov/provider-view/1508171497" TargetMode="External"/><Relationship Id="rId2182" Type="http://schemas.openxmlformats.org/officeDocument/2006/relationships/hyperlink" Target="https://npiregistry.cms.hhs.gov/provider-view/1871710947" TargetMode="External"/><Relationship Id="rId3026" Type="http://schemas.openxmlformats.org/officeDocument/2006/relationships/hyperlink" Target="https://npiregistry.cms.hhs.gov/provider-view/1689053225" TargetMode="External"/><Relationship Id="rId3233" Type="http://schemas.openxmlformats.org/officeDocument/2006/relationships/hyperlink" Target="https://www.google.com/maps/search/?api=1&amp;query=Dean+G+Renneke%2C+DC%2C+PA%2C+623+Madison+St%2C+Brainerd%2C+MN+56401" TargetMode="External"/><Relationship Id="rId154" Type="http://schemas.openxmlformats.org/officeDocument/2006/relationships/hyperlink" Target="https://npiregistry.cms.hhs.gov/provider-view/1295880268" TargetMode="External"/><Relationship Id="rId361" Type="http://schemas.openxmlformats.org/officeDocument/2006/relationships/hyperlink" Target="https://www.google.com/maps/search/?api=1&amp;query=Mcgraw+Family+Chiropractic+%26+Wellness%2C+14300+E+Buck+Hill+Rd%2C+Burnsville%2C+MN+55306" TargetMode="External"/><Relationship Id="rId2042" Type="http://schemas.openxmlformats.org/officeDocument/2006/relationships/hyperlink" Target="https://npiregistry.cms.hhs.gov/provider-view/1467578518" TargetMode="External"/><Relationship Id="rId3440" Type="http://schemas.openxmlformats.org/officeDocument/2006/relationships/hyperlink" Target="https://npiregistry.cms.hhs.gov/provider-view/1043338171" TargetMode="External"/><Relationship Id="rId2999" Type="http://schemas.openxmlformats.org/officeDocument/2006/relationships/hyperlink" Target="https://www.google.com/maps/search/?api=1&amp;query=Hands+and+Heart+Chiropractic%2C+PA.%2C+2380+Troop+Dr%2C+Sartell%2C+MN+56377" TargetMode="External"/><Relationship Id="rId3300" Type="http://schemas.openxmlformats.org/officeDocument/2006/relationships/hyperlink" Target="https://npiregistry.cms.hhs.gov/provider-view/1013138346" TargetMode="External"/><Relationship Id="rId221" Type="http://schemas.openxmlformats.org/officeDocument/2006/relationships/hyperlink" Target="https://www.google.com/maps/search/?api=1&amp;query=Sugar+Creek+Chiropractic+PA%2C+112+W+2nd+St%2C+Chaska%2C+MN+55318" TargetMode="External"/><Relationship Id="rId2859" Type="http://schemas.openxmlformats.org/officeDocument/2006/relationships/hyperlink" Target="https://www.google.com/maps/search/?api=1&amp;query=Foley+Wellness+Center%2C+401+Dewey+St%2C+Foley%2C+MN+56329" TargetMode="External"/><Relationship Id="rId1668" Type="http://schemas.openxmlformats.org/officeDocument/2006/relationships/hyperlink" Target="https://npiregistry.cms.hhs.gov/provider-view/1356470702" TargetMode="External"/><Relationship Id="rId1875" Type="http://schemas.openxmlformats.org/officeDocument/2006/relationships/hyperlink" Target="https://www.google.com/maps/search/?api=1&amp;query=Taylor+Chiropractic+PLLC%2C+3930+Northwoods+Dr%2C+Arden+Hills%2C+MN+55112" TargetMode="External"/><Relationship Id="rId2719" Type="http://schemas.openxmlformats.org/officeDocument/2006/relationships/hyperlink" Target="https://www.google.com/maps/search/?api=1&amp;query=New+Heights+Physical+Therapy%2C+LLC%2C+1976+Wooddale+Drive%2C+Woodbury%2C+MN+55125" TargetMode="External"/><Relationship Id="rId4074" Type="http://schemas.openxmlformats.org/officeDocument/2006/relationships/hyperlink" Target="https://npiregistry.cms.hhs.gov/provider-view/1801120258" TargetMode="External"/><Relationship Id="rId1528" Type="http://schemas.openxmlformats.org/officeDocument/2006/relationships/hyperlink" Target="https://npiregistry.cms.hhs.gov/provider-view/1457690703" TargetMode="External"/><Relationship Id="rId2926" Type="http://schemas.openxmlformats.org/officeDocument/2006/relationships/hyperlink" Target="https://npiregistry.cms.hhs.gov/provider-view/1235689621" TargetMode="External"/><Relationship Id="rId3090" Type="http://schemas.openxmlformats.org/officeDocument/2006/relationships/hyperlink" Target="https://npiregistry.cms.hhs.gov/provider-view/1366600629" TargetMode="External"/><Relationship Id="rId4141" Type="http://schemas.openxmlformats.org/officeDocument/2006/relationships/hyperlink" Target="https://www.google.com/maps/search/?api=1&amp;query=Health+Choice+of+Olivia%2C+1325+W+Lincoln+Ave%2C+Olivia%2C+MN+56277" TargetMode="External"/><Relationship Id="rId1735" Type="http://schemas.openxmlformats.org/officeDocument/2006/relationships/hyperlink" Target="https://www.google.com/maps/search/?api=1&amp;query=Chiropractic+Solutions%2C+4080+Tower+Street%2C+St.+Bonifacius%2C+MN+55375" TargetMode="External"/><Relationship Id="rId1942" Type="http://schemas.openxmlformats.org/officeDocument/2006/relationships/hyperlink" Target="https://npiregistry.cms.hhs.gov/provider-view/1316535958" TargetMode="External"/><Relationship Id="rId4001" Type="http://schemas.openxmlformats.org/officeDocument/2006/relationships/hyperlink" Target="https://www.google.com/maps/search/?api=1&amp;query=Vibrant+Family+Chiropractic%2C+109+2nd+Ave+SE%2C+Waseca%2C+MN+56093" TargetMode="External"/><Relationship Id="rId27" Type="http://schemas.openxmlformats.org/officeDocument/2006/relationships/hyperlink" Target="https://www.google.com/maps/search/?api=1&amp;query=Blaine+Health+and+Wellness%2C+1360+101st+Ave+NE%2C+Blaine%2C+MN+55449" TargetMode="External"/><Relationship Id="rId1802" Type="http://schemas.openxmlformats.org/officeDocument/2006/relationships/hyperlink" Target="https://npiregistry.cms.hhs.gov/provider-view/1861082257" TargetMode="External"/><Relationship Id="rId3767" Type="http://schemas.openxmlformats.org/officeDocument/2006/relationships/hyperlink" Target="https://www.google.com/maps/search/?api=1&amp;query=Zimmer+Chiropractic+PA%2C+15+E+Veterans+Memorial+Hwy%2C+Kasson%2C+MN+55944" TargetMode="External"/><Relationship Id="rId3974" Type="http://schemas.openxmlformats.org/officeDocument/2006/relationships/hyperlink" Target="https://npiregistry.cms.hhs.gov/provider-view/1629264122" TargetMode="External"/><Relationship Id="rId688" Type="http://schemas.openxmlformats.org/officeDocument/2006/relationships/hyperlink" Target="https://npiregistry.cms.hhs.gov/provider-view/1447890637" TargetMode="External"/><Relationship Id="rId895" Type="http://schemas.openxmlformats.org/officeDocument/2006/relationships/hyperlink" Target="https://www.google.com/maps/search/?api=1&amp;query=Chiropractic+Health+%26+Wellness+Center%2C+PA.%2C+3400+W.+66th+St.%2C+Edina%2C+MN+55435" TargetMode="External"/><Relationship Id="rId2369" Type="http://schemas.openxmlformats.org/officeDocument/2006/relationships/hyperlink" Target="https://www.google.com/maps/search/?api=1&amp;query=Quast+Clinic+LLC%2C+3607+White+Bear+Ave+N%2C+White+Bear+Lake%2C+MN+55110" TargetMode="External"/><Relationship Id="rId2576" Type="http://schemas.openxmlformats.org/officeDocument/2006/relationships/hyperlink" Target="https://npiregistry.cms.hhs.gov/provider-view/1043846173" TargetMode="External"/><Relationship Id="rId2783" Type="http://schemas.openxmlformats.org/officeDocument/2006/relationships/hyperlink" Target="https://www.google.com/maps/search/?api=1&amp;query=Performance+and+Wellness%2C+INC%2C+308D+Brighton+Ave+S%2C+Buffalo%2C+MN+55313" TargetMode="External"/><Relationship Id="rId2990" Type="http://schemas.openxmlformats.org/officeDocument/2006/relationships/hyperlink" Target="https://npiregistry.cms.hhs.gov/provider-view/1013686138" TargetMode="External"/><Relationship Id="rId3627" Type="http://schemas.openxmlformats.org/officeDocument/2006/relationships/hyperlink" Target="https://www.google.com/maps/search/?api=1&amp;query=Deal+Family+Chiropractic+%26+Wellness+Center%2C+PA.%2C+201+North+Main+St.%2C+Lake+Crystal%2C+MN+56055" TargetMode="External"/><Relationship Id="rId3834" Type="http://schemas.openxmlformats.org/officeDocument/2006/relationships/hyperlink" Target="https://npiregistry.cms.hhs.gov/provider-view/1114028230" TargetMode="External"/><Relationship Id="rId548" Type="http://schemas.openxmlformats.org/officeDocument/2006/relationships/hyperlink" Target="https://npiregistry.cms.hhs.gov/provider-view/1700073657" TargetMode="External"/><Relationship Id="rId755" Type="http://schemas.openxmlformats.org/officeDocument/2006/relationships/hyperlink" Target="https://www.google.com/maps/search/?api=1&amp;query=Advanced+Wellness+%26+Sports+Rehab+PA%2C+11132+Commerce+Ln+N%2C+Champlin%2C+MN+55316" TargetMode="External"/><Relationship Id="rId962" Type="http://schemas.openxmlformats.org/officeDocument/2006/relationships/hyperlink" Target="https://npiregistry.cms.hhs.gov/provider-view/1811124563" TargetMode="External"/><Relationship Id="rId1178" Type="http://schemas.openxmlformats.org/officeDocument/2006/relationships/hyperlink" Target="https://npiregistry.cms.hhs.gov/provider-view/1568512440" TargetMode="External"/><Relationship Id="rId1385" Type="http://schemas.openxmlformats.org/officeDocument/2006/relationships/hyperlink" Target="https://www.google.com/maps/search/?api=1&amp;query=Nicollet+Chiropractic+Center%2C+3616+Nicollet+Ave.+S.%2C+Minneapolis%2C+MN+55409" TargetMode="External"/><Relationship Id="rId1592" Type="http://schemas.openxmlformats.org/officeDocument/2006/relationships/hyperlink" Target="https://npiregistry.cms.hhs.gov/provider-view/1407047582" TargetMode="External"/><Relationship Id="rId2229" Type="http://schemas.openxmlformats.org/officeDocument/2006/relationships/hyperlink" Target="https://www.google.com/maps/search/?api=1&amp;query=Proactive+Chiropractic%2C+101+5th+St+E%2C+St.+Paul%2C+MN+55101" TargetMode="External"/><Relationship Id="rId2436" Type="http://schemas.openxmlformats.org/officeDocument/2006/relationships/hyperlink" Target="https://npiregistry.cms.hhs.gov/provider-view/1871704114" TargetMode="External"/><Relationship Id="rId2643" Type="http://schemas.openxmlformats.org/officeDocument/2006/relationships/hyperlink" Target="https://www.google.com/maps/search/?api=1&amp;query=Bridgeview+Chiropractic%2C+PA.%2C+13481+60th+St+N%2C+Stillwater%2C+MN+55082" TargetMode="External"/><Relationship Id="rId2850" Type="http://schemas.openxmlformats.org/officeDocument/2006/relationships/hyperlink" Target="https://npiregistry.cms.hhs.gov/provider-view/1609995877" TargetMode="External"/><Relationship Id="rId91" Type="http://schemas.openxmlformats.org/officeDocument/2006/relationships/hyperlink" Target="https://www.google.com/maps/search/?api=1&amp;query=Centered+Health+Chiropractic+P+A%2C+9920+Foley+Blvd+NW%2C+Coon+Rapids%2C+MN+55433" TargetMode="External"/><Relationship Id="rId408" Type="http://schemas.openxmlformats.org/officeDocument/2006/relationships/hyperlink" Target="https://npiregistry.cms.hhs.gov/provider-view/1831488089" TargetMode="External"/><Relationship Id="rId615" Type="http://schemas.openxmlformats.org/officeDocument/2006/relationships/hyperlink" Target="https://www.google.com/maps/search/?api=1&amp;query=Center+For+Well+Being%2C+PC.%2C+7901+Xerxes+Ave+S%2C+Bloomington%2C+MN+55431" TargetMode="External"/><Relationship Id="rId822" Type="http://schemas.openxmlformats.org/officeDocument/2006/relationships/hyperlink" Target="https://npiregistry.cms.hhs.gov/provider-view/1144523689" TargetMode="External"/><Relationship Id="rId1038" Type="http://schemas.openxmlformats.org/officeDocument/2006/relationships/hyperlink" Target="https://npiregistry.cms.hhs.gov/provider-view/1114266129" TargetMode="External"/><Relationship Id="rId1245" Type="http://schemas.openxmlformats.org/officeDocument/2006/relationships/hyperlink" Target="https://www.google.com/maps/search/?api=1&amp;query=Dinkytown+Family+Chiropractic+INC%2C+1313+5th+St+SE%2C+Minneapolis%2C+MN+55414" TargetMode="External"/><Relationship Id="rId1452" Type="http://schemas.openxmlformats.org/officeDocument/2006/relationships/hyperlink" Target="https://npiregistry.cms.hhs.gov/provider-view/1528377942" TargetMode="External"/><Relationship Id="rId2503" Type="http://schemas.openxmlformats.org/officeDocument/2006/relationships/hyperlink" Target="https://www.google.com/maps/search/?api=1&amp;query=Brennan+Chiropractic+Health+Center%2C+13754+1st+St%2C+Becker%2C+MN+55308" TargetMode="External"/><Relationship Id="rId3901" Type="http://schemas.openxmlformats.org/officeDocument/2006/relationships/hyperlink" Target="https://www.google.com/maps/search/?api=1&amp;query=R.c.+Spine+Center%2C+PA.%2C+3160+Wellner+Dr+NE%2C+Rochester%2C+MN+55906" TargetMode="External"/><Relationship Id="rId1105" Type="http://schemas.openxmlformats.org/officeDocument/2006/relationships/hyperlink" Target="https://www.google.com/maps/search/?api=1&amp;query=Back+In+Motion+Chiropractic%2C+9664+63rd+Ave+N%2C+Maple+Grove%2C+MN+55369" TargetMode="External"/><Relationship Id="rId1312" Type="http://schemas.openxmlformats.org/officeDocument/2006/relationships/hyperlink" Target="https://npiregistry.cms.hhs.gov/provider-view/1396998795" TargetMode="External"/><Relationship Id="rId2710" Type="http://schemas.openxmlformats.org/officeDocument/2006/relationships/hyperlink" Target="https://npiregistry.cms.hhs.gov/provider-view/1346483757" TargetMode="External"/><Relationship Id="rId3277" Type="http://schemas.openxmlformats.org/officeDocument/2006/relationships/hyperlink" Target="https://www.google.com/maps/search/?api=1&amp;query=Pequot+Lakes+Chiropractic+and+Sports+Injury+Center+PA%2C+31095+Bergquist+Drive%2C+Pequot+Lakes%2C+MN+56472" TargetMode="External"/><Relationship Id="rId198" Type="http://schemas.openxmlformats.org/officeDocument/2006/relationships/hyperlink" Target="https://npiregistry.cms.hhs.gov/provider-view/1912533480" TargetMode="External"/><Relationship Id="rId2086" Type="http://schemas.openxmlformats.org/officeDocument/2006/relationships/hyperlink" Target="https://npiregistry.cms.hhs.gov/provider-view/1205200383" TargetMode="External"/><Relationship Id="rId3484" Type="http://schemas.openxmlformats.org/officeDocument/2006/relationships/hyperlink" Target="https://npiregistry.cms.hhs.gov/provider-view/1659045987" TargetMode="External"/><Relationship Id="rId3691" Type="http://schemas.openxmlformats.org/officeDocument/2006/relationships/hyperlink" Target="https://www.google.com/maps/search/?api=1&amp;query=Sleepy+Eye+Chiropractic+PA%2C+201+2nd+Ave+SW%2C+Sleepy+Eye%2C+MN+56085" TargetMode="External"/><Relationship Id="rId2293" Type="http://schemas.openxmlformats.org/officeDocument/2006/relationships/hyperlink" Target="https://www.google.com/maps/search/?api=1&amp;query=United+Chiropractic+Clinic%2C+995+University+Ave+W%2C+St.+Paul%2C+MN+55104" TargetMode="External"/><Relationship Id="rId3137" Type="http://schemas.openxmlformats.org/officeDocument/2006/relationships/hyperlink" Target="https://www.google.com/maps/search/?api=1&amp;query=Northland+Chiropractic+Center+PA%2C+516+Main+Street+East%2C+Detroit+Lakes%2C+MN+56501" TargetMode="External"/><Relationship Id="rId3344" Type="http://schemas.openxmlformats.org/officeDocument/2006/relationships/hyperlink" Target="https://npiregistry.cms.hhs.gov/provider-view/1851478242" TargetMode="External"/><Relationship Id="rId3551" Type="http://schemas.openxmlformats.org/officeDocument/2006/relationships/hyperlink" Target="https://www.google.com/maps/search/?api=1&amp;query=Integrated+Health+Center%2C+INC.%2C+418+3rd+Ave+E%2C+Alexandria%2C+MN+56308" TargetMode="External"/><Relationship Id="rId265" Type="http://schemas.openxmlformats.org/officeDocument/2006/relationships/hyperlink" Target="https://www.google.com/maps/search/?api=1&amp;query=Anderson+Chiropractic+Clinic%2C+PA.%2C+38786+8th+Ave%2C+North+Branch%2C+MN+55056" TargetMode="External"/><Relationship Id="rId472" Type="http://schemas.openxmlformats.org/officeDocument/2006/relationships/hyperlink" Target="https://npiregistry.cms.hhs.gov/provider-view/1295257491" TargetMode="External"/><Relationship Id="rId2153" Type="http://schemas.openxmlformats.org/officeDocument/2006/relationships/hyperlink" Target="https://www.google.com/maps/search/?api=1&amp;query=Healtheast+Outpatient+Services%2C+LLC%2C+1700+University+Ave+W%2C+St.+Paul%2C+MN+55104" TargetMode="External"/><Relationship Id="rId2360" Type="http://schemas.openxmlformats.org/officeDocument/2006/relationships/hyperlink" Target="https://npiregistry.cms.hhs.gov/provider-view/1134687262" TargetMode="External"/><Relationship Id="rId3204" Type="http://schemas.openxmlformats.org/officeDocument/2006/relationships/hyperlink" Target="https://npiregistry.cms.hhs.gov/provider-view/1548229099" TargetMode="External"/><Relationship Id="rId3411" Type="http://schemas.openxmlformats.org/officeDocument/2006/relationships/hyperlink" Target="https://www.google.com/maps/search/?api=1&amp;query=Tanner+PT%2C+LLC%2C+31+W+Superior+St%2C+Duluth%2C+MN+55802" TargetMode="External"/><Relationship Id="rId125" Type="http://schemas.openxmlformats.org/officeDocument/2006/relationships/hyperlink" Target="https://www.google.com/maps/search/?api=1&amp;query=Advanced+Health+PA%2C+6280+Hwy+65%2C+Fridley%2C+MN+55432" TargetMode="External"/><Relationship Id="rId332" Type="http://schemas.openxmlformats.org/officeDocument/2006/relationships/hyperlink" Target="https://npiregistry.cms.hhs.gov/provider-view/1689775181" TargetMode="External"/><Relationship Id="rId2013" Type="http://schemas.openxmlformats.org/officeDocument/2006/relationships/hyperlink" Target="https://www.google.com/maps/search/?api=1&amp;query=Lifetree+Chiropractic+%26+Wellness%2C+LLC%2C+3550+Lexington+Ave+N%2C+Shoreview%2C+MN+55126" TargetMode="External"/><Relationship Id="rId2220" Type="http://schemas.openxmlformats.org/officeDocument/2006/relationships/hyperlink" Target="https://npiregistry.cms.hhs.gov/provider-view/1669415840" TargetMode="External"/><Relationship Id="rId1779" Type="http://schemas.openxmlformats.org/officeDocument/2006/relationships/hyperlink" Target="https://www.google.com/maps/search/?api=1&amp;query=Lifescan+Minnesota+Stand+Up+Mri+LLC%2C+5023+Excelsior+Blvd%2C+St.+Louis+Park%2C+MN+55416" TargetMode="External"/><Relationship Id="rId1986" Type="http://schemas.openxmlformats.org/officeDocument/2006/relationships/hyperlink" Target="https://npiregistry.cms.hhs.gov/provider-view/1649743220" TargetMode="External"/><Relationship Id="rId4045" Type="http://schemas.openxmlformats.org/officeDocument/2006/relationships/hyperlink" Target="https://www.google.com/maps/search/?api=1&amp;query=Blonigan+Christianson+Chiropractic%2C+1101+S+1st+St%2C+Willmar%2C+MN+56201" TargetMode="External"/><Relationship Id="rId1639" Type="http://schemas.openxmlformats.org/officeDocument/2006/relationships/hyperlink" Target="https://www.google.com/maps/search/?api=1&amp;query=Plymouth+Grove+Chiropractic%2C+PA.%2C+3900+Vinewood+Ln+N%2C+Plymouth%2C+MN+55441" TargetMode="External"/><Relationship Id="rId1846" Type="http://schemas.openxmlformats.org/officeDocument/2006/relationships/hyperlink" Target="https://npiregistry.cms.hhs.gov/provider-view/1629306584" TargetMode="External"/><Relationship Id="rId3061" Type="http://schemas.openxmlformats.org/officeDocument/2006/relationships/hyperlink" Target="https://www.google.com/maps/search/?api=1&amp;query=Michael+W.+Smith+DC.+LTD%2C+266+33rd+Ave+S%2C+St.+Cloud%2C+MN+56301" TargetMode="External"/><Relationship Id="rId1706" Type="http://schemas.openxmlformats.org/officeDocument/2006/relationships/hyperlink" Target="https://npiregistry.cms.hhs.gov/provider-view/1053311399" TargetMode="External"/><Relationship Id="rId1913" Type="http://schemas.openxmlformats.org/officeDocument/2006/relationships/hyperlink" Target="https://www.google.com/maps/search/?api=1&amp;query=Therapy+Partners%2C+INC%2C+2515+White+Bear+Ave+N%2C+Maplewood%2C+MN+55109" TargetMode="External"/><Relationship Id="rId4112" Type="http://schemas.openxmlformats.org/officeDocument/2006/relationships/hyperlink" Target="https://npiregistry.cms.hhs.gov/provider-view/1609063783" TargetMode="External"/><Relationship Id="rId3878" Type="http://schemas.openxmlformats.org/officeDocument/2006/relationships/hyperlink" Target="https://npiregistry.cms.hhs.gov/provider-view/1518546910" TargetMode="External"/><Relationship Id="rId799" Type="http://schemas.openxmlformats.org/officeDocument/2006/relationships/hyperlink" Target="https://www.google.com/maps/search/?api=1&amp;query=Cadence+Chiropractic%2C+PLLC%2C+6409+City+West+Pkwy%2C+Eden+Prairie%2C+MN+55344" TargetMode="External"/><Relationship Id="rId2687" Type="http://schemas.openxmlformats.org/officeDocument/2006/relationships/hyperlink" Target="https://www.google.com/maps/search/?api=1&amp;query=Alenov+Wellness+Center%2C+INC.%2C+7650+Currell+Blvd%2C+Woodbury%2C+MN+55125" TargetMode="External"/><Relationship Id="rId2894" Type="http://schemas.openxmlformats.org/officeDocument/2006/relationships/hyperlink" Target="https://npiregistry.cms.hhs.gov/provider-view/1326296179" TargetMode="External"/><Relationship Id="rId3738" Type="http://schemas.openxmlformats.org/officeDocument/2006/relationships/hyperlink" Target="https://npiregistry.cms.hhs.gov/provider-view/1740587997" TargetMode="External"/><Relationship Id="rId659" Type="http://schemas.openxmlformats.org/officeDocument/2006/relationships/hyperlink" Target="https://www.google.com/maps/search/?api=1&amp;query=Oxboro+Family+Chiropractic%2C+9864+Lyndale+Ave+S%2C+Bloomington%2C+MN+55420" TargetMode="External"/><Relationship Id="rId866" Type="http://schemas.openxmlformats.org/officeDocument/2006/relationships/hyperlink" Target="https://npiregistry.cms.hhs.gov/provider-view/1225300676" TargetMode="External"/><Relationship Id="rId1289" Type="http://schemas.openxmlformats.org/officeDocument/2006/relationships/hyperlink" Target="https://www.google.com/maps/search/?api=1&amp;query=Hidden+Health+Chiropractic+LLC%2C+5451+Nicollet+Ave%2C+Minneapolis%2C+MN+55419" TargetMode="External"/><Relationship Id="rId1496" Type="http://schemas.openxmlformats.org/officeDocument/2006/relationships/hyperlink" Target="https://npiregistry.cms.hhs.gov/provider-view/1255623203" TargetMode="External"/><Relationship Id="rId2547" Type="http://schemas.openxmlformats.org/officeDocument/2006/relationships/hyperlink" Target="https://www.google.com/maps/search/?api=1&amp;query=Eric+Nohner%2C+LLC%2C+8451+E+Point+Douglas+Rd+S%2C+Cottage+Grove%2C+MN+55016" TargetMode="External"/><Relationship Id="rId3945" Type="http://schemas.openxmlformats.org/officeDocument/2006/relationships/hyperlink" Target="https://www.google.com/maps/search/?api=1&amp;query=Potter+Chiropractic%2C+1620+17th+St+NW%2C+Faribault%2C+MN+55021" TargetMode="External"/><Relationship Id="rId519" Type="http://schemas.openxmlformats.org/officeDocument/2006/relationships/hyperlink" Target="https://www.google.com/maps/search/?api=1&amp;query=Exuberance+Chiropractic+%26+Wellness+Center%2C+17787+Kenwood+Trl%2C+Lakeville%2C+MN+55044" TargetMode="External"/><Relationship Id="rId1149" Type="http://schemas.openxmlformats.org/officeDocument/2006/relationships/hyperlink" Target="https://www.google.com/maps/search/?api=1&amp;query=Northwood+Chiropractic+%26+Wellness+LLC%2C+10900+89th+Ave+N%2C+Maple+Grove%2C+MN+55369" TargetMode="External"/><Relationship Id="rId1356" Type="http://schemas.openxmlformats.org/officeDocument/2006/relationships/hyperlink" Target="https://npiregistry.cms.hhs.gov/provider-view/1679931489" TargetMode="External"/><Relationship Id="rId2754" Type="http://schemas.openxmlformats.org/officeDocument/2006/relationships/hyperlink" Target="https://npiregistry.cms.hhs.gov/provider-view/1942598016" TargetMode="External"/><Relationship Id="rId2961" Type="http://schemas.openxmlformats.org/officeDocument/2006/relationships/hyperlink" Target="https://www.google.com/maps/search/?api=1&amp;query=Lake+Area+Therapy+Services%2Cllc%2C+88395+Sturgeon+Island+Rd%2C+Sturgeon+Lake%2C+MN+55783" TargetMode="External"/><Relationship Id="rId3805" Type="http://schemas.openxmlformats.org/officeDocument/2006/relationships/hyperlink" Target="https://www.google.com/maps/search/?api=1&amp;query=Patterson+Chiropractic+PA%2C+416+W+3rd+St%2C+Red+Wing%2C+MN+55066" TargetMode="External"/><Relationship Id="rId726" Type="http://schemas.openxmlformats.org/officeDocument/2006/relationships/hyperlink" Target="https://npiregistry.cms.hhs.gov/provider-view/1396715686" TargetMode="External"/><Relationship Id="rId933" Type="http://schemas.openxmlformats.org/officeDocument/2006/relationships/hyperlink" Target="https://www.google.com/maps/search/?api=1&amp;query=Lion+Thorn+Clinic%2C+7373+France+Ave+S%2C+Edina%2C+MN+55435" TargetMode="External"/><Relationship Id="rId1009" Type="http://schemas.openxmlformats.org/officeDocument/2006/relationships/hyperlink" Target="https://www.google.com/maps/search/?api=1&amp;query=Marty+Chiropractic-Excelsior+INC%2C+464+Second+Street%2C+Excelsior%2C+MN+55331" TargetMode="External"/><Relationship Id="rId1563" Type="http://schemas.openxmlformats.org/officeDocument/2006/relationships/hyperlink" Target="https://www.google.com/maps/search/?api=1&amp;query=Affinity+Medical+Group+PA%2C+9446+36th+Ave+N%2C+New+Hope%2C+MN+55427" TargetMode="External"/><Relationship Id="rId1770" Type="http://schemas.openxmlformats.org/officeDocument/2006/relationships/hyperlink" Target="https://npiregistry.cms.hhs.gov/provider-view/1073799110" TargetMode="External"/><Relationship Id="rId2407" Type="http://schemas.openxmlformats.org/officeDocument/2006/relationships/hyperlink" Target="https://www.google.com/maps/search/?api=1&amp;query=Eagle+Creek+Chiropractic%2C+14180+Commerce+Ave+NE%2C+Prior+Lake%2C+MN+55372" TargetMode="External"/><Relationship Id="rId2614" Type="http://schemas.openxmlformats.org/officeDocument/2006/relationships/hyperlink" Target="https://npiregistry.cms.hhs.gov/provider-view/1306041785" TargetMode="External"/><Relationship Id="rId2821" Type="http://schemas.openxmlformats.org/officeDocument/2006/relationships/hyperlink" Target="https://www.google.com/maps/search/?api=1&amp;query=Great+River+Spine+%26+Sport%2C+1260+Highway+25+S%2C+Monticello%2C+MN+55362" TargetMode="External"/><Relationship Id="rId62" Type="http://schemas.openxmlformats.org/officeDocument/2006/relationships/hyperlink" Target="https://npiregistry.cms.hhs.gov/provider-view/1225237571" TargetMode="External"/><Relationship Id="rId1216" Type="http://schemas.openxmlformats.org/officeDocument/2006/relationships/hyperlink" Target="https://npiregistry.cms.hhs.gov/provider-view/1891979555" TargetMode="External"/><Relationship Id="rId1423" Type="http://schemas.openxmlformats.org/officeDocument/2006/relationships/hyperlink" Target="https://www.google.com/maps/search/?api=1&amp;query=Shingle+Creek+Physical+Therapy+LLC%2C+2781+Freeway+Blvd%2C+Minneapolis%2C+MN+55430" TargetMode="External"/><Relationship Id="rId1630" Type="http://schemas.openxmlformats.org/officeDocument/2006/relationships/hyperlink" Target="https://npiregistry.cms.hhs.gov/provider-view/1578872685" TargetMode="External"/><Relationship Id="rId3388" Type="http://schemas.openxmlformats.org/officeDocument/2006/relationships/hyperlink" Target="https://npiregistry.cms.hhs.gov/provider-view/1164429163" TargetMode="External"/><Relationship Id="rId3595" Type="http://schemas.openxmlformats.org/officeDocument/2006/relationships/hyperlink" Target="https://www.google.com/maps/search/?api=1&amp;query=Midwest+PT%2C+105+E+Centennial+84+Dr%2C+New+York+Mills%2C+MN+56567" TargetMode="External"/><Relationship Id="rId2197" Type="http://schemas.openxmlformats.org/officeDocument/2006/relationships/hyperlink" Target="https://www.google.com/maps/search/?api=1&amp;query=Midtling+Oral+%26+Maxillofacial+Surgery%2C+PA%2C+155+Wabasha+St+S%2C+St.+Paul%2C+MN+55107" TargetMode="External"/><Relationship Id="rId3248" Type="http://schemas.openxmlformats.org/officeDocument/2006/relationships/hyperlink" Target="https://npiregistry.cms.hhs.gov/provider-view/1538206982" TargetMode="External"/><Relationship Id="rId3455" Type="http://schemas.openxmlformats.org/officeDocument/2006/relationships/hyperlink" Target="https://www.google.com/maps/search/?api=1&amp;query=Luoma+Chiropractic+Center+PA.%2C+310+S+2nd+Ave%2C+Virginia%2C+MN+55792" TargetMode="External"/><Relationship Id="rId3662" Type="http://schemas.openxmlformats.org/officeDocument/2006/relationships/hyperlink" Target="https://npiregistry.cms.hhs.gov/provider-view/1033348875" TargetMode="External"/><Relationship Id="rId169" Type="http://schemas.openxmlformats.org/officeDocument/2006/relationships/hyperlink" Target="https://www.google.com/maps/search/?api=1&amp;query=Central+Chiropractic+%26+Acupuncture%2C+PA.%2C+1342+81st+Ave+NE%2C+Spring+Lake+Park%2C+MN+55432" TargetMode="External"/><Relationship Id="rId376" Type="http://schemas.openxmlformats.org/officeDocument/2006/relationships/hyperlink" Target="https://npiregistry.cms.hhs.gov/provider-view/1083923460" TargetMode="External"/><Relationship Id="rId583" Type="http://schemas.openxmlformats.org/officeDocument/2006/relationships/hyperlink" Target="https://www.google.com/maps/search/?api=1&amp;query=Corcoran+Family+Chiropractic%2C+1267+Stryker+Ave%2C+St.+Paul%2C+MN+55118" TargetMode="External"/><Relationship Id="rId790" Type="http://schemas.openxmlformats.org/officeDocument/2006/relationships/hyperlink" Target="https://npiregistry.cms.hhs.gov/provider-view/1578781449" TargetMode="External"/><Relationship Id="rId2057" Type="http://schemas.openxmlformats.org/officeDocument/2006/relationships/hyperlink" Target="https://www.google.com/maps/search/?api=1&amp;query=Beseman+Chiropractic+PA%2C+1712+Suburban+Ave%2C+St.+Paul%2C+MN+55106" TargetMode="External"/><Relationship Id="rId2264" Type="http://schemas.openxmlformats.org/officeDocument/2006/relationships/hyperlink" Target="https://npiregistry.cms.hhs.gov/provider-view/1073569513" TargetMode="External"/><Relationship Id="rId2471" Type="http://schemas.openxmlformats.org/officeDocument/2006/relationships/hyperlink" Target="https://www.google.com/maps/search/?api=1&amp;query=Brooks+Chiropractic%2C+PLLC%2C+1100+4th+Ave+E%2C+Shakopee%2C+MN+55379" TargetMode="External"/><Relationship Id="rId3108" Type="http://schemas.openxmlformats.org/officeDocument/2006/relationships/hyperlink" Target="https://npiregistry.cms.hhs.gov/provider-view/1245322015" TargetMode="External"/><Relationship Id="rId3315" Type="http://schemas.openxmlformats.org/officeDocument/2006/relationships/hyperlink" Target="https://www.google.com/maps/search/?api=1&amp;query=Performance+Chiropractic+and+Sports+Clinic%2C+104+NE+3rd+St%2C+Grand+Rapids%2C+MN+55744" TargetMode="External"/><Relationship Id="rId3522" Type="http://schemas.openxmlformats.org/officeDocument/2006/relationships/hyperlink" Target="https://npiregistry.cms.hhs.gov/provider-view/1164595955" TargetMode="External"/><Relationship Id="rId236" Type="http://schemas.openxmlformats.org/officeDocument/2006/relationships/hyperlink" Target="https://npiregistry.cms.hhs.gov/provider-view/1992944425" TargetMode="External"/><Relationship Id="rId443" Type="http://schemas.openxmlformats.org/officeDocument/2006/relationships/hyperlink" Target="https://www.google.com/maps/search/?api=1&amp;query=Integrated+Motion+Pediatric+Physical+Therapy%2C+INC.%2C+4660+Slater+Rd%2C+Eagan%2C+MN+55122" TargetMode="External"/><Relationship Id="rId650" Type="http://schemas.openxmlformats.org/officeDocument/2006/relationships/hyperlink" Target="https://npiregistry.cms.hhs.gov/provider-view/1447440722" TargetMode="External"/><Relationship Id="rId1073" Type="http://schemas.openxmlformats.org/officeDocument/2006/relationships/hyperlink" Target="https://www.google.com/maps/search/?api=1&amp;query=Blake+Chiropractic%2C+1593+Highway+7%2C+Hopkins%2C+MN+55305" TargetMode="External"/><Relationship Id="rId1280" Type="http://schemas.openxmlformats.org/officeDocument/2006/relationships/hyperlink" Target="https://npiregistry.cms.hhs.gov/provider-view/1366685505" TargetMode="External"/><Relationship Id="rId2124" Type="http://schemas.openxmlformats.org/officeDocument/2006/relationships/hyperlink" Target="https://npiregistry.cms.hhs.gov/provider-view/1225516594" TargetMode="External"/><Relationship Id="rId2331" Type="http://schemas.openxmlformats.org/officeDocument/2006/relationships/hyperlink" Target="https://www.google.com/maps/search/?api=1&amp;query=Life+Family+Chiropractic%2C+INC%2C+1060+Centerville+Cir%2C+Vadnais+Heights%2C+MN+55127" TargetMode="External"/><Relationship Id="rId303" Type="http://schemas.openxmlformats.org/officeDocument/2006/relationships/hyperlink" Target="https://www.google.com/maps/search/?api=1&amp;query=Discover+Family+Chiropractic%2C+5920+148th+St+W%2C+Apple+Valley%2C+MN+55124" TargetMode="External"/><Relationship Id="rId1140" Type="http://schemas.openxmlformats.org/officeDocument/2006/relationships/hyperlink" Target="https://npiregistry.cms.hhs.gov/provider-view/1477838530" TargetMode="External"/><Relationship Id="rId4089" Type="http://schemas.openxmlformats.org/officeDocument/2006/relationships/hyperlink" Target="https://www.google.com/maps/search/?api=1&amp;query=Elysian+Chiropractic+Center%2C+1305+E+College+Dr%2C+Marshall%2C+MN+56258" TargetMode="External"/><Relationship Id="rId510" Type="http://schemas.openxmlformats.org/officeDocument/2006/relationships/hyperlink" Target="https://npiregistry.cms.hhs.gov/provider-view/1841652468" TargetMode="External"/><Relationship Id="rId1000" Type="http://schemas.openxmlformats.org/officeDocument/2006/relationships/hyperlink" Target="https://npiregistry.cms.hhs.gov/provider-view/1689031791" TargetMode="External"/><Relationship Id="rId1957" Type="http://schemas.openxmlformats.org/officeDocument/2006/relationships/hyperlink" Target="https://www.google.com/maps/search/?api=1&amp;query=Comprehensive+Health+%26+Wellness%2C+2345+Rice+St%2C+Roseville%2C+MN+55113" TargetMode="External"/><Relationship Id="rId4156" Type="http://schemas.openxmlformats.org/officeDocument/2006/relationships/hyperlink" Target="https://npiregistry.cms.hhs.gov/provider-view/1992308639" TargetMode="External"/><Relationship Id="rId1817" Type="http://schemas.openxmlformats.org/officeDocument/2006/relationships/hyperlink" Target="https://www.google.com/maps/search/?api=1&amp;query=Viverant+PT+LLC%2C+3912+Excelsior+Blvd%2C+St.louis+Park%2C+MN+55416" TargetMode="External"/><Relationship Id="rId3172" Type="http://schemas.openxmlformats.org/officeDocument/2006/relationships/hyperlink" Target="https://npiregistry.cms.hhs.gov/provider-view/1174872212" TargetMode="External"/><Relationship Id="rId4016" Type="http://schemas.openxmlformats.org/officeDocument/2006/relationships/hyperlink" Target="https://npiregistry.cms.hhs.gov/provider-view/1578638912" TargetMode="External"/><Relationship Id="rId3032" Type="http://schemas.openxmlformats.org/officeDocument/2006/relationships/hyperlink" Target="https://npiregistry.cms.hhs.gov/provider-view/1417315185" TargetMode="External"/><Relationship Id="rId160" Type="http://schemas.openxmlformats.org/officeDocument/2006/relationships/hyperlink" Target="https://npiregistry.cms.hhs.gov/provider-view/1649741166" TargetMode="External"/><Relationship Id="rId3989" Type="http://schemas.openxmlformats.org/officeDocument/2006/relationships/hyperlink" Target="https://www.google.com/maps/search/?api=1&amp;query=Lake+City+Chiropractic%2C+LTD.%2C+127+S+High+St%2C+Lake+City%2C+MN+55041" TargetMode="External"/><Relationship Id="rId2798" Type="http://schemas.openxmlformats.org/officeDocument/2006/relationships/hyperlink" Target="https://npiregistry.cms.hhs.gov/provider-view/1376793356" TargetMode="External"/><Relationship Id="rId3849" Type="http://schemas.openxmlformats.org/officeDocument/2006/relationships/hyperlink" Target="https://www.google.com/maps/search/?api=1&amp;query=Reeve+Chiropractic+Clinic%2C+PA.%2C+308+4th+Ave+NW%2C+Austin%2C+MN+55912" TargetMode="External"/><Relationship Id="rId977" Type="http://schemas.openxmlformats.org/officeDocument/2006/relationships/hyperlink" Target="https://www.google.com/maps/search/?api=1&amp;query=Spinal+Motion+Chiropractic+PLLC%2C+6550+York+Ave+S%2C+Edina%2C+MN+55435" TargetMode="External"/><Relationship Id="rId2658" Type="http://schemas.openxmlformats.org/officeDocument/2006/relationships/hyperlink" Target="https://npiregistry.cms.hhs.gov/provider-view/1770048027" TargetMode="External"/><Relationship Id="rId2865" Type="http://schemas.openxmlformats.org/officeDocument/2006/relationships/hyperlink" Target="https://www.google.com/maps/search/?api=1&amp;query=Spinal+Rehab+Clinics%2C+PA%2C+225+N+Benton+Dr%2C+Sauk+Rapids%2C+MN+56379" TargetMode="External"/><Relationship Id="rId3709" Type="http://schemas.openxmlformats.org/officeDocument/2006/relationships/hyperlink" Target="https://www.google.com/maps/search/?api=1&amp;query=Elbert+Chiropractic%2C+LLC%2C+311+2nd+St%2C+Jackson%2C+MN+56143" TargetMode="External"/><Relationship Id="rId3916" Type="http://schemas.openxmlformats.org/officeDocument/2006/relationships/hyperlink" Target="https://npiregistry.cms.hhs.gov/provider-view/1952800153" TargetMode="External"/><Relationship Id="rId4080" Type="http://schemas.openxmlformats.org/officeDocument/2006/relationships/hyperlink" Target="https://npiregistry.cms.hhs.gov/provider-view/1689180259" TargetMode="External"/><Relationship Id="rId837" Type="http://schemas.openxmlformats.org/officeDocument/2006/relationships/hyperlink" Target="https://www.google.com/maps/search/?api=1&amp;query=Osr+Physical+Therapy+Limited+Partnership%2C+16550+W+78th+St%2C+Eden+Prairie%2C+MN+55346" TargetMode="External"/><Relationship Id="rId1467" Type="http://schemas.openxmlformats.org/officeDocument/2006/relationships/hyperlink" Target="https://www.google.com/maps/search/?api=1&amp;query=Twin+Cities+Medical+Imaging%2C+LLC%2C+7505+Metro+Blvd%2C+Minneapolis%2C+MN+55439" TargetMode="External"/><Relationship Id="rId1674" Type="http://schemas.openxmlformats.org/officeDocument/2006/relationships/hyperlink" Target="https://npiregistry.cms.hhs.gov/provider-view/1518377605" TargetMode="External"/><Relationship Id="rId1881" Type="http://schemas.openxmlformats.org/officeDocument/2006/relationships/hyperlink" Target="https://www.google.com/maps/search/?api=1&amp;query=Access+Group+Physical+Therapy%2C+LLC%2C+2800+Rice+St%2C+Little+Canada%2C+MN+55113" TargetMode="External"/><Relationship Id="rId2518" Type="http://schemas.openxmlformats.org/officeDocument/2006/relationships/hyperlink" Target="https://npiregistry.cms.hhs.gov/provider-view/1457407116" TargetMode="External"/><Relationship Id="rId2725" Type="http://schemas.openxmlformats.org/officeDocument/2006/relationships/hyperlink" Target="https://www.google.com/maps/search/?api=1&amp;query=Onsite+Care+Doctors%2C+PLLC%2C+2179+Tower+Alcove%2C+Woodbury%2C+MN+55125" TargetMode="External"/><Relationship Id="rId2932" Type="http://schemas.openxmlformats.org/officeDocument/2006/relationships/hyperlink" Target="https://npiregistry.cms.hhs.gov/provider-view/1295748127" TargetMode="External"/><Relationship Id="rId904" Type="http://schemas.openxmlformats.org/officeDocument/2006/relationships/hyperlink" Target="https://npiregistry.cms.hhs.gov/provider-view/1528301769" TargetMode="External"/><Relationship Id="rId1327" Type="http://schemas.openxmlformats.org/officeDocument/2006/relationships/hyperlink" Target="https://www.google.com/maps/search/?api=1&amp;query=Lifelong+Health+Chiropractic+Studio+PLLC%2C+1121+Jackson+St+NE%2C+Minneapolis%2C+MN+55413" TargetMode="External"/><Relationship Id="rId1534" Type="http://schemas.openxmlformats.org/officeDocument/2006/relationships/hyperlink" Target="https://npiregistry.cms.hhs.gov/provider-view/1568863405" TargetMode="External"/><Relationship Id="rId1741" Type="http://schemas.openxmlformats.org/officeDocument/2006/relationships/hyperlink" Target="https://www.google.com/maps/search/?api=1&amp;query=Acqua+Chiropractic%2C+LLC%2C+4833+Minnetonka+Blvd%2C+St.+Louis+Park%2C+MN+55416" TargetMode="External"/><Relationship Id="rId33" Type="http://schemas.openxmlformats.org/officeDocument/2006/relationships/hyperlink" Target="https://www.google.com/maps/search/?api=1&amp;query=Community+Accident+%26+Injury+Center%2C+13060+Central+Ave+NE%2C+Blaine%2C+MN+55434" TargetMode="External"/><Relationship Id="rId1601" Type="http://schemas.openxmlformats.org/officeDocument/2006/relationships/hyperlink" Target="https://www.google.com/maps/search/?api=1&amp;query=E+Squared+Health+Chiropractic%2C+2905+Northwest+Blvd%2C+Plymouth%2C+MN+55441" TargetMode="External"/><Relationship Id="rId3499" Type="http://schemas.openxmlformats.org/officeDocument/2006/relationships/hyperlink" Target="https://www.google.com/maps/search/?api=1&amp;query=Barnesville+Chiropractic+Clinic+INC.%2C+423+Front+St+N%2C+Barnesville%2C+MN+56514" TargetMode="External"/><Relationship Id="rId3359" Type="http://schemas.openxmlformats.org/officeDocument/2006/relationships/hyperlink" Target="https://www.google.com/maps/search/?api=1&amp;query=True+Care+Medical+Therapy+Center+INC%2C+221+Highway+53%2C+Cook%2C+MN+55723" TargetMode="External"/><Relationship Id="rId3566" Type="http://schemas.openxmlformats.org/officeDocument/2006/relationships/hyperlink" Target="https://npiregistry.cms.hhs.gov/provider-view/1427211242" TargetMode="External"/><Relationship Id="rId487" Type="http://schemas.openxmlformats.org/officeDocument/2006/relationships/hyperlink" Target="https://www.google.com/maps/search/?api=1&amp;query=Parker+Chiropractic+PA%2C+1320+S+Frontage+Rd%2C+Hastings%2C+MN+55033" TargetMode="External"/><Relationship Id="rId694" Type="http://schemas.openxmlformats.org/officeDocument/2006/relationships/hyperlink" Target="https://npiregistry.cms.hhs.gov/provider-view/1902356868" TargetMode="External"/><Relationship Id="rId2168" Type="http://schemas.openxmlformats.org/officeDocument/2006/relationships/hyperlink" Target="https://npiregistry.cms.hhs.gov/provider-view/1275767865" TargetMode="External"/><Relationship Id="rId2375" Type="http://schemas.openxmlformats.org/officeDocument/2006/relationships/hyperlink" Target="https://www.google.com/maps/search/?api=1&amp;query=Therapy+Partners%2C+INC.%2C+4463+White+Bear+Pkwy%2C+White+Bear+Lake%2C+MN+55110" TargetMode="External"/><Relationship Id="rId3219" Type="http://schemas.openxmlformats.org/officeDocument/2006/relationships/hyperlink" Target="https://www.google.com/maps/search/?api=1&amp;query=Greatlakes+Injury+Center%2C+7217+Excelsior+Rd%2C+Baxter%2C+MN+56425" TargetMode="External"/><Relationship Id="rId3773" Type="http://schemas.openxmlformats.org/officeDocument/2006/relationships/hyperlink" Target="https://www.google.com/maps/search/?api=1&amp;query=Mettler+Family+Chiropractic+PA%2C+105+S+Broadway+St%2C+Spring+Valley%2C+MN+55975" TargetMode="External"/><Relationship Id="rId3980" Type="http://schemas.openxmlformats.org/officeDocument/2006/relationships/hyperlink" Target="https://npiregistry.cms.hhs.gov/provider-view/1710038237" TargetMode="External"/><Relationship Id="rId347" Type="http://schemas.openxmlformats.org/officeDocument/2006/relationships/hyperlink" Target="https://www.google.com/maps/search/?api=1&amp;query=Health+For+Living+Chiropractic+PC%2C+12400+Pillsbury+Ave+S%2C+Burnsville%2C+MN+55337" TargetMode="External"/><Relationship Id="rId1184" Type="http://schemas.openxmlformats.org/officeDocument/2006/relationships/hyperlink" Target="https://npiregistry.cms.hhs.gov/provider-view/1154654655" TargetMode="External"/><Relationship Id="rId2028" Type="http://schemas.openxmlformats.org/officeDocument/2006/relationships/hyperlink" Target="https://npiregistry.cms.hhs.gov/provider-view/1821047812" TargetMode="External"/><Relationship Id="rId2582" Type="http://schemas.openxmlformats.org/officeDocument/2006/relationships/hyperlink" Target="https://npiregistry.cms.hhs.gov/provider-view/1538365119" TargetMode="External"/><Relationship Id="rId3426" Type="http://schemas.openxmlformats.org/officeDocument/2006/relationships/hyperlink" Target="https://npiregistry.cms.hhs.gov/provider-view/1558434621" TargetMode="External"/><Relationship Id="rId3633" Type="http://schemas.openxmlformats.org/officeDocument/2006/relationships/hyperlink" Target="https://www.google.com/maps/search/?api=1&amp;query=Advantage+Chiropractic%2C+PLLC%2C+430+S+Broad+St%2C+Mankato%2C+MN+56001" TargetMode="External"/><Relationship Id="rId3840" Type="http://schemas.openxmlformats.org/officeDocument/2006/relationships/hyperlink" Target="https://npiregistry.cms.hhs.gov/provider-view/1982794129" TargetMode="External"/><Relationship Id="rId554" Type="http://schemas.openxmlformats.org/officeDocument/2006/relationships/hyperlink" Target="https://npiregistry.cms.hhs.gov/provider-view/1518414382" TargetMode="External"/><Relationship Id="rId761" Type="http://schemas.openxmlformats.org/officeDocument/2006/relationships/hyperlink" Target="https://www.google.com/maps/search/?api=1&amp;query=Brist+Chiropractic+%26+Naturopathic+Wellness+Center+LLC%2C+12176+Ensign+Ave+N%2C+Champlin%2C+MN+55316" TargetMode="External"/><Relationship Id="rId1391" Type="http://schemas.openxmlformats.org/officeDocument/2006/relationships/hyperlink" Target="https://www.google.com/maps/search/?api=1&amp;query=Northside+Chiropractic+Clinic+LTD%2C+3107+Penn+Ave+N%2C+Minneapolis%2C+MN+55411" TargetMode="External"/><Relationship Id="rId2235" Type="http://schemas.openxmlformats.org/officeDocument/2006/relationships/hyperlink" Target="https://www.google.com/maps/search/?api=1&amp;query=Revive+MD+PLLC%2C+821+Raymond+Ave%2C+St.+Paul%2C+MN+55114" TargetMode="External"/><Relationship Id="rId2442" Type="http://schemas.openxmlformats.org/officeDocument/2006/relationships/hyperlink" Target="https://npiregistry.cms.hhs.gov/provider-view/1053500090" TargetMode="External"/><Relationship Id="rId3700" Type="http://schemas.openxmlformats.org/officeDocument/2006/relationships/hyperlink" Target="https://npiregistry.cms.hhs.gov/provider-view/1871535591" TargetMode="External"/><Relationship Id="rId207" Type="http://schemas.openxmlformats.org/officeDocument/2006/relationships/hyperlink" Target="https://www.google.com/maps/search/?api=1&amp;query=Discover+Chiropractic+Life+Center%2C+1107+Hazeltine+Blvd%2C+Chaska%2C+MN+55318" TargetMode="External"/><Relationship Id="rId414" Type="http://schemas.openxmlformats.org/officeDocument/2006/relationships/hyperlink" Target="https://npiregistry.cms.hhs.gov/provider-view/1295817294" TargetMode="External"/><Relationship Id="rId621" Type="http://schemas.openxmlformats.org/officeDocument/2006/relationships/hyperlink" Target="https://www.google.com/maps/search/?api=1&amp;query=Chirozone+PA.%2C+9740+Irving+Ave+S%2C+Bloomington%2C+MN+55431" TargetMode="External"/><Relationship Id="rId1044" Type="http://schemas.openxmlformats.org/officeDocument/2006/relationships/hyperlink" Target="https://npiregistry.cms.hhs.gov/provider-view/1992739247" TargetMode="External"/><Relationship Id="rId1251" Type="http://schemas.openxmlformats.org/officeDocument/2006/relationships/hyperlink" Target="https://www.google.com/maps/search/?api=1&amp;query=Dr.+Brad+Adams+PA%2C+3244+Lyndale+Ave+S%2C+Minneapolis%2C+MN+55408" TargetMode="External"/><Relationship Id="rId2302" Type="http://schemas.openxmlformats.org/officeDocument/2006/relationships/hyperlink" Target="https://npiregistry.cms.hhs.gov/provider-view/1003038241" TargetMode="External"/><Relationship Id="rId1111" Type="http://schemas.openxmlformats.org/officeDocument/2006/relationships/hyperlink" Target="https://www.google.com/maps/search/?api=1&amp;query=Cich+Chiropractic%2C+13563+Grove+Dr%2C+Maple+Grove%2C+MN+55311" TargetMode="External"/><Relationship Id="rId3076" Type="http://schemas.openxmlformats.org/officeDocument/2006/relationships/hyperlink" Target="https://npiregistry.cms.hhs.gov/provider-view/1447476734" TargetMode="External"/><Relationship Id="rId3283" Type="http://schemas.openxmlformats.org/officeDocument/2006/relationships/hyperlink" Target="https://www.google.com/maps/search/?api=1&amp;query=Park+Rapids+Chiropractic%2C+LLC%2C+207+Pleasant+Ave+S%2C+Park+Rapids%2C+MN+56470" TargetMode="External"/><Relationship Id="rId3490" Type="http://schemas.openxmlformats.org/officeDocument/2006/relationships/hyperlink" Target="https://npiregistry.cms.hhs.gov/provider-view/1124223359" TargetMode="External"/><Relationship Id="rId4127" Type="http://schemas.openxmlformats.org/officeDocument/2006/relationships/hyperlink" Target="https://www.google.com/maps/search/?api=1&amp;query=In-Line+Chiropractic%2C+LLC%2C+512+2nd+Street%2C+Morgan%2C+MN+56266" TargetMode="External"/><Relationship Id="rId1928" Type="http://schemas.openxmlformats.org/officeDocument/2006/relationships/hyperlink" Target="https://npiregistry.cms.hhs.gov/provider-view/1457360521" TargetMode="External"/><Relationship Id="rId2092" Type="http://schemas.openxmlformats.org/officeDocument/2006/relationships/hyperlink" Target="https://npiregistry.cms.hhs.gov/provider-view/1386010916" TargetMode="External"/><Relationship Id="rId3143" Type="http://schemas.openxmlformats.org/officeDocument/2006/relationships/hyperlink" Target="https://www.google.com/maps/search/?api=1&amp;query=White+Earth+Therapy+Services%2C+25519+State+Highway+224%2C+Ogema%2C+MN+56569" TargetMode="External"/><Relationship Id="rId3350" Type="http://schemas.openxmlformats.org/officeDocument/2006/relationships/hyperlink" Target="https://npiregistry.cms.hhs.gov/provider-view/1578732319" TargetMode="External"/><Relationship Id="rId271" Type="http://schemas.openxmlformats.org/officeDocument/2006/relationships/hyperlink" Target="https://www.google.com/maps/search/?api=1&amp;query=Perreault+Chiropractic+%26+Acupuncture%2C+6361+Main+St%2C+North+Branch%2C+MN+55056" TargetMode="External"/><Relationship Id="rId3003" Type="http://schemas.openxmlformats.org/officeDocument/2006/relationships/hyperlink" Target="https://www.google.com/maps/search/?api=1&amp;query=Northern+Star+Therapy+LTD%2C+166+19th+St+S%2C+Sartell%2C+MN+56377" TargetMode="External"/><Relationship Id="rId131" Type="http://schemas.openxmlformats.org/officeDocument/2006/relationships/hyperlink" Target="https://www.google.com/maps/search/?api=1&amp;query=Spine+Care+Specialists%2C+PA.%2C+7699+Highway+65+NE%2C+Fridley%2C+MN+55432" TargetMode="External"/><Relationship Id="rId3210" Type="http://schemas.openxmlformats.org/officeDocument/2006/relationships/hyperlink" Target="https://npiregistry.cms.hhs.gov/provider-view/1437323102" TargetMode="External"/><Relationship Id="rId2769" Type="http://schemas.openxmlformats.org/officeDocument/2006/relationships/hyperlink" Target="https://www.google.com/maps/search/?api=1&amp;query=Adjust+To+Health+Chiropractic%2C+PA.%2C+109+2nd+St+S%2C+Buffalo%2C+MN+55313" TargetMode="External"/><Relationship Id="rId2976" Type="http://schemas.openxmlformats.org/officeDocument/2006/relationships/hyperlink" Target="https://npiregistry.cms.hhs.gov/provider-view/1578943791" TargetMode="External"/><Relationship Id="rId948" Type="http://schemas.openxmlformats.org/officeDocument/2006/relationships/hyperlink" Target="https://npiregistry.cms.hhs.gov/provider-view/1083853410" TargetMode="External"/><Relationship Id="rId1578" Type="http://schemas.openxmlformats.org/officeDocument/2006/relationships/hyperlink" Target="https://npiregistry.cms.hhs.gov/provider-view/1164927273" TargetMode="External"/><Relationship Id="rId1785" Type="http://schemas.openxmlformats.org/officeDocument/2006/relationships/hyperlink" Target="https://www.google.com/maps/search/?api=1&amp;query=Minnesota+Orthopedics+PA%2C+6490+Excelsior+Blvd%2C+St.+Louis+Park%2C+MN+55426" TargetMode="External"/><Relationship Id="rId1992" Type="http://schemas.openxmlformats.org/officeDocument/2006/relationships/hyperlink" Target="https://npiregistry.cms.hhs.gov/provider-view/1871924910" TargetMode="External"/><Relationship Id="rId2629" Type="http://schemas.openxmlformats.org/officeDocument/2006/relationships/hyperlink" Target="https://www.google.com/maps/search/?api=1&amp;query=Wellspring+Chiropractic%2C+7029+10th+St+N%2C+Oakdale%2C+MN+55128" TargetMode="External"/><Relationship Id="rId2836" Type="http://schemas.openxmlformats.org/officeDocument/2006/relationships/hyperlink" Target="https://npiregistry.cms.hhs.gov/provider-view/1700082351" TargetMode="External"/><Relationship Id="rId77" Type="http://schemas.openxmlformats.org/officeDocument/2006/relationships/hyperlink" Target="https://www.google.com/maps/search/?api=1&amp;query=Pine+City+Family+Chiropractic%2C+620+Civic+Heights+Dr%2C+Circle+Pines%2C+MN+55014" TargetMode="External"/><Relationship Id="rId808" Type="http://schemas.openxmlformats.org/officeDocument/2006/relationships/hyperlink" Target="https://npiregistry.cms.hhs.gov/provider-view/1124225354" TargetMode="External"/><Relationship Id="rId1438" Type="http://schemas.openxmlformats.org/officeDocument/2006/relationships/hyperlink" Target="https://npiregistry.cms.hhs.gov/provider-view/1780910802" TargetMode="External"/><Relationship Id="rId1645" Type="http://schemas.openxmlformats.org/officeDocument/2006/relationships/hyperlink" Target="https://www.google.com/maps/search/?api=1&amp;query=Richard+Larson+Chiropractic%2C+LLC%2C+1115+Vicksburg+Ln+N%2C+Plymouth%2C+MN+55447" TargetMode="External"/><Relationship Id="rId4051" Type="http://schemas.openxmlformats.org/officeDocument/2006/relationships/hyperlink" Target="https://www.google.com/maps/search/?api=1&amp;query=Donner+Family+Chiropractic+PA%2C+412+19th+Ave+SW%2C+Willmar%2C+MN+56201" TargetMode="External"/><Relationship Id="rId1852" Type="http://schemas.openxmlformats.org/officeDocument/2006/relationships/hyperlink" Target="https://npiregistry.cms.hhs.gov/provider-view/1033575196" TargetMode="External"/><Relationship Id="rId2903" Type="http://schemas.openxmlformats.org/officeDocument/2006/relationships/hyperlink" Target="https://www.google.com/maps/search/?api=1&amp;query=Sheehan+Chiropractic+Center+INC%2C+421+6th+St+So%2C+Winsted%2C+MN+55395" TargetMode="External"/><Relationship Id="rId1505" Type="http://schemas.openxmlformats.org/officeDocument/2006/relationships/hyperlink" Target="https://www.google.com/maps/search/?api=1&amp;query=Avalon+Chiropractic%2C+PA.%2C+16190+Highway+7%2C+Minnetonka%2C+MN+55345" TargetMode="External"/><Relationship Id="rId1712" Type="http://schemas.openxmlformats.org/officeDocument/2006/relationships/hyperlink" Target="https://npiregistry.cms.hhs.gov/provider-view/1912079534" TargetMode="External"/><Relationship Id="rId3677" Type="http://schemas.openxmlformats.org/officeDocument/2006/relationships/hyperlink" Target="https://www.google.com/maps/search/?api=1&amp;query=Vitality+Chiropractic+%26+Acupuncture+LLC%2C+1051+Madison+Ave%2C+Mankato%2C+MN+56001" TargetMode="External"/><Relationship Id="rId3884" Type="http://schemas.openxmlformats.org/officeDocument/2006/relationships/hyperlink" Target="https://npiregistry.cms.hhs.gov/provider-view/1457722837" TargetMode="External"/><Relationship Id="rId598" Type="http://schemas.openxmlformats.org/officeDocument/2006/relationships/hyperlink" Target="https://npiregistry.cms.hhs.gov/provider-view/1922289719" TargetMode="External"/><Relationship Id="rId2279" Type="http://schemas.openxmlformats.org/officeDocument/2006/relationships/hyperlink" Target="https://www.google.com/maps/search/?api=1&amp;query=Tomlinson+Chiropractic%2C+3495+Willow+Lake+Blvd%2C+St.+Paul%2C+MN+55110" TargetMode="External"/><Relationship Id="rId2486" Type="http://schemas.openxmlformats.org/officeDocument/2006/relationships/hyperlink" Target="https://npiregistry.cms.hhs.gov/provider-view/1760537864" TargetMode="External"/><Relationship Id="rId2693" Type="http://schemas.openxmlformats.org/officeDocument/2006/relationships/hyperlink" Target="https://www.google.com/maps/search/?api=1&amp;query=Chiropractic+Rehabilitation+Center+LLC%2C+9900+Valley+Creek+Rd%2C+Woodbury%2C+MN+55125" TargetMode="External"/><Relationship Id="rId3537" Type="http://schemas.openxmlformats.org/officeDocument/2006/relationships/hyperlink" Target="https://www.google.com/maps/search/?api=1&amp;query=Central+Lakes+Chiropractic+Clinic+PC%2C+510+22nd+Ave+E%2C+Alexandria%2C+MN+56308" TargetMode="External"/><Relationship Id="rId3744" Type="http://schemas.openxmlformats.org/officeDocument/2006/relationships/hyperlink" Target="https://npiregistry.cms.hhs.gov/provider-view/1598936270" TargetMode="External"/><Relationship Id="rId3951" Type="http://schemas.openxmlformats.org/officeDocument/2006/relationships/hyperlink" Target="https://www.google.com/maps/search/?api=1&amp;query=Lonsdale+Chiropractic%2C+100+Main+St+So%2C+Lonsdale%2C+MN+55046" TargetMode="External"/><Relationship Id="rId458" Type="http://schemas.openxmlformats.org/officeDocument/2006/relationships/hyperlink" Target="https://npiregistry.cms.hhs.gov/provider-view/1477154078" TargetMode="External"/><Relationship Id="rId665" Type="http://schemas.openxmlformats.org/officeDocument/2006/relationships/hyperlink" Target="https://www.google.com/maps/search/?api=1&amp;query=Revelation+Chiropractic+PLLC%2C+8112+Upton+Ave+S%2C+Bloomington%2C+MN+55431" TargetMode="External"/><Relationship Id="rId872" Type="http://schemas.openxmlformats.org/officeDocument/2006/relationships/hyperlink" Target="https://npiregistry.cms.hhs.gov/provider-view/1447436944" TargetMode="External"/><Relationship Id="rId1088" Type="http://schemas.openxmlformats.org/officeDocument/2006/relationships/hyperlink" Target="https://npiregistry.cms.hhs.gov/provider-view/1730414517" TargetMode="External"/><Relationship Id="rId1295" Type="http://schemas.openxmlformats.org/officeDocument/2006/relationships/hyperlink" Target="https://www.google.com/maps/search/?api=1&amp;query=Houda+Chiropractic+Clinic+INC%2C+115+E+Lake+St%2C+Minneapolis%2C+MN+55408" TargetMode="External"/><Relationship Id="rId2139" Type="http://schemas.openxmlformats.org/officeDocument/2006/relationships/hyperlink" Target="https://www.google.com/maps/search/?api=1&amp;query=Great+Metropolitan+Backrub%2C+762+Cleveland+Ave+S%2C+St.+Paul%2C+MN+55116" TargetMode="External"/><Relationship Id="rId2346" Type="http://schemas.openxmlformats.org/officeDocument/2006/relationships/hyperlink" Target="https://npiregistry.cms.hhs.gov/provider-view/1255407136" TargetMode="External"/><Relationship Id="rId2553" Type="http://schemas.openxmlformats.org/officeDocument/2006/relationships/hyperlink" Target="https://www.google.com/maps/search/?api=1&amp;query=MN+Spine+and+Sport%2C+8451+E+Point+Douglas+Rd+S%2C+Cottage+Grove%2C+MN+55016" TargetMode="External"/><Relationship Id="rId2760" Type="http://schemas.openxmlformats.org/officeDocument/2006/relationships/hyperlink" Target="https://npiregistry.cms.hhs.gov/provider-view/1235263187" TargetMode="External"/><Relationship Id="rId3604" Type="http://schemas.openxmlformats.org/officeDocument/2006/relationships/hyperlink" Target="https://npiregistry.cms.hhs.gov/provider-view/1841703014" TargetMode="External"/><Relationship Id="rId3811" Type="http://schemas.openxmlformats.org/officeDocument/2006/relationships/hyperlink" Target="https://www.google.com/maps/search/?api=1&amp;query=Rauen+Physical+Therapy+LLC%2C+309+North+Main+Street%2C+Zumbrota%2C+MN+55992" TargetMode="External"/><Relationship Id="rId318" Type="http://schemas.openxmlformats.org/officeDocument/2006/relationships/hyperlink" Target="https://npiregistry.cms.hhs.gov/provider-view/1841745098" TargetMode="External"/><Relationship Id="rId525" Type="http://schemas.openxmlformats.org/officeDocument/2006/relationships/hyperlink" Target="https://www.google.com/maps/search/?api=1&amp;query=Invigorate+Chiropractic%2C+PA%2C+18449+Orchard+Trail%2C+Lakeville%2C+MN+55044" TargetMode="External"/><Relationship Id="rId732" Type="http://schemas.openxmlformats.org/officeDocument/2006/relationships/hyperlink" Target="https://npiregistry.cms.hhs.gov/provider-view/1902086143" TargetMode="External"/><Relationship Id="rId1155" Type="http://schemas.openxmlformats.org/officeDocument/2006/relationships/hyperlink" Target="https://www.google.com/maps/search/?api=1&amp;query=Petersen+Chiropractic+INC.%2C+9505+Blackoaks+Ln+No.%2C+Maple+Grove%2C+MN+55311" TargetMode="External"/><Relationship Id="rId1362" Type="http://schemas.openxmlformats.org/officeDocument/2006/relationships/hyperlink" Target="https://npiregistry.cms.hhs.gov/provider-view/1447806260" TargetMode="External"/><Relationship Id="rId2206" Type="http://schemas.openxmlformats.org/officeDocument/2006/relationships/hyperlink" Target="https://npiregistry.cms.hhs.gov/provider-view/1235479106" TargetMode="External"/><Relationship Id="rId2413" Type="http://schemas.openxmlformats.org/officeDocument/2006/relationships/hyperlink" Target="https://www.google.com/maps/search/?api=1&amp;query=Kes+Chiropractic%2C+PA%2C+14033+Commerce+Ave+NE%2C+Prior+Lake%2C+MN+55372" TargetMode="External"/><Relationship Id="rId2620" Type="http://schemas.openxmlformats.org/officeDocument/2006/relationships/hyperlink" Target="https://npiregistry.cms.hhs.gov/provider-view/1811002207" TargetMode="External"/><Relationship Id="rId1015" Type="http://schemas.openxmlformats.org/officeDocument/2006/relationships/hyperlink" Target="https://www.google.com/maps/search/?api=1&amp;query=Western+Orthopaedics+%26+Sports+Medicine+Consultants%2C+675+Water+St%2C+Excelsior%2C+MN+55331" TargetMode="External"/><Relationship Id="rId1222" Type="http://schemas.openxmlformats.org/officeDocument/2006/relationships/hyperlink" Target="https://npiregistry.cms.hhs.gov/provider-view/1700062098" TargetMode="External"/><Relationship Id="rId3187" Type="http://schemas.openxmlformats.org/officeDocument/2006/relationships/hyperlink" Target="https://www.google.com/maps/search/?api=1&amp;query=Family+Chiropractic+Care+INC.%2C+501+Arrowhead+Ln%2C+Moose+Lake%2C+MN+55767" TargetMode="External"/><Relationship Id="rId3394" Type="http://schemas.openxmlformats.org/officeDocument/2006/relationships/hyperlink" Target="https://npiregistry.cms.hhs.gov/provider-view/1396371571" TargetMode="External"/><Relationship Id="rId3047" Type="http://schemas.openxmlformats.org/officeDocument/2006/relationships/hyperlink" Target="https://www.google.com/maps/search/?api=1&amp;query=Chiropractic+Health+and+Wellness+Center%2C+606+25th+Ave+S%2C+St.+Cloud%2C+MN+56301" TargetMode="External"/><Relationship Id="rId175" Type="http://schemas.openxmlformats.org/officeDocument/2006/relationships/hyperlink" Target="https://www.google.com/maps/search/?api=1&amp;query=Spring+Lake+Park+Chiropractic+PA%2C+1611+County+Highway+10%2C+Spring+Lake+Park%2C+MN+55432" TargetMode="External"/><Relationship Id="rId3254" Type="http://schemas.openxmlformats.org/officeDocument/2006/relationships/hyperlink" Target="https://npiregistry.cms.hhs.gov/provider-view/1184738866" TargetMode="External"/><Relationship Id="rId3461" Type="http://schemas.openxmlformats.org/officeDocument/2006/relationships/hyperlink" Target="https://www.google.com/maps/search/?api=1&amp;query=Tlc+Chiropractic%2C+PLC%2C+310+S+2nd+Ave%2C+Virginia%2C+MN+55792" TargetMode="External"/><Relationship Id="rId382" Type="http://schemas.openxmlformats.org/officeDocument/2006/relationships/hyperlink" Target="https://npiregistry.cms.hhs.gov/provider-view/1881711984" TargetMode="External"/><Relationship Id="rId2063" Type="http://schemas.openxmlformats.org/officeDocument/2006/relationships/hyperlink" Target="https://www.google.com/maps/search/?api=1&amp;query=Capitol+Neurology+PA%2C+360+Sherman+St%2C+St.+Paul%2C+MN+55102" TargetMode="External"/><Relationship Id="rId2270" Type="http://schemas.openxmlformats.org/officeDocument/2006/relationships/hyperlink" Target="https://npiregistry.cms.hhs.gov/provider-view/1306137468" TargetMode="External"/><Relationship Id="rId3114" Type="http://schemas.openxmlformats.org/officeDocument/2006/relationships/hyperlink" Target="https://npiregistry.cms.hhs.gov/provider-view/1730636747" TargetMode="External"/><Relationship Id="rId3321" Type="http://schemas.openxmlformats.org/officeDocument/2006/relationships/hyperlink" Target="https://www.google.com/maps/search/?api=1&amp;query=Radtke+Physical+Therapy+Limited+Partnership%2C+1542+Golf+Course+Rd%2C+Grand+Rapids%2C+MN+55744" TargetMode="External"/><Relationship Id="rId242" Type="http://schemas.openxmlformats.org/officeDocument/2006/relationships/hyperlink" Target="https://npiregistry.cms.hhs.gov/provider-view/1851323752" TargetMode="External"/><Relationship Id="rId2130" Type="http://schemas.openxmlformats.org/officeDocument/2006/relationships/hyperlink" Target="https://npiregistry.cms.hhs.gov/provider-view/1639349269" TargetMode="External"/><Relationship Id="rId102" Type="http://schemas.openxmlformats.org/officeDocument/2006/relationships/hyperlink" Target="https://npiregistry.cms.hhs.gov/provider-view/1942425699" TargetMode="External"/><Relationship Id="rId1689" Type="http://schemas.openxmlformats.org/officeDocument/2006/relationships/hyperlink" Target="https://www.google.com/maps/search/?api=1&amp;query=Woodlake+Chiropractic%2C+INC.%2C+6701+Lyndale+Ave+S%2C+Richfield%2C+MN+55423" TargetMode="External"/><Relationship Id="rId4095" Type="http://schemas.openxmlformats.org/officeDocument/2006/relationships/hyperlink" Target="https://www.google.com/maps/search/?api=1&amp;query=Sherman+Chiropractic+and+Rehabilitation%2C+902+W+College+Dr%2C+Marshall%2C+MN+56258" TargetMode="External"/><Relationship Id="rId1896" Type="http://schemas.openxmlformats.org/officeDocument/2006/relationships/hyperlink" Target="https://npiregistry.cms.hhs.gov/provider-view/1033162177" TargetMode="External"/><Relationship Id="rId2947" Type="http://schemas.openxmlformats.org/officeDocument/2006/relationships/hyperlink" Target="https://www.google.com/maps/search/?api=1&amp;query=Speer+Chiropractic%2C+PA.%2C+114+1st+St+NE%2C+Little+Falls%2C+MN+56345" TargetMode="External"/><Relationship Id="rId4162" Type="http://schemas.openxmlformats.org/officeDocument/2006/relationships/hyperlink" Target="https://npiregistry.cms.hhs.gov/provider-view/1487972758" TargetMode="External"/><Relationship Id="rId919" Type="http://schemas.openxmlformats.org/officeDocument/2006/relationships/hyperlink" Target="https://www.google.com/maps/search/?api=1&amp;query=Inner+Balance+Family+Chiropractic+PLC%2C+4444+W+76th+St%2C+Edina%2C+MN+55435" TargetMode="External"/><Relationship Id="rId1549" Type="http://schemas.openxmlformats.org/officeDocument/2006/relationships/hyperlink" Target="https://www.google.com/maps/search/?api=1&amp;query=Rejuva+Medical+and+Wellness+Center+LLC%2C+10653+Wayzata+Blvd%2C+Minnetonka%2C+MN+55305" TargetMode="External"/><Relationship Id="rId1756" Type="http://schemas.openxmlformats.org/officeDocument/2006/relationships/hyperlink" Target="https://npiregistry.cms.hhs.gov/provider-view/1326410416" TargetMode="External"/><Relationship Id="rId1963" Type="http://schemas.openxmlformats.org/officeDocument/2006/relationships/hyperlink" Target="https://www.google.com/maps/search/?api=1&amp;query=Ichiro+Health+Clinic%2C+2345+Rice+St%2C+Roseville%2C+MN+55113" TargetMode="External"/><Relationship Id="rId2807" Type="http://schemas.openxmlformats.org/officeDocument/2006/relationships/hyperlink" Target="https://www.google.com/maps/search/?api=1&amp;query=Phenomenal+Rehabilitation%2C+1116+6th+Street%2C+Howard+Lake%2C+MN+55349" TargetMode="External"/><Relationship Id="rId4022" Type="http://schemas.openxmlformats.org/officeDocument/2006/relationships/hyperlink" Target="https://npiregistry.cms.hhs.gov/provider-view/1164555371" TargetMode="External"/><Relationship Id="rId48" Type="http://schemas.openxmlformats.org/officeDocument/2006/relationships/hyperlink" Target="https://npiregistry.cms.hhs.gov/provider-view/1821763434" TargetMode="External"/><Relationship Id="rId1409" Type="http://schemas.openxmlformats.org/officeDocument/2006/relationships/hyperlink" Target="https://www.google.com/maps/search/?api=1&amp;query=PT+Works%2C+LLC%2C+2104+Park+Ave%2C+Minneapolis%2C+MN+55404" TargetMode="External"/><Relationship Id="rId1616" Type="http://schemas.openxmlformats.org/officeDocument/2006/relationships/hyperlink" Target="https://npiregistry.cms.hhs.gov/provider-view/1295902658" TargetMode="External"/><Relationship Id="rId1823" Type="http://schemas.openxmlformats.org/officeDocument/2006/relationships/hyperlink" Target="https://www.google.com/maps/search/?api=1&amp;query=Avid+Health+and+Wellness+Chiropractic%2C+700+Twelve+Oaks+Center+Dr%2C+Wayzata%2C+MN+55391" TargetMode="External"/><Relationship Id="rId3788" Type="http://schemas.openxmlformats.org/officeDocument/2006/relationships/hyperlink" Target="https://npiregistry.cms.hhs.gov/provider-view/1093473340" TargetMode="External"/><Relationship Id="rId3995" Type="http://schemas.openxmlformats.org/officeDocument/2006/relationships/hyperlink" Target="https://www.google.com/maps/search/?api=1&amp;query=Ott+Family+Chiropractic+%26+Wellness+Clinic+LLC%2C+165+Pembroke+Ave+S%2C+Wabasha%2C+MN+55981" TargetMode="External"/><Relationship Id="rId2597" Type="http://schemas.openxmlformats.org/officeDocument/2006/relationships/hyperlink" Target="https://www.google.com/maps/search/?api=1&amp;query=Lakeland+Family+Chiropractic+and+Acupunct%2C+76+Saint+Croix+Trl+N%2C+Lakeland%2C+MN+55043" TargetMode="External"/><Relationship Id="rId3648" Type="http://schemas.openxmlformats.org/officeDocument/2006/relationships/hyperlink" Target="https://npiregistry.cms.hhs.gov/provider-view/1194991034" TargetMode="External"/><Relationship Id="rId3855" Type="http://schemas.openxmlformats.org/officeDocument/2006/relationships/hyperlink" Target="https://www.google.com/maps/search/?api=1&amp;query=Ayen+Chiropractic+PLLC%2C+1067+4th+St+NE%2C+Byron%2C+MN+55920" TargetMode="External"/><Relationship Id="rId569" Type="http://schemas.openxmlformats.org/officeDocument/2006/relationships/hyperlink" Target="https://www.google.com/maps/search/?api=1&amp;query=Northfield+Physical+Therapy+LLC%2C+2500+320th+St+W%2C+Northfield%2C+MN+55057" TargetMode="External"/><Relationship Id="rId776" Type="http://schemas.openxmlformats.org/officeDocument/2006/relationships/hyperlink" Target="https://npiregistry.cms.hhs.gov/provider-view/1992021851" TargetMode="External"/><Relationship Id="rId983" Type="http://schemas.openxmlformats.org/officeDocument/2006/relationships/hyperlink" Target="https://www.google.com/maps/search/?api=1&amp;query=Twin+Cities+Pain+Clinic%2C+7235+Ohms+Ln%2C+Edina%2C+MN+55439" TargetMode="External"/><Relationship Id="rId1199" Type="http://schemas.openxmlformats.org/officeDocument/2006/relationships/hyperlink" Target="https://www.google.com/maps/search/?api=1&amp;query=Art+District+Chiropractic%2C+LLC%2C+208+13th+Ave+NE%2C+Minneapolis%2C+MN+55413" TargetMode="External"/><Relationship Id="rId2457" Type="http://schemas.openxmlformats.org/officeDocument/2006/relationships/hyperlink" Target="https://www.google.com/maps/search/?api=1&amp;query=Pain%2C+Injury+%26+Brain+Centers+of+America+MN+LLC%2C+14247+Oconnell+Ct%2C+Savage%2C+MN+55378" TargetMode="External"/><Relationship Id="rId2664" Type="http://schemas.openxmlformats.org/officeDocument/2006/relationships/hyperlink" Target="https://npiregistry.cms.hhs.gov/provider-view/1699168856" TargetMode="External"/><Relationship Id="rId3508" Type="http://schemas.openxmlformats.org/officeDocument/2006/relationships/hyperlink" Target="https://npiregistry.cms.hhs.gov/provider-view/1932716669" TargetMode="External"/><Relationship Id="rId429" Type="http://schemas.openxmlformats.org/officeDocument/2006/relationships/hyperlink" Target="https://www.google.com/maps/search/?api=1&amp;query=Harmony+Health+Chiropractic%2C+3324+Promenade+Ave%2C+Eagan%2C+MN+55121" TargetMode="External"/><Relationship Id="rId636" Type="http://schemas.openxmlformats.org/officeDocument/2006/relationships/hyperlink" Target="https://npiregistry.cms.hhs.gov/provider-view/1326308065" TargetMode="External"/><Relationship Id="rId1059" Type="http://schemas.openxmlformats.org/officeDocument/2006/relationships/hyperlink" Target="https://www.google.com/maps/search/?api=1&amp;query=Suma+Mri%2C+PA.%2C+604+Lilac+Dr+N%2C+Golden+Valley%2C+MN+55422" TargetMode="External"/><Relationship Id="rId1266" Type="http://schemas.openxmlformats.org/officeDocument/2006/relationships/hyperlink" Target="https://npiregistry.cms.hhs.gov/provider-view/1528324639" TargetMode="External"/><Relationship Id="rId1473" Type="http://schemas.openxmlformats.org/officeDocument/2006/relationships/hyperlink" Target="https://www.google.com/maps/search/?api=1&amp;query=Uptown+Chiropractic%2C+LLC%2C+3009+Garfield+Avenue%2C+Minneapolis%2C+MN+55408" TargetMode="External"/><Relationship Id="rId2317" Type="http://schemas.openxmlformats.org/officeDocument/2006/relationships/hyperlink" Target="https://www.google.com/maps/search/?api=1&amp;query=Wellness+Cooperative+LLC%2C+976+Grand+Ave.%2C+St.+Paul%2C+MN+55105" TargetMode="External"/><Relationship Id="rId2871" Type="http://schemas.openxmlformats.org/officeDocument/2006/relationships/hyperlink" Target="https://www.google.com/maps/search/?api=1&amp;query=Active+Life+Chiropractic+and+Sport+LLC%2C+600+Union+St+S%2C+Mora%2C+MN+55051" TargetMode="External"/><Relationship Id="rId3715" Type="http://schemas.openxmlformats.org/officeDocument/2006/relationships/hyperlink" Target="https://www.google.com/maps/search/?api=1&amp;query=Burtis+Chiropractic+Center%2C+112+N+State+St%2C+Fairmont%2C+MN+56031" TargetMode="External"/><Relationship Id="rId3922" Type="http://schemas.openxmlformats.org/officeDocument/2006/relationships/hyperlink" Target="https://npiregistry.cms.hhs.gov/provider-view/1760588651" TargetMode="External"/><Relationship Id="rId843" Type="http://schemas.openxmlformats.org/officeDocument/2006/relationships/hyperlink" Target="https://www.google.com/maps/search/?api=1&amp;query=Premier+Sports+and+Spine+Center%2C+8577+Columbine+Rd%2C+Eden+Prairie%2C+MN+55344" TargetMode="External"/><Relationship Id="rId1126" Type="http://schemas.openxmlformats.org/officeDocument/2006/relationships/hyperlink" Target="https://npiregistry.cms.hhs.gov/provider-view/1659549020" TargetMode="External"/><Relationship Id="rId1680" Type="http://schemas.openxmlformats.org/officeDocument/2006/relationships/hyperlink" Target="https://npiregistry.cms.hhs.gov/provider-view/1255763603" TargetMode="External"/><Relationship Id="rId2524" Type="http://schemas.openxmlformats.org/officeDocument/2006/relationships/hyperlink" Target="https://npiregistry.cms.hhs.gov/provider-view/1265507651" TargetMode="External"/><Relationship Id="rId2731" Type="http://schemas.openxmlformats.org/officeDocument/2006/relationships/hyperlink" Target="https://www.google.com/maps/search/?api=1&amp;query=Reconnection+Chiropractic%2C+683+Bielenberg+Dr%2C+Woodbury%2C+MN+55125" TargetMode="External"/><Relationship Id="rId703" Type="http://schemas.openxmlformats.org/officeDocument/2006/relationships/hyperlink" Target="https://www.google.com/maps/search/?api=1&amp;query=B+P+Chiropractic+Clinic%2C+3330+Brookdale+Dr+N%2C+Brooklyn+Park%2C+MN+55443" TargetMode="External"/><Relationship Id="rId910" Type="http://schemas.openxmlformats.org/officeDocument/2006/relationships/hyperlink" Target="https://npiregistry.cms.hhs.gov/provider-view/1508145095" TargetMode="External"/><Relationship Id="rId1333" Type="http://schemas.openxmlformats.org/officeDocument/2006/relationships/hyperlink" Target="https://www.google.com/maps/search/?api=1&amp;query=Longfellow+Chiropractic+PLLC%2C+2901+Dorman+Ave%2C+Minneapolis%2C+MN+55406" TargetMode="External"/><Relationship Id="rId1540" Type="http://schemas.openxmlformats.org/officeDocument/2006/relationships/hyperlink" Target="https://npiregistry.cms.hhs.gov/provider-view/1891974911" TargetMode="External"/><Relationship Id="rId1400" Type="http://schemas.openxmlformats.org/officeDocument/2006/relationships/hyperlink" Target="https://npiregistry.cms.hhs.gov/provider-view/1992984959" TargetMode="External"/><Relationship Id="rId3298" Type="http://schemas.openxmlformats.org/officeDocument/2006/relationships/hyperlink" Target="https://npiregistry.cms.hhs.gov/provider-view/1558577932" TargetMode="External"/><Relationship Id="rId3158" Type="http://schemas.openxmlformats.org/officeDocument/2006/relationships/hyperlink" Target="https://npiregistry.cms.hhs.gov/provider-view/1538353669" TargetMode="External"/><Relationship Id="rId3365" Type="http://schemas.openxmlformats.org/officeDocument/2006/relationships/hyperlink" Target="https://www.google.com/maps/search/?api=1&amp;query=Bolen+Chiropractic%2C+PA%2C+2730+Piedmont+Ave%2C+Duluth%2C+MN+55811" TargetMode="External"/><Relationship Id="rId3572" Type="http://schemas.openxmlformats.org/officeDocument/2006/relationships/hyperlink" Target="https://npiregistry.cms.hhs.gov/provider-view/1003033853" TargetMode="External"/><Relationship Id="rId286" Type="http://schemas.openxmlformats.org/officeDocument/2006/relationships/hyperlink" Target="https://npiregistry.cms.hhs.gov/provider-view/1508078551" TargetMode="External"/><Relationship Id="rId493" Type="http://schemas.openxmlformats.org/officeDocument/2006/relationships/hyperlink" Target="https://www.google.com/maps/search/?api=1&amp;query=Saande+Chiropractic+LLC%2C+1300+Vermillion+St%2C+Hastings%2C+MN+55033" TargetMode="External"/><Relationship Id="rId2174" Type="http://schemas.openxmlformats.org/officeDocument/2006/relationships/hyperlink" Target="https://npiregistry.cms.hhs.gov/provider-view/1588861215" TargetMode="External"/><Relationship Id="rId2381" Type="http://schemas.openxmlformats.org/officeDocument/2006/relationships/hyperlink" Target="https://www.google.com/maps/search/?api=1&amp;query=River+Valley+Family+Chiropractic%2C+210+N+Meridian+St%2C+Belle+Plaine%2C+MN+56011" TargetMode="External"/><Relationship Id="rId3018" Type="http://schemas.openxmlformats.org/officeDocument/2006/relationships/hyperlink" Target="https://npiregistry.cms.hhs.gov/provider-view/1518903533" TargetMode="External"/><Relationship Id="rId3225" Type="http://schemas.openxmlformats.org/officeDocument/2006/relationships/hyperlink" Target="https://www.google.com/maps/search/?api=1&amp;query=Sazama+Family+Chiropractic+%26+Wellness+PA%2C+7111+Forthun+Rd%2C+Baxter%2C+MN+56425" TargetMode="External"/><Relationship Id="rId3432" Type="http://schemas.openxmlformats.org/officeDocument/2006/relationships/hyperlink" Target="https://npiregistry.cms.hhs.gov/provider-view/1700301884" TargetMode="External"/><Relationship Id="rId146" Type="http://schemas.openxmlformats.org/officeDocument/2006/relationships/hyperlink" Target="https://npiregistry.cms.hhs.gov/provider-view/1740887223" TargetMode="External"/><Relationship Id="rId353" Type="http://schemas.openxmlformats.org/officeDocument/2006/relationships/hyperlink" Target="https://www.google.com/maps/search/?api=1&amp;query=Healthsource+of+Lakeville%2C+15024+Portland+Ave%2C+Burnsville%2C+MN+55306" TargetMode="External"/><Relationship Id="rId560" Type="http://schemas.openxmlformats.org/officeDocument/2006/relationships/hyperlink" Target="https://npiregistry.cms.hhs.gov/provider-view/1215428271" TargetMode="External"/><Relationship Id="rId1190" Type="http://schemas.openxmlformats.org/officeDocument/2006/relationships/hyperlink" Target="https://npiregistry.cms.hhs.gov/provider-view/1649596339" TargetMode="External"/><Relationship Id="rId2034" Type="http://schemas.openxmlformats.org/officeDocument/2006/relationships/hyperlink" Target="https://npiregistry.cms.hhs.gov/provider-view/1336216522" TargetMode="External"/><Relationship Id="rId2241" Type="http://schemas.openxmlformats.org/officeDocument/2006/relationships/hyperlink" Target="https://www.google.com/maps/search/?api=1&amp;query=Roots+Wellcare%2C+PA.%2C+570+Asbury+Street%2C+St.+Paul%2C+MN+55104" TargetMode="External"/><Relationship Id="rId213" Type="http://schemas.openxmlformats.org/officeDocument/2006/relationships/hyperlink" Target="https://www.google.com/maps/search/?api=1&amp;query=Motion+Is+Life+Chiropractic%2C+424+N+Chestnut+St%2C+Chaska%2C+MN+55318" TargetMode="External"/><Relationship Id="rId420" Type="http://schemas.openxmlformats.org/officeDocument/2006/relationships/hyperlink" Target="https://npiregistry.cms.hhs.gov/provider-view/1487779898" TargetMode="External"/><Relationship Id="rId1050" Type="http://schemas.openxmlformats.org/officeDocument/2006/relationships/hyperlink" Target="https://npiregistry.cms.hhs.gov/provider-view/1205117678" TargetMode="External"/><Relationship Id="rId2101" Type="http://schemas.openxmlformats.org/officeDocument/2006/relationships/hyperlink" Target="https://www.google.com/maps/search/?api=1&amp;query=Christianson+Chiropractic%2C+PLLC%2C+631+Cleveland+Ave+S%2C+St.+Paul%2C+MN+55116" TargetMode="External"/><Relationship Id="rId4066" Type="http://schemas.openxmlformats.org/officeDocument/2006/relationships/hyperlink" Target="https://npiregistry.cms.hhs.gov/provider-view/1235318098" TargetMode="External"/><Relationship Id="rId1867" Type="http://schemas.openxmlformats.org/officeDocument/2006/relationships/hyperlink" Target="https://www.google.com/maps/search/?api=1&amp;query=Willowbridge%2C+INC.%2C+222+Ashland+St+S%2C+Cambridge%2C+MN+55008" TargetMode="External"/><Relationship Id="rId2918" Type="http://schemas.openxmlformats.org/officeDocument/2006/relationships/hyperlink" Target="https://npiregistry.cms.hhs.gov/provider-view/1366635435" TargetMode="External"/><Relationship Id="rId1727" Type="http://schemas.openxmlformats.org/officeDocument/2006/relationships/hyperlink" Target="https://www.google.com/maps/search/?api=1&amp;query=Rogers+Chiropractic+Health%2C+14115+James+Rd%2C+Rogers%2C+MN+55374" TargetMode="External"/><Relationship Id="rId1934" Type="http://schemas.openxmlformats.org/officeDocument/2006/relationships/hyperlink" Target="https://npiregistry.cms.hhs.gov/provider-view/1730346958" TargetMode="External"/><Relationship Id="rId3082" Type="http://schemas.openxmlformats.org/officeDocument/2006/relationships/hyperlink" Target="https://npiregistry.cms.hhs.gov/provider-view/1285767525" TargetMode="External"/><Relationship Id="rId4133" Type="http://schemas.openxmlformats.org/officeDocument/2006/relationships/hyperlink" Target="https://www.google.com/maps/search/?api=1&amp;query=Redwood+Chiropractic+PSC%2C+803+E+Bridge+St%2C+Redwood+Falls%2C+MN+56283" TargetMode="External"/><Relationship Id="rId19" Type="http://schemas.openxmlformats.org/officeDocument/2006/relationships/hyperlink" Target="https://www.google.com/maps/search/?api=1&amp;query=Heil+Chiropractic+Center+PA%2C+3507+Round+Lake+Blvd+NW%2C+Anoka%2C+MN+55303" TargetMode="External"/><Relationship Id="rId3899" Type="http://schemas.openxmlformats.org/officeDocument/2006/relationships/hyperlink" Target="https://www.google.com/maps/search/?api=1&amp;query=Quality+Life+Chiropractic+%26+Massage%2C+PA.%2C+3249+19th+St+NW%2C+Rochester%2C+MN+55901" TargetMode="External"/><Relationship Id="rId3759" Type="http://schemas.openxmlformats.org/officeDocument/2006/relationships/hyperlink" Target="https://www.google.com/maps/search/?api=1&amp;query=St.+James+Family+Chiropractic%2C+LTD.%2C+800+Weston+Ave%2C+St.+James%2C+MN+56081" TargetMode="External"/><Relationship Id="rId3966" Type="http://schemas.openxmlformats.org/officeDocument/2006/relationships/hyperlink" Target="https://npiregistry.cms.hhs.gov/provider-view/1265020457" TargetMode="External"/><Relationship Id="rId3" Type="http://schemas.openxmlformats.org/officeDocument/2006/relationships/hyperlink" Target="https://www.google.com/maps/search/?api=1&amp;query=Andover+Family+Chiropractic+PA%2C+1573+154th+Ave+NW%2C+Andover%2C+MN+55304" TargetMode="External"/><Relationship Id="rId887" Type="http://schemas.openxmlformats.org/officeDocument/2006/relationships/hyperlink" Target="https://www.google.com/maps/search/?api=1&amp;query=Body+%26+Soul+Therapy%2C+7200+France+Ave+S%2C+Edina%2C+MN+55435" TargetMode="External"/><Relationship Id="rId2568" Type="http://schemas.openxmlformats.org/officeDocument/2006/relationships/hyperlink" Target="https://npiregistry.cms.hhs.gov/provider-view/1922279215" TargetMode="External"/><Relationship Id="rId2775" Type="http://schemas.openxmlformats.org/officeDocument/2006/relationships/hyperlink" Target="https://www.google.com/maps/search/?api=1&amp;query=Hendrickson+Chiropractic+PA%2C+1200+N+Hwy+25%2C+Buffalo%2C+MN+55313" TargetMode="External"/><Relationship Id="rId2982" Type="http://schemas.openxmlformats.org/officeDocument/2006/relationships/hyperlink" Target="https://npiregistry.cms.hhs.gov/provider-view/1043555840" TargetMode="External"/><Relationship Id="rId3619" Type="http://schemas.openxmlformats.org/officeDocument/2006/relationships/hyperlink" Target="https://www.google.com/maps/search/?api=1&amp;query=Accelerated+Chiropractic%2C+717+Atlantic+Ave.%2C+Morris%2C+MN+56267" TargetMode="External"/><Relationship Id="rId3826" Type="http://schemas.openxmlformats.org/officeDocument/2006/relationships/hyperlink" Target="https://npiregistry.cms.hhs.gov/provider-view/1306084314" TargetMode="External"/><Relationship Id="rId747" Type="http://schemas.openxmlformats.org/officeDocument/2006/relationships/hyperlink" Target="https://www.google.com/maps/search/?api=1&amp;query=Select+Physical+Therapy+Holdings+INC%2C+7714+Brooklyn+Blvd%2C+Brooklyn+Park%2C+MN+55443" TargetMode="External"/><Relationship Id="rId954" Type="http://schemas.openxmlformats.org/officeDocument/2006/relationships/hyperlink" Target="https://npiregistry.cms.hhs.gov/provider-view/1568532190" TargetMode="External"/><Relationship Id="rId1377" Type="http://schemas.openxmlformats.org/officeDocument/2006/relationships/hyperlink" Target="https://www.google.com/maps/search/?api=1&amp;query=Mores+Therapeutics%2C+4825+58th+Ave+N%2C+Minneapolis%2C+MN+55429" TargetMode="External"/><Relationship Id="rId1584" Type="http://schemas.openxmlformats.org/officeDocument/2006/relationships/hyperlink" Target="https://npiregistry.cms.hhs.gov/provider-view/1073688065" TargetMode="External"/><Relationship Id="rId1791" Type="http://schemas.openxmlformats.org/officeDocument/2006/relationships/hyperlink" Target="https://www.google.com/maps/search/?api=1&amp;query=Paxxon+Healthcare+Services+LLC%2C+3663+Park+Center+Blvd%2C+St.+Louis+Park%2C+MN+55416" TargetMode="External"/><Relationship Id="rId2428" Type="http://schemas.openxmlformats.org/officeDocument/2006/relationships/hyperlink" Target="https://npiregistry.cms.hhs.gov/provider-view/1518417732" TargetMode="External"/><Relationship Id="rId2635" Type="http://schemas.openxmlformats.org/officeDocument/2006/relationships/hyperlink" Target="https://www.google.com/maps/search/?api=1&amp;query=Anchored+Chiropractic+PLLC%2C+1060+Curve+Crest+Blvd+W%2C+Stillwater%2C+MN+55082" TargetMode="External"/><Relationship Id="rId2842" Type="http://schemas.openxmlformats.org/officeDocument/2006/relationships/hyperlink" Target="https://npiregistry.cms.hhs.gov/provider-view/1790796159" TargetMode="External"/><Relationship Id="rId83" Type="http://schemas.openxmlformats.org/officeDocument/2006/relationships/hyperlink" Target="https://www.google.com/maps/search/?api=1&amp;query=Mccallum+Chiropractic+INC.%2C+4911+Central+Ave+NE%2C+Columbia+Heights%2C+MN+55421" TargetMode="External"/><Relationship Id="rId607" Type="http://schemas.openxmlformats.org/officeDocument/2006/relationships/hyperlink" Target="https://www.google.com/maps/search/?api=1&amp;query=Beyond+Family+Chiropractic+PLLC%2C+3701+W+Old+Shakopee+Rd%2C+Bloomington%2C+MN+55431" TargetMode="External"/><Relationship Id="rId814" Type="http://schemas.openxmlformats.org/officeDocument/2006/relationships/hyperlink" Target="https://npiregistry.cms.hhs.gov/provider-view/1790904571" TargetMode="External"/><Relationship Id="rId1237" Type="http://schemas.openxmlformats.org/officeDocument/2006/relationships/hyperlink" Target="https://www.google.com/maps/search/?api=1&amp;query=Comprehensive+Rehabilitation+Centers+of+Minnesota%2C+133+W+Lake+St%2C+Minneapolis%2C+MN+55408" TargetMode="External"/><Relationship Id="rId1444" Type="http://schemas.openxmlformats.org/officeDocument/2006/relationships/hyperlink" Target="https://npiregistry.cms.hhs.gov/provider-view/1376131151" TargetMode="External"/><Relationship Id="rId1651" Type="http://schemas.openxmlformats.org/officeDocument/2006/relationships/hyperlink" Target="https://www.google.com/maps/search/?api=1&amp;query=Sjdc+LTD.%2C+10700+County+Road+15%2C+Plymouth%2C+MN+55441" TargetMode="External"/><Relationship Id="rId2702" Type="http://schemas.openxmlformats.org/officeDocument/2006/relationships/hyperlink" Target="https://npiregistry.cms.hhs.gov/provider-view/1952411175" TargetMode="External"/><Relationship Id="rId1304" Type="http://schemas.openxmlformats.org/officeDocument/2006/relationships/hyperlink" Target="https://npiregistry.cms.hhs.gov/provider-view/1306185368" TargetMode="External"/><Relationship Id="rId1511" Type="http://schemas.openxmlformats.org/officeDocument/2006/relationships/hyperlink" Target="https://www.google.com/maps/search/?api=1&amp;query=Body+Harmony+Chiropractic%2C+PA%2C+12201+Minnetonka+Blvd%2C+Minnetonka%2C+MN+55305" TargetMode="External"/><Relationship Id="rId3269" Type="http://schemas.openxmlformats.org/officeDocument/2006/relationships/hyperlink" Target="https://www.google.com/maps/search/?api=1&amp;query=Northern+Hope+Functional+Neurology+and+Chiropractic%2C+25503+Main+St%2C+Nisswa%2C+MN+56468" TargetMode="External"/><Relationship Id="rId3476" Type="http://schemas.openxmlformats.org/officeDocument/2006/relationships/hyperlink" Target="https://npiregistry.cms.hhs.gov/provider-view/1942327549" TargetMode="External"/><Relationship Id="rId3683" Type="http://schemas.openxmlformats.org/officeDocument/2006/relationships/hyperlink" Target="https://www.google.com/maps/search/?api=1&amp;query=Musselman+Family+Chiropractic+PA%2C+511+16th+St+S%2C+New+Ulm%2C+MN+56073" TargetMode="External"/><Relationship Id="rId10" Type="http://schemas.openxmlformats.org/officeDocument/2006/relationships/hyperlink" Target="https://npiregistry.cms.hhs.gov/provider-view/1235285966" TargetMode="External"/><Relationship Id="rId397" Type="http://schemas.openxmlformats.org/officeDocument/2006/relationships/hyperlink" Target="https://www.google.com/maps/search/?api=1&amp;query=White+Chiropractic+PA%2C+1980+Cliff+Rd+E%2C+Burnsville%2C+MN+55337" TargetMode="External"/><Relationship Id="rId2078" Type="http://schemas.openxmlformats.org/officeDocument/2006/relationships/hyperlink" Target="https://npiregistry.cms.hhs.gov/provider-view/1174876643" TargetMode="External"/><Relationship Id="rId2285" Type="http://schemas.openxmlformats.org/officeDocument/2006/relationships/hyperlink" Target="https://www.google.com/maps/search/?api=1&amp;query=Twin+Cities+Chiropractic%2C+LLC%2C+1440+Arcade+St%2C+St.+Paul%2C+MN+55106" TargetMode="External"/><Relationship Id="rId2492" Type="http://schemas.openxmlformats.org/officeDocument/2006/relationships/hyperlink" Target="https://npiregistry.cms.hhs.gov/provider-view/1609061944" TargetMode="External"/><Relationship Id="rId3129" Type="http://schemas.openxmlformats.org/officeDocument/2006/relationships/hyperlink" Target="https://www.google.com/maps/search/?api=1&amp;query=Johnson+Natural+Health+Care+PA%2C+1208+Washington+Ave%2C+Detroit+Lakes%2C+MN+56501" TargetMode="External"/><Relationship Id="rId3336" Type="http://schemas.openxmlformats.org/officeDocument/2006/relationships/hyperlink" Target="https://npiregistry.cms.hhs.gov/provider-view/1306874425" TargetMode="External"/><Relationship Id="rId3890" Type="http://schemas.openxmlformats.org/officeDocument/2006/relationships/hyperlink" Target="https://npiregistry.cms.hhs.gov/provider-view/1275769820" TargetMode="External"/><Relationship Id="rId257" Type="http://schemas.openxmlformats.org/officeDocument/2006/relationships/hyperlink" Target="https://www.google.com/maps/search/?api=1&amp;query=Kimberley+M+Johnson+DC%2C+12814+Lake+Boulevard%2C+Lindstrom%2C+MN+55045" TargetMode="External"/><Relationship Id="rId464" Type="http://schemas.openxmlformats.org/officeDocument/2006/relationships/hyperlink" Target="https://npiregistry.cms.hhs.gov/provider-view/1831450014" TargetMode="External"/><Relationship Id="rId1094" Type="http://schemas.openxmlformats.org/officeDocument/2006/relationships/hyperlink" Target="https://npiregistry.cms.hhs.gov/provider-view/1932323144" TargetMode="External"/><Relationship Id="rId2145" Type="http://schemas.openxmlformats.org/officeDocument/2006/relationships/hyperlink" Target="https://www.google.com/maps/search/?api=1&amp;query=Hands+On+Heart+Holistic+Healthcare%2C+PA.%2C+821+Raymond+Ave%2C+St.+Paul%2C+MN+55114" TargetMode="External"/><Relationship Id="rId3543" Type="http://schemas.openxmlformats.org/officeDocument/2006/relationships/hyperlink" Target="https://www.google.com/maps/search/?api=1&amp;query=Cornerstone+Chiropractic%2C+INC.%2C+507+N+Nokomis+St%2C+Alexandria%2C+MN+56308" TargetMode="External"/><Relationship Id="rId3750" Type="http://schemas.openxmlformats.org/officeDocument/2006/relationships/hyperlink" Target="https://npiregistry.cms.hhs.gov/provider-view/1760763007" TargetMode="External"/><Relationship Id="rId117" Type="http://schemas.openxmlformats.org/officeDocument/2006/relationships/hyperlink" Target="https://www.google.com/maps/search/?api=1&amp;query=Lakewoods+Chiropractic+PA.%2C+255+Highway+97%2C+Forest+Lake%2C+MN+55025" TargetMode="External"/><Relationship Id="rId671" Type="http://schemas.openxmlformats.org/officeDocument/2006/relationships/hyperlink" Target="https://www.google.com/maps/search/?api=1&amp;query=A+%26+A+Chiropractic%2C+6142+Brooklyn+Blvd%2C+Brooklyn+Center%2C+MN+55429" TargetMode="External"/><Relationship Id="rId2352" Type="http://schemas.openxmlformats.org/officeDocument/2006/relationships/hyperlink" Target="https://npiregistry.cms.hhs.gov/provider-view/1376614081" TargetMode="External"/><Relationship Id="rId3403" Type="http://schemas.openxmlformats.org/officeDocument/2006/relationships/hyperlink" Target="https://www.google.com/maps/search/?api=1&amp;query=Pike+Lake+Chiropractic+Office%2C+5663+Miller+Trunk+Hwy%2C+Duluth%2C+MN+55811" TargetMode="External"/><Relationship Id="rId3610" Type="http://schemas.openxmlformats.org/officeDocument/2006/relationships/hyperlink" Target="https://npiregistry.cms.hhs.gov/provider-view/1124106299" TargetMode="External"/><Relationship Id="rId324" Type="http://schemas.openxmlformats.org/officeDocument/2006/relationships/hyperlink" Target="https://npiregistry.cms.hhs.gov/provider-view/1689979098" TargetMode="External"/><Relationship Id="rId531" Type="http://schemas.openxmlformats.org/officeDocument/2006/relationships/hyperlink" Target="https://www.google.com/maps/search/?api=1&amp;query=Lakeville+Community+Chiropractic%2C+17305+Cedar+Ave+S%2C+Lakeville%2C+MN+55044" TargetMode="External"/><Relationship Id="rId1161" Type="http://schemas.openxmlformats.org/officeDocument/2006/relationships/hyperlink" Target="https://www.google.com/maps/search/?api=1&amp;query=Shane+A.+Boroditsky%2C+PA.%2C+12000+Elm+Creek+Blvd+N%2C+Maple+Grove%2C+MN+55369" TargetMode="External"/><Relationship Id="rId2005" Type="http://schemas.openxmlformats.org/officeDocument/2006/relationships/hyperlink" Target="https://www.google.com/maps/search/?api=1&amp;query=Ardenview%2C+3434+Lexington+Ave+N%2C+Shoreview%2C+MN+55126" TargetMode="External"/><Relationship Id="rId2212" Type="http://schemas.openxmlformats.org/officeDocument/2006/relationships/hyperlink" Target="https://npiregistry.cms.hhs.gov/provider-view/1356421317" TargetMode="External"/><Relationship Id="rId1021" Type="http://schemas.openxmlformats.org/officeDocument/2006/relationships/hyperlink" Target="https://www.google.com/maps/search/?api=1&amp;query=Andrashko+Chiropractic+Plus+PC%2C+8421+Wayzata+Blvd%2C+Golden+Valley%2C+MN+55426" TargetMode="External"/><Relationship Id="rId1978" Type="http://schemas.openxmlformats.org/officeDocument/2006/relationships/hyperlink" Target="https://npiregistry.cms.hhs.gov/provider-view/1689731390" TargetMode="External"/><Relationship Id="rId3193" Type="http://schemas.openxmlformats.org/officeDocument/2006/relationships/hyperlink" Target="https://www.google.com/maps/search/?api=1&amp;query=Kaubisch+Chiropractic%2C+INC.%2C+207+6th+St.+So%2C%2C+Walker%2C+MN+56484" TargetMode="External"/><Relationship Id="rId4037" Type="http://schemas.openxmlformats.org/officeDocument/2006/relationships/hyperlink" Target="https://www.google.com/maps/search/?api=1&amp;query=Northeast+Orthopedic+Center%2C+824+N+11th+St%2C+Montevideo%2C+MN+56265" TargetMode="External"/><Relationship Id="rId1838" Type="http://schemas.openxmlformats.org/officeDocument/2006/relationships/hyperlink" Target="https://npiregistry.cms.hhs.gov/provider-view/1811142300" TargetMode="External"/><Relationship Id="rId3053" Type="http://schemas.openxmlformats.org/officeDocument/2006/relationships/hyperlink" Target="https://www.google.com/maps/search/?api=1&amp;query=Dr+Erika+PLLC%2C+2026+Veterans+Dr%2C+St.+Cloud%2C+MN+56303" TargetMode="External"/><Relationship Id="rId3260" Type="http://schemas.openxmlformats.org/officeDocument/2006/relationships/hyperlink" Target="https://npiregistry.cms.hhs.gov/provider-view/1427479617" TargetMode="External"/><Relationship Id="rId4104" Type="http://schemas.openxmlformats.org/officeDocument/2006/relationships/hyperlink" Target="https://npiregistry.cms.hhs.gov/provider-view/1417317413" TargetMode="External"/><Relationship Id="rId181" Type="http://schemas.openxmlformats.org/officeDocument/2006/relationships/hyperlink" Target="https://www.google.com/maps/search/?api=1&amp;query=Omega+Chiropractic%2C+2675+W+78th+St%2C+Chanhassen%2C+MN+55317" TargetMode="External"/><Relationship Id="rId1905" Type="http://schemas.openxmlformats.org/officeDocument/2006/relationships/hyperlink" Target="https://www.google.com/maps/search/?api=1&amp;query=Neurological+Associates+of+St+Paul+PA%2C+1650+Beam+Ave%2C+Maplewood%2C+MN+55109" TargetMode="External"/><Relationship Id="rId3120" Type="http://schemas.openxmlformats.org/officeDocument/2006/relationships/hyperlink" Target="https://npiregistry.cms.hhs.gov/provider-view/1073646121" TargetMode="External"/><Relationship Id="rId998" Type="http://schemas.openxmlformats.org/officeDocument/2006/relationships/hyperlink" Target="https://npiregistry.cms.hhs.gov/provider-view/1003016296" TargetMode="External"/><Relationship Id="rId2679" Type="http://schemas.openxmlformats.org/officeDocument/2006/relationships/hyperlink" Target="https://www.google.com/maps/search/?api=1&amp;query=Stillwater+Natural+Health+Care+INC.%2C+215+William+St+N%2C+Stillwater%2C+MN+55082" TargetMode="External"/><Relationship Id="rId2886" Type="http://schemas.openxmlformats.org/officeDocument/2006/relationships/hyperlink" Target="https://npiregistry.cms.hhs.gov/provider-view/1104968890" TargetMode="External"/><Relationship Id="rId3937" Type="http://schemas.openxmlformats.org/officeDocument/2006/relationships/hyperlink" Target="https://www.google.com/maps/search/?api=1&amp;query=Hoisington+Family+Chiropractic%2C+PA%2C+1033+1st+St+NE%2C+Faribault%2C+MN+55021" TargetMode="External"/><Relationship Id="rId858" Type="http://schemas.openxmlformats.org/officeDocument/2006/relationships/hyperlink" Target="https://npiregistry.cms.hhs.gov/provider-view/1992030613" TargetMode="External"/><Relationship Id="rId1488" Type="http://schemas.openxmlformats.org/officeDocument/2006/relationships/hyperlink" Target="https://npiregistry.cms.hhs.gov/provider-view/1386802437" TargetMode="External"/><Relationship Id="rId1695" Type="http://schemas.openxmlformats.org/officeDocument/2006/relationships/hyperlink" Target="https://www.google.com/maps/search/?api=1&amp;query=Go+Health+Chiropractic%2C+4101+W+Broadway+Ave%2C+Robbinsdale%2C+MN+55422" TargetMode="External"/><Relationship Id="rId2539" Type="http://schemas.openxmlformats.org/officeDocument/2006/relationships/hyperlink" Target="https://www.google.com/maps/search/?api=1&amp;query=The+Calla+Lily%2C+3343+Saint+Croix+Trl+S%2C+Afton%2C+MN+55001" TargetMode="External"/><Relationship Id="rId2746" Type="http://schemas.openxmlformats.org/officeDocument/2006/relationships/hyperlink" Target="https://npiregistry.cms.hhs.gov/provider-view/1659422509" TargetMode="External"/><Relationship Id="rId2953" Type="http://schemas.openxmlformats.org/officeDocument/2006/relationships/hyperlink" Target="https://www.google.com/maps/search/?api=1&amp;query=Hinckley+Chiropractic%2C+110+E+Main+St%2C+Hinckley%2C+MN+55037" TargetMode="External"/><Relationship Id="rId718" Type="http://schemas.openxmlformats.org/officeDocument/2006/relationships/hyperlink" Target="https://npiregistry.cms.hhs.gov/provider-view/1740807510" TargetMode="External"/><Relationship Id="rId925" Type="http://schemas.openxmlformats.org/officeDocument/2006/relationships/hyperlink" Target="https://www.google.com/maps/search/?api=1&amp;query=Integrated+Medical+Rehabilitation+of+MN.%2C+LLC%2C+5101+Vernon+Ave+S%2C+Edina%2C+MN+55436" TargetMode="External"/><Relationship Id="rId1348" Type="http://schemas.openxmlformats.org/officeDocument/2006/relationships/hyperlink" Target="https://npiregistry.cms.hhs.gov/provider-view/1366516171" TargetMode="External"/><Relationship Id="rId1555" Type="http://schemas.openxmlformats.org/officeDocument/2006/relationships/hyperlink" Target="https://www.google.com/maps/search/?api=1&amp;query=Thrive+Chiropractic%2C+PLLC%2C+14525+Highway+7%2C+Minnetonka%2C+MN+55345" TargetMode="External"/><Relationship Id="rId1762" Type="http://schemas.openxmlformats.org/officeDocument/2006/relationships/hyperlink" Target="https://npiregistry.cms.hhs.gov/provider-view/1578125159" TargetMode="External"/><Relationship Id="rId2606" Type="http://schemas.openxmlformats.org/officeDocument/2006/relationships/hyperlink" Target="https://npiregistry.cms.hhs.gov/provider-view/1205167996" TargetMode="External"/><Relationship Id="rId1208" Type="http://schemas.openxmlformats.org/officeDocument/2006/relationships/hyperlink" Target="https://npiregistry.cms.hhs.gov/provider-view/1992909998" TargetMode="External"/><Relationship Id="rId1415" Type="http://schemas.openxmlformats.org/officeDocument/2006/relationships/hyperlink" Target="https://www.google.com/maps/search/?api=1&amp;query=Replenish+Wellbeing%2C+4014+Russell+Ave+N%2C+Minneapolis%2C+MN+55412" TargetMode="External"/><Relationship Id="rId2813" Type="http://schemas.openxmlformats.org/officeDocument/2006/relationships/hyperlink" Target="https://www.google.com/maps/search/?api=1&amp;query=Total+Care+Chiropractic%2C+PA.%2C+40+Birch+Ave+S%2C+Maple+Lake%2C+MN+55358" TargetMode="External"/><Relationship Id="rId54" Type="http://schemas.openxmlformats.org/officeDocument/2006/relationships/hyperlink" Target="https://npiregistry.cms.hhs.gov/provider-view/1538347547" TargetMode="External"/><Relationship Id="rId1622" Type="http://schemas.openxmlformats.org/officeDocument/2006/relationships/hyperlink" Target="https://npiregistry.cms.hhs.gov/provider-view/1265465934" TargetMode="External"/><Relationship Id="rId2189" Type="http://schemas.openxmlformats.org/officeDocument/2006/relationships/hyperlink" Target="https://www.google.com/maps/search/?api=1&amp;query=Mbh+Chiropractic%2C+1080+Raymond+Ave%2C+St.+Paul%2C+MN+55108" TargetMode="External"/><Relationship Id="rId3587" Type="http://schemas.openxmlformats.org/officeDocument/2006/relationships/hyperlink" Target="https://www.google.com/maps/search/?api=1&amp;query=Tysdal+Chiropractic+LLC%2C+17116+River+Oaks+Blvd%2C+Fergus+Falls%2C+MN+56537" TargetMode="External"/><Relationship Id="rId3794" Type="http://schemas.openxmlformats.org/officeDocument/2006/relationships/hyperlink" Target="https://npiregistry.cms.hhs.gov/provider-view/1538233101" TargetMode="External"/><Relationship Id="rId2396" Type="http://schemas.openxmlformats.org/officeDocument/2006/relationships/hyperlink" Target="https://npiregistry.cms.hhs.gov/provider-view/1932209020" TargetMode="External"/><Relationship Id="rId3447" Type="http://schemas.openxmlformats.org/officeDocument/2006/relationships/hyperlink" Target="https://www.google.com/maps/search/?api=1&amp;query=Range+Spine+Center%2C+PLLC%2C+4104+9th+Ave+W%2C+Hibbing%2C+MN+55746" TargetMode="External"/><Relationship Id="rId3654" Type="http://schemas.openxmlformats.org/officeDocument/2006/relationships/hyperlink" Target="https://npiregistry.cms.hhs.gov/provider-view/1164818043" TargetMode="External"/><Relationship Id="rId3861" Type="http://schemas.openxmlformats.org/officeDocument/2006/relationships/hyperlink" Target="https://www.google.com/maps/search/?api=1&amp;query=Absolute+Chiropractic%2C+PA%2C+1610+14th+St+NW%2C+Rochester%2C+MN+55901" TargetMode="External"/><Relationship Id="rId368" Type="http://schemas.openxmlformats.org/officeDocument/2006/relationships/hyperlink" Target="https://npiregistry.cms.hhs.gov/provider-view/1821182734" TargetMode="External"/><Relationship Id="rId575" Type="http://schemas.openxmlformats.org/officeDocument/2006/relationships/hyperlink" Target="https://www.google.com/maps/search/?api=1&amp;query=Scott+Chiropractic+Clinic+PLLC%2C+15067+Crestone+Ave+W%2C+Rosemount%2C+MN+55068" TargetMode="External"/><Relationship Id="rId782" Type="http://schemas.openxmlformats.org/officeDocument/2006/relationships/hyperlink" Target="https://npiregistry.cms.hhs.gov/provider-view/1073821260" TargetMode="External"/><Relationship Id="rId2049" Type="http://schemas.openxmlformats.org/officeDocument/2006/relationships/hyperlink" Target="https://www.google.com/maps/search/?api=1&amp;query=Associates+In+Chiropractic+PA.%2C+2500+Como+Ave%2C+St.+Paul%2C+MN+55108" TargetMode="External"/><Relationship Id="rId2256" Type="http://schemas.openxmlformats.org/officeDocument/2006/relationships/hyperlink" Target="https://npiregistry.cms.hhs.gov/provider-view/1093058067" TargetMode="External"/><Relationship Id="rId2463" Type="http://schemas.openxmlformats.org/officeDocument/2006/relationships/hyperlink" Target="https://www.google.com/maps/search/?api=1&amp;query=Spine+and+Sport+Health%2C+4203+Highway+13+W%2C+Savage%2C+MN+55378" TargetMode="External"/><Relationship Id="rId2670" Type="http://schemas.openxmlformats.org/officeDocument/2006/relationships/hyperlink" Target="https://npiregistry.cms.hhs.gov/provider-view/1124431358" TargetMode="External"/><Relationship Id="rId3307" Type="http://schemas.openxmlformats.org/officeDocument/2006/relationships/hyperlink" Target="https://www.google.com/maps/search/?api=1&amp;query=Mcbride+Chiropractic+PA%2C+1751+SE+2nd+Ave%2C+Grand+Rapids%2C+MN+55744" TargetMode="External"/><Relationship Id="rId3514" Type="http://schemas.openxmlformats.org/officeDocument/2006/relationships/hyperlink" Target="https://npiregistry.cms.hhs.gov/provider-view/1003023342" TargetMode="External"/><Relationship Id="rId3721" Type="http://schemas.openxmlformats.org/officeDocument/2006/relationships/hyperlink" Target="https://www.google.com/maps/search/?api=1&amp;query=Trimont+Chiropractic%2C+Acupuncture+and+Nutrition%2C+PLLC%2C+11+Chestnut+St+E%2C+Trimont%2C+MN+56176" TargetMode="External"/><Relationship Id="rId228" Type="http://schemas.openxmlformats.org/officeDocument/2006/relationships/hyperlink" Target="https://npiregistry.cms.hhs.gov/provider-view/1649586645" TargetMode="External"/><Relationship Id="rId435" Type="http://schemas.openxmlformats.org/officeDocument/2006/relationships/hyperlink" Target="https://www.google.com/maps/search/?api=1&amp;query=Healing+Touch+Chiropractic%2C+1570+Century+Pt%2C+Eagan%2C+MN+55121" TargetMode="External"/><Relationship Id="rId642" Type="http://schemas.openxmlformats.org/officeDocument/2006/relationships/hyperlink" Target="https://npiregistry.cms.hhs.gov/provider-view/1922242627" TargetMode="External"/><Relationship Id="rId1065" Type="http://schemas.openxmlformats.org/officeDocument/2006/relationships/hyperlink" Target="https://www.google.com/maps/search/?api=1&amp;query=US+Neurosurgery+Associates%2C+PLLC%2C+4225+Golden+Valley+Rd%2C+Golden+Valley%2C+MN+55422" TargetMode="External"/><Relationship Id="rId1272" Type="http://schemas.openxmlformats.org/officeDocument/2006/relationships/hyperlink" Target="https://npiregistry.cms.hhs.gov/provider-view/1396919676" TargetMode="External"/><Relationship Id="rId2116" Type="http://schemas.openxmlformats.org/officeDocument/2006/relationships/hyperlink" Target="https://npiregistry.cms.hhs.gov/provider-view/1811199060" TargetMode="External"/><Relationship Id="rId2323" Type="http://schemas.openxmlformats.org/officeDocument/2006/relationships/hyperlink" Target="https://www.google.com/maps/search/?api=1&amp;query=Yer+Chiropractic+Clinic%2C+INC%2C+1497+White+Bear+Ave+N%2C+St.+Paul%2C+MN+55106" TargetMode="External"/><Relationship Id="rId2530" Type="http://schemas.openxmlformats.org/officeDocument/2006/relationships/hyperlink" Target="https://npiregistry.cms.hhs.gov/provider-view/1699075366" TargetMode="External"/><Relationship Id="rId502" Type="http://schemas.openxmlformats.org/officeDocument/2006/relationships/hyperlink" Target="https://npiregistry.cms.hhs.gov/provider-view/1306047816" TargetMode="External"/><Relationship Id="rId1132" Type="http://schemas.openxmlformats.org/officeDocument/2006/relationships/hyperlink" Target="https://npiregistry.cms.hhs.gov/provider-view/1710232335" TargetMode="External"/><Relationship Id="rId3097" Type="http://schemas.openxmlformats.org/officeDocument/2006/relationships/hyperlink" Target="https://www.google.com/maps/search/?api=1&amp;query=Chiropractic+Plus+PA.%2C+217+3rd+St+NE%2C+Waite+Park%2C+MN+56387" TargetMode="External"/><Relationship Id="rId4148" Type="http://schemas.openxmlformats.org/officeDocument/2006/relationships/hyperlink" Target="https://npiregistry.cms.hhs.gov/provider-view/1356548283" TargetMode="External"/><Relationship Id="rId1949" Type="http://schemas.openxmlformats.org/officeDocument/2006/relationships/hyperlink" Target="https://www.google.com/maps/search/?api=1&amp;query=All+Ways+Health+Center+PA%2C+2585+Hamline+Ave+N%2C+Roseville%2C+MN+55113" TargetMode="External"/><Relationship Id="rId3164" Type="http://schemas.openxmlformats.org/officeDocument/2006/relationships/hyperlink" Target="https://npiregistry.cms.hhs.gov/provider-view/1639438922" TargetMode="External"/><Relationship Id="rId4008" Type="http://schemas.openxmlformats.org/officeDocument/2006/relationships/hyperlink" Target="https://npiregistry.cms.hhs.gov/provider-view/1518942416" TargetMode="External"/><Relationship Id="rId292" Type="http://schemas.openxmlformats.org/officeDocument/2006/relationships/hyperlink" Target="https://npiregistry.cms.hhs.gov/provider-view/1922341973" TargetMode="External"/><Relationship Id="rId1809" Type="http://schemas.openxmlformats.org/officeDocument/2006/relationships/hyperlink" Target="https://www.google.com/maps/search/?api=1&amp;query=Slp+Chiropractic%2C+PA%2C+4415+Excelsior+Blvd%2C+St.+Louis+Park%2C+MN+55416" TargetMode="External"/><Relationship Id="rId3371" Type="http://schemas.openxmlformats.org/officeDocument/2006/relationships/hyperlink" Target="https://www.google.com/maps/search/?api=1&amp;query=Cooley+Chiropractic+Clinic%2C+INC.%2C+5722+Homestead+Rd%2C+Duluth%2C+MN+55804" TargetMode="External"/><Relationship Id="rId2180" Type="http://schemas.openxmlformats.org/officeDocument/2006/relationships/hyperlink" Target="https://npiregistry.cms.hhs.gov/provider-view/1366990616" TargetMode="External"/><Relationship Id="rId3024" Type="http://schemas.openxmlformats.org/officeDocument/2006/relationships/hyperlink" Target="https://npiregistry.cms.hhs.gov/provider-view/1588715544" TargetMode="External"/><Relationship Id="rId3231" Type="http://schemas.openxmlformats.org/officeDocument/2006/relationships/hyperlink" Target="https://www.google.com/maps/search/?api=1&amp;query=Blue+Sky+Therapy%2C+LLC%2C+411+Front+St%2C+Brainerd%2C+MN+56401" TargetMode="External"/><Relationship Id="rId152" Type="http://schemas.openxmlformats.org/officeDocument/2006/relationships/hyperlink" Target="https://npiregistry.cms.hhs.gov/provider-view/1770811887" TargetMode="External"/><Relationship Id="rId2040" Type="http://schemas.openxmlformats.org/officeDocument/2006/relationships/hyperlink" Target="https://npiregistry.cms.hhs.gov/provider-view/1477943843" TargetMode="External"/><Relationship Id="rId2997" Type="http://schemas.openxmlformats.org/officeDocument/2006/relationships/hyperlink" Target="https://www.google.com/maps/search/?api=1&amp;query=Good+Life+Chiropractic+LLC%2C+1733+Pine+Cone+Rd+S%2C+Sartell%2C+MN+56377" TargetMode="External"/><Relationship Id="rId969" Type="http://schemas.openxmlformats.org/officeDocument/2006/relationships/hyperlink" Target="https://www.google.com/maps/search/?api=1&amp;query=Restorative+Health+Solutions+PA%2C+7701+York+Ave+S%2C+Edina%2C+MN+55435" TargetMode="External"/><Relationship Id="rId1599" Type="http://schemas.openxmlformats.org/officeDocument/2006/relationships/hyperlink" Target="https://www.google.com/maps/search/?api=1&amp;query=Dr.+Benton+Mccone+PA.%2C+15705+35th+Ave+N%2C+Plymouth%2C+MN+55447" TargetMode="External"/><Relationship Id="rId1459" Type="http://schemas.openxmlformats.org/officeDocument/2006/relationships/hyperlink" Target="https://www.google.com/maps/search/?api=1&amp;query=The+Family+Wellness+Institute%2C+P.+A.%2C+4318+Upton+Ave+S%2C+Minneapolis%2C+MN+55410" TargetMode="External"/><Relationship Id="rId2857" Type="http://schemas.openxmlformats.org/officeDocument/2006/relationships/hyperlink" Target="https://www.google.com/maps/search/?api=1&amp;query=Foley+Physical+Rehab+INC.%2C+400+Broadway+Ave+N%2C+Foley%2C+MN+56329" TargetMode="External"/><Relationship Id="rId3908" Type="http://schemas.openxmlformats.org/officeDocument/2006/relationships/hyperlink" Target="https://npiregistry.cms.hhs.gov/provider-view/1194053884" TargetMode="External"/><Relationship Id="rId4072" Type="http://schemas.openxmlformats.org/officeDocument/2006/relationships/hyperlink" Target="https://npiregistry.cms.hhs.gov/provider-view/1700466562" TargetMode="External"/><Relationship Id="rId98" Type="http://schemas.openxmlformats.org/officeDocument/2006/relationships/hyperlink" Target="https://npiregistry.cms.hhs.gov/provider-view/1861067068" TargetMode="External"/><Relationship Id="rId829" Type="http://schemas.openxmlformats.org/officeDocument/2006/relationships/hyperlink" Target="https://www.google.com/maps/search/?api=1&amp;query=Inspired+Athletx%2C+7210+Washington+Ave+S%2C+Eden+Prairie%2C+MN+55344" TargetMode="External"/><Relationship Id="rId1666" Type="http://schemas.openxmlformats.org/officeDocument/2006/relationships/hyperlink" Target="https://npiregistry.cms.hhs.gov/provider-view/1396084919" TargetMode="External"/><Relationship Id="rId1873" Type="http://schemas.openxmlformats.org/officeDocument/2006/relationships/hyperlink" Target="https://www.google.com/maps/search/?api=1&amp;query=Willowbridge%2C+INC.%2C+4+Enterprise+Ave+NE%2C+Isanti%2C+MN+55040" TargetMode="External"/><Relationship Id="rId2717" Type="http://schemas.openxmlformats.org/officeDocument/2006/relationships/hyperlink" Target="https://www.google.com/maps/search/?api=1&amp;query=Minnetonka+Imaging+Mri%2C+INC.%2C+6053+Hudson+Rd%2C+Woodbury%2C+MN+55125" TargetMode="External"/><Relationship Id="rId2924" Type="http://schemas.openxmlformats.org/officeDocument/2006/relationships/hyperlink" Target="https://npiregistry.cms.hhs.gov/provider-view/1275796773" TargetMode="External"/><Relationship Id="rId1319" Type="http://schemas.openxmlformats.org/officeDocument/2006/relationships/hyperlink" Target="https://www.google.com/maps/search/?api=1&amp;query=Lake+Pointe+Chiropractic+%26+Wellness%2C+5000+W+36th+St%2C+Minneapolis%2C+MN+55416" TargetMode="External"/><Relationship Id="rId1526" Type="http://schemas.openxmlformats.org/officeDocument/2006/relationships/hyperlink" Target="https://npiregistry.cms.hhs.gov/provider-view/1891137220" TargetMode="External"/><Relationship Id="rId1733" Type="http://schemas.openxmlformats.org/officeDocument/2006/relationships/hyperlink" Target="https://www.google.com/maps/search/?api=1&amp;query=Western+Orthopaedics+%26+Sports+Medicine+Consultants%2C+4695+Shoreline+Dr%2C+Spring+Park%2C+MN+55384" TargetMode="External"/><Relationship Id="rId1940" Type="http://schemas.openxmlformats.org/officeDocument/2006/relationships/hyperlink" Target="https://npiregistry.cms.hhs.gov/provider-view/1013341353" TargetMode="External"/><Relationship Id="rId25" Type="http://schemas.openxmlformats.org/officeDocument/2006/relationships/hyperlink" Target="https://www.google.com/maps/search/?api=1&amp;query=Wellspring+Spinal+Care%2C+PC%2C+540+Greenhaven+Rd%2C+Anoka%2C+MN+55303" TargetMode="External"/><Relationship Id="rId1800" Type="http://schemas.openxmlformats.org/officeDocument/2006/relationships/hyperlink" Target="https://npiregistry.cms.hhs.gov/provider-view/1528720695" TargetMode="External"/><Relationship Id="rId3698" Type="http://schemas.openxmlformats.org/officeDocument/2006/relationships/hyperlink" Target="https://npiregistry.cms.hhs.gov/provider-view/1881286292" TargetMode="External"/><Relationship Id="rId3558" Type="http://schemas.openxmlformats.org/officeDocument/2006/relationships/hyperlink" Target="https://npiregistry.cms.hhs.gov/provider-view/1184700924" TargetMode="External"/><Relationship Id="rId3765" Type="http://schemas.openxmlformats.org/officeDocument/2006/relationships/hyperlink" Target="https://www.google.com/maps/search/?api=1&amp;query=Meyer+Chiropractic+Center%2C+Chtd.%2C+17+4th+Ave+NW%2C+Kasson%2C+MN+55944" TargetMode="External"/><Relationship Id="rId3972" Type="http://schemas.openxmlformats.org/officeDocument/2006/relationships/hyperlink" Target="https://npiregistry.cms.hhs.gov/provider-view/1164688149" TargetMode="External"/><Relationship Id="rId479" Type="http://schemas.openxmlformats.org/officeDocument/2006/relationships/hyperlink" Target="https://www.google.com/maps/search/?api=1&amp;query=Integrity+Chiropractic%2C+18598+Elk+River+Trl%2C+Farmington%2C+MN+55024" TargetMode="External"/><Relationship Id="rId686" Type="http://schemas.openxmlformats.org/officeDocument/2006/relationships/hyperlink" Target="https://npiregistry.cms.hhs.gov/provider-view/1578860565" TargetMode="External"/><Relationship Id="rId893" Type="http://schemas.openxmlformats.org/officeDocument/2006/relationships/hyperlink" Target="https://www.google.com/maps/search/?api=1&amp;query=Child+and+Family+Chiropractic+Center%2C+LLC%2C+4444+W.+76th+St.%2C%2C+Edina%2C+MN+55435" TargetMode="External"/><Relationship Id="rId2367" Type="http://schemas.openxmlformats.org/officeDocument/2006/relationships/hyperlink" Target="https://www.google.com/maps/search/?api=1&amp;query=Peddycoart+Chiropractic+INC.%2C+1803+Buerkle+Rd%2C+White+Bear+Lake%2C+MN+55110" TargetMode="External"/><Relationship Id="rId2574" Type="http://schemas.openxmlformats.org/officeDocument/2006/relationships/hyperlink" Target="https://npiregistry.cms.hhs.gov/provider-view/1982949111" TargetMode="External"/><Relationship Id="rId2781" Type="http://schemas.openxmlformats.org/officeDocument/2006/relationships/hyperlink" Target="https://www.google.com/maps/search/?api=1&amp;query=Optimal+Function+Physical+Therapy+and+Wellness%2C+120+1st+St+S%2C+Buffalo%2C+MN+55313" TargetMode="External"/><Relationship Id="rId3418" Type="http://schemas.openxmlformats.org/officeDocument/2006/relationships/hyperlink" Target="https://npiregistry.cms.hhs.gov/provider-view/1497157168" TargetMode="External"/><Relationship Id="rId3625" Type="http://schemas.openxmlformats.org/officeDocument/2006/relationships/hyperlink" Target="https://www.google.com/maps/search/?api=1&amp;query=Orthopedic+%26+Sports+Physical+Therapy%2C+INC%2C+430+5th+St+N%2C+Breckenridge%2C+MN+56520" TargetMode="External"/><Relationship Id="rId339" Type="http://schemas.openxmlformats.org/officeDocument/2006/relationships/hyperlink" Target="https://www.google.com/maps/search/?api=1&amp;query=Currier+Group+Limited%2C+1064+County+Road+42+E%2C+Burnsville%2C+MN+55337" TargetMode="External"/><Relationship Id="rId546" Type="http://schemas.openxmlformats.org/officeDocument/2006/relationships/hyperlink" Target="https://npiregistry.cms.hhs.gov/provider-view/1790947752" TargetMode="External"/><Relationship Id="rId753" Type="http://schemas.openxmlformats.org/officeDocument/2006/relationships/hyperlink" Target="https://www.google.com/maps/search/?api=1&amp;query=Achieve+Health+Clinic+of+Chiropractic%2C+11350+Aquila+Dr+N%2C+Champlin%2C+MN+55316" TargetMode="External"/><Relationship Id="rId1176" Type="http://schemas.openxmlformats.org/officeDocument/2006/relationships/hyperlink" Target="https://npiregistry.cms.hhs.gov/provider-view/1083747711" TargetMode="External"/><Relationship Id="rId1383" Type="http://schemas.openxmlformats.org/officeDocument/2006/relationships/hyperlink" Target="https://www.google.com/maps/search/?api=1&amp;query=Neurology+Specialists%2C+LLC%2C+3433+Broadway+St+NE%2C+Minneapolis%2C+MN+55413" TargetMode="External"/><Relationship Id="rId2227" Type="http://schemas.openxmlformats.org/officeDocument/2006/relationships/hyperlink" Target="https://www.google.com/maps/search/?api=1&amp;query=Primary+Wellness+%26+Injury+Center%2C+PA.%2C+1885+University+Ave+W%2C+St.+Paul%2C+MN+55104" TargetMode="External"/><Relationship Id="rId2434" Type="http://schemas.openxmlformats.org/officeDocument/2006/relationships/hyperlink" Target="https://npiregistry.cms.hhs.gov/provider-view/1295170173" TargetMode="External"/><Relationship Id="rId3832" Type="http://schemas.openxmlformats.org/officeDocument/2006/relationships/hyperlink" Target="https://npiregistry.cms.hhs.gov/provider-view/1255563920" TargetMode="External"/><Relationship Id="rId406" Type="http://schemas.openxmlformats.org/officeDocument/2006/relationships/hyperlink" Target="https://npiregistry.cms.hhs.gov/provider-view/1639415771" TargetMode="External"/><Relationship Id="rId960" Type="http://schemas.openxmlformats.org/officeDocument/2006/relationships/hyperlink" Target="https://npiregistry.cms.hhs.gov/provider-view/1407155054" TargetMode="External"/><Relationship Id="rId1036" Type="http://schemas.openxmlformats.org/officeDocument/2006/relationships/hyperlink" Target="https://npiregistry.cms.hhs.gov/provider-view/1720311483" TargetMode="External"/><Relationship Id="rId1243" Type="http://schemas.openxmlformats.org/officeDocument/2006/relationships/hyperlink" Target="https://www.google.com/maps/search/?api=1&amp;query=Devries+Spine+Care+PLLC%2C+4748+Chicago+Ave%2C+Minneapolis%2C+MN+55407" TargetMode="External"/><Relationship Id="rId1590" Type="http://schemas.openxmlformats.org/officeDocument/2006/relationships/hyperlink" Target="https://npiregistry.cms.hhs.gov/provider-view/1821018326" TargetMode="External"/><Relationship Id="rId2641" Type="http://schemas.openxmlformats.org/officeDocument/2006/relationships/hyperlink" Target="https://www.google.com/maps/search/?api=1&amp;query=Body+Essential%2C+LLC%2C+116+Chestnut+St+E%2C+Stillwater%2C+MN+55082" TargetMode="External"/><Relationship Id="rId613" Type="http://schemas.openxmlformats.org/officeDocument/2006/relationships/hyperlink" Target="https://www.google.com/maps/search/?api=1&amp;query=Brett+Chiropractic+%26+Acupuncture%2C+200+W+98th+St%2C+Bloomington%2C+MN+55420" TargetMode="External"/><Relationship Id="rId820" Type="http://schemas.openxmlformats.org/officeDocument/2006/relationships/hyperlink" Target="https://npiregistry.cms.hhs.gov/provider-view/1942493218" TargetMode="External"/><Relationship Id="rId1450" Type="http://schemas.openxmlformats.org/officeDocument/2006/relationships/hyperlink" Target="https://npiregistry.cms.hhs.gov/provider-view/1336682673" TargetMode="External"/><Relationship Id="rId2501" Type="http://schemas.openxmlformats.org/officeDocument/2006/relationships/hyperlink" Target="https://www.google.com/maps/search/?api=1&amp;query=Becker+Spine+PA%2C+13952+First+Street%2C+Becker%2C+MN+55308" TargetMode="External"/><Relationship Id="rId1103" Type="http://schemas.openxmlformats.org/officeDocument/2006/relationships/hyperlink" Target="https://www.google.com/maps/search/?api=1&amp;query=Ascending+Health+Center%2C+PLLC%2C+7200+Hemlock+Ln+N%2C+Maple+Grove%2C+MN+55369" TargetMode="External"/><Relationship Id="rId1310" Type="http://schemas.openxmlformats.org/officeDocument/2006/relationships/hyperlink" Target="https://npiregistry.cms.hhs.gov/provider-view/1619046133" TargetMode="External"/><Relationship Id="rId3068" Type="http://schemas.openxmlformats.org/officeDocument/2006/relationships/hyperlink" Target="https://npiregistry.cms.hhs.gov/provider-view/1598778755" TargetMode="External"/><Relationship Id="rId3275" Type="http://schemas.openxmlformats.org/officeDocument/2006/relationships/hyperlink" Target="https://www.google.com/maps/search/?api=1&amp;query=Lelwica+Chiropractic%2C+31108+Government+Dr%2C+Pequot+Lakes%2C+MN+56472" TargetMode="External"/><Relationship Id="rId3482" Type="http://schemas.openxmlformats.org/officeDocument/2006/relationships/hyperlink" Target="https://npiregistry.cms.hhs.gov/provider-view/1477589141" TargetMode="External"/><Relationship Id="rId4119" Type="http://schemas.openxmlformats.org/officeDocument/2006/relationships/hyperlink" Target="https://www.google.com/maps/search/?api=1&amp;query=Kuehl+Chiropractic%2C+PA.%2C+510+7th+St+SE%2C+Pipestone%2C+MN+56164" TargetMode="External"/><Relationship Id="rId196" Type="http://schemas.openxmlformats.org/officeDocument/2006/relationships/hyperlink" Target="https://npiregistry.cms.hhs.gov/provider-view/1003011768" TargetMode="External"/><Relationship Id="rId2084" Type="http://schemas.openxmlformats.org/officeDocument/2006/relationships/hyperlink" Target="https://npiregistry.cms.hhs.gov/provider-view/1114009495" TargetMode="External"/><Relationship Id="rId2291" Type="http://schemas.openxmlformats.org/officeDocument/2006/relationships/hyperlink" Target="https://www.google.com/maps/search/?api=1&amp;query=Twin+Life+Chiropractic+PA.%2C+540+Fairview+Ave+N%2C+St.+Paul%2C+MN+55104" TargetMode="External"/><Relationship Id="rId3135" Type="http://schemas.openxmlformats.org/officeDocument/2006/relationships/hyperlink" Target="https://www.google.com/maps/search/?api=1&amp;query=Matthys+Orthopaedic+Center%2C+213+State+St+W%2C+Detroit+Lakes%2C+MN+56501" TargetMode="External"/><Relationship Id="rId3342" Type="http://schemas.openxmlformats.org/officeDocument/2006/relationships/hyperlink" Target="https://npiregistry.cms.hhs.gov/provider-view/1295831832" TargetMode="External"/><Relationship Id="rId263" Type="http://schemas.openxmlformats.org/officeDocument/2006/relationships/hyperlink" Target="https://www.google.com/maps/search/?api=1&amp;query=Virga+Chiropractic+Clinic+PA%2C+12670+Lake+Blvd%2C+Lindstrom%2C+MN+55045" TargetMode="External"/><Relationship Id="rId470" Type="http://schemas.openxmlformats.org/officeDocument/2006/relationships/hyperlink" Target="https://npiregistry.cms.hhs.gov/provider-view/1922572387" TargetMode="External"/><Relationship Id="rId2151" Type="http://schemas.openxmlformats.org/officeDocument/2006/relationships/hyperlink" Target="https://www.google.com/maps/search/?api=1&amp;query=Health+Quest%2C+1053+Grand+Ave%2C+St.+Paul%2C+MN+55105" TargetMode="External"/><Relationship Id="rId3202" Type="http://schemas.openxmlformats.org/officeDocument/2006/relationships/hyperlink" Target="https://npiregistry.cms.hhs.gov/provider-view/1154408987" TargetMode="External"/><Relationship Id="rId123" Type="http://schemas.openxmlformats.org/officeDocument/2006/relationships/hyperlink" Target="https://www.google.com/maps/search/?api=1&amp;query=Aagesen+Chiropractic+and+Natural+Therapies%2C+7245+University+Ave+NE%2C+Fridley%2C+MN+55432" TargetMode="External"/><Relationship Id="rId330" Type="http://schemas.openxmlformats.org/officeDocument/2006/relationships/hyperlink" Target="https://npiregistry.cms.hhs.gov/provider-view/1992813737" TargetMode="External"/><Relationship Id="rId2011" Type="http://schemas.openxmlformats.org/officeDocument/2006/relationships/hyperlink" Target="https://www.google.com/maps/search/?api=1&amp;query=Healthy+Day+Chiropractic%2C+3999+Rice+St%2C+Shoreview%2C+MN+55126" TargetMode="External"/><Relationship Id="rId2968" Type="http://schemas.openxmlformats.org/officeDocument/2006/relationships/hyperlink" Target="https://npiregistry.cms.hhs.gov/provider-view/1609241447" TargetMode="External"/><Relationship Id="rId1777" Type="http://schemas.openxmlformats.org/officeDocument/2006/relationships/hyperlink" Target="https://www.google.com/maps/search/?api=1&amp;query=Lifeclinic+Rehabilitation+and+Chiropractic%2C+5525+Cedar+Lake+Rd+S%2C+St.+Louis+Park%2C+MN+55416" TargetMode="External"/><Relationship Id="rId1984" Type="http://schemas.openxmlformats.org/officeDocument/2006/relationships/hyperlink" Target="https://npiregistry.cms.hhs.gov/provider-view/1538495247" TargetMode="External"/><Relationship Id="rId2828" Type="http://schemas.openxmlformats.org/officeDocument/2006/relationships/hyperlink" Target="https://npiregistry.cms.hhs.gov/provider-view/1770795924" TargetMode="External"/><Relationship Id="rId69" Type="http://schemas.openxmlformats.org/officeDocument/2006/relationships/hyperlink" Target="https://www.google.com/maps/search/?api=1&amp;query=US.+Healthworks+Medical+Group+of+Minnesota%2C+PC%2C+10190+Baltimore+St+NE%2C+Blaine%2C+MN+55449" TargetMode="External"/><Relationship Id="rId1637" Type="http://schemas.openxmlformats.org/officeDocument/2006/relationships/hyperlink" Target="https://www.google.com/maps/search/?api=1&amp;query=Pinnacle+Chiropractic+and+Acupuncture%2C+PA%2C+3021+Harbor+Ln+N%2C+Plymouth%2C+MN+55447" TargetMode="External"/><Relationship Id="rId1844" Type="http://schemas.openxmlformats.org/officeDocument/2006/relationships/hyperlink" Target="https://npiregistry.cms.hhs.gov/provider-view/1407028939" TargetMode="External"/><Relationship Id="rId4043" Type="http://schemas.openxmlformats.org/officeDocument/2006/relationships/hyperlink" Target="https://www.google.com/maps/search/?api=1&amp;query=Affiliated+Community+Medical+Centers%2C+LTD%2C+101+Willmar+Ave+SW%2C+Willmar%2C+MN+56201" TargetMode="External"/><Relationship Id="rId1704" Type="http://schemas.openxmlformats.org/officeDocument/2006/relationships/hyperlink" Target="https://npiregistry.cms.hhs.gov/provider-view/1720480395" TargetMode="External"/><Relationship Id="rId4110" Type="http://schemas.openxmlformats.org/officeDocument/2006/relationships/hyperlink" Target="https://npiregistry.cms.hhs.gov/provider-view/1538301254" TargetMode="External"/><Relationship Id="rId1911" Type="http://schemas.openxmlformats.org/officeDocument/2006/relationships/hyperlink" Target="https://www.google.com/maps/search/?api=1&amp;query=Swenson+Chiropractic%2C+2485+Maplewood+Drive%2C+Maplewood%2C+MN+55109" TargetMode="External"/><Relationship Id="rId3669" Type="http://schemas.openxmlformats.org/officeDocument/2006/relationships/hyperlink" Target="https://www.google.com/maps/search/?api=1&amp;query=Pivotal+Chiropractic+%26+Wellness+PLLC%2C+1600+Madison+Ave%2C+Mankato%2C+MN+56001" TargetMode="External"/><Relationship Id="rId797" Type="http://schemas.openxmlformats.org/officeDocument/2006/relationships/hyperlink" Target="https://www.google.com/maps/search/?api=1&amp;query=Benjamin+P+Hartman+DC+LLC%2C+12300+Singletree+Ln%2C+Eden+Prairie%2C+MN+55344" TargetMode="External"/><Relationship Id="rId2478" Type="http://schemas.openxmlformats.org/officeDocument/2006/relationships/hyperlink" Target="https://npiregistry.cms.hhs.gov/provider-view/1780721787" TargetMode="External"/><Relationship Id="rId3876" Type="http://schemas.openxmlformats.org/officeDocument/2006/relationships/hyperlink" Target="https://npiregistry.cms.hhs.gov/provider-view/1326092776" TargetMode="External"/><Relationship Id="rId1287" Type="http://schemas.openxmlformats.org/officeDocument/2006/relationships/hyperlink" Target="https://www.google.com/maps/search/?api=1&amp;query=Hermen+Health%2C+PLLC%2C+825+Nicollet+Mall%2C+Minneapolis%2C+MN+55402" TargetMode="External"/><Relationship Id="rId2685" Type="http://schemas.openxmlformats.org/officeDocument/2006/relationships/hyperlink" Target="https://www.google.com/maps/search/?api=1&amp;query=Wildwood+Chiropractic+Center+PA%2C+935+Wildwood+Rd%2C+White+Bear+Lake%2C+MN+55115" TargetMode="External"/><Relationship Id="rId2892" Type="http://schemas.openxmlformats.org/officeDocument/2006/relationships/hyperlink" Target="https://npiregistry.cms.hhs.gov/provider-view/1164614202" TargetMode="External"/><Relationship Id="rId3529" Type="http://schemas.openxmlformats.org/officeDocument/2006/relationships/hyperlink" Target="https://www.google.com/maps/search/?api=1&amp;query=Tickel+Chiropractic%2C+PC.%2C+819+30th+Ave+S%2C+Moorhead%2C+MN+56560" TargetMode="External"/><Relationship Id="rId3736" Type="http://schemas.openxmlformats.org/officeDocument/2006/relationships/hyperlink" Target="https://npiregistry.cms.hhs.gov/provider-view/1265508089" TargetMode="External"/><Relationship Id="rId3943" Type="http://schemas.openxmlformats.org/officeDocument/2006/relationships/hyperlink" Target="https://www.google.com/maps/search/?api=1&amp;query=Navarro+Chiropractic%2C+328+Heritage+Pl%2C+Faribault%2C+MN+55021" TargetMode="External"/><Relationship Id="rId657" Type="http://schemas.openxmlformats.org/officeDocument/2006/relationships/hyperlink" Target="https://www.google.com/maps/search/?api=1&amp;query=One+Agora+Integrative+Health+Clinic%2C+9220+James+Ave+S%2C+Bloomington%2C+MN+55431" TargetMode="External"/><Relationship Id="rId864" Type="http://schemas.openxmlformats.org/officeDocument/2006/relationships/hyperlink" Target="https://npiregistry.cms.hhs.gov/provider-view/1144492083" TargetMode="External"/><Relationship Id="rId1494" Type="http://schemas.openxmlformats.org/officeDocument/2006/relationships/hyperlink" Target="https://npiregistry.cms.hhs.gov/provider-view/1063570422" TargetMode="External"/><Relationship Id="rId2338" Type="http://schemas.openxmlformats.org/officeDocument/2006/relationships/hyperlink" Target="https://npiregistry.cms.hhs.gov/provider-view/1568527877" TargetMode="External"/><Relationship Id="rId2545" Type="http://schemas.openxmlformats.org/officeDocument/2006/relationships/hyperlink" Target="https://www.google.com/maps/search/?api=1&amp;query=Cottage+Grove+Chiropractic+Clinic%2C+PA%2C+7702+80th+St+S%2C+Cottage+Grove%2C+MN+55016" TargetMode="External"/><Relationship Id="rId2752" Type="http://schemas.openxmlformats.org/officeDocument/2006/relationships/hyperlink" Target="https://npiregistry.cms.hhs.gov/provider-view/1174560064" TargetMode="External"/><Relationship Id="rId3803" Type="http://schemas.openxmlformats.org/officeDocument/2006/relationships/hyperlink" Target="https://www.google.com/maps/search/?api=1&amp;query=Innovative+Chiropractic+Center%2C+201+D+East+Ave.%2C+Red+Wing%2C+MN+55041" TargetMode="External"/><Relationship Id="rId517" Type="http://schemas.openxmlformats.org/officeDocument/2006/relationships/hyperlink" Target="https://www.google.com/maps/search/?api=1&amp;query=Express+Health%2C+20176+Heritage+Dr%2C+Lakeville%2C+MN+55044" TargetMode="External"/><Relationship Id="rId724" Type="http://schemas.openxmlformats.org/officeDocument/2006/relationships/hyperlink" Target="https://npiregistry.cms.hhs.gov/provider-view/1881082709" TargetMode="External"/><Relationship Id="rId931" Type="http://schemas.openxmlformats.org/officeDocument/2006/relationships/hyperlink" Target="https://www.google.com/maps/search/?api=1&amp;query=Lil+Schroeder+Physical+Therapy%2C+5200+W+73rd+St%2C+Edina%2C+MN+55439" TargetMode="External"/><Relationship Id="rId1147" Type="http://schemas.openxmlformats.org/officeDocument/2006/relationships/hyperlink" Target="https://www.google.com/maps/search/?api=1&amp;query=Northwest+Family+Chiropractic+PA%2C+7372+Kirkwood+Court%2C+Maple+Grove%2C+MN+55369" TargetMode="External"/><Relationship Id="rId1354" Type="http://schemas.openxmlformats.org/officeDocument/2006/relationships/hyperlink" Target="https://npiregistry.cms.hhs.gov/provider-view/1629474531" TargetMode="External"/><Relationship Id="rId1561" Type="http://schemas.openxmlformats.org/officeDocument/2006/relationships/hyperlink" Target="https://www.google.com/maps/search/?api=1&amp;query=Comprehensive+Rehab+Centers+of+MN%2C+2703+E+Lake+St.%2C+Mpls%2C+MN+55406" TargetMode="External"/><Relationship Id="rId2405" Type="http://schemas.openxmlformats.org/officeDocument/2006/relationships/hyperlink" Target="https://www.google.com/maps/search/?api=1&amp;query=Collins+Chiropractic+PA%2C+16670+Franklin+Trl+SE%2C+Prior+Lake%2C+MN+55372" TargetMode="External"/><Relationship Id="rId2612" Type="http://schemas.openxmlformats.org/officeDocument/2006/relationships/hyperlink" Target="https://npiregistry.cms.hhs.gov/provider-view/1508128232" TargetMode="External"/><Relationship Id="rId60" Type="http://schemas.openxmlformats.org/officeDocument/2006/relationships/hyperlink" Target="https://npiregistry.cms.hhs.gov/provider-view/1063961779" TargetMode="External"/><Relationship Id="rId1007" Type="http://schemas.openxmlformats.org/officeDocument/2006/relationships/hyperlink" Target="https://www.google.com/maps/search/?api=1&amp;query=M.+Hope+PA%2C+21450+Highway+7%2C+Excelsior%2C+MN+55331" TargetMode="External"/><Relationship Id="rId1214" Type="http://schemas.openxmlformats.org/officeDocument/2006/relationships/hyperlink" Target="https://npiregistry.cms.hhs.gov/provider-view/1609286855" TargetMode="External"/><Relationship Id="rId1421" Type="http://schemas.openxmlformats.org/officeDocument/2006/relationships/hyperlink" Target="https://www.google.com/maps/search/?api=1&amp;query=Satori+Integrative+Physical+Therapy%2C+LLC%2C+3100+W.+Lake+St.%2C+Minneapolis%2C+MN+55416" TargetMode="External"/><Relationship Id="rId3179" Type="http://schemas.openxmlformats.org/officeDocument/2006/relationships/hyperlink" Target="https://www.google.com/maps/search/?api=1&amp;query=O%27reilly+Chiropractic%2C+80+West+Summit+Ave%2C+Blackduck%2C+MN+56630" TargetMode="External"/><Relationship Id="rId3386" Type="http://schemas.openxmlformats.org/officeDocument/2006/relationships/hyperlink" Target="https://npiregistry.cms.hhs.gov/provider-view/1346284460" TargetMode="External"/><Relationship Id="rId3593" Type="http://schemas.openxmlformats.org/officeDocument/2006/relationships/hyperlink" Target="https://www.google.com/maps/search/?api=1&amp;query=Henning+Chiropractic+Clinic%2C+801+Inman+St.%2C+Henning%2C+MN+56551" TargetMode="External"/><Relationship Id="rId2195" Type="http://schemas.openxmlformats.org/officeDocument/2006/relationships/hyperlink" Target="https://www.google.com/maps/search/?api=1&amp;query=Michael+L.+Maristuen+DC.%2C+PA.%2C+2216+County+Road+D+W%2C+St.+Paul%2C+MN+55112" TargetMode="External"/><Relationship Id="rId3039" Type="http://schemas.openxmlformats.org/officeDocument/2006/relationships/hyperlink" Target="https://www.google.com/maps/search/?api=1&amp;query=Back+On+Track+Chiropractic+Center+PA%2C+1246+32nd+Ave+N%2C+St.+Cloud%2C+MN+56303" TargetMode="External"/><Relationship Id="rId3246" Type="http://schemas.openxmlformats.org/officeDocument/2006/relationships/hyperlink" Target="https://npiregistry.cms.hhs.gov/provider-view/1942620570" TargetMode="External"/><Relationship Id="rId3453" Type="http://schemas.openxmlformats.org/officeDocument/2006/relationships/hyperlink" Target="https://www.google.com/maps/search/?api=1&amp;query=Chaffee+Chiropractic+PA%2C+201+6th+St+S%2C+Virginia%2C+MN+55792" TargetMode="External"/><Relationship Id="rId167" Type="http://schemas.openxmlformats.org/officeDocument/2006/relationships/hyperlink" Target="https://www.google.com/maps/search/?api=1&amp;query=Advanced+Spine+Associates+PA%2C+8232+Highway+65+NE%2C+Spring+Lake+Park%2C+MN+55432" TargetMode="External"/><Relationship Id="rId374" Type="http://schemas.openxmlformats.org/officeDocument/2006/relationships/hyperlink" Target="https://npiregistry.cms.hhs.gov/provider-view/1700927191" TargetMode="External"/><Relationship Id="rId581" Type="http://schemas.openxmlformats.org/officeDocument/2006/relationships/hyperlink" Target="https://www.google.com/maps/search/?api=1&amp;query=Center+For+Diagnostic+Imaging%2C+910+Sibley+Memorial+Highway%2C+St.+Paul%2C+MN+55118" TargetMode="External"/><Relationship Id="rId2055" Type="http://schemas.openxmlformats.org/officeDocument/2006/relationships/hyperlink" Target="https://www.google.com/maps/search/?api=1&amp;query=Battle+Creek+Chiropractic%2C+261+Ruth+St+N%2C+St.+Paul%2C+MN+55119" TargetMode="External"/><Relationship Id="rId2262" Type="http://schemas.openxmlformats.org/officeDocument/2006/relationships/hyperlink" Target="https://npiregistry.cms.hhs.gov/provider-view/1669681532" TargetMode="External"/><Relationship Id="rId3106" Type="http://schemas.openxmlformats.org/officeDocument/2006/relationships/hyperlink" Target="https://npiregistry.cms.hhs.gov/provider-view/1043457500" TargetMode="External"/><Relationship Id="rId3660" Type="http://schemas.openxmlformats.org/officeDocument/2006/relationships/hyperlink" Target="https://npiregistry.cms.hhs.gov/provider-view/1003157769" TargetMode="External"/><Relationship Id="rId234" Type="http://schemas.openxmlformats.org/officeDocument/2006/relationships/hyperlink" Target="https://npiregistry.cms.hhs.gov/provider-view/1821647025" TargetMode="External"/><Relationship Id="rId3313" Type="http://schemas.openxmlformats.org/officeDocument/2006/relationships/hyperlink" Target="https://www.google.com/maps/search/?api=1&amp;query=Patti+Kampa+Physical+Therapy%2C+15+NE+5th+St%2C+Grand+Rapids%2C+MN+55744" TargetMode="External"/><Relationship Id="rId3520" Type="http://schemas.openxmlformats.org/officeDocument/2006/relationships/hyperlink" Target="https://npiregistry.cms.hhs.gov/provider-view/1710084090" TargetMode="External"/><Relationship Id="rId441" Type="http://schemas.openxmlformats.org/officeDocument/2006/relationships/hyperlink" Target="https://www.google.com/maps/search/?api=1&amp;query=Hilltop+Family+Chiropractic+Clinic%2C+PA%2C+1121+Town+Centre+Dr%2C+Eagan%2C+MN+55123" TargetMode="External"/><Relationship Id="rId1071" Type="http://schemas.openxmlformats.org/officeDocument/2006/relationships/hyperlink" Target="https://www.google.com/maps/search/?api=1&amp;query=Blake+Chiropractic%2C+172+Blake+Rd+N%2C+Hopkins%2C+MN+55343" TargetMode="External"/><Relationship Id="rId2122" Type="http://schemas.openxmlformats.org/officeDocument/2006/relationships/hyperlink" Target="https://npiregistry.cms.hhs.gov/provider-view/1376967489" TargetMode="External"/><Relationship Id="rId301" Type="http://schemas.openxmlformats.org/officeDocument/2006/relationships/hyperlink" Target="https://www.google.com/maps/search/?api=1&amp;query=Cornerstone+Health+and+Wellness+Center+PLLC%2C+7300+147th+St.+W%2C+Apple+Valley%2C+MN+55124" TargetMode="External"/><Relationship Id="rId1888" Type="http://schemas.openxmlformats.org/officeDocument/2006/relationships/hyperlink" Target="https://npiregistry.cms.hhs.gov/provider-view/1659382075" TargetMode="External"/><Relationship Id="rId2939" Type="http://schemas.openxmlformats.org/officeDocument/2006/relationships/hyperlink" Target="https://www.google.com/maps/search/?api=1&amp;query=Little+Falls+Integrated+Physical+Medicine%2C+104+2nd+St+SE%2C+Little+Falls%2C+MN+56345" TargetMode="External"/><Relationship Id="rId4087" Type="http://schemas.openxmlformats.org/officeDocument/2006/relationships/hyperlink" Target="https://www.google.com/maps/search/?api=1&amp;query=Bst+Marshall+LLC%2C+1420+E+College+Dr%2C+Marshall%2C+MN+56258" TargetMode="External"/><Relationship Id="rId1748" Type="http://schemas.openxmlformats.org/officeDocument/2006/relationships/hyperlink" Target="https://npiregistry.cms.hhs.gov/provider-view/1821657545" TargetMode="External"/><Relationship Id="rId4154" Type="http://schemas.openxmlformats.org/officeDocument/2006/relationships/hyperlink" Target="https://npiregistry.cms.hhs.gov/provider-view/1104023860" TargetMode="External"/><Relationship Id="rId1955" Type="http://schemas.openxmlformats.org/officeDocument/2006/relationships/hyperlink" Target="https://www.google.com/maps/search/?api=1&amp;query=Brent+Jc+Robinson%2C+DC.%2C+1752+Lexington+Ave+N%2C+Roseville%2C+MN+55113" TargetMode="External"/><Relationship Id="rId3170" Type="http://schemas.openxmlformats.org/officeDocument/2006/relationships/hyperlink" Target="https://npiregistry.cms.hhs.gov/provider-view/1336234111" TargetMode="External"/><Relationship Id="rId4014" Type="http://schemas.openxmlformats.org/officeDocument/2006/relationships/hyperlink" Target="https://npiregistry.cms.hhs.gov/provider-view/1003355215" TargetMode="External"/><Relationship Id="rId1608" Type="http://schemas.openxmlformats.org/officeDocument/2006/relationships/hyperlink" Target="https://npiregistry.cms.hhs.gov/provider-view/1407985872" TargetMode="External"/><Relationship Id="rId1815" Type="http://schemas.openxmlformats.org/officeDocument/2006/relationships/hyperlink" Target="https://www.google.com/maps/search/?api=1&amp;query=Occupational+Health+Centers+of+the+Southwest%2C+PA.%2C+4300+Glumack+Dr%2C+St.+Paul%2C+MN+55111" TargetMode="External"/><Relationship Id="rId3030" Type="http://schemas.openxmlformats.org/officeDocument/2006/relationships/hyperlink" Target="https://npiregistry.cms.hhs.gov/provider-view/1831190891" TargetMode="External"/><Relationship Id="rId3987" Type="http://schemas.openxmlformats.org/officeDocument/2006/relationships/hyperlink" Target="https://www.google.com/maps/search/?api=1&amp;query=Goihl+Chiropractic%2C+105+S+Lakeshore+Dr%2C+Lake+City%2C+MN+55041" TargetMode="External"/><Relationship Id="rId2589" Type="http://schemas.openxmlformats.org/officeDocument/2006/relationships/hyperlink" Target="https://www.google.com/maps/search/?api=1&amp;query=Lake+Elmo+Chiropractic+Clinic%2C+3511+Lake+Elmo+Ave+N%2C+Lake+Elmo%2C+MN+55042" TargetMode="External"/><Relationship Id="rId2796" Type="http://schemas.openxmlformats.org/officeDocument/2006/relationships/hyperlink" Target="https://npiregistry.cms.hhs.gov/provider-view/1619008067" TargetMode="External"/><Relationship Id="rId3847" Type="http://schemas.openxmlformats.org/officeDocument/2006/relationships/hyperlink" Target="https://www.google.com/maps/search/?api=1&amp;query=Lewis+Outpatient+Physical+Therapy+Services%2C+LLC%2C+1700+17th+St+NW%2C+Austin%2C+MN+55912" TargetMode="External"/><Relationship Id="rId768" Type="http://schemas.openxmlformats.org/officeDocument/2006/relationships/hyperlink" Target="https://npiregistry.cms.hhs.gov/provider-view/1740690353" TargetMode="External"/><Relationship Id="rId975" Type="http://schemas.openxmlformats.org/officeDocument/2006/relationships/hyperlink" Target="https://www.google.com/maps/search/?api=1&amp;query=She+PT+LLC%2C+5410+Abbott+Pl%2C+Edina%2C+MN+55410" TargetMode="External"/><Relationship Id="rId1398" Type="http://schemas.openxmlformats.org/officeDocument/2006/relationships/hyperlink" Target="https://npiregistry.cms.hhs.gov/provider-view/1396754206" TargetMode="External"/><Relationship Id="rId2449" Type="http://schemas.openxmlformats.org/officeDocument/2006/relationships/hyperlink" Target="https://www.google.com/maps/search/?api=1&amp;query=Land+Health+%26+Wellness%2C+6001+Egan+Dr%2C+Savage%2C+MN+55378" TargetMode="External"/><Relationship Id="rId2656" Type="http://schemas.openxmlformats.org/officeDocument/2006/relationships/hyperlink" Target="https://npiregistry.cms.hhs.gov/provider-view/1588862197" TargetMode="External"/><Relationship Id="rId2863" Type="http://schemas.openxmlformats.org/officeDocument/2006/relationships/hyperlink" Target="https://www.google.com/maps/search/?api=1&amp;query=Back+To+Health+Acupuncture+and+Chiropractic+Center%2C+PA.%2C+12+2nd+Ave+S%2C+Sauk+Rapids%2C+MN+56379" TargetMode="External"/><Relationship Id="rId3707" Type="http://schemas.openxmlformats.org/officeDocument/2006/relationships/hyperlink" Target="https://www.google.com/maps/search/?api=1&amp;query=Winnebago+Chiropractic+Clinic%2C+INC.%2C+115+1st+Ave+NW%2C+Winnebago%2C+MN+56098" TargetMode="External"/><Relationship Id="rId3914" Type="http://schemas.openxmlformats.org/officeDocument/2006/relationships/hyperlink" Target="https://npiregistry.cms.hhs.gov/provider-view/1851839955" TargetMode="External"/><Relationship Id="rId628" Type="http://schemas.openxmlformats.org/officeDocument/2006/relationships/hyperlink" Target="https://npiregistry.cms.hhs.gov/provider-view/1407079312" TargetMode="External"/><Relationship Id="rId835" Type="http://schemas.openxmlformats.org/officeDocument/2006/relationships/hyperlink" Target="https://www.google.com/maps/search/?api=1&amp;query=Orthorehab+Specialists%2C+INC%2C+800+Prairie+Center+Dr%2C+Eden+Prairie%2C+MN+55344" TargetMode="External"/><Relationship Id="rId1258" Type="http://schemas.openxmlformats.org/officeDocument/2006/relationships/hyperlink" Target="https://npiregistry.cms.hhs.gov/provider-view/1437535853" TargetMode="External"/><Relationship Id="rId1465" Type="http://schemas.openxmlformats.org/officeDocument/2006/relationships/hyperlink" Target="https://www.google.com/maps/search/?api=1&amp;query=Twin+Cities+Chiropractic+and+Nutrition%2C+PLLC.%2C+3357+36th+Ave+S%2C+Minneapolis%2C+MN+55406" TargetMode="External"/><Relationship Id="rId1672" Type="http://schemas.openxmlformats.org/officeDocument/2006/relationships/hyperlink" Target="https://npiregistry.cms.hhs.gov/provider-view/1184175614" TargetMode="External"/><Relationship Id="rId2309" Type="http://schemas.openxmlformats.org/officeDocument/2006/relationships/hyperlink" Target="https://www.google.com/maps/search/?api=1&amp;query=Vip+Family+Chiropractic+LLC.%2C+217+Como+Ave%2C+St.+Paul%2C+MN+55103" TargetMode="External"/><Relationship Id="rId2516" Type="http://schemas.openxmlformats.org/officeDocument/2006/relationships/hyperlink" Target="https://npiregistry.cms.hhs.gov/provider-view/1679764690" TargetMode="External"/><Relationship Id="rId2723" Type="http://schemas.openxmlformats.org/officeDocument/2006/relationships/hyperlink" Target="https://www.google.com/maps/search/?api=1&amp;query=Novacare+Rehabilitation%2C+6025+Lake+Rd%2C+Woodbury%2C+MN+55125" TargetMode="External"/><Relationship Id="rId1118" Type="http://schemas.openxmlformats.org/officeDocument/2006/relationships/hyperlink" Target="https://npiregistry.cms.hhs.gov/provider-view/1962670026" TargetMode="External"/><Relationship Id="rId1325" Type="http://schemas.openxmlformats.org/officeDocument/2006/relationships/hyperlink" Target="https://www.google.com/maps/search/?api=1&amp;query=Lifeforce+Chiropractic%2C+3706+Nicollet+Ave%2C+Minneapolis%2C+MN+55409" TargetMode="External"/><Relationship Id="rId1532" Type="http://schemas.openxmlformats.org/officeDocument/2006/relationships/hyperlink" Target="https://npiregistry.cms.hhs.gov/provider-view/1932253473" TargetMode="External"/><Relationship Id="rId2930" Type="http://schemas.openxmlformats.org/officeDocument/2006/relationships/hyperlink" Target="https://npiregistry.cms.hhs.gov/provider-view/1861564130" TargetMode="External"/><Relationship Id="rId902" Type="http://schemas.openxmlformats.org/officeDocument/2006/relationships/hyperlink" Target="https://npiregistry.cms.hhs.gov/provider-view/1841459237" TargetMode="External"/><Relationship Id="rId3497" Type="http://schemas.openxmlformats.org/officeDocument/2006/relationships/hyperlink" Target="https://www.google.com/maps/search/?api=1&amp;query=Warroad+Chiropractic+Clinic%2C+PA.%2C+203+State+Ave+SW%2C+Warroad%2C+MN+56763" TargetMode="External"/><Relationship Id="rId31" Type="http://schemas.openxmlformats.org/officeDocument/2006/relationships/hyperlink" Target="https://www.google.com/maps/search/?api=1&amp;query=Club+West+Chiropractic%2C+10995+Club+West+Pkwy%2C+Blaine%2C+MN+55449" TargetMode="External"/><Relationship Id="rId2099" Type="http://schemas.openxmlformats.org/officeDocument/2006/relationships/hyperlink" Target="https://www.google.com/maps/search/?api=1&amp;query=Christensen+Accident+%26+Injury+Center%2C+PA.%2C+1073+Payne+Ave%2C+St.+Paul%2C+MN+55130" TargetMode="External"/><Relationship Id="rId278" Type="http://schemas.openxmlformats.org/officeDocument/2006/relationships/hyperlink" Target="https://npiregistry.cms.hhs.gov/provider-view/1528269669" TargetMode="External"/><Relationship Id="rId3357" Type="http://schemas.openxmlformats.org/officeDocument/2006/relationships/hyperlink" Target="https://www.google.com/maps/search/?api=1&amp;query=Horoshak+Chiropractic%2C+19+E+Vermilion+Dr%2C+Cook%2C+MN+55723" TargetMode="External"/><Relationship Id="rId3564" Type="http://schemas.openxmlformats.org/officeDocument/2006/relationships/hyperlink" Target="https://npiregistry.cms.hhs.gov/provider-view/1194990606" TargetMode="External"/><Relationship Id="rId3771" Type="http://schemas.openxmlformats.org/officeDocument/2006/relationships/hyperlink" Target="https://www.google.com/maps/search/?api=1&amp;query=Preston+Chiropractic%2C+124+Main+St+SW%2C+Preston%2C+MN+55965" TargetMode="External"/><Relationship Id="rId485" Type="http://schemas.openxmlformats.org/officeDocument/2006/relationships/hyperlink" Target="https://www.google.com/maps/search/?api=1&amp;query=Millner+and+Loppnow+PA.%2C+117+3rd+St+W%2C+Hastings%2C+MN+55033" TargetMode="External"/><Relationship Id="rId692" Type="http://schemas.openxmlformats.org/officeDocument/2006/relationships/hyperlink" Target="https://npiregistry.cms.hhs.gov/provider-view/1619413655" TargetMode="External"/><Relationship Id="rId2166" Type="http://schemas.openxmlformats.org/officeDocument/2006/relationships/hyperlink" Target="https://npiregistry.cms.hhs.gov/provider-view/1891824553" TargetMode="External"/><Relationship Id="rId2373" Type="http://schemas.openxmlformats.org/officeDocument/2006/relationships/hyperlink" Target="https://www.google.com/maps/search/?api=1&amp;query=Simply+Chiropractic+Center%2C+PA.%2C+4886+Highway+61+N%2C+White+Bear+Lake%2C+MN+55110" TargetMode="External"/><Relationship Id="rId2580" Type="http://schemas.openxmlformats.org/officeDocument/2006/relationships/hyperlink" Target="https://npiregistry.cms.hhs.gov/provider-view/1568794691" TargetMode="External"/><Relationship Id="rId3217" Type="http://schemas.openxmlformats.org/officeDocument/2006/relationships/hyperlink" Target="https://www.google.com/maps/search/?api=1&amp;query=Great+Lakes+Injury+Center%2C+PLLC%2C+7217+Excelsior+Rd%2C+Baxter%2C+MN+56425" TargetMode="External"/><Relationship Id="rId3424" Type="http://schemas.openxmlformats.org/officeDocument/2006/relationships/hyperlink" Target="https://npiregistry.cms.hhs.gov/provider-view/1285688788" TargetMode="External"/><Relationship Id="rId3631" Type="http://schemas.openxmlformats.org/officeDocument/2006/relationships/hyperlink" Target="https://www.google.com/maps/search/?api=1&amp;query=Lake+Crystal+Chiropractic+PLLC%2C+201+N+Main+St%2C+Lake+Crystal%2C+MN+56055" TargetMode="External"/><Relationship Id="rId138" Type="http://schemas.openxmlformats.org/officeDocument/2006/relationships/hyperlink" Target="https://npiregistry.cms.hhs.gov/provider-view/1366460719" TargetMode="External"/><Relationship Id="rId345" Type="http://schemas.openxmlformats.org/officeDocument/2006/relationships/hyperlink" Target="https://www.google.com/maps/search/?api=1&amp;query=Earth+Touch+Family+Chiropractic%2C+1601+Highway+13+E%2C+Burnsville%2C+MN+55337" TargetMode="External"/><Relationship Id="rId552" Type="http://schemas.openxmlformats.org/officeDocument/2006/relationships/hyperlink" Target="https://npiregistry.cms.hhs.gov/provider-view/1700237450" TargetMode="External"/><Relationship Id="rId1182" Type="http://schemas.openxmlformats.org/officeDocument/2006/relationships/hyperlink" Target="https://npiregistry.cms.hhs.gov/provider-view/1548408081" TargetMode="External"/><Relationship Id="rId2026" Type="http://schemas.openxmlformats.org/officeDocument/2006/relationships/hyperlink" Target="https://npiregistry.cms.hhs.gov/provider-view/1841536323" TargetMode="External"/><Relationship Id="rId2233" Type="http://schemas.openxmlformats.org/officeDocument/2006/relationships/hyperlink" Target="https://www.google.com/maps/search/?api=1&amp;query=Renew+Physical+Therapy%2C+625+Snelling+Ave+S%2C+St.+Paul%2C+MN+55116" TargetMode="External"/><Relationship Id="rId2440" Type="http://schemas.openxmlformats.org/officeDocument/2006/relationships/hyperlink" Target="https://npiregistry.cms.hhs.gov/provider-view/1740543727" TargetMode="External"/><Relationship Id="rId205" Type="http://schemas.openxmlformats.org/officeDocument/2006/relationships/hyperlink" Target="https://www.google.com/maps/search/?api=1&amp;query=Dba+Healthsource+of+Chaska%2C+122+Pioneer+Trl%2C+Chaska%2C+MN+55318" TargetMode="External"/><Relationship Id="rId412" Type="http://schemas.openxmlformats.org/officeDocument/2006/relationships/hyperlink" Target="https://npiregistry.cms.hhs.gov/provider-view/1427204650" TargetMode="External"/><Relationship Id="rId1042" Type="http://schemas.openxmlformats.org/officeDocument/2006/relationships/hyperlink" Target="https://npiregistry.cms.hhs.gov/provider-view/1114296993" TargetMode="External"/><Relationship Id="rId2300" Type="http://schemas.openxmlformats.org/officeDocument/2006/relationships/hyperlink" Target="https://npiregistry.cms.hhs.gov/provider-view/1184840019" TargetMode="External"/><Relationship Id="rId1999" Type="http://schemas.openxmlformats.org/officeDocument/2006/relationships/hyperlink" Target="https://www.google.com/maps/search/?api=1&amp;query=Well-Adjusted+Chiropractic%2C+2436+Albert+St+N%2C+Roseville%2C+MN+55113" TargetMode="External"/><Relationship Id="rId4058" Type="http://schemas.openxmlformats.org/officeDocument/2006/relationships/hyperlink" Target="https://npiregistry.cms.hhs.gov/provider-view/1154513489" TargetMode="External"/><Relationship Id="rId1859" Type="http://schemas.openxmlformats.org/officeDocument/2006/relationships/hyperlink" Target="https://www.google.com/maps/search/?api=1&amp;query=Nature%27s+Way+Chiopractic%2C+120+Central+Dr+W%2C+Braham%2C+MN+55006" TargetMode="External"/><Relationship Id="rId3074" Type="http://schemas.openxmlformats.org/officeDocument/2006/relationships/hyperlink" Target="https://npiregistry.cms.hhs.gov/provider-view/1013919448" TargetMode="External"/><Relationship Id="rId4125" Type="http://schemas.openxmlformats.org/officeDocument/2006/relationships/hyperlink" Target="https://www.google.com/maps/search/?api=1&amp;query=Red+Rock+Chiropractic+Center+LLC%2C+202+S+Main+St%2C+Lamberton%2C+MN+56152" TargetMode="External"/><Relationship Id="rId1719" Type="http://schemas.openxmlformats.org/officeDocument/2006/relationships/hyperlink" Target="https://www.google.com/maps/search/?api=1&amp;query=Healthsource+Chiropractic+of+Rogers+LLC%2C+13635+Northdale+Blvd%2C+Rogers%2C+MN+55374" TargetMode="External"/><Relationship Id="rId1926" Type="http://schemas.openxmlformats.org/officeDocument/2006/relationships/hyperlink" Target="https://npiregistry.cms.hhs.gov/provider-view/1720395965" TargetMode="External"/><Relationship Id="rId3281" Type="http://schemas.openxmlformats.org/officeDocument/2006/relationships/hyperlink" Target="https://www.google.com/maps/search/?api=1&amp;query=Pequot+Lakes+Physical+Therapy+Services%2C+INC%2C+31170+Goverment+Dr%2C+Pequot+Lakes%2C+MN+56472" TargetMode="External"/><Relationship Id="rId2090" Type="http://schemas.openxmlformats.org/officeDocument/2006/relationships/hyperlink" Target="https://npiregistry.cms.hhs.gov/provider-view/1598130924" TargetMode="External"/><Relationship Id="rId3141" Type="http://schemas.openxmlformats.org/officeDocument/2006/relationships/hyperlink" Target="https://www.google.com/maps/search/?api=1&amp;query=Therapy+Services%2C+INC.%2C+24238+E+Island+Lake+Rd%2C+Detroit+Lakes%2C+MN+56501" TargetMode="External"/><Relationship Id="rId3001" Type="http://schemas.openxmlformats.org/officeDocument/2006/relationships/hyperlink" Target="https://www.google.com/maps/search/?api=1&amp;query=Interventional+Pain+%26+Physical+Medicine+Clinic%2C+2301+Connecticut+Avenue+South%2C+Sartell%2C+MN+56377" TargetMode="External"/><Relationship Id="rId3958" Type="http://schemas.openxmlformats.org/officeDocument/2006/relationships/hyperlink" Target="https://npiregistry.cms.hhs.gov/provider-view/1487789186" TargetMode="External"/><Relationship Id="rId879" Type="http://schemas.openxmlformats.org/officeDocument/2006/relationships/hyperlink" Target="https://www.google.com/maps/search/?api=1&amp;query=50th+%26+France+Chiropractic+%26+Wellness+PLLC%2C+3948+W+50th+St%2C+Edina%2C+MN+55424" TargetMode="External"/><Relationship Id="rId2767" Type="http://schemas.openxmlformats.org/officeDocument/2006/relationships/hyperlink" Target="https://www.google.com/maps/search/?api=1&amp;query=Twin+Lakes+Chiropractic+LLC%2C+93+Oak+Ave+S%2C+Annandale%2C+MN+55302" TargetMode="External"/><Relationship Id="rId739" Type="http://schemas.openxmlformats.org/officeDocument/2006/relationships/hyperlink" Target="https://www.google.com/maps/search/?api=1&amp;query=Park+Nicollet+Clinic%2C+7000+Target+Pkwy+N%2C+Brooklyn+Park%2C+MN+55445" TargetMode="External"/><Relationship Id="rId1369" Type="http://schemas.openxmlformats.org/officeDocument/2006/relationships/hyperlink" Target="https://www.google.com/maps/search/?api=1&amp;query=Minnesota+Emg+Consultants%2C+INC.%2C+800+E+28th+St%2C+Minneapolis%2C+MN+55407" TargetMode="External"/><Relationship Id="rId1576" Type="http://schemas.openxmlformats.org/officeDocument/2006/relationships/hyperlink" Target="https://npiregistry.cms.hhs.gov/provider-view/1245616614" TargetMode="External"/><Relationship Id="rId2974" Type="http://schemas.openxmlformats.org/officeDocument/2006/relationships/hyperlink" Target="https://npiregistry.cms.hhs.gov/provider-view/1609908946" TargetMode="External"/><Relationship Id="rId3818" Type="http://schemas.openxmlformats.org/officeDocument/2006/relationships/hyperlink" Target="https://npiregistry.cms.hhs.gov/provider-view/1316084023" TargetMode="External"/><Relationship Id="rId946" Type="http://schemas.openxmlformats.org/officeDocument/2006/relationships/hyperlink" Target="https://npiregistry.cms.hhs.gov/provider-view/1619970910" TargetMode="External"/><Relationship Id="rId1229" Type="http://schemas.openxmlformats.org/officeDocument/2006/relationships/hyperlink" Target="https://www.google.com/maps/search/?api=1&amp;query=City+Lakes+Chiropractic+PA%2C+2903+E+42nd+Street%2C+Minneapolis%2C+MN+55406" TargetMode="External"/><Relationship Id="rId1783" Type="http://schemas.openxmlformats.org/officeDocument/2006/relationships/hyperlink" Target="https://www.google.com/maps/search/?api=1&amp;query=Minnesota+Comprehensive+Epilepsy+Program%2C+PA.%2C+5775+Wayzata+Blvd%2C+St.+Louis+Park%2C+MN+55416" TargetMode="External"/><Relationship Id="rId1990" Type="http://schemas.openxmlformats.org/officeDocument/2006/relationships/hyperlink" Target="https://npiregistry.cms.hhs.gov/provider-view/1366911141" TargetMode="External"/><Relationship Id="rId2627" Type="http://schemas.openxmlformats.org/officeDocument/2006/relationships/hyperlink" Target="https://www.google.com/maps/search/?api=1&amp;query=Viverant%2C+LLC%2C+7815+3rd+St+N%2C+Oakdale%2C+MN+55128" TargetMode="External"/><Relationship Id="rId2834" Type="http://schemas.openxmlformats.org/officeDocument/2006/relationships/hyperlink" Target="https://npiregistry.cms.hhs.gov/provider-view/1700082351" TargetMode="External"/><Relationship Id="rId75" Type="http://schemas.openxmlformats.org/officeDocument/2006/relationships/hyperlink" Target="https://www.google.com/maps/search/?api=1&amp;query=Lexington+Square+Chiropractic%2C+4137+Woodland+Rd%2C+Circle+Pines%2C+MN+55014" TargetMode="External"/><Relationship Id="rId806" Type="http://schemas.openxmlformats.org/officeDocument/2006/relationships/hyperlink" Target="https://npiregistry.cms.hhs.gov/provider-view/1437340205" TargetMode="External"/><Relationship Id="rId1436" Type="http://schemas.openxmlformats.org/officeDocument/2006/relationships/hyperlink" Target="https://npiregistry.cms.hhs.gov/provider-view/1548843097" TargetMode="External"/><Relationship Id="rId1643" Type="http://schemas.openxmlformats.org/officeDocument/2006/relationships/hyperlink" Target="https://www.google.com/maps/search/?api=1&amp;query=Premier+Diagonstic+Imaging%2C+INC%2C+12800+Highway+55%2C+Plymouth%2C+MN+55441" TargetMode="External"/><Relationship Id="rId1850" Type="http://schemas.openxmlformats.org/officeDocument/2006/relationships/hyperlink" Target="https://npiregistry.cms.hhs.gov/provider-view/1326180860" TargetMode="External"/><Relationship Id="rId2901" Type="http://schemas.openxmlformats.org/officeDocument/2006/relationships/hyperlink" Target="https://www.google.com/maps/search/?api=1&amp;query=Lester+Prairie+Chiropractic+Clinic%2C+32+Juniper+St+N%2C+Lester+Prairie%2C+MN+55354" TargetMode="External"/><Relationship Id="rId1503" Type="http://schemas.openxmlformats.org/officeDocument/2006/relationships/hyperlink" Target="https://www.google.com/maps/search/?api=1&amp;query=Arne+Wellness+Center+PA%2C+13911+Ridgedale+Dr%2C+Minnetonka%2C+MN+55305" TargetMode="External"/><Relationship Id="rId1710" Type="http://schemas.openxmlformats.org/officeDocument/2006/relationships/hyperlink" Target="https://npiregistry.cms.hhs.gov/provider-view/1972846350" TargetMode="External"/><Relationship Id="rId3468" Type="http://schemas.openxmlformats.org/officeDocument/2006/relationships/hyperlink" Target="https://npiregistry.cms.hhs.gov/provider-view/1265702690" TargetMode="External"/><Relationship Id="rId3675" Type="http://schemas.openxmlformats.org/officeDocument/2006/relationships/hyperlink" Target="https://www.google.com/maps/search/?api=1&amp;query=Tov+Chiropractic+PLLC%2C+1813+Adams+St%2C+Mankato%2C+MN+56001" TargetMode="External"/><Relationship Id="rId3882" Type="http://schemas.openxmlformats.org/officeDocument/2006/relationships/hyperlink" Target="https://npiregistry.cms.hhs.gov/provider-view/1376820191" TargetMode="External"/><Relationship Id="rId389" Type="http://schemas.openxmlformats.org/officeDocument/2006/relationships/hyperlink" Target="https://www.google.com/maps/search/?api=1&amp;query=Terry+L.+Franks%2C+DC.%2C+PA.%2C+1601+Highway+13+E%2C+Burnsville%2C+MN+55337" TargetMode="External"/><Relationship Id="rId596" Type="http://schemas.openxmlformats.org/officeDocument/2006/relationships/hyperlink" Target="https://npiregistry.cms.hhs.gov/provider-view/1326392143" TargetMode="External"/><Relationship Id="rId2277" Type="http://schemas.openxmlformats.org/officeDocument/2006/relationships/hyperlink" Target="https://www.google.com/maps/search/?api=1&amp;query=Thrive+Clinic%2C+976+Grand+Ave%2C+St.+Paul%2C+MN+55105" TargetMode="External"/><Relationship Id="rId2484" Type="http://schemas.openxmlformats.org/officeDocument/2006/relationships/hyperlink" Target="https://npiregistry.cms.hhs.gov/provider-view/1710140611" TargetMode="External"/><Relationship Id="rId2691" Type="http://schemas.openxmlformats.org/officeDocument/2006/relationships/hyperlink" Target="https://www.google.com/maps/search/?api=1&amp;query=Beyond+Chiropractic%2C+539+Bielenberg+Dr%2C+Woodbury%2C+MN+55125" TargetMode="External"/><Relationship Id="rId3328" Type="http://schemas.openxmlformats.org/officeDocument/2006/relationships/hyperlink" Target="https://npiregistry.cms.hhs.gov/provider-view/1225097736" TargetMode="External"/><Relationship Id="rId3535" Type="http://schemas.openxmlformats.org/officeDocument/2006/relationships/hyperlink" Target="https://www.google.com/maps/search/?api=1&amp;query=Alexandria+Natural+Health+Center%2C+1413+Broadway+St%2C+Alexandria%2C+MN+56308" TargetMode="External"/><Relationship Id="rId3742" Type="http://schemas.openxmlformats.org/officeDocument/2006/relationships/hyperlink" Target="https://npiregistry.cms.hhs.gov/provider-view/1609947217" TargetMode="External"/><Relationship Id="rId249" Type="http://schemas.openxmlformats.org/officeDocument/2006/relationships/hyperlink" Target="https://www.google.com/maps/search/?api=1&amp;query=Western+Orthopaedics+%26+Sports+Medicine+Consultants%2C+560+S+Maple+St%2C+Waconia%2C+MN+55387" TargetMode="External"/><Relationship Id="rId456" Type="http://schemas.openxmlformats.org/officeDocument/2006/relationships/hyperlink" Target="https://npiregistry.cms.hhs.gov/provider-view/1669671152" TargetMode="External"/><Relationship Id="rId663" Type="http://schemas.openxmlformats.org/officeDocument/2006/relationships/hyperlink" Target="https://www.google.com/maps/search/?api=1&amp;query=Rehabilitation+Medicine+Physicians+LLC%2C+8400+Normandale+Lake+Blvd%2C+Bloomington%2C+MN+55437" TargetMode="External"/><Relationship Id="rId870" Type="http://schemas.openxmlformats.org/officeDocument/2006/relationships/hyperlink" Target="https://npiregistry.cms.hhs.gov/provider-view/1558840595" TargetMode="External"/><Relationship Id="rId1086" Type="http://schemas.openxmlformats.org/officeDocument/2006/relationships/hyperlink" Target="https://npiregistry.cms.hhs.gov/provider-view/1215986757" TargetMode="External"/><Relationship Id="rId1293" Type="http://schemas.openxmlformats.org/officeDocument/2006/relationships/hyperlink" Target="https://www.google.com/maps/search/?api=1&amp;query=Horizon+Physical+Therapy%2C+LLC%2C+2700+E+28th+St%2C+Minneapolis%2C+MN+55406" TargetMode="External"/><Relationship Id="rId2137" Type="http://schemas.openxmlformats.org/officeDocument/2006/relationships/hyperlink" Target="https://www.google.com/maps/search/?api=1&amp;query=Grand+Health+Chiropractic+and+Wellness+Center%2C+PA.%2C+1025+Selby+Ave%2C+St.+Paul%2C+MN+55104" TargetMode="External"/><Relationship Id="rId2344" Type="http://schemas.openxmlformats.org/officeDocument/2006/relationships/hyperlink" Target="https://npiregistry.cms.hhs.gov/provider-view/1871530352" TargetMode="External"/><Relationship Id="rId2551" Type="http://schemas.openxmlformats.org/officeDocument/2006/relationships/hyperlink" Target="https://www.google.com/maps/search/?api=1&amp;query=Health+Connections+Chiropractic+Center%2C+7750+Harkness+Ave+S%2C+Cottage+Grove%2C+MN+55016" TargetMode="External"/><Relationship Id="rId109" Type="http://schemas.openxmlformats.org/officeDocument/2006/relationships/hyperlink" Target="https://www.google.com/maps/search/?api=1&amp;query=Startingblock+Chiropractic+LLC%2C+3200+Main+St+NW%2C+Coon+Rapids%2C+MN+55448" TargetMode="External"/><Relationship Id="rId316" Type="http://schemas.openxmlformats.org/officeDocument/2006/relationships/hyperlink" Target="https://npiregistry.cms.hhs.gov/provider-view/1750759072" TargetMode="External"/><Relationship Id="rId523" Type="http://schemas.openxmlformats.org/officeDocument/2006/relationships/hyperlink" Target="https://www.google.com/maps/search/?api=1&amp;query=Interstate+Chiropractic%2C+LLC%2C+11276+210+St+W%2C+Lakeville%2C+MN+55044" TargetMode="External"/><Relationship Id="rId1153" Type="http://schemas.openxmlformats.org/officeDocument/2006/relationships/hyperlink" Target="https://www.google.com/maps/search/?api=1&amp;query=Orthology%2C+9325+Upland+Ln+N%2C+Maple+Grove%2C+MN+55369" TargetMode="External"/><Relationship Id="rId2204" Type="http://schemas.openxmlformats.org/officeDocument/2006/relationships/hyperlink" Target="https://npiregistry.cms.hhs.gov/provider-view/1487996385" TargetMode="External"/><Relationship Id="rId3602" Type="http://schemas.openxmlformats.org/officeDocument/2006/relationships/hyperlink" Target="https://npiregistry.cms.hhs.gov/provider-view/1366402828" TargetMode="External"/><Relationship Id="rId730" Type="http://schemas.openxmlformats.org/officeDocument/2006/relationships/hyperlink" Target="https://npiregistry.cms.hhs.gov/provider-view/1417495698" TargetMode="External"/><Relationship Id="rId1013" Type="http://schemas.openxmlformats.org/officeDocument/2006/relationships/hyperlink" Target="https://www.google.com/maps/search/?api=1&amp;query=Vine+Hill+Chiropractic%2C+19285+Highway+7%2C+Excelsior%2C+MN+55331" TargetMode="External"/><Relationship Id="rId1360" Type="http://schemas.openxmlformats.org/officeDocument/2006/relationships/hyperlink" Target="https://npiregistry.cms.hhs.gov/provider-view/1861872970" TargetMode="External"/><Relationship Id="rId2411" Type="http://schemas.openxmlformats.org/officeDocument/2006/relationships/hyperlink" Target="https://www.google.com/maps/search/?api=1&amp;query=Healthsource+of+Prior+Lake%2C+6880+Boudin+St+NE%2C+Prior+Lake%2C+MN+55372" TargetMode="External"/><Relationship Id="rId1220" Type="http://schemas.openxmlformats.org/officeDocument/2006/relationships/hyperlink" Target="https://npiregistry.cms.hhs.gov/provider-view/1891248290" TargetMode="External"/><Relationship Id="rId3185" Type="http://schemas.openxmlformats.org/officeDocument/2006/relationships/hyperlink" Target="https://www.google.com/maps/search/?api=1&amp;query=Park+Avenue+Therapies%2C+1204+Cloquet+Ave%2C+Cloquet%2C+MN+55720" TargetMode="External"/><Relationship Id="rId3392" Type="http://schemas.openxmlformats.org/officeDocument/2006/relationships/hyperlink" Target="https://npiregistry.cms.hhs.gov/provider-view/1013975135" TargetMode="External"/><Relationship Id="rId4029" Type="http://schemas.openxmlformats.org/officeDocument/2006/relationships/hyperlink" Target="https://www.google.com/maps/search/?api=1&amp;query=Ortonville+Chiropractic+Clinic%2C+215+2nd+St+SE%2C+Ortonville%2C+MN+56278" TargetMode="External"/><Relationship Id="rId3045" Type="http://schemas.openxmlformats.org/officeDocument/2006/relationships/hyperlink" Target="https://www.google.com/maps/search/?api=1&amp;query=Central+Minnesota+Neurosciences+LTD%2C+1200+6th+Ave+N%2C+St.+Cloud%2C+MN+56303" TargetMode="External"/><Relationship Id="rId3252" Type="http://schemas.openxmlformats.org/officeDocument/2006/relationships/hyperlink" Target="https://npiregistry.cms.hhs.gov/provider-view/1386745420" TargetMode="External"/><Relationship Id="rId173" Type="http://schemas.openxmlformats.org/officeDocument/2006/relationships/hyperlink" Target="https://www.google.com/maps/search/?api=1&amp;query=Revitalife+Center%2C+8097+Highway+65+NE%2C+Spring+Lake+Park%2C+MN+55432" TargetMode="External"/><Relationship Id="rId380" Type="http://schemas.openxmlformats.org/officeDocument/2006/relationships/hyperlink" Target="https://npiregistry.cms.hhs.gov/provider-view/1750445417" TargetMode="External"/><Relationship Id="rId2061" Type="http://schemas.openxmlformats.org/officeDocument/2006/relationships/hyperlink" Target="https://www.google.com/maps/search/?api=1&amp;query=Capitol+Chiropractic+%26+Rehab.%2C+PC%2C+1408+Arcade+St%2C+St.+Paul%2C+MN+55106" TargetMode="External"/><Relationship Id="rId3112" Type="http://schemas.openxmlformats.org/officeDocument/2006/relationships/hyperlink" Target="https://npiregistry.cms.hhs.gov/provider-view/1437758471" TargetMode="External"/><Relationship Id="rId240" Type="http://schemas.openxmlformats.org/officeDocument/2006/relationships/hyperlink" Target="https://npiregistry.cms.hhs.gov/provider-view/1053653683" TargetMode="External"/><Relationship Id="rId100" Type="http://schemas.openxmlformats.org/officeDocument/2006/relationships/hyperlink" Target="https://npiregistry.cms.hhs.gov/provider-view/1215329362" TargetMode="External"/><Relationship Id="rId2878" Type="http://schemas.openxmlformats.org/officeDocument/2006/relationships/hyperlink" Target="https://npiregistry.cms.hhs.gov/provider-view/1285671263" TargetMode="External"/><Relationship Id="rId3929" Type="http://schemas.openxmlformats.org/officeDocument/2006/relationships/hyperlink" Target="https://www.google.com/maps/search/?api=1&amp;query=Eilrich+Family+Chiropractic+%26+Wellness%2C+1620+Highway+60+W%2C+Faribault%2C+MN+55021" TargetMode="External"/><Relationship Id="rId4093" Type="http://schemas.openxmlformats.org/officeDocument/2006/relationships/hyperlink" Target="https://www.google.com/maps/search/?api=1&amp;query=Lastine+Chiropractic+PC%2C+1411+E+College+Dr%2C+Marshall%2C+MN+56258" TargetMode="External"/><Relationship Id="rId1687" Type="http://schemas.openxmlformats.org/officeDocument/2006/relationships/hyperlink" Target="https://www.google.com/maps/search/?api=1&amp;query=Stonebridge+Chiropractic+INC.%2C+1300+E+66th+St%2C+Richfield%2C+MN+55423" TargetMode="External"/><Relationship Id="rId1894" Type="http://schemas.openxmlformats.org/officeDocument/2006/relationships/hyperlink" Target="https://npiregistry.cms.hhs.gov/provider-view/1235674029" TargetMode="External"/><Relationship Id="rId2738" Type="http://schemas.openxmlformats.org/officeDocument/2006/relationships/hyperlink" Target="https://npiregistry.cms.hhs.gov/provider-view/1518460237" TargetMode="External"/><Relationship Id="rId2945" Type="http://schemas.openxmlformats.org/officeDocument/2006/relationships/hyperlink" Target="https://www.google.com/maps/search/?api=1&amp;query=Phenom+Rehab%2C+INC%2C+109+5th+St+NE%2C+Little+Falls%2C+MN+56345" TargetMode="External"/><Relationship Id="rId917" Type="http://schemas.openxmlformats.org/officeDocument/2006/relationships/hyperlink" Target="https://www.google.com/maps/search/?api=1&amp;query=Healthworks+Chiropractic+Care+%26+Rehab+Center+PA%2C+5125+Edina+Industrial+Blvd%2C+Edina%2C+MN+55439" TargetMode="External"/><Relationship Id="rId1547" Type="http://schemas.openxmlformats.org/officeDocument/2006/relationships/hyperlink" Target="https://www.google.com/maps/search/?api=1&amp;query=Pw+Clinics+PLLC%2C+10653+Wayzata+Blvd%2C+Minnetonka%2C+MN+55305" TargetMode="External"/><Relationship Id="rId1754" Type="http://schemas.openxmlformats.org/officeDocument/2006/relationships/hyperlink" Target="https://npiregistry.cms.hhs.gov/provider-view/1326248600" TargetMode="External"/><Relationship Id="rId1961" Type="http://schemas.openxmlformats.org/officeDocument/2006/relationships/hyperlink" Target="https://www.google.com/maps/search/?api=1&amp;query=Heather+L+Bjugstad+Chiropractic%2C+LLC%2C+2489+Rice+St%2C+Roseville%2C+MN+55113" TargetMode="External"/><Relationship Id="rId2805" Type="http://schemas.openxmlformats.org/officeDocument/2006/relationships/hyperlink" Target="https://www.google.com/maps/search/?api=1&amp;query=Western+Orthopaedics+%26+Sports+Medicine+Consultants%2C+916+Saint+Peter+St%2C+Delano%2C+MN+55328" TargetMode="External"/><Relationship Id="rId4160" Type="http://schemas.openxmlformats.org/officeDocument/2006/relationships/hyperlink" Target="https://npiregistry.cms.hhs.gov/provider-view/1740497452" TargetMode="External"/><Relationship Id="rId46" Type="http://schemas.openxmlformats.org/officeDocument/2006/relationships/hyperlink" Target="https://npiregistry.cms.hhs.gov/provider-view/1780072082" TargetMode="External"/><Relationship Id="rId1407" Type="http://schemas.openxmlformats.org/officeDocument/2006/relationships/hyperlink" Target="https://www.google.com/maps/search/?api=1&amp;query=Premier+Health+of+South+Minneapolis+LTD%2C+1813+E+Lake+St%2C+Minneapolis%2C+MN+55407" TargetMode="External"/><Relationship Id="rId1614" Type="http://schemas.openxmlformats.org/officeDocument/2006/relationships/hyperlink" Target="https://npiregistry.cms.hhs.gov/provider-view/1235529272" TargetMode="External"/><Relationship Id="rId1821" Type="http://schemas.openxmlformats.org/officeDocument/2006/relationships/hyperlink" Target="https://www.google.com/maps/search/?api=1&amp;query=Agada+Chiropractic+and+Integrative+Health+Center%2C+LLC%2C+3311+County+Road+101+S%2C+Wayzata%2C+MN+55391" TargetMode="External"/><Relationship Id="rId4020" Type="http://schemas.openxmlformats.org/officeDocument/2006/relationships/hyperlink" Target="https://npiregistry.cms.hhs.gov/provider-view/1457602005" TargetMode="External"/><Relationship Id="rId3579" Type="http://schemas.openxmlformats.org/officeDocument/2006/relationships/hyperlink" Target="https://www.google.com/maps/search/?api=1&amp;query=Gettel+Chiropractic%2C+PA.%2C+1515+W+Lincoln+Ave%2C+Fergus+Falls%2C+MN+56537" TargetMode="External"/><Relationship Id="rId3786" Type="http://schemas.openxmlformats.org/officeDocument/2006/relationships/hyperlink" Target="https://npiregistry.cms.hhs.gov/provider-view/1760603609" TargetMode="External"/><Relationship Id="rId2388" Type="http://schemas.openxmlformats.org/officeDocument/2006/relationships/hyperlink" Target="https://npiregistry.cms.hhs.gov/provider-view/1720219447" TargetMode="External"/><Relationship Id="rId2595" Type="http://schemas.openxmlformats.org/officeDocument/2006/relationships/hyperlink" Target="https://www.google.com/maps/search/?api=1&amp;query=Afton+Chiropractic+Clinic%2C+44+Saint+Croix+Trl+S%2C+Lakeland%2C+MN+55043" TargetMode="External"/><Relationship Id="rId3439" Type="http://schemas.openxmlformats.org/officeDocument/2006/relationships/hyperlink" Target="https://www.google.com/maps/search/?api=1&amp;query=Medical+Imaging+North+PA%2C+2900+E+Beltline%2C+Hibbing%2C+MN+55746" TargetMode="External"/><Relationship Id="rId3993" Type="http://schemas.openxmlformats.org/officeDocument/2006/relationships/hyperlink" Target="https://www.google.com/maps/search/?api=1&amp;query=Dr+J+L+Stucky+Chiropractor+PA%2C+349+West+Broadway%2C+Plainview%2C+MN+55964" TargetMode="External"/><Relationship Id="rId567" Type="http://schemas.openxmlformats.org/officeDocument/2006/relationships/hyperlink" Target="https://www.google.com/maps/search/?api=1&amp;query=Lon+Lutz%2Cmd+PA%2C+548+Foxwood+Ln%2C+Mendota+Hts%2C+MN+55118" TargetMode="External"/><Relationship Id="rId1197" Type="http://schemas.openxmlformats.org/officeDocument/2006/relationships/hyperlink" Target="https://www.google.com/maps/search/?api=1&amp;query=Arrow+Health+Chiropractic%2C+PA.%2C+1000+Nicollet+Mall%2C+Minneapolis%2C+MN+55403" TargetMode="External"/><Relationship Id="rId2248" Type="http://schemas.openxmlformats.org/officeDocument/2006/relationships/hyperlink" Target="https://npiregistry.cms.hhs.gov/provider-view/1407130453" TargetMode="External"/><Relationship Id="rId3646" Type="http://schemas.openxmlformats.org/officeDocument/2006/relationships/hyperlink" Target="https://npiregistry.cms.hhs.gov/provider-view/1760673453" TargetMode="External"/><Relationship Id="rId3853" Type="http://schemas.openxmlformats.org/officeDocument/2006/relationships/hyperlink" Target="https://www.google.com/maps/search/?api=1&amp;query=Wellness+1st+of+Austin+INC%2C+300+W+Oakland+Ave%2C+Austin%2C+MN+55912" TargetMode="External"/><Relationship Id="rId774" Type="http://schemas.openxmlformats.org/officeDocument/2006/relationships/hyperlink" Target="https://npiregistry.cms.hhs.gov/provider-view/1528324423" TargetMode="External"/><Relationship Id="rId981" Type="http://schemas.openxmlformats.org/officeDocument/2006/relationships/hyperlink" Target="https://www.google.com/maps/search/?api=1&amp;query=Tc+Core+Spine+and+Sport%2C+5250+W+74th+St%2C+Edina%2C+MN+55439" TargetMode="External"/><Relationship Id="rId1057" Type="http://schemas.openxmlformats.org/officeDocument/2006/relationships/hyperlink" Target="https://www.google.com/maps/search/?api=1&amp;query=Spring+Gate+Health%2C+LLC%2C+5851+Duluth+St%2C+Golden+Valley%2C+MN+55422" TargetMode="External"/><Relationship Id="rId2455" Type="http://schemas.openxmlformats.org/officeDocument/2006/relationships/hyperlink" Target="https://www.google.com/maps/search/?api=1&amp;query=Natural+Living+Chiropractic+LLC%2C+4827+W+123rd+St%2C+Savage%2C+MN+55378" TargetMode="External"/><Relationship Id="rId2662" Type="http://schemas.openxmlformats.org/officeDocument/2006/relationships/hyperlink" Target="https://npiregistry.cms.hhs.gov/provider-view/1902836133" TargetMode="External"/><Relationship Id="rId3506" Type="http://schemas.openxmlformats.org/officeDocument/2006/relationships/hyperlink" Target="https://npiregistry.cms.hhs.gov/provider-view/1790990968" TargetMode="External"/><Relationship Id="rId3713" Type="http://schemas.openxmlformats.org/officeDocument/2006/relationships/hyperlink" Target="https://www.google.com/maps/search/?api=1&amp;query=Swoboda+Chiropractic+of+Lakefield%2C+221+Third+Ave+N%2C+Lakefield%2C+MN+56150" TargetMode="External"/><Relationship Id="rId3920" Type="http://schemas.openxmlformats.org/officeDocument/2006/relationships/hyperlink" Target="https://npiregistry.cms.hhs.gov/provider-view/1467127738" TargetMode="External"/><Relationship Id="rId427" Type="http://schemas.openxmlformats.org/officeDocument/2006/relationships/hyperlink" Target="https://www.google.com/maps/search/?api=1&amp;query=Gilman+Chiropractic+PA%2C+4640+Slater+Rd%2C+Eagan%2C+MN+55122" TargetMode="External"/><Relationship Id="rId634" Type="http://schemas.openxmlformats.org/officeDocument/2006/relationships/hyperlink" Target="https://npiregistry.cms.hhs.gov/provider-view/1033356480" TargetMode="External"/><Relationship Id="rId841" Type="http://schemas.openxmlformats.org/officeDocument/2006/relationships/hyperlink" Target="https://www.google.com/maps/search/?api=1&amp;query=Prairie+View+Chiropractic+Clinic%2C+PA.%2C+7565+Office+Ridge+Cir%2C+Eden+Prairie%2C+MN+55344" TargetMode="External"/><Relationship Id="rId1264" Type="http://schemas.openxmlformats.org/officeDocument/2006/relationships/hyperlink" Target="https://npiregistry.cms.hhs.gov/provider-view/1295368850" TargetMode="External"/><Relationship Id="rId1471" Type="http://schemas.openxmlformats.org/officeDocument/2006/relationships/hyperlink" Target="https://www.google.com/maps/search/?api=1&amp;query=Universal+Chiropractic+Health+Clinic%2C+PA.%2C+3463+Minnehaha+Ave%2C+Minneapolis%2C+MN+55406" TargetMode="External"/><Relationship Id="rId2108" Type="http://schemas.openxmlformats.org/officeDocument/2006/relationships/hyperlink" Target="https://npiregistry.cms.hhs.gov/provider-view/1992864961" TargetMode="External"/><Relationship Id="rId2315" Type="http://schemas.openxmlformats.org/officeDocument/2006/relationships/hyperlink" Target="https://www.google.com/maps/search/?api=1&amp;query=Wellness+Chiropractic%2C+976+Grand+Ave%2C+St.+Paul%2C+MN+55105" TargetMode="External"/><Relationship Id="rId2522" Type="http://schemas.openxmlformats.org/officeDocument/2006/relationships/hyperlink" Target="https://npiregistry.cms.hhs.gov/provider-view/1487721684" TargetMode="External"/><Relationship Id="rId701" Type="http://schemas.openxmlformats.org/officeDocument/2006/relationships/hyperlink" Target="https://www.google.com/maps/search/?api=1&amp;query=Assurance+Chiropractic%2C+PA.%2C+3330+Brookdale+Dr+N%2C+Brooklyn+Park%2C+MN+55443" TargetMode="External"/><Relationship Id="rId1124" Type="http://schemas.openxmlformats.org/officeDocument/2006/relationships/hyperlink" Target="https://npiregistry.cms.hhs.gov/provider-view/1447442041" TargetMode="External"/><Relationship Id="rId1331" Type="http://schemas.openxmlformats.org/officeDocument/2006/relationships/hyperlink" Target="https://www.google.com/maps/search/?api=1&amp;query=Linda+J.+Dobberstein%2C+DC%2C+Dacbn%2C+224+W+Franklin+Ave%2C+Minneapolis%2C+MN+55404" TargetMode="External"/><Relationship Id="rId3089" Type="http://schemas.openxmlformats.org/officeDocument/2006/relationships/hyperlink" Target="https://www.google.com/maps/search/?api=1&amp;query=Medelberg+Family+Chiropractic%2C+PA.%2C+710+County+Road+75%2C+St.+Joseph%2C+MN+56374" TargetMode="External"/><Relationship Id="rId3296" Type="http://schemas.openxmlformats.org/officeDocument/2006/relationships/hyperlink" Target="https://npiregistry.cms.hhs.gov/provider-view/1134315450" TargetMode="External"/><Relationship Id="rId3156" Type="http://schemas.openxmlformats.org/officeDocument/2006/relationships/hyperlink" Target="https://npiregistry.cms.hhs.gov/provider-view/1922207091" TargetMode="External"/><Relationship Id="rId3363" Type="http://schemas.openxmlformats.org/officeDocument/2006/relationships/hyperlink" Target="https://www.google.com/maps/search/?api=1&amp;query=Audette+Chiropractic+Clinic+PA.%2C+438+N+57th+Ave+W%2C+Duluth%2C+MN+55807" TargetMode="External"/><Relationship Id="rId284" Type="http://schemas.openxmlformats.org/officeDocument/2006/relationships/hyperlink" Target="https://npiregistry.cms.hhs.gov/provider-view/1841678554" TargetMode="External"/><Relationship Id="rId491" Type="http://schemas.openxmlformats.org/officeDocument/2006/relationships/hyperlink" Target="https://www.google.com/maps/search/?api=1&amp;query=River+Valley+Spinal+Health+Center%2C+PA.%2C+800+Oak+St%2C+Hastings%2C+MN+55033" TargetMode="External"/><Relationship Id="rId2172" Type="http://schemas.openxmlformats.org/officeDocument/2006/relationships/hyperlink" Target="https://npiregistry.cms.hhs.gov/provider-view/1114217940" TargetMode="External"/><Relationship Id="rId3016" Type="http://schemas.openxmlformats.org/officeDocument/2006/relationships/hyperlink" Target="https://npiregistry.cms.hhs.gov/provider-view/1083638761" TargetMode="External"/><Relationship Id="rId3223" Type="http://schemas.openxmlformats.org/officeDocument/2006/relationships/hyperlink" Target="https://www.google.com/maps/search/?api=1&amp;query=Northern+Family+Chiropractic%2C+PA%2C+13968+Cypress+Dr%2C+Baxter%2C+MN+56425" TargetMode="External"/><Relationship Id="rId3570" Type="http://schemas.openxmlformats.org/officeDocument/2006/relationships/hyperlink" Target="https://npiregistry.cms.hhs.gov/provider-view/1982364063" TargetMode="External"/><Relationship Id="rId144" Type="http://schemas.openxmlformats.org/officeDocument/2006/relationships/hyperlink" Target="https://npiregistry.cms.hhs.gov/provider-view/1750573929" TargetMode="External"/><Relationship Id="rId3430" Type="http://schemas.openxmlformats.org/officeDocument/2006/relationships/hyperlink" Target="https://npiregistry.cms.hhs.gov/provider-view/1558631945" TargetMode="External"/><Relationship Id="rId351" Type="http://schemas.openxmlformats.org/officeDocument/2006/relationships/hyperlink" Target="https://www.google.com/maps/search/?api=1&amp;query=Healthpro+Chiropractic+Burnsville+PC%2C+150+E+Travelers+Trl%2C+Burnsville%2C+MN+55337" TargetMode="External"/><Relationship Id="rId2032" Type="http://schemas.openxmlformats.org/officeDocument/2006/relationships/hyperlink" Target="https://npiregistry.cms.hhs.gov/provider-view/1831278449" TargetMode="External"/><Relationship Id="rId2989" Type="http://schemas.openxmlformats.org/officeDocument/2006/relationships/hyperlink" Target="https://www.google.com/maps/search/?api=1&amp;query=Proactive+Rehab+and+Wellness%2C+LLC%2C+29161+Lake+Ave%2C+Paynesville%2C+MN+56362" TargetMode="External"/><Relationship Id="rId211" Type="http://schemas.openxmlformats.org/officeDocument/2006/relationships/hyperlink" Target="https://www.google.com/maps/search/?api=1&amp;query=Joseph+Sutcliffe+PA.%2C+424+N+Chestnut+St%2C+Chaska%2C+MN+55318" TargetMode="External"/><Relationship Id="rId1798" Type="http://schemas.openxmlformats.org/officeDocument/2006/relationships/hyperlink" Target="https://npiregistry.cms.hhs.gov/provider-view/1578813911" TargetMode="External"/><Relationship Id="rId2849" Type="http://schemas.openxmlformats.org/officeDocument/2006/relationships/hyperlink" Target="https://www.google.com/maps/search/?api=1&amp;query=Northwest+Spine+and+Pain+Center+of+St.+Michael%2C+PA%2C+1+Central+Ave+W%2C+St.+Michael%2C+MN+55376" TargetMode="External"/><Relationship Id="rId1658" Type="http://schemas.openxmlformats.org/officeDocument/2006/relationships/hyperlink" Target="https://npiregistry.cms.hhs.gov/provider-view/1477545895" TargetMode="External"/><Relationship Id="rId1865" Type="http://schemas.openxmlformats.org/officeDocument/2006/relationships/hyperlink" Target="https://www.google.com/maps/search/?api=1&amp;query=Westerberg+Chiropractic+PA.%2C+135+2nd+Ave+NW%2C+Cambridge%2C+MN+55008" TargetMode="External"/><Relationship Id="rId2709" Type="http://schemas.openxmlformats.org/officeDocument/2006/relationships/hyperlink" Target="https://www.google.com/maps/search/?api=1&amp;query=Kirk+M+Nelson+DC+LLC%2C+8425+Seasons+Pkwy%2C+Woodbury%2C+MN+55125" TargetMode="External"/><Relationship Id="rId4064" Type="http://schemas.openxmlformats.org/officeDocument/2006/relationships/hyperlink" Target="https://npiregistry.cms.hhs.gov/provider-view/1497793046" TargetMode="External"/><Relationship Id="rId1518" Type="http://schemas.openxmlformats.org/officeDocument/2006/relationships/hyperlink" Target="https://npiregistry.cms.hhs.gov/provider-view/1316086598" TargetMode="External"/><Relationship Id="rId2916" Type="http://schemas.openxmlformats.org/officeDocument/2006/relationships/hyperlink" Target="https://npiregistry.cms.hhs.gov/provider-view/1497917587" TargetMode="External"/><Relationship Id="rId3080" Type="http://schemas.openxmlformats.org/officeDocument/2006/relationships/hyperlink" Target="https://npiregistry.cms.hhs.gov/provider-view/1083638761" TargetMode="External"/><Relationship Id="rId4131" Type="http://schemas.openxmlformats.org/officeDocument/2006/relationships/hyperlink" Target="https://www.google.com/maps/search/?api=1&amp;query=Bittner+Chiropractic+INC.%2C+1251+E+Bridge+St%2C+Redwood+Falls%2C+MN+56283" TargetMode="External"/><Relationship Id="rId1725" Type="http://schemas.openxmlformats.org/officeDocument/2006/relationships/hyperlink" Target="https://www.google.com/maps/search/?api=1&amp;query=Northern+Community+Chiropractic%2C+20965+S+Diamond+Lake+Rd%2C+Rogers%2C+MN+55374" TargetMode="External"/><Relationship Id="rId1932" Type="http://schemas.openxmlformats.org/officeDocument/2006/relationships/hyperlink" Target="https://npiregistry.cms.hhs.gov/provider-view/1518963768" TargetMode="External"/><Relationship Id="rId17" Type="http://schemas.openxmlformats.org/officeDocument/2006/relationships/hyperlink" Target="https://www.google.com/maps/search/?api=1&amp;query=Anoka-Andover+Chiropractic%2C+PA%2C+3722+7th+Ave%2C+Anoka%2C+MN+55303" TargetMode="External"/><Relationship Id="rId3897" Type="http://schemas.openxmlformats.org/officeDocument/2006/relationships/hyperlink" Target="https://www.google.com/maps/search/?api=1&amp;query=Pirkl+Chiropractic%2C+2711+Commerce+Dr+NW%2C+Rochester%2C+MN+55901" TargetMode="External"/><Relationship Id="rId2499" Type="http://schemas.openxmlformats.org/officeDocument/2006/relationships/hyperlink" Target="https://www.google.com/maps/search/?api=1&amp;query=Valley+Rehabilitation+Services%2C+1515+Saint+Francis+Ave%2C+Shakopee%2C+MN+55379" TargetMode="External"/><Relationship Id="rId3757" Type="http://schemas.openxmlformats.org/officeDocument/2006/relationships/hyperlink" Target="https://www.google.com/maps/search/?api=1&amp;query=Quality+of+Life+Chiropractic%2C+PA%2C+516+1st+Ave+S%2C+St.+James%2C+MN+56081" TargetMode="External"/><Relationship Id="rId3964" Type="http://schemas.openxmlformats.org/officeDocument/2006/relationships/hyperlink" Target="https://npiregistry.cms.hhs.gov/provider-view/1174830293" TargetMode="External"/><Relationship Id="rId1" Type="http://schemas.openxmlformats.org/officeDocument/2006/relationships/hyperlink" Target="https://www.google.com/maps/search/?api=1&amp;query=Abeler+Chiropractic+of+Andover%2C+PA.%2C+2705+Bunker+Lake+Blvd+NW%2C+Andover%2C+MN+55304" TargetMode="External"/><Relationship Id="rId678" Type="http://schemas.openxmlformats.org/officeDocument/2006/relationships/hyperlink" Target="https://npiregistry.cms.hhs.gov/provider-view/1891097218" TargetMode="External"/><Relationship Id="rId885" Type="http://schemas.openxmlformats.org/officeDocument/2006/relationships/hyperlink" Target="https://www.google.com/maps/search/?api=1&amp;query=Beth+Groenke%2C+DDS%2C+MS%2C+7600+France+Ave+S%2C+Edina%2C+MN+55435" TargetMode="External"/><Relationship Id="rId2359" Type="http://schemas.openxmlformats.org/officeDocument/2006/relationships/hyperlink" Target="https://www.google.com/maps/search/?api=1&amp;query=Helix+Chiropractic+PA%2C+4719+Banning+Ave%2C+White+Bear+Lake%2C+MN+55110" TargetMode="External"/><Relationship Id="rId2566" Type="http://schemas.openxmlformats.org/officeDocument/2006/relationships/hyperlink" Target="https://npiregistry.cms.hhs.gov/provider-view/1588706139" TargetMode="External"/><Relationship Id="rId2773" Type="http://schemas.openxmlformats.org/officeDocument/2006/relationships/hyperlink" Target="https://www.google.com/maps/search/?api=1&amp;query=Excel+Physical+Therapy+INC%2C+300+Catlin+St%2C+Buffalo%2C+MN+55313" TargetMode="External"/><Relationship Id="rId2980" Type="http://schemas.openxmlformats.org/officeDocument/2006/relationships/hyperlink" Target="https://npiregistry.cms.hhs.gov/provider-view/1376700476" TargetMode="External"/><Relationship Id="rId3617" Type="http://schemas.openxmlformats.org/officeDocument/2006/relationships/hyperlink" Target="https://www.google.com/maps/search/?api=1&amp;query=Lakes+Family+Chiropractic+PLLC%2C+16+Minnesota+Ave+W%2C+Glenwood%2C+MN+56334" TargetMode="External"/><Relationship Id="rId3824" Type="http://schemas.openxmlformats.org/officeDocument/2006/relationships/hyperlink" Target="https://npiregistry.cms.hhs.gov/provider-view/1649366485" TargetMode="External"/><Relationship Id="rId538" Type="http://schemas.openxmlformats.org/officeDocument/2006/relationships/hyperlink" Target="https://npiregistry.cms.hhs.gov/provider-view/1417276718" TargetMode="External"/><Relationship Id="rId745" Type="http://schemas.openxmlformats.org/officeDocument/2006/relationships/hyperlink" Target="https://www.google.com/maps/search/?api=1&amp;query=Revolution+Chiropractic+Wellness+Center+PLLC%2C+8509+Jefferson+Ln+N%2C+Brooklyn+Park%2C+MN+55445" TargetMode="External"/><Relationship Id="rId952" Type="http://schemas.openxmlformats.org/officeDocument/2006/relationships/hyperlink" Target="https://npiregistry.cms.hhs.gov/provider-view/1598210015" TargetMode="External"/><Relationship Id="rId1168" Type="http://schemas.openxmlformats.org/officeDocument/2006/relationships/hyperlink" Target="https://npiregistry.cms.hhs.gov/provider-view/1700186921" TargetMode="External"/><Relationship Id="rId1375" Type="http://schemas.openxmlformats.org/officeDocument/2006/relationships/hyperlink" Target="https://www.google.com/maps/search/?api=1&amp;query=Moe+Bodyworks%2C+707+W+34th+St%2C+Minneapolis%2C+MN+55408" TargetMode="External"/><Relationship Id="rId1582" Type="http://schemas.openxmlformats.org/officeDocument/2006/relationships/hyperlink" Target="https://npiregistry.cms.hhs.gov/provider-view/1760018337" TargetMode="External"/><Relationship Id="rId2219" Type="http://schemas.openxmlformats.org/officeDocument/2006/relationships/hyperlink" Target="https://www.google.com/maps/search/?api=1&amp;query=Pediatric+Orthopaedic+Associates%2C+200+University+Ave+E%2C+St.+Paul%2C+MN+55101" TargetMode="External"/><Relationship Id="rId2426" Type="http://schemas.openxmlformats.org/officeDocument/2006/relationships/hyperlink" Target="https://npiregistry.cms.hhs.gov/provider-view/1700163573" TargetMode="External"/><Relationship Id="rId2633" Type="http://schemas.openxmlformats.org/officeDocument/2006/relationships/hyperlink" Target="https://www.google.com/maps/search/?api=1&amp;query=Kendrick+Chiropractic+Clinic+LTD.%2C+21080+Olinda+Trl+N%2C+Scandia%2C+MN+55073" TargetMode="External"/><Relationship Id="rId81" Type="http://schemas.openxmlformats.org/officeDocument/2006/relationships/hyperlink" Target="https://www.google.com/maps/search/?api=1&amp;query=Heights+Chiropractic+Clinic+PA%2C+4111+Central+Ave+NE%2C+Columbia+Heights%2C+MN+55421" TargetMode="External"/><Relationship Id="rId605" Type="http://schemas.openxmlformats.org/officeDocument/2006/relationships/hyperlink" Target="https://www.google.com/maps/search/?api=1&amp;query=Balanced+Body+Chiropractic+MN+PA%2C+5152+Balmoral+Ln%2C+Bloomington%2C+MN+55437" TargetMode="External"/><Relationship Id="rId812" Type="http://schemas.openxmlformats.org/officeDocument/2006/relationships/hyperlink" Target="https://npiregistry.cms.hhs.gov/provider-view/1457450504" TargetMode="External"/><Relationship Id="rId1028" Type="http://schemas.openxmlformats.org/officeDocument/2006/relationships/hyperlink" Target="https://npiregistry.cms.hhs.gov/provider-view/1013185768" TargetMode="External"/><Relationship Id="rId1235" Type="http://schemas.openxmlformats.org/officeDocument/2006/relationships/hyperlink" Target="https://www.google.com/maps/search/?api=1&amp;query=Comprehensive+Rehab+Centers+of+MN%2C+133+W+Lake+St%2C+Minneapolis%2C+MN+55408" TargetMode="External"/><Relationship Id="rId1442" Type="http://schemas.openxmlformats.org/officeDocument/2006/relationships/hyperlink" Target="https://npiregistry.cms.hhs.gov/provider-view/1780863316" TargetMode="External"/><Relationship Id="rId2840" Type="http://schemas.openxmlformats.org/officeDocument/2006/relationships/hyperlink" Target="https://npiregistry.cms.hhs.gov/provider-view/1558418236" TargetMode="External"/><Relationship Id="rId1302" Type="http://schemas.openxmlformats.org/officeDocument/2006/relationships/hyperlink" Target="https://npiregistry.cms.hhs.gov/provider-view/1467617654" TargetMode="External"/><Relationship Id="rId2700" Type="http://schemas.openxmlformats.org/officeDocument/2006/relationships/hyperlink" Target="https://npiregistry.cms.hhs.gov/provider-view/1194084376" TargetMode="External"/><Relationship Id="rId3267" Type="http://schemas.openxmlformats.org/officeDocument/2006/relationships/hyperlink" Target="https://www.google.com/maps/search/?api=1&amp;query=Northern+Hope+Better+Balance%2C+25503+Main+St%2C+Nisswa%2C+MN+56468" TargetMode="External"/><Relationship Id="rId188" Type="http://schemas.openxmlformats.org/officeDocument/2006/relationships/hyperlink" Target="https://npiregistry.cms.hhs.gov/provider-view/1073617320" TargetMode="External"/><Relationship Id="rId395" Type="http://schemas.openxmlformats.org/officeDocument/2006/relationships/hyperlink" Target="https://www.google.com/maps/search/?api=1&amp;query=Valley+Medical+and+Wellness%2C+2428+E+117th+St%2C+Burnsville%2C+MN+55337" TargetMode="External"/><Relationship Id="rId2076" Type="http://schemas.openxmlformats.org/officeDocument/2006/relationships/hyperlink" Target="https://npiregistry.cms.hhs.gov/provider-view/1437313434" TargetMode="External"/><Relationship Id="rId3474" Type="http://schemas.openxmlformats.org/officeDocument/2006/relationships/hyperlink" Target="https://npiregistry.cms.hhs.gov/provider-view/1578867727" TargetMode="External"/><Relationship Id="rId3681" Type="http://schemas.openxmlformats.org/officeDocument/2006/relationships/hyperlink" Target="https://www.google.com/maps/search/?api=1&amp;query=Dynamic+Health+Soultions%2C+700+N+Broadway+St%2C+New+Ulm%2C+MN+56073" TargetMode="External"/><Relationship Id="rId2283" Type="http://schemas.openxmlformats.org/officeDocument/2006/relationships/hyperlink" Target="https://www.google.com/maps/search/?api=1&amp;query=Twin+Cities+Chiropractic+and+Rehabilitation%2C+506+Lexington+Pkwy+N%2C+St.+Paul%2C+MN+55104" TargetMode="External"/><Relationship Id="rId2490" Type="http://schemas.openxmlformats.org/officeDocument/2006/relationships/hyperlink" Target="https://npiregistry.cms.hhs.gov/provider-view/1346409539" TargetMode="External"/><Relationship Id="rId3127" Type="http://schemas.openxmlformats.org/officeDocument/2006/relationships/hyperlink" Target="https://www.google.com/maps/search/?api=1&amp;query=Detroit+Lakes+Chiropractic%2C+PC%2C+213+State+St+W%2C+Detroit+Lakes%2C+MN+56501" TargetMode="External"/><Relationship Id="rId3334" Type="http://schemas.openxmlformats.org/officeDocument/2006/relationships/hyperlink" Target="https://npiregistry.cms.hhs.gov/provider-view/1063502722" TargetMode="External"/><Relationship Id="rId3541" Type="http://schemas.openxmlformats.org/officeDocument/2006/relationships/hyperlink" Target="https://www.google.com/maps/search/?api=1&amp;query=Cornerstone+Chiropractic+and+Wellness%2C+507+N+Nokomis+St%2C+Alexandria%2C+MN+56308" TargetMode="External"/><Relationship Id="rId255" Type="http://schemas.openxmlformats.org/officeDocument/2006/relationships/hyperlink" Target="https://www.google.com/maps/search/?api=1&amp;query=Core+Chiropractic%2C+LLC%2C+1155+Anchor+Ct%2C+Harris%2C+MN+55032" TargetMode="External"/><Relationship Id="rId462" Type="http://schemas.openxmlformats.org/officeDocument/2006/relationships/hyperlink" Target="https://npiregistry.cms.hhs.gov/provider-view/1679177125" TargetMode="External"/><Relationship Id="rId1092" Type="http://schemas.openxmlformats.org/officeDocument/2006/relationships/hyperlink" Target="https://npiregistry.cms.hhs.gov/provider-view/1306919998" TargetMode="External"/><Relationship Id="rId2143" Type="http://schemas.openxmlformats.org/officeDocument/2006/relationships/hyperlink" Target="https://www.google.com/maps/search/?api=1&amp;query=Groveland+Chiropractic%2C+2052+Saint+Clair+Ave%2C+St.+Paul%2C+MN+55105" TargetMode="External"/><Relationship Id="rId2350" Type="http://schemas.openxmlformats.org/officeDocument/2006/relationships/hyperlink" Target="https://npiregistry.cms.hhs.gov/provider-view/1396971909" TargetMode="External"/><Relationship Id="rId3401" Type="http://schemas.openxmlformats.org/officeDocument/2006/relationships/hyperlink" Target="https://www.google.com/maps/search/?api=1&amp;query=Pathways+To+Achievement+Therapy%2C+114+S+20th+Ave+W%2C+Duluth%2C+MN+55806" TargetMode="External"/><Relationship Id="rId115" Type="http://schemas.openxmlformats.org/officeDocument/2006/relationships/hyperlink" Target="https://www.google.com/maps/search/?api=1&amp;query=Bracht+Chiropractic%2C+PA.%2C+15226+W+Freeway+Dr+NE%2C+Forest+Lake%2C+MN+55025" TargetMode="External"/><Relationship Id="rId322" Type="http://schemas.openxmlformats.org/officeDocument/2006/relationships/hyperlink" Target="https://npiregistry.cms.hhs.gov/provider-view/1366773384" TargetMode="External"/><Relationship Id="rId2003" Type="http://schemas.openxmlformats.org/officeDocument/2006/relationships/hyperlink" Target="https://www.google.com/maps/search/?api=1&amp;query=Advanced+Spinal+Care+%26+Rehab%2C+4535+Hodgson+Rd%2C+Shoreview%2C+MN+55126" TargetMode="External"/><Relationship Id="rId2210" Type="http://schemas.openxmlformats.org/officeDocument/2006/relationships/hyperlink" Target="https://npiregistry.cms.hhs.gov/provider-view/1710314364" TargetMode="External"/><Relationship Id="rId1769" Type="http://schemas.openxmlformats.org/officeDocument/2006/relationships/hyperlink" Target="https://www.google.com/maps/search/?api=1&amp;query=Healing+Tree+Chiropractic%2C+PA%2C+6311+Wayzata+Blvd%2C+St.+Louis+Park%2C+MN+55416" TargetMode="External"/><Relationship Id="rId1976" Type="http://schemas.openxmlformats.org/officeDocument/2006/relationships/hyperlink" Target="https://npiregistry.cms.hhs.gov/provider-view/1487796397" TargetMode="External"/><Relationship Id="rId3191" Type="http://schemas.openxmlformats.org/officeDocument/2006/relationships/hyperlink" Target="https://www.google.com/maps/search/?api=1&amp;query=First+Choice+Therapy%2C+6068+E+Ottertail+Rd+NW%2C+Walker%2C+MN+56484" TargetMode="External"/><Relationship Id="rId4035" Type="http://schemas.openxmlformats.org/officeDocument/2006/relationships/hyperlink" Target="https://www.google.com/maps/search/?api=1&amp;query=Moseng+Chiropractic+Pllp%2C+525+Legion+Dr%2C+Montevideo%2C+MN+56265" TargetMode="External"/><Relationship Id="rId1629" Type="http://schemas.openxmlformats.org/officeDocument/2006/relationships/hyperlink" Target="https://www.google.com/maps/search/?api=1&amp;query=Minnesota+Oral+%26+Maxillofacial+Surgery%2C+PA.%2C+15655+37th+Ave.+N.%2C+Plymouth%2C+MN+55446" TargetMode="External"/><Relationship Id="rId1836" Type="http://schemas.openxmlformats.org/officeDocument/2006/relationships/hyperlink" Target="https://npiregistry.cms.hhs.gov/provider-view/1013157288" TargetMode="External"/><Relationship Id="rId1903" Type="http://schemas.openxmlformats.org/officeDocument/2006/relationships/hyperlink" Target="https://www.google.com/maps/search/?api=1&amp;query=Minnesota+Arthritis+Center%2C+PA%2C+2785+White+Bear+Ave+N%2C+Maplewood%2C+MN+55109" TargetMode="External"/><Relationship Id="rId3051" Type="http://schemas.openxmlformats.org/officeDocument/2006/relationships/hyperlink" Target="https://www.google.com/maps/search/?api=1&amp;query=Crossroads+Chiropractic+Clinic%2C+4544+County+Road+134%2C+St.+Cloud%2C+MN+56303" TargetMode="External"/><Relationship Id="rId4102" Type="http://schemas.openxmlformats.org/officeDocument/2006/relationships/hyperlink" Target="https://npiregistry.cms.hhs.gov/provider-view/1235271859" TargetMode="External"/><Relationship Id="rId3868" Type="http://schemas.openxmlformats.org/officeDocument/2006/relationships/hyperlink" Target="https://npiregistry.cms.hhs.gov/provider-view/1275859159" TargetMode="External"/><Relationship Id="rId789" Type="http://schemas.openxmlformats.org/officeDocument/2006/relationships/hyperlink" Target="https://www.google.com/maps/search/?api=1&amp;query=West+Metro+Chiropractic+Clinic%2C+2756+Douglas+Dr+N%2C+Crystal%2C+MN+55422" TargetMode="External"/><Relationship Id="rId996" Type="http://schemas.openxmlformats.org/officeDocument/2006/relationships/hyperlink" Target="https://npiregistry.cms.hhs.gov/provider-view/1609097849" TargetMode="External"/><Relationship Id="rId2677" Type="http://schemas.openxmlformats.org/officeDocument/2006/relationships/hyperlink" Target="https://www.google.com/maps/search/?api=1&amp;query=Stillwater+Medical+Group%2C+1500+Curve+Crest+Blvd+W%2C+Stillwater%2C+MN+55082" TargetMode="External"/><Relationship Id="rId2884" Type="http://schemas.openxmlformats.org/officeDocument/2006/relationships/hyperlink" Target="https://npiregistry.cms.hhs.gov/provider-view/1821150178" TargetMode="External"/><Relationship Id="rId3728" Type="http://schemas.openxmlformats.org/officeDocument/2006/relationships/hyperlink" Target="https://npiregistry.cms.hhs.gov/provider-view/1740485911" TargetMode="External"/><Relationship Id="rId649" Type="http://schemas.openxmlformats.org/officeDocument/2006/relationships/hyperlink" Target="https://www.google.com/maps/search/?api=1&amp;query=Lindberg+Chiropractic%2C+200+W+98th+St%2C+Bloomington%2C+MN+55420" TargetMode="External"/><Relationship Id="rId856" Type="http://schemas.openxmlformats.org/officeDocument/2006/relationships/hyperlink" Target="https://npiregistry.cms.hhs.gov/provider-view/1417494196" TargetMode="External"/><Relationship Id="rId1279" Type="http://schemas.openxmlformats.org/officeDocument/2006/relationships/hyperlink" Target="https://www.google.com/maps/search/?api=1&amp;query=Health+1st+Chiropractic%2C+LTD.%2C+2800+Chicago+Avenue+South%2C+Minneapolis%2C+MN+55407" TargetMode="External"/><Relationship Id="rId1486" Type="http://schemas.openxmlformats.org/officeDocument/2006/relationships/hyperlink" Target="https://npiregistry.cms.hhs.gov/provider-view/1891035671" TargetMode="External"/><Relationship Id="rId2537" Type="http://schemas.openxmlformats.org/officeDocument/2006/relationships/hyperlink" Target="https://www.google.com/maps/search/?api=1&amp;query=Lifespan+Health+Consultants%2C+13299+Hudson+Rd+S%2C+Afton%2C+MN+55001" TargetMode="External"/><Relationship Id="rId3935" Type="http://schemas.openxmlformats.org/officeDocument/2006/relationships/hyperlink" Target="https://www.google.com/maps/search/?api=1&amp;query=Healthcare+Campus+Imaging+One%2C+LLC%2C+200+State+Ave%2C+Faribault%2C+MN+55021" TargetMode="External"/><Relationship Id="rId509" Type="http://schemas.openxmlformats.org/officeDocument/2006/relationships/hyperlink" Target="https://www.google.com/maps/search/?api=1&amp;query=Well+Med%2C+PA%2C+2125+Upper+55th+St+E%2C+Inver+Grove+Heights%2C+MN+55077" TargetMode="External"/><Relationship Id="rId1139" Type="http://schemas.openxmlformats.org/officeDocument/2006/relationships/hyperlink" Target="https://www.google.com/maps/search/?api=1&amp;query=Minnesota+Bone+and+Joint+Specialists%2C+LTD%2C+9325+Upland+Ln+N%2C+Maple+Grove%2C+MN+55369" TargetMode="External"/><Relationship Id="rId1346" Type="http://schemas.openxmlformats.org/officeDocument/2006/relationships/hyperlink" Target="https://npiregistry.cms.hhs.gov/provider-view/1700266392" TargetMode="External"/><Relationship Id="rId1693" Type="http://schemas.openxmlformats.org/officeDocument/2006/relationships/hyperlink" Target="https://www.google.com/maps/search/?api=1&amp;query=Cebter+For+Spinal+Decompression%2C+4080+W+Broadway+Ave%2C+Robbinsdale%2C+MN+55422" TargetMode="External"/><Relationship Id="rId2744" Type="http://schemas.openxmlformats.org/officeDocument/2006/relationships/hyperlink" Target="https://npiregistry.cms.hhs.gov/provider-view/1760614242" TargetMode="External"/><Relationship Id="rId2951" Type="http://schemas.openxmlformats.org/officeDocument/2006/relationships/hyperlink" Target="https://www.google.com/maps/search/?api=1&amp;query=Pierz+Chiropractic+Center%2C+PC%2C+129+S+Main+St%2C+Pierz%2C+MN+56364" TargetMode="External"/><Relationship Id="rId716" Type="http://schemas.openxmlformats.org/officeDocument/2006/relationships/hyperlink" Target="https://npiregistry.cms.hhs.gov/provider-view/1356406540" TargetMode="External"/><Relationship Id="rId923" Type="http://schemas.openxmlformats.org/officeDocument/2006/relationships/hyperlink" Target="https://www.google.com/maps/search/?api=1&amp;query=Integrated+Medical+Rehabilitation+of+MN%2C+LLC%2C+7250+France+Ave+S%2C+Edina%2C+MN+55435" TargetMode="External"/><Relationship Id="rId1553" Type="http://schemas.openxmlformats.org/officeDocument/2006/relationships/hyperlink" Target="https://www.google.com/maps/search/?api=1&amp;query=The+Art+of+Healing+Dr.+Megan+L.+Rheingans+PLLC%2C+10901+Red+Circle+Dr%2C+Minnetonka%2C+MN+55343" TargetMode="External"/><Relationship Id="rId1760" Type="http://schemas.openxmlformats.org/officeDocument/2006/relationships/hyperlink" Target="https://npiregistry.cms.hhs.gov/provider-view/1790933166" TargetMode="External"/><Relationship Id="rId2604" Type="http://schemas.openxmlformats.org/officeDocument/2006/relationships/hyperlink" Target="https://npiregistry.cms.hhs.gov/provider-view/1003106048" TargetMode="External"/><Relationship Id="rId2811" Type="http://schemas.openxmlformats.org/officeDocument/2006/relationships/hyperlink" Target="https://www.google.com/maps/search/?api=1&amp;query=Western+Orthopaedics+%26+Sports+Medicine+Consultants%2C+900+6th+St%2C+Howard+Lake%2C+MN+55349" TargetMode="External"/><Relationship Id="rId52" Type="http://schemas.openxmlformats.org/officeDocument/2006/relationships/hyperlink" Target="https://npiregistry.cms.hhs.gov/provider-view/1962738443" TargetMode="External"/><Relationship Id="rId1206" Type="http://schemas.openxmlformats.org/officeDocument/2006/relationships/hyperlink" Target="https://npiregistry.cms.hhs.gov/provider-view/1487883435" TargetMode="External"/><Relationship Id="rId1413" Type="http://schemas.openxmlformats.org/officeDocument/2006/relationships/hyperlink" Target="https://www.google.com/maps/search/?api=1&amp;query=Rehabilitation+Professionals%2C+INC%2C+3009+Garfield+Ave%2C+Minneapolis%2C+MN+55408" TargetMode="External"/><Relationship Id="rId1620" Type="http://schemas.openxmlformats.org/officeDocument/2006/relationships/hyperlink" Target="https://npiregistry.cms.hhs.gov/provider-view/1538359302" TargetMode="External"/><Relationship Id="rId3378" Type="http://schemas.openxmlformats.org/officeDocument/2006/relationships/hyperlink" Target="https://npiregistry.cms.hhs.gov/provider-view/1265517809" TargetMode="External"/><Relationship Id="rId3585" Type="http://schemas.openxmlformats.org/officeDocument/2006/relationships/hyperlink" Target="https://www.google.com/maps/search/?api=1&amp;query=Smith+Family+Chiropractic%2C+INC.%2C+104+W+Lincoln+Ave%2C+Fergus+Falls%2C+MN+56537" TargetMode="External"/><Relationship Id="rId3792" Type="http://schemas.openxmlformats.org/officeDocument/2006/relationships/hyperlink" Target="https://npiregistry.cms.hhs.gov/provider-view/1861964314" TargetMode="External"/><Relationship Id="rId299" Type="http://schemas.openxmlformats.org/officeDocument/2006/relationships/hyperlink" Target="https://www.google.com/maps/search/?api=1&amp;query=Comprehensive+Health+%26+Wellness+PC%2C+7668+150th+St+W%2C+Apple+Valley%2C+MN+55124" TargetMode="External"/><Relationship Id="rId2187" Type="http://schemas.openxmlformats.org/officeDocument/2006/relationships/hyperlink" Target="https://www.google.com/maps/search/?api=1&amp;query=Maverick+Physiotherapy+LLC%2C+155+Eaton+St%2C+St.+Paul%2C+MN+55107" TargetMode="External"/><Relationship Id="rId2394" Type="http://schemas.openxmlformats.org/officeDocument/2006/relationships/hyperlink" Target="https://npiregistry.cms.hhs.gov/provider-view/1497872360" TargetMode="External"/><Relationship Id="rId3238" Type="http://schemas.openxmlformats.org/officeDocument/2006/relationships/hyperlink" Target="https://npiregistry.cms.hhs.gov/provider-view/1578668786" TargetMode="External"/><Relationship Id="rId3445" Type="http://schemas.openxmlformats.org/officeDocument/2006/relationships/hyperlink" Target="https://www.google.com/maps/search/?api=1&amp;query=Premier+Physical+Healthcare+PLLC%2C+115+W+Howard+St%2C+Hibbing%2C+MN+55746" TargetMode="External"/><Relationship Id="rId3652" Type="http://schemas.openxmlformats.org/officeDocument/2006/relationships/hyperlink" Target="https://npiregistry.cms.hhs.gov/provider-view/1093961401" TargetMode="External"/><Relationship Id="rId159" Type="http://schemas.openxmlformats.org/officeDocument/2006/relationships/hyperlink" Target="https://www.google.com/maps/search/?api=1&amp;query=Performance+Sports+Chiropractic+Center%2C+8310+147th+Ave+NW%2C+Ramsey%2C+MN+55303" TargetMode="External"/><Relationship Id="rId366" Type="http://schemas.openxmlformats.org/officeDocument/2006/relationships/hyperlink" Target="https://npiregistry.cms.hhs.gov/provider-view/1548478480" TargetMode="External"/><Relationship Id="rId573" Type="http://schemas.openxmlformats.org/officeDocument/2006/relationships/hyperlink" Target="https://www.google.com/maps/search/?api=1&amp;query=Rapp+Chiropractic+LLC%2C+15170+Chippendale+Ave+W%2C+Rosemount%2C+MN+55068" TargetMode="External"/><Relationship Id="rId780" Type="http://schemas.openxmlformats.org/officeDocument/2006/relationships/hyperlink" Target="https://npiregistry.cms.hhs.gov/provider-view/1013101534" TargetMode="External"/><Relationship Id="rId2047" Type="http://schemas.openxmlformats.org/officeDocument/2006/relationships/hyperlink" Target="https://www.google.com/maps/search/?api=1&amp;query=Arcade+Pain+Center%2C+PLLC.%2C+651+Arcade+St%2C+St.+Paul%2C+MN+55106" TargetMode="External"/><Relationship Id="rId2254" Type="http://schemas.openxmlformats.org/officeDocument/2006/relationships/hyperlink" Target="https://npiregistry.cms.hhs.gov/provider-view/1780911578" TargetMode="External"/><Relationship Id="rId2461" Type="http://schemas.openxmlformats.org/officeDocument/2006/relationships/hyperlink" Target="https://www.google.com/maps/search/?api=1&amp;query=Plcc%2C+LTD%2C+14020+Highway+13+S%2C+Savage%2C+MN+55378" TargetMode="External"/><Relationship Id="rId3305" Type="http://schemas.openxmlformats.org/officeDocument/2006/relationships/hyperlink" Target="https://www.google.com/maps/search/?api=1&amp;query=Lighthouse+Chiropractic+Cllinic%2C+PLLC%2C+2412+NE.+27th+Avenue%2C+Grand+Rapids%2C+MN+55744" TargetMode="External"/><Relationship Id="rId3512" Type="http://schemas.openxmlformats.org/officeDocument/2006/relationships/hyperlink" Target="https://npiregistry.cms.hhs.gov/provider-view/1225790223" TargetMode="External"/><Relationship Id="rId226" Type="http://schemas.openxmlformats.org/officeDocument/2006/relationships/hyperlink" Target="https://npiregistry.cms.hhs.gov/provider-view/1760849020" TargetMode="External"/><Relationship Id="rId433" Type="http://schemas.openxmlformats.org/officeDocument/2006/relationships/hyperlink" Target="https://www.google.com/maps/search/?api=1&amp;query=Haus+Sports+Chiropractics%2C+LLC%2C+2645+Vikings+Cir%2C+Eagan%2C+MN+55121" TargetMode="External"/><Relationship Id="rId1063" Type="http://schemas.openxmlformats.org/officeDocument/2006/relationships/hyperlink" Target="https://www.google.com/maps/search/?api=1&amp;query=Twin+Cities+Neurosurgery%2Cpllc%2C+4440+Tyrol+Crst%2C+Golden+Valley%2C+MN+55416" TargetMode="External"/><Relationship Id="rId1270" Type="http://schemas.openxmlformats.org/officeDocument/2006/relationships/hyperlink" Target="https://npiregistry.cms.hhs.gov/provider-view/1255573135" TargetMode="External"/><Relationship Id="rId2114" Type="http://schemas.openxmlformats.org/officeDocument/2006/relationships/hyperlink" Target="https://npiregistry.cms.hhs.gov/provider-view/1053885822" TargetMode="External"/><Relationship Id="rId640" Type="http://schemas.openxmlformats.org/officeDocument/2006/relationships/hyperlink" Target="https://npiregistry.cms.hhs.gov/provider-view/1114114642" TargetMode="External"/><Relationship Id="rId2321" Type="http://schemas.openxmlformats.org/officeDocument/2006/relationships/hyperlink" Target="https://www.google.com/maps/search/?api=1&amp;query=Xpress+Urgent+Care+PLLC%2C+441+University+Ave+W%2C+St.+Paul%2C+MN+55103" TargetMode="External"/><Relationship Id="rId4079" Type="http://schemas.openxmlformats.org/officeDocument/2006/relationships/hyperlink" Target="https://www.google.com/maps/search/?api=1&amp;query=Align+Family+Chiropractic+LLC%2C+117+W+Hughes+Street%2C+Tyler%2C+MN+56178" TargetMode="External"/><Relationship Id="rId500" Type="http://schemas.openxmlformats.org/officeDocument/2006/relationships/hyperlink" Target="https://npiregistry.cms.hhs.gov/provider-view/1962948208" TargetMode="External"/><Relationship Id="rId1130" Type="http://schemas.openxmlformats.org/officeDocument/2006/relationships/hyperlink" Target="https://npiregistry.cms.hhs.gov/provider-view/1730112053" TargetMode="External"/><Relationship Id="rId1947" Type="http://schemas.openxmlformats.org/officeDocument/2006/relationships/hyperlink" Target="https://www.google.com/maps/search/?api=1&amp;query=Advanced+Chiropractic+%26+Wellness%2C+PA.%2C+1752+Lexington+Ave+N%2C+Roseville%2C+MN+55113" TargetMode="External"/><Relationship Id="rId3095" Type="http://schemas.openxmlformats.org/officeDocument/2006/relationships/hyperlink" Target="https://www.google.com/maps/search/?api=1&amp;query=Chiropractic+Connection+PLLC%2C+2103+Frontage+Rd+N%2C+Waite+Park%2C+MN+56387" TargetMode="External"/><Relationship Id="rId4146" Type="http://schemas.openxmlformats.org/officeDocument/2006/relationships/hyperlink" Target="https://npiregistry.cms.hhs.gov/provider-view/1073940771" TargetMode="External"/><Relationship Id="rId1807" Type="http://schemas.openxmlformats.org/officeDocument/2006/relationships/hyperlink" Target="https://www.google.com/maps/search/?api=1&amp;query=Schroeder+Chiropractic%2C+PLLC%2C+5801+Cedar+Lake+Rd+S%2C+St.+Louis+Park%2C+MN+55416" TargetMode="External"/><Relationship Id="rId3162" Type="http://schemas.openxmlformats.org/officeDocument/2006/relationships/hyperlink" Target="https://npiregistry.cms.hhs.gov/provider-view/1821499864" TargetMode="External"/><Relationship Id="rId4006" Type="http://schemas.openxmlformats.org/officeDocument/2006/relationships/hyperlink" Target="https://npiregistry.cms.hhs.gov/provider-view/1386860351" TargetMode="External"/><Relationship Id="rId290" Type="http://schemas.openxmlformats.org/officeDocument/2006/relationships/hyperlink" Target="https://npiregistry.cms.hhs.gov/provider-view/1528108883" TargetMode="External"/><Relationship Id="rId3022" Type="http://schemas.openxmlformats.org/officeDocument/2006/relationships/hyperlink" Target="https://npiregistry.cms.hhs.gov/provider-view/1982919395" TargetMode="External"/><Relationship Id="rId150" Type="http://schemas.openxmlformats.org/officeDocument/2006/relationships/hyperlink" Target="https://npiregistry.cms.hhs.gov/provider-view/1174843981" TargetMode="External"/><Relationship Id="rId3979" Type="http://schemas.openxmlformats.org/officeDocument/2006/relationships/hyperlink" Target="https://www.google.com/maps/search/?api=1&amp;query=In+Touch+Physical+Therapy%2C+INC.%2C+123+W+Broadway+St%2C+Owatonna%2C+MN+55060" TargetMode="External"/><Relationship Id="rId2788" Type="http://schemas.openxmlformats.org/officeDocument/2006/relationships/hyperlink" Target="https://npiregistry.cms.hhs.gov/provider-view/1275796153" TargetMode="External"/><Relationship Id="rId2995" Type="http://schemas.openxmlformats.org/officeDocument/2006/relationships/hyperlink" Target="https://www.google.com/maps/search/?api=1&amp;query=Demuth+Spinal+Care+%26+Concussion+Center%2C+71+County+Road+120%2C+Sartell%2C+MN+56303" TargetMode="External"/><Relationship Id="rId3839" Type="http://schemas.openxmlformats.org/officeDocument/2006/relationships/hyperlink" Target="https://www.google.com/maps/search/?api=1&amp;query=Erickson+Family+Chiropractic%2C+314+Main+St+E%2C+New+Prague%2C+MN+56071" TargetMode="External"/><Relationship Id="rId967" Type="http://schemas.openxmlformats.org/officeDocument/2006/relationships/hyperlink" Target="https://www.google.com/maps/search/?api=1&amp;query=Premier+Spine+and+Pain+Clinics%2C+7450+France+Ave+S%2C+Edina%2C+MN+55435" TargetMode="External"/><Relationship Id="rId1597" Type="http://schemas.openxmlformats.org/officeDocument/2006/relationships/hyperlink" Target="https://www.google.com/maps/search/?api=1&amp;query=Cornerstone+Chiropractic+%26+Rehabilitation+Clinic%2C+10850+County+Road+15%2C+Plymouth%2C+MN+55441" TargetMode="External"/><Relationship Id="rId2648" Type="http://schemas.openxmlformats.org/officeDocument/2006/relationships/hyperlink" Target="https://npiregistry.cms.hhs.gov/provider-view/1720608367" TargetMode="External"/><Relationship Id="rId2855" Type="http://schemas.openxmlformats.org/officeDocument/2006/relationships/hyperlink" Target="https://www.google.com/maps/search/?api=1&amp;query=Adjust+To+Wellness%2C+PLLC%2C+202+5T+Street+N%2C+Waverly%2C+MN+55390" TargetMode="External"/><Relationship Id="rId3906" Type="http://schemas.openxmlformats.org/officeDocument/2006/relationships/hyperlink" Target="https://npiregistry.cms.hhs.gov/provider-view/1174883151" TargetMode="External"/><Relationship Id="rId96" Type="http://schemas.openxmlformats.org/officeDocument/2006/relationships/hyperlink" Target="https://npiregistry.cms.hhs.gov/provider-view/1063546224" TargetMode="External"/><Relationship Id="rId827" Type="http://schemas.openxmlformats.org/officeDocument/2006/relationships/hyperlink" Target="https://www.google.com/maps/search/?api=1&amp;query=Innate+Ability+Chiropractic%2C+LLC%2C+6520+Edenvale+Blvd%2C+Eden+Prairie%2C+MN+55346" TargetMode="External"/><Relationship Id="rId1457" Type="http://schemas.openxmlformats.org/officeDocument/2006/relationships/hyperlink" Target="https://www.google.com/maps/search/?api=1&amp;query=Team+Chiropractic%2C+INC.%2C+3455+4th+Ave+S%2C+Minneapolis%2C+MN+55408" TargetMode="External"/><Relationship Id="rId1664" Type="http://schemas.openxmlformats.org/officeDocument/2006/relationships/hyperlink" Target="https://npiregistry.cms.hhs.gov/provider-view/1477757409" TargetMode="External"/><Relationship Id="rId1871" Type="http://schemas.openxmlformats.org/officeDocument/2006/relationships/hyperlink" Target="https://www.google.com/maps/search/?api=1&amp;query=Isanti+Chiropractic+Clinic%2C+PA%2C+118+W.+Main+Street%2C+Isanti%2C+MN+55040" TargetMode="External"/><Relationship Id="rId2508" Type="http://schemas.openxmlformats.org/officeDocument/2006/relationships/hyperlink" Target="https://npiregistry.cms.hhs.gov/provider-view/1396775110" TargetMode="External"/><Relationship Id="rId2715" Type="http://schemas.openxmlformats.org/officeDocument/2006/relationships/hyperlink" Target="https://www.google.com/maps/search/?api=1&amp;query=Mindset+Chiropractic%2C+7475+Tamarack+Rd%2C+Woodbury%2C+MN+55125" TargetMode="External"/><Relationship Id="rId2922" Type="http://schemas.openxmlformats.org/officeDocument/2006/relationships/hyperlink" Target="https://npiregistry.cms.hhs.gov/provider-view/1164585931" TargetMode="External"/><Relationship Id="rId4070" Type="http://schemas.openxmlformats.org/officeDocument/2006/relationships/hyperlink" Target="https://npiregistry.cms.hhs.gov/provider-view/1417260779" TargetMode="External"/><Relationship Id="rId1317" Type="http://schemas.openxmlformats.org/officeDocument/2006/relationships/hyperlink" Target="https://www.google.com/maps/search/?api=1&amp;query=Lake+Nicollet+Clinic%2C+PA%2C+1+West+Lake+Street%2C+Minneapolis%2C+MN+55408" TargetMode="External"/><Relationship Id="rId1524" Type="http://schemas.openxmlformats.org/officeDocument/2006/relationships/hyperlink" Target="https://npiregistry.cms.hhs.gov/provider-view/1164899795" TargetMode="External"/><Relationship Id="rId1731" Type="http://schemas.openxmlformats.org/officeDocument/2006/relationships/hyperlink" Target="https://www.google.com/maps/search/?api=1&amp;query=Lifetime+Chiropractic+PA%2C+19905+Highway+7%2C+Shorewood%2C+MN+55331" TargetMode="External"/><Relationship Id="rId23" Type="http://schemas.openxmlformats.org/officeDocument/2006/relationships/hyperlink" Target="https://www.google.com/maps/search/?api=1&amp;query=North+Country+Chiropractic%2C+2321+7th+Ave+N%2C+Anoka%2C+MN+55303" TargetMode="External"/><Relationship Id="rId3489" Type="http://schemas.openxmlformats.org/officeDocument/2006/relationships/hyperlink" Target="https://www.google.com/maps/search/?api=1&amp;query=Mcintosh+Family+Chiropractic%2C+250+Cleveland+Ave%2C+Mcintosh%2C+MN+56556" TargetMode="External"/><Relationship Id="rId3696" Type="http://schemas.openxmlformats.org/officeDocument/2006/relationships/hyperlink" Target="https://npiregistry.cms.hhs.gov/provider-view/1316009681" TargetMode="External"/><Relationship Id="rId2298" Type="http://schemas.openxmlformats.org/officeDocument/2006/relationships/hyperlink" Target="https://npiregistry.cms.hhs.gov/provider-view/1649448564" TargetMode="External"/><Relationship Id="rId3349" Type="http://schemas.openxmlformats.org/officeDocument/2006/relationships/hyperlink" Target="https://www.google.com/maps/search/?api=1&amp;query=John+W.+Pepelnjak+Chiropractic+Clinic%2C+INC.%2C+408+17th+Ave%2C+Two+Harbors%2C+MN+55616" TargetMode="External"/><Relationship Id="rId3556" Type="http://schemas.openxmlformats.org/officeDocument/2006/relationships/hyperlink" Target="https://npiregistry.cms.hhs.gov/provider-view/1194804708" TargetMode="External"/><Relationship Id="rId477" Type="http://schemas.openxmlformats.org/officeDocument/2006/relationships/hyperlink" Target="https://www.google.com/maps/search/?api=1&amp;query=Imperial+Family+Chiropractic%2C+PLLC%2C+19685+Pilot+Knob+Rd%2C+Farmington%2C+MN+55024" TargetMode="External"/><Relationship Id="rId684" Type="http://schemas.openxmlformats.org/officeDocument/2006/relationships/hyperlink" Target="https://npiregistry.cms.hhs.gov/provider-view/1952630691" TargetMode="External"/><Relationship Id="rId2158" Type="http://schemas.openxmlformats.org/officeDocument/2006/relationships/hyperlink" Target="https://npiregistry.cms.hhs.gov/provider-view/1609106582" TargetMode="External"/><Relationship Id="rId2365" Type="http://schemas.openxmlformats.org/officeDocument/2006/relationships/hyperlink" Target="https://www.google.com/maps/search/?api=1&amp;query=Lux+Family+Chiropractic%2C+1310+Highway+96+E%2C+White+Bear+Lake%2C+MN+55110" TargetMode="External"/><Relationship Id="rId3209" Type="http://schemas.openxmlformats.org/officeDocument/2006/relationships/hyperlink" Target="https://www.google.com/maps/search/?api=1&amp;query=Back+To+Basics+Chiropractic%2C+14213+Golf+Course+Rd%2C+Baxter%2C+MN+56425" TargetMode="External"/><Relationship Id="rId3763" Type="http://schemas.openxmlformats.org/officeDocument/2006/relationships/hyperlink" Target="https://www.google.com/maps/search/?api=1&amp;query=Elmore+Family+Chiropractic+INC%2C+504+S+Mantorville+Ave%2C+Kasson%2C+MN+55944" TargetMode="External"/><Relationship Id="rId3970" Type="http://schemas.openxmlformats.org/officeDocument/2006/relationships/hyperlink" Target="https://npiregistry.cms.hhs.gov/provider-view/1487759684" TargetMode="External"/><Relationship Id="rId337" Type="http://schemas.openxmlformats.org/officeDocument/2006/relationships/hyperlink" Target="https://www.google.com/maps/search/?api=1&amp;query=Burnsville+Family+Chiropractic%2C+13786+Frontier+Ct%2C+Burnsville%2C+MN+55337" TargetMode="External"/><Relationship Id="rId891" Type="http://schemas.openxmlformats.org/officeDocument/2006/relationships/hyperlink" Target="https://www.google.com/maps/search/?api=1&amp;query=Cardinal+Family+Chiropractic%2C+LTD.%2C+7701+York+Ave+S%2C+Edina%2C+MN+55435" TargetMode="External"/><Relationship Id="rId2018" Type="http://schemas.openxmlformats.org/officeDocument/2006/relationships/hyperlink" Target="https://npiregistry.cms.hhs.gov/provider-view/1245536150" TargetMode="External"/><Relationship Id="rId2572" Type="http://schemas.openxmlformats.org/officeDocument/2006/relationships/hyperlink" Target="https://npiregistry.cms.hhs.gov/provider-view/1619982022" TargetMode="External"/><Relationship Id="rId3416" Type="http://schemas.openxmlformats.org/officeDocument/2006/relationships/hyperlink" Target="https://npiregistry.cms.hhs.gov/provider-view/1639274137" TargetMode="External"/><Relationship Id="rId3623" Type="http://schemas.openxmlformats.org/officeDocument/2006/relationships/hyperlink" Target="https://www.google.com/maps/search/?api=1&amp;query=Burud+Chiropractic%2C+1325+Highway+75+N%2C+Breckenridge%2C+MN+56520" TargetMode="External"/><Relationship Id="rId3830" Type="http://schemas.openxmlformats.org/officeDocument/2006/relationships/hyperlink" Target="https://npiregistry.cms.hhs.gov/provider-view/1508043688" TargetMode="External"/><Relationship Id="rId544" Type="http://schemas.openxmlformats.org/officeDocument/2006/relationships/hyperlink" Target="https://npiregistry.cms.hhs.gov/provider-view/1043761133" TargetMode="External"/><Relationship Id="rId751" Type="http://schemas.openxmlformats.org/officeDocument/2006/relationships/hyperlink" Target="https://www.google.com/maps/search/?api=1&amp;query=The+Walton+Clinic%2C+LTD%2C+6264+Boone+Ave+N%2C+Brooklyn+Park%2C+MN+55428" TargetMode="External"/><Relationship Id="rId1174" Type="http://schemas.openxmlformats.org/officeDocument/2006/relationships/hyperlink" Target="https://npiregistry.cms.hhs.gov/provider-view/1013355478" TargetMode="External"/><Relationship Id="rId1381" Type="http://schemas.openxmlformats.org/officeDocument/2006/relationships/hyperlink" Target="https://www.google.com/maps/search/?api=1&amp;query=Natural+Health+%26rehabilitation%2C+PA.%2C+2700+E+28th+St%2C+Minneapolis%2C+MN+55406" TargetMode="External"/><Relationship Id="rId2225" Type="http://schemas.openxmlformats.org/officeDocument/2006/relationships/hyperlink" Target="https://www.google.com/maps/search/?api=1&amp;query=Premier+Health+of+Roseville%2C+LTD%2C+1601+Larpenteur+Ave%2C+St.+Paul%2C+MN+55113" TargetMode="External"/><Relationship Id="rId2432" Type="http://schemas.openxmlformats.org/officeDocument/2006/relationships/hyperlink" Target="https://npiregistry.cms.hhs.gov/provider-view/1902096167" TargetMode="External"/><Relationship Id="rId404" Type="http://schemas.openxmlformats.org/officeDocument/2006/relationships/hyperlink" Target="https://npiregistry.cms.hhs.gov/provider-view/1114206414" TargetMode="External"/><Relationship Id="rId611" Type="http://schemas.openxmlformats.org/officeDocument/2006/relationships/hyperlink" Target="https://www.google.com/maps/search/?api=1&amp;query=Bodyworks+Physical+Therapy+INC%2C+8120+Penn+Avenue+South%2C+Bloomington%2C+MN+55431" TargetMode="External"/><Relationship Id="rId1034" Type="http://schemas.openxmlformats.org/officeDocument/2006/relationships/hyperlink" Target="https://npiregistry.cms.hhs.gov/provider-view/1215275383" TargetMode="External"/><Relationship Id="rId1241" Type="http://schemas.openxmlformats.org/officeDocument/2006/relationships/hyperlink" Target="https://www.google.com/maps/search/?api=1&amp;query=Cwm+Chiropractic%2C+1222+2nd+St+NE%2C+Minneapolis%2C+MN+55413" TargetMode="External"/><Relationship Id="rId1101" Type="http://schemas.openxmlformats.org/officeDocument/2006/relationships/hyperlink" Target="https://www.google.com/maps/search/?api=1&amp;query=Arbor+Lakes+Chiropractic+Center+PA.%2C+7835+Main+St%2C+Maple+Grove%2C+MN+55369" TargetMode="External"/><Relationship Id="rId3066" Type="http://schemas.openxmlformats.org/officeDocument/2006/relationships/hyperlink" Target="https://npiregistry.cms.hhs.gov/provider-view/1821031287" TargetMode="External"/><Relationship Id="rId3273" Type="http://schemas.openxmlformats.org/officeDocument/2006/relationships/hyperlink" Target="https://www.google.com/maps/search/?api=1&amp;query=Inmotion+Physical+Therapy+LLC%2C+5384+Country+Care+Ln%2C+Pequot+Lakes%2C+MN+56472" TargetMode="External"/><Relationship Id="rId3480" Type="http://schemas.openxmlformats.org/officeDocument/2006/relationships/hyperlink" Target="https://npiregistry.cms.hhs.gov/provider-view/1811076086" TargetMode="External"/><Relationship Id="rId4117" Type="http://schemas.openxmlformats.org/officeDocument/2006/relationships/hyperlink" Target="https://www.google.com/maps/search/?api=1&amp;query=Dynamic+Health+Chiropractic%2C+LTD.%2C+220+W+Main+St%2C+Pipestone%2C+MN+56164" TargetMode="External"/><Relationship Id="rId194" Type="http://schemas.openxmlformats.org/officeDocument/2006/relationships/hyperlink" Target="https://npiregistry.cms.hhs.gov/provider-view/1790994507" TargetMode="External"/><Relationship Id="rId1918" Type="http://schemas.openxmlformats.org/officeDocument/2006/relationships/hyperlink" Target="https://npiregistry.cms.hhs.gov/provider-view/1801912530" TargetMode="External"/><Relationship Id="rId2082" Type="http://schemas.openxmlformats.org/officeDocument/2006/relationships/hyperlink" Target="https://npiregistry.cms.hhs.gov/provider-view/1376166496" TargetMode="External"/><Relationship Id="rId3133" Type="http://schemas.openxmlformats.org/officeDocument/2006/relationships/hyperlink" Target="https://www.google.com/maps/search/?api=1&amp;query=Lakeland+Chiropractic+Clinic%2C+119+Graystone+Plz%2C+Detroit+Lakes%2C+MN+56501" TargetMode="External"/><Relationship Id="rId261" Type="http://schemas.openxmlformats.org/officeDocument/2006/relationships/hyperlink" Target="https://www.google.com/maps/search/?api=1&amp;query=Lindstrom+Chiropractic+Center%2C+PA.%2C+12099+Lake+Blvd%2C+Lindstrom%2C+MN+55045" TargetMode="External"/><Relationship Id="rId3340" Type="http://schemas.openxmlformats.org/officeDocument/2006/relationships/hyperlink" Target="https://npiregistry.cms.hhs.gov/provider-view/1679668933" TargetMode="External"/><Relationship Id="rId2899" Type="http://schemas.openxmlformats.org/officeDocument/2006/relationships/hyperlink" Target="https://www.google.com/maps/search/?api=1&amp;query=Mcleod+County+Chiropractic+Centre+PA%2C+980+Echo+Dr+SE%2C+Hutchinson%2C+MN+55350" TargetMode="External"/><Relationship Id="rId3200" Type="http://schemas.openxmlformats.org/officeDocument/2006/relationships/hyperlink" Target="https://npiregistry.cms.hhs.gov/provider-view/1033421029" TargetMode="External"/><Relationship Id="rId121" Type="http://schemas.openxmlformats.org/officeDocument/2006/relationships/hyperlink" Target="https://www.google.com/maps/search/?api=1&amp;query=Therapy+Partners+INC%2C+146+Lake+St+N%2C+Forest+Lake%2C+MN+55025" TargetMode="External"/><Relationship Id="rId2759" Type="http://schemas.openxmlformats.org/officeDocument/2006/relationships/hyperlink" Target="https://www.google.com/maps/search/?api=1&amp;query=Apex+Chiropractic+of+Albertville%2C+5676+La+Centre+Ave%2C+Albertville%2C+MN+55301" TargetMode="External"/><Relationship Id="rId2966" Type="http://schemas.openxmlformats.org/officeDocument/2006/relationships/hyperlink" Target="https://npiregistry.cms.hhs.gov/provider-view/1609241447" TargetMode="External"/><Relationship Id="rId938" Type="http://schemas.openxmlformats.org/officeDocument/2006/relationships/hyperlink" Target="https://npiregistry.cms.hhs.gov/provider-view/1588611438" TargetMode="External"/><Relationship Id="rId1568" Type="http://schemas.openxmlformats.org/officeDocument/2006/relationships/hyperlink" Target="https://npiregistry.cms.hhs.gov/provider-view/1174870166" TargetMode="External"/><Relationship Id="rId1775" Type="http://schemas.openxmlformats.org/officeDocument/2006/relationships/hyperlink" Target="https://www.google.com/maps/search/?api=1&amp;query=Lifeclinic+PA%2C+5525+Cedar+Lake+Rd+S%2C+St.+Louis+Park%2C+MN+55416" TargetMode="External"/><Relationship Id="rId2619" Type="http://schemas.openxmlformats.org/officeDocument/2006/relationships/hyperlink" Target="https://www.google.com/maps/search/?api=1&amp;query=Parkview+Chiropractic+Clinic%2C+968+Inwood+Ave+N%2C+Oakdale%2C+MN+55128" TargetMode="External"/><Relationship Id="rId2826" Type="http://schemas.openxmlformats.org/officeDocument/2006/relationships/hyperlink" Target="https://npiregistry.cms.hhs.gov/provider-view/1730372509" TargetMode="External"/><Relationship Id="rId67" Type="http://schemas.openxmlformats.org/officeDocument/2006/relationships/hyperlink" Target="https://www.google.com/maps/search/?api=1&amp;query=Performance+Healthcare%2C+10130+Davenport+St+NE%2C+Blaine%2C+MN+55449" TargetMode="External"/><Relationship Id="rId1428" Type="http://schemas.openxmlformats.org/officeDocument/2006/relationships/hyperlink" Target="https://npiregistry.cms.hhs.gov/provider-view/1982820304" TargetMode="External"/><Relationship Id="rId1635" Type="http://schemas.openxmlformats.org/officeDocument/2006/relationships/hyperlink" Target="https://www.google.com/maps/search/?api=1&amp;query=Osborne+Chiropractic+PA%2C+4455+Highway+169+N%2C+Plymouth%2C+MN+55442" TargetMode="External"/><Relationship Id="rId1982" Type="http://schemas.openxmlformats.org/officeDocument/2006/relationships/hyperlink" Target="https://npiregistry.cms.hhs.gov/provider-view/1548639586" TargetMode="External"/><Relationship Id="rId4041" Type="http://schemas.openxmlformats.org/officeDocument/2006/relationships/hyperlink" Target="https://www.google.com/maps/search/?api=1&amp;query=Green+Lake+Chiropractic+Center%2C+194+Progress+Way%2C+Spicer%2C+MN+56288" TargetMode="External"/><Relationship Id="rId1842" Type="http://schemas.openxmlformats.org/officeDocument/2006/relationships/hyperlink" Target="https://npiregistry.cms.hhs.gov/provider-view/1083906978" TargetMode="External"/><Relationship Id="rId1702" Type="http://schemas.openxmlformats.org/officeDocument/2006/relationships/hyperlink" Target="https://npiregistry.cms.hhs.gov/provider-view/1932393295" TargetMode="External"/><Relationship Id="rId3667" Type="http://schemas.openxmlformats.org/officeDocument/2006/relationships/hyperlink" Target="https://www.google.com/maps/search/?api=1&amp;query=Newman+Chiropractic+and+Wellness+Center+LLC%2C+600+Reed+St%2C+Mankato%2C+MN+56001" TargetMode="External"/><Relationship Id="rId3874" Type="http://schemas.openxmlformats.org/officeDocument/2006/relationships/hyperlink" Target="https://npiregistry.cms.hhs.gov/provider-view/1588749261" TargetMode="External"/><Relationship Id="rId588" Type="http://schemas.openxmlformats.org/officeDocument/2006/relationships/hyperlink" Target="https://npiregistry.cms.hhs.gov/provider-view/1831387794" TargetMode="External"/><Relationship Id="rId795" Type="http://schemas.openxmlformats.org/officeDocument/2006/relationships/hyperlink" Target="https://www.google.com/maps/search/?api=1&amp;query=Athletept%2C+LLC%2C+7210+Washington+Ave+S%2C+Eden+Prairie%2C+MN+55344" TargetMode="External"/><Relationship Id="rId2269" Type="http://schemas.openxmlformats.org/officeDocument/2006/relationships/hyperlink" Target="https://www.google.com/maps/search/?api=1&amp;query=Summit+Orthopedics%2C+LTD%2C+280+Smith+Ave+N%2C+St.+Paul%2C+MN+55102" TargetMode="External"/><Relationship Id="rId2476" Type="http://schemas.openxmlformats.org/officeDocument/2006/relationships/hyperlink" Target="https://npiregistry.cms.hhs.gov/provider-view/1366910440" TargetMode="External"/><Relationship Id="rId2683" Type="http://schemas.openxmlformats.org/officeDocument/2006/relationships/hyperlink" Target="https://www.google.com/maps/search/?api=1&amp;query=Wellness+%26+Longevity+Center%2C+1530+Frontage+Rd+W%2C+Stillwater%2C+MN+55082" TargetMode="External"/><Relationship Id="rId2890" Type="http://schemas.openxmlformats.org/officeDocument/2006/relationships/hyperlink" Target="https://npiregistry.cms.hhs.gov/provider-view/1831301753" TargetMode="External"/><Relationship Id="rId3527" Type="http://schemas.openxmlformats.org/officeDocument/2006/relationships/hyperlink" Target="https://www.google.com/maps/search/?api=1&amp;query=Storlie+Family+Chiropractic%2C+PC.%2C+40+4th+St+N%2C+Moorhead%2C+MN+56560" TargetMode="External"/><Relationship Id="rId3734" Type="http://schemas.openxmlformats.org/officeDocument/2006/relationships/hyperlink" Target="https://npiregistry.cms.hhs.gov/provider-view/1023458577" TargetMode="External"/><Relationship Id="rId3941" Type="http://schemas.openxmlformats.org/officeDocument/2006/relationships/hyperlink" Target="https://www.google.com/maps/search/?api=1&amp;query=Minnesota+Therapy+Solutions%2C+120+Central+Ave+N%2C+Faribault%2C+MN+55021" TargetMode="External"/><Relationship Id="rId448" Type="http://schemas.openxmlformats.org/officeDocument/2006/relationships/hyperlink" Target="https://npiregistry.cms.hhs.gov/provider-view/1699106773" TargetMode="External"/><Relationship Id="rId655" Type="http://schemas.openxmlformats.org/officeDocument/2006/relationships/hyperlink" Target="https://www.google.com/maps/search/?api=1&amp;query=Multiple+Care+of+MN%2C+LLC%2C+8500+Normandale+Lake+Blvd%2C+Bloomington%2C+MN+55437" TargetMode="External"/><Relationship Id="rId862" Type="http://schemas.openxmlformats.org/officeDocument/2006/relationships/hyperlink" Target="https://npiregistry.cms.hhs.gov/provider-view/1114478005" TargetMode="External"/><Relationship Id="rId1078" Type="http://schemas.openxmlformats.org/officeDocument/2006/relationships/hyperlink" Target="https://npiregistry.cms.hhs.gov/provider-view/1780856633" TargetMode="External"/><Relationship Id="rId1285" Type="http://schemas.openxmlformats.org/officeDocument/2006/relationships/hyperlink" Target="https://www.google.com/maps/search/?api=1&amp;query=Healthy+Living+Chiropractic%2C+3940+Minnehaha+Ave%2C+Minneapolis%2C+MN+55406" TargetMode="External"/><Relationship Id="rId1492" Type="http://schemas.openxmlformats.org/officeDocument/2006/relationships/hyperlink" Target="https://npiregistry.cms.hhs.gov/provider-view/1740552124" TargetMode="External"/><Relationship Id="rId2129" Type="http://schemas.openxmlformats.org/officeDocument/2006/relationships/hyperlink" Target="https://www.google.com/maps/search/?api=1&amp;query=Finish+Line+Chiropractic%2C+400+Wabasha+St+N%2C+St.+Paul%2C+MN+55102" TargetMode="External"/><Relationship Id="rId2336" Type="http://schemas.openxmlformats.org/officeDocument/2006/relationships/hyperlink" Target="https://npiregistry.cms.hhs.gov/provider-view/1083897243" TargetMode="External"/><Relationship Id="rId2543" Type="http://schemas.openxmlformats.org/officeDocument/2006/relationships/hyperlink" Target="https://www.google.com/maps/search/?api=1&amp;query=Inspired+Chiropractic%2C+210+3rd+St+N%2C+Bayport%2C+MN+55003" TargetMode="External"/><Relationship Id="rId2750" Type="http://schemas.openxmlformats.org/officeDocument/2006/relationships/hyperlink" Target="https://npiregistry.cms.hhs.gov/provider-view/1811293657" TargetMode="External"/><Relationship Id="rId3801" Type="http://schemas.openxmlformats.org/officeDocument/2006/relationships/hyperlink" Target="https://www.google.com/maps/search/?api=1&amp;query=Health+Within+Chiropractic+and+Acupuncture%2C+217+Plum+St%2C+Red+Wing%2C+MN+55066" TargetMode="External"/><Relationship Id="rId308" Type="http://schemas.openxmlformats.org/officeDocument/2006/relationships/hyperlink" Target="https://npiregistry.cms.hhs.gov/provider-view/1497931513" TargetMode="External"/><Relationship Id="rId515" Type="http://schemas.openxmlformats.org/officeDocument/2006/relationships/hyperlink" Target="https://www.google.com/maps/search/?api=1&amp;query=Enlighten+Chiropractic+PC%2C+20772+Holyoke+Ave%2C+Lakeville%2C+MN+55044" TargetMode="External"/><Relationship Id="rId722" Type="http://schemas.openxmlformats.org/officeDocument/2006/relationships/hyperlink" Target="https://npiregistry.cms.hhs.gov/provider-view/1306175419" TargetMode="External"/><Relationship Id="rId1145" Type="http://schemas.openxmlformats.org/officeDocument/2006/relationships/hyperlink" Target="https://www.google.com/maps/search/?api=1&amp;query=Northstar+Neurological+Clinic%2C+PA.%2C+12000+Elm+Creek+Blvd+N%2C+Maple+Grove%2C+MN+55369" TargetMode="External"/><Relationship Id="rId1352" Type="http://schemas.openxmlformats.org/officeDocument/2006/relationships/hyperlink" Target="https://npiregistry.cms.hhs.gov/provider-view/1659609154" TargetMode="External"/><Relationship Id="rId2403" Type="http://schemas.openxmlformats.org/officeDocument/2006/relationships/hyperlink" Target="https://www.google.com/maps/search/?api=1&amp;query=Chirofit+Health+%26+Wellness%2C+3915+Trail+Point+Ct+NW%2C+Prior+Lake%2C+MN+55372" TargetMode="External"/><Relationship Id="rId1005" Type="http://schemas.openxmlformats.org/officeDocument/2006/relationships/hyperlink" Target="https://www.google.com/maps/search/?api=1&amp;query=Legend+Chiropractic%2C+LLC%2C+2467+Highway+7%2C+Excelsior%2C+MN+55331" TargetMode="External"/><Relationship Id="rId1212" Type="http://schemas.openxmlformats.org/officeDocument/2006/relationships/hyperlink" Target="https://npiregistry.cms.hhs.gov/provider-view/1841523347" TargetMode="External"/><Relationship Id="rId2610" Type="http://schemas.openxmlformats.org/officeDocument/2006/relationships/hyperlink" Target="https://npiregistry.cms.hhs.gov/provider-view/1417181330" TargetMode="External"/><Relationship Id="rId3177" Type="http://schemas.openxmlformats.org/officeDocument/2006/relationships/hyperlink" Target="https://www.google.com/maps/search/?api=1&amp;query=Walker+Family+Chiropractic+PSC.%2C+156+Kenwood+Cir+NE%2C+Bemidji%2C+MN+56601" TargetMode="External"/><Relationship Id="rId3037" Type="http://schemas.openxmlformats.org/officeDocument/2006/relationships/hyperlink" Target="https://www.google.com/maps/search/?api=1&amp;query=Allied+Chiropractic%2C+PA.%2C+1011+Second+Street+North%2C+St.+Cloud%2C+MN+56303" TargetMode="External"/><Relationship Id="rId3384" Type="http://schemas.openxmlformats.org/officeDocument/2006/relationships/hyperlink" Target="https://npiregistry.cms.hhs.gov/provider-view/1306043997" TargetMode="External"/><Relationship Id="rId3591" Type="http://schemas.openxmlformats.org/officeDocument/2006/relationships/hyperlink" Target="https://www.google.com/maps/search/?api=1&amp;query=Healthy+Balance+Chiropractic%2C+LLC%2C+801+Inman+St%2C+Henning%2C+MN+56551" TargetMode="External"/><Relationship Id="rId2193" Type="http://schemas.openxmlformats.org/officeDocument/2006/relationships/hyperlink" Target="https://www.google.com/maps/search/?api=1&amp;query=Michael+Dixon+Chiropractic%2C+PA%2C+1815+Suburban+Ave%2C+St.+Paul%2C+MN+55119" TargetMode="External"/><Relationship Id="rId3244" Type="http://schemas.openxmlformats.org/officeDocument/2006/relationships/hyperlink" Target="https://npiregistry.cms.hhs.gov/provider-view/1477925998" TargetMode="External"/><Relationship Id="rId3451" Type="http://schemas.openxmlformats.org/officeDocument/2006/relationships/hyperlink" Target="https://www.google.com/maps/search/?api=1&amp;query=Vechell-Michaels+Chiropractic+Clinic%2C+115+W+Howard+St%2C+Hibbing%2C+MN+55746" TargetMode="External"/><Relationship Id="rId165" Type="http://schemas.openxmlformats.org/officeDocument/2006/relationships/hyperlink" Target="https://www.google.com/maps/search/?api=1&amp;query=Sourcepoint+Chiropractic+and+Wellness+Center%2C+LLC%2C+405+Ash+St%2C+Shoreview%2C+MN+55126" TargetMode="External"/><Relationship Id="rId372" Type="http://schemas.openxmlformats.org/officeDocument/2006/relationships/hyperlink" Target="https://npiregistry.cms.hhs.gov/provider-view/1477682110" TargetMode="External"/><Relationship Id="rId2053" Type="http://schemas.openxmlformats.org/officeDocument/2006/relationships/hyperlink" Target="https://www.google.com/maps/search/?api=1&amp;query=Barb+Gettel+Chiropractic+PA.%2C+1801+Saint+Clair+Ave%2C+St.+Paul%2C+MN+55105" TargetMode="External"/><Relationship Id="rId2260" Type="http://schemas.openxmlformats.org/officeDocument/2006/relationships/hyperlink" Target="https://npiregistry.cms.hhs.gov/provider-view/1194922179" TargetMode="External"/><Relationship Id="rId3104" Type="http://schemas.openxmlformats.org/officeDocument/2006/relationships/hyperlink" Target="https://npiregistry.cms.hhs.gov/provider-view/1609053396" TargetMode="External"/><Relationship Id="rId3311" Type="http://schemas.openxmlformats.org/officeDocument/2006/relationships/hyperlink" Target="https://www.google.com/maps/search/?api=1&amp;query=Northern+Pines+Orthopaedic+Clinic%2C+PA.%2C+111+Golf+Course+Rd%2C+Grand+Rapids%2C+MN+55744" TargetMode="External"/><Relationship Id="rId232" Type="http://schemas.openxmlformats.org/officeDocument/2006/relationships/hyperlink" Target="https://npiregistry.cms.hhs.gov/provider-view/1477764587" TargetMode="External"/><Relationship Id="rId2120" Type="http://schemas.openxmlformats.org/officeDocument/2006/relationships/hyperlink" Target="https://npiregistry.cms.hhs.gov/provider-view/1336396134" TargetMode="External"/><Relationship Id="rId1679" Type="http://schemas.openxmlformats.org/officeDocument/2006/relationships/hyperlink" Target="https://www.google.com/maps/search/?api=1&amp;query=Perez+Chiropractic%2C+LLC%2C+6519+Nicollet+Ave%2C+Richfield%2C+MN+55423" TargetMode="External"/><Relationship Id="rId4085" Type="http://schemas.openxmlformats.org/officeDocument/2006/relationships/hyperlink" Target="https://www.google.com/maps/search/?api=1&amp;query=Bruns+Chiropractic%2C+INC%2C+203+Jewett+St%2C+Marshall%2C+MN+56258" TargetMode="External"/><Relationship Id="rId1886" Type="http://schemas.openxmlformats.org/officeDocument/2006/relationships/hyperlink" Target="https://npiregistry.cms.hhs.gov/provider-view/1609365865" TargetMode="External"/><Relationship Id="rId2937" Type="http://schemas.openxmlformats.org/officeDocument/2006/relationships/hyperlink" Target="https://www.google.com/maps/search/?api=1&amp;query=Family+Chiropractic+Center+of+Little+Falls%2C+PA.%2C+42+E+Broadway%2C+Little+Falls%2C+MN+56345" TargetMode="External"/><Relationship Id="rId4152" Type="http://schemas.openxmlformats.org/officeDocument/2006/relationships/hyperlink" Target="https://npiregistry.cms.hhs.gov/provider-view/1609007202" TargetMode="External"/><Relationship Id="rId909" Type="http://schemas.openxmlformats.org/officeDocument/2006/relationships/hyperlink" Target="https://www.google.com/maps/search/?api=1&amp;query=Got+Your+Back+Chiropractic+and+Wellness+Clinic+PC.%2C+5916+France+Ave+S%2C+Edina%2C+MN+55410" TargetMode="External"/><Relationship Id="rId1539" Type="http://schemas.openxmlformats.org/officeDocument/2006/relationships/hyperlink" Target="https://www.google.com/maps/search/?api=1&amp;query=Mustang+Chiropractic%2C+11500+Highway+7%2C+Minnetonka%2C+MN+55305" TargetMode="External"/><Relationship Id="rId1746" Type="http://schemas.openxmlformats.org/officeDocument/2006/relationships/hyperlink" Target="https://npiregistry.cms.hhs.gov/provider-view/1699384198" TargetMode="External"/><Relationship Id="rId1953" Type="http://schemas.openxmlformats.org/officeDocument/2006/relationships/hyperlink" Target="https://www.google.com/maps/search/?api=1&amp;query=Beilby+Chiropractic+and+Wellness+Clinic%2C+LLC%2C+2780+Snelling+Ave+N%2C+Roseville%2C+MN+55113" TargetMode="External"/><Relationship Id="rId38" Type="http://schemas.openxmlformats.org/officeDocument/2006/relationships/hyperlink" Target="https://npiregistry.cms.hhs.gov/provider-view/1679614010" TargetMode="External"/><Relationship Id="rId1606" Type="http://schemas.openxmlformats.org/officeDocument/2006/relationships/hyperlink" Target="https://npiregistry.cms.hhs.gov/provider-view/1962549089" TargetMode="External"/><Relationship Id="rId1813" Type="http://schemas.openxmlformats.org/officeDocument/2006/relationships/hyperlink" Target="https://www.google.com/maps/search/?api=1&amp;query=West+End+Chiropractic+and+Wellness+PA%2C+1660+Highway+100+S%2C+St.+Louis+Park%2C+MN+55416" TargetMode="External"/><Relationship Id="rId4012" Type="http://schemas.openxmlformats.org/officeDocument/2006/relationships/hyperlink" Target="https://npiregistry.cms.hhs.gov/provider-view/1942388632" TargetMode="External"/><Relationship Id="rId3778" Type="http://schemas.openxmlformats.org/officeDocument/2006/relationships/hyperlink" Target="https://npiregistry.cms.hhs.gov/provider-view/1225273071" TargetMode="External"/><Relationship Id="rId3985" Type="http://schemas.openxmlformats.org/officeDocument/2006/relationships/hyperlink" Target="https://www.google.com/maps/search/?api=1&amp;query=Urbain+Family+Chiropractic+PLLC%2C+128+2nd+Ave+SE%2C+Elgin%2C+MN+55932" TargetMode="External"/><Relationship Id="rId699" Type="http://schemas.openxmlformats.org/officeDocument/2006/relationships/hyperlink" Target="https://www.google.com/maps/search/?api=1&amp;query=Advance+Motion+Physical+Therapy%2C+6800+78th+Avenue+North%2C+Brooklyn+Park%2C+MN+55445" TargetMode="External"/><Relationship Id="rId2587" Type="http://schemas.openxmlformats.org/officeDocument/2006/relationships/hyperlink" Target="https://www.google.com/maps/search/?api=1&amp;query=Jimmy+G.+Anderson%2C+DC.%2C+3394+Lake+Elmo+Avenue%2C+Lake+Elmo%2C+MN+55042" TargetMode="External"/><Relationship Id="rId2794" Type="http://schemas.openxmlformats.org/officeDocument/2006/relationships/hyperlink" Target="https://npiregistry.cms.hhs.gov/provider-view/1831339936" TargetMode="External"/><Relationship Id="rId3638" Type="http://schemas.openxmlformats.org/officeDocument/2006/relationships/hyperlink" Target="https://npiregistry.cms.hhs.gov/provider-view/1578596177" TargetMode="External"/><Relationship Id="rId3845" Type="http://schemas.openxmlformats.org/officeDocument/2006/relationships/hyperlink" Target="https://www.google.com/maps/search/?api=1&amp;query=Cedar+River+Chiropractic%2C+PLLC%2C+1700+17th+St+NW%2C+Austin%2C+MN+55912" TargetMode="External"/><Relationship Id="rId559" Type="http://schemas.openxmlformats.org/officeDocument/2006/relationships/hyperlink" Target="https://www.google.com/maps/search/?api=1&amp;query=Mendakota+Chiropractic%2C+PLLC%2C+776+North+Plaza+Drive%2C+Mendota+Heights%2C+MN+55120" TargetMode="External"/><Relationship Id="rId766" Type="http://schemas.openxmlformats.org/officeDocument/2006/relationships/hyperlink" Target="https://npiregistry.cms.hhs.gov/provider-view/1790922045" TargetMode="External"/><Relationship Id="rId1189" Type="http://schemas.openxmlformats.org/officeDocument/2006/relationships/hyperlink" Target="https://www.google.com/maps/search/?api=1&amp;query=Align+Chiromedical+Mpls+PA%2C+2025+Nicollet+Ave%2C+Minneapolis%2C+MN+55404" TargetMode="External"/><Relationship Id="rId1396" Type="http://schemas.openxmlformats.org/officeDocument/2006/relationships/hyperlink" Target="https://npiregistry.cms.hhs.gov/provider-view/1316139009" TargetMode="External"/><Relationship Id="rId2447" Type="http://schemas.openxmlformats.org/officeDocument/2006/relationships/hyperlink" Target="https://www.google.com/maps/search/?api=1&amp;query=Healthy+Life+Chiropractic+%26+Wellness%2C+LLC%2C+4078+W+County+Road+42%2C+Savage%2C+MN+55378" TargetMode="External"/><Relationship Id="rId419" Type="http://schemas.openxmlformats.org/officeDocument/2006/relationships/hyperlink" Target="https://www.google.com/maps/search/?api=1&amp;query=Eagan+Chiropractic%2C+1565+Cliff+Rd%2C+Eagan%2C+MN+55122" TargetMode="External"/><Relationship Id="rId626" Type="http://schemas.openxmlformats.org/officeDocument/2006/relationships/hyperlink" Target="https://npiregistry.cms.hhs.gov/provider-view/1982142592" TargetMode="External"/><Relationship Id="rId973" Type="http://schemas.openxmlformats.org/officeDocument/2006/relationships/hyperlink" Target="https://www.google.com/maps/search/?api=1&amp;query=Select+Health+of+the+Twin+Cities%2C+7300+France+Ave+S%2C+Edina%2C+MN+55435" TargetMode="External"/><Relationship Id="rId1049" Type="http://schemas.openxmlformats.org/officeDocument/2006/relationships/hyperlink" Target="https://www.google.com/maps/search/?api=1&amp;query=Premier+Health+of+Golden+Valley%2C+5801+Duluth+St%2C+Golden+Valley%2C+MN+55422" TargetMode="External"/><Relationship Id="rId1256" Type="http://schemas.openxmlformats.org/officeDocument/2006/relationships/hyperlink" Target="https://npiregistry.cms.hhs.gov/provider-view/1942834882" TargetMode="External"/><Relationship Id="rId2307" Type="http://schemas.openxmlformats.org/officeDocument/2006/relationships/hyperlink" Target="https://www.google.com/maps/search/?api=1&amp;query=Vang+Chiropractic%2C+1030+Payne+Ave%2C+St.+Paul%2C+MN+55130" TargetMode="External"/><Relationship Id="rId2654" Type="http://schemas.openxmlformats.org/officeDocument/2006/relationships/hyperlink" Target="https://npiregistry.cms.hhs.gov/provider-view/1821435769" TargetMode="External"/><Relationship Id="rId2861" Type="http://schemas.openxmlformats.org/officeDocument/2006/relationships/hyperlink" Target="https://www.google.com/maps/search/?api=1&amp;query=Quantum+Chiropractic%2C+50+14th+Ave+E%2C+Sartell%2C+MN+56377" TargetMode="External"/><Relationship Id="rId3705" Type="http://schemas.openxmlformats.org/officeDocument/2006/relationships/hyperlink" Target="https://www.google.com/maps/search/?api=1&amp;query=Family+Chiropractic+Office%2C+115+1st+Ave+NW%2C+Winnebago%2C+MN+56098" TargetMode="External"/><Relationship Id="rId3912" Type="http://schemas.openxmlformats.org/officeDocument/2006/relationships/hyperlink" Target="https://npiregistry.cms.hhs.gov/provider-view/1558719393" TargetMode="External"/><Relationship Id="rId833" Type="http://schemas.openxmlformats.org/officeDocument/2006/relationships/hyperlink" Target="https://www.google.com/maps/search/?api=1&amp;query=Matthew+J+Alvord+DC+LTD%2C+8781+Columbine+Rd%2C+Eden+Prairie%2C+MN+55344" TargetMode="External"/><Relationship Id="rId1116" Type="http://schemas.openxmlformats.org/officeDocument/2006/relationships/hyperlink" Target="https://npiregistry.cms.hhs.gov/provider-view/1821765306" TargetMode="External"/><Relationship Id="rId1463" Type="http://schemas.openxmlformats.org/officeDocument/2006/relationships/hyperlink" Target="https://www.google.com/maps/search/?api=1&amp;query=Traditionally+Healthy%2C+1211+Jackson+St+NE%2C+Minneapolis%2C+MN+55413" TargetMode="External"/><Relationship Id="rId1670" Type="http://schemas.openxmlformats.org/officeDocument/2006/relationships/hyperlink" Target="https://npiregistry.cms.hhs.gov/provider-view/1982743845" TargetMode="External"/><Relationship Id="rId2514" Type="http://schemas.openxmlformats.org/officeDocument/2006/relationships/hyperlink" Target="https://npiregistry.cms.hhs.gov/provider-view/1699809756" TargetMode="External"/><Relationship Id="rId2721" Type="http://schemas.openxmlformats.org/officeDocument/2006/relationships/hyperlink" Target="https://www.google.com/maps/search/?api=1&amp;query=North+Star+Family+Chiropractic%2C+PC%2C+8380+City+Centre+Drive%2C+Woodbury%2C+MN+55125" TargetMode="External"/><Relationship Id="rId900" Type="http://schemas.openxmlformats.org/officeDocument/2006/relationships/hyperlink" Target="https://npiregistry.cms.hhs.gov/provider-view/1922248087" TargetMode="External"/><Relationship Id="rId1323" Type="http://schemas.openxmlformats.org/officeDocument/2006/relationships/hyperlink" Target="https://www.google.com/maps/search/?api=1&amp;query=Lifeback+Spine+Rehab+Clinic%2C+1300+Godward+St+NE%2C+Minneapolis%2C+MN+55413" TargetMode="External"/><Relationship Id="rId1530" Type="http://schemas.openxmlformats.org/officeDocument/2006/relationships/hyperlink" Target="https://npiregistry.cms.hhs.gov/provider-view/1619043726" TargetMode="External"/><Relationship Id="rId3288" Type="http://schemas.openxmlformats.org/officeDocument/2006/relationships/hyperlink" Target="https://npiregistry.cms.hhs.gov/provider-view/1700077435" TargetMode="External"/><Relationship Id="rId3495" Type="http://schemas.openxmlformats.org/officeDocument/2006/relationships/hyperlink" Target="https://www.google.com/maps/search/?api=1&amp;query=Northern+Chiropractic+Pain+Relief+%26+Injury+Clinic%2C+201+Lake+St+NW%2C+Warroad%2C+MN+56763" TargetMode="External"/><Relationship Id="rId2097" Type="http://schemas.openxmlformats.org/officeDocument/2006/relationships/hyperlink" Target="https://www.google.com/maps/search/?api=1&amp;query=Chiroworks+PA%2C+1350+Energy+Ln%2C+St.+Paul%2C+MN+55108" TargetMode="External"/><Relationship Id="rId3148" Type="http://schemas.openxmlformats.org/officeDocument/2006/relationships/hyperlink" Target="https://npiregistry.cms.hhs.gov/provider-view/1205985710" TargetMode="External"/><Relationship Id="rId3355" Type="http://schemas.openxmlformats.org/officeDocument/2006/relationships/hyperlink" Target="https://www.google.com/maps/search/?api=1&amp;query=Giants+Country+Physical+Therapy%2C+15+E+1st+Ave+N%2C+Aurora%2C+MN+55705" TargetMode="External"/><Relationship Id="rId3562" Type="http://schemas.openxmlformats.org/officeDocument/2006/relationships/hyperlink" Target="https://npiregistry.cms.hhs.gov/provider-view/1700426061" TargetMode="External"/><Relationship Id="rId276" Type="http://schemas.openxmlformats.org/officeDocument/2006/relationships/hyperlink" Target="https://npiregistry.cms.hhs.gov/provider-view/1154639854" TargetMode="External"/><Relationship Id="rId483" Type="http://schemas.openxmlformats.org/officeDocument/2006/relationships/hyperlink" Target="https://www.google.com/maps/search/?api=1&amp;query=Hauck+Chiropractic%2C+LLC%2C+215+Ramsey+St%2C+Hastings%2C+MN+55033" TargetMode="External"/><Relationship Id="rId690" Type="http://schemas.openxmlformats.org/officeDocument/2006/relationships/hyperlink" Target="https://npiregistry.cms.hhs.gov/provider-view/1568533909" TargetMode="External"/><Relationship Id="rId2164" Type="http://schemas.openxmlformats.org/officeDocument/2006/relationships/hyperlink" Target="https://npiregistry.cms.hhs.gov/provider-view/1023164035" TargetMode="External"/><Relationship Id="rId2371" Type="http://schemas.openxmlformats.org/officeDocument/2006/relationships/hyperlink" Target="https://www.google.com/maps/search/?api=1&amp;query=Sass+Chiropractic+Center%2C+4436+Highway+61+N%2C+White+Bear+Lake%2C+MN+55110" TargetMode="External"/><Relationship Id="rId3008" Type="http://schemas.openxmlformats.org/officeDocument/2006/relationships/hyperlink" Target="https://npiregistry.cms.hhs.gov/provider-view/1538259585" TargetMode="External"/><Relationship Id="rId3215" Type="http://schemas.openxmlformats.org/officeDocument/2006/relationships/hyperlink" Target="https://www.google.com/maps/search/?api=1&amp;query=Crow+Wing+Chiropractic+PC%2C+15229+Edgewood+Dr%2C+Baxter%2C+MN+56401" TargetMode="External"/><Relationship Id="rId3422" Type="http://schemas.openxmlformats.org/officeDocument/2006/relationships/hyperlink" Target="https://npiregistry.cms.hhs.gov/provider-view/1649778937" TargetMode="External"/><Relationship Id="rId136" Type="http://schemas.openxmlformats.org/officeDocument/2006/relationships/hyperlink" Target="https://npiregistry.cms.hhs.gov/provider-view/1114265600" TargetMode="External"/><Relationship Id="rId343" Type="http://schemas.openxmlformats.org/officeDocument/2006/relationships/hyperlink" Target="https://www.google.com/maps/search/?api=1&amp;query=Eagle+Trace+Wellness+Center%2C+PA%2C+12002+County+Road+11%2C+Burnsville%2C+MN+55337" TargetMode="External"/><Relationship Id="rId550" Type="http://schemas.openxmlformats.org/officeDocument/2006/relationships/hyperlink" Target="https://npiregistry.cms.hhs.gov/provider-view/1649502881" TargetMode="External"/><Relationship Id="rId1180" Type="http://schemas.openxmlformats.org/officeDocument/2006/relationships/hyperlink" Target="https://npiregistry.cms.hhs.gov/provider-view/1538287404" TargetMode="External"/><Relationship Id="rId2024" Type="http://schemas.openxmlformats.org/officeDocument/2006/relationships/hyperlink" Target="https://npiregistry.cms.hhs.gov/provider-view/1851486203" TargetMode="External"/><Relationship Id="rId2231" Type="http://schemas.openxmlformats.org/officeDocument/2006/relationships/hyperlink" Target="https://www.google.com/maps/search/?api=1&amp;query=Ptnow%2C+441+University+Ave+W%2C+St.+Paul%2C+MN+55103" TargetMode="External"/><Relationship Id="rId203" Type="http://schemas.openxmlformats.org/officeDocument/2006/relationships/hyperlink" Target="https://www.google.com/maps/search/?api=1&amp;query=Chaska+Lakes+Chiropractic%2C+PA%2C+564+Bavaria+Ln%2C+Chaska%2C+MN+55318" TargetMode="External"/><Relationship Id="rId1040" Type="http://schemas.openxmlformats.org/officeDocument/2006/relationships/hyperlink" Target="https://npiregistry.cms.hhs.gov/provider-view/1639237969" TargetMode="External"/><Relationship Id="rId410" Type="http://schemas.openxmlformats.org/officeDocument/2006/relationships/hyperlink" Target="https://npiregistry.cms.hhs.gov/provider-view/1891904793" TargetMode="External"/><Relationship Id="rId1997" Type="http://schemas.openxmlformats.org/officeDocument/2006/relationships/hyperlink" Target="https://www.google.com/maps/search/?api=1&amp;query=Viverantos%2C+1769+Lexington+Ave+N%2C+Roseville%2C+MN+55113" TargetMode="External"/><Relationship Id="rId4056" Type="http://schemas.openxmlformats.org/officeDocument/2006/relationships/hyperlink" Target="https://npiregistry.cms.hhs.gov/provider-view/1700919032" TargetMode="External"/><Relationship Id="rId1857" Type="http://schemas.openxmlformats.org/officeDocument/2006/relationships/hyperlink" Target="https://www.google.com/maps/search/?api=1&amp;query=Wegleitner+Chiropractic%2C+PA%2C+18202+Minnetonka+Blvd%2C+Wayzata%2C+MN+55391" TargetMode="External"/><Relationship Id="rId2908" Type="http://schemas.openxmlformats.org/officeDocument/2006/relationships/hyperlink" Target="https://npiregistry.cms.hhs.gov/provider-view/1780858704" TargetMode="External"/><Relationship Id="rId1717" Type="http://schemas.openxmlformats.org/officeDocument/2006/relationships/hyperlink" Target="https://www.google.com/maps/search/?api=1&amp;query=Apex+Chiropractic+of+Rogers%2C+13635+Northdale+Blvd%2C+Rogers%2C+MN+55374" TargetMode="External"/><Relationship Id="rId1924" Type="http://schemas.openxmlformats.org/officeDocument/2006/relationships/hyperlink" Target="https://npiregistry.cms.hhs.gov/provider-view/1912300013" TargetMode="External"/><Relationship Id="rId3072" Type="http://schemas.openxmlformats.org/officeDocument/2006/relationships/hyperlink" Target="https://npiregistry.cms.hhs.gov/provider-view/1740873405" TargetMode="External"/><Relationship Id="rId4123" Type="http://schemas.openxmlformats.org/officeDocument/2006/relationships/hyperlink" Target="https://www.google.com/maps/search/?api=1&amp;query=Pipestone+Family+Chiropractic%2C+PA%2C+222+2nd+Ave+SW%2C+Pipestone%2C+MN+56164" TargetMode="External"/><Relationship Id="rId3889" Type="http://schemas.openxmlformats.org/officeDocument/2006/relationships/hyperlink" Target="https://www.google.com/maps/search/?api=1&amp;query=Inner+Strength+Chiropractic%2C+LLC%2C+2625+Highway+14+W%2C+Rochester%2C+MN+55901" TargetMode="External"/><Relationship Id="rId2698" Type="http://schemas.openxmlformats.org/officeDocument/2006/relationships/hyperlink" Target="https://npiregistry.cms.hhs.gov/provider-view/1003070731" TargetMode="External"/><Relationship Id="rId3749" Type="http://schemas.openxmlformats.org/officeDocument/2006/relationships/hyperlink" Target="https://www.google.com/maps/search/?api=1&amp;query=Mcguire+Family+Chiropractic+PA%2C+215+3rd+St%2C+Gaylord%2C+MN+55334" TargetMode="External"/><Relationship Id="rId3956" Type="http://schemas.openxmlformats.org/officeDocument/2006/relationships/hyperlink" Target="https://npiregistry.cms.hhs.gov/provider-view/1497951610" TargetMode="External"/><Relationship Id="rId877" Type="http://schemas.openxmlformats.org/officeDocument/2006/relationships/hyperlink" Target="https://www.google.com/maps/search/?api=1&amp;query=50th+%26+France+Chiropractic%2C+3948+W+50th+St%2C+Edina%2C+MN+55424" TargetMode="External"/><Relationship Id="rId2558" Type="http://schemas.openxmlformats.org/officeDocument/2006/relationships/hyperlink" Target="https://npiregistry.cms.hhs.gov/provider-view/1346645488" TargetMode="External"/><Relationship Id="rId2765" Type="http://schemas.openxmlformats.org/officeDocument/2006/relationships/hyperlink" Target="https://www.google.com/maps/search/?api=1&amp;query=Annandale+Family+and+Sports+Chiropractic%2C+300+Park+Street%2C+Annandale%2C+MN+55302" TargetMode="External"/><Relationship Id="rId2972" Type="http://schemas.openxmlformats.org/officeDocument/2006/relationships/hyperlink" Target="https://npiregistry.cms.hhs.gov/provider-view/1053329896" TargetMode="External"/><Relationship Id="rId3609" Type="http://schemas.openxmlformats.org/officeDocument/2006/relationships/hyperlink" Target="https://www.google.com/maps/search/?api=1&amp;query=Langen+Family+Chiropractic%2C+PA.%2C+108+Market+Dr.%2C+Perham%2C+MN+56573" TargetMode="External"/><Relationship Id="rId3816" Type="http://schemas.openxmlformats.org/officeDocument/2006/relationships/hyperlink" Target="https://npiregistry.cms.hhs.gov/provider-view/1821395484" TargetMode="External"/><Relationship Id="rId737" Type="http://schemas.openxmlformats.org/officeDocument/2006/relationships/hyperlink" Target="https://www.google.com/maps/search/?api=1&amp;query=Pain+Clinics+of+Minnesota+PA.%2C+4600+Oak+Grove+Parkway%2C+Brooklyn+Park%2C+MN+55443" TargetMode="External"/><Relationship Id="rId944" Type="http://schemas.openxmlformats.org/officeDocument/2006/relationships/hyperlink" Target="https://npiregistry.cms.hhs.gov/provider-view/1003231747" TargetMode="External"/><Relationship Id="rId1367" Type="http://schemas.openxmlformats.org/officeDocument/2006/relationships/hyperlink" Target="https://www.google.com/maps/search/?api=1&amp;query=Minneapolis+Orthopaedics%2C+LTD%2C+825+S+8th+St%2C+Minneapolis%2C+MN+55404" TargetMode="External"/><Relationship Id="rId1574" Type="http://schemas.openxmlformats.org/officeDocument/2006/relationships/hyperlink" Target="https://npiregistry.cms.hhs.gov/provider-view/1992931430" TargetMode="External"/><Relationship Id="rId1781" Type="http://schemas.openxmlformats.org/officeDocument/2006/relationships/hyperlink" Target="https://www.google.com/maps/search/?api=1&amp;query=Metro+Injury%2C+LLC%2C+2460+Highway+100+S%2C+St.+Louis+Park%2C+MN+55416" TargetMode="External"/><Relationship Id="rId2418" Type="http://schemas.openxmlformats.org/officeDocument/2006/relationships/hyperlink" Target="https://npiregistry.cms.hhs.gov/provider-view/1003079245" TargetMode="External"/><Relationship Id="rId2625" Type="http://schemas.openxmlformats.org/officeDocument/2006/relationships/hyperlink" Target="https://www.google.com/maps/search/?api=1&amp;query=Twin+Oaks+Chiropractic+LLC%2C+1015+Helmo+Ave+N%2C+Oakdale%2C+MN+55128" TargetMode="External"/><Relationship Id="rId2832" Type="http://schemas.openxmlformats.org/officeDocument/2006/relationships/hyperlink" Target="https://npiregistry.cms.hhs.gov/provider-view/1013143445" TargetMode="External"/><Relationship Id="rId73" Type="http://schemas.openxmlformats.org/officeDocument/2006/relationships/hyperlink" Target="https://www.google.com/maps/search/?api=1&amp;query=Lake+Drive+Chiopractic+Clinic%2C+8820+N+Highway+Dr%2C+Circle+Pines%2C+MN+55014" TargetMode="External"/><Relationship Id="rId804" Type="http://schemas.openxmlformats.org/officeDocument/2006/relationships/hyperlink" Target="https://npiregistry.cms.hhs.gov/provider-view/1679512172" TargetMode="External"/><Relationship Id="rId1227" Type="http://schemas.openxmlformats.org/officeDocument/2006/relationships/hyperlink" Target="https://www.google.com/maps/search/?api=1&amp;query=Chiro+Health+Clinic%2C+PA.%2C+4400+Oliver+Ave+N%2C+Minneapolis%2C+MN+55412" TargetMode="External"/><Relationship Id="rId1434" Type="http://schemas.openxmlformats.org/officeDocument/2006/relationships/hyperlink" Target="https://npiregistry.cms.hhs.gov/provider-view/1063680478" TargetMode="External"/><Relationship Id="rId1641" Type="http://schemas.openxmlformats.org/officeDocument/2006/relationships/hyperlink" Target="https://www.google.com/maps/search/?api=1&amp;query=Precision+Chiropractic+%26+Wellness%2C+PLLC%2C+3515+Plymouth+Blvd%2C+Plymouth%2C+MN+55447" TargetMode="External"/><Relationship Id="rId1501" Type="http://schemas.openxmlformats.org/officeDocument/2006/relationships/hyperlink" Target="https://www.google.com/maps/search/?api=1&amp;query=Americare+Chiropractic%2C+PA.%2C+13911+Ridgedale+Dr%2C+Minnetonka%2C+MN+55305" TargetMode="External"/><Relationship Id="rId3399" Type="http://schemas.openxmlformats.org/officeDocument/2006/relationships/hyperlink" Target="https://www.google.com/maps/search/?api=1&amp;query=Pathways+To+Achievement+INC%2C+2016+W+Superior+St%2C+Duluth%2C+MN+55806" TargetMode="External"/><Relationship Id="rId3259" Type="http://schemas.openxmlformats.org/officeDocument/2006/relationships/hyperlink" Target="https://www.google.com/maps/search/?api=1&amp;query=Woodbury+Family+Chiropractic%2C+704+W+Washington+St%2C+Brainerd%2C+MN+56401" TargetMode="External"/><Relationship Id="rId3466" Type="http://schemas.openxmlformats.org/officeDocument/2006/relationships/hyperlink" Target="https://npiregistry.cms.hhs.gov/provider-view/1467818187" TargetMode="External"/><Relationship Id="rId387" Type="http://schemas.openxmlformats.org/officeDocument/2006/relationships/hyperlink" Target="https://www.google.com/maps/search/?api=1&amp;query=Southview+Chiropractic+Health+%26+Wellness+Center%2C+200+E+Travelers+Trail%2C+Burnsville%2C+MN+55337" TargetMode="External"/><Relationship Id="rId594" Type="http://schemas.openxmlformats.org/officeDocument/2006/relationships/hyperlink" Target="https://npiregistry.cms.hhs.gov/provider-view/1902063126" TargetMode="External"/><Relationship Id="rId2068" Type="http://schemas.openxmlformats.org/officeDocument/2006/relationships/hyperlink" Target="https://npiregistry.cms.hhs.gov/provider-view/1659827228" TargetMode="External"/><Relationship Id="rId2275" Type="http://schemas.openxmlformats.org/officeDocument/2006/relationships/hyperlink" Target="https://www.google.com/maps/search/?api=1&amp;query=Therapy+Partners%2C+INC.%2C+514+Saint+Peter+St%2C+St.+Paul%2C+MN+55102" TargetMode="External"/><Relationship Id="rId3119" Type="http://schemas.openxmlformats.org/officeDocument/2006/relationships/hyperlink" Target="https://www.google.com/maps/search/?api=1&amp;query=Grunst+Chiropractic+Clinic%2C+10+Bryant+Ave+SE%2C+Wadena%2C+MN+56482" TargetMode="External"/><Relationship Id="rId3326" Type="http://schemas.openxmlformats.org/officeDocument/2006/relationships/hyperlink" Target="https://npiregistry.cms.hhs.gov/provider-view/1083610091" TargetMode="External"/><Relationship Id="rId3673" Type="http://schemas.openxmlformats.org/officeDocument/2006/relationships/hyperlink" Target="https://www.google.com/maps/search/?api=1&amp;query=Riverridge+Chiropractic+PA.%2C+320+Stadium+Rd%2C+Mankato%2C+MN+56001" TargetMode="External"/><Relationship Id="rId3880" Type="http://schemas.openxmlformats.org/officeDocument/2006/relationships/hyperlink" Target="https://npiregistry.cms.hhs.gov/provider-view/1366521742" TargetMode="External"/><Relationship Id="rId247" Type="http://schemas.openxmlformats.org/officeDocument/2006/relationships/hyperlink" Target="https://www.google.com/maps/search/?api=1&amp;query=Waconia+Family+Chiropractic%2C+9384+Oak+Ave%2C+Waconia%2C+MN+55387" TargetMode="External"/><Relationship Id="rId1084" Type="http://schemas.openxmlformats.org/officeDocument/2006/relationships/hyperlink" Target="https://npiregistry.cms.hhs.gov/provider-view/1578912549" TargetMode="External"/><Relationship Id="rId2482" Type="http://schemas.openxmlformats.org/officeDocument/2006/relationships/hyperlink" Target="https://npiregistry.cms.hhs.gov/provider-view/1386208650" TargetMode="External"/><Relationship Id="rId3533" Type="http://schemas.openxmlformats.org/officeDocument/2006/relationships/hyperlink" Target="https://www.google.com/maps/search/?api=1&amp;query=Alexandria+Chiropractic+LLC%2C+510+22nd+Ave+E%2C+Alexandria%2C+MN+56308" TargetMode="External"/><Relationship Id="rId3740" Type="http://schemas.openxmlformats.org/officeDocument/2006/relationships/hyperlink" Target="https://npiregistry.cms.hhs.gov/provider-view/1770052201" TargetMode="External"/><Relationship Id="rId107" Type="http://schemas.openxmlformats.org/officeDocument/2006/relationships/hyperlink" Target="https://www.google.com/maps/search/?api=1&amp;query=Premier+Physical+Therapy+Centers%2C+INC.%2C+3867+Coon+Rapids+Blvd+NW%2C+Coon+Rapids%2C+MN+55433" TargetMode="External"/><Relationship Id="rId454" Type="http://schemas.openxmlformats.org/officeDocument/2006/relationships/hyperlink" Target="https://npiregistry.cms.hhs.gov/provider-view/1316505712" TargetMode="External"/><Relationship Id="rId661" Type="http://schemas.openxmlformats.org/officeDocument/2006/relationships/hyperlink" Target="https://www.google.com/maps/search/?api=1&amp;query=Pappenfus+Chiropractic%2C+INC.%2C+10824+Stanley+Ave+S%2C+Bloomington%2C+MN+55437" TargetMode="External"/><Relationship Id="rId1291" Type="http://schemas.openxmlformats.org/officeDocument/2006/relationships/hyperlink" Target="https://www.google.com/maps/search/?api=1&amp;query=Horizon+Mental+and+Rehabilitation+Services%2C+1527+E+Lake+St%2C+Minneapolis%2C+MN+55407" TargetMode="External"/><Relationship Id="rId2135" Type="http://schemas.openxmlformats.org/officeDocument/2006/relationships/hyperlink" Target="https://www.google.com/maps/search/?api=1&amp;query=Grand+Avenue+Chiropractic+%26+Acupuncture%2C+PLLC%2C+976+Grand+Ave%2C+St.+Paul%2C+MN+55105" TargetMode="External"/><Relationship Id="rId2342" Type="http://schemas.openxmlformats.org/officeDocument/2006/relationships/hyperlink" Target="https://npiregistry.cms.hhs.gov/provider-view/1154510451" TargetMode="External"/><Relationship Id="rId3600" Type="http://schemas.openxmlformats.org/officeDocument/2006/relationships/hyperlink" Target="https://npiregistry.cms.hhs.gov/provider-view/1871035451" TargetMode="External"/><Relationship Id="rId314" Type="http://schemas.openxmlformats.org/officeDocument/2006/relationships/hyperlink" Target="https://npiregistry.cms.hhs.gov/provider-view/1457718264" TargetMode="External"/><Relationship Id="rId521" Type="http://schemas.openxmlformats.org/officeDocument/2006/relationships/hyperlink" Target="https://www.google.com/maps/search/?api=1&amp;query=Grace+Chiropractic+and+Wellness+PLLC%2C+18476+Kenrick+Ave%2C+Lakeville%2C+MN+55044" TargetMode="External"/><Relationship Id="rId1151" Type="http://schemas.openxmlformats.org/officeDocument/2006/relationships/hyperlink" Target="https://www.google.com/maps/search/?api=1&amp;query=On-Site+Solutions+Physical+Therapy%2C+6812+Hemlock+Ln+N%2C+Maple+Grove%2C+MN+55369" TargetMode="External"/><Relationship Id="rId2202" Type="http://schemas.openxmlformats.org/officeDocument/2006/relationships/hyperlink" Target="https://npiregistry.cms.hhs.gov/provider-view/1720059264" TargetMode="External"/><Relationship Id="rId1011" Type="http://schemas.openxmlformats.org/officeDocument/2006/relationships/hyperlink" Target="https://www.google.com/maps/search/?api=1&amp;query=South+Lake+Chiropractic+PLLC%2C+24000+Highway+7%2C+Excelsior%2C+MN+55331" TargetMode="External"/><Relationship Id="rId1968" Type="http://schemas.openxmlformats.org/officeDocument/2006/relationships/hyperlink" Target="https://npiregistry.cms.hhs.gov/provider-view/1598940041" TargetMode="External"/><Relationship Id="rId3183" Type="http://schemas.openxmlformats.org/officeDocument/2006/relationships/hyperlink" Target="https://www.google.com/maps/search/?api=1&amp;query=Lieffring+Chiropractic%2C+LTD.%2C+1219+14th+St%2C+Cloquet%2C+MN+55720" TargetMode="External"/><Relationship Id="rId3390" Type="http://schemas.openxmlformats.org/officeDocument/2006/relationships/hyperlink" Target="https://npiregistry.cms.hhs.gov/provider-view/1922288612" TargetMode="External"/><Relationship Id="rId4027" Type="http://schemas.openxmlformats.org/officeDocument/2006/relationships/hyperlink" Target="https://www.google.com/maps/search/?api=1&amp;query=Occupro+INC.%2C+820+Roy+St%2C+Ortonville%2C+MN+56278" TargetMode="External"/><Relationship Id="rId1828" Type="http://schemas.openxmlformats.org/officeDocument/2006/relationships/hyperlink" Target="https://npiregistry.cms.hhs.gov/provider-view/1356607238" TargetMode="External"/><Relationship Id="rId3043" Type="http://schemas.openxmlformats.org/officeDocument/2006/relationships/hyperlink" Target="https://www.google.com/maps/search/?api=1&amp;query=Cedar+Creek+Family+Chiropractic+PA%2C+203+Cooper+Avenue+North%2C+St.+Cloud%2C+MN+56303" TargetMode="External"/><Relationship Id="rId3250" Type="http://schemas.openxmlformats.org/officeDocument/2006/relationships/hyperlink" Target="https://npiregistry.cms.hhs.gov/provider-view/1477650331" TargetMode="External"/><Relationship Id="rId171" Type="http://schemas.openxmlformats.org/officeDocument/2006/relationships/hyperlink" Target="https://www.google.com/maps/search/?api=1&amp;query=Multicenter+Physical+Therapy%2C+LLC%2C+7700+Highway+65+NE%2C+Spring+Lake+Park%2C+MN+55432" TargetMode="External"/><Relationship Id="rId3110" Type="http://schemas.openxmlformats.org/officeDocument/2006/relationships/hyperlink" Target="https://npiregistry.cms.hhs.gov/provider-view/1154719300" TargetMode="External"/><Relationship Id="rId988" Type="http://schemas.openxmlformats.org/officeDocument/2006/relationships/hyperlink" Target="https://npiregistry.cms.hhs.gov/provider-view/1902293202" TargetMode="External"/><Relationship Id="rId2669" Type="http://schemas.openxmlformats.org/officeDocument/2006/relationships/hyperlink" Target="https://www.google.com/maps/search/?api=1&amp;query=Saeger+Pain+Care+PLLC%2C+1950+Curve+Crest+Blvd+W%2C+Stillwater%2C+MN+55082" TargetMode="External"/><Relationship Id="rId2876" Type="http://schemas.openxmlformats.org/officeDocument/2006/relationships/hyperlink" Target="https://npiregistry.cms.hhs.gov/provider-view/1376620013" TargetMode="External"/><Relationship Id="rId3927" Type="http://schemas.openxmlformats.org/officeDocument/2006/relationships/hyperlink" Target="https://www.google.com/maps/search/?api=1&amp;query=Dr.+Robert+J.+Erickson%2C+PA.%2C+200+8th+Ave+NW%2C+Faribault%2C+MN+55021" TargetMode="External"/><Relationship Id="rId848" Type="http://schemas.openxmlformats.org/officeDocument/2006/relationships/hyperlink" Target="https://npiregistry.cms.hhs.gov/provider-view/1689752750" TargetMode="External"/><Relationship Id="rId1478" Type="http://schemas.openxmlformats.org/officeDocument/2006/relationships/hyperlink" Target="https://npiregistry.cms.hhs.gov/provider-view/1750443255" TargetMode="External"/><Relationship Id="rId1685" Type="http://schemas.openxmlformats.org/officeDocument/2006/relationships/hyperlink" Target="https://www.google.com/maps/search/?api=1&amp;query=Richfield+Chiropractic+PA%2C+6410+Nicollet+Ave%2C+Richfield%2C+MN+55423" TargetMode="External"/><Relationship Id="rId1892" Type="http://schemas.openxmlformats.org/officeDocument/2006/relationships/hyperlink" Target="https://npiregistry.cms.hhs.gov/provider-view/1487991600" TargetMode="External"/><Relationship Id="rId2529" Type="http://schemas.openxmlformats.org/officeDocument/2006/relationships/hyperlink" Target="https://www.google.com/maps/search/?api=1&amp;query=A.+J.+Linn+Chiropractic+LLC%2C+26144+3rd+St+E%2C+Zimmerman%2C+MN+55398" TargetMode="External"/><Relationship Id="rId2736" Type="http://schemas.openxmlformats.org/officeDocument/2006/relationships/hyperlink" Target="https://npiregistry.cms.hhs.gov/provider-view/1861625600" TargetMode="External"/><Relationship Id="rId4091" Type="http://schemas.openxmlformats.org/officeDocument/2006/relationships/hyperlink" Target="https://www.google.com/maps/search/?api=1&amp;query=Fixen+Chiropractic%2C+104+W+Redwood+St%2C+Marshall%2C+MN+56258" TargetMode="External"/><Relationship Id="rId708" Type="http://schemas.openxmlformats.org/officeDocument/2006/relationships/hyperlink" Target="https://npiregistry.cms.hhs.gov/provider-view/1871624254" TargetMode="External"/><Relationship Id="rId915" Type="http://schemas.openxmlformats.org/officeDocument/2006/relationships/hyperlink" Target="https://www.google.com/maps/search/?api=1&amp;query=Health+Wellness+Center+Management+LLC%2C+6500+Barrie+Rd%2C+Edina%2C+MN+55435" TargetMode="External"/><Relationship Id="rId1338" Type="http://schemas.openxmlformats.org/officeDocument/2006/relationships/hyperlink" Target="https://npiregistry.cms.hhs.gov/provider-view/1194314401" TargetMode="External"/><Relationship Id="rId1545" Type="http://schemas.openxmlformats.org/officeDocument/2006/relationships/hyperlink" Target="https://www.google.com/maps/search/?api=1&amp;query=Peak+Potential+Family+Chiropractic+PLLC%2C+16190+Highway+7%2C+Minnetonka%2C+MN+55345" TargetMode="External"/><Relationship Id="rId2943" Type="http://schemas.openxmlformats.org/officeDocument/2006/relationships/hyperlink" Target="https://www.google.com/maps/search/?api=1&amp;query=Paradox+Chiropractic+PA%2C+16541+Haven+Rd%2C+Little+Falls%2C+MN+56345" TargetMode="External"/><Relationship Id="rId1405" Type="http://schemas.openxmlformats.org/officeDocument/2006/relationships/hyperlink" Target="https://www.google.com/maps/search/?api=1&amp;query=Physicians+First+Choice+Diagnostics+Center%2C+735+Kasota+Ave+SE%2C+Minneapolis%2C+MN+55414" TargetMode="External"/><Relationship Id="rId1752" Type="http://schemas.openxmlformats.org/officeDocument/2006/relationships/hyperlink" Target="https://npiregistry.cms.hhs.gov/provider-view/1801974837" TargetMode="External"/><Relationship Id="rId2803" Type="http://schemas.openxmlformats.org/officeDocument/2006/relationships/hyperlink" Target="https://www.google.com/maps/search/?api=1&amp;query=Rinne+Chiropractic+Clinic+LLC%2C+120+Bridge+Ave+E%2C+Delano%2C+MN+55328" TargetMode="External"/><Relationship Id="rId44" Type="http://schemas.openxmlformats.org/officeDocument/2006/relationships/hyperlink" Target="https://npiregistry.cms.hhs.gov/provider-view/1033526538" TargetMode="External"/><Relationship Id="rId1612" Type="http://schemas.openxmlformats.org/officeDocument/2006/relationships/hyperlink" Target="https://npiregistry.cms.hhs.gov/provider-view/1588202139" TargetMode="External"/><Relationship Id="rId498" Type="http://schemas.openxmlformats.org/officeDocument/2006/relationships/hyperlink" Target="https://npiregistry.cms.hhs.gov/provider-view/1932601895" TargetMode="External"/><Relationship Id="rId2179" Type="http://schemas.openxmlformats.org/officeDocument/2006/relationships/hyperlink" Target="https://www.google.com/maps/search/?api=1&amp;query=Living+Strong+Chiropractic+PLLC%2C+800+Minnehaha+Ave+E%2C+St.+Paul%2C+MN+55106" TargetMode="External"/><Relationship Id="rId3577" Type="http://schemas.openxmlformats.org/officeDocument/2006/relationships/hyperlink" Target="https://www.google.com/maps/search/?api=1&amp;query=Fergus+Falls+Chiropractic%2C+1304+W+Lincoln+Ave%2C+Fergus+Falls%2C+MN+56537" TargetMode="External"/><Relationship Id="rId3784" Type="http://schemas.openxmlformats.org/officeDocument/2006/relationships/hyperlink" Target="https://npiregistry.cms.hhs.gov/provider-view/1194809863" TargetMode="External"/><Relationship Id="rId3991" Type="http://schemas.openxmlformats.org/officeDocument/2006/relationships/hyperlink" Target="https://www.google.com/maps/search/?api=1&amp;query=Schulz+Chiropractic+INC%2C+925+S+Oak+St%2C+Lake+City%2C+MN+55041" TargetMode="External"/><Relationship Id="rId2386" Type="http://schemas.openxmlformats.org/officeDocument/2006/relationships/hyperlink" Target="https://npiregistry.cms.hhs.gov/provider-view/1124231725" TargetMode="External"/><Relationship Id="rId2593" Type="http://schemas.openxmlformats.org/officeDocument/2006/relationships/hyperlink" Target="https://www.google.com/maps/search/?api=1&amp;query=Viverant%2C+LLC%2C+9242+Hudson+Blvd+N%2C+Lake+Elmo%2C+MN+55042" TargetMode="External"/><Relationship Id="rId3437" Type="http://schemas.openxmlformats.org/officeDocument/2006/relationships/hyperlink" Target="https://www.google.com/maps/search/?api=1&amp;query=Hibbing+Imaging+Center%2C+1101+E+37th+St%2C+Hibbing%2C+MN+55746" TargetMode="External"/><Relationship Id="rId3644" Type="http://schemas.openxmlformats.org/officeDocument/2006/relationships/hyperlink" Target="https://npiregistry.cms.hhs.gov/provider-view/1043722481" TargetMode="External"/><Relationship Id="rId3851" Type="http://schemas.openxmlformats.org/officeDocument/2006/relationships/hyperlink" Target="https://www.google.com/maps/search/?api=1&amp;query=Struck+Chiropractic%2C+308+4th+Ave+NW%2C+Austin%2C+MN+55912" TargetMode="External"/><Relationship Id="rId358" Type="http://schemas.openxmlformats.org/officeDocument/2006/relationships/hyperlink" Target="https://npiregistry.cms.hhs.gov/provider-view/1942203674" TargetMode="External"/><Relationship Id="rId565" Type="http://schemas.openxmlformats.org/officeDocument/2006/relationships/hyperlink" Target="https://www.google.com/maps/search/?api=1&amp;query=Peter+Family+Chiropractic%2C+750+Highway+110%2C+Mendota+Hgts%2C+MN+55120" TargetMode="External"/><Relationship Id="rId772" Type="http://schemas.openxmlformats.org/officeDocument/2006/relationships/hyperlink" Target="https://npiregistry.cms.hhs.gov/provider-view/1659893410" TargetMode="External"/><Relationship Id="rId1195" Type="http://schemas.openxmlformats.org/officeDocument/2006/relationships/hyperlink" Target="https://www.google.com/maps/search/?api=1&amp;query=Arch+Chiropractic+PC.%2C+2800+University+Ave+SE%2C+Minneapolis%2C+MN+55414" TargetMode="External"/><Relationship Id="rId2039" Type="http://schemas.openxmlformats.org/officeDocument/2006/relationships/hyperlink" Target="https://www.google.com/maps/search/?api=1&amp;query=Affinity+Chiropractic+Care+LLC%2C+225+University+Ave+W%2C+St.+Paul%2C+MN+55103" TargetMode="External"/><Relationship Id="rId2246" Type="http://schemas.openxmlformats.org/officeDocument/2006/relationships/hyperlink" Target="https://npiregistry.cms.hhs.gov/provider-view/1407858855" TargetMode="External"/><Relationship Id="rId2453" Type="http://schemas.openxmlformats.org/officeDocument/2006/relationships/hyperlink" Target="https://www.google.com/maps/search/?api=1&amp;query=Max+Well+Rehabilitation+LLC%2C+8690+Eagle+Creek+Pkwy%2C+Savage%2C+MN+55378" TargetMode="External"/><Relationship Id="rId2660" Type="http://schemas.openxmlformats.org/officeDocument/2006/relationships/hyperlink" Target="https://npiregistry.cms.hhs.gov/provider-view/1942464573" TargetMode="External"/><Relationship Id="rId3504" Type="http://schemas.openxmlformats.org/officeDocument/2006/relationships/hyperlink" Target="https://npiregistry.cms.hhs.gov/provider-view/1114539590" TargetMode="External"/><Relationship Id="rId3711" Type="http://schemas.openxmlformats.org/officeDocument/2006/relationships/hyperlink" Target="https://www.google.com/maps/search/?api=1&amp;query=Jackson+Chiropractic%2C+PA.%2C+612+2nd+St%2C+Jackson%2C+MN+56143" TargetMode="External"/><Relationship Id="rId218" Type="http://schemas.openxmlformats.org/officeDocument/2006/relationships/hyperlink" Target="https://npiregistry.cms.hhs.gov/provider-view/1598933186" TargetMode="External"/><Relationship Id="rId425" Type="http://schemas.openxmlformats.org/officeDocument/2006/relationships/hyperlink" Target="https://www.google.com/maps/search/?api=1&amp;query=Emergent+Health+Chiropractic+Wellness%2C+INC%2C+1895+Plaza+Dr%2C+Eagan%2C+MN+55122" TargetMode="External"/><Relationship Id="rId632" Type="http://schemas.openxmlformats.org/officeDocument/2006/relationships/hyperlink" Target="https://npiregistry.cms.hhs.gov/provider-view/1316281637" TargetMode="External"/><Relationship Id="rId1055" Type="http://schemas.openxmlformats.org/officeDocument/2006/relationships/hyperlink" Target="https://www.google.com/maps/search/?api=1&amp;query=Soderberg+Physical+Therapy+LLC%2C+2040+Douglas+Dr+N%2C+Golden+Valley%2C+MN+55422" TargetMode="External"/><Relationship Id="rId1262" Type="http://schemas.openxmlformats.org/officeDocument/2006/relationships/hyperlink" Target="https://npiregistry.cms.hhs.gov/provider-view/1356597546" TargetMode="External"/><Relationship Id="rId2106" Type="http://schemas.openxmlformats.org/officeDocument/2006/relationships/hyperlink" Target="https://npiregistry.cms.hhs.gov/provider-view/1598984536" TargetMode="External"/><Relationship Id="rId2313" Type="http://schemas.openxmlformats.org/officeDocument/2006/relationships/hyperlink" Target="https://www.google.com/maps/search/?api=1&amp;query=Vital+Injury+Care+Clinic%2C+261+Ruth+St+N%2C+St.+Paul%2C+MN+55119" TargetMode="External"/><Relationship Id="rId2520" Type="http://schemas.openxmlformats.org/officeDocument/2006/relationships/hyperlink" Target="https://npiregistry.cms.hhs.gov/provider-view/1467642843" TargetMode="External"/><Relationship Id="rId1122" Type="http://schemas.openxmlformats.org/officeDocument/2006/relationships/hyperlink" Target="https://npiregistry.cms.hhs.gov/provider-view/1326164773" TargetMode="External"/><Relationship Id="rId3087" Type="http://schemas.openxmlformats.org/officeDocument/2006/relationships/hyperlink" Target="https://www.google.com/maps/search/?api=1&amp;query=Chiropractic+Connection+PC%2C+709+County+Road+75+W%2C+St.+Joseph%2C+MN+56374" TargetMode="External"/><Relationship Id="rId3294" Type="http://schemas.openxmlformats.org/officeDocument/2006/relationships/hyperlink" Target="https://npiregistry.cms.hhs.gov/provider-view/1811313612" TargetMode="External"/><Relationship Id="rId4138" Type="http://schemas.openxmlformats.org/officeDocument/2006/relationships/hyperlink" Target="https://npiregistry.cms.hhs.gov/provider-view/1972810158" TargetMode="External"/><Relationship Id="rId1939" Type="http://schemas.openxmlformats.org/officeDocument/2006/relationships/hyperlink" Target="https://www.google.com/maps/search/?api=1&amp;query=Total+Connection+Physical+Therapy%2C+LLC%2C+388+Cleveland+Ave+SW%2C+New+Brighton%2C+MN+55112" TargetMode="External"/><Relationship Id="rId3154" Type="http://schemas.openxmlformats.org/officeDocument/2006/relationships/hyperlink" Target="https://npiregistry.cms.hhs.gov/provider-view/1144686247" TargetMode="External"/><Relationship Id="rId3361" Type="http://schemas.openxmlformats.org/officeDocument/2006/relationships/hyperlink" Target="https://www.google.com/maps/search/?api=1&amp;query=Associated+Chiropractic+Physicians%2F+Miller+Hill%2C+1301+Miller+Trunk+Hwy%2C+Duluth%2C+MN+55811" TargetMode="External"/><Relationship Id="rId282" Type="http://schemas.openxmlformats.org/officeDocument/2006/relationships/hyperlink" Target="https://npiregistry.cms.hhs.gov/provider-view/1861677809" TargetMode="External"/><Relationship Id="rId2170" Type="http://schemas.openxmlformats.org/officeDocument/2006/relationships/hyperlink" Target="https://npiregistry.cms.hhs.gov/provider-view/1457519431" TargetMode="External"/><Relationship Id="rId3014" Type="http://schemas.openxmlformats.org/officeDocument/2006/relationships/hyperlink" Target="https://npiregistry.cms.hhs.gov/provider-view/1255562435" TargetMode="External"/><Relationship Id="rId3221" Type="http://schemas.openxmlformats.org/officeDocument/2006/relationships/hyperlink" Target="https://www.google.com/maps/search/?api=1&amp;query=It+Matters+Neurologic+Rehabilitation%2C+5835+Wedgewood+Rd%2C+Baxter%2C+MN+56425" TargetMode="External"/><Relationship Id="rId8" Type="http://schemas.openxmlformats.org/officeDocument/2006/relationships/hyperlink" Target="https://npiregistry.cms.hhs.gov/provider-view/1437541430" TargetMode="External"/><Relationship Id="rId142" Type="http://schemas.openxmlformats.org/officeDocument/2006/relationships/hyperlink" Target="https://npiregistry.cms.hhs.gov/provider-view/1730357682" TargetMode="External"/><Relationship Id="rId2030" Type="http://schemas.openxmlformats.org/officeDocument/2006/relationships/hyperlink" Target="https://npiregistry.cms.hhs.gov/provider-view/1194919571" TargetMode="External"/><Relationship Id="rId2987" Type="http://schemas.openxmlformats.org/officeDocument/2006/relationships/hyperlink" Target="https://www.google.com/maps/search/?api=1&amp;query=Paynesville+Chiropractic+Clinic%2C+PA.%2C+319+E+Highway+55%2C+Paynesville%2C+MN+56362" TargetMode="External"/><Relationship Id="rId959" Type="http://schemas.openxmlformats.org/officeDocument/2006/relationships/hyperlink" Target="https://www.google.com/maps/search/?api=1&amp;query=Paul+T.+Wicklund%2C+MD.%2C+PA.%2C+6545+France+Ave+S%2C+Edina%2C+MN+55435" TargetMode="External"/><Relationship Id="rId1589" Type="http://schemas.openxmlformats.org/officeDocument/2006/relationships/hyperlink" Target="https://www.google.com/maps/search/?api=1&amp;query=Access+Imaging%2C+36+Nathan+Ln+N%2C+Plymouth%2C+MN+55441" TargetMode="External"/><Relationship Id="rId1449" Type="http://schemas.openxmlformats.org/officeDocument/2006/relationships/hyperlink" Target="https://www.google.com/maps/search/?api=1&amp;query=Strauman+Youde+Chiropractic%2C+2900+Thomas+Ave+S%2C+Minneapolis%2C+MN+55416" TargetMode="External"/><Relationship Id="rId1796" Type="http://schemas.openxmlformats.org/officeDocument/2006/relationships/hyperlink" Target="https://npiregistry.cms.hhs.gov/provider-view/1659464162" TargetMode="External"/><Relationship Id="rId2847" Type="http://schemas.openxmlformats.org/officeDocument/2006/relationships/hyperlink" Target="https://www.google.com/maps/search/?api=1&amp;query=Great+Lakes+Chiropractic%2C+116+Central+Ave+E%2C+St.+Michael%2C+MN+55376" TargetMode="External"/><Relationship Id="rId4062" Type="http://schemas.openxmlformats.org/officeDocument/2006/relationships/hyperlink" Target="https://npiregistry.cms.hhs.gov/provider-view/1811012594" TargetMode="External"/><Relationship Id="rId88" Type="http://schemas.openxmlformats.org/officeDocument/2006/relationships/hyperlink" Target="https://npiregistry.cms.hhs.gov/provider-view/1295132454" TargetMode="External"/><Relationship Id="rId819" Type="http://schemas.openxmlformats.org/officeDocument/2006/relationships/hyperlink" Target="https://www.google.com/maps/search/?api=1&amp;query=Flying+Cloud+Physical+Therapy%2C+PA.%2C+7707+Flying+Cloud+Dr%2C+Eden+Prairie%2C+MN+55344" TargetMode="External"/><Relationship Id="rId1656" Type="http://schemas.openxmlformats.org/officeDocument/2006/relationships/hyperlink" Target="https://npiregistry.cms.hhs.gov/provider-view/1144421835" TargetMode="External"/><Relationship Id="rId1863" Type="http://schemas.openxmlformats.org/officeDocument/2006/relationships/hyperlink" Target="https://www.google.com/maps/search/?api=1&amp;query=Total+Health+Chiropractic%2C+911+Main+St+S%2C+Cambridge%2C+MN+55008" TargetMode="External"/><Relationship Id="rId2707" Type="http://schemas.openxmlformats.org/officeDocument/2006/relationships/hyperlink" Target="https://www.google.com/maps/search/?api=1&amp;query=Kinetic+Physical+Therapy+Institute%2C+731+Bielenberg+Dr%2C+Woodbury%2C+MN+55125" TargetMode="External"/><Relationship Id="rId2914" Type="http://schemas.openxmlformats.org/officeDocument/2006/relationships/hyperlink" Target="https://npiregistry.cms.hhs.gov/provider-view/1386812477" TargetMode="External"/><Relationship Id="rId1309" Type="http://schemas.openxmlformats.org/officeDocument/2006/relationships/hyperlink" Target="https://www.google.com/maps/search/?api=1&amp;query=Kimbrell+Chiropractic+Health+Center+PA%2C+4826+Chicago+Ave+S%2C+Minneapolis%2C+MN+55417" TargetMode="External"/><Relationship Id="rId1516" Type="http://schemas.openxmlformats.org/officeDocument/2006/relationships/hyperlink" Target="https://npiregistry.cms.hhs.gov/provider-view/1427186907" TargetMode="External"/><Relationship Id="rId1723" Type="http://schemas.openxmlformats.org/officeDocument/2006/relationships/hyperlink" Target="https://www.google.com/maps/search/?api=1&amp;query=New+U+Integrative+Health%2C+21410+136th+Ave+N%2C+Rogers%2C+MN+55374" TargetMode="External"/><Relationship Id="rId1930" Type="http://schemas.openxmlformats.org/officeDocument/2006/relationships/hyperlink" Target="https://npiregistry.cms.hhs.gov/provider-view/1225320088" TargetMode="External"/><Relationship Id="rId15" Type="http://schemas.openxmlformats.org/officeDocument/2006/relationships/hyperlink" Target="https://www.google.com/maps/search/?api=1&amp;query=Anoka+Family+Wellness%2C+3507+Round+Lake+Blvd+NW%2C+Anoka%2C+MN+55303" TargetMode="External"/><Relationship Id="rId3688" Type="http://schemas.openxmlformats.org/officeDocument/2006/relationships/hyperlink" Target="https://npiregistry.cms.hhs.gov/provider-view/1750599643" TargetMode="External"/><Relationship Id="rId3895" Type="http://schemas.openxmlformats.org/officeDocument/2006/relationships/hyperlink" Target="https://www.google.com/maps/search/?api=1&amp;query=Northgate+Chiropractic+Clinic%2C+600+11th+Avenue+NW%2C+Rochester%2C+MN+55901" TargetMode="External"/><Relationship Id="rId2497" Type="http://schemas.openxmlformats.org/officeDocument/2006/relationships/hyperlink" Target="https://www.google.com/maps/search/?api=1&amp;query=Sylvester+Family+Chiropractic%2C+1275+Ramsey+Street+South%2C+Shakopee%2C+MN+55379" TargetMode="External"/><Relationship Id="rId3548" Type="http://schemas.openxmlformats.org/officeDocument/2006/relationships/hyperlink" Target="https://npiregistry.cms.hhs.gov/provider-view/1295835247" TargetMode="External"/><Relationship Id="rId3755" Type="http://schemas.openxmlformats.org/officeDocument/2006/relationships/hyperlink" Target="https://www.google.com/maps/search/?api=1&amp;query=Elite+Health+Chiropractic+Center%2C+PLLC%2C+205+S+Carver+St%2C+Winthrop%2C+MN+55396" TargetMode="External"/><Relationship Id="rId469" Type="http://schemas.openxmlformats.org/officeDocument/2006/relationships/hyperlink" Target="https://www.google.com/maps/search/?api=1&amp;query=Truecare+Chiropractic%2C+1981+Silver+Bell+Rd%2C+Eagan%2C+MN+55122" TargetMode="External"/><Relationship Id="rId676" Type="http://schemas.openxmlformats.org/officeDocument/2006/relationships/hyperlink" Target="https://npiregistry.cms.hhs.gov/provider-view/1720090814" TargetMode="External"/><Relationship Id="rId883" Type="http://schemas.openxmlformats.org/officeDocument/2006/relationships/hyperlink" Target="https://www.google.com/maps/search/?api=1&amp;query=Andrea+Burckhard+DC+PA%2C+7400+Metro+Blvd%2C+Edina%2C+MN+55439" TargetMode="External"/><Relationship Id="rId1099" Type="http://schemas.openxmlformats.org/officeDocument/2006/relationships/hyperlink" Target="https://www.google.com/maps/search/?api=1&amp;query=Plante+Chiropractic+Center%2C+INC.%2C+2073+W+Wayzata+Blvd%2C+Long+Lake%2C+MN+55356" TargetMode="External"/><Relationship Id="rId2357" Type="http://schemas.openxmlformats.org/officeDocument/2006/relationships/hyperlink" Target="https://www.google.com/maps/search/?api=1&amp;query=Healthsource+of+White+Bear+Lake%2C+PLLC%2C+4801+Highway+61+N%2C+White+Bear+Lake%2C+MN+55110" TargetMode="External"/><Relationship Id="rId2564" Type="http://schemas.openxmlformats.org/officeDocument/2006/relationships/hyperlink" Target="https://npiregistry.cms.hhs.gov/provider-view/1932430907" TargetMode="External"/><Relationship Id="rId3408" Type="http://schemas.openxmlformats.org/officeDocument/2006/relationships/hyperlink" Target="https://npiregistry.cms.hhs.gov/provider-view/1033262845" TargetMode="External"/><Relationship Id="rId3615" Type="http://schemas.openxmlformats.org/officeDocument/2006/relationships/hyperlink" Target="https://www.google.com/maps/search/?api=1&amp;query=Bartell+Chiropractic+Center%2C+PA.%2C+16151+State+Highway+29%2C+Glenwood%2C+MN+56334" TargetMode="External"/><Relationship Id="rId3962" Type="http://schemas.openxmlformats.org/officeDocument/2006/relationships/hyperlink" Target="https://npiregistry.cms.hhs.gov/provider-view/1821250127" TargetMode="External"/><Relationship Id="rId329" Type="http://schemas.openxmlformats.org/officeDocument/2006/relationships/hyperlink" Target="https://www.google.com/maps/search/?api=1&amp;query=Zeiszler+Chiropractic+Clinic%2C+PA.%2C+14635+Pennock+Ave%2C+Apple+Valley%2C+MN+55124" TargetMode="External"/><Relationship Id="rId536" Type="http://schemas.openxmlformats.org/officeDocument/2006/relationships/hyperlink" Target="https://npiregistry.cms.hhs.gov/provider-view/1083646889" TargetMode="External"/><Relationship Id="rId1166" Type="http://schemas.openxmlformats.org/officeDocument/2006/relationships/hyperlink" Target="https://npiregistry.cms.hhs.gov/provider-view/1730363607" TargetMode="External"/><Relationship Id="rId1373" Type="http://schemas.openxmlformats.org/officeDocument/2006/relationships/hyperlink" Target="https://www.google.com/maps/search/?api=1&amp;query=Minnesota+Spine+Associates%2C+333+Washington+Ave+N%2C+Minneapolis%2C+MN+55401" TargetMode="External"/><Relationship Id="rId2217" Type="http://schemas.openxmlformats.org/officeDocument/2006/relationships/hyperlink" Target="https://www.google.com/maps/search/?api=1&amp;query=Olson+Bros.+Chiropractic+PA%2C+2400+County+Road+D+W%2C+St.+Paul%2C+MN+55112" TargetMode="External"/><Relationship Id="rId2771" Type="http://schemas.openxmlformats.org/officeDocument/2006/relationships/hyperlink" Target="https://www.google.com/maps/search/?api=1&amp;query=Chiropractic+Healthplus%2C+1200+Highway+25+N%2C+Buffalo%2C+MN+55313" TargetMode="External"/><Relationship Id="rId3822" Type="http://schemas.openxmlformats.org/officeDocument/2006/relationships/hyperlink" Target="https://npiregistry.cms.hhs.gov/provider-view/1063857621" TargetMode="External"/><Relationship Id="rId743" Type="http://schemas.openxmlformats.org/officeDocument/2006/relationships/hyperlink" Target="https://www.google.com/maps/search/?api=1&amp;query=Prohealth+Chiropractic+Center%2C+8058+Brooklyn+Blvd%2C+Brooklyn+Park%2C+MN+55445" TargetMode="External"/><Relationship Id="rId950" Type="http://schemas.openxmlformats.org/officeDocument/2006/relationships/hyperlink" Target="https://npiregistry.cms.hhs.gov/provider-view/1083853410" TargetMode="External"/><Relationship Id="rId1026" Type="http://schemas.openxmlformats.org/officeDocument/2006/relationships/hyperlink" Target="https://npiregistry.cms.hhs.gov/provider-view/1588716203" TargetMode="External"/><Relationship Id="rId1580" Type="http://schemas.openxmlformats.org/officeDocument/2006/relationships/hyperlink" Target="https://npiregistry.cms.hhs.gov/provider-view/1790181915" TargetMode="External"/><Relationship Id="rId2424" Type="http://schemas.openxmlformats.org/officeDocument/2006/relationships/hyperlink" Target="https://npiregistry.cms.hhs.gov/provider-view/1609068048" TargetMode="External"/><Relationship Id="rId2631" Type="http://schemas.openxmlformats.org/officeDocument/2006/relationships/hyperlink" Target="https://www.google.com/maps/search/?api=1&amp;query=Wilson+Family+Chiropractic+PA.%2C+6466+Kings+Dr%2C+Oakdale%2C+MN+55128" TargetMode="External"/><Relationship Id="rId603" Type="http://schemas.openxmlformats.org/officeDocument/2006/relationships/hyperlink" Target="https://www.google.com/maps/search/?api=1&amp;query=Allied+Chiropractic+Center+of+Eagan+PA.%2C+3916+W+113th+St%2C+Bloomington%2C+MN+55437" TargetMode="External"/><Relationship Id="rId810" Type="http://schemas.openxmlformats.org/officeDocument/2006/relationships/hyperlink" Target="https://npiregistry.cms.hhs.gov/provider-view/1972532018" TargetMode="External"/><Relationship Id="rId1233" Type="http://schemas.openxmlformats.org/officeDocument/2006/relationships/hyperlink" Target="https://www.google.com/maps/search/?api=1&amp;query=Comprehensive+Healthcare+Service+INC%2C+2614+Nicollet+Ave%2C+Minneapolis%2C+MN+55408" TargetMode="External"/><Relationship Id="rId1440" Type="http://schemas.openxmlformats.org/officeDocument/2006/relationships/hyperlink" Target="https://npiregistry.cms.hhs.gov/provider-view/1114331667" TargetMode="External"/><Relationship Id="rId1300" Type="http://schemas.openxmlformats.org/officeDocument/2006/relationships/hyperlink" Target="https://npiregistry.cms.hhs.gov/provider-view/1083070213" TargetMode="External"/><Relationship Id="rId3198" Type="http://schemas.openxmlformats.org/officeDocument/2006/relationships/hyperlink" Target="https://npiregistry.cms.hhs.gov/provider-view/1538343496" TargetMode="External"/><Relationship Id="rId3058" Type="http://schemas.openxmlformats.org/officeDocument/2006/relationships/hyperlink" Target="https://npiregistry.cms.hhs.gov/provider-view/1013056472" TargetMode="External"/><Relationship Id="rId3265" Type="http://schemas.openxmlformats.org/officeDocument/2006/relationships/hyperlink" Target="https://www.google.com/maps/search/?api=1&amp;query=Wellnessone+of+Crosslake%2C+35272+County+Road+3%2C+Crosslake%2C+MN+56442" TargetMode="External"/><Relationship Id="rId3472" Type="http://schemas.openxmlformats.org/officeDocument/2006/relationships/hyperlink" Target="https://npiregistry.cms.hhs.gov/provider-view/1134679939" TargetMode="External"/><Relationship Id="rId4109" Type="http://schemas.openxmlformats.org/officeDocument/2006/relationships/hyperlink" Target="https://www.google.com/maps/search/?api=1&amp;query=Iowa+Lakes+Orthopaedics%2C+PC%2C+515+10th+St%2C+Worthington%2C+MN+56187" TargetMode="External"/><Relationship Id="rId186" Type="http://schemas.openxmlformats.org/officeDocument/2006/relationships/hyperlink" Target="https://npiregistry.cms.hhs.gov/provider-view/1336625326" TargetMode="External"/><Relationship Id="rId393" Type="http://schemas.openxmlformats.org/officeDocument/2006/relationships/hyperlink" Target="https://www.google.com/maps/search/?api=1&amp;query=Twin+Cities+Pain+Clinic%2C+14551+County+Road+11%2C+Burnsville%2C+MN+55337" TargetMode="External"/><Relationship Id="rId2074" Type="http://schemas.openxmlformats.org/officeDocument/2006/relationships/hyperlink" Target="https://npiregistry.cms.hhs.gov/provider-view/1649678517" TargetMode="External"/><Relationship Id="rId2281" Type="http://schemas.openxmlformats.org/officeDocument/2006/relationships/hyperlink" Target="https://www.google.com/maps/search/?api=1&amp;query=Twin+Cities+Anesthesia+Associates%2C+PA%2C+640+Jackson+St%2C+St.+Paul%2C+MN+55101" TargetMode="External"/><Relationship Id="rId3125" Type="http://schemas.openxmlformats.org/officeDocument/2006/relationships/hyperlink" Target="https://www.google.com/maps/search/?api=1&amp;query=Community+Mri+Services%2C+LLC%2C+1252+Washington+Ave%2C+Detroit+Lakes%2C+MN+56501" TargetMode="External"/><Relationship Id="rId3332" Type="http://schemas.openxmlformats.org/officeDocument/2006/relationships/hyperlink" Target="https://npiregistry.cms.hhs.gov/provider-view/1033267968" TargetMode="External"/><Relationship Id="rId253" Type="http://schemas.openxmlformats.org/officeDocument/2006/relationships/hyperlink" Target="https://www.google.com/maps/search/?api=1&amp;query=Northwoods+Chiropractic+of+Chisago+City+PA%2C+11185+Lake+Blvd%2C+Chisago+City%2C+MN+55013" TargetMode="External"/><Relationship Id="rId460" Type="http://schemas.openxmlformats.org/officeDocument/2006/relationships/hyperlink" Target="https://npiregistry.cms.hhs.gov/provider-view/1700311321" TargetMode="External"/><Relationship Id="rId1090" Type="http://schemas.openxmlformats.org/officeDocument/2006/relationships/hyperlink" Target="https://npiregistry.cms.hhs.gov/provider-view/1669923413" TargetMode="External"/><Relationship Id="rId2141" Type="http://schemas.openxmlformats.org/officeDocument/2006/relationships/hyperlink" Target="https://www.google.com/maps/search/?api=1&amp;query=Groveland+Chiropracitc%2C+2052+Saint+Clair+Ave%2C+St.+Paul%2C+MN+55105" TargetMode="External"/><Relationship Id="rId113" Type="http://schemas.openxmlformats.org/officeDocument/2006/relationships/hyperlink" Target="https://www.google.com/maps/search/?api=1&amp;query=William+C.+Gustafson%2C+DC.%2C+PA.%2C+199+Coon+Rapids+Blvd%2C+Coon+Rapids%2C+MN+55433" TargetMode="External"/><Relationship Id="rId320" Type="http://schemas.openxmlformats.org/officeDocument/2006/relationships/hyperlink" Target="https://npiregistry.cms.hhs.gov/provider-view/1427268275" TargetMode="External"/><Relationship Id="rId2001" Type="http://schemas.openxmlformats.org/officeDocument/2006/relationships/hyperlink" Target="https://www.google.com/maps/search/?api=1&amp;query=Advanced+Chiropractic+%26+Wellness+Clinic%2C+3434+Lexington+Ave+N%2C+Shoreview%2C+MN+55126" TargetMode="External"/><Relationship Id="rId2958" Type="http://schemas.openxmlformats.org/officeDocument/2006/relationships/hyperlink" Target="https://npiregistry.cms.hhs.gov/provider-view/1679998983" TargetMode="External"/><Relationship Id="rId1767" Type="http://schemas.openxmlformats.org/officeDocument/2006/relationships/hyperlink" Target="https://www.google.com/maps/search/?api=1&amp;query=Full+Circle+Physical+Therapy+and+Wellness+LLC%2C+4031+Yosemite+Ave+S%2C+St.+Louis+Park%2C+MN+55416" TargetMode="External"/><Relationship Id="rId1974" Type="http://schemas.openxmlformats.org/officeDocument/2006/relationships/hyperlink" Target="https://npiregistry.cms.hhs.gov/provider-view/1487173563" TargetMode="External"/><Relationship Id="rId2818" Type="http://schemas.openxmlformats.org/officeDocument/2006/relationships/hyperlink" Target="https://npiregistry.cms.hhs.gov/provider-view/1265768220" TargetMode="External"/><Relationship Id="rId59" Type="http://schemas.openxmlformats.org/officeDocument/2006/relationships/hyperlink" Target="https://www.google.com/maps/search/?api=1&amp;query=Maki+Chiropractic+LLC%2C+607+County+Road+10+NE%2C+Blaine%2C+MN+55434" TargetMode="External"/><Relationship Id="rId1627" Type="http://schemas.openxmlformats.org/officeDocument/2006/relationships/hyperlink" Target="https://www.google.com/maps/search/?api=1&amp;query=Metropolitan+Oral+and+Maxillofacial+Surgeons+PA%2C+2855+Campus+Dr%2C+Plymouth%2C+MN+55441" TargetMode="External"/><Relationship Id="rId1834" Type="http://schemas.openxmlformats.org/officeDocument/2006/relationships/hyperlink" Target="https://npiregistry.cms.hhs.gov/provider-view/1548449382" TargetMode="External"/><Relationship Id="rId4033" Type="http://schemas.openxmlformats.org/officeDocument/2006/relationships/hyperlink" Target="https://www.google.com/maps/search/?api=1&amp;query=Cornerstone+Chiropractic+Health+Partners%2C+519+S+1st+St%2C+Montevideo%2C+MN+56265" TargetMode="External"/><Relationship Id="rId3799" Type="http://schemas.openxmlformats.org/officeDocument/2006/relationships/hyperlink" Target="https://www.google.com/maps/search/?api=1&amp;query=Great+River+Therapy+INC%2C+416+W+3rd+St%2C+Red+Wing%2C+MN+55066" TargetMode="External"/><Relationship Id="rId4100" Type="http://schemas.openxmlformats.org/officeDocument/2006/relationships/hyperlink" Target="https://npiregistry.cms.hhs.gov/provider-view/1417277054" TargetMode="External"/><Relationship Id="rId1901" Type="http://schemas.openxmlformats.org/officeDocument/2006/relationships/hyperlink" Target="https://www.google.com/maps/search/?api=1&amp;query=Maplewood+White+Bear+Chiropractic+Center%2C+2055+White+Bear+Ave+N%2C+Maplewood%2C+MN+55109" TargetMode="External"/><Relationship Id="rId3659" Type="http://schemas.openxmlformats.org/officeDocument/2006/relationships/hyperlink" Target="https://www.google.com/maps/search/?api=1&amp;query=Kinetic+Spine+%26+Sport%2C+1219+Caledonia+St%2C+Mankato%2C+MN+56001" TargetMode="External"/><Relationship Id="rId3866" Type="http://schemas.openxmlformats.org/officeDocument/2006/relationships/hyperlink" Target="https://npiregistry.cms.hhs.gov/provider-view/1528337292" TargetMode="External"/><Relationship Id="rId787" Type="http://schemas.openxmlformats.org/officeDocument/2006/relationships/hyperlink" Target="https://www.google.com/maps/search/?api=1&amp;query=Northwoods+Spine+Instsitute%2C+PA%2C+5524+W+Broadway+Ave%2C+Crystal%2C+MN+55428" TargetMode="External"/><Relationship Id="rId994" Type="http://schemas.openxmlformats.org/officeDocument/2006/relationships/hyperlink" Target="https://npiregistry.cms.hhs.gov/provider-view/1225334493" TargetMode="External"/><Relationship Id="rId2468" Type="http://schemas.openxmlformats.org/officeDocument/2006/relationships/hyperlink" Target="https://npiregistry.cms.hhs.gov/provider-view/1073158879" TargetMode="External"/><Relationship Id="rId2675" Type="http://schemas.openxmlformats.org/officeDocument/2006/relationships/hyperlink" Target="https://www.google.com/maps/search/?api=1&amp;query=Stillpoint%2C+333+Main+St+N%2C+Stillwater%2C+MN+55082" TargetMode="External"/><Relationship Id="rId2882" Type="http://schemas.openxmlformats.org/officeDocument/2006/relationships/hyperlink" Target="https://npiregistry.cms.hhs.gov/provider-view/1134388549" TargetMode="External"/><Relationship Id="rId3519" Type="http://schemas.openxmlformats.org/officeDocument/2006/relationships/hyperlink" Target="https://www.google.com/maps/search/?api=1&amp;query=Morlock+Chiropractic+Center%2C+1602+30th+Ave+S%2C+Moorhead%2C+MN+56560" TargetMode="External"/><Relationship Id="rId3726" Type="http://schemas.openxmlformats.org/officeDocument/2006/relationships/hyperlink" Target="https://npiregistry.cms.hhs.gov/provider-view/1043613540" TargetMode="External"/><Relationship Id="rId3933" Type="http://schemas.openxmlformats.org/officeDocument/2006/relationships/hyperlink" Target="https://www.google.com/maps/search/?api=1&amp;query=Faribault+Wellness+Center%2C+PA.%2C+120+Central+Ave+N%2C+Faribault%2C+MN+55021" TargetMode="External"/><Relationship Id="rId647" Type="http://schemas.openxmlformats.org/officeDocument/2006/relationships/hyperlink" Target="https://www.google.com/maps/search/?api=1&amp;query=Karn+Chiropractic%2C+LLC%2C+5300+Hyland+Greens+Dr%2C+Bloomington%2C+MN+55437" TargetMode="External"/><Relationship Id="rId854" Type="http://schemas.openxmlformats.org/officeDocument/2006/relationships/hyperlink" Target="https://npiregistry.cms.hhs.gov/provider-view/1407303688" TargetMode="External"/><Relationship Id="rId1277" Type="http://schemas.openxmlformats.org/officeDocument/2006/relationships/hyperlink" Target="https://www.google.com/maps/search/?api=1&amp;query=Hanson+Chiropractic%2C+PA.%2C+1222+2nd+St+NE%2C+Minneapolis%2C+MN+55413" TargetMode="External"/><Relationship Id="rId1484" Type="http://schemas.openxmlformats.org/officeDocument/2006/relationships/hyperlink" Target="https://npiregistry.cms.hhs.gov/provider-view/1770913600" TargetMode="External"/><Relationship Id="rId1691" Type="http://schemas.openxmlformats.org/officeDocument/2006/relationships/hyperlink" Target="https://www.google.com/maps/search/?api=1&amp;query=Balanced+Chiropractic%2C+3946+Zane+Ave+N%2C+Robbinsdale%2C+MN+55422" TargetMode="External"/><Relationship Id="rId2328" Type="http://schemas.openxmlformats.org/officeDocument/2006/relationships/hyperlink" Target="https://npiregistry.cms.hhs.gov/provider-view/1912277195" TargetMode="External"/><Relationship Id="rId2535" Type="http://schemas.openxmlformats.org/officeDocument/2006/relationships/hyperlink" Target="https://www.google.com/maps/search/?api=1&amp;query=Dr+Feehan+LTD%2C+3343+Saint+Croix+Trl+S%2C+Afton%2C+MN+55001" TargetMode="External"/><Relationship Id="rId2742" Type="http://schemas.openxmlformats.org/officeDocument/2006/relationships/hyperlink" Target="https://npiregistry.cms.hhs.gov/provider-view/1457972150" TargetMode="External"/><Relationship Id="rId507" Type="http://schemas.openxmlformats.org/officeDocument/2006/relationships/hyperlink" Target="https://www.google.com/maps/search/?api=1&amp;query=Synergy+Chiropractic%2C+PA%2C+2125+Upper+55th+St+E%2C+Inver+Grove+Heights%2C+MN+55077" TargetMode="External"/><Relationship Id="rId714" Type="http://schemas.openxmlformats.org/officeDocument/2006/relationships/hyperlink" Target="https://npiregistry.cms.hhs.gov/provider-view/1194186189" TargetMode="External"/><Relationship Id="rId921" Type="http://schemas.openxmlformats.org/officeDocument/2006/relationships/hyperlink" Target="https://www.google.com/maps/search/?api=1&amp;query=Integrated+Health+of+Minnesota+LLC%2C+7250+France+Ave+S%2C+Edina%2C+MN+55435" TargetMode="External"/><Relationship Id="rId1137" Type="http://schemas.openxmlformats.org/officeDocument/2006/relationships/hyperlink" Target="https://www.google.com/maps/search/?api=1&amp;query=Maple+Grove+Imaging+Center%2C+9855+Hospital+Drive%2C+Maple+Grove%2C+MN+55369" TargetMode="External"/><Relationship Id="rId1344" Type="http://schemas.openxmlformats.org/officeDocument/2006/relationships/hyperlink" Target="https://npiregistry.cms.hhs.gov/provider-view/1083899595" TargetMode="External"/><Relationship Id="rId1551" Type="http://schemas.openxmlformats.org/officeDocument/2006/relationships/hyperlink" Target="https://www.google.com/maps/search/?api=1&amp;query=The+Arne+Clinic+PA.%2C+12991+Ridgedale+Dr%2C+Minnetonka%2C+MN+55305" TargetMode="External"/><Relationship Id="rId2602" Type="http://schemas.openxmlformats.org/officeDocument/2006/relationships/hyperlink" Target="https://npiregistry.cms.hhs.gov/provider-view/1538218284" TargetMode="External"/><Relationship Id="rId50" Type="http://schemas.openxmlformats.org/officeDocument/2006/relationships/hyperlink" Target="https://npiregistry.cms.hhs.gov/provider-view/1316244882" TargetMode="External"/><Relationship Id="rId1204" Type="http://schemas.openxmlformats.org/officeDocument/2006/relationships/hyperlink" Target="https://npiregistry.cms.hhs.gov/provider-view/1881894343" TargetMode="External"/><Relationship Id="rId1411" Type="http://schemas.openxmlformats.org/officeDocument/2006/relationships/hyperlink" Target="https://www.google.com/maps/search/?api=1&amp;query=Rebound+Physical+Therapy%2C+INC.%2C+2700+East+Lake+Street%2C+Minneapolis%2C+MN+55406" TargetMode="External"/><Relationship Id="rId3169" Type="http://schemas.openxmlformats.org/officeDocument/2006/relationships/hyperlink" Target="https://www.google.com/maps/search/?api=1&amp;query=Robert+S+Johnson+Chiropractic+LTD%2C+3620+Bemidji+Ave+N%2C+Bemidji%2C+MN+56601" TargetMode="External"/><Relationship Id="rId3376" Type="http://schemas.openxmlformats.org/officeDocument/2006/relationships/hyperlink" Target="https://npiregistry.cms.hhs.gov/provider-view/1578700225" TargetMode="External"/><Relationship Id="rId3583" Type="http://schemas.openxmlformats.org/officeDocument/2006/relationships/hyperlink" Target="https://www.google.com/maps/search/?api=1&amp;query=Matthys+Orthopaedic+Center%2C+129+E+Lincoln+Ave%2C+Fergus+Falls%2C+MN+56537" TargetMode="External"/><Relationship Id="rId297" Type="http://schemas.openxmlformats.org/officeDocument/2006/relationships/hyperlink" Target="https://www.google.com/maps/search/?api=1&amp;query=Cmh+Chiropractic%2C+PLLC%2C+13735+Pennock+Ave%2C+Apple+Valley%2C+MN+55124" TargetMode="External"/><Relationship Id="rId2185" Type="http://schemas.openxmlformats.org/officeDocument/2006/relationships/hyperlink" Target="https://www.google.com/maps/search/?api=1&amp;query=Mark+F.+Lavallie%2C+DC.%2C+261+Ruth+St+N%2C+St.+Paul%2C+MN+55119" TargetMode="External"/><Relationship Id="rId2392" Type="http://schemas.openxmlformats.org/officeDocument/2006/relationships/hyperlink" Target="https://npiregistry.cms.hhs.gov/provider-view/1679995427" TargetMode="External"/><Relationship Id="rId3029" Type="http://schemas.openxmlformats.org/officeDocument/2006/relationships/hyperlink" Target="https://www.google.com/maps/search/?api=1&amp;query=Mainstreet+Chiropractic%2C+1008+Main+St+S%2C+Sauk+Centre%2C+MN+56378" TargetMode="External"/><Relationship Id="rId3236" Type="http://schemas.openxmlformats.org/officeDocument/2006/relationships/hyperlink" Target="https://npiregistry.cms.hhs.gov/provider-view/1679065346" TargetMode="External"/><Relationship Id="rId3790" Type="http://schemas.openxmlformats.org/officeDocument/2006/relationships/hyperlink" Target="https://npiregistry.cms.hhs.gov/provider-view/1205387198" TargetMode="External"/><Relationship Id="rId157" Type="http://schemas.openxmlformats.org/officeDocument/2006/relationships/hyperlink" Target="https://www.google.com/maps/search/?api=1&amp;query=Performance+Sports+Chiropractic+Center%2C+7876+Sunwood+Dr+NW%2C+Ramsey%2C+MN+55303" TargetMode="External"/><Relationship Id="rId364" Type="http://schemas.openxmlformats.org/officeDocument/2006/relationships/hyperlink" Target="https://npiregistry.cms.hhs.gov/provider-view/1730193715" TargetMode="External"/><Relationship Id="rId2045" Type="http://schemas.openxmlformats.org/officeDocument/2006/relationships/hyperlink" Target="https://www.google.com/maps/search/?api=1&amp;query=Allied+Physical+Therapy+LLC%2C+506+E+Kenny+Road%2C+St.+Paul%2C+MN+55130" TargetMode="External"/><Relationship Id="rId3443" Type="http://schemas.openxmlformats.org/officeDocument/2006/relationships/hyperlink" Target="https://www.google.com/maps/search/?api=1&amp;query=Peak+Physical+Therapy%2C+INC.%2C+3775+Orourke+Rd%2C+Hibbing%2C+MN+55746" TargetMode="External"/><Relationship Id="rId3650" Type="http://schemas.openxmlformats.org/officeDocument/2006/relationships/hyperlink" Target="https://npiregistry.cms.hhs.gov/provider-view/1104139278" TargetMode="External"/><Relationship Id="rId571" Type="http://schemas.openxmlformats.org/officeDocument/2006/relationships/hyperlink" Target="https://www.google.com/maps/search/?api=1&amp;query=Bodyfix+Physical+Therapy+LLC%2C+13956+Clover+Ln%2C+Rosemount%2C+MN+55068" TargetMode="External"/><Relationship Id="rId2252" Type="http://schemas.openxmlformats.org/officeDocument/2006/relationships/hyperlink" Target="https://npiregistry.cms.hhs.gov/provider-view/1467662742" TargetMode="External"/><Relationship Id="rId3303" Type="http://schemas.openxmlformats.org/officeDocument/2006/relationships/hyperlink" Target="https://www.google.com/maps/search/?api=1&amp;query=Gunnerson+Chiropractic+INC.%2C+1325+NW+4th+St%2C+Grand+Rapids%2C+MN+55744" TargetMode="External"/><Relationship Id="rId3510" Type="http://schemas.openxmlformats.org/officeDocument/2006/relationships/hyperlink" Target="https://npiregistry.cms.hhs.gov/provider-view/1235338302" TargetMode="External"/><Relationship Id="rId224" Type="http://schemas.openxmlformats.org/officeDocument/2006/relationships/hyperlink" Target="https://npiregistry.cms.hhs.gov/provider-view/1245780329" TargetMode="External"/><Relationship Id="rId431" Type="http://schemas.openxmlformats.org/officeDocument/2006/relationships/hyperlink" Target="https://www.google.com/maps/search/?api=1&amp;query=Hartley+Chiropractic+Wellness+Center%2C+LLC%2C+3390+Coachman+Rd%2C+Eagan%2C+MN+55121" TargetMode="External"/><Relationship Id="rId1061" Type="http://schemas.openxmlformats.org/officeDocument/2006/relationships/hyperlink" Target="https://www.google.com/maps/search/?api=1&amp;query=Twin+Cities+Diagnostic+Center%2C+LLC.%2C+7570+Wayzata+Boulevard%2C+Golden+Valley%2C+MN+55426" TargetMode="External"/><Relationship Id="rId2112" Type="http://schemas.openxmlformats.org/officeDocument/2006/relationships/hyperlink" Target="https://npiregistry.cms.hhs.gov/provider-view/1285829267" TargetMode="External"/><Relationship Id="rId1878" Type="http://schemas.openxmlformats.org/officeDocument/2006/relationships/hyperlink" Target="https://npiregistry.cms.hhs.gov/provider-view/1366031668" TargetMode="External"/><Relationship Id="rId2929" Type="http://schemas.openxmlformats.org/officeDocument/2006/relationships/hyperlink" Target="https://www.google.com/maps/search/?api=1&amp;query=Princeton+Chiropractic+Office+PA%2C+501+4th+St+S%2C+Princeton%2C+MN+55371" TargetMode="External"/><Relationship Id="rId4077" Type="http://schemas.openxmlformats.org/officeDocument/2006/relationships/hyperlink" Target="https://www.google.com/maps/search/?api=1&amp;query=Raschke+Chiropractic+Center+INC.%2C+108+Center+St.+N.%2C+Lake+Benton%2C+MN+56149" TargetMode="External"/><Relationship Id="rId1738" Type="http://schemas.openxmlformats.org/officeDocument/2006/relationships/hyperlink" Target="https://npiregistry.cms.hhs.gov/provider-view/1760966147" TargetMode="External"/><Relationship Id="rId3093" Type="http://schemas.openxmlformats.org/officeDocument/2006/relationships/hyperlink" Target="https://www.google.com/maps/search/?api=1&amp;query=Atlas+Family+Chiropractic%2C+INC.%2C+110+2nd+St+S%2C+Waite+Park%2C+MN+56387" TargetMode="External"/><Relationship Id="rId4144" Type="http://schemas.openxmlformats.org/officeDocument/2006/relationships/hyperlink" Target="https://npiregistry.cms.hhs.gov/provider-view/1376748400" TargetMode="External"/><Relationship Id="rId1945" Type="http://schemas.openxmlformats.org/officeDocument/2006/relationships/hyperlink" Target="https://www.google.com/maps/search/?api=1&amp;query=Key+Chiropractic%2C+LTD%2C+2597+7th+Ave+E%2C+North+St+Paul%2C+MN+55109" TargetMode="External"/><Relationship Id="rId3160" Type="http://schemas.openxmlformats.org/officeDocument/2006/relationships/hyperlink" Target="https://npiregistry.cms.hhs.gov/provider-view/1326552944" TargetMode="External"/><Relationship Id="rId4004" Type="http://schemas.openxmlformats.org/officeDocument/2006/relationships/hyperlink" Target="https://npiregistry.cms.hhs.gov/provider-view/1982873337" TargetMode="External"/><Relationship Id="rId1805" Type="http://schemas.openxmlformats.org/officeDocument/2006/relationships/hyperlink" Target="https://www.google.com/maps/search/?api=1&amp;query=Sarah+A.+Bittell+DC.+P.+A.%2C+5810+Excelsior+Blvd%2C+St.+Louis+Park%2C+MN+55416" TargetMode="External"/><Relationship Id="rId3020" Type="http://schemas.openxmlformats.org/officeDocument/2006/relationships/hyperlink" Target="https://npiregistry.cms.hhs.gov/provider-view/1821244237" TargetMode="External"/><Relationship Id="rId3977" Type="http://schemas.openxmlformats.org/officeDocument/2006/relationships/hyperlink" Target="https://www.google.com/maps/search/?api=1&amp;query=Imaging+Associates%2C+PA%2C+903+S+Oak+Ave%2C+Owatonna%2C+MN+55060" TargetMode="External"/><Relationship Id="rId898" Type="http://schemas.openxmlformats.org/officeDocument/2006/relationships/hyperlink" Target="https://npiregistry.cms.hhs.gov/provider-view/1558636225" TargetMode="External"/><Relationship Id="rId2579" Type="http://schemas.openxmlformats.org/officeDocument/2006/relationships/hyperlink" Target="https://www.google.com/maps/search/?api=1&amp;query=Healthsource+of+Hugo%2C+14643+Mercantile+Dr+N%2C+Hugo%2C+MN+55038" TargetMode="External"/><Relationship Id="rId2786" Type="http://schemas.openxmlformats.org/officeDocument/2006/relationships/hyperlink" Target="https://npiregistry.cms.hhs.gov/provider-view/1265744742" TargetMode="External"/><Relationship Id="rId2993" Type="http://schemas.openxmlformats.org/officeDocument/2006/relationships/hyperlink" Target="https://www.google.com/maps/search/?api=1&amp;query=Chiropractic+Health+Center%2C+161+19th+St+S%2C+Sartell%2C+MN+56377" TargetMode="External"/><Relationship Id="rId3837" Type="http://schemas.openxmlformats.org/officeDocument/2006/relationships/hyperlink" Target="https://www.google.com/maps/search/?api=1&amp;query=Kramer+Chiropracitic+Wellness+Center%2C+LLC%2C+317+1st+St+S%2C+Montgomery%2C+MN+56069" TargetMode="External"/><Relationship Id="rId758" Type="http://schemas.openxmlformats.org/officeDocument/2006/relationships/hyperlink" Target="https://npiregistry.cms.hhs.gov/provider-view/1225105570" TargetMode="External"/><Relationship Id="rId965" Type="http://schemas.openxmlformats.org/officeDocument/2006/relationships/hyperlink" Target="https://www.google.com/maps/search/?api=1&amp;query=Premier+Interventional+Pain+Specialists%2C+7450+France+Ave+S%2C+Edina%2C+MN+55435" TargetMode="External"/><Relationship Id="rId1388" Type="http://schemas.openxmlformats.org/officeDocument/2006/relationships/hyperlink" Target="https://npiregistry.cms.hhs.gov/provider-view/1851463475" TargetMode="External"/><Relationship Id="rId1595" Type="http://schemas.openxmlformats.org/officeDocument/2006/relationships/hyperlink" Target="https://www.google.com/maps/search/?api=1&amp;query=Balanced+Health+Chiropractic%2C+PA%2C+12805+State+Highway+55%2C+Plymouth%2C+MN+55441" TargetMode="External"/><Relationship Id="rId2439" Type="http://schemas.openxmlformats.org/officeDocument/2006/relationships/hyperlink" Target="https://www.google.com/maps/search/?api=1&amp;query=Clearwater+Chiropractic%2C+14055+Highway+13+S%2C+Savage%2C+MN+55378" TargetMode="External"/><Relationship Id="rId2646" Type="http://schemas.openxmlformats.org/officeDocument/2006/relationships/hyperlink" Target="https://npiregistry.cms.hhs.gov/provider-view/1447332580" TargetMode="External"/><Relationship Id="rId2853" Type="http://schemas.openxmlformats.org/officeDocument/2006/relationships/hyperlink" Target="https://www.google.com/maps/search/?api=1&amp;query=St.+Michael+Spinal+Rehab+Center%2C+INC%2C+400+Central+Ave+E%2C+St.+Michael%2C+MN+55376" TargetMode="External"/><Relationship Id="rId3904" Type="http://schemas.openxmlformats.org/officeDocument/2006/relationships/hyperlink" Target="https://npiregistry.cms.hhs.gov/provider-view/1598290884" TargetMode="External"/><Relationship Id="rId94" Type="http://schemas.openxmlformats.org/officeDocument/2006/relationships/hyperlink" Target="https://npiregistry.cms.hhs.gov/provider-view/1669840567" TargetMode="External"/><Relationship Id="rId618" Type="http://schemas.openxmlformats.org/officeDocument/2006/relationships/hyperlink" Target="https://npiregistry.cms.hhs.gov/provider-view/1841492428" TargetMode="External"/><Relationship Id="rId825" Type="http://schemas.openxmlformats.org/officeDocument/2006/relationships/hyperlink" Target="https://www.google.com/maps/search/?api=1&amp;query=Healthstar+Chiropractic+Center%2C+PA.%2C+7525+Mitchell+Rd%2C+Eden+Prairie%2C+MN+55344" TargetMode="External"/><Relationship Id="rId1248" Type="http://schemas.openxmlformats.org/officeDocument/2006/relationships/hyperlink" Target="https://npiregistry.cms.hhs.gov/provider-view/1043239221" TargetMode="External"/><Relationship Id="rId1455" Type="http://schemas.openxmlformats.org/officeDocument/2006/relationships/hyperlink" Target="https://www.google.com/maps/search/?api=1&amp;query=Supreme+Physical+Therapy%2C+INC.%2C+5201+Chowen+Ave+S%2C+Minneapolis%2C+MN+55410" TargetMode="External"/><Relationship Id="rId1662" Type="http://schemas.openxmlformats.org/officeDocument/2006/relationships/hyperlink" Target="https://npiregistry.cms.hhs.gov/provider-view/1871640912" TargetMode="External"/><Relationship Id="rId2506" Type="http://schemas.openxmlformats.org/officeDocument/2006/relationships/hyperlink" Target="https://npiregistry.cms.hhs.gov/provider-view/1811042146" TargetMode="External"/><Relationship Id="rId1108" Type="http://schemas.openxmlformats.org/officeDocument/2006/relationships/hyperlink" Target="https://npiregistry.cms.hhs.gov/provider-view/1710125562" TargetMode="External"/><Relationship Id="rId1315" Type="http://schemas.openxmlformats.org/officeDocument/2006/relationships/hyperlink" Target="https://www.google.com/maps/search/?api=1&amp;query=Koslowski+Chiropractic+INC%2C+312+Central+Avenue+SE%2C+Minneapolis%2C+MN+55414" TargetMode="External"/><Relationship Id="rId2713" Type="http://schemas.openxmlformats.org/officeDocument/2006/relationships/hyperlink" Target="https://www.google.com/maps/search/?api=1&amp;query=Lifestyle+Physical+Therapy%2C+LLC%2C+6940+Newbury+Rd%2C+Woodbury%2C+MN+55125" TargetMode="External"/><Relationship Id="rId2920" Type="http://schemas.openxmlformats.org/officeDocument/2006/relationships/hyperlink" Target="https://npiregistry.cms.hhs.gov/provider-view/1689733362" TargetMode="External"/><Relationship Id="rId1522" Type="http://schemas.openxmlformats.org/officeDocument/2006/relationships/hyperlink" Target="https://npiregistry.cms.hhs.gov/provider-view/1639632482" TargetMode="External"/><Relationship Id="rId21" Type="http://schemas.openxmlformats.org/officeDocument/2006/relationships/hyperlink" Target="https://www.google.com/maps/search/?api=1&amp;query=Manuel+Chiropractic+Center%2C+2321+7th+Ave%2C+Anoka%2C+MN+55303" TargetMode="External"/><Relationship Id="rId2089" Type="http://schemas.openxmlformats.org/officeDocument/2006/relationships/hyperlink" Target="https://www.google.com/maps/search/?api=1&amp;query=Chirodefense%2C+LLC%2C+1068+Payne+Ave%2C+St.+Paul%2C+MN+55130" TargetMode="External"/><Relationship Id="rId3487" Type="http://schemas.openxmlformats.org/officeDocument/2006/relationships/hyperlink" Target="https://www.google.com/maps/search/?api=1&amp;query=Fosston+Chiropractic+Clinic%2C+PA.%2C+104+Johnson+Ave+N%2C+Fosston%2C+MN+56542" TargetMode="External"/><Relationship Id="rId3694" Type="http://schemas.openxmlformats.org/officeDocument/2006/relationships/hyperlink" Target="https://npiregistry.cms.hhs.gov/provider-view/1760788194" TargetMode="External"/><Relationship Id="rId2296" Type="http://schemas.openxmlformats.org/officeDocument/2006/relationships/hyperlink" Target="https://npiregistry.cms.hhs.gov/provider-view/1255563227" TargetMode="External"/><Relationship Id="rId3347" Type="http://schemas.openxmlformats.org/officeDocument/2006/relationships/hyperlink" Target="https://www.google.com/maps/search/?api=1&amp;query=Bodies+In+Balance+INC.%2C+1313+Fairgrounds+Rd%2C+Two+Harbors%2C+MN+55616" TargetMode="External"/><Relationship Id="rId3554" Type="http://schemas.openxmlformats.org/officeDocument/2006/relationships/hyperlink" Target="https://npiregistry.cms.hhs.gov/provider-view/1679795751" TargetMode="External"/><Relationship Id="rId3761" Type="http://schemas.openxmlformats.org/officeDocument/2006/relationships/hyperlink" Target="https://www.google.com/maps/search/?api=1&amp;query=Dodge+Center+Chiropractic+Office%2C+PA.%2C+405+2nd+Ave+NW%2C+Dodge+Center%2C+MN+55927" TargetMode="External"/><Relationship Id="rId268" Type="http://schemas.openxmlformats.org/officeDocument/2006/relationships/hyperlink" Target="https://npiregistry.cms.hhs.gov/provider-view/1831542562" TargetMode="External"/><Relationship Id="rId475" Type="http://schemas.openxmlformats.org/officeDocument/2006/relationships/hyperlink" Target="https://www.google.com/maps/search/?api=1&amp;query=Farmington+Chiropractic+Clinic+PA%2C+115+Elm+St%2C+Farmington%2C+MN+55024" TargetMode="External"/><Relationship Id="rId682" Type="http://schemas.openxmlformats.org/officeDocument/2006/relationships/hyperlink" Target="https://npiregistry.cms.hhs.gov/provider-view/1780055632" TargetMode="External"/><Relationship Id="rId2156" Type="http://schemas.openxmlformats.org/officeDocument/2006/relationships/hyperlink" Target="https://npiregistry.cms.hhs.gov/provider-view/1629477013" TargetMode="External"/><Relationship Id="rId2363" Type="http://schemas.openxmlformats.org/officeDocument/2006/relationships/hyperlink" Target="https://www.google.com/maps/search/?api=1&amp;query=Locketz+Rehabilitation%2C+4721+Clark+Ave%2C+White+Bear+Lake%2C+MN+55110" TargetMode="External"/><Relationship Id="rId2570" Type="http://schemas.openxmlformats.org/officeDocument/2006/relationships/hyperlink" Target="https://npiregistry.cms.hhs.gov/provider-view/1043841414" TargetMode="External"/><Relationship Id="rId3207" Type="http://schemas.openxmlformats.org/officeDocument/2006/relationships/hyperlink" Target="https://www.google.com/maps/search/?api=1&amp;query=Axness+Chiropractic+Massage+and+Wellness%2C+7350+Clearwater+Rd%2C+Baxter%2C+MN+56425" TargetMode="External"/><Relationship Id="rId3414" Type="http://schemas.openxmlformats.org/officeDocument/2006/relationships/hyperlink" Target="https://npiregistry.cms.hhs.gov/provider-view/1174748974" TargetMode="External"/><Relationship Id="rId3621" Type="http://schemas.openxmlformats.org/officeDocument/2006/relationships/hyperlink" Target="https://www.google.com/maps/search/?api=1&amp;query=Bst+Morris+LLC%2C+616+Atlantic+Ave%2C+Morris%2C+MN+56267" TargetMode="External"/><Relationship Id="rId128" Type="http://schemas.openxmlformats.org/officeDocument/2006/relationships/hyperlink" Target="https://npiregistry.cms.hhs.gov/provider-view/1932150117" TargetMode="External"/><Relationship Id="rId335" Type="http://schemas.openxmlformats.org/officeDocument/2006/relationships/hyperlink" Target="https://www.google.com/maps/search/?api=1&amp;query=Burnhaven+Chiropractic%2C+14600+10th+Ave+S%2C+Burnsville%2C+MN+55337" TargetMode="External"/><Relationship Id="rId542" Type="http://schemas.openxmlformats.org/officeDocument/2006/relationships/hyperlink" Target="https://npiregistry.cms.hhs.gov/provider-view/1083857825" TargetMode="External"/><Relationship Id="rId1172" Type="http://schemas.openxmlformats.org/officeDocument/2006/relationships/hyperlink" Target="https://npiregistry.cms.hhs.gov/provider-view/1467682732" TargetMode="External"/><Relationship Id="rId2016" Type="http://schemas.openxmlformats.org/officeDocument/2006/relationships/hyperlink" Target="https://npiregistry.cms.hhs.gov/provider-view/1841511425" TargetMode="External"/><Relationship Id="rId2223" Type="http://schemas.openxmlformats.org/officeDocument/2006/relationships/hyperlink" Target="https://www.google.com/maps/search/?api=1&amp;query=Perfect+Balance+Physical+Therapy%2C+876+Selby+Ave%2C+St.+Paul%2C+MN+55104" TargetMode="External"/><Relationship Id="rId2430" Type="http://schemas.openxmlformats.org/officeDocument/2006/relationships/hyperlink" Target="https://npiregistry.cms.hhs.gov/provider-view/1528409802" TargetMode="External"/><Relationship Id="rId402" Type="http://schemas.openxmlformats.org/officeDocument/2006/relationships/hyperlink" Target="https://npiregistry.cms.hhs.gov/provider-view/1588808992" TargetMode="External"/><Relationship Id="rId1032" Type="http://schemas.openxmlformats.org/officeDocument/2006/relationships/hyperlink" Target="https://npiregistry.cms.hhs.gov/provider-view/1316190770" TargetMode="External"/><Relationship Id="rId1989" Type="http://schemas.openxmlformats.org/officeDocument/2006/relationships/hyperlink" Target="https://www.google.com/maps/search/?api=1&amp;query=Soma+Chiro+%26+Functional+Medicine%2C+2345+Rice+St%2C+Roseville%2C+MN+55113" TargetMode="External"/><Relationship Id="rId4048" Type="http://schemas.openxmlformats.org/officeDocument/2006/relationships/hyperlink" Target="https://npiregistry.cms.hhs.gov/provider-view/1003075615" TargetMode="External"/><Relationship Id="rId1849" Type="http://schemas.openxmlformats.org/officeDocument/2006/relationships/hyperlink" Target="https://www.google.com/maps/search/?api=1&amp;query=Tree+of+Life+Chiropractic+Clinic+PA.%2C+1001+Twelve+Oaks+Center+Drive%2C+Wayzata%2C+MN+55391" TargetMode="External"/><Relationship Id="rId3064" Type="http://schemas.openxmlformats.org/officeDocument/2006/relationships/hyperlink" Target="https://npiregistry.cms.hhs.gov/provider-view/1992783997" TargetMode="External"/><Relationship Id="rId192" Type="http://schemas.openxmlformats.org/officeDocument/2006/relationships/hyperlink" Target="https://npiregistry.cms.hhs.gov/provider-view/1245413145" TargetMode="External"/><Relationship Id="rId1709" Type="http://schemas.openxmlformats.org/officeDocument/2006/relationships/hyperlink" Target="https://www.google.com/maps/search/?api=1&amp;query=Plymouth+Grove+Chirocenter%2C+4926+42nd+Avenue+North%2C+Robbinsdale%2C+MN+55422" TargetMode="External"/><Relationship Id="rId1916" Type="http://schemas.openxmlformats.org/officeDocument/2006/relationships/hyperlink" Target="https://npiregistry.cms.hhs.gov/provider-view/1609225879" TargetMode="External"/><Relationship Id="rId3271" Type="http://schemas.openxmlformats.org/officeDocument/2006/relationships/hyperlink" Target="https://www.google.com/maps/search/?api=1&amp;query=Wellnessone+of+Nisswa%2C+5482+County+Rd.+18%2C+Nisswa%2C+MN+56468" TargetMode="External"/><Relationship Id="rId4115" Type="http://schemas.openxmlformats.org/officeDocument/2006/relationships/hyperlink" Target="https://www.google.com/maps/search/?api=1&amp;query=Worthington+Chiropractic+Clinic+PA%2C+1820+Oxford+St%2C+Worthington%2C+MN+56187" TargetMode="External"/><Relationship Id="rId2080" Type="http://schemas.openxmlformats.org/officeDocument/2006/relationships/hyperlink" Target="https://npiregistry.cms.hhs.gov/provider-view/1336740364" TargetMode="External"/><Relationship Id="rId3131" Type="http://schemas.openxmlformats.org/officeDocument/2006/relationships/hyperlink" Target="https://www.google.com/maps/search/?api=1&amp;query=Lakeland+Chiropractic+Clinic%2C+119+Graystone+Plaza%2C+Detroit+Lakes%2C+MN+56501" TargetMode="External"/><Relationship Id="rId2897" Type="http://schemas.openxmlformats.org/officeDocument/2006/relationships/hyperlink" Target="https://www.google.com/maps/search/?api=1&amp;query=Keith+R.+Kamrath%2C+PA.%2C+125+Main+St+S%2C+Hutchinson%2C+MN+55350" TargetMode="External"/><Relationship Id="rId3948" Type="http://schemas.openxmlformats.org/officeDocument/2006/relationships/hyperlink" Target="https://npiregistry.cms.hhs.gov/provider-view/1760455588" TargetMode="External"/><Relationship Id="rId869" Type="http://schemas.openxmlformats.org/officeDocument/2006/relationships/hyperlink" Target="https://www.google.com/maps/search/?api=1&amp;query=Vital+Elements+Healing+Center+LLC%2C+9975+Valley+View+Rd%2C+Eden+Prairie%2C+MN+55344" TargetMode="External"/><Relationship Id="rId1499" Type="http://schemas.openxmlformats.org/officeDocument/2006/relationships/hyperlink" Target="https://www.google.com/maps/search/?api=1&amp;query=Affinity+Chiropractic+Llcq%2C+5100+Thimsen+Ave%2C+Minnetonka%2C+MN+55345" TargetMode="External"/><Relationship Id="rId729" Type="http://schemas.openxmlformats.org/officeDocument/2006/relationships/hyperlink" Target="https://www.google.com/maps/search/?api=1&amp;query=Lakewood+Mri+Center%2C+LLC%2C+4610+Oak+Grove+Pkwy+N%2C+Brooklyn+Park%2C+MN+55443" TargetMode="External"/><Relationship Id="rId1359" Type="http://schemas.openxmlformats.org/officeDocument/2006/relationships/hyperlink" Target="https://www.google.com/maps/search/?api=1&amp;query=Minncare+Physical+Therapy+INC%2C+1527+E+Lake+St%2C+Minneapolis%2C+MN+55407" TargetMode="External"/><Relationship Id="rId2757" Type="http://schemas.openxmlformats.org/officeDocument/2006/relationships/hyperlink" Target="https://www.google.com/maps/search/?api=1&amp;query=Woodbury+Mri%2C+LLC%2C+6053+Hudson+Rd%2C+Woodbury%2C+MN+55125" TargetMode="External"/><Relationship Id="rId2964" Type="http://schemas.openxmlformats.org/officeDocument/2006/relationships/hyperlink" Target="https://npiregistry.cms.hhs.gov/provider-view/1215511050" TargetMode="External"/><Relationship Id="rId3808" Type="http://schemas.openxmlformats.org/officeDocument/2006/relationships/hyperlink" Target="https://npiregistry.cms.hhs.gov/provider-view/1306949797" TargetMode="External"/><Relationship Id="rId936" Type="http://schemas.openxmlformats.org/officeDocument/2006/relationships/hyperlink" Target="https://npiregistry.cms.hhs.gov/provider-view/1881815322" TargetMode="External"/><Relationship Id="rId1219" Type="http://schemas.openxmlformats.org/officeDocument/2006/relationships/hyperlink" Target="https://www.google.com/maps/search/?api=1&amp;query=Carter+Health+%26+Wellness+PA%2C+4325+Nicollet+Ave%2C+Minneapolis%2C+MN+55409" TargetMode="External"/><Relationship Id="rId1566" Type="http://schemas.openxmlformats.org/officeDocument/2006/relationships/hyperlink" Target="https://npiregistry.cms.hhs.gov/provider-view/1427124874" TargetMode="External"/><Relationship Id="rId1773" Type="http://schemas.openxmlformats.org/officeDocument/2006/relationships/hyperlink" Target="https://www.google.com/maps/search/?api=1&amp;query=Life+Clinic%2C+PA.%2C+5525+Cedar+Lake+Rd+S%2C+St.+Louis+Park%2C+MN+55416" TargetMode="External"/><Relationship Id="rId1980" Type="http://schemas.openxmlformats.org/officeDocument/2006/relationships/hyperlink" Target="https://npiregistry.cms.hhs.gov/provider-view/1588150049" TargetMode="External"/><Relationship Id="rId2617" Type="http://schemas.openxmlformats.org/officeDocument/2006/relationships/hyperlink" Target="https://www.google.com/maps/search/?api=1&amp;query=Optimal+Life+Chiropractic+LLC%2C+1051+Helmo+Ave+N%2C+Oakdale%2C+MN+55128" TargetMode="External"/><Relationship Id="rId2824" Type="http://schemas.openxmlformats.org/officeDocument/2006/relationships/hyperlink" Target="https://npiregistry.cms.hhs.gov/provider-view/1588600043" TargetMode="External"/><Relationship Id="rId65" Type="http://schemas.openxmlformats.org/officeDocument/2006/relationships/hyperlink" Target="https://www.google.com/maps/search/?api=1&amp;query=Northside+Resource%2C+INC.%2C+526+121st+Ave+NE%2C+Blaine%2C+MN+55434" TargetMode="External"/><Relationship Id="rId1426" Type="http://schemas.openxmlformats.org/officeDocument/2006/relationships/hyperlink" Target="https://npiregistry.cms.hhs.gov/provider-view/1114369006" TargetMode="External"/><Relationship Id="rId1633" Type="http://schemas.openxmlformats.org/officeDocument/2006/relationships/hyperlink" Target="https://www.google.com/maps/search/?api=1&amp;query=Northern+Edge+Chiropractic+LLC%2C+5480+Nathan+Ln+N%2C+Plymouth%2C+MN+55442" TargetMode="External"/><Relationship Id="rId1840" Type="http://schemas.openxmlformats.org/officeDocument/2006/relationships/hyperlink" Target="https://npiregistry.cms.hhs.gov/provider-view/1013561760" TargetMode="External"/><Relationship Id="rId1700" Type="http://schemas.openxmlformats.org/officeDocument/2006/relationships/hyperlink" Target="https://npiregistry.cms.hhs.gov/provider-view/1427482314" TargetMode="External"/><Relationship Id="rId3598" Type="http://schemas.openxmlformats.org/officeDocument/2006/relationships/hyperlink" Target="https://npiregistry.cms.hhs.gov/provider-view/1306087630" TargetMode="External"/><Relationship Id="rId3458" Type="http://schemas.openxmlformats.org/officeDocument/2006/relationships/hyperlink" Target="https://npiregistry.cms.hhs.gov/provider-view/1972540243" TargetMode="External"/><Relationship Id="rId3665" Type="http://schemas.openxmlformats.org/officeDocument/2006/relationships/hyperlink" Target="https://www.google.com/maps/search/?api=1&amp;query=Msu+Sports+Medicine%2C+135+Myers+Fieldhouse%2C+Mankato%2C+MN+56001" TargetMode="External"/><Relationship Id="rId3872" Type="http://schemas.openxmlformats.org/officeDocument/2006/relationships/hyperlink" Target="https://npiregistry.cms.hhs.gov/provider-view/1780059949" TargetMode="External"/><Relationship Id="rId379" Type="http://schemas.openxmlformats.org/officeDocument/2006/relationships/hyperlink" Target="https://www.google.com/maps/search/?api=1&amp;query=Robert+T.+Thiry%2C+1608+W+155th+St%2C+Burnsville%2C+MN+55306" TargetMode="External"/><Relationship Id="rId586" Type="http://schemas.openxmlformats.org/officeDocument/2006/relationships/hyperlink" Target="https://npiregistry.cms.hhs.gov/provider-view/1780765560" TargetMode="External"/><Relationship Id="rId793" Type="http://schemas.openxmlformats.org/officeDocument/2006/relationships/hyperlink" Target="https://www.google.com/maps/search/?api=1&amp;query=Altrui+Sc%2C+11985+Technology+Dr%2C+Eden+Prairie%2C+MN+55344" TargetMode="External"/><Relationship Id="rId2267" Type="http://schemas.openxmlformats.org/officeDocument/2006/relationships/hyperlink" Target="https://www.google.com/maps/search/?api=1&amp;query=Step+Ahead+Therapy%2C+506+Lexington+Pkwy+N%2C+St.+Paul%2C+MN+55104" TargetMode="External"/><Relationship Id="rId2474" Type="http://schemas.openxmlformats.org/officeDocument/2006/relationships/hyperlink" Target="https://npiregistry.cms.hhs.gov/provider-view/1962707703" TargetMode="External"/><Relationship Id="rId2681" Type="http://schemas.openxmlformats.org/officeDocument/2006/relationships/hyperlink" Target="https://www.google.com/maps/search/?api=1&amp;query=Thomas+Rieser+MD+PLLC%2C+1950+Curve+Crest+Blvd+W%2C+Stillwater%2C+MN+55082" TargetMode="External"/><Relationship Id="rId3318" Type="http://schemas.openxmlformats.org/officeDocument/2006/relationships/hyperlink" Target="https://npiregistry.cms.hhs.gov/provider-view/1497947600" TargetMode="External"/><Relationship Id="rId3525" Type="http://schemas.openxmlformats.org/officeDocument/2006/relationships/hyperlink" Target="https://www.google.com/maps/search/?api=1&amp;query=Roth+Family+Chiropractic+INC.%2C+1906+30th+Ave+South%2C+Moorhead%2C+MN+56560" TargetMode="External"/><Relationship Id="rId239" Type="http://schemas.openxmlformats.org/officeDocument/2006/relationships/hyperlink" Target="https://www.google.com/maps/search/?api=1&amp;query=Healthsource+of+Chanhassen%2C+1429+Pond+Curv%2C+Waconia%2C+MN+55387" TargetMode="External"/><Relationship Id="rId446" Type="http://schemas.openxmlformats.org/officeDocument/2006/relationships/hyperlink" Target="https://npiregistry.cms.hhs.gov/provider-view/1447898358" TargetMode="External"/><Relationship Id="rId653" Type="http://schemas.openxmlformats.org/officeDocument/2006/relationships/hyperlink" Target="https://www.google.com/maps/search/?api=1&amp;query=Martin+Chiropractic%2C+PA.%2C+10800+Lyndale+Ave+S%2C+Bloomington%2C+MN+55420" TargetMode="External"/><Relationship Id="rId1076" Type="http://schemas.openxmlformats.org/officeDocument/2006/relationships/hyperlink" Target="https://npiregistry.cms.hhs.gov/provider-view/1518037100" TargetMode="External"/><Relationship Id="rId1283" Type="http://schemas.openxmlformats.org/officeDocument/2006/relationships/hyperlink" Target="https://www.google.com/maps/search/?api=1&amp;query=Health+Incorporated+of+Minnesota%2C+2817+Lyndale+Ave+S%2C+Minneapolis%2C+MN+55408" TargetMode="External"/><Relationship Id="rId1490" Type="http://schemas.openxmlformats.org/officeDocument/2006/relationships/hyperlink" Target="https://npiregistry.cms.hhs.gov/provider-view/1356576425" TargetMode="External"/><Relationship Id="rId2127" Type="http://schemas.openxmlformats.org/officeDocument/2006/relationships/hyperlink" Target="https://www.google.com/maps/search/?api=1&amp;query=Evening+Chiropractic+Clinic+LLC%2C+1885+University+Ave+W%2C+St.+Paul%2C+MN+55104" TargetMode="External"/><Relationship Id="rId2334" Type="http://schemas.openxmlformats.org/officeDocument/2006/relationships/hyperlink" Target="https://npiregistry.cms.hhs.gov/provider-view/1023222478" TargetMode="External"/><Relationship Id="rId3732" Type="http://schemas.openxmlformats.org/officeDocument/2006/relationships/hyperlink" Target="https://npiregistry.cms.hhs.gov/provider-view/1083778021" TargetMode="External"/><Relationship Id="rId306" Type="http://schemas.openxmlformats.org/officeDocument/2006/relationships/hyperlink" Target="https://npiregistry.cms.hhs.gov/provider-view/1609365865" TargetMode="External"/><Relationship Id="rId860" Type="http://schemas.openxmlformats.org/officeDocument/2006/relationships/hyperlink" Target="https://npiregistry.cms.hhs.gov/provider-view/1205012861" TargetMode="External"/><Relationship Id="rId1143" Type="http://schemas.openxmlformats.org/officeDocument/2006/relationships/hyperlink" Target="https://www.google.com/maps/search/?api=1&amp;query=Northstar+Neurological+Clinic+LTD%2C+12000+Elm+Creek+Blvd%2C+Maple+Grove%2C+MN+55369" TargetMode="External"/><Relationship Id="rId2541" Type="http://schemas.openxmlformats.org/officeDocument/2006/relationships/hyperlink" Target="https://www.google.com/maps/search/?api=1&amp;query=Clemmens+Chiropractic%2C+PA.%2C+210+3rd+St+N%2C+Bayport%2C+MN+55003" TargetMode="External"/><Relationship Id="rId513" Type="http://schemas.openxmlformats.org/officeDocument/2006/relationships/hyperlink" Target="https://www.google.com/maps/search/?api=1&amp;query=Back+To+Health+Chiropractic+Center%2C+PA.%2C+10880+175th+Ct+W%2C+Lakeville%2C+MN+55044" TargetMode="External"/><Relationship Id="rId720" Type="http://schemas.openxmlformats.org/officeDocument/2006/relationships/hyperlink" Target="https://npiregistry.cms.hhs.gov/provider-view/1205188356" TargetMode="External"/><Relationship Id="rId1350" Type="http://schemas.openxmlformats.org/officeDocument/2006/relationships/hyperlink" Target="https://npiregistry.cms.hhs.gov/provider-view/1871760884" TargetMode="External"/><Relationship Id="rId2401" Type="http://schemas.openxmlformats.org/officeDocument/2006/relationships/hyperlink" Target="https://www.google.com/maps/search/?api=1&amp;query=Barnett+Health+and+Wellness+Center%2C+PA%2C+5127+Wellington+Ct+SE%2C+Prior+Lake%2C+MN+55372" TargetMode="External"/><Relationship Id="rId4159" Type="http://schemas.openxmlformats.org/officeDocument/2006/relationships/hyperlink" Target="https://www.google.com/maps/search/?api=1&amp;query=Lavin+Family+Chiropractic+Center+INC%2C+665+Hwy+212+West%2C+Granite+Falls%2C+MN+56285" TargetMode="External"/><Relationship Id="rId1003" Type="http://schemas.openxmlformats.org/officeDocument/2006/relationships/hyperlink" Target="https://www.google.com/maps/search/?api=1&amp;query=Knewtson+Family+Chiropractic+PA%2C+23505+Smithtown+Rd%2C+Excelsior%2C+MN+55331" TargetMode="External"/><Relationship Id="rId1210" Type="http://schemas.openxmlformats.org/officeDocument/2006/relationships/hyperlink" Target="https://npiregistry.cms.hhs.gov/provider-view/1104209394" TargetMode="External"/><Relationship Id="rId3175" Type="http://schemas.openxmlformats.org/officeDocument/2006/relationships/hyperlink" Target="https://www.google.com/maps/search/?api=1&amp;query=Upper+Cervical+Chiropractic+Bemidji%2C+1426+Bemidji+Ave+N%2C+Bemidji%2C+MN+56601" TargetMode="External"/><Relationship Id="rId3382" Type="http://schemas.openxmlformats.org/officeDocument/2006/relationships/hyperlink" Target="https://npiregistry.cms.hhs.gov/provider-view/1578776936" TargetMode="External"/><Relationship Id="rId4019" Type="http://schemas.openxmlformats.org/officeDocument/2006/relationships/hyperlink" Target="https://www.google.com/maps/search/?api=1&amp;query=Infinity+Chiropractic+%26+Wellness%2C+51+W+4th+St%2C+Winona%2C+MN+55987" TargetMode="External"/><Relationship Id="rId2191" Type="http://schemas.openxmlformats.org/officeDocument/2006/relationships/hyperlink" Target="https://www.google.com/maps/search/?api=1&amp;query=Metroeast+Chiropractic+PA.%2C+395+White+Bear+Ave+N%2C+St.+Paul%2C+MN+55106" TargetMode="External"/><Relationship Id="rId3035" Type="http://schemas.openxmlformats.org/officeDocument/2006/relationships/hyperlink" Target="https://www.google.com/maps/search/?api=1&amp;query=Alliance+Imaging%2C+3351+Roosevelt+Rd%2C+St.+Cloud%2C+MN+56301" TargetMode="External"/><Relationship Id="rId3242" Type="http://schemas.openxmlformats.org/officeDocument/2006/relationships/hyperlink" Target="https://npiregistry.cms.hhs.gov/provider-view/1912091166" TargetMode="External"/><Relationship Id="rId163" Type="http://schemas.openxmlformats.org/officeDocument/2006/relationships/hyperlink" Target="https://www.google.com/maps/search/?api=1&amp;query=Spinal+Health+Solutions+PLLC%2C+5313+140th+Ave+NW%2C+Ramsey%2C+MN+55303" TargetMode="External"/><Relationship Id="rId370" Type="http://schemas.openxmlformats.org/officeDocument/2006/relationships/hyperlink" Target="https://npiregistry.cms.hhs.gov/provider-view/1912325325" TargetMode="External"/><Relationship Id="rId2051" Type="http://schemas.openxmlformats.org/officeDocument/2006/relationships/hyperlink" Target="https://www.google.com/maps/search/?api=1&amp;query=Awaken+Chiropractic%2C+1821+Saint+Clair+Ave%2C+St.+Paul%2C+MN+55105" TargetMode="External"/><Relationship Id="rId3102" Type="http://schemas.openxmlformats.org/officeDocument/2006/relationships/hyperlink" Target="https://npiregistry.cms.hhs.gov/provider-view/1053639898" TargetMode="External"/><Relationship Id="rId230" Type="http://schemas.openxmlformats.org/officeDocument/2006/relationships/hyperlink" Target="https://npiregistry.cms.hhs.gov/provider-view/1477757490" TargetMode="External"/><Relationship Id="rId2868" Type="http://schemas.openxmlformats.org/officeDocument/2006/relationships/hyperlink" Target="https://npiregistry.cms.hhs.gov/provider-view/1154698538" TargetMode="External"/><Relationship Id="rId3919" Type="http://schemas.openxmlformats.org/officeDocument/2006/relationships/hyperlink" Target="https://www.google.com/maps/search/?api=1&amp;query=507+Family+Chiropractic+LLC%2C+100+2nd+St+SE%2C+Stewartville%2C+MN+55976" TargetMode="External"/><Relationship Id="rId4083" Type="http://schemas.openxmlformats.org/officeDocument/2006/relationships/hyperlink" Target="https://www.google.com/maps/search/?api=1&amp;query=Balanced+Health+Chiropractic%2C+800+E+Main+St%2C+Marshall%2C+MN+56258" TargetMode="External"/><Relationship Id="rId1677" Type="http://schemas.openxmlformats.org/officeDocument/2006/relationships/hyperlink" Target="https://www.google.com/maps/search/?api=1&amp;query=Orthocure+LLC%2C+6636+Cedar+Ave+S%2C+Richfield%2C+MN+55423" TargetMode="External"/><Relationship Id="rId1884" Type="http://schemas.openxmlformats.org/officeDocument/2006/relationships/hyperlink" Target="https://npiregistry.cms.hhs.gov/provider-view/1679026504" TargetMode="External"/><Relationship Id="rId2728" Type="http://schemas.openxmlformats.org/officeDocument/2006/relationships/hyperlink" Target="https://npiregistry.cms.hhs.gov/provider-view/1457470445" TargetMode="External"/><Relationship Id="rId2935" Type="http://schemas.openxmlformats.org/officeDocument/2006/relationships/hyperlink" Target="https://www.google.com/maps/search/?api=1&amp;query=Advance+Physical+Therapy+INC.%2C+309+1st+St+NE%2C+Little+Falls%2C+MN+56345" TargetMode="External"/><Relationship Id="rId907" Type="http://schemas.openxmlformats.org/officeDocument/2006/relationships/hyperlink" Target="https://www.google.com/maps/search/?api=1&amp;query=Functional+Chiropractic+and+Laser%2C+5151+Edina+Industrial+Blvd%2C+Edina%2C+MN+55439" TargetMode="External"/><Relationship Id="rId1537" Type="http://schemas.openxmlformats.org/officeDocument/2006/relationships/hyperlink" Target="https://www.google.com/maps/search/?api=1&amp;query=Murphy+Chiropractic+Clinic+PA.%2C+11500+Highway+7%2C+Minnetonka%2C+MN+55305" TargetMode="External"/><Relationship Id="rId1744" Type="http://schemas.openxmlformats.org/officeDocument/2006/relationships/hyperlink" Target="https://npiregistry.cms.hhs.gov/provider-view/1053615559" TargetMode="External"/><Relationship Id="rId1951" Type="http://schemas.openxmlformats.org/officeDocument/2006/relationships/hyperlink" Target="https://www.google.com/maps/search/?api=1&amp;query=Back+To+It+Chiropractic+PLLC%2C+2780+Snelling+Ave+N%2C+Roseville%2C+MN+55113" TargetMode="External"/><Relationship Id="rId4150" Type="http://schemas.openxmlformats.org/officeDocument/2006/relationships/hyperlink" Target="https://npiregistry.cms.hhs.gov/provider-view/1033281704" TargetMode="External"/><Relationship Id="rId36" Type="http://schemas.openxmlformats.org/officeDocument/2006/relationships/hyperlink" Target="https://npiregistry.cms.hhs.gov/provider-view/1316127384" TargetMode="External"/><Relationship Id="rId1604" Type="http://schemas.openxmlformats.org/officeDocument/2006/relationships/hyperlink" Target="https://npiregistry.cms.hhs.gov/provider-view/1336587864" TargetMode="External"/><Relationship Id="rId4010" Type="http://schemas.openxmlformats.org/officeDocument/2006/relationships/hyperlink" Target="https://npiregistry.cms.hhs.gov/provider-view/1063932770" TargetMode="External"/><Relationship Id="rId1811" Type="http://schemas.openxmlformats.org/officeDocument/2006/relationships/hyperlink" Target="https://www.google.com/maps/search/?api=1&amp;query=Viverant%2C+LLC%2C+3912+Excelsior+Blvd%2C+St.+Louis+Park%2C+MN+55416" TargetMode="External"/><Relationship Id="rId3569" Type="http://schemas.openxmlformats.org/officeDocument/2006/relationships/hyperlink" Target="https://www.google.com/maps/search/?api=1&amp;query=Kunz+Chiropractic%2C+PLLC%2C+19406+345th+St%2C+Erhard%2C+MN+56534" TargetMode="External"/><Relationship Id="rId697" Type="http://schemas.openxmlformats.org/officeDocument/2006/relationships/hyperlink" Target="https://www.google.com/maps/search/?api=1&amp;query=Accident+Recovery+Chiropractic+PA%2C+5820+74th+Ave+N%2C+Brooklyn+Park%2C+MN+55443" TargetMode="External"/><Relationship Id="rId2378" Type="http://schemas.openxmlformats.org/officeDocument/2006/relationships/hyperlink" Target="https://npiregistry.cms.hhs.gov/provider-view/1275738577" TargetMode="External"/><Relationship Id="rId3429" Type="http://schemas.openxmlformats.org/officeDocument/2006/relationships/hyperlink" Target="https://www.google.com/maps/search/?api=1&amp;query=Roth+Chiropractic+Clinic+LTD%2C+39+E+Sheridan+St%2C+Ely%2C+MN+55731" TargetMode="External"/><Relationship Id="rId3776" Type="http://schemas.openxmlformats.org/officeDocument/2006/relationships/hyperlink" Target="https://npiregistry.cms.hhs.gov/provider-view/1073582342" TargetMode="External"/><Relationship Id="rId3983" Type="http://schemas.openxmlformats.org/officeDocument/2006/relationships/hyperlink" Target="https://www.google.com/maps/search/?api=1&amp;query=The+Back+Program%2C+1414+So+Oak+Ave%2C+Owatonna%2C+MN+55060" TargetMode="External"/><Relationship Id="rId1187" Type="http://schemas.openxmlformats.org/officeDocument/2006/relationships/hyperlink" Target="https://www.google.com/maps/search/?api=1&amp;query=Alem+Chiropractic%2C+3552+Nicollet+Ave%2C+Minneapolis%2C+MN+55408" TargetMode="External"/><Relationship Id="rId2585" Type="http://schemas.openxmlformats.org/officeDocument/2006/relationships/hyperlink" Target="https://www.google.com/maps/search/?api=1&amp;query=Illuminnate+Family+Chiropractic%2C+INC.%2C+8931+Highway+5%2C+Lake+Elmo%2C+MN+55042" TargetMode="External"/><Relationship Id="rId2792" Type="http://schemas.openxmlformats.org/officeDocument/2006/relationships/hyperlink" Target="https://npiregistry.cms.hhs.gov/provider-view/1649445511" TargetMode="External"/><Relationship Id="rId3636" Type="http://schemas.openxmlformats.org/officeDocument/2006/relationships/hyperlink" Target="https://npiregistry.cms.hhs.gov/provider-view/1194814236" TargetMode="External"/><Relationship Id="rId3843" Type="http://schemas.openxmlformats.org/officeDocument/2006/relationships/hyperlink" Target="https://www.google.com/maps/search/?api=1&amp;query=Bollingberg+Chiropractic+Clinic+LLP%2C+704+Oakland+Ave+W%2C+Austin%2C+MN+55912" TargetMode="External"/><Relationship Id="rId557" Type="http://schemas.openxmlformats.org/officeDocument/2006/relationships/hyperlink" Target="https://www.google.com/maps/search/?api=1&amp;query=Lifestyle+Chiropractic%2C+821+Sibley+Memorial+Hwy%2C+Mendota+Heights%2C+MN+55118" TargetMode="External"/><Relationship Id="rId764" Type="http://schemas.openxmlformats.org/officeDocument/2006/relationships/hyperlink" Target="https://npiregistry.cms.hhs.gov/provider-view/1043275464" TargetMode="External"/><Relationship Id="rId971" Type="http://schemas.openxmlformats.org/officeDocument/2006/relationships/hyperlink" Target="https://www.google.com/maps/search/?api=1&amp;query=Seeds+of+Change+Health+and+Wellness+Center%2C+3939+W+69th+St%2C+Edina%2C+MN+55435" TargetMode="External"/><Relationship Id="rId1394" Type="http://schemas.openxmlformats.org/officeDocument/2006/relationships/hyperlink" Target="https://npiregistry.cms.hhs.gov/provider-view/1336157973" TargetMode="External"/><Relationship Id="rId2238" Type="http://schemas.openxmlformats.org/officeDocument/2006/relationships/hyperlink" Target="https://npiregistry.cms.hhs.gov/provider-view/1285797944" TargetMode="External"/><Relationship Id="rId2445" Type="http://schemas.openxmlformats.org/officeDocument/2006/relationships/hyperlink" Target="https://www.google.com/maps/search/?api=1&amp;query=Finish+Line+Wellness%2C+4401+Egan+Dr%2C+Savage%2C+MN+55378" TargetMode="External"/><Relationship Id="rId2652" Type="http://schemas.openxmlformats.org/officeDocument/2006/relationships/hyperlink" Target="https://npiregistry.cms.hhs.gov/provider-view/1538443783" TargetMode="External"/><Relationship Id="rId3703" Type="http://schemas.openxmlformats.org/officeDocument/2006/relationships/hyperlink" Target="https://www.google.com/maps/search/?api=1&amp;query=Magnuson+Chiropractic+Center+INC%2C+23+3rd+St+SE%2C+Wells%2C+MN+56097" TargetMode="External"/><Relationship Id="rId3910" Type="http://schemas.openxmlformats.org/officeDocument/2006/relationships/hyperlink" Target="https://npiregistry.cms.hhs.gov/provider-view/1366729790" TargetMode="External"/><Relationship Id="rId417" Type="http://schemas.openxmlformats.org/officeDocument/2006/relationships/hyperlink" Target="https://www.google.com/maps/search/?api=1&amp;query=Dba+Cliff+Road+Chiropractic%2C+4555+Erin+Dr%2C+Eagan%2C+MN+55122" TargetMode="External"/><Relationship Id="rId624" Type="http://schemas.openxmlformats.org/officeDocument/2006/relationships/hyperlink" Target="https://npiregistry.cms.hhs.gov/provider-view/1467471433" TargetMode="External"/><Relationship Id="rId831" Type="http://schemas.openxmlformats.org/officeDocument/2006/relationships/hyperlink" Target="https://www.google.com/maps/search/?api=1&amp;query=Law+of+Life+Chiropractic+PLLC%2C+12100+Singletree+Ln%2C+Eden+Prairie%2C+MN+55344" TargetMode="External"/><Relationship Id="rId1047" Type="http://schemas.openxmlformats.org/officeDocument/2006/relationships/hyperlink" Target="https://www.google.com/maps/search/?api=1&amp;query=Paramount+Chiropractic+Clinic%2C+LLC%2C+1710+Douglas+Dr+N%2C+Golden+Valley%2C+MN+55422" TargetMode="External"/><Relationship Id="rId1254" Type="http://schemas.openxmlformats.org/officeDocument/2006/relationships/hyperlink" Target="https://npiregistry.cms.hhs.gov/provider-view/1740480094" TargetMode="External"/><Relationship Id="rId1461" Type="http://schemas.openxmlformats.org/officeDocument/2006/relationships/hyperlink" Target="https://www.google.com/maps/search/?api=1&amp;query=Three+Phases+PA%2C+2700+E+Lake+St%2C+Minneapolis%2C+MN+55406" TargetMode="External"/><Relationship Id="rId2305" Type="http://schemas.openxmlformats.org/officeDocument/2006/relationships/hyperlink" Target="https://www.google.com/maps/search/?api=1&amp;query=US.+Healthworks+Medical+Group+of+Minnesota%2C+PC%2C+570+Asbury+St%2C+St.+Paul%2C+MN+55104" TargetMode="External"/><Relationship Id="rId2512" Type="http://schemas.openxmlformats.org/officeDocument/2006/relationships/hyperlink" Target="https://npiregistry.cms.hhs.gov/provider-view/1124640743" TargetMode="External"/><Relationship Id="rId1114" Type="http://schemas.openxmlformats.org/officeDocument/2006/relationships/hyperlink" Target="https://npiregistry.cms.hhs.gov/provider-view/1013441443" TargetMode="External"/><Relationship Id="rId1321" Type="http://schemas.openxmlformats.org/officeDocument/2006/relationships/hyperlink" Target="https://www.google.com/maps/search/?api=1&amp;query=Lake+Street+Pain+Relief+Center%2C+INC%2C+515+W+Lake+St%2C+Minneapolis%2C+MN+55408" TargetMode="External"/><Relationship Id="rId3079" Type="http://schemas.openxmlformats.org/officeDocument/2006/relationships/hyperlink" Target="https://www.google.com/maps/search/?api=1&amp;query=St.+Cloud+Orthopedic+Associates%2C+LTD.%2C+3315+Roosevelt+Rd%2C+St.+Cloud%2C+MN+56301" TargetMode="External"/><Relationship Id="rId3286" Type="http://schemas.openxmlformats.org/officeDocument/2006/relationships/hyperlink" Target="https://npiregistry.cms.hhs.gov/provider-view/1285706549" TargetMode="External"/><Relationship Id="rId3493" Type="http://schemas.openxmlformats.org/officeDocument/2006/relationships/hyperlink" Target="https://www.google.com/maps/search/?api=1&amp;query=Roller+Neurology%2C+711+Delores+Drive%2C+Roseau%2C+MN+56751" TargetMode="External"/><Relationship Id="rId2095" Type="http://schemas.openxmlformats.org/officeDocument/2006/relationships/hyperlink" Target="https://www.google.com/maps/search/?api=1&amp;query=Chiropractic+Network%2C+758+Grand+Ave%2C+St.+Paul%2C+MN+55105" TargetMode="External"/><Relationship Id="rId3146" Type="http://schemas.openxmlformats.org/officeDocument/2006/relationships/hyperlink" Target="https://npiregistry.cms.hhs.gov/provider-view/1073810552" TargetMode="External"/><Relationship Id="rId3353" Type="http://schemas.openxmlformats.org/officeDocument/2006/relationships/hyperlink" Target="https://www.google.com/maps/search/?api=1&amp;query=Watersedge+Health+Center%2C+115+Waterfront+Dr%2C+Two+Harbors%2C+MN+55616" TargetMode="External"/><Relationship Id="rId274" Type="http://schemas.openxmlformats.org/officeDocument/2006/relationships/hyperlink" Target="https://npiregistry.cms.hhs.gov/provider-view/1235223694" TargetMode="External"/><Relationship Id="rId481" Type="http://schemas.openxmlformats.org/officeDocument/2006/relationships/hyperlink" Target="https://www.google.com/maps/search/?api=1&amp;query=Swedin+Chiropractic+Clinic+PA%2C+315+4th+St%2C+Farmington%2C+MN+55024" TargetMode="External"/><Relationship Id="rId2162" Type="http://schemas.openxmlformats.org/officeDocument/2006/relationships/hyperlink" Target="https://npiregistry.cms.hhs.gov/provider-view/1568416584" TargetMode="External"/><Relationship Id="rId3006" Type="http://schemas.openxmlformats.org/officeDocument/2006/relationships/hyperlink" Target="https://npiregistry.cms.hhs.gov/provider-view/1275856304" TargetMode="External"/><Relationship Id="rId3560" Type="http://schemas.openxmlformats.org/officeDocument/2006/relationships/hyperlink" Target="https://npiregistry.cms.hhs.gov/provider-view/1447348453" TargetMode="External"/><Relationship Id="rId134" Type="http://schemas.openxmlformats.org/officeDocument/2006/relationships/hyperlink" Target="https://npiregistry.cms.hhs.gov/provider-view/1841612736" TargetMode="External"/><Relationship Id="rId3213" Type="http://schemas.openxmlformats.org/officeDocument/2006/relationships/hyperlink" Target="https://www.google.com/maps/search/?api=1&amp;query=Brainerd+Lakes+Wellness%2C+PC%2C+7656+Design+Rd%2C+Baxter%2C+MN+56425" TargetMode="External"/><Relationship Id="rId3420" Type="http://schemas.openxmlformats.org/officeDocument/2006/relationships/hyperlink" Target="https://npiregistry.cms.hhs.gov/provider-view/1861914541" TargetMode="External"/><Relationship Id="rId341" Type="http://schemas.openxmlformats.org/officeDocument/2006/relationships/hyperlink" Target="https://www.google.com/maps/search/?api=1&amp;query=Discover+Chiropractic%2C+PA.%2C+101+W+Burnsville+Pkwy%2C+Burnsville%2C+MN+55337" TargetMode="External"/><Relationship Id="rId2022" Type="http://schemas.openxmlformats.org/officeDocument/2006/relationships/hyperlink" Target="https://npiregistry.cms.hhs.gov/provider-view/1013181429" TargetMode="External"/><Relationship Id="rId2979" Type="http://schemas.openxmlformats.org/officeDocument/2006/relationships/hyperlink" Target="https://www.google.com/maps/search/?api=1&amp;query=Midtown+Chiropractic+Clinic%2C+406+Main+St%2C+Cold+Spring%2C+MN+56320" TargetMode="External"/><Relationship Id="rId201" Type="http://schemas.openxmlformats.org/officeDocument/2006/relationships/hyperlink" Target="https://www.google.com/maps/search/?api=1&amp;query=Chaska+Lakes+Chiropractic+%26+Rehabilitation+PLLC%2C+570+Bavaria+Ln%2C+Chaska%2C+MN+55318" TargetMode="External"/><Relationship Id="rId1788" Type="http://schemas.openxmlformats.org/officeDocument/2006/relationships/hyperlink" Target="https://npiregistry.cms.hhs.gov/provider-view/1659494961" TargetMode="External"/><Relationship Id="rId1995" Type="http://schemas.openxmlformats.org/officeDocument/2006/relationships/hyperlink" Target="https://www.google.com/maps/search/?api=1&amp;query=Urban+Chiropractic%2C+2353+Rice+St%2C+Roseville%2C+MN+55113" TargetMode="External"/><Relationship Id="rId2839" Type="http://schemas.openxmlformats.org/officeDocument/2006/relationships/hyperlink" Target="https://www.google.com/maps/search/?api=1&amp;query=Buffie+Chiropractic+Clinic+PC%2C+8340+Bridge+Street%2C+Rockford%2C+MN+55373" TargetMode="External"/><Relationship Id="rId1648" Type="http://schemas.openxmlformats.org/officeDocument/2006/relationships/hyperlink" Target="https://npiregistry.cms.hhs.gov/provider-view/1972833119" TargetMode="External"/><Relationship Id="rId4054" Type="http://schemas.openxmlformats.org/officeDocument/2006/relationships/hyperlink" Target="https://npiregistry.cms.hhs.gov/provider-view/1568503670" TargetMode="External"/><Relationship Id="rId1508" Type="http://schemas.openxmlformats.org/officeDocument/2006/relationships/hyperlink" Target="https://npiregistry.cms.hhs.gov/provider-view/1013179852" TargetMode="External"/><Relationship Id="rId1855" Type="http://schemas.openxmlformats.org/officeDocument/2006/relationships/hyperlink" Target="https://www.google.com/maps/search/?api=1&amp;query=Wayzata+Chiropractic+Clinic%2C+101+Lake+St+W%2C+Wayzata%2C+MN+55391" TargetMode="External"/><Relationship Id="rId2906" Type="http://schemas.openxmlformats.org/officeDocument/2006/relationships/hyperlink" Target="https://npiregistry.cms.hhs.gov/provider-view/1881806552" TargetMode="External"/><Relationship Id="rId3070" Type="http://schemas.openxmlformats.org/officeDocument/2006/relationships/hyperlink" Target="https://npiregistry.cms.hhs.gov/provider-view/1043673882" TargetMode="External"/><Relationship Id="rId4121" Type="http://schemas.openxmlformats.org/officeDocument/2006/relationships/hyperlink" Target="https://www.google.com/maps/search/?api=1&amp;query=Northeast+Orthopedic+Center%2C+916+4th+Ave+SW%2C+Pipestone%2C+MN+56164" TargetMode="External"/><Relationship Id="rId1715" Type="http://schemas.openxmlformats.org/officeDocument/2006/relationships/hyperlink" Target="https://www.google.com/maps/search/?api=1&amp;query=Anchor+Chiropractic%2C+20965+S+Diamond+Lake+Rd%2C+Rogers%2C+MN+55374" TargetMode="External"/><Relationship Id="rId1922" Type="http://schemas.openxmlformats.org/officeDocument/2006/relationships/hyperlink" Target="https://npiregistry.cms.hhs.gov/provider-view/1003120643" TargetMode="External"/><Relationship Id="rId3887" Type="http://schemas.openxmlformats.org/officeDocument/2006/relationships/hyperlink" Target="https://www.google.com/maps/search/?api=1&amp;query=Injury+Care+and+Wellness+Center%2C+400+S+Broadway%2C+Rochester%2C+MN+55904" TargetMode="External"/><Relationship Id="rId2489" Type="http://schemas.openxmlformats.org/officeDocument/2006/relationships/hyperlink" Target="https://www.google.com/maps/search/?api=1&amp;query=Shakopee+Family+Chiropractic%2C+8068+North+Carriage+Ct%2C+Shakopee%2C+MN+55379" TargetMode="External"/><Relationship Id="rId2696" Type="http://schemas.openxmlformats.org/officeDocument/2006/relationships/hyperlink" Target="https://npiregistry.cms.hhs.gov/provider-view/1437518123" TargetMode="External"/><Relationship Id="rId3747" Type="http://schemas.openxmlformats.org/officeDocument/2006/relationships/hyperlink" Target="https://www.google.com/maps/search/?api=1&amp;query=Acc+PA.%2C+607+W+Chandler+St%2C+Arlington%2C+MN+55307" TargetMode="External"/><Relationship Id="rId3954" Type="http://schemas.openxmlformats.org/officeDocument/2006/relationships/hyperlink" Target="https://npiregistry.cms.hhs.gov/provider-view/1114218468" TargetMode="External"/><Relationship Id="rId668" Type="http://schemas.openxmlformats.org/officeDocument/2006/relationships/hyperlink" Target="https://npiregistry.cms.hhs.gov/provider-view/1275742900" TargetMode="External"/><Relationship Id="rId875" Type="http://schemas.openxmlformats.org/officeDocument/2006/relationships/hyperlink" Target="https://www.google.com/maps/search/?api=1&amp;query=Well+Chiropractic%2C+966+Prairie+Center+Dr%2C+Eden+Prairie%2C+MN+55344" TargetMode="External"/><Relationship Id="rId1298" Type="http://schemas.openxmlformats.org/officeDocument/2006/relationships/hyperlink" Target="https://npiregistry.cms.hhs.gov/provider-view/1467503383" TargetMode="External"/><Relationship Id="rId2349" Type="http://schemas.openxmlformats.org/officeDocument/2006/relationships/hyperlink" Target="https://www.google.com/maps/search/?api=1&amp;query=For+Your+Well+Being+Chiropractic%2C+2479+County+Road+E+E%2C+White+Bear+Lake%2C+MN+55110" TargetMode="External"/><Relationship Id="rId2556" Type="http://schemas.openxmlformats.org/officeDocument/2006/relationships/hyperlink" Target="https://npiregistry.cms.hhs.gov/provider-view/1265624555" TargetMode="External"/><Relationship Id="rId2763" Type="http://schemas.openxmlformats.org/officeDocument/2006/relationships/hyperlink" Target="https://www.google.com/maps/search/?api=1&amp;query=Chiropractic+and+Wellness+Center+of+Albertville+PLLC%2C+5676+Lacentre+Avenue+NE%2C+Albertville%2C+MN+55301" TargetMode="External"/><Relationship Id="rId2970" Type="http://schemas.openxmlformats.org/officeDocument/2006/relationships/hyperlink" Target="https://npiregistry.cms.hhs.gov/provider-view/1710128772" TargetMode="External"/><Relationship Id="rId3607" Type="http://schemas.openxmlformats.org/officeDocument/2006/relationships/hyperlink" Target="https://www.google.com/maps/search/?api=1&amp;query=Lakes+Country+Chiropractic+PA.%2C+157+1st+Ave+S%2C+Perham%2C+MN+56573" TargetMode="External"/><Relationship Id="rId3814" Type="http://schemas.openxmlformats.org/officeDocument/2006/relationships/hyperlink" Target="https://npiregistry.cms.hhs.gov/provider-view/1649644360" TargetMode="External"/><Relationship Id="rId528" Type="http://schemas.openxmlformats.org/officeDocument/2006/relationships/hyperlink" Target="https://npiregistry.cms.hhs.gov/provider-view/1831414523" TargetMode="External"/><Relationship Id="rId735" Type="http://schemas.openxmlformats.org/officeDocument/2006/relationships/hyperlink" Target="https://www.google.com/maps/search/?api=1&amp;query=Northwest+Mri+Center%2C+4610+Oak+Grove+Pkwy+N%2C+Brooklyn+Park%2C+MN+55443" TargetMode="External"/><Relationship Id="rId942" Type="http://schemas.openxmlformats.org/officeDocument/2006/relationships/hyperlink" Target="https://npiregistry.cms.hhs.gov/provider-view/1063599421" TargetMode="External"/><Relationship Id="rId1158" Type="http://schemas.openxmlformats.org/officeDocument/2006/relationships/hyperlink" Target="https://npiregistry.cms.hhs.gov/provider-view/1235741364" TargetMode="External"/><Relationship Id="rId1365" Type="http://schemas.openxmlformats.org/officeDocument/2006/relationships/hyperlink" Target="https://www.google.com/maps/search/?api=1&amp;query=Minneapolis+Oral+%26+Maxillofacial+Surgery%2C+825+Nicollet+Mall%2C+Minneapolis%2C+MN+55402" TargetMode="External"/><Relationship Id="rId1572" Type="http://schemas.openxmlformats.org/officeDocument/2006/relationships/hyperlink" Target="https://npiregistry.cms.hhs.gov/provider-view/1104416957" TargetMode="External"/><Relationship Id="rId2209" Type="http://schemas.openxmlformats.org/officeDocument/2006/relationships/hyperlink" Target="https://www.google.com/maps/search/?api=1&amp;query=Natural+Ways+Chiropractic%2C+PA.%2C+1418+Grand+Ave%2C+St.+Paul%2C+MN+55105" TargetMode="External"/><Relationship Id="rId2416" Type="http://schemas.openxmlformats.org/officeDocument/2006/relationships/hyperlink" Target="https://npiregistry.cms.hhs.gov/provider-view/1881647337" TargetMode="External"/><Relationship Id="rId2623" Type="http://schemas.openxmlformats.org/officeDocument/2006/relationships/hyperlink" Target="https://www.google.com/maps/search/?api=1&amp;query=Therapy+Partners+INC%2C+7077+10th+St+N%2C+Oakdale%2C+MN+55128" TargetMode="External"/><Relationship Id="rId1018" Type="http://schemas.openxmlformats.org/officeDocument/2006/relationships/hyperlink" Target="https://npiregistry.cms.hhs.gov/provider-view/1417259987" TargetMode="External"/><Relationship Id="rId1225" Type="http://schemas.openxmlformats.org/officeDocument/2006/relationships/hyperlink" Target="https://www.google.com/maps/search/?api=1&amp;query=Chiro+First+PA%2C+2929+4th+Ave+S%2C+Minneapolis%2C+MN+55408" TargetMode="External"/><Relationship Id="rId1432" Type="http://schemas.openxmlformats.org/officeDocument/2006/relationships/hyperlink" Target="https://npiregistry.cms.hhs.gov/provider-view/1730390899" TargetMode="External"/><Relationship Id="rId2830" Type="http://schemas.openxmlformats.org/officeDocument/2006/relationships/hyperlink" Target="https://npiregistry.cms.hhs.gov/provider-view/1013373703" TargetMode="External"/><Relationship Id="rId71" Type="http://schemas.openxmlformats.org/officeDocument/2006/relationships/hyperlink" Target="https://www.google.com/maps/search/?api=1&amp;query=Align+Chiropractic+LLC.%2C+3158+Viking+Blvd+NW%2C+Cedar%2C+MN+55011" TargetMode="External"/><Relationship Id="rId802" Type="http://schemas.openxmlformats.org/officeDocument/2006/relationships/hyperlink" Target="https://npiregistry.cms.hhs.gov/provider-view/1083882500" TargetMode="External"/><Relationship Id="rId3397" Type="http://schemas.openxmlformats.org/officeDocument/2006/relationships/hyperlink" Target="https://www.google.com/maps/search/?api=1&amp;query=Outlook+Therapy+LLC%2C+5186+Ugstad+Rd%2C+Duluth%2C+MN+55811" TargetMode="External"/><Relationship Id="rId178" Type="http://schemas.openxmlformats.org/officeDocument/2006/relationships/hyperlink" Target="https://npiregistry.cms.hhs.gov/provider-view/1225284342" TargetMode="External"/><Relationship Id="rId3257" Type="http://schemas.openxmlformats.org/officeDocument/2006/relationships/hyperlink" Target="https://www.google.com/maps/search/?api=1&amp;query=Vibe+Chiro%2C+704+West+Washington+Street%2C+Brainerd%2C+MN+56401" TargetMode="External"/><Relationship Id="rId3464" Type="http://schemas.openxmlformats.org/officeDocument/2006/relationships/hyperlink" Target="https://npiregistry.cms.hhs.gov/provider-view/1598875171" TargetMode="External"/><Relationship Id="rId3671" Type="http://schemas.openxmlformats.org/officeDocument/2006/relationships/hyperlink" Target="https://www.google.com/maps/search/?api=1&amp;query=Rignell+Family+Chiropractic%2C+1351+Madison+Ave%2C+Mankato%2C+MN+56001" TargetMode="External"/><Relationship Id="rId385" Type="http://schemas.openxmlformats.org/officeDocument/2006/relationships/hyperlink" Target="https://www.google.com/maps/search/?api=1&amp;query=South+Metro+Wellness+Clinic+PLLC%2C+14031+Burnhaven+Dr%2C+Burnsville%2C+MN+55337" TargetMode="External"/><Relationship Id="rId592" Type="http://schemas.openxmlformats.org/officeDocument/2006/relationships/hyperlink" Target="https://npiregistry.cms.hhs.gov/provider-view/1538199757" TargetMode="External"/><Relationship Id="rId2066" Type="http://schemas.openxmlformats.org/officeDocument/2006/relationships/hyperlink" Target="https://npiregistry.cms.hhs.gov/provider-view/1780090449" TargetMode="External"/><Relationship Id="rId2273" Type="http://schemas.openxmlformats.org/officeDocument/2006/relationships/hyperlink" Target="https://www.google.com/maps/search/?api=1&amp;query=Therapy+Partners%2C+INC%2C+2543+7th+Ave+E%2C+St.+Paul%2C+MN+55109" TargetMode="External"/><Relationship Id="rId2480" Type="http://schemas.openxmlformats.org/officeDocument/2006/relationships/hyperlink" Target="https://npiregistry.cms.hhs.gov/provider-view/1538481734" TargetMode="External"/><Relationship Id="rId3117" Type="http://schemas.openxmlformats.org/officeDocument/2006/relationships/hyperlink" Target="https://www.google.com/maps/search/?api=1&amp;query=Boline+Chiropractic%2C+11+Bryant+Ave+SW%2C+Wadena%2C+MN+56482" TargetMode="External"/><Relationship Id="rId3324" Type="http://schemas.openxmlformats.org/officeDocument/2006/relationships/hyperlink" Target="https://npiregistry.cms.hhs.gov/provider-view/1831268978" TargetMode="External"/><Relationship Id="rId3531" Type="http://schemas.openxmlformats.org/officeDocument/2006/relationships/hyperlink" Target="https://www.google.com/maps/search/?api=1&amp;query=Advantage+Rehab+INC%2C+700+Cedar+St%2C+Alexandria%2C+MN+56308" TargetMode="External"/><Relationship Id="rId245" Type="http://schemas.openxmlformats.org/officeDocument/2006/relationships/hyperlink" Target="https://www.google.com/maps/search/?api=1&amp;query=Soltis+Family+Chiropractic%2C+32+E+Main+St%2C+Waconia%2C+MN+55387" TargetMode="External"/><Relationship Id="rId452" Type="http://schemas.openxmlformats.org/officeDocument/2006/relationships/hyperlink" Target="https://npiregistry.cms.hhs.gov/provider-view/1710040456" TargetMode="External"/><Relationship Id="rId1082" Type="http://schemas.openxmlformats.org/officeDocument/2006/relationships/hyperlink" Target="https://npiregistry.cms.hhs.gov/provider-view/1396932067" TargetMode="External"/><Relationship Id="rId2133" Type="http://schemas.openxmlformats.org/officeDocument/2006/relationships/hyperlink" Target="https://www.google.com/maps/search/?api=1&amp;query=Grand+Ave+Chiropractic%2C+1119+Grand+Ave%2C+St.+Paul%2C+MN+55105" TargetMode="External"/><Relationship Id="rId2340" Type="http://schemas.openxmlformats.org/officeDocument/2006/relationships/hyperlink" Target="https://npiregistry.cms.hhs.gov/provider-view/1275055022" TargetMode="External"/><Relationship Id="rId105" Type="http://schemas.openxmlformats.org/officeDocument/2006/relationships/hyperlink" Target="https://www.google.com/maps/search/?api=1&amp;query=Premier+Health+of+Coon+Rapids%2C+INC%2C+3340+Northdale+Blvd+NW%2C+Coon+Rapids%2C+MN+55448" TargetMode="External"/><Relationship Id="rId312" Type="http://schemas.openxmlformats.org/officeDocument/2006/relationships/hyperlink" Target="https://npiregistry.cms.hhs.gov/provider-view/1316940042" TargetMode="External"/><Relationship Id="rId2200" Type="http://schemas.openxmlformats.org/officeDocument/2006/relationships/hyperlink" Target="https://npiregistry.cms.hhs.gov/provider-view/1841204534" TargetMode="External"/><Relationship Id="rId4098" Type="http://schemas.openxmlformats.org/officeDocument/2006/relationships/hyperlink" Target="https://npiregistry.cms.hhs.gov/provider-view/1063578466" TargetMode="External"/><Relationship Id="rId1899" Type="http://schemas.openxmlformats.org/officeDocument/2006/relationships/hyperlink" Target="https://www.google.com/maps/search/?api=1&amp;query=Maplewood+Chiropractic+Health+Center+PA%2C+1900+County+Road+D+E%2C+Maplewood%2C+MN+55109" TargetMode="External"/><Relationship Id="rId1759" Type="http://schemas.openxmlformats.org/officeDocument/2006/relationships/hyperlink" Target="https://www.google.com/maps/search/?api=1&amp;query=Dr.+Sheila+Fahey+LTD.%2C+3947+Excelsior+Blvd%2C+St.+Louis+Park%2C+MN+55416" TargetMode="External"/><Relationship Id="rId1966" Type="http://schemas.openxmlformats.org/officeDocument/2006/relationships/hyperlink" Target="https://npiregistry.cms.hhs.gov/provider-view/1861557217" TargetMode="External"/><Relationship Id="rId3181" Type="http://schemas.openxmlformats.org/officeDocument/2006/relationships/hyperlink" Target="https://www.google.com/maps/search/?api=1&amp;query=Bluestone+Oral+and+Maxillofacial+Surgery%2C+PA.%2C+1616+Cloquet+Ave%2C+Cloquet%2C+MN+55720" TargetMode="External"/><Relationship Id="rId4025" Type="http://schemas.openxmlformats.org/officeDocument/2006/relationships/hyperlink" Target="https://www.google.com/maps/search/?api=1&amp;query=Winona+Chiropractic+Center%2C+752+E+Sarnia+St%2C+Winona%2C+MN+55987" TargetMode="External"/><Relationship Id="rId1619" Type="http://schemas.openxmlformats.org/officeDocument/2006/relationships/hyperlink" Target="https://www.google.com/maps/search/?api=1&amp;query=Life+Force-Cervella%2C+INC%2C+3555+Plymouth+Blvd%2C+Plymouth%2C+MN+55447" TargetMode="External"/><Relationship Id="rId1826" Type="http://schemas.openxmlformats.org/officeDocument/2006/relationships/hyperlink" Target="https://npiregistry.cms.hhs.gov/provider-view/1669763827" TargetMode="External"/><Relationship Id="rId3041" Type="http://schemas.openxmlformats.org/officeDocument/2006/relationships/hyperlink" Target="https://www.google.com/maps/search/?api=1&amp;query=Back+On+Track+Rehabilitation+Center%2C+1246+32nd+Ave+N%2C+St.+Cloud%2C+MN+56303" TargetMode="External"/><Relationship Id="rId3998" Type="http://schemas.openxmlformats.org/officeDocument/2006/relationships/hyperlink" Target="https://npiregistry.cms.hhs.gov/provider-view/1639344799" TargetMode="External"/><Relationship Id="rId3858" Type="http://schemas.openxmlformats.org/officeDocument/2006/relationships/hyperlink" Target="https://npiregistry.cms.hhs.gov/provider-view/1780876557" TargetMode="External"/><Relationship Id="rId779" Type="http://schemas.openxmlformats.org/officeDocument/2006/relationships/hyperlink" Target="https://www.google.com/maps/search/?api=1&amp;query=Abel+Chiropractic+Clinic%2C+3411+Winnetka+Ave+N%2C+Crystal%2C+MN+55427" TargetMode="External"/><Relationship Id="rId986" Type="http://schemas.openxmlformats.org/officeDocument/2006/relationships/hyperlink" Target="https://npiregistry.cms.hhs.gov/provider-view/1730472218" TargetMode="External"/><Relationship Id="rId2667" Type="http://schemas.openxmlformats.org/officeDocument/2006/relationships/hyperlink" Target="https://www.google.com/maps/search/?api=1&amp;query=Rivertown+Health+%26+Wellness%2C+PA.%2C+305+Greeley+St+S%2C+Stillwater%2C+MN+55082" TargetMode="External"/><Relationship Id="rId3718" Type="http://schemas.openxmlformats.org/officeDocument/2006/relationships/hyperlink" Target="https://npiregistry.cms.hhs.gov/provider-view/1316147200" TargetMode="External"/><Relationship Id="rId639" Type="http://schemas.openxmlformats.org/officeDocument/2006/relationships/hyperlink" Target="https://www.google.com/maps/search/?api=1&amp;query=Innate+%26+Hyack+Family+Chiropractic+LLC%2C+2626+E+82nd+St%2C+Bloomington%2C+MN+55425" TargetMode="External"/><Relationship Id="rId1269" Type="http://schemas.openxmlformats.org/officeDocument/2006/relationships/hyperlink" Target="https://www.google.com/maps/search/?api=1&amp;query=Gilmore+Chiropractic+PLLC%2C+707+W+34th+St%2C+Minneapolis%2C+MN+55408" TargetMode="External"/><Relationship Id="rId1476" Type="http://schemas.openxmlformats.org/officeDocument/2006/relationships/hyperlink" Target="https://npiregistry.cms.hhs.gov/provider-view/1366597320" TargetMode="External"/><Relationship Id="rId2874" Type="http://schemas.openxmlformats.org/officeDocument/2006/relationships/hyperlink" Target="https://npiregistry.cms.hhs.gov/provider-view/1558606400" TargetMode="External"/><Relationship Id="rId3925" Type="http://schemas.openxmlformats.org/officeDocument/2006/relationships/hyperlink" Target="https://www.google.com/maps/search/?api=1&amp;query=Complete+Chiropractic+INC%2C+303+Hester+St+W%2C+Dundas%2C+MN+55019" TargetMode="External"/><Relationship Id="rId846" Type="http://schemas.openxmlformats.org/officeDocument/2006/relationships/hyperlink" Target="https://npiregistry.cms.hhs.gov/provider-view/1427146265" TargetMode="External"/><Relationship Id="rId1129" Type="http://schemas.openxmlformats.org/officeDocument/2006/relationships/hyperlink" Target="https://www.google.com/maps/search/?api=1&amp;query=Kim+Neurosurgery%2C+PLLC%2C+9325+Upland+Ln+N%2C+Maple+Grove%2C+MN+55369" TargetMode="External"/><Relationship Id="rId1683" Type="http://schemas.openxmlformats.org/officeDocument/2006/relationships/hyperlink" Target="https://www.google.com/maps/search/?api=1&amp;query=R+F+Spine+Center+PA%2C+6410+Nicollet+Ave%2C+Richfield%2C+MN+55423" TargetMode="External"/><Relationship Id="rId1890" Type="http://schemas.openxmlformats.org/officeDocument/2006/relationships/hyperlink" Target="https://npiregistry.cms.hhs.gov/provider-view/1922464577" TargetMode="External"/><Relationship Id="rId2527" Type="http://schemas.openxmlformats.org/officeDocument/2006/relationships/hyperlink" Target="https://www.google.com/maps/search/?api=1&amp;query=West+Central+Neurology+PA%2C+11521+312th+Ave%2C+Princeton%2C+MN+55371" TargetMode="External"/><Relationship Id="rId2734" Type="http://schemas.openxmlformats.org/officeDocument/2006/relationships/hyperlink" Target="https://npiregistry.cms.hhs.gov/provider-view/1346426525" TargetMode="External"/><Relationship Id="rId2941" Type="http://schemas.openxmlformats.org/officeDocument/2006/relationships/hyperlink" Target="https://www.google.com/maps/search/?api=1&amp;query=Little+Falls+Orthopedics%2C+PA%2C+1108+1st+St+SE%2C+Little+Falls%2C+MN+56345" TargetMode="External"/><Relationship Id="rId706" Type="http://schemas.openxmlformats.org/officeDocument/2006/relationships/hyperlink" Target="https://npiregistry.cms.hhs.gov/provider-view/1801221411" TargetMode="External"/><Relationship Id="rId913" Type="http://schemas.openxmlformats.org/officeDocument/2006/relationships/hyperlink" Target="https://www.google.com/maps/search/?api=1&amp;query=Health+%26+Wellness+Center+-+Edina%2C+6500+Barrie+Rd%2C+Edina%2C+MN+55435" TargetMode="External"/><Relationship Id="rId1336" Type="http://schemas.openxmlformats.org/officeDocument/2006/relationships/hyperlink" Target="https://npiregistry.cms.hhs.gov/provider-view/1194314401" TargetMode="External"/><Relationship Id="rId1543" Type="http://schemas.openxmlformats.org/officeDocument/2006/relationships/hyperlink" Target="https://www.google.com/maps/search/?api=1&amp;query=Peak+Performance+Chiropractic%2C+4739+County+Road+101%2C+Minnetonka%2C+MN+55345" TargetMode="External"/><Relationship Id="rId1750" Type="http://schemas.openxmlformats.org/officeDocument/2006/relationships/hyperlink" Target="https://npiregistry.cms.hhs.gov/provider-view/1568544864" TargetMode="External"/><Relationship Id="rId2801" Type="http://schemas.openxmlformats.org/officeDocument/2006/relationships/hyperlink" Target="https://www.google.com/maps/search/?api=1&amp;query=Ridgeview+Delano+Clinic%2Fwestern+Orthopaedics+%26+Sports+Medicine+Consult%2C+916+Saint+Peter+St%2C+Delano%2C+MN+55328" TargetMode="External"/><Relationship Id="rId42" Type="http://schemas.openxmlformats.org/officeDocument/2006/relationships/hyperlink" Target="https://npiregistry.cms.hhs.gov/provider-view/1568507705" TargetMode="External"/><Relationship Id="rId1403" Type="http://schemas.openxmlformats.org/officeDocument/2006/relationships/hyperlink" Target="https://www.google.com/maps/search/?api=1&amp;query=Park+Nicollet+Clinic%2C+1000+Nicollet+Mall%2C+Minneapolis%2C+MN+55403" TargetMode="External"/><Relationship Id="rId1610" Type="http://schemas.openxmlformats.org/officeDocument/2006/relationships/hyperlink" Target="https://npiregistry.cms.hhs.gov/provider-view/1518174218" TargetMode="External"/><Relationship Id="rId3368" Type="http://schemas.openxmlformats.org/officeDocument/2006/relationships/hyperlink" Target="https://npiregistry.cms.hhs.gov/provider-view/1578113973" TargetMode="External"/><Relationship Id="rId3575" Type="http://schemas.openxmlformats.org/officeDocument/2006/relationships/hyperlink" Target="https://www.google.com/maps/search/?api=1&amp;query=Dr.+Zack+DC.+LLC%2C+109+N+Mill+St%2C+Fergus+Falls%2C+MN+56537" TargetMode="External"/><Relationship Id="rId3782" Type="http://schemas.openxmlformats.org/officeDocument/2006/relationships/hyperlink" Target="https://npiregistry.cms.hhs.gov/provider-view/1245561729" TargetMode="External"/><Relationship Id="rId289" Type="http://schemas.openxmlformats.org/officeDocument/2006/relationships/hyperlink" Target="https://www.google.com/maps/search/?api=1&amp;query=Apple+Valley+Chiropractic+%26+Rehab%2C+14501+Granada+Dr%2C+Apple+Valley%2C+MN+55124" TargetMode="External"/><Relationship Id="rId496" Type="http://schemas.openxmlformats.org/officeDocument/2006/relationships/hyperlink" Target="https://npiregistry.cms.hhs.gov/provider-view/1780735241" TargetMode="External"/><Relationship Id="rId2177" Type="http://schemas.openxmlformats.org/officeDocument/2006/relationships/hyperlink" Target="https://www.google.com/maps/search/?api=1&amp;query=Lifetrack+Resources%2C+INC.%2C+709+University+Ave+W%2C+St.+Paul%2C+MN+55104" TargetMode="External"/><Relationship Id="rId2384" Type="http://schemas.openxmlformats.org/officeDocument/2006/relationships/hyperlink" Target="https://npiregistry.cms.hhs.gov/provider-view/1518174556" TargetMode="External"/><Relationship Id="rId2591" Type="http://schemas.openxmlformats.org/officeDocument/2006/relationships/hyperlink" Target="https://www.google.com/maps/search/?api=1&amp;query=Vibrant+Chiropractic+PA.%2C+8519+Eagle+Point+Blvd%2C+Lake+Elmo%2C+MN+55042" TargetMode="External"/><Relationship Id="rId3228" Type="http://schemas.openxmlformats.org/officeDocument/2006/relationships/hyperlink" Target="https://npiregistry.cms.hhs.gov/provider-view/1033103742" TargetMode="External"/><Relationship Id="rId3435" Type="http://schemas.openxmlformats.org/officeDocument/2006/relationships/hyperlink" Target="https://www.google.com/maps/search/?api=1&amp;query=Comprehensive+Anesthesia+and+Managed+Pain+Systems%2C+INC.%2C+750+E+34th+St%2C+Hibbing%2C+MN+55746" TargetMode="External"/><Relationship Id="rId3642" Type="http://schemas.openxmlformats.org/officeDocument/2006/relationships/hyperlink" Target="https://npiregistry.cms.hhs.gov/provider-view/1043722481" TargetMode="External"/><Relationship Id="rId149" Type="http://schemas.openxmlformats.org/officeDocument/2006/relationships/hyperlink" Target="https://www.google.com/maps/search/?api=1&amp;query=The+Circle+of+Healing+Arts%2C+7094+Lake+Dr%2C+Lino+Lakes%2C+MN+55014" TargetMode="External"/><Relationship Id="rId356" Type="http://schemas.openxmlformats.org/officeDocument/2006/relationships/hyperlink" Target="https://npiregistry.cms.hhs.gov/provider-view/1497052898" TargetMode="External"/><Relationship Id="rId563" Type="http://schemas.openxmlformats.org/officeDocument/2006/relationships/hyperlink" Target="https://www.google.com/maps/search/?api=1&amp;query=US.+Healthworks+Medical+Group+of+Minnesota%2C+PC%2C+2520+Pilot+Knob+Rd%2C+Mendota+Heights%2C+MN+55120" TargetMode="External"/><Relationship Id="rId770" Type="http://schemas.openxmlformats.org/officeDocument/2006/relationships/hyperlink" Target="https://npiregistry.cms.hhs.gov/provider-view/1457761801" TargetMode="External"/><Relationship Id="rId1193" Type="http://schemas.openxmlformats.org/officeDocument/2006/relationships/hyperlink" Target="https://www.google.com/maps/search/?api=1&amp;query=Ambiente+Gallerie%2C+505+1st+Ave+NE%2C+Minneapolis%2C+MN+55413" TargetMode="External"/><Relationship Id="rId2037" Type="http://schemas.openxmlformats.org/officeDocument/2006/relationships/hyperlink" Target="https://www.google.com/maps/search/?api=1&amp;query=Acupuncture+and+Chiropractic+Limited%2C+PLLC%2C+232+Snelling+Ave+S%2C+St.+Paul%2C+MN+55105" TargetMode="External"/><Relationship Id="rId2244" Type="http://schemas.openxmlformats.org/officeDocument/2006/relationships/hyperlink" Target="https://npiregistry.cms.hhs.gov/provider-view/1295939965" TargetMode="External"/><Relationship Id="rId2451" Type="http://schemas.openxmlformats.org/officeDocument/2006/relationships/hyperlink" Target="https://www.google.com/maps/search/?api=1&amp;query=Lifeforce+Family+Chiropractic+PA%2C+8734+County+Road+42+W%2C+Savage%2C+MN+55378" TargetMode="External"/><Relationship Id="rId216" Type="http://schemas.openxmlformats.org/officeDocument/2006/relationships/hyperlink" Target="https://npiregistry.cms.hhs.gov/provider-view/1336625326" TargetMode="External"/><Relationship Id="rId423" Type="http://schemas.openxmlformats.org/officeDocument/2006/relationships/hyperlink" Target="https://www.google.com/maps/search/?api=1&amp;query=Eagan+Sports+Chiropractic+%26+Wellness+Center%2C+2121+Cliff+Dr%2C+Eagan%2C+MN+55122" TargetMode="External"/><Relationship Id="rId1053" Type="http://schemas.openxmlformats.org/officeDocument/2006/relationships/hyperlink" Target="https://www.google.com/maps/search/?api=1&amp;query=Resolution+Chiropractic+Professional+Corporation%2C+5155+Winsdale+St+N%2C+Golden+Valley%2C+MN+55422" TargetMode="External"/><Relationship Id="rId1260" Type="http://schemas.openxmlformats.org/officeDocument/2006/relationships/hyperlink" Target="https://npiregistry.cms.hhs.gov/provider-view/1679875298" TargetMode="External"/><Relationship Id="rId2104" Type="http://schemas.openxmlformats.org/officeDocument/2006/relationships/hyperlink" Target="https://npiregistry.cms.hhs.gov/provider-view/1710385182" TargetMode="External"/><Relationship Id="rId3502" Type="http://schemas.openxmlformats.org/officeDocument/2006/relationships/hyperlink" Target="https://npiregistry.cms.hhs.gov/provider-view/1285178301" TargetMode="External"/><Relationship Id="rId630" Type="http://schemas.openxmlformats.org/officeDocument/2006/relationships/hyperlink" Target="https://npiregistry.cms.hhs.gov/provider-view/1285967315" TargetMode="External"/><Relationship Id="rId2311" Type="http://schemas.openxmlformats.org/officeDocument/2006/relationships/hyperlink" Target="https://www.google.com/maps/search/?api=1&amp;query=Vital+Injury+Care+and+Wellness+Clinic%2C+60+Plato+Blvd+E%2C+St.+Paul%2C+MN+55107" TargetMode="External"/><Relationship Id="rId4069" Type="http://schemas.openxmlformats.org/officeDocument/2006/relationships/hyperlink" Target="https://www.google.com/maps/search/?api=1&amp;query=Willmar+Chiropractic+Clinic+PA.%2C+1950+19th+Ave+SW%2C+Willmar%2C+MN+56201" TargetMode="External"/><Relationship Id="rId1120" Type="http://schemas.openxmlformats.org/officeDocument/2006/relationships/hyperlink" Target="https://npiregistry.cms.hhs.gov/provider-view/1396001467" TargetMode="External"/><Relationship Id="rId1937" Type="http://schemas.openxmlformats.org/officeDocument/2006/relationships/hyperlink" Target="https://www.google.com/maps/search/?api=1&amp;query=Silver+Lake+Chiropractic+INC%2C+2030+Silver+Lake+Rd+NW%2C+New+Brighton%2C+MN+55112" TargetMode="External"/><Relationship Id="rId3085" Type="http://schemas.openxmlformats.org/officeDocument/2006/relationships/hyperlink" Target="https://www.google.com/maps/search/?api=1&amp;query=Woodlands+Chiropractic+PA%2C+48+29th+Ave+N%2C+St.+Cloud%2C+MN+56303" TargetMode="External"/><Relationship Id="rId3292" Type="http://schemas.openxmlformats.org/officeDocument/2006/relationships/hyperlink" Target="https://npiregistry.cms.hhs.gov/provider-view/1902016710" TargetMode="External"/><Relationship Id="rId4136" Type="http://schemas.openxmlformats.org/officeDocument/2006/relationships/hyperlink" Target="https://npiregistry.cms.hhs.gov/provider-view/1720254733" TargetMode="External"/><Relationship Id="rId3152" Type="http://schemas.openxmlformats.org/officeDocument/2006/relationships/hyperlink" Target="https://npiregistry.cms.hhs.gov/provider-view/1851051742" TargetMode="External"/><Relationship Id="rId280" Type="http://schemas.openxmlformats.org/officeDocument/2006/relationships/hyperlink" Target="https://npiregistry.cms.hhs.gov/provider-view/1679707459" TargetMode="External"/><Relationship Id="rId3012" Type="http://schemas.openxmlformats.org/officeDocument/2006/relationships/hyperlink" Target="https://npiregistry.cms.hhs.gov/provider-view/1417935321" TargetMode="External"/><Relationship Id="rId140" Type="http://schemas.openxmlformats.org/officeDocument/2006/relationships/hyperlink" Target="https://npiregistry.cms.hhs.gov/provider-view/1639682610" TargetMode="External"/><Relationship Id="rId3969" Type="http://schemas.openxmlformats.org/officeDocument/2006/relationships/hyperlink" Target="https://www.google.com/maps/search/?api=1&amp;query=Chiropractic+Health+Service+PA%2C+207+W+Holly+St%2C+Owatonna%2C+MN+55060" TargetMode="External"/><Relationship Id="rId6" Type="http://schemas.openxmlformats.org/officeDocument/2006/relationships/hyperlink" Target="https://npiregistry.cms.hhs.gov/provider-view/1992924526" TargetMode="External"/><Relationship Id="rId2778" Type="http://schemas.openxmlformats.org/officeDocument/2006/relationships/hyperlink" Target="https://npiregistry.cms.hhs.gov/provider-view/1366623159" TargetMode="External"/><Relationship Id="rId2985" Type="http://schemas.openxmlformats.org/officeDocument/2006/relationships/hyperlink" Target="https://www.google.com/maps/search/?api=1&amp;query=Jacklitch+Chiropractic+Clinic%2C+645+Lake+Ave+S%2C+Paynesville%2C+MN+56362" TargetMode="External"/><Relationship Id="rId3829" Type="http://schemas.openxmlformats.org/officeDocument/2006/relationships/hyperlink" Target="https://www.google.com/maps/search/?api=1&amp;query=North+Park+Chiropractic%2C+200+E+Bowler+St%2C+Le+Center%2C+MN+56057" TargetMode="External"/><Relationship Id="rId957" Type="http://schemas.openxmlformats.org/officeDocument/2006/relationships/hyperlink" Target="https://www.google.com/maps/search/?api=1&amp;query=Pactforpain%2C+4700+Dale+Dr%2C+Edina%2C+MN+55424" TargetMode="External"/><Relationship Id="rId1587" Type="http://schemas.openxmlformats.org/officeDocument/2006/relationships/hyperlink" Target="https://www.google.com/maps/search/?api=1&amp;query=Accelerated+Sports+Therapy+%26+Fitness%2C+INC.%2C+14100+Carlson+Pkwy%2C+Plymouth%2C+MN+55441" TargetMode="External"/><Relationship Id="rId1794" Type="http://schemas.openxmlformats.org/officeDocument/2006/relationships/hyperlink" Target="https://npiregistry.cms.hhs.gov/provider-view/1497915896" TargetMode="External"/><Relationship Id="rId2638" Type="http://schemas.openxmlformats.org/officeDocument/2006/relationships/hyperlink" Target="https://npiregistry.cms.hhs.gov/provider-view/1417509704" TargetMode="External"/><Relationship Id="rId2845" Type="http://schemas.openxmlformats.org/officeDocument/2006/relationships/hyperlink" Target="https://www.google.com/maps/search/?api=1&amp;query=Complete+Chiropractic%2C+249+Central+Ave+E%2C+St.+Michael%2C+MN+55376" TargetMode="External"/><Relationship Id="rId86" Type="http://schemas.openxmlformats.org/officeDocument/2006/relationships/hyperlink" Target="https://npiregistry.cms.hhs.gov/provider-view/1972926707" TargetMode="External"/><Relationship Id="rId817" Type="http://schemas.openxmlformats.org/officeDocument/2006/relationships/hyperlink" Target="https://www.google.com/maps/search/?api=1&amp;query=Everhealth+Chiropractic%2C+7114+Shady+Oak+Rd%2C+Eden+Prairie%2C+MN+55344" TargetMode="External"/><Relationship Id="rId1447" Type="http://schemas.openxmlformats.org/officeDocument/2006/relationships/hyperlink" Target="https://www.google.com/maps/search/?api=1&amp;query=Strauman+Holistic+Chiropractic%2C+2900+Thomas+Ave+S%2C+Minneapolis%2C+MN+55416" TargetMode="External"/><Relationship Id="rId1654" Type="http://schemas.openxmlformats.org/officeDocument/2006/relationships/hyperlink" Target="https://npiregistry.cms.hhs.gov/provider-view/1720267669" TargetMode="External"/><Relationship Id="rId1861" Type="http://schemas.openxmlformats.org/officeDocument/2006/relationships/hyperlink" Target="https://www.google.com/maps/search/?api=1&amp;query=North+Metro+Chiropractic+Clinic+PA.%2C+1525+Highway+95+E%2C+Cambridge%2C+MN+55008" TargetMode="External"/><Relationship Id="rId2705" Type="http://schemas.openxmlformats.org/officeDocument/2006/relationships/hyperlink" Target="https://www.google.com/maps/search/?api=1&amp;query=Kinecio+Physical+Therapy%2C+7650+Currell+Blvd%2C+Woodbury%2C+MN+55125" TargetMode="External"/><Relationship Id="rId2912" Type="http://schemas.openxmlformats.org/officeDocument/2006/relationships/hyperlink" Target="https://npiregistry.cms.hhs.gov/provider-view/1740329382" TargetMode="External"/><Relationship Id="rId4060" Type="http://schemas.openxmlformats.org/officeDocument/2006/relationships/hyperlink" Target="https://npiregistry.cms.hhs.gov/provider-view/1447203427" TargetMode="External"/><Relationship Id="rId1307" Type="http://schemas.openxmlformats.org/officeDocument/2006/relationships/hyperlink" Target="https://www.google.com/maps/search/?api=1&amp;query=Kenwood+Chiropractic+Arts+PA%2C+1311+W+25th+St%2C+Minneapolis%2C+MN+55405" TargetMode="External"/><Relationship Id="rId1514" Type="http://schemas.openxmlformats.org/officeDocument/2006/relationships/hyperlink" Target="https://npiregistry.cms.hhs.gov/provider-view/1003067802" TargetMode="External"/><Relationship Id="rId1721" Type="http://schemas.openxmlformats.org/officeDocument/2006/relationships/hyperlink" Target="https://www.google.com/maps/search/?api=1&amp;query=Knudson+Chiropractic+PLLC%2C+21897+S+Diamond+Lake+Rd%2C+Rogers%2C+MN+55374" TargetMode="External"/><Relationship Id="rId13" Type="http://schemas.openxmlformats.org/officeDocument/2006/relationships/hyperlink" Target="https://www.google.com/maps/search/?api=1&amp;query=Anoka+Chiropractic%2C+PA.%2C+646+E+River+Rd%2C+Anoka%2C+MN+55303" TargetMode="External"/><Relationship Id="rId3479" Type="http://schemas.openxmlformats.org/officeDocument/2006/relationships/hyperlink" Target="https://www.google.com/maps/search/?api=1&amp;query=Ray+Chiropractic+PA%2C+418+Demers+Ave%2C+East+Grand+Forks%2C+MN+56721" TargetMode="External"/><Relationship Id="rId3686" Type="http://schemas.openxmlformats.org/officeDocument/2006/relationships/hyperlink" Target="https://npiregistry.cms.hhs.gov/provider-view/1649457185" TargetMode="External"/><Relationship Id="rId2288" Type="http://schemas.openxmlformats.org/officeDocument/2006/relationships/hyperlink" Target="https://npiregistry.cms.hhs.gov/provider-view/1972912277" TargetMode="External"/><Relationship Id="rId2495" Type="http://schemas.openxmlformats.org/officeDocument/2006/relationships/hyperlink" Target="https://www.google.com/maps/search/?api=1&amp;query=Strive+4+Health+Chiropractic+LLC%2C+8068+Old+Carriage+Ct%2C+Shakopee%2C+MN+55379" TargetMode="External"/><Relationship Id="rId3339" Type="http://schemas.openxmlformats.org/officeDocument/2006/relationships/hyperlink" Target="https://www.google.com/maps/search/?api=1&amp;query=Falls+Advanced+Chiropractic+Center%2C+1322+Third+Street%2C+International+Falls%2C+MN+56649" TargetMode="External"/><Relationship Id="rId3893" Type="http://schemas.openxmlformats.org/officeDocument/2006/relationships/hyperlink" Target="https://www.google.com/maps/search/?api=1&amp;query=Maday+Chiropractic+LLC%2C+1915+Greenview+Dr.+SW%2C+Rochester%2C+MN+55902" TargetMode="External"/><Relationship Id="rId467" Type="http://schemas.openxmlformats.org/officeDocument/2006/relationships/hyperlink" Target="https://www.google.com/maps/search/?api=1&amp;query=Summit+Orthopedics%2C+LTD%2C+1400+Corporate+Center+Curv%2C+Eagan%2C+MN+55121" TargetMode="External"/><Relationship Id="rId1097" Type="http://schemas.openxmlformats.org/officeDocument/2006/relationships/hyperlink" Target="https://www.google.com/maps/search/?api=1&amp;query=Chiropracticusa%2C+1850+W+Wayzata+Blvd%2C+Long+Lake%2C+MN+55356" TargetMode="External"/><Relationship Id="rId2148" Type="http://schemas.openxmlformats.org/officeDocument/2006/relationships/hyperlink" Target="https://npiregistry.cms.hhs.gov/provider-view/1457629685" TargetMode="External"/><Relationship Id="rId3546" Type="http://schemas.openxmlformats.org/officeDocument/2006/relationships/hyperlink" Target="https://npiregistry.cms.hhs.gov/provider-view/1679615090" TargetMode="External"/><Relationship Id="rId3753" Type="http://schemas.openxmlformats.org/officeDocument/2006/relationships/hyperlink" Target="https://www.google.com/maps/search/?api=1&amp;query=Wellness+1st+Chiropractic+LTD%2C+311+5th+St%2C+Gaylord%2C+MN+55334" TargetMode="External"/><Relationship Id="rId3960" Type="http://schemas.openxmlformats.org/officeDocument/2006/relationships/hyperlink" Target="https://npiregistry.cms.hhs.gov/provider-view/1487768958" TargetMode="External"/><Relationship Id="rId674" Type="http://schemas.openxmlformats.org/officeDocument/2006/relationships/hyperlink" Target="https://npiregistry.cms.hhs.gov/provider-view/1699820662" TargetMode="External"/><Relationship Id="rId881" Type="http://schemas.openxmlformats.org/officeDocument/2006/relationships/hyperlink" Target="https://www.google.com/maps/search/?api=1&amp;query=Advacare+Medical+Clinic+LTD%2C+5325+W+74th+St%2C+Edina%2C+MN+55439" TargetMode="External"/><Relationship Id="rId2355" Type="http://schemas.openxmlformats.org/officeDocument/2006/relationships/hyperlink" Target="https://www.google.com/maps/search/?api=1&amp;query=Groves+Physical+Therapy%2C+4465+White+Bear+Pkwy%2C+White+Bear+Lake%2C+MN+55110" TargetMode="External"/><Relationship Id="rId2562" Type="http://schemas.openxmlformats.org/officeDocument/2006/relationships/hyperlink" Target="https://npiregistry.cms.hhs.gov/provider-view/1710337167" TargetMode="External"/><Relationship Id="rId3406" Type="http://schemas.openxmlformats.org/officeDocument/2006/relationships/hyperlink" Target="https://npiregistry.cms.hhs.gov/provider-view/1528258068" TargetMode="External"/><Relationship Id="rId3613" Type="http://schemas.openxmlformats.org/officeDocument/2006/relationships/hyperlink" Target="https://www.google.com/maps/search/?api=1&amp;query=Salathe+Chiropractic+Center%2C+101+West+Coney+St%2C+Perham%2C+MN+56573" TargetMode="External"/><Relationship Id="rId3820" Type="http://schemas.openxmlformats.org/officeDocument/2006/relationships/hyperlink" Target="https://npiregistry.cms.hhs.gov/provider-view/1841704566" TargetMode="External"/><Relationship Id="rId327" Type="http://schemas.openxmlformats.org/officeDocument/2006/relationships/hyperlink" Target="https://www.google.com/maps/search/?api=1&amp;query=Timewise+Medical%2C+7275+147th+St+W%2C+Apple+Valley%2C+MN+55124" TargetMode="External"/><Relationship Id="rId534" Type="http://schemas.openxmlformats.org/officeDocument/2006/relationships/hyperlink" Target="https://npiregistry.cms.hhs.gov/provider-view/1295957058" TargetMode="External"/><Relationship Id="rId741" Type="http://schemas.openxmlformats.org/officeDocument/2006/relationships/hyperlink" Target="https://www.google.com/maps/search/?api=1&amp;query=Patient+First%2C+PA.%2C+3330+Brookdale+Drive%2C+Brooklyn+Park%2C+MN+55443" TargetMode="External"/><Relationship Id="rId1164" Type="http://schemas.openxmlformats.org/officeDocument/2006/relationships/hyperlink" Target="https://npiregistry.cms.hhs.gov/provider-view/1316143936" TargetMode="External"/><Relationship Id="rId1371" Type="http://schemas.openxmlformats.org/officeDocument/2006/relationships/hyperlink" Target="https://www.google.com/maps/search/?api=1&amp;query=Minnesota+Neurovascular+%26+Skull+Base+Surgery%2C+3033+Excelsior+Blvd%2C+Minneapolis%2C+MN+55416" TargetMode="External"/><Relationship Id="rId2008" Type="http://schemas.openxmlformats.org/officeDocument/2006/relationships/hyperlink" Target="https://npiregistry.cms.hhs.gov/provider-view/1811177546" TargetMode="External"/><Relationship Id="rId2215" Type="http://schemas.openxmlformats.org/officeDocument/2006/relationships/hyperlink" Target="https://www.google.com/maps/search/?api=1&amp;query=Okeefe+Chiropractic+Clinic+INC.%2C+1053+Ahland+Ave.%2C+St.+Paul%2C+MN+55104" TargetMode="External"/><Relationship Id="rId2422" Type="http://schemas.openxmlformats.org/officeDocument/2006/relationships/hyperlink" Target="https://npiregistry.cms.hhs.gov/provider-view/1013591973" TargetMode="External"/><Relationship Id="rId601" Type="http://schemas.openxmlformats.org/officeDocument/2006/relationships/hyperlink" Target="https://www.google.com/maps/search/?api=1&amp;query=Advacare+Clinics%2Cltd%2C+5001+American+Blvd+W%2C+Bloomington%2C+MN+55437" TargetMode="External"/><Relationship Id="rId1024" Type="http://schemas.openxmlformats.org/officeDocument/2006/relationships/hyperlink" Target="https://npiregistry.cms.hhs.gov/provider-view/1346312147" TargetMode="External"/><Relationship Id="rId1231" Type="http://schemas.openxmlformats.org/officeDocument/2006/relationships/hyperlink" Target="https://www.google.com/maps/search/?api=1&amp;query=Community+Healings+Arts%2C+INC.%2C+4944+Abbott+Ave+S%2C+Minneapolis%2C+MN+55410" TargetMode="External"/><Relationship Id="rId3196" Type="http://schemas.openxmlformats.org/officeDocument/2006/relationships/hyperlink" Target="https://npiregistry.cms.hhs.gov/provider-view/1902261456" TargetMode="External"/><Relationship Id="rId3056" Type="http://schemas.openxmlformats.org/officeDocument/2006/relationships/hyperlink" Target="https://npiregistry.cms.hhs.gov/provider-view/1396259883" TargetMode="External"/><Relationship Id="rId3263" Type="http://schemas.openxmlformats.org/officeDocument/2006/relationships/hyperlink" Target="https://www.google.com/maps/search/?api=1&amp;query=Northwoods+Chiropractic+P.+A.%2C+13743+E+Shore+Rd%2C+Crosslake%2C+MN+56442" TargetMode="External"/><Relationship Id="rId3470" Type="http://schemas.openxmlformats.org/officeDocument/2006/relationships/hyperlink" Target="https://npiregistry.cms.hhs.gov/provider-view/1154356665" TargetMode="External"/><Relationship Id="rId4107" Type="http://schemas.openxmlformats.org/officeDocument/2006/relationships/hyperlink" Target="https://www.google.com/maps/search/?api=1&amp;query=Diagnostic+Radiologic+Imaging+PA%2C+1607+N+Mcmillan+St%2C+Worthington%2C+MN+56187" TargetMode="External"/><Relationship Id="rId184" Type="http://schemas.openxmlformats.org/officeDocument/2006/relationships/hyperlink" Target="https://npiregistry.cms.hhs.gov/provider-view/1740555879" TargetMode="External"/><Relationship Id="rId391" Type="http://schemas.openxmlformats.org/officeDocument/2006/relationships/hyperlink" Target="https://www.google.com/maps/search/?api=1&amp;query=Total+Body+Chiropractic+Care%2C+14300+Buck+Hill+Rd%2C+Burnsville%2C+MN+55306" TargetMode="External"/><Relationship Id="rId1908" Type="http://schemas.openxmlformats.org/officeDocument/2006/relationships/hyperlink" Target="https://npiregistry.cms.hhs.gov/provider-view/1497821433" TargetMode="External"/><Relationship Id="rId2072" Type="http://schemas.openxmlformats.org/officeDocument/2006/relationships/hyperlink" Target="https://npiregistry.cms.hhs.gov/provider-view/1518146687" TargetMode="External"/><Relationship Id="rId3123" Type="http://schemas.openxmlformats.org/officeDocument/2006/relationships/hyperlink" Target="https://www.google.com/maps/search/?api=1&amp;query=Chiropractic+Health+Consultants%2C+717+Andrews+Ave%2C+Detroit+Lakes%2C+MN+56501" TargetMode="External"/><Relationship Id="rId251" Type="http://schemas.openxmlformats.org/officeDocument/2006/relationships/hyperlink" Target="https://www.google.com/maps/search/?api=1&amp;query=Chiropractic+Specialists+of+Watertown+PC%2C+142+Lewis+Ave+S%2C+Watertown%2C+MN+55388" TargetMode="External"/><Relationship Id="rId3330" Type="http://schemas.openxmlformats.org/officeDocument/2006/relationships/hyperlink" Target="https://npiregistry.cms.hhs.gov/provider-view/1669710737" TargetMode="External"/><Relationship Id="rId2889" Type="http://schemas.openxmlformats.org/officeDocument/2006/relationships/hyperlink" Target="https://www.google.com/maps/search/?api=1&amp;query=Caspers+Chiropractic+Center%2C+PC.%2C+103+3rd+Av+NW%2C+Hutchinson%2C+MN+55350" TargetMode="External"/><Relationship Id="rId111" Type="http://schemas.openxmlformats.org/officeDocument/2006/relationships/hyperlink" Target="https://www.google.com/maps/search/?api=1&amp;query=Thomas+W.+Miller+DC.%2C+INC.%2C+11417+Hanson+Blvd+NW%2C+Coon+Rapids%2C+MN+55433" TargetMode="External"/><Relationship Id="rId1698" Type="http://schemas.openxmlformats.org/officeDocument/2006/relationships/hyperlink" Target="https://npiregistry.cms.hhs.gov/provider-view/1033209960" TargetMode="External"/><Relationship Id="rId2749" Type="http://schemas.openxmlformats.org/officeDocument/2006/relationships/hyperlink" Target="https://www.google.com/maps/search/?api=1&amp;query=Wedgewood+Chiropractic%2C+1625+Radio+Dr%2C+Woodbury%2C+MN+55125" TargetMode="External"/><Relationship Id="rId2956" Type="http://schemas.openxmlformats.org/officeDocument/2006/relationships/hyperlink" Target="https://npiregistry.cms.hhs.gov/provider-view/1609031483" TargetMode="External"/><Relationship Id="rId928" Type="http://schemas.openxmlformats.org/officeDocument/2006/relationships/hyperlink" Target="https://npiregistry.cms.hhs.gov/provider-view/1952847741" TargetMode="External"/><Relationship Id="rId1558" Type="http://schemas.openxmlformats.org/officeDocument/2006/relationships/hyperlink" Target="https://npiregistry.cms.hhs.gov/provider-view/1336461664" TargetMode="External"/><Relationship Id="rId1765" Type="http://schemas.openxmlformats.org/officeDocument/2006/relationships/hyperlink" Target="https://www.google.com/maps/search/?api=1&amp;query=Family+West+Chiropractic+PA.%2C+8800+Highway+7%2C+St.+Louis+Park%2C+MN+55426" TargetMode="External"/><Relationship Id="rId2609" Type="http://schemas.openxmlformats.org/officeDocument/2006/relationships/hyperlink" Target="https://www.google.com/maps/search/?api=1&amp;query=Front+Door+Chiropractic+Services+PA.%2C+1971+Geneva+Ave+N%2C+Oakdale%2C+MN+55128" TargetMode="External"/><Relationship Id="rId57" Type="http://schemas.openxmlformats.org/officeDocument/2006/relationships/hyperlink" Target="https://www.google.com/maps/search/?api=1&amp;query=Lunzer+Chiropractic+LLC%2C+1847+129th+Ave+NE%2C+Blaine%2C+MN+55449" TargetMode="External"/><Relationship Id="rId1418" Type="http://schemas.openxmlformats.org/officeDocument/2006/relationships/hyperlink" Target="https://npiregistry.cms.hhs.gov/provider-view/1518028448" TargetMode="External"/><Relationship Id="rId1972" Type="http://schemas.openxmlformats.org/officeDocument/2006/relationships/hyperlink" Target="https://npiregistry.cms.hhs.gov/provider-view/1255661914" TargetMode="External"/><Relationship Id="rId2816" Type="http://schemas.openxmlformats.org/officeDocument/2006/relationships/hyperlink" Target="https://npiregistry.cms.hhs.gov/provider-view/1255752507" TargetMode="External"/><Relationship Id="rId4031" Type="http://schemas.openxmlformats.org/officeDocument/2006/relationships/hyperlink" Target="https://www.google.com/maps/search/?api=1&amp;query=Chiropractic+Associates%2C+544+SW+1st+St%2C+Montevideo%2C+MN+56265" TargetMode="External"/><Relationship Id="rId1625" Type="http://schemas.openxmlformats.org/officeDocument/2006/relationships/hyperlink" Target="https://www.google.com/maps/search/?api=1&amp;query=Living+Well+Chiropractic%2C+PC.%2C+3140+Harbor+Ln+N%2C+Plymouth%2C+MN+55447" TargetMode="External"/><Relationship Id="rId1832" Type="http://schemas.openxmlformats.org/officeDocument/2006/relationships/hyperlink" Target="https://npiregistry.cms.hhs.gov/provider-view/1790882785" TargetMode="External"/><Relationship Id="rId3797" Type="http://schemas.openxmlformats.org/officeDocument/2006/relationships/hyperlink" Target="https://www.google.com/maps/search/?api=1&amp;query=Essential+Chiropractic+Sc%2C+437+Main+St%2C+Red+Wing%2C+MN+55066" TargetMode="External"/><Relationship Id="rId2399" Type="http://schemas.openxmlformats.org/officeDocument/2006/relationships/hyperlink" Target="https://www.google.com/maps/search/?api=1&amp;query=Attune+Chiropractic+and+Natural+Health%2C+PLLC%2C+6880+Boudin+St+NE%2C+Prior+Lake%2C+MN+55372" TargetMode="External"/><Relationship Id="rId3657" Type="http://schemas.openxmlformats.org/officeDocument/2006/relationships/hyperlink" Target="https://www.google.com/maps/search/?api=1&amp;query=Key+City+Chiropractic%2C+217+1%2F2+E+Walnut+St%2C+Mankato%2C+MN+56001" TargetMode="External"/><Relationship Id="rId3864" Type="http://schemas.openxmlformats.org/officeDocument/2006/relationships/hyperlink" Target="https://npiregistry.cms.hhs.gov/provider-view/1134376460" TargetMode="External"/><Relationship Id="rId578" Type="http://schemas.openxmlformats.org/officeDocument/2006/relationships/hyperlink" Target="https://npiregistry.cms.hhs.gov/provider-view/1326056672" TargetMode="External"/><Relationship Id="rId785" Type="http://schemas.openxmlformats.org/officeDocument/2006/relationships/hyperlink" Target="https://www.google.com/maps/search/?api=1&amp;query=Colleen+Martens+Endrizzi%2C+INC.%2C+1415+Lilac+Dr+N%2C+Crystal%2C+MN+55422" TargetMode="External"/><Relationship Id="rId992" Type="http://schemas.openxmlformats.org/officeDocument/2006/relationships/hyperlink" Target="https://npiregistry.cms.hhs.gov/provider-view/1629595947" TargetMode="External"/><Relationship Id="rId2259" Type="http://schemas.openxmlformats.org/officeDocument/2006/relationships/hyperlink" Target="https://www.google.com/maps/search/?api=1&amp;query=Spine+%26+Sports+Chiropractic%2C+2216+County+Road+D+W%2C+St.+Paul%2C+MN+55112" TargetMode="External"/><Relationship Id="rId2466" Type="http://schemas.openxmlformats.org/officeDocument/2006/relationships/hyperlink" Target="https://npiregistry.cms.hhs.gov/provider-view/1972819290" TargetMode="External"/><Relationship Id="rId2673" Type="http://schemas.openxmlformats.org/officeDocument/2006/relationships/hyperlink" Target="https://www.google.com/maps/search/?api=1&amp;query=Spine+and+Sport+Chiropractic%2C+1058+Curve+Crest+Blvd+W%2C+Stillwater%2C+MN+55082" TargetMode="External"/><Relationship Id="rId2880" Type="http://schemas.openxmlformats.org/officeDocument/2006/relationships/hyperlink" Target="https://npiregistry.cms.hhs.gov/provider-view/1205053535" TargetMode="External"/><Relationship Id="rId3517" Type="http://schemas.openxmlformats.org/officeDocument/2006/relationships/hyperlink" Target="https://www.google.com/maps/search/?api=1&amp;query=Midthune+Chiropractic+PA%2C+819+30th+Ave+S%2C+Moorhead%2C+MN+56560" TargetMode="External"/><Relationship Id="rId3724" Type="http://schemas.openxmlformats.org/officeDocument/2006/relationships/hyperlink" Target="https://npiregistry.cms.hhs.gov/provider-view/1356670442" TargetMode="External"/><Relationship Id="rId3931" Type="http://schemas.openxmlformats.org/officeDocument/2006/relationships/hyperlink" Target="https://www.google.com/maps/search/?api=1&amp;query=Faribault+Rehabilitation+Center%2C+120+Central+Ave+N%2C+Faribault%2C+MN+55021" TargetMode="External"/><Relationship Id="rId438" Type="http://schemas.openxmlformats.org/officeDocument/2006/relationships/hyperlink" Target="https://npiregistry.cms.hhs.gov/provider-view/1770856031" TargetMode="External"/><Relationship Id="rId645" Type="http://schemas.openxmlformats.org/officeDocument/2006/relationships/hyperlink" Target="https://www.google.com/maps/search/?api=1&amp;query=Intelligent+Design+Wellness+PLLC%2C+2510+W+112th+St%2C+Bloomington%2C+MN+55431" TargetMode="External"/><Relationship Id="rId852" Type="http://schemas.openxmlformats.org/officeDocument/2006/relationships/hyperlink" Target="https://npiregistry.cms.hhs.gov/provider-view/1255729109" TargetMode="External"/><Relationship Id="rId1068" Type="http://schemas.openxmlformats.org/officeDocument/2006/relationships/hyperlink" Target="https://npiregistry.cms.hhs.gov/provider-view/1255478665" TargetMode="External"/><Relationship Id="rId1275" Type="http://schemas.openxmlformats.org/officeDocument/2006/relationships/hyperlink" Target="https://www.google.com/maps/search/?api=1&amp;query=Gtm+Enterprises+PA%2C+2627+E+Franklin+Ave%2C+Minneapolis%2C+MN+55406" TargetMode="External"/><Relationship Id="rId1482" Type="http://schemas.openxmlformats.org/officeDocument/2006/relationships/hyperlink" Target="https://npiregistry.cms.hhs.gov/provider-view/1477945418" TargetMode="External"/><Relationship Id="rId2119" Type="http://schemas.openxmlformats.org/officeDocument/2006/relationships/hyperlink" Target="https://www.google.com/maps/search/?api=1&amp;query=Dr.+Tia+Chang+%26+Associates%2C+PA.%2C+858+Terrace+Ct%2C+St.+Paul%2C+MN+55130" TargetMode="External"/><Relationship Id="rId2326" Type="http://schemas.openxmlformats.org/officeDocument/2006/relationships/hyperlink" Target="https://npiregistry.cms.hhs.gov/provider-view/1750736559" TargetMode="External"/><Relationship Id="rId2533" Type="http://schemas.openxmlformats.org/officeDocument/2006/relationships/hyperlink" Target="https://www.google.com/maps/search/?api=1&amp;query=Knutson+Chiropractic+PA%2C+12631+Fremont+Ave%2C+Zimmerman%2C+MN+55398" TargetMode="External"/><Relationship Id="rId2740" Type="http://schemas.openxmlformats.org/officeDocument/2006/relationships/hyperlink" Target="https://npiregistry.cms.hhs.gov/provider-view/1285076950" TargetMode="External"/><Relationship Id="rId505" Type="http://schemas.openxmlformats.org/officeDocument/2006/relationships/hyperlink" Target="https://www.google.com/maps/search/?api=1&amp;query=River+Heights+Clinic+of+Chiropractic%2C+PA%2C+5759+Blaine+Ave%2C+Inver+Grove+Heights%2C+MN+55076" TargetMode="External"/><Relationship Id="rId712" Type="http://schemas.openxmlformats.org/officeDocument/2006/relationships/hyperlink" Target="https://npiregistry.cms.hhs.gov/provider-view/1427227198" TargetMode="External"/><Relationship Id="rId1135" Type="http://schemas.openxmlformats.org/officeDocument/2006/relationships/hyperlink" Target="https://www.google.com/maps/search/?api=1&amp;query=Maple+Grove+Family+Chiropractic%2C+7372+Kirkwood+Ct+N%2C+Maple+Grove%2C+MN+55369" TargetMode="External"/><Relationship Id="rId1342" Type="http://schemas.openxmlformats.org/officeDocument/2006/relationships/hyperlink" Target="https://npiregistry.cms.hhs.gov/provider-view/1598838740" TargetMode="External"/><Relationship Id="rId1202" Type="http://schemas.openxmlformats.org/officeDocument/2006/relationships/hyperlink" Target="https://npiregistry.cms.hhs.gov/provider-view/1972150464" TargetMode="External"/><Relationship Id="rId2600" Type="http://schemas.openxmlformats.org/officeDocument/2006/relationships/hyperlink" Target="https://npiregistry.cms.hhs.gov/provider-view/1649855230" TargetMode="External"/><Relationship Id="rId3167" Type="http://schemas.openxmlformats.org/officeDocument/2006/relationships/hyperlink" Target="https://www.google.com/maps/search/?api=1&amp;query=Lukes+Chiropractic+and+Wellness%2C+PLLC.%2C+3620+Bemidji+Ave+N%2C+Bemidji%2C+MN+56601" TargetMode="External"/><Relationship Id="rId295" Type="http://schemas.openxmlformats.org/officeDocument/2006/relationships/hyperlink" Target="https://www.google.com/maps/search/?api=1&amp;query=Chiropractic+Wellness+Center+INC.%2C+7373+147th+St+W%2C+Apple+Valley%2C+MN+55124" TargetMode="External"/><Relationship Id="rId3374" Type="http://schemas.openxmlformats.org/officeDocument/2006/relationships/hyperlink" Target="https://npiregistry.cms.hhs.gov/provider-view/1639605017" TargetMode="External"/><Relationship Id="rId3581" Type="http://schemas.openxmlformats.org/officeDocument/2006/relationships/hyperlink" Target="https://www.google.com/maps/search/?api=1&amp;query=Kummrow+Chiropractic+and+Holistic+Health%2C+PLLC%2C+620+W+7th+Ave%2C+Fergus+Falls%2C+MN+56537" TargetMode="External"/><Relationship Id="rId2183" Type="http://schemas.openxmlformats.org/officeDocument/2006/relationships/hyperlink" Target="https://www.google.com/maps/search/?api=1&amp;query=Lyn+Lake+Chiropractic+St+Paul%2C+91+Snelling+Ave+N%2C+St.+Paul%2C+MN+55104" TargetMode="External"/><Relationship Id="rId2390" Type="http://schemas.openxmlformats.org/officeDocument/2006/relationships/hyperlink" Target="https://npiregistry.cms.hhs.gov/provider-view/1417001702" TargetMode="External"/><Relationship Id="rId3027" Type="http://schemas.openxmlformats.org/officeDocument/2006/relationships/hyperlink" Target="https://www.google.com/maps/search/?api=1&amp;query=Centre+Rehab+PC%2C+308+Oak+St+S%2C+Sauk+Centre%2C+MN+56378" TargetMode="External"/><Relationship Id="rId3234" Type="http://schemas.openxmlformats.org/officeDocument/2006/relationships/hyperlink" Target="https://npiregistry.cms.hhs.gov/provider-view/1619921210" TargetMode="External"/><Relationship Id="rId3441" Type="http://schemas.openxmlformats.org/officeDocument/2006/relationships/hyperlink" Target="https://www.google.com/maps/search/?api=1&amp;query=Ortonville+Chiropractic+Clinic%2C+750+E+34th+St%2C+Hibbing%2C+MN+55746" TargetMode="External"/><Relationship Id="rId155" Type="http://schemas.openxmlformats.org/officeDocument/2006/relationships/hyperlink" Target="https://www.google.com/maps/search/?api=1&amp;query=Back+Into+Life+Chiropractic%2C+7533+Sunwood+Dr+NW%2C+Ramsey%2C+MN+55303" TargetMode="External"/><Relationship Id="rId362" Type="http://schemas.openxmlformats.org/officeDocument/2006/relationships/hyperlink" Target="https://npiregistry.cms.hhs.gov/provider-view/1356845853" TargetMode="External"/><Relationship Id="rId2043" Type="http://schemas.openxmlformats.org/officeDocument/2006/relationships/hyperlink" Target="https://www.google.com/maps/search/?api=1&amp;query=Allie+Chiropractic+Clinic%2C+PA%2C+1654+Rice+St%2C+St.+Paul%2C+MN+55117" TargetMode="External"/><Relationship Id="rId2250" Type="http://schemas.openxmlformats.org/officeDocument/2006/relationships/hyperlink" Target="https://npiregistry.cms.hhs.gov/provider-view/1962705111" TargetMode="External"/><Relationship Id="rId3301" Type="http://schemas.openxmlformats.org/officeDocument/2006/relationships/hyperlink" Target="https://www.google.com/maps/search/?api=1&amp;query=Grand+Rapids+Chiropractic%2C+PLLC%2C+1415+E+US+Highway+169%2C+Grand+Rapids%2C+MN+55744" TargetMode="External"/><Relationship Id="rId222" Type="http://schemas.openxmlformats.org/officeDocument/2006/relationships/hyperlink" Target="https://npiregistry.cms.hhs.gov/provider-view/1316586829" TargetMode="External"/><Relationship Id="rId2110" Type="http://schemas.openxmlformats.org/officeDocument/2006/relationships/hyperlink" Target="https://npiregistry.cms.hhs.gov/provider-view/1417438870" TargetMode="External"/><Relationship Id="rId4075" Type="http://schemas.openxmlformats.org/officeDocument/2006/relationships/hyperlink" Target="https://www.google.com/maps/search/?api=1&amp;query=Wagner+Chiropractic+PC%2C+202+S+Main+Plaza%2C+Hendricks%2C+MN+56136" TargetMode="External"/><Relationship Id="rId1669" Type="http://schemas.openxmlformats.org/officeDocument/2006/relationships/hyperlink" Target="https://www.google.com/maps/search/?api=1&amp;query=Healthways+Chiropractic%2C+PA%2C+7400+Lyndale+Ave+S%2C+Richfield%2C+MN+55423" TargetMode="External"/><Relationship Id="rId1876" Type="http://schemas.openxmlformats.org/officeDocument/2006/relationships/hyperlink" Target="https://npiregistry.cms.hhs.gov/provider-view/1023620994" TargetMode="External"/><Relationship Id="rId2927" Type="http://schemas.openxmlformats.org/officeDocument/2006/relationships/hyperlink" Target="https://www.google.com/maps/search/?api=1&amp;query=Princeton+Back+and+Neck+Clinic+PA%2C+209+Rum+River+Dr+N%2C+Princeton%2C+MN+55371" TargetMode="External"/><Relationship Id="rId3091" Type="http://schemas.openxmlformats.org/officeDocument/2006/relationships/hyperlink" Target="https://www.google.com/maps/search/?api=1&amp;query=Archetype+Chiropractic+Center%2C+71+10th+Ave+S%2C+Waite+Park%2C+MN+56387" TargetMode="External"/><Relationship Id="rId4142" Type="http://schemas.openxmlformats.org/officeDocument/2006/relationships/hyperlink" Target="https://npiregistry.cms.hhs.gov/provider-view/1750380366" TargetMode="External"/><Relationship Id="rId1529" Type="http://schemas.openxmlformats.org/officeDocument/2006/relationships/hyperlink" Target="https://www.google.com/maps/search/?api=1&amp;query=Levin+and+Chellen+Chiropractic%2C+4144+County+Road+101%2C+Minnetonka%2C+MN+55345" TargetMode="External"/><Relationship Id="rId1736" Type="http://schemas.openxmlformats.org/officeDocument/2006/relationships/hyperlink" Target="https://npiregistry.cms.hhs.gov/provider-view/1851714257" TargetMode="External"/><Relationship Id="rId1943" Type="http://schemas.openxmlformats.org/officeDocument/2006/relationships/hyperlink" Target="https://www.google.com/maps/search/?api=1&amp;query=Polar+Family+Chiropractic+Center%2C+2470+Mcknight+Rd+N%2C+North+Saint+Paul%2C+MN+55109" TargetMode="External"/><Relationship Id="rId28" Type="http://schemas.openxmlformats.org/officeDocument/2006/relationships/hyperlink" Target="https://npiregistry.cms.hhs.gov/provider-view/1194197368" TargetMode="External"/><Relationship Id="rId1803" Type="http://schemas.openxmlformats.org/officeDocument/2006/relationships/hyperlink" Target="https://www.google.com/maps/search/?api=1&amp;query=Roots+Chiropractic%2C+PLLC%2C+8112+Minnetonka+Blvd%2C+St.+Louis+Park%2C+MN+55426" TargetMode="External"/><Relationship Id="rId4002" Type="http://schemas.openxmlformats.org/officeDocument/2006/relationships/hyperlink" Target="https://npiregistry.cms.hhs.gov/provider-view/1528623311" TargetMode="External"/><Relationship Id="rId3768" Type="http://schemas.openxmlformats.org/officeDocument/2006/relationships/hyperlink" Target="https://npiregistry.cms.hhs.gov/provider-view/1639375553" TargetMode="External"/><Relationship Id="rId3975" Type="http://schemas.openxmlformats.org/officeDocument/2006/relationships/hyperlink" Target="https://www.google.com/maps/search/?api=1&amp;query=Health+Track+Physical+Therapy%2C+328+N+Cedar+Ave%2C+Owatonna%2C+MN+55060" TargetMode="External"/><Relationship Id="rId689" Type="http://schemas.openxmlformats.org/officeDocument/2006/relationships/hyperlink" Target="https://www.google.com/maps/search/?api=1&amp;query=Crystal-New+Hope+Chiropractic+Clinic+PA.%2C+6014+Shingle+Creek+Pkwy%2C+Brooklyn+Center%2C+MN+55430" TargetMode="External"/><Relationship Id="rId896" Type="http://schemas.openxmlformats.org/officeDocument/2006/relationships/hyperlink" Target="https://npiregistry.cms.hhs.gov/provider-view/1780703678" TargetMode="External"/><Relationship Id="rId2577" Type="http://schemas.openxmlformats.org/officeDocument/2006/relationships/hyperlink" Target="https://www.google.com/maps/search/?api=1&amp;query=Cornerstone+Chiropractic+Specialists%2C+PA.%2C+14665+Mercantile+Dr.+N.%2C+Hugo%2C+MN+55038" TargetMode="External"/><Relationship Id="rId2784" Type="http://schemas.openxmlformats.org/officeDocument/2006/relationships/hyperlink" Target="https://npiregistry.cms.hhs.gov/provider-view/1164610184" TargetMode="External"/><Relationship Id="rId3628" Type="http://schemas.openxmlformats.org/officeDocument/2006/relationships/hyperlink" Target="https://npiregistry.cms.hhs.gov/provider-view/1205907722" TargetMode="External"/><Relationship Id="rId549" Type="http://schemas.openxmlformats.org/officeDocument/2006/relationships/hyperlink" Target="https://www.google.com/maps/search/?api=1&amp;query=Synergy+Physical+Therapy%2C+INC%2C+10657+165th+St+W%2C+Lakeville%2C+MN+55044" TargetMode="External"/><Relationship Id="rId756" Type="http://schemas.openxmlformats.org/officeDocument/2006/relationships/hyperlink" Target="https://npiregistry.cms.hhs.gov/provider-view/1790181915" TargetMode="External"/><Relationship Id="rId1179" Type="http://schemas.openxmlformats.org/officeDocument/2006/relationships/hyperlink" Target="https://www.google.com/maps/search/?api=1&amp;query=Abbott+Northwestern+Hospital%2C+800+E+28th+St%2C+Minneapolis%2C+MN+55407" TargetMode="External"/><Relationship Id="rId1386" Type="http://schemas.openxmlformats.org/officeDocument/2006/relationships/hyperlink" Target="https://npiregistry.cms.hhs.gov/provider-view/1386853109" TargetMode="External"/><Relationship Id="rId1593" Type="http://schemas.openxmlformats.org/officeDocument/2006/relationships/hyperlink" Target="https://www.google.com/maps/search/?api=1&amp;query=Back+On+Your+Feet+Chiropractic%2C+PA%2C+1115+Vicksburg+Ln+N%2C+Plymouth%2C+MN+55447" TargetMode="External"/><Relationship Id="rId2437" Type="http://schemas.openxmlformats.org/officeDocument/2006/relationships/hyperlink" Target="https://www.google.com/maps/search/?api=1&amp;query=Beyond+Wellness+Chiropractic%2C+PLLC%2C+5773+Egan+Dr%2C+Savage%2C+MN+55378" TargetMode="External"/><Relationship Id="rId2991" Type="http://schemas.openxmlformats.org/officeDocument/2006/relationships/hyperlink" Target="https://www.google.com/maps/search/?api=1&amp;query=Vitalife+Chiropractic%2C+208+W+James+St%2C+Paynesville%2C+MN+56362" TargetMode="External"/><Relationship Id="rId3835" Type="http://schemas.openxmlformats.org/officeDocument/2006/relationships/hyperlink" Target="https://www.google.com/maps/search/?api=1&amp;query=Physio+Strong+LLC%2C+517+S+Main+St%2C+Le+Sueur%2C+MN+56058" TargetMode="External"/><Relationship Id="rId409" Type="http://schemas.openxmlformats.org/officeDocument/2006/relationships/hyperlink" Target="https://www.google.com/maps/search/?api=1&amp;query=Care+Chiropractic+Body+Wellness+Center%2C+LLC%2C+3390+Coachman+Rd%2C+Eagan%2C+MN+55121" TargetMode="External"/><Relationship Id="rId963" Type="http://schemas.openxmlformats.org/officeDocument/2006/relationships/hyperlink" Target="https://www.google.com/maps/search/?api=1&amp;query=Physicians%27+Diagnostics+%26+Rehabilitation%2Cltd%2C+7700+France+Ave+S%2C+Edina%2C+MN+55435" TargetMode="External"/><Relationship Id="rId1039" Type="http://schemas.openxmlformats.org/officeDocument/2006/relationships/hyperlink" Target="https://www.google.com/maps/search/?api=1&amp;query=Kelly+Chiropractic%2C+PA%2C+8421+Wayzata+Blvd.%2C+Golden+Valley%2C+MN+55426" TargetMode="External"/><Relationship Id="rId1246" Type="http://schemas.openxmlformats.org/officeDocument/2006/relationships/hyperlink" Target="https://npiregistry.cms.hhs.gov/provider-view/1255653838" TargetMode="External"/><Relationship Id="rId2644" Type="http://schemas.openxmlformats.org/officeDocument/2006/relationships/hyperlink" Target="https://npiregistry.cms.hhs.gov/provider-view/1447332580" TargetMode="External"/><Relationship Id="rId2851" Type="http://schemas.openxmlformats.org/officeDocument/2006/relationships/hyperlink" Target="https://www.google.com/maps/search/?api=1&amp;query=Phenom+Physical+Therapy+INC%2C+703+Thielen+Dr%2C+St.+Michael%2C+MN+55376" TargetMode="External"/><Relationship Id="rId3902" Type="http://schemas.openxmlformats.org/officeDocument/2006/relationships/hyperlink" Target="https://npiregistry.cms.hhs.gov/provider-view/1669715645" TargetMode="External"/><Relationship Id="rId92" Type="http://schemas.openxmlformats.org/officeDocument/2006/relationships/hyperlink" Target="https://npiregistry.cms.hhs.gov/provider-view/1114284064" TargetMode="External"/><Relationship Id="rId616" Type="http://schemas.openxmlformats.org/officeDocument/2006/relationships/hyperlink" Target="https://npiregistry.cms.hhs.gov/provider-view/1083719116" TargetMode="External"/><Relationship Id="rId823" Type="http://schemas.openxmlformats.org/officeDocument/2006/relationships/hyperlink" Target="https://www.google.com/maps/search/?api=1&amp;query=Healthsource+of+Edina%2C+15670+Michele+Ln%2C+Eden+Prairie%2C+MN+55346" TargetMode="External"/><Relationship Id="rId1453" Type="http://schemas.openxmlformats.org/officeDocument/2006/relationships/hyperlink" Target="https://www.google.com/maps/search/?api=1&amp;query=Sunu+Wellness+Center%2C+2822+W+43rd+St%2C+Minneapolis%2C+MN+55410" TargetMode="External"/><Relationship Id="rId1660" Type="http://schemas.openxmlformats.org/officeDocument/2006/relationships/hyperlink" Target="https://npiregistry.cms.hhs.gov/provider-view/1164428223" TargetMode="External"/><Relationship Id="rId2504" Type="http://schemas.openxmlformats.org/officeDocument/2006/relationships/hyperlink" Target="https://npiregistry.cms.hhs.gov/provider-view/1407054687" TargetMode="External"/><Relationship Id="rId2711" Type="http://schemas.openxmlformats.org/officeDocument/2006/relationships/hyperlink" Target="https://www.google.com/maps/search/?api=1&amp;query=Lifeline+Chiropractic+%2C+PA.%2C+2165+Woodlane+Dr%2C+Woodbury%2C+MN+55125" TargetMode="External"/><Relationship Id="rId1106" Type="http://schemas.openxmlformats.org/officeDocument/2006/relationships/hyperlink" Target="https://npiregistry.cms.hhs.gov/provider-view/1225182892" TargetMode="External"/><Relationship Id="rId1313" Type="http://schemas.openxmlformats.org/officeDocument/2006/relationships/hyperlink" Target="https://www.google.com/maps/search/?api=1&amp;query=Knk+Injury+and+Health%2C+2526+Hennepin+Ave%2C+Minneapolis%2C+MN+55405" TargetMode="External"/><Relationship Id="rId1520" Type="http://schemas.openxmlformats.org/officeDocument/2006/relationships/hyperlink" Target="https://npiregistry.cms.hhs.gov/provider-view/1356802862" TargetMode="External"/><Relationship Id="rId3278" Type="http://schemas.openxmlformats.org/officeDocument/2006/relationships/hyperlink" Target="https://npiregistry.cms.hhs.gov/provider-view/1376602656" TargetMode="External"/><Relationship Id="rId3485" Type="http://schemas.openxmlformats.org/officeDocument/2006/relationships/hyperlink" Target="https://www.google.com/maps/search/?api=1&amp;query=Chiropractic+Health+Clinic%2C+INC%2C+106+1st+St+W%2C+Fosston%2C+MN+56542" TargetMode="External"/><Relationship Id="rId3692" Type="http://schemas.openxmlformats.org/officeDocument/2006/relationships/hyperlink" Target="https://npiregistry.cms.hhs.gov/provider-view/1205997293" TargetMode="External"/><Relationship Id="rId199" Type="http://schemas.openxmlformats.org/officeDocument/2006/relationships/hyperlink" Target="https://www.google.com/maps/search/?api=1&amp;query=Chaska+Family+Chiropractic%2C+INC.%2C+103+W+2nd+St%2C+Chaska%2C+MN+55318" TargetMode="External"/><Relationship Id="rId2087" Type="http://schemas.openxmlformats.org/officeDocument/2006/relationships/hyperlink" Target="https://www.google.com/maps/search/?api=1&amp;query=Chiro+Health+Clinic%2C+PA.%2C+1132+Arcade+St%2C+St.+Paul%2C+MN+55106" TargetMode="External"/><Relationship Id="rId2294" Type="http://schemas.openxmlformats.org/officeDocument/2006/relationships/hyperlink" Target="https://npiregistry.cms.hhs.gov/provider-view/1740318146" TargetMode="External"/><Relationship Id="rId3138" Type="http://schemas.openxmlformats.org/officeDocument/2006/relationships/hyperlink" Target="https://npiregistry.cms.hhs.gov/provider-view/1821116682" TargetMode="External"/><Relationship Id="rId3345" Type="http://schemas.openxmlformats.org/officeDocument/2006/relationships/hyperlink" Target="https://www.google.com/maps/search/?api=1&amp;query=Family+Chiropractic+Center+of+Int%27l+Falls%2C+MN+LTD.%2C+409+4th+St%2C+Intl+Falls%2C+MN+56649" TargetMode="External"/><Relationship Id="rId3552" Type="http://schemas.openxmlformats.org/officeDocument/2006/relationships/hyperlink" Target="https://npiregistry.cms.hhs.gov/provider-view/1760654453" TargetMode="External"/><Relationship Id="rId266" Type="http://schemas.openxmlformats.org/officeDocument/2006/relationships/hyperlink" Target="https://npiregistry.cms.hhs.gov/provider-view/1184832198" TargetMode="External"/><Relationship Id="rId473" Type="http://schemas.openxmlformats.org/officeDocument/2006/relationships/hyperlink" Target="https://www.google.com/maps/search/?api=1&amp;query=Z+Spine+and+Joint+Center%2C+LLC%2C+1121+Town+Centre+Dr%2C+Eagan%2C+MN+55123" TargetMode="External"/><Relationship Id="rId680" Type="http://schemas.openxmlformats.org/officeDocument/2006/relationships/hyperlink" Target="https://npiregistry.cms.hhs.gov/provider-view/1457556730" TargetMode="External"/><Relationship Id="rId2154" Type="http://schemas.openxmlformats.org/officeDocument/2006/relationships/hyperlink" Target="https://npiregistry.cms.hhs.gov/provider-view/1225382526" TargetMode="External"/><Relationship Id="rId2361" Type="http://schemas.openxmlformats.org/officeDocument/2006/relationships/hyperlink" Target="https://www.google.com/maps/search/?api=1&amp;query=Integrated+Chiropractic+Services%2C+4422+White+Bear+Ave+N%2C+White+Bear+Lake%2C+MN+55110" TargetMode="External"/><Relationship Id="rId3205" Type="http://schemas.openxmlformats.org/officeDocument/2006/relationships/hyperlink" Target="https://www.google.com/maps/search/?api=1&amp;query=Sawtooth+Chiropractic+PC%2C+501+W+5th+St%2C+Grand+Marais%2C+MN+55604" TargetMode="External"/><Relationship Id="rId3412" Type="http://schemas.openxmlformats.org/officeDocument/2006/relationships/hyperlink" Target="https://npiregistry.cms.hhs.gov/provider-view/1013275825" TargetMode="External"/><Relationship Id="rId126" Type="http://schemas.openxmlformats.org/officeDocument/2006/relationships/hyperlink" Target="https://npiregistry.cms.hhs.gov/provider-view/1942380613" TargetMode="External"/><Relationship Id="rId333" Type="http://schemas.openxmlformats.org/officeDocument/2006/relationships/hyperlink" Target="https://www.google.com/maps/search/?api=1&amp;query=Ascend+Chiropractic+%26+Wellness+LLC%2C+200+E+Travelers+Trl%2C+Burnsville%2C+MN+55337" TargetMode="External"/><Relationship Id="rId540" Type="http://schemas.openxmlformats.org/officeDocument/2006/relationships/hyperlink" Target="https://npiregistry.cms.hhs.gov/provider-view/1831211473" TargetMode="External"/><Relationship Id="rId1170" Type="http://schemas.openxmlformats.org/officeDocument/2006/relationships/hyperlink" Target="https://npiregistry.cms.hhs.gov/provider-view/1013457993" TargetMode="External"/><Relationship Id="rId2014" Type="http://schemas.openxmlformats.org/officeDocument/2006/relationships/hyperlink" Target="https://npiregistry.cms.hhs.gov/provider-view/1871979245" TargetMode="External"/><Relationship Id="rId2221" Type="http://schemas.openxmlformats.org/officeDocument/2006/relationships/hyperlink" Target="https://www.google.com/maps/search/?api=1&amp;query=Pediatric+Rehabilitation+Associates%2C+200+University+Ave+E%2C+St.+Paul%2C+MN+55101" TargetMode="External"/><Relationship Id="rId1030" Type="http://schemas.openxmlformats.org/officeDocument/2006/relationships/hyperlink" Target="https://npiregistry.cms.hhs.gov/provider-view/1992795280" TargetMode="External"/><Relationship Id="rId400" Type="http://schemas.openxmlformats.org/officeDocument/2006/relationships/hyperlink" Target="https://npiregistry.cms.hhs.gov/provider-view/1396828299" TargetMode="External"/><Relationship Id="rId1987" Type="http://schemas.openxmlformats.org/officeDocument/2006/relationships/hyperlink" Target="https://www.google.com/maps/search/?api=1&amp;query=Quandtum+Family+Chiropractic%2C+2780+Snelling+Ave+N%2C+Roseville%2C+MN+55113" TargetMode="External"/><Relationship Id="rId1847" Type="http://schemas.openxmlformats.org/officeDocument/2006/relationships/hyperlink" Target="https://www.google.com/maps/search/?api=1&amp;query=Tierney+Chiropractic%2C+801+Twelve+Oaks+Center+Dr%2C+Wayzata%2C+MN+55391" TargetMode="External"/><Relationship Id="rId4046" Type="http://schemas.openxmlformats.org/officeDocument/2006/relationships/hyperlink" Target="https://npiregistry.cms.hhs.gov/provider-view/1932244290" TargetMode="External"/><Relationship Id="rId1707" Type="http://schemas.openxmlformats.org/officeDocument/2006/relationships/hyperlink" Target="https://www.google.com/maps/search/?api=1&amp;query=Neegard+Chiropractic%2C+3359+W+Broadway+Ave%2C+Robbinsdale%2C+MN+55422" TargetMode="External"/><Relationship Id="rId3062" Type="http://schemas.openxmlformats.org/officeDocument/2006/relationships/hyperlink" Target="https://npiregistry.cms.hhs.gov/provider-view/1942490545" TargetMode="External"/><Relationship Id="rId4113" Type="http://schemas.openxmlformats.org/officeDocument/2006/relationships/hyperlink" Target="https://www.google.com/maps/search/?api=1&amp;query=Southwest+Chiropractic+Clinic+of+Worthington%2C+PA%2C+1301+Diagonal+Rd%2C+Worthington%2C+MN+56187" TargetMode="External"/><Relationship Id="rId190" Type="http://schemas.openxmlformats.org/officeDocument/2006/relationships/hyperlink" Target="https://npiregistry.cms.hhs.gov/provider-view/1205988714" TargetMode="External"/><Relationship Id="rId1914" Type="http://schemas.openxmlformats.org/officeDocument/2006/relationships/hyperlink" Target="https://npiregistry.cms.hhs.gov/provider-view/1700967676" TargetMode="External"/><Relationship Id="rId3879" Type="http://schemas.openxmlformats.org/officeDocument/2006/relationships/hyperlink" Target="https://www.google.com/maps/search/?api=1&amp;query=Dale+E+Chambers+PA%2C+316+23rd+St+SW%2C+Rochester%2C+MN+55902" TargetMode="External"/><Relationship Id="rId2688" Type="http://schemas.openxmlformats.org/officeDocument/2006/relationships/hyperlink" Target="https://npiregistry.cms.hhs.gov/provider-view/1659625747" TargetMode="External"/><Relationship Id="rId2895" Type="http://schemas.openxmlformats.org/officeDocument/2006/relationships/hyperlink" Target="https://www.google.com/maps/search/?api=1&amp;query=James+W+Kuehl+DC+PA%2C+85+1st+Ave+NW%2C+Hutchinson%2C+MN+55350" TargetMode="External"/><Relationship Id="rId3739" Type="http://schemas.openxmlformats.org/officeDocument/2006/relationships/hyperlink" Target="https://www.google.com/maps/search/?api=1&amp;query=Skrien+Chiropractic+Clinic+PA%2C+315+Webster+Ave%2C+North+Mankato%2C+MN+56003" TargetMode="External"/><Relationship Id="rId3946" Type="http://schemas.openxmlformats.org/officeDocument/2006/relationships/hyperlink" Target="https://npiregistry.cms.hhs.gov/provider-view/1972734135" TargetMode="External"/><Relationship Id="rId867" Type="http://schemas.openxmlformats.org/officeDocument/2006/relationships/hyperlink" Target="https://www.google.com/maps/search/?api=1&amp;query=Valeo+Health+%26+Wellness+Center+PLLC%2C+11800+Singletree+Ln%2C+Eden+Prairie%2C+MN+55344" TargetMode="External"/><Relationship Id="rId1497" Type="http://schemas.openxmlformats.org/officeDocument/2006/relationships/hyperlink" Target="https://www.google.com/maps/search/?api=1&amp;query=Advanced+Care+Chiroprctic%2C+14001+Ridgedale+Dr%2C+Minnetonka%2C+MN+55305" TargetMode="External"/><Relationship Id="rId2548" Type="http://schemas.openxmlformats.org/officeDocument/2006/relationships/hyperlink" Target="https://npiregistry.cms.hhs.gov/provider-view/1518175462" TargetMode="External"/><Relationship Id="rId2755" Type="http://schemas.openxmlformats.org/officeDocument/2006/relationships/hyperlink" Target="https://www.google.com/maps/search/?api=1&amp;query=Woodbury+Bone+and+Joint%2C+1875+Woodwinds+Dr%2C+Woodbury%2C+MN+55125" TargetMode="External"/><Relationship Id="rId2962" Type="http://schemas.openxmlformats.org/officeDocument/2006/relationships/hyperlink" Target="https://npiregistry.cms.hhs.gov/provider-view/1205144672" TargetMode="External"/><Relationship Id="rId3806" Type="http://schemas.openxmlformats.org/officeDocument/2006/relationships/hyperlink" Target="https://npiregistry.cms.hhs.gov/provider-view/1326190505" TargetMode="External"/><Relationship Id="rId727" Type="http://schemas.openxmlformats.org/officeDocument/2006/relationships/hyperlink" Target="https://www.google.com/maps/search/?api=1&amp;query=Lachinski+Chiropractic%2C+PA.%2C+9580+Noble+Pkwy+N%2C+Brooklyn+Park%2C+MN+55443" TargetMode="External"/><Relationship Id="rId934" Type="http://schemas.openxmlformats.org/officeDocument/2006/relationships/hyperlink" Target="https://npiregistry.cms.hhs.gov/provider-view/1558801357" TargetMode="External"/><Relationship Id="rId1357" Type="http://schemas.openxmlformats.org/officeDocument/2006/relationships/hyperlink" Target="https://www.google.com/maps/search/?api=1&amp;query=Midwest+Spine+Solutions%2C+PA%2C+3249+Hennepin+Ave%2C+Minneapolis%2C+MN+55408" TargetMode="External"/><Relationship Id="rId1564" Type="http://schemas.openxmlformats.org/officeDocument/2006/relationships/hyperlink" Target="https://npiregistry.cms.hhs.gov/provider-view/1285930313" TargetMode="External"/><Relationship Id="rId1771" Type="http://schemas.openxmlformats.org/officeDocument/2006/relationships/hyperlink" Target="https://www.google.com/maps/search/?api=1&amp;query=Levitt+Chiropractic+Center+PA%2C+6200+Excelsior+Blvd%2C+St.+Louis+Park%2C+MN+55416" TargetMode="External"/><Relationship Id="rId2408" Type="http://schemas.openxmlformats.org/officeDocument/2006/relationships/hyperlink" Target="https://npiregistry.cms.hhs.gov/provider-view/1073847554" TargetMode="External"/><Relationship Id="rId2615" Type="http://schemas.openxmlformats.org/officeDocument/2006/relationships/hyperlink" Target="https://www.google.com/maps/search/?api=1&amp;query=Oakwinds+Clinic+of+Chiropractic%2C+PA.%2C+968+Inwood+Ave+N%2C+Oakdale%2C+MN+55128" TargetMode="External"/><Relationship Id="rId2822" Type="http://schemas.openxmlformats.org/officeDocument/2006/relationships/hyperlink" Target="https://npiregistry.cms.hhs.gov/provider-view/1396775110" TargetMode="External"/><Relationship Id="rId63" Type="http://schemas.openxmlformats.org/officeDocument/2006/relationships/hyperlink" Target="https://www.google.com/maps/search/?api=1&amp;query=Motion+Rehab+Physical+Therapy%2C+12727+Leyte+St+NE%2C+Blaine%2C+MN+55449" TargetMode="External"/><Relationship Id="rId1217" Type="http://schemas.openxmlformats.org/officeDocument/2006/relationships/hyperlink" Target="https://www.google.com/maps/search/?api=1&amp;query=Cannon+Chiropractic+LLC%2C+3801+W+50th+St%2C+Minneapolis%2C+MN+55410" TargetMode="External"/><Relationship Id="rId1424" Type="http://schemas.openxmlformats.org/officeDocument/2006/relationships/hyperlink" Target="https://npiregistry.cms.hhs.gov/provider-view/1689259541" TargetMode="External"/><Relationship Id="rId1631" Type="http://schemas.openxmlformats.org/officeDocument/2006/relationships/hyperlink" Target="https://www.google.com/maps/search/?api=1&amp;query=Minnetonka+Pediatric+Therapy+Center%2C+LLC%2C+15600+36th+Ave+N%2C+Plymouth%2C+MN+55446" TargetMode="External"/><Relationship Id="rId3389" Type="http://schemas.openxmlformats.org/officeDocument/2006/relationships/hyperlink" Target="https://www.google.com/maps/search/?api=1&amp;query=Lukovsky+Chiropractic+Clinic%2C+5602+Grand+Ave%2C+Duluth%2C+MN+55807" TargetMode="External"/><Relationship Id="rId3596" Type="http://schemas.openxmlformats.org/officeDocument/2006/relationships/hyperlink" Target="https://npiregistry.cms.hhs.gov/provider-view/1861097552" TargetMode="External"/><Relationship Id="rId2198" Type="http://schemas.openxmlformats.org/officeDocument/2006/relationships/hyperlink" Target="https://npiregistry.cms.hhs.gov/provider-view/1427237551" TargetMode="External"/><Relationship Id="rId3249" Type="http://schemas.openxmlformats.org/officeDocument/2006/relationships/hyperlink" Target="https://www.google.com/maps/search/?api=1&amp;query=Rainbow+of+Health+Physical+Therapy%2C+INC.%2C+224+N+5th+St%2C+Brainerd%2C+MN+56401" TargetMode="External"/><Relationship Id="rId3456" Type="http://schemas.openxmlformats.org/officeDocument/2006/relationships/hyperlink" Target="https://npiregistry.cms.hhs.gov/provider-view/1649435686" TargetMode="External"/><Relationship Id="rId377" Type="http://schemas.openxmlformats.org/officeDocument/2006/relationships/hyperlink" Target="https://www.google.com/maps/search/?api=1&amp;query=Professional+Physical+Therapy+PA%2C+13786+Frontier+Ct%2C+Burnsville%2C+MN+55337" TargetMode="External"/><Relationship Id="rId584" Type="http://schemas.openxmlformats.org/officeDocument/2006/relationships/hyperlink" Target="https://npiregistry.cms.hhs.gov/provider-view/1407987415" TargetMode="External"/><Relationship Id="rId2058" Type="http://schemas.openxmlformats.org/officeDocument/2006/relationships/hyperlink" Target="https://npiregistry.cms.hhs.gov/provider-view/1912263906" TargetMode="External"/><Relationship Id="rId2265" Type="http://schemas.openxmlformats.org/officeDocument/2006/relationships/hyperlink" Target="https://www.google.com/maps/search/?api=1&amp;query=St.+Paul+Chiropractic+LLC%2C+1575+7th+St+W%2C+St.+Paul%2C+MN+55102" TargetMode="External"/><Relationship Id="rId3109" Type="http://schemas.openxmlformats.org/officeDocument/2006/relationships/hyperlink" Target="https://www.google.com/maps/search/?api=1&amp;query=Comfort+Chiropractic+PLLC%2C+124+Lake+St+S%2C+Long+Prairie%2C+MN+56347" TargetMode="External"/><Relationship Id="rId3663" Type="http://schemas.openxmlformats.org/officeDocument/2006/relationships/hyperlink" Target="https://www.google.com/maps/search/?api=1&amp;query=Mankato+Chiropractic+Center%2C+31+Navaho+Ave%2C+Mankato%2C+MN+56001" TargetMode="External"/><Relationship Id="rId3870" Type="http://schemas.openxmlformats.org/officeDocument/2006/relationships/hyperlink" Target="https://npiregistry.cms.hhs.gov/provider-view/1992037295" TargetMode="External"/><Relationship Id="rId237" Type="http://schemas.openxmlformats.org/officeDocument/2006/relationships/hyperlink" Target="https://www.google.com/maps/search/?api=1&amp;query=Berry+Chiropractic+PA%2C+137+W+1st+St%2C+Waconia%2C+MN+55387" TargetMode="External"/><Relationship Id="rId791" Type="http://schemas.openxmlformats.org/officeDocument/2006/relationships/hyperlink" Target="https://www.google.com/maps/search/?api=1&amp;query=Healing+Menagerie+Acres%2C+13691+Pineview+Ln+N%2C+Dayton%2C+MN+55327" TargetMode="External"/><Relationship Id="rId1074" Type="http://schemas.openxmlformats.org/officeDocument/2006/relationships/hyperlink" Target="https://npiregistry.cms.hhs.gov/provider-view/1821266032" TargetMode="External"/><Relationship Id="rId2472" Type="http://schemas.openxmlformats.org/officeDocument/2006/relationships/hyperlink" Target="https://npiregistry.cms.hhs.gov/provider-view/1790026441" TargetMode="External"/><Relationship Id="rId3316" Type="http://schemas.openxmlformats.org/officeDocument/2006/relationships/hyperlink" Target="https://npiregistry.cms.hhs.gov/provider-view/1487745477" TargetMode="External"/><Relationship Id="rId3523" Type="http://schemas.openxmlformats.org/officeDocument/2006/relationships/hyperlink" Target="https://www.google.com/maps/search/?api=1&amp;query=Riverview+Chiropractic+Clinic%2C+3505+8th+St+S%2C+Moorhead%2C+MN+56560" TargetMode="External"/><Relationship Id="rId3730" Type="http://schemas.openxmlformats.org/officeDocument/2006/relationships/hyperlink" Target="https://npiregistry.cms.hhs.gov/provider-view/1144522400" TargetMode="External"/><Relationship Id="rId444" Type="http://schemas.openxmlformats.org/officeDocument/2006/relationships/hyperlink" Target="https://npiregistry.cms.hhs.gov/provider-view/1942377411" TargetMode="External"/><Relationship Id="rId651" Type="http://schemas.openxmlformats.org/officeDocument/2006/relationships/hyperlink" Target="https://www.google.com/maps/search/?api=1&amp;query=M-Power+Physical+Therapy+LLC%2C+5107+W+98th+St%2C+Bloomington%2C+MN+55437" TargetMode="External"/><Relationship Id="rId1281" Type="http://schemas.openxmlformats.org/officeDocument/2006/relationships/hyperlink" Target="https://www.google.com/maps/search/?api=1&amp;query=Health+Fitness+Corporation%2C+1650+W+82nd+St%2C+Minneapolis%2C+MN+55431" TargetMode="External"/><Relationship Id="rId2125" Type="http://schemas.openxmlformats.org/officeDocument/2006/relationships/hyperlink" Target="https://www.google.com/maps/search/?api=1&amp;query=Elite+Chiropractic-North+St.+Paul%2C+2597+7th+Ave+E%2C+St.+Paul%2C+MN+55109" TargetMode="External"/><Relationship Id="rId2332" Type="http://schemas.openxmlformats.org/officeDocument/2006/relationships/hyperlink" Target="https://npiregistry.cms.hhs.gov/provider-view/1558377929" TargetMode="External"/><Relationship Id="rId304" Type="http://schemas.openxmlformats.org/officeDocument/2006/relationships/hyperlink" Target="https://npiregistry.cms.hhs.gov/provider-view/1336368638" TargetMode="External"/><Relationship Id="rId511" Type="http://schemas.openxmlformats.org/officeDocument/2006/relationships/hyperlink" Target="https://www.google.com/maps/search/?api=1&amp;query=Alto+Chiropractic+LLC%2C+10880+175th+Ct+W%2C+Lakeville%2C+MN+55044" TargetMode="External"/><Relationship Id="rId1141" Type="http://schemas.openxmlformats.org/officeDocument/2006/relationships/hyperlink" Target="https://www.google.com/maps/search/?api=1&amp;query=Movement+Chiropractic+%26+Wellness%2C+PLLC%2C+7373+Kirkwood+Ct+N%2C+Maple+Grove%2C+MN+55369" TargetMode="External"/><Relationship Id="rId1001" Type="http://schemas.openxmlformats.org/officeDocument/2006/relationships/hyperlink" Target="https://www.google.com/maps/search/?api=1&amp;query=Health+Source+Shorewood%2C+6140+Lake+Linden+Dr%2C+Excelsior%2C+MN+55331" TargetMode="External"/><Relationship Id="rId4157" Type="http://schemas.openxmlformats.org/officeDocument/2006/relationships/hyperlink" Target="https://www.google.com/maps/search/?api=1&amp;query=Hoff+Chiropractic%2C+163+8th+Ave%2C+Granite+Falls%2C+MN+56241" TargetMode="External"/><Relationship Id="rId1958" Type="http://schemas.openxmlformats.org/officeDocument/2006/relationships/hyperlink" Target="https://npiregistry.cms.hhs.gov/provider-view/1659694149" TargetMode="External"/><Relationship Id="rId3173" Type="http://schemas.openxmlformats.org/officeDocument/2006/relationships/hyperlink" Target="https://www.google.com/maps/search/?api=1&amp;query=Stember+Chiropractic+PC%2C+1409+Bemidji+Ave+N%2C+Bemidji%2C+MN+56601" TargetMode="External"/><Relationship Id="rId3380" Type="http://schemas.openxmlformats.org/officeDocument/2006/relationships/hyperlink" Target="https://npiregistry.cms.hhs.gov/provider-view/1972861417" TargetMode="External"/><Relationship Id="rId4017" Type="http://schemas.openxmlformats.org/officeDocument/2006/relationships/hyperlink" Target="https://www.google.com/maps/search/?api=1&amp;query=Gundersen+Clinic%2C+LTD.%2C+111+E+Riverfront+St%2C+Winona%2C+MN+55987" TargetMode="External"/><Relationship Id="rId1818" Type="http://schemas.openxmlformats.org/officeDocument/2006/relationships/hyperlink" Target="https://npiregistry.cms.hhs.gov/provider-view/1396368866" TargetMode="External"/><Relationship Id="rId3033" Type="http://schemas.openxmlformats.org/officeDocument/2006/relationships/hyperlink" Target="https://www.google.com/maps/search/?api=1&amp;query=Acceleratre+Chiropractic+%26+Rehab%2C+44+28th+Ave+N%2C+St.+Cloud%2C+MN+56303" TargetMode="External"/><Relationship Id="rId3240" Type="http://schemas.openxmlformats.org/officeDocument/2006/relationships/hyperlink" Target="https://npiregistry.cms.hhs.gov/provider-view/1114169257" TargetMode="External"/><Relationship Id="rId161" Type="http://schemas.openxmlformats.org/officeDocument/2006/relationships/hyperlink" Target="https://www.google.com/maps/search/?api=1&amp;query=Rum+River+Chiropractic+LTD%2C+14037+Saint+Francis+Blvd%2C+Ramsey%2C+MN+55303" TargetMode="External"/><Relationship Id="rId2799" Type="http://schemas.openxmlformats.org/officeDocument/2006/relationships/hyperlink" Target="https://www.google.com/maps/search/?api=1&amp;query=Delano+Chiropractic+Clinic+PA%2C+120+Bridge+Avenue%2C+Delano%2C+MN+55328" TargetMode="External"/><Relationship Id="rId3100" Type="http://schemas.openxmlformats.org/officeDocument/2006/relationships/hyperlink" Target="https://npiregistry.cms.hhs.gov/provider-view/1073749842" TargetMode="External"/><Relationship Id="rId978" Type="http://schemas.openxmlformats.org/officeDocument/2006/relationships/hyperlink" Target="https://npiregistry.cms.hhs.gov/provider-view/1275835589" TargetMode="External"/><Relationship Id="rId2659" Type="http://schemas.openxmlformats.org/officeDocument/2006/relationships/hyperlink" Target="https://www.google.com/maps/search/?api=1&amp;query=Integrated+Health+%26+Rehabilitation+Center%28ihrc%29%2C+PLLC%2C+215+William+St+N%2C+Stillwater%2C+MN+55082" TargetMode="External"/><Relationship Id="rId2866" Type="http://schemas.openxmlformats.org/officeDocument/2006/relationships/hyperlink" Target="https://npiregistry.cms.hhs.gov/provider-view/1932237187" TargetMode="External"/><Relationship Id="rId3917" Type="http://schemas.openxmlformats.org/officeDocument/2006/relationships/hyperlink" Target="https://www.google.com/maps/search/?api=1&amp;query=Winkels+Chiropractic+Functional+Medicine+Center%2C+1751+Highway+52+N%2C+Rochester%2C+MN+55901" TargetMode="External"/><Relationship Id="rId838" Type="http://schemas.openxmlformats.org/officeDocument/2006/relationships/hyperlink" Target="https://npiregistry.cms.hhs.gov/provider-view/1336625326" TargetMode="External"/><Relationship Id="rId1468" Type="http://schemas.openxmlformats.org/officeDocument/2006/relationships/hyperlink" Target="https://npiregistry.cms.hhs.gov/provider-view/1932539632" TargetMode="External"/><Relationship Id="rId1675" Type="http://schemas.openxmlformats.org/officeDocument/2006/relationships/hyperlink" Target="https://www.google.com/maps/search/?api=1&amp;query=Minnesota+Family+Chiropractic+INC%2C+7610+Lyndale+Ave+S%2C+Richfield%2C+MN+55423" TargetMode="External"/><Relationship Id="rId1882" Type="http://schemas.openxmlformats.org/officeDocument/2006/relationships/hyperlink" Target="https://npiregistry.cms.hhs.gov/provider-view/1891200655" TargetMode="External"/><Relationship Id="rId2519" Type="http://schemas.openxmlformats.org/officeDocument/2006/relationships/hyperlink" Target="https://www.google.com/maps/search/?api=1&amp;query=Landry+Chiropractic+INC.%2C+19449+Evans+St+NW%2C+Elk+River%2C+MN+55330" TargetMode="External"/><Relationship Id="rId2726" Type="http://schemas.openxmlformats.org/officeDocument/2006/relationships/hyperlink" Target="https://npiregistry.cms.hhs.gov/provider-view/1073829495" TargetMode="External"/><Relationship Id="rId4081" Type="http://schemas.openxmlformats.org/officeDocument/2006/relationships/hyperlink" Target="https://www.google.com/maps/search/?api=1&amp;query=Southwest+Family+Chiropractic+PLC.%2C+100+E+Highway+14%2C+Tyler%2C+MN+56178" TargetMode="External"/><Relationship Id="rId1328" Type="http://schemas.openxmlformats.org/officeDocument/2006/relationships/hyperlink" Target="https://npiregistry.cms.hhs.gov/provider-view/1992479786" TargetMode="External"/><Relationship Id="rId1535" Type="http://schemas.openxmlformats.org/officeDocument/2006/relationships/hyperlink" Target="https://www.google.com/maps/search/?api=1&amp;query=Mittag+Holistic+Chiropractic+PA%2C+11812+Wayzata+Blvd.%2C%2C+Minnetonka%2C+MN+55305" TargetMode="External"/><Relationship Id="rId2933" Type="http://schemas.openxmlformats.org/officeDocument/2006/relationships/hyperlink" Target="https://www.google.com/maps/search/?api=1&amp;query=Minnesota+Neurologic+Evaluations+LTD%2C+5355+320th+St%2C+Cushing%2C+MN+56443" TargetMode="External"/><Relationship Id="rId905" Type="http://schemas.openxmlformats.org/officeDocument/2006/relationships/hyperlink" Target="https://www.google.com/maps/search/?api=1&amp;query=Frank+Y+Wei+MD+PLLC%2C+6600+France+Avenue+South%2C+Edina%2C+MN+55435" TargetMode="External"/><Relationship Id="rId1742" Type="http://schemas.openxmlformats.org/officeDocument/2006/relationships/hyperlink" Target="https://npiregistry.cms.hhs.gov/provider-view/1710240296" TargetMode="External"/><Relationship Id="rId34" Type="http://schemas.openxmlformats.org/officeDocument/2006/relationships/hyperlink" Target="https://npiregistry.cms.hhs.gov/provider-view/1336515550" TargetMode="External"/><Relationship Id="rId1602" Type="http://schemas.openxmlformats.org/officeDocument/2006/relationships/hyperlink" Target="https://npiregistry.cms.hhs.gov/provider-view/1538758479" TargetMode="External"/><Relationship Id="rId3567" Type="http://schemas.openxmlformats.org/officeDocument/2006/relationships/hyperlink" Target="https://www.google.com/maps/search/?api=1&amp;query=Chase+Chiropractic%2C+104+Memory+Lane%2C+Battle+Lake%2C+MN+56515" TargetMode="External"/><Relationship Id="rId3774" Type="http://schemas.openxmlformats.org/officeDocument/2006/relationships/hyperlink" Target="https://npiregistry.cms.hhs.gov/provider-view/1063519627" TargetMode="External"/><Relationship Id="rId3981" Type="http://schemas.openxmlformats.org/officeDocument/2006/relationships/hyperlink" Target="https://www.google.com/maps/search/?api=1&amp;query=Mcgregor+Chiropractic+PC%2C+1414+S+Oak+Ave%2C+Owatonna%2C+MN+55060" TargetMode="External"/><Relationship Id="rId488" Type="http://schemas.openxmlformats.org/officeDocument/2006/relationships/hyperlink" Target="https://npiregistry.cms.hhs.gov/provider-view/1790944973" TargetMode="External"/><Relationship Id="rId695" Type="http://schemas.openxmlformats.org/officeDocument/2006/relationships/hyperlink" Target="https://www.google.com/maps/search/?api=1&amp;query=Midwest+Imaging+LLP%2C+2781+Freeway+Blvd%2C+Brooklyn+Center%2C+MN+55430" TargetMode="External"/><Relationship Id="rId2169" Type="http://schemas.openxmlformats.org/officeDocument/2006/relationships/hyperlink" Target="https://www.google.com/maps/search/?api=1&amp;query=Lakeland+Chiropractic+Health+Center+of+Lakeland+Limited%2C+918+Beech+St%2C+St.+Paul%2C+MN+55106" TargetMode="External"/><Relationship Id="rId2376" Type="http://schemas.openxmlformats.org/officeDocument/2006/relationships/hyperlink" Target="https://npiregistry.cms.hhs.gov/provider-view/1548341423" TargetMode="External"/><Relationship Id="rId2583" Type="http://schemas.openxmlformats.org/officeDocument/2006/relationships/hyperlink" Target="https://www.google.com/maps/search/?api=1&amp;query=Hilpisch+Chiropractic%2C+8995+Highway+5%2C+Lake+Elmo%2C+MN+55042" TargetMode="External"/><Relationship Id="rId2790" Type="http://schemas.openxmlformats.org/officeDocument/2006/relationships/hyperlink" Target="https://npiregistry.cms.hhs.gov/provider-view/1891838728" TargetMode="External"/><Relationship Id="rId3427" Type="http://schemas.openxmlformats.org/officeDocument/2006/relationships/hyperlink" Target="https://www.google.com/maps/search/?api=1&amp;query=Phelps+Chiropractic+PA.%2C+22+E+Chapman+St%2C+Ely%2C+MN+55731" TargetMode="External"/><Relationship Id="rId3634" Type="http://schemas.openxmlformats.org/officeDocument/2006/relationships/hyperlink" Target="https://npiregistry.cms.hhs.gov/provider-view/1912329111" TargetMode="External"/><Relationship Id="rId3841" Type="http://schemas.openxmlformats.org/officeDocument/2006/relationships/hyperlink" Target="https://www.google.com/maps/search/?api=1&amp;query=Sarah+L+Page+Chiropractic+LLC%2C+1972+Ridgedale+Ave+SW%2C+New+Prague%2C+MN+56071" TargetMode="External"/><Relationship Id="rId348" Type="http://schemas.openxmlformats.org/officeDocument/2006/relationships/hyperlink" Target="https://npiregistry.cms.hhs.gov/provider-view/1356474555" TargetMode="External"/><Relationship Id="rId555" Type="http://schemas.openxmlformats.org/officeDocument/2006/relationships/hyperlink" Target="https://www.google.com/maps/search/?api=1&amp;query=Armeli+Chiropractic+LLC%2C+790+S+Plaza+Dr%2C+Mendota+Heights%2C+MN+55120" TargetMode="External"/><Relationship Id="rId762" Type="http://schemas.openxmlformats.org/officeDocument/2006/relationships/hyperlink" Target="https://npiregistry.cms.hhs.gov/provider-view/1760719884" TargetMode="External"/><Relationship Id="rId1185" Type="http://schemas.openxmlformats.org/officeDocument/2006/relationships/hyperlink" Target="https://www.google.com/maps/search/?api=1&amp;query=Advanced+Massage+and+Therapy%2C+LLP%2C+2526+Hennepin+Ave%2C+Minneapolis%2C+MN+55405" TargetMode="External"/><Relationship Id="rId1392" Type="http://schemas.openxmlformats.org/officeDocument/2006/relationships/hyperlink" Target="https://npiregistry.cms.hhs.gov/provider-view/1689017097" TargetMode="External"/><Relationship Id="rId2029" Type="http://schemas.openxmlformats.org/officeDocument/2006/relationships/hyperlink" Target="https://www.google.com/maps/search/?api=1&amp;query=Theresa+Plasencia+Physical+Therapy%2C+INC.%2C+1030+County+Road+E+W%2C+Shoreview%2C+MN+55126" TargetMode="External"/><Relationship Id="rId2236" Type="http://schemas.openxmlformats.org/officeDocument/2006/relationships/hyperlink" Target="https://npiregistry.cms.hhs.gov/provider-view/1346832953" TargetMode="External"/><Relationship Id="rId2443" Type="http://schemas.openxmlformats.org/officeDocument/2006/relationships/hyperlink" Target="https://www.google.com/maps/search/?api=1&amp;query=Finish+Line+Chiropractic%2C+4401+Egan+Dr%2C+Savage%2C+MN+55378" TargetMode="External"/><Relationship Id="rId2650" Type="http://schemas.openxmlformats.org/officeDocument/2006/relationships/hyperlink" Target="https://npiregistry.cms.hhs.gov/provider-view/1598965774" TargetMode="External"/><Relationship Id="rId3701" Type="http://schemas.openxmlformats.org/officeDocument/2006/relationships/hyperlink" Target="https://www.google.com/maps/search/?api=1&amp;query=Tegels+Chiropractic%2C+LLC%2C+601+Fourth+Avenue%2C+Windom%2C+MN+56101" TargetMode="External"/><Relationship Id="rId208" Type="http://schemas.openxmlformats.org/officeDocument/2006/relationships/hyperlink" Target="https://npiregistry.cms.hhs.gov/provider-view/1902085806" TargetMode="External"/><Relationship Id="rId415" Type="http://schemas.openxmlformats.org/officeDocument/2006/relationships/hyperlink" Target="https://www.google.com/maps/search/?api=1&amp;query=Dakota+Chiropractic%2C+3348+Sherman+Ct%2C+Eagan%2C+MN+55121" TargetMode="External"/><Relationship Id="rId622" Type="http://schemas.openxmlformats.org/officeDocument/2006/relationships/hyperlink" Target="https://npiregistry.cms.hhs.gov/provider-view/1972699403" TargetMode="External"/><Relationship Id="rId1045" Type="http://schemas.openxmlformats.org/officeDocument/2006/relationships/hyperlink" Target="https://www.google.com/maps/search/?api=1&amp;query=Moritko+Chiropractic%2C+PA.%2C+810+Lilac+Dr+N%2C+Golden+Valley%2C+MN+55422" TargetMode="External"/><Relationship Id="rId1252" Type="http://schemas.openxmlformats.org/officeDocument/2006/relationships/hyperlink" Target="https://npiregistry.cms.hhs.gov/provider-view/1235427006" TargetMode="External"/><Relationship Id="rId2303" Type="http://schemas.openxmlformats.org/officeDocument/2006/relationships/hyperlink" Target="https://www.google.com/maps/search/?api=1&amp;query=US+Pain+and+Rehabilitation+Center%2C+PA%2C+1997+Sloan+Pl%2C+St.+Paul%2C+MN+55117" TargetMode="External"/><Relationship Id="rId2510" Type="http://schemas.openxmlformats.org/officeDocument/2006/relationships/hyperlink" Target="https://npiregistry.cms.hhs.gov/provider-view/1629388533" TargetMode="External"/><Relationship Id="rId1112" Type="http://schemas.openxmlformats.org/officeDocument/2006/relationships/hyperlink" Target="https://npiregistry.cms.hhs.gov/provider-view/1225198856" TargetMode="External"/><Relationship Id="rId3077" Type="http://schemas.openxmlformats.org/officeDocument/2006/relationships/hyperlink" Target="https://www.google.com/maps/search/?api=1&amp;query=St+Cloud+Hospital+Outpatient+Rehabilitation+-+South%2C+1301+33rd+St+S%2C+St.+Cloud%2C+MN+56301" TargetMode="External"/><Relationship Id="rId3284" Type="http://schemas.openxmlformats.org/officeDocument/2006/relationships/hyperlink" Target="https://npiregistry.cms.hhs.gov/provider-view/1245583871" TargetMode="External"/><Relationship Id="rId4128" Type="http://schemas.openxmlformats.org/officeDocument/2006/relationships/hyperlink" Target="https://npiregistry.cms.hhs.gov/provider-view/1962587121" TargetMode="External"/><Relationship Id="rId1929" Type="http://schemas.openxmlformats.org/officeDocument/2006/relationships/hyperlink" Target="https://www.google.com/maps/search/?api=1&amp;query=Essence+Chiropractic+%26+Health+PLLC%2C+525+Main+St%2C+New+Brighton%2C+MN+55112" TargetMode="External"/><Relationship Id="rId2093" Type="http://schemas.openxmlformats.org/officeDocument/2006/relationships/hyperlink" Target="https://www.google.com/maps/search/?api=1&amp;query=Chiropractic+Health+Care+of+St.+Paul+PA.%2C+1386+7th+St+W%2C+St.+Paul%2C+MN+55102" TargetMode="External"/><Relationship Id="rId3491" Type="http://schemas.openxmlformats.org/officeDocument/2006/relationships/hyperlink" Target="https://www.google.com/maps/search/?api=1&amp;query=1+Body+Health+and+Fitness+PA%2C+105+International+Dr%2C+Red+Lake+Falls%2C+MN+56750" TargetMode="External"/><Relationship Id="rId3144" Type="http://schemas.openxmlformats.org/officeDocument/2006/relationships/hyperlink" Target="https://npiregistry.cms.hhs.gov/provider-view/1396848560" TargetMode="External"/><Relationship Id="rId3351" Type="http://schemas.openxmlformats.org/officeDocument/2006/relationships/hyperlink" Target="https://www.google.com/maps/search/?api=1&amp;query=Life+Compass+Chiropractic%2C+S.c.%2C+115+Waterfront+Dr%2C+Two+Harbors%2C+MN+55616" TargetMode="External"/><Relationship Id="rId272" Type="http://schemas.openxmlformats.org/officeDocument/2006/relationships/hyperlink" Target="https://npiregistry.cms.hhs.gov/provider-view/1922541044" TargetMode="External"/><Relationship Id="rId2160" Type="http://schemas.openxmlformats.org/officeDocument/2006/relationships/hyperlink" Target="https://npiregistry.cms.hhs.gov/provider-view/1205145273" TargetMode="External"/><Relationship Id="rId3004" Type="http://schemas.openxmlformats.org/officeDocument/2006/relationships/hyperlink" Target="https://npiregistry.cms.hhs.gov/provider-view/1407869662" TargetMode="External"/><Relationship Id="rId3211" Type="http://schemas.openxmlformats.org/officeDocument/2006/relationships/hyperlink" Target="https://www.google.com/maps/search/?api=1&amp;query=Baxter+Chiropractic+PA%2C+13782+Bluestem+Ct%2C+Baxter%2C+MN+56425" TargetMode="External"/><Relationship Id="rId132" Type="http://schemas.openxmlformats.org/officeDocument/2006/relationships/hyperlink" Target="https://npiregistry.cms.hhs.gov/provider-view/1760745491" TargetMode="External"/><Relationship Id="rId2020" Type="http://schemas.openxmlformats.org/officeDocument/2006/relationships/hyperlink" Target="https://npiregistry.cms.hhs.gov/provider-view/1598150930" TargetMode="External"/><Relationship Id="rId1579" Type="http://schemas.openxmlformats.org/officeDocument/2006/relationships/hyperlink" Target="https://www.google.com/maps/search/?api=1&amp;query=Advanced+Wellness+%26+Sports+Rehab+PA%2C+232+Central+Ave%2C+Osseo%2C+MN+55369" TargetMode="External"/><Relationship Id="rId2977" Type="http://schemas.openxmlformats.org/officeDocument/2006/relationships/hyperlink" Target="https://www.google.com/maps/search/?api=1&amp;query=Hess+Family+Chiropractic+LLC%2C+216+Main+Street%2C+Cold+Spring%2C+MN+56320" TargetMode="External"/><Relationship Id="rId949" Type="http://schemas.openxmlformats.org/officeDocument/2006/relationships/hyperlink" Target="https://www.google.com/maps/search/?api=1&amp;query=Moore+Chiropractic+PLLC%2C+6550+York+Ave+S%2C+Edina%2C+MN+55435" TargetMode="External"/><Relationship Id="rId1786" Type="http://schemas.openxmlformats.org/officeDocument/2006/relationships/hyperlink" Target="https://npiregistry.cms.hhs.gov/provider-view/1457385346" TargetMode="External"/><Relationship Id="rId1993" Type="http://schemas.openxmlformats.org/officeDocument/2006/relationships/hyperlink" Target="https://www.google.com/maps/search/?api=1&amp;query=Twin+Cities+Metabolism%2C+1700+Highway+36+W%2C+Roseville%2C+MN+55113" TargetMode="External"/><Relationship Id="rId2837" Type="http://schemas.openxmlformats.org/officeDocument/2006/relationships/hyperlink" Target="https://www.google.com/maps/search/?api=1&amp;query=Hjort+Family+Chiropractic%2C+PA.%2C+9125+Quaday+Ave+NE%2C+Otsego%2C+MN+55330" TargetMode="External"/><Relationship Id="rId4052" Type="http://schemas.openxmlformats.org/officeDocument/2006/relationships/hyperlink" Target="https://npiregistry.cms.hhs.gov/provider-view/1508045055" TargetMode="External"/><Relationship Id="rId78" Type="http://schemas.openxmlformats.org/officeDocument/2006/relationships/hyperlink" Target="https://npiregistry.cms.hhs.gov/provider-view/1093816258" TargetMode="External"/><Relationship Id="rId809" Type="http://schemas.openxmlformats.org/officeDocument/2006/relationships/hyperlink" Target="https://www.google.com/maps/search/?api=1&amp;query=Diagnostic+Imaging+of+South+Jersey+PC%2C+11995+Singletree+Ln%2C+Eden+Prairie%2C+MN+55344" TargetMode="External"/><Relationship Id="rId1439" Type="http://schemas.openxmlformats.org/officeDocument/2006/relationships/hyperlink" Target="https://www.google.com/maps/search/?api=1&amp;query=Sportworks+Active+Chiropractic%2C+LLC%2C+1629+Hennepin+Ave%2C+Minneapolis%2C+MN+55403" TargetMode="External"/><Relationship Id="rId1646" Type="http://schemas.openxmlformats.org/officeDocument/2006/relationships/hyperlink" Target="https://npiregistry.cms.hhs.gov/provider-view/1043454705" TargetMode="External"/><Relationship Id="rId1853" Type="http://schemas.openxmlformats.org/officeDocument/2006/relationships/hyperlink" Target="https://www.google.com/maps/search/?api=1&amp;query=Vitality+Chiropractic%3A+A+Wellness+Guide+Centre+PC.%2C+935+Wayzata+Blvd+E%2C+Wayzata%2C+MN+55391" TargetMode="External"/><Relationship Id="rId2904" Type="http://schemas.openxmlformats.org/officeDocument/2006/relationships/hyperlink" Target="https://npiregistry.cms.hhs.gov/provider-view/1528144243" TargetMode="External"/><Relationship Id="rId1506" Type="http://schemas.openxmlformats.org/officeDocument/2006/relationships/hyperlink" Target="https://npiregistry.cms.hhs.gov/provider-view/1255568531" TargetMode="External"/><Relationship Id="rId1713" Type="http://schemas.openxmlformats.org/officeDocument/2006/relationships/hyperlink" Target="https://www.google.com/maps/search/?api=1&amp;query=Robin+Center+Chiropractic%2C+4064+Lakeland+Ave+N%2C+Robbinsdale%2C+MN+55422" TargetMode="External"/><Relationship Id="rId1920" Type="http://schemas.openxmlformats.org/officeDocument/2006/relationships/hyperlink" Target="https://npiregistry.cms.hhs.gov/provider-view/1770653636" TargetMode="External"/><Relationship Id="rId3678" Type="http://schemas.openxmlformats.org/officeDocument/2006/relationships/hyperlink" Target="https://npiregistry.cms.hhs.gov/provider-view/1457884314" TargetMode="External"/><Relationship Id="rId3885" Type="http://schemas.openxmlformats.org/officeDocument/2006/relationships/hyperlink" Target="https://www.google.com/maps/search/?api=1&amp;query=Family+Chiropractic%2C+1014+Bel+Air+Ln+NW%2C+Rochester%2C+MN+55901" TargetMode="External"/><Relationship Id="rId599" Type="http://schemas.openxmlformats.org/officeDocument/2006/relationships/hyperlink" Target="https://www.google.com/maps/search/?api=1&amp;query=Active+Life+Chiropractic%2C+8900+Penn+Ave.+S%2C+Bloomington%2C+MN+55431" TargetMode="External"/><Relationship Id="rId2487" Type="http://schemas.openxmlformats.org/officeDocument/2006/relationships/hyperlink" Target="https://www.google.com/maps/search/?api=1&amp;query=Orthopedic+Surgical+Consultants%2C+PA.%2C+1515+Saint+Francis+Ave%2C+Shakopee%2C+MN+55379" TargetMode="External"/><Relationship Id="rId2694" Type="http://schemas.openxmlformats.org/officeDocument/2006/relationships/hyperlink" Target="https://npiregistry.cms.hhs.gov/provider-view/1093864050" TargetMode="External"/><Relationship Id="rId3538" Type="http://schemas.openxmlformats.org/officeDocument/2006/relationships/hyperlink" Target="https://npiregistry.cms.hhs.gov/provider-view/1902861339" TargetMode="External"/><Relationship Id="rId3745" Type="http://schemas.openxmlformats.org/officeDocument/2006/relationships/hyperlink" Target="https://www.google.com/maps/search/?api=1&amp;query=Mankato+Chiropractic+River%27s+Edge%2C+1900+N+Sunrise+Dr%2C+St.+Peter%2C+MN+56082" TargetMode="External"/><Relationship Id="rId459" Type="http://schemas.openxmlformats.org/officeDocument/2006/relationships/hyperlink" Target="https://www.google.com/maps/search/?api=1&amp;query=Seo%2C+LLC%2C+2113+Cliff+Dr%2C+Eagan%2C+MN+55122" TargetMode="External"/><Relationship Id="rId666" Type="http://schemas.openxmlformats.org/officeDocument/2006/relationships/hyperlink" Target="https://npiregistry.cms.hhs.gov/provider-view/1144502733" TargetMode="External"/><Relationship Id="rId873" Type="http://schemas.openxmlformats.org/officeDocument/2006/relationships/hyperlink" Target="https://www.google.com/maps/search/?api=1&amp;query=Wangerin+Chiropractic+%26+Alternative+Medicine%2C+P.+A.%2C+11800+Singletree+Ln%2C+Eden+Prairie%2C+MN+55344" TargetMode="External"/><Relationship Id="rId1089" Type="http://schemas.openxmlformats.org/officeDocument/2006/relationships/hyperlink" Target="https://www.google.com/maps/search/?api=1&amp;query=Marty+Chiropractic+Hopkins+PA.%2C+17+10th+Ave+S%2C+Hopkins%2C+MN+55343" TargetMode="External"/><Relationship Id="rId1296" Type="http://schemas.openxmlformats.org/officeDocument/2006/relationships/hyperlink" Target="https://npiregistry.cms.hhs.gov/provider-view/1124378633" TargetMode="External"/><Relationship Id="rId2347" Type="http://schemas.openxmlformats.org/officeDocument/2006/relationships/hyperlink" Target="https://www.google.com/maps/search/?api=1&amp;query=Carlson+Chiropractic+Corporation%2C+4717+Clark+Ave%2C+White+Bear+Lake%2C+MN+55110" TargetMode="External"/><Relationship Id="rId2554" Type="http://schemas.openxmlformats.org/officeDocument/2006/relationships/hyperlink" Target="https://npiregistry.cms.hhs.gov/provider-view/1942413604" TargetMode="External"/><Relationship Id="rId3952" Type="http://schemas.openxmlformats.org/officeDocument/2006/relationships/hyperlink" Target="https://npiregistry.cms.hhs.gov/provider-view/1154586634" TargetMode="External"/><Relationship Id="rId319" Type="http://schemas.openxmlformats.org/officeDocument/2006/relationships/hyperlink" Target="https://www.google.com/maps/search/?api=1&amp;query=Mobilecare+Chiropractic%2C+PLLC%2C+15556+Flyboat+Ln%2C+Apple+Valley%2C+MN+55124" TargetMode="External"/><Relationship Id="rId526" Type="http://schemas.openxmlformats.org/officeDocument/2006/relationships/hyperlink" Target="https://npiregistry.cms.hhs.gov/provider-view/1164922373" TargetMode="External"/><Relationship Id="rId1156" Type="http://schemas.openxmlformats.org/officeDocument/2006/relationships/hyperlink" Target="https://npiregistry.cms.hhs.gov/provider-view/1144634395" TargetMode="External"/><Relationship Id="rId1363" Type="http://schemas.openxmlformats.org/officeDocument/2006/relationships/hyperlink" Target="https://www.google.com/maps/search/?api=1&amp;query=Minneapolis+Health+%26+Wellness+Ne%2C+LLC%2C+2125+E+Hennepin+Ave%2C+Minneapolis%2C+MN+55405" TargetMode="External"/><Relationship Id="rId2207" Type="http://schemas.openxmlformats.org/officeDocument/2006/relationships/hyperlink" Target="https://www.google.com/maps/search/?api=1&amp;query=Minnesota+Pain+Center%2C+225+University+Ave+W%2C+St.+Paul%2C+MN+55103" TargetMode="External"/><Relationship Id="rId2761" Type="http://schemas.openxmlformats.org/officeDocument/2006/relationships/hyperlink" Target="https://www.google.com/maps/search/?api=1&amp;query=Chiropractic+and+Wellness+Center+of+Albertville%2C+5676+Lacentre+Ave.%2C+Albertville%2C+MN+55301" TargetMode="External"/><Relationship Id="rId3605" Type="http://schemas.openxmlformats.org/officeDocument/2006/relationships/hyperlink" Target="https://www.google.com/maps/search/?api=1&amp;query=Back+In+Motion+Physical+Therapy+LLC%2C+505+E+Main+St%2C+Perham%2C+MN+56573" TargetMode="External"/><Relationship Id="rId3812" Type="http://schemas.openxmlformats.org/officeDocument/2006/relationships/hyperlink" Target="https://npiregistry.cms.hhs.gov/provider-view/1376202077" TargetMode="External"/><Relationship Id="rId733" Type="http://schemas.openxmlformats.org/officeDocument/2006/relationships/hyperlink" Target="https://www.google.com/maps/search/?api=1&amp;query=Metronet+Chiropractc+Services%2C+PA%2C+7420+Unity+Ave+N%2C+Brooklyn+Park%2C+MN+55443" TargetMode="External"/><Relationship Id="rId940" Type="http://schemas.openxmlformats.org/officeDocument/2006/relationships/hyperlink" Target="https://npiregistry.cms.hhs.gov/provider-view/1922698661" TargetMode="External"/><Relationship Id="rId1016" Type="http://schemas.openxmlformats.org/officeDocument/2006/relationships/hyperlink" Target="https://npiregistry.cms.hhs.gov/provider-view/1396940052" TargetMode="External"/><Relationship Id="rId1570" Type="http://schemas.openxmlformats.org/officeDocument/2006/relationships/hyperlink" Target="https://npiregistry.cms.hhs.gov/provider-view/1447807813" TargetMode="External"/><Relationship Id="rId2414" Type="http://schemas.openxmlformats.org/officeDocument/2006/relationships/hyperlink" Target="https://npiregistry.cms.hhs.gov/provider-view/1720282296" TargetMode="External"/><Relationship Id="rId2621" Type="http://schemas.openxmlformats.org/officeDocument/2006/relationships/hyperlink" Target="https://www.google.com/maps/search/?api=1&amp;query=St+Croix+Chiropractic+Group%2C+600+Inwood+Ave+N%2C+Oakdale%2C+MN+55128" TargetMode="External"/><Relationship Id="rId800" Type="http://schemas.openxmlformats.org/officeDocument/2006/relationships/hyperlink" Target="https://npiregistry.cms.hhs.gov/provider-view/1821547944" TargetMode="External"/><Relationship Id="rId1223" Type="http://schemas.openxmlformats.org/officeDocument/2006/relationships/hyperlink" Target="https://www.google.com/maps/search/?api=1&amp;query=Chicago+Ave+Chiropractic%2C+3551+Chicago+Ave%2C+Minneapolis%2C+MN+55407" TargetMode="External"/><Relationship Id="rId1430" Type="http://schemas.openxmlformats.org/officeDocument/2006/relationships/hyperlink" Target="https://npiregistry.cms.hhs.gov/provider-view/1215480942" TargetMode="External"/><Relationship Id="rId3188" Type="http://schemas.openxmlformats.org/officeDocument/2006/relationships/hyperlink" Target="https://npiregistry.cms.hhs.gov/provider-view/1154759850" TargetMode="External"/><Relationship Id="rId3395" Type="http://schemas.openxmlformats.org/officeDocument/2006/relationships/hyperlink" Target="https://www.google.com/maps/search/?api=1&amp;query=Novacare+Rehabilitation%2C+925+East+Superior+Street%2C+Duluth%2C+MN+55802" TargetMode="External"/><Relationship Id="rId3048" Type="http://schemas.openxmlformats.org/officeDocument/2006/relationships/hyperlink" Target="https://npiregistry.cms.hhs.gov/provider-view/1073717062" TargetMode="External"/><Relationship Id="rId3255" Type="http://schemas.openxmlformats.org/officeDocument/2006/relationships/hyperlink" Target="https://www.google.com/maps/search/?api=1&amp;query=The+Renneke+Chiropractic+Clinic+PA%2C+623+Madison+St.%2C+Brainerd%2C+MN+56401" TargetMode="External"/><Relationship Id="rId3462" Type="http://schemas.openxmlformats.org/officeDocument/2006/relationships/hyperlink" Target="https://npiregistry.cms.hhs.gov/provider-view/1295122760" TargetMode="External"/><Relationship Id="rId176" Type="http://schemas.openxmlformats.org/officeDocument/2006/relationships/hyperlink" Target="https://npiregistry.cms.hhs.gov/provider-view/1003941030" TargetMode="External"/><Relationship Id="rId383" Type="http://schemas.openxmlformats.org/officeDocument/2006/relationships/hyperlink" Target="https://www.google.com/maps/search/?api=1&amp;query=Skyline+Chiropractic%2C+PA.%2C+12940+Harriet+Ave+S%2C+Burnsville%2C+MN+55337" TargetMode="External"/><Relationship Id="rId590" Type="http://schemas.openxmlformats.org/officeDocument/2006/relationships/hyperlink" Target="https://npiregistry.cms.hhs.gov/provider-view/1477762110" TargetMode="External"/><Relationship Id="rId2064" Type="http://schemas.openxmlformats.org/officeDocument/2006/relationships/hyperlink" Target="https://npiregistry.cms.hhs.gov/provider-view/1083635171" TargetMode="External"/><Relationship Id="rId2271" Type="http://schemas.openxmlformats.org/officeDocument/2006/relationships/hyperlink" Target="https://www.google.com/maps/search/?api=1&amp;query=The+Chirospot+Health+%26+Wellness%2C+932+Rose+Ave+E%2C+St.+Paul%2C+MN+55106" TargetMode="External"/><Relationship Id="rId3115" Type="http://schemas.openxmlformats.org/officeDocument/2006/relationships/hyperlink" Target="https://www.google.com/maps/search/?api=1&amp;query=Essentia+Health+Menahga+Therapy%2C+212+Aspen+Ave+NE%2C+Menahga%2C+MN+56464" TargetMode="External"/><Relationship Id="rId3322" Type="http://schemas.openxmlformats.org/officeDocument/2006/relationships/hyperlink" Target="https://npiregistry.cms.hhs.gov/provider-view/1235176108" TargetMode="External"/><Relationship Id="rId243" Type="http://schemas.openxmlformats.org/officeDocument/2006/relationships/hyperlink" Target="https://www.google.com/maps/search/?api=1&amp;query=Odom+Health+and+Wellness%2C+500+S+Cherry+St%2C+Waconia%2C+MN+55387" TargetMode="External"/><Relationship Id="rId450" Type="http://schemas.openxmlformats.org/officeDocument/2006/relationships/hyperlink" Target="https://npiregistry.cms.hhs.gov/provider-view/1316115934" TargetMode="External"/><Relationship Id="rId1080" Type="http://schemas.openxmlformats.org/officeDocument/2006/relationships/hyperlink" Target="https://npiregistry.cms.hhs.gov/provider-view/1912337916" TargetMode="External"/><Relationship Id="rId2131" Type="http://schemas.openxmlformats.org/officeDocument/2006/relationships/hyperlink" Target="https://www.google.com/maps/search/?api=1&amp;query=Fit+Life+Chiropractic+and+Wellness+LLC%2C+976+Grand+Ave%2C+St.+Paul%2C+MN+55105" TargetMode="External"/><Relationship Id="rId103" Type="http://schemas.openxmlformats.org/officeDocument/2006/relationships/hyperlink" Target="https://www.google.com/maps/search/?api=1&amp;query=Overstad+Chiropractic%2Cp.a.%2C+1425+Coon+Rapids+Blvd+NW%2C+Coon+Rapids%2C+MN+55433" TargetMode="External"/><Relationship Id="rId310" Type="http://schemas.openxmlformats.org/officeDocument/2006/relationships/hyperlink" Target="https://npiregistry.cms.hhs.gov/provider-view/1912112855" TargetMode="External"/><Relationship Id="rId4096" Type="http://schemas.openxmlformats.org/officeDocument/2006/relationships/hyperlink" Target="https://npiregistry.cms.hhs.gov/provider-view/1407988512" TargetMode="External"/><Relationship Id="rId1897" Type="http://schemas.openxmlformats.org/officeDocument/2006/relationships/hyperlink" Target="https://www.google.com/maps/search/?api=1&amp;query=Institute+of+Facial+Surgery+St+Paul%2C+1774+Cope+Ave+E%2C+Maplewood%2C+MN+55109" TargetMode="External"/><Relationship Id="rId2948" Type="http://schemas.openxmlformats.org/officeDocument/2006/relationships/hyperlink" Target="https://npiregistry.cms.hhs.gov/provider-view/1053612887" TargetMode="External"/><Relationship Id="rId1757" Type="http://schemas.openxmlformats.org/officeDocument/2006/relationships/hyperlink" Target="https://www.google.com/maps/search/?api=1&amp;query=Crossroad+Chiropractic+Clinic%2C+6311+Wayzata+Blvd%2C+St.+Louis+Park%2C+MN+55416" TargetMode="External"/><Relationship Id="rId1964" Type="http://schemas.openxmlformats.org/officeDocument/2006/relationships/hyperlink" Target="https://npiregistry.cms.hhs.gov/provider-view/1487138012" TargetMode="External"/><Relationship Id="rId2808" Type="http://schemas.openxmlformats.org/officeDocument/2006/relationships/hyperlink" Target="https://npiregistry.cms.hhs.gov/provider-view/1821428509" TargetMode="External"/><Relationship Id="rId4163" Type="http://schemas.openxmlformats.org/officeDocument/2006/relationships/table" Target="../tables/table8.xml"/><Relationship Id="rId49" Type="http://schemas.openxmlformats.org/officeDocument/2006/relationships/hyperlink" Target="https://www.google.com/maps/search/?api=1&amp;query=Exodus+Chiropractic%2C+PA%2C+10950+Club+West+Pkwy%2C+Blaine%2C+MN+55449" TargetMode="External"/><Relationship Id="rId1617" Type="http://schemas.openxmlformats.org/officeDocument/2006/relationships/hyperlink" Target="https://www.google.com/maps/search/?api=1&amp;query=Lake+West+Chiropractic+and+Natural+Health%2C+PA%2C+4190+Vinewood+Ln+N%2C+Plymouth%2C+MN+55442" TargetMode="External"/><Relationship Id="rId1824" Type="http://schemas.openxmlformats.org/officeDocument/2006/relationships/hyperlink" Target="https://npiregistry.cms.hhs.gov/provider-view/1821482126" TargetMode="External"/><Relationship Id="rId4023" Type="http://schemas.openxmlformats.org/officeDocument/2006/relationships/hyperlink" Target="https://www.google.com/maps/search/?api=1&amp;query=Sport+%26+Spine+Physical+Therapy+of+Winona%2C+INC%2C+1512+Service+Dr%2C+Winona%2C+MN+55987" TargetMode="External"/><Relationship Id="rId3789" Type="http://schemas.openxmlformats.org/officeDocument/2006/relationships/hyperlink" Target="https://www.google.com/maps/search/?api=1&amp;query=Augustine+Chiropractic+LLC%2C+104+Burnside+Ave+S%2C+Red+Wing%2C+MN+55066" TargetMode="External"/><Relationship Id="rId2598" Type="http://schemas.openxmlformats.org/officeDocument/2006/relationships/hyperlink" Target="https://npiregistry.cms.hhs.gov/provider-view/1114003829" TargetMode="External"/><Relationship Id="rId3996" Type="http://schemas.openxmlformats.org/officeDocument/2006/relationships/hyperlink" Target="https://npiregistry.cms.hhs.gov/provider-view/1487059291" TargetMode="External"/><Relationship Id="rId3649" Type="http://schemas.openxmlformats.org/officeDocument/2006/relationships/hyperlink" Target="https://www.google.com/maps/search/?api=1&amp;query=Edward+P.+Sweere%2C+PA.%2C+911+Warren+St%2C+Mankato%2C+MN+56001" TargetMode="External"/><Relationship Id="rId3856" Type="http://schemas.openxmlformats.org/officeDocument/2006/relationships/hyperlink" Target="https://npiregistry.cms.hhs.gov/provider-view/1851824973" TargetMode="External"/><Relationship Id="rId777" Type="http://schemas.openxmlformats.org/officeDocument/2006/relationships/hyperlink" Target="https://www.google.com/maps/search/?api=1&amp;query=Corcoran+Hamel+Chiropractic%2C+20010+75th+Ave+N%2C+Corcoran%2C+MN+55340" TargetMode="External"/><Relationship Id="rId984" Type="http://schemas.openxmlformats.org/officeDocument/2006/relationships/hyperlink" Target="https://npiregistry.cms.hhs.gov/provider-view/1215003066" TargetMode="External"/><Relationship Id="rId2458" Type="http://schemas.openxmlformats.org/officeDocument/2006/relationships/hyperlink" Target="https://npiregistry.cms.hhs.gov/provider-view/1962774745" TargetMode="External"/><Relationship Id="rId2665" Type="http://schemas.openxmlformats.org/officeDocument/2006/relationships/hyperlink" Target="https://www.google.com/maps/search/?api=1&amp;query=Rivertown+Chiropractic+%26+Wellness%2C+5813+Neal+Ave+N%2C+Stillwater%2C+MN+55082" TargetMode="External"/><Relationship Id="rId2872" Type="http://schemas.openxmlformats.org/officeDocument/2006/relationships/hyperlink" Target="https://npiregistry.cms.hhs.gov/provider-view/1558543751" TargetMode="External"/><Relationship Id="rId3509" Type="http://schemas.openxmlformats.org/officeDocument/2006/relationships/hyperlink" Target="https://www.google.com/maps/search/?api=1&amp;query=David+Lotzer+Moorhead+Chiropractic+Clinic%2C+213+7th+St+S%2C+Moorhead%2C+MN+56560" TargetMode="External"/><Relationship Id="rId3716" Type="http://schemas.openxmlformats.org/officeDocument/2006/relationships/hyperlink" Target="https://npiregistry.cms.hhs.gov/provider-view/1457350332" TargetMode="External"/><Relationship Id="rId3923" Type="http://schemas.openxmlformats.org/officeDocument/2006/relationships/hyperlink" Target="https://www.google.com/maps/search/?api=1&amp;query=Huelskamp+Chiropractic+Clinic%2C+PA.%2C+120+S+Main+St%2C+Stewartville%2C+MN+55976" TargetMode="External"/><Relationship Id="rId637" Type="http://schemas.openxmlformats.org/officeDocument/2006/relationships/hyperlink" Target="https://www.google.com/maps/search/?api=1&amp;query=Healthy+For+Life+Family+Wellness+Chiropractic%2C+PA.%2C+9336+Ensign+Ave+S%2C+Bloomington%2C+MN+55438" TargetMode="External"/><Relationship Id="rId844" Type="http://schemas.openxmlformats.org/officeDocument/2006/relationships/hyperlink" Target="https://npiregistry.cms.hhs.gov/provider-view/1407168487" TargetMode="External"/><Relationship Id="rId1267" Type="http://schemas.openxmlformats.org/officeDocument/2006/relationships/hyperlink" Target="https://www.google.com/maps/search/?api=1&amp;query=Gigante+Acquisitions+LLC%2C+2215+Pillsbury+Ave+S%2C+Minneapolis%2C+MN+55404" TargetMode="External"/><Relationship Id="rId1474" Type="http://schemas.openxmlformats.org/officeDocument/2006/relationships/hyperlink" Target="https://npiregistry.cms.hhs.gov/provider-view/1083836258" TargetMode="External"/><Relationship Id="rId1681" Type="http://schemas.openxmlformats.org/officeDocument/2006/relationships/hyperlink" Target="https://www.google.com/maps/search/?api=1&amp;query=R+F+Chiropractic+Clinic+PA%2C+6410+Nicollet+Ave%2C+Richfield%2C+MN+55423" TargetMode="External"/><Relationship Id="rId2318" Type="http://schemas.openxmlformats.org/officeDocument/2006/relationships/hyperlink" Target="https://npiregistry.cms.hhs.gov/provider-view/1659512622" TargetMode="External"/><Relationship Id="rId2525" Type="http://schemas.openxmlformats.org/officeDocument/2006/relationships/hyperlink" Target="https://www.google.com/maps/search/?api=1&amp;query=Otsego+West+Chiropractic%2C+16201+90th+St+NE%2C+Otsego%2C+MN+55330" TargetMode="External"/><Relationship Id="rId2732" Type="http://schemas.openxmlformats.org/officeDocument/2006/relationships/hyperlink" Target="https://npiregistry.cms.hhs.gov/provider-view/1124413893" TargetMode="External"/><Relationship Id="rId704" Type="http://schemas.openxmlformats.org/officeDocument/2006/relationships/hyperlink" Target="https://npiregistry.cms.hhs.gov/provider-view/1326445826" TargetMode="External"/><Relationship Id="rId911" Type="http://schemas.openxmlformats.org/officeDocument/2006/relationships/hyperlink" Target="https://www.google.com/maps/search/?api=1&amp;query=Great+Lakes+Injury+Center%2C+PLLC%2C+4444+W+76th+St%2C+Edina%2C+MN+55435" TargetMode="External"/><Relationship Id="rId1127" Type="http://schemas.openxmlformats.org/officeDocument/2006/relationships/hyperlink" Target="https://www.google.com/maps/search/?api=1&amp;query=Johnson+Chiropractic+Clinic+of+Maple+Grove%2C+INC%2C+13700+83rd+Way+N%2C+Maple+Grove%2C+MN+55369" TargetMode="External"/><Relationship Id="rId1334" Type="http://schemas.openxmlformats.org/officeDocument/2006/relationships/hyperlink" Target="https://npiregistry.cms.hhs.gov/provider-view/1780040352" TargetMode="External"/><Relationship Id="rId1541" Type="http://schemas.openxmlformats.org/officeDocument/2006/relationships/hyperlink" Target="https://www.google.com/maps/search/?api=1&amp;query=Osr+Physical+Therapy+Limited+Partnership%2C+5104+County+Road+101%2C+Minnetonka%2C+MN+55345" TargetMode="External"/><Relationship Id="rId40" Type="http://schemas.openxmlformats.org/officeDocument/2006/relationships/hyperlink" Target="https://npiregistry.cms.hhs.gov/provider-view/1417024050" TargetMode="External"/><Relationship Id="rId1401" Type="http://schemas.openxmlformats.org/officeDocument/2006/relationships/hyperlink" Target="https://www.google.com/maps/search/?api=1&amp;query=Pain+Consultants+of+Minnesota%2C+2020+E+28th+St%2C+Minneapolis%2C+MN+55407" TargetMode="External"/><Relationship Id="rId3299" Type="http://schemas.openxmlformats.org/officeDocument/2006/relationships/hyperlink" Target="https://www.google.com/maps/search/?api=1&amp;query=Grand+Rapids+Chiropractic%2C+2610+S+Highway+169%2C+Grand+Rapids%2C+MN+55744" TargetMode="External"/><Relationship Id="rId3159" Type="http://schemas.openxmlformats.org/officeDocument/2006/relationships/hyperlink" Target="https://www.google.com/maps/search/?api=1&amp;query=Great+Western+Medical+Group+PLLC%2C+118+Paul+Bunyan+Dr+S%2C+Bemidji%2C+MN+56601" TargetMode="External"/><Relationship Id="rId3366" Type="http://schemas.openxmlformats.org/officeDocument/2006/relationships/hyperlink" Target="https://npiregistry.cms.hhs.gov/provider-view/1215127808" TargetMode="External"/><Relationship Id="rId3573" Type="http://schemas.openxmlformats.org/officeDocument/2006/relationships/hyperlink" Target="https://www.google.com/maps/search/?api=1&amp;query=Anthony+Gettel+DC+LLC%2C+755+Wildwood+Trail%2C+Fergus+Falls%2C+MN+56537" TargetMode="External"/><Relationship Id="rId287" Type="http://schemas.openxmlformats.org/officeDocument/2006/relationships/hyperlink" Target="https://www.google.com/maps/search/?api=1&amp;query=Ameli+Chiropractic+Clinic+PA.%2C+14635+Pennock+Ave%2C+Apple+Valley%2C+MN+55124" TargetMode="External"/><Relationship Id="rId494" Type="http://schemas.openxmlformats.org/officeDocument/2006/relationships/hyperlink" Target="https://npiregistry.cms.hhs.gov/provider-view/1841561727" TargetMode="External"/><Relationship Id="rId2175" Type="http://schemas.openxmlformats.org/officeDocument/2006/relationships/hyperlink" Target="https://www.google.com/maps/search/?api=1&amp;query=Lexington+Rehabilitation+Center%2C+506+Lexington+Pkwy+N%2C+St.+Paul%2C+MN+55104" TargetMode="External"/><Relationship Id="rId2382" Type="http://schemas.openxmlformats.org/officeDocument/2006/relationships/hyperlink" Target="https://npiregistry.cms.hhs.gov/provider-view/1548331127" TargetMode="External"/><Relationship Id="rId3019" Type="http://schemas.openxmlformats.org/officeDocument/2006/relationships/hyperlink" Target="https://www.google.com/maps/search/?api=1&amp;query=Synergy+Chiropractic+%26+Wellness+Center%2C+2177+Troop+Dr%2C+Sartell%2C+MN+56377" TargetMode="External"/><Relationship Id="rId3226" Type="http://schemas.openxmlformats.org/officeDocument/2006/relationships/hyperlink" Target="https://npiregistry.cms.hhs.gov/provider-view/1356631329" TargetMode="External"/><Relationship Id="rId3780" Type="http://schemas.openxmlformats.org/officeDocument/2006/relationships/hyperlink" Target="https://npiregistry.cms.hhs.gov/provider-view/1851533459" TargetMode="External"/><Relationship Id="rId147" Type="http://schemas.openxmlformats.org/officeDocument/2006/relationships/hyperlink" Target="https://www.google.com/maps/search/?api=1&amp;query=Summit+Wellness+Center%2C+6776+Lake+Dr%2C+Lino+Lakes%2C+MN+55014" TargetMode="External"/><Relationship Id="rId354" Type="http://schemas.openxmlformats.org/officeDocument/2006/relationships/hyperlink" Target="https://npiregistry.cms.hhs.gov/provider-view/1659619492" TargetMode="External"/><Relationship Id="rId1191" Type="http://schemas.openxmlformats.org/officeDocument/2006/relationships/hyperlink" Target="https://www.google.com/maps/search/?api=1&amp;query=Aligned+Chiropractic+PA%2C+3408+E+Lake+St%2C+Minneapolis%2C+MN+55406" TargetMode="External"/><Relationship Id="rId2035" Type="http://schemas.openxmlformats.org/officeDocument/2006/relationships/hyperlink" Target="https://www.google.com/maps/search/?api=1&amp;query=Acorn+Chiropractic+LLC%2C+1746+Lincoln+Ave%2C+St.+Paul%2C+MN+55105" TargetMode="External"/><Relationship Id="rId3433" Type="http://schemas.openxmlformats.org/officeDocument/2006/relationships/hyperlink" Target="https://www.google.com/maps/search/?api=1&amp;query=Eveleth+Chiropractic+Clinic%2C+227+Grant+Avenue%2C+Eveleth%2C+MN+55734" TargetMode="External"/><Relationship Id="rId3640" Type="http://schemas.openxmlformats.org/officeDocument/2006/relationships/hyperlink" Target="https://npiregistry.cms.hhs.gov/provider-view/1558765792" TargetMode="External"/><Relationship Id="rId561" Type="http://schemas.openxmlformats.org/officeDocument/2006/relationships/hyperlink" Target="https://www.google.com/maps/search/?api=1&amp;query=Twin+Cities+Physical+Therapy+and+Rehabilitation%2C+2520+Pilot+Knob+Rd%2C+Mendota+Heights%2C+MN+55120" TargetMode="External"/><Relationship Id="rId2242" Type="http://schemas.openxmlformats.org/officeDocument/2006/relationships/hyperlink" Target="https://npiregistry.cms.hhs.gov/provider-view/1770754392" TargetMode="External"/><Relationship Id="rId3500" Type="http://schemas.openxmlformats.org/officeDocument/2006/relationships/hyperlink" Target="https://npiregistry.cms.hhs.gov/provider-view/1487870648" TargetMode="External"/><Relationship Id="rId214" Type="http://schemas.openxmlformats.org/officeDocument/2006/relationships/hyperlink" Target="https://npiregistry.cms.hhs.gov/provider-view/1063606879" TargetMode="External"/><Relationship Id="rId421" Type="http://schemas.openxmlformats.org/officeDocument/2006/relationships/hyperlink" Target="https://www.google.com/maps/search/?api=1&amp;query=Eagan+Family+Chiropractic+%26+Massage%2C+1260+Yankee+Doodle+Road%2C+Eagan%2C+MN+55121" TargetMode="External"/><Relationship Id="rId1051" Type="http://schemas.openxmlformats.org/officeDocument/2006/relationships/hyperlink" Target="https://www.google.com/maps/search/?api=1&amp;query=Rehabilitation+Services+of+Golden+Valley%2C+INC.%2C+800+Boone+Ave+N%2C+Golden+Valley%2C+MN+55427" TargetMode="External"/><Relationship Id="rId2102" Type="http://schemas.openxmlformats.org/officeDocument/2006/relationships/hyperlink" Target="https://npiregistry.cms.hhs.gov/provider-view/1265800700" TargetMode="External"/><Relationship Id="rId1868" Type="http://schemas.openxmlformats.org/officeDocument/2006/relationships/hyperlink" Target="https://npiregistry.cms.hhs.gov/provider-view/1649489493" TargetMode="External"/><Relationship Id="rId4067" Type="http://schemas.openxmlformats.org/officeDocument/2006/relationships/hyperlink" Target="https://www.google.com/maps/search/?api=1&amp;query=Renew+Chiropractic%2C+2120+60th+Ave+NE%2C+Willmar%2C+MN+56201" TargetMode="External"/><Relationship Id="rId2919" Type="http://schemas.openxmlformats.org/officeDocument/2006/relationships/hyperlink" Target="https://www.google.com/maps/search/?api=1&amp;query=Mille+Lacs+Chiropractics%2C+1010+5th+St+SE%2C+Milaca%2C+MN+56353" TargetMode="External"/><Relationship Id="rId3083" Type="http://schemas.openxmlformats.org/officeDocument/2006/relationships/hyperlink" Target="https://www.google.com/maps/search/?api=1&amp;query=Winters+Family+Chiropractic%2C+PA%2C+4170+Thielman+Ln%2C+St.+Cloud%2C+MN+56301" TargetMode="External"/><Relationship Id="rId3290" Type="http://schemas.openxmlformats.org/officeDocument/2006/relationships/hyperlink" Target="https://npiregistry.cms.hhs.gov/provider-view/1174796288" TargetMode="External"/><Relationship Id="rId4134" Type="http://schemas.openxmlformats.org/officeDocument/2006/relationships/hyperlink" Target="https://npiregistry.cms.hhs.gov/provider-view/1629450069" TargetMode="External"/><Relationship Id="rId1728" Type="http://schemas.openxmlformats.org/officeDocument/2006/relationships/hyperlink" Target="https://npiregistry.cms.hhs.gov/provider-view/1245486687" TargetMode="External"/><Relationship Id="rId1935" Type="http://schemas.openxmlformats.org/officeDocument/2006/relationships/hyperlink" Target="https://www.google.com/maps/search/?api=1&amp;query=Oak+Ridg+Chiropractic+LTD%2C+2172+Silver+Lake+Rd+NW%2C+New+Brighton%2C+MN+55112" TargetMode="External"/><Relationship Id="rId3150" Type="http://schemas.openxmlformats.org/officeDocument/2006/relationships/hyperlink" Target="https://npiregistry.cms.hhs.gov/provider-view/1063176790" TargetMode="External"/><Relationship Id="rId3010" Type="http://schemas.openxmlformats.org/officeDocument/2006/relationships/hyperlink" Target="https://npiregistry.cms.hhs.gov/provider-view/1235167065" TargetMode="External"/><Relationship Id="rId3967" Type="http://schemas.openxmlformats.org/officeDocument/2006/relationships/hyperlink" Target="https://www.google.com/maps/search/?api=1&amp;query=Cedar+Chiropractic+Office%2C+130+26th+St+NW%2C+Owatonna%2C+MN+55060" TargetMode="External"/><Relationship Id="rId4" Type="http://schemas.openxmlformats.org/officeDocument/2006/relationships/hyperlink" Target="https://npiregistry.cms.hhs.gov/provider-view/1043506454" TargetMode="External"/><Relationship Id="rId888" Type="http://schemas.openxmlformats.org/officeDocument/2006/relationships/hyperlink" Target="https://npiregistry.cms.hhs.gov/provider-view/1912129123" TargetMode="External"/><Relationship Id="rId2569" Type="http://schemas.openxmlformats.org/officeDocument/2006/relationships/hyperlink" Target="https://www.google.com/maps/search/?api=1&amp;query=Hickory+Health+Clinic+PLLC%2C+168+Lake+St+S%2C+Forest+Lake%2C+MN+55025" TargetMode="External"/><Relationship Id="rId2776" Type="http://schemas.openxmlformats.org/officeDocument/2006/relationships/hyperlink" Target="https://npiregistry.cms.hhs.gov/provider-view/1073675344" TargetMode="External"/><Relationship Id="rId2983" Type="http://schemas.openxmlformats.org/officeDocument/2006/relationships/hyperlink" Target="https://www.google.com/maps/search/?api=1&amp;query=Melrose+Chiropractic%2C+INC.%2C+109+So.1st.+Ave.+N.%2C+Melrose%2C+MN+56352" TargetMode="External"/><Relationship Id="rId3827" Type="http://schemas.openxmlformats.org/officeDocument/2006/relationships/hyperlink" Target="https://www.google.com/maps/search/?api=1&amp;query=Le+Center+Chiropractic+%26+Sports+Center%2C+36+N+Park+Ave%2C+Le+Center%2C+MN+56057" TargetMode="External"/><Relationship Id="rId748" Type="http://schemas.openxmlformats.org/officeDocument/2006/relationships/hyperlink" Target="https://npiregistry.cms.hhs.gov/provider-view/1841250305" TargetMode="External"/><Relationship Id="rId955" Type="http://schemas.openxmlformats.org/officeDocument/2006/relationships/hyperlink" Target="https://www.google.com/maps/search/?api=1&amp;query=Orthorehab+Specialists%2C+INC%2C+6600+France+Ave+S%2C+Edina%2C+MN+55435" TargetMode="External"/><Relationship Id="rId1378" Type="http://schemas.openxmlformats.org/officeDocument/2006/relationships/hyperlink" Target="https://npiregistry.cms.hhs.gov/provider-view/1487327854" TargetMode="External"/><Relationship Id="rId1585" Type="http://schemas.openxmlformats.org/officeDocument/2006/relationships/hyperlink" Target="https://www.google.com/maps/search/?api=1&amp;query=Trauma+and+Pain+Management+Institute%2C+316+4th+St+NE%2C+Osseo%2C+MN+55369" TargetMode="External"/><Relationship Id="rId1792" Type="http://schemas.openxmlformats.org/officeDocument/2006/relationships/hyperlink" Target="https://npiregistry.cms.hhs.gov/provider-view/1083978894" TargetMode="External"/><Relationship Id="rId2429" Type="http://schemas.openxmlformats.org/officeDocument/2006/relationships/hyperlink" Target="https://www.google.com/maps/search/?api=1&amp;query=A+Step+Ahead+Physical+Therapy+and+Sports+Performance+LLC%2C+4401+Egan+Dr%2C+Savage%2C+MN+55378" TargetMode="External"/><Relationship Id="rId2636" Type="http://schemas.openxmlformats.org/officeDocument/2006/relationships/hyperlink" Target="https://npiregistry.cms.hhs.gov/provider-view/1114460888" TargetMode="External"/><Relationship Id="rId2843" Type="http://schemas.openxmlformats.org/officeDocument/2006/relationships/hyperlink" Target="https://www.google.com/maps/search/?api=1&amp;query=Boone+Family+Chiropractic+and+Wellness%2C+PLC%2C+12630+43rd+St+NE%2C+St.+Michael%2C+MN+55376" TargetMode="External"/><Relationship Id="rId84" Type="http://schemas.openxmlformats.org/officeDocument/2006/relationships/hyperlink" Target="https://npiregistry.cms.hhs.gov/provider-view/1417228214" TargetMode="External"/><Relationship Id="rId608" Type="http://schemas.openxmlformats.org/officeDocument/2006/relationships/hyperlink" Target="https://npiregistry.cms.hhs.gov/provider-view/1821641556" TargetMode="External"/><Relationship Id="rId815" Type="http://schemas.openxmlformats.org/officeDocument/2006/relationships/hyperlink" Target="https://www.google.com/maps/search/?api=1&amp;query=Element+Chiropractic%2C+PA.%2C+6400+Flying+Cloud+Dr%2C+Eden+Prairie%2C+MN+55344" TargetMode="External"/><Relationship Id="rId1238" Type="http://schemas.openxmlformats.org/officeDocument/2006/relationships/hyperlink" Target="https://npiregistry.cms.hhs.gov/provider-view/1992971949" TargetMode="External"/><Relationship Id="rId1445" Type="http://schemas.openxmlformats.org/officeDocument/2006/relationships/hyperlink" Target="https://www.google.com/maps/search/?api=1&amp;query=Step+Ahead+Therapy%2C+1305+E+24th+St%2C+Minneapolis%2C+MN+55404" TargetMode="External"/><Relationship Id="rId1652" Type="http://schemas.openxmlformats.org/officeDocument/2006/relationships/hyperlink" Target="https://npiregistry.cms.hhs.gov/provider-view/1033239488" TargetMode="External"/><Relationship Id="rId1305" Type="http://schemas.openxmlformats.org/officeDocument/2006/relationships/hyperlink" Target="https://www.google.com/maps/search/?api=1&amp;query=Jason+O.+Wallin+Chiropractic%2C+PA%2C+4717+Hiawatha+Ave+So%2C+Minneapolis%2C+MN+55406" TargetMode="External"/><Relationship Id="rId2703" Type="http://schemas.openxmlformats.org/officeDocument/2006/relationships/hyperlink" Target="https://www.google.com/maps/search/?api=1&amp;query=Health+Services+Manangement%2C+7805+Hudson+Rd%2C+Woodbury%2C+MN+55125" TargetMode="External"/><Relationship Id="rId2910" Type="http://schemas.openxmlformats.org/officeDocument/2006/relationships/hyperlink" Target="https://npiregistry.cms.hhs.gov/provider-view/1639571136" TargetMode="External"/><Relationship Id="rId1512" Type="http://schemas.openxmlformats.org/officeDocument/2006/relationships/hyperlink" Target="https://npiregistry.cms.hhs.gov/provider-view/1144559840" TargetMode="External"/><Relationship Id="rId11" Type="http://schemas.openxmlformats.org/officeDocument/2006/relationships/hyperlink" Target="https://www.google.com/maps/search/?api=1&amp;query=Abeler+Chiropractic+Clinic%2C+PA%2C+600+E+Main+St%2C+Anoka%2C+MN+55303" TargetMode="External"/><Relationship Id="rId398" Type="http://schemas.openxmlformats.org/officeDocument/2006/relationships/hyperlink" Target="https://npiregistry.cms.hhs.gov/provider-view/1932110335" TargetMode="External"/><Relationship Id="rId2079" Type="http://schemas.openxmlformats.org/officeDocument/2006/relationships/hyperlink" Target="https://www.google.com/maps/search/?api=1&amp;query=Central+Medical+Wellness+%26+Regeneration%2C+821+Raymond+Ave%2C+St.+Paul%2C+MN+55114" TargetMode="External"/><Relationship Id="rId3477" Type="http://schemas.openxmlformats.org/officeDocument/2006/relationships/hyperlink" Target="https://www.google.com/maps/search/?api=1&amp;query=Achieve+Therapy+LLC%2C+1421+Central+Ave+NW%2C+East+Grand+Forks%2C+MN+56721" TargetMode="External"/><Relationship Id="rId3684" Type="http://schemas.openxmlformats.org/officeDocument/2006/relationships/hyperlink" Target="https://npiregistry.cms.hhs.gov/provider-view/1144253196" TargetMode="External"/><Relationship Id="rId3891" Type="http://schemas.openxmlformats.org/officeDocument/2006/relationships/hyperlink" Target="https://www.google.com/maps/search/?api=1&amp;query=Junge+Family+Chiropractic%2C+PLLC%2C+4164+18th+Ave+NW%2C+Rochester%2C+MN+55901" TargetMode="External"/><Relationship Id="rId2286" Type="http://schemas.openxmlformats.org/officeDocument/2006/relationships/hyperlink" Target="https://npiregistry.cms.hhs.gov/provider-view/1073807251" TargetMode="External"/><Relationship Id="rId2493" Type="http://schemas.openxmlformats.org/officeDocument/2006/relationships/hyperlink" Target="https://www.google.com/maps/search/?api=1&amp;query=Spicer+Chiropractic+PA%2C+1954+Saint+Francis+Ave%2C+Shakopee%2C+MN+55379" TargetMode="External"/><Relationship Id="rId3337" Type="http://schemas.openxmlformats.org/officeDocument/2006/relationships/hyperlink" Target="https://www.google.com/maps/search/?api=1&amp;query=Align+Chiropractic+%26+Wellness+Center%2C+PLLC%2C+1322+3rd+St%2C+International+Falls%2C+MN+56649" TargetMode="External"/><Relationship Id="rId3544" Type="http://schemas.openxmlformats.org/officeDocument/2006/relationships/hyperlink" Target="https://npiregistry.cms.hhs.gov/provider-view/1811184336" TargetMode="External"/><Relationship Id="rId3751" Type="http://schemas.openxmlformats.org/officeDocument/2006/relationships/hyperlink" Target="https://www.google.com/maps/search/?api=1&amp;query=Restore+Chiropractic+and+Wellness+LLC%2C+215+3rd+St%2C+Gaylord%2C+MN+55334" TargetMode="External"/><Relationship Id="rId258" Type="http://schemas.openxmlformats.org/officeDocument/2006/relationships/hyperlink" Target="https://npiregistry.cms.hhs.gov/provider-view/1366516767" TargetMode="External"/><Relationship Id="rId465" Type="http://schemas.openxmlformats.org/officeDocument/2006/relationships/hyperlink" Target="https://www.google.com/maps/search/?api=1&amp;query=Sports+Orthopedic+Advanced+Rehabilitation%2C+LLC%2C+4660+Slater+Rd%2C+Eagan%2C+MN+55122" TargetMode="External"/><Relationship Id="rId672" Type="http://schemas.openxmlformats.org/officeDocument/2006/relationships/hyperlink" Target="https://npiregistry.cms.hhs.gov/provider-view/1083933402" TargetMode="External"/><Relationship Id="rId1095" Type="http://schemas.openxmlformats.org/officeDocument/2006/relationships/hyperlink" Target="https://www.google.com/maps/search/?api=1&amp;query=Align+Health+%26+Wellness+PA%2C+1850+W+Wayzata+Blvd%2C+Long+Lake%2C+MN+55356" TargetMode="External"/><Relationship Id="rId2146" Type="http://schemas.openxmlformats.org/officeDocument/2006/relationships/hyperlink" Target="https://npiregistry.cms.hhs.gov/provider-view/1689965899" TargetMode="External"/><Relationship Id="rId2353" Type="http://schemas.openxmlformats.org/officeDocument/2006/relationships/hyperlink" Target="https://www.google.com/maps/search/?api=1&amp;query=For+Your+Well+Being+Chiropractic%2C+S.c.%2C+2479+County+Road+E+E%2C+White+Bear+Lake%2C+MN+55110" TargetMode="External"/><Relationship Id="rId2560" Type="http://schemas.openxmlformats.org/officeDocument/2006/relationships/hyperlink" Target="https://npiregistry.cms.hhs.gov/provider-view/1710222088" TargetMode="External"/><Relationship Id="rId3404" Type="http://schemas.openxmlformats.org/officeDocument/2006/relationships/hyperlink" Target="https://npiregistry.cms.hhs.gov/provider-view/1588837884" TargetMode="External"/><Relationship Id="rId3611" Type="http://schemas.openxmlformats.org/officeDocument/2006/relationships/hyperlink" Target="https://www.google.com/maps/search/?api=1&amp;query=Perham+Health%2C+1000+Coney+St+W%2C+Perham%2C+MN+56573" TargetMode="External"/><Relationship Id="rId118" Type="http://schemas.openxmlformats.org/officeDocument/2006/relationships/hyperlink" Target="https://npiregistry.cms.hhs.gov/provider-view/1437271129" TargetMode="External"/><Relationship Id="rId325" Type="http://schemas.openxmlformats.org/officeDocument/2006/relationships/hyperlink" Target="https://www.google.com/maps/search/?api=1&amp;query=Taffe+Chiropractic%2C+PA.%2C+14135+Cedar+Ave%2C+Apple+Valley%2C+MN+55124" TargetMode="External"/><Relationship Id="rId532" Type="http://schemas.openxmlformats.org/officeDocument/2006/relationships/hyperlink" Target="https://npiregistry.cms.hhs.gov/provider-view/1912156795" TargetMode="External"/><Relationship Id="rId1162" Type="http://schemas.openxmlformats.org/officeDocument/2006/relationships/hyperlink" Target="https://npiregistry.cms.hhs.gov/provider-view/1043313828" TargetMode="External"/><Relationship Id="rId2006" Type="http://schemas.openxmlformats.org/officeDocument/2006/relationships/hyperlink" Target="https://npiregistry.cms.hhs.gov/provider-view/1093106122" TargetMode="External"/><Relationship Id="rId2213" Type="http://schemas.openxmlformats.org/officeDocument/2006/relationships/hyperlink" Target="https://www.google.com/maps/search/?api=1&amp;query=Novacare+Rehabilitation%2C+652+Transfer+Rd%2C+St.+Paul%2C+MN+55114" TargetMode="External"/><Relationship Id="rId2420" Type="http://schemas.openxmlformats.org/officeDocument/2006/relationships/hyperlink" Target="https://npiregistry.cms.hhs.gov/provider-view/1891901609" TargetMode="External"/><Relationship Id="rId1022" Type="http://schemas.openxmlformats.org/officeDocument/2006/relationships/hyperlink" Target="https://npiregistry.cms.hhs.gov/provider-view/1962690784" TargetMode="External"/><Relationship Id="rId1979" Type="http://schemas.openxmlformats.org/officeDocument/2006/relationships/hyperlink" Target="https://www.google.com/maps/search/?api=1&amp;query=Out+and+About+Chiropractic+PLLC%2C+1484+Clarmar+Ave+W%2C+Roseville%2C+MN+55113" TargetMode="External"/><Relationship Id="rId3194" Type="http://schemas.openxmlformats.org/officeDocument/2006/relationships/hyperlink" Target="https://npiregistry.cms.hhs.gov/provider-view/1598921751" TargetMode="External"/><Relationship Id="rId4038" Type="http://schemas.openxmlformats.org/officeDocument/2006/relationships/hyperlink" Target="https://npiregistry.cms.hhs.gov/provider-view/1861713059" TargetMode="External"/><Relationship Id="rId1839" Type="http://schemas.openxmlformats.org/officeDocument/2006/relationships/hyperlink" Target="https://www.google.com/maps/search/?api=1&amp;query=Maverick+Chiropractic%2C+1133+Wayzata+Blvd+E%2C+Wayzata%2C+MN+55391" TargetMode="External"/><Relationship Id="rId3054" Type="http://schemas.openxmlformats.org/officeDocument/2006/relationships/hyperlink" Target="https://npiregistry.cms.hhs.gov/provider-view/1346712312" TargetMode="External"/><Relationship Id="rId182" Type="http://schemas.openxmlformats.org/officeDocument/2006/relationships/hyperlink" Target="https://npiregistry.cms.hhs.gov/provider-view/1578041471" TargetMode="External"/><Relationship Id="rId1906" Type="http://schemas.openxmlformats.org/officeDocument/2006/relationships/hyperlink" Target="https://npiregistry.cms.hhs.gov/provider-view/1497747182" TargetMode="External"/><Relationship Id="rId3261" Type="http://schemas.openxmlformats.org/officeDocument/2006/relationships/hyperlink" Target="https://www.google.com/maps/search/?api=1&amp;query=Cuyuna+Family+Chiropractic%2C+5+W+Main+St%2C+Crosby%2C+MN+56441" TargetMode="External"/><Relationship Id="rId4105" Type="http://schemas.openxmlformats.org/officeDocument/2006/relationships/hyperlink" Target="https://www.google.com/maps/search/?api=1&amp;query=Cedar+Chiropractic+Services%2C+PA.%2C+921+4th+Ave%2C+Worthington%2C+MN+56187" TargetMode="External"/><Relationship Id="rId2070" Type="http://schemas.openxmlformats.org/officeDocument/2006/relationships/hyperlink" Target="https://npiregistry.cms.hhs.gov/provider-view/1326259318" TargetMode="External"/><Relationship Id="rId3121" Type="http://schemas.openxmlformats.org/officeDocument/2006/relationships/hyperlink" Target="https://www.google.com/maps/search/?api=1&amp;query=Achieve+Therapy%2C+829+Lake+Ave%2C+Detroit+Lakes%2C+MN+56501" TargetMode="External"/><Relationship Id="rId999" Type="http://schemas.openxmlformats.org/officeDocument/2006/relationships/hyperlink" Target="https://www.google.com/maps/search/?api=1&amp;query=Empower+Chiropractic+and+Wellness+Center+PLLC.%2C+373+George+St%2C+Excelsior%2C+MN+55331" TargetMode="External"/><Relationship Id="rId2887" Type="http://schemas.openxmlformats.org/officeDocument/2006/relationships/hyperlink" Target="https://www.google.com/maps/search/?api=1&amp;query=Beeler+Chiropractic+Clinic%2C+903+Highway+15+S%2C+Hutchinson%2C+MN+55350" TargetMode="External"/><Relationship Id="rId859" Type="http://schemas.openxmlformats.org/officeDocument/2006/relationships/hyperlink" Target="https://www.google.com/maps/search/?api=1&amp;query=Steven+D.+Moe%2C+INC.%2C+6805+Flying+Cloud+Drive%2C+Eden+Prairie%2C+MN+55344" TargetMode="External"/><Relationship Id="rId1489" Type="http://schemas.openxmlformats.org/officeDocument/2006/relationships/hyperlink" Target="https://www.google.com/maps/search/?api=1&amp;query=Accel+and+Be+Well+Chiropractic+%26+Acupuncture+LLC%2C+10501+Wayzata+Blvd%2C+Minnetonka%2C+MN+55305" TargetMode="External"/><Relationship Id="rId1696" Type="http://schemas.openxmlformats.org/officeDocument/2006/relationships/hyperlink" Target="https://npiregistry.cms.hhs.gov/provider-view/1093086696" TargetMode="External"/><Relationship Id="rId3938" Type="http://schemas.openxmlformats.org/officeDocument/2006/relationships/hyperlink" Target="https://npiregistry.cms.hhs.gov/provider-view/1023209541" TargetMode="External"/><Relationship Id="rId1349" Type="http://schemas.openxmlformats.org/officeDocument/2006/relationships/hyperlink" Target="https://www.google.com/maps/search/?api=1&amp;query=Metrocenter+Chiropractic+PA%2C+825+Nicollet+Mall%2C+Minneapolis%2C+MN+55402" TargetMode="External"/><Relationship Id="rId2747" Type="http://schemas.openxmlformats.org/officeDocument/2006/relationships/hyperlink" Target="https://www.google.com/maps/search/?api=1&amp;query=Twin+Cities+Pain+Clinic%2C+683+Bielenberg+Dr%2C+Woodbury%2C+MN+55125" TargetMode="External"/><Relationship Id="rId2954" Type="http://schemas.openxmlformats.org/officeDocument/2006/relationships/hyperlink" Target="https://npiregistry.cms.hhs.gov/provider-view/1952591307" TargetMode="External"/><Relationship Id="rId719" Type="http://schemas.openxmlformats.org/officeDocument/2006/relationships/hyperlink" Target="https://www.google.com/maps/search/?api=1&amp;query=Globa+Chiropractic%2C+PA.%2C+9580+Noble+Parkway+North%2C+Brooklyn+Park%2C+MN+55443" TargetMode="External"/><Relationship Id="rId926" Type="http://schemas.openxmlformats.org/officeDocument/2006/relationships/hyperlink" Target="https://npiregistry.cms.hhs.gov/provider-view/1598768228" TargetMode="External"/><Relationship Id="rId1556" Type="http://schemas.openxmlformats.org/officeDocument/2006/relationships/hyperlink" Target="https://npiregistry.cms.hhs.gov/provider-view/1033455043" TargetMode="External"/><Relationship Id="rId1763" Type="http://schemas.openxmlformats.org/officeDocument/2006/relationships/hyperlink" Target="https://www.google.com/maps/search/?api=1&amp;query=Family+Tree+Chiropractic+Clinic%2C+6311+Wayzata+Blvd%2C+St.+Louis+Park%2C+MN+55416" TargetMode="External"/><Relationship Id="rId1970" Type="http://schemas.openxmlformats.org/officeDocument/2006/relationships/hyperlink" Target="https://npiregistry.cms.hhs.gov/provider-view/1952731895" TargetMode="External"/><Relationship Id="rId2607" Type="http://schemas.openxmlformats.org/officeDocument/2006/relationships/hyperlink" Target="https://www.google.com/maps/search/?api=1&amp;query=Big+Idea+Chiropractic+PLLC%2C+7815+3rd+St+N%2C+Oakdale%2C+MN+55128" TargetMode="External"/><Relationship Id="rId2814" Type="http://schemas.openxmlformats.org/officeDocument/2006/relationships/hyperlink" Target="https://npiregistry.cms.hhs.gov/provider-view/1346542842" TargetMode="External"/><Relationship Id="rId55" Type="http://schemas.openxmlformats.org/officeDocument/2006/relationships/hyperlink" Target="https://www.google.com/maps/search/?api=1&amp;query=Healthsource+of+Blaine+Chiropractic+%26+Progressive+Rehab%2C+10904+Baltimore+St+NE%2C+Blaine%2C+MN+55449" TargetMode="External"/><Relationship Id="rId1209" Type="http://schemas.openxmlformats.org/officeDocument/2006/relationships/hyperlink" Target="https://www.google.com/maps/search/?api=1&amp;query=Bomberg+Chiropractic%2C+LLC%2C+9800+Shelard+Pkwy%2C+Minneapolis%2C+MN+55441" TargetMode="External"/><Relationship Id="rId1416" Type="http://schemas.openxmlformats.org/officeDocument/2006/relationships/hyperlink" Target="https://npiregistry.cms.hhs.gov/provider-view/1548615131" TargetMode="External"/><Relationship Id="rId1623" Type="http://schemas.openxmlformats.org/officeDocument/2006/relationships/hyperlink" Target="https://www.google.com/maps/search/?api=1&amp;query=Lighthouse+Chiropractic%2C+PA%2C+10700+Highway+55%2C+Plymouth%2C+MN+55441" TargetMode="External"/><Relationship Id="rId1830" Type="http://schemas.openxmlformats.org/officeDocument/2006/relationships/hyperlink" Target="https://npiregistry.cms.hhs.gov/provider-view/1750526430" TargetMode="External"/><Relationship Id="rId3588" Type="http://schemas.openxmlformats.org/officeDocument/2006/relationships/hyperlink" Target="https://npiregistry.cms.hhs.gov/provider-view/1730455122" TargetMode="External"/><Relationship Id="rId3795" Type="http://schemas.openxmlformats.org/officeDocument/2006/relationships/hyperlink" Target="https://www.google.com/maps/search/?api=1&amp;query=Dr.+Kroll%27s+Health+Solutions%2C+305+Bush+St%2C+Red+Wing%2C+MN+55066" TargetMode="External"/><Relationship Id="rId2397" Type="http://schemas.openxmlformats.org/officeDocument/2006/relationships/hyperlink" Target="https://www.google.com/maps/search/?api=1&amp;query=Reiner+Chiropractic+Clinic+PA%2C+201+Main+St+E%2C+New+Prague%2C+MN+56071" TargetMode="External"/><Relationship Id="rId3448" Type="http://schemas.openxmlformats.org/officeDocument/2006/relationships/hyperlink" Target="https://npiregistry.cms.hhs.gov/provider-view/1720338676" TargetMode="External"/><Relationship Id="rId3655" Type="http://schemas.openxmlformats.org/officeDocument/2006/relationships/hyperlink" Target="https://www.google.com/maps/search/?api=1&amp;query=Kato+Physical+Medicine%2C+LLC%2C+800+South+Front+Street%2C+Mankato%2C+MN+56001" TargetMode="External"/><Relationship Id="rId3862" Type="http://schemas.openxmlformats.org/officeDocument/2006/relationships/hyperlink" Target="https://npiregistry.cms.hhs.gov/provider-view/1366450363" TargetMode="External"/><Relationship Id="rId369" Type="http://schemas.openxmlformats.org/officeDocument/2006/relationships/hyperlink" Target="https://www.google.com/maps/search/?api=1&amp;query=Northern+Life+Wellness%2C+13955+W+Preserve+Blvd%2C+Burnsville%2C+MN+55337" TargetMode="External"/><Relationship Id="rId576" Type="http://schemas.openxmlformats.org/officeDocument/2006/relationships/hyperlink" Target="https://npiregistry.cms.hhs.gov/provider-view/1356647382" TargetMode="External"/><Relationship Id="rId783" Type="http://schemas.openxmlformats.org/officeDocument/2006/relationships/hyperlink" Target="https://www.google.com/maps/search/?api=1&amp;query=Bass+Lake+Chiropractic+Clinic%2C+PA.%2C+5640+W+Broadway+Ave%2C+Crystal%2C+MN+55428" TargetMode="External"/><Relationship Id="rId990" Type="http://schemas.openxmlformats.org/officeDocument/2006/relationships/hyperlink" Target="https://npiregistry.cms.hhs.gov/provider-view/1992216295" TargetMode="External"/><Relationship Id="rId2257" Type="http://schemas.openxmlformats.org/officeDocument/2006/relationships/hyperlink" Target="https://www.google.com/maps/search/?api=1&amp;query=Spinal+Wellness+Center+INC.%2C+2574+Rice+St%2C+St.+Paul%2C+MN+55113" TargetMode="External"/><Relationship Id="rId2464" Type="http://schemas.openxmlformats.org/officeDocument/2006/relationships/hyperlink" Target="https://npiregistry.cms.hhs.gov/provider-view/1508324260" TargetMode="External"/><Relationship Id="rId2671" Type="http://schemas.openxmlformats.org/officeDocument/2006/relationships/hyperlink" Target="https://www.google.com/maps/search/?api=1&amp;query=Socialvite%2C+INC%2C+105+New+England+Pl%2C+Stillwater%2C+MN+55082" TargetMode="External"/><Relationship Id="rId3308" Type="http://schemas.openxmlformats.org/officeDocument/2006/relationships/hyperlink" Target="https://npiregistry.cms.hhs.gov/provider-view/1457491862" TargetMode="External"/><Relationship Id="rId3515" Type="http://schemas.openxmlformats.org/officeDocument/2006/relationships/hyperlink" Target="https://www.google.com/maps/search/?api=1&amp;query=Horizon+Therapy%2C+INC%2C+3200+28th+St+S%2C+Moorhead%2C+MN+56560" TargetMode="External"/><Relationship Id="rId229" Type="http://schemas.openxmlformats.org/officeDocument/2006/relationships/hyperlink" Target="https://www.google.com/maps/search/?api=1&amp;query=Schmidt+Chiropractic+Center+P.+A.%2C+320+Hill+Street%2C+Norwood+Young+America%2C+MN+55368" TargetMode="External"/><Relationship Id="rId436" Type="http://schemas.openxmlformats.org/officeDocument/2006/relationships/hyperlink" Target="https://npiregistry.cms.hhs.gov/provider-view/1639373319" TargetMode="External"/><Relationship Id="rId643" Type="http://schemas.openxmlformats.org/officeDocument/2006/relationships/hyperlink" Target="https://www.google.com/maps/search/?api=1&amp;query=Institute+For+Low+Back+%26+Neck+Care%2C+3001+Metro+Dr%2C+Bloomington%2C+MN+55425" TargetMode="External"/><Relationship Id="rId1066" Type="http://schemas.openxmlformats.org/officeDocument/2006/relationships/hyperlink" Target="https://npiregistry.cms.hhs.gov/provider-view/1407427610" TargetMode="External"/><Relationship Id="rId1273" Type="http://schemas.openxmlformats.org/officeDocument/2006/relationships/hyperlink" Target="https://www.google.com/maps/search/?api=1&amp;query=Greenway+Chiropractic%2C+811+Lasalle+Ave%2C+Minneapolis%2C+MN+55402" TargetMode="External"/><Relationship Id="rId1480" Type="http://schemas.openxmlformats.org/officeDocument/2006/relationships/hyperlink" Target="https://npiregistry.cms.hhs.gov/provider-view/1902969397" TargetMode="External"/><Relationship Id="rId2117" Type="http://schemas.openxmlformats.org/officeDocument/2006/relationships/hyperlink" Target="https://www.google.com/maps/search/?api=1&amp;query=Don+Habermas-Scher%2C+DC.%2C+PA.%2C+970+Raymond+Ave%2C+St.+Paul%2C+MN+55114" TargetMode="External"/><Relationship Id="rId2324" Type="http://schemas.openxmlformats.org/officeDocument/2006/relationships/hyperlink" Target="https://npiregistry.cms.hhs.gov/provider-view/1669863395" TargetMode="External"/><Relationship Id="rId3722" Type="http://schemas.openxmlformats.org/officeDocument/2006/relationships/hyperlink" Target="https://npiregistry.cms.hhs.gov/provider-view/1194090514" TargetMode="External"/><Relationship Id="rId850" Type="http://schemas.openxmlformats.org/officeDocument/2006/relationships/hyperlink" Target="https://npiregistry.cms.hhs.gov/provider-view/1376211540" TargetMode="External"/><Relationship Id="rId1133" Type="http://schemas.openxmlformats.org/officeDocument/2006/relationships/hyperlink" Target="https://www.google.com/maps/search/?api=1&amp;query=Maple+Grove+Chiropractic%2C+13800+83rd+Way+N%2C+Maple+Grove%2C+MN+55369" TargetMode="External"/><Relationship Id="rId2531" Type="http://schemas.openxmlformats.org/officeDocument/2006/relationships/hyperlink" Target="https://www.google.com/maps/search/?api=1&amp;query=Belde+Family+Chiropractic+PC.%2C+26144+3rd+St+E%2C+Zimmerman%2C+MN+55398" TargetMode="External"/><Relationship Id="rId503" Type="http://schemas.openxmlformats.org/officeDocument/2006/relationships/hyperlink" Target="https://www.google.com/maps/search/?api=1&amp;query=Life+Imaging%2C+PA%2C+2125+Upper+55th+St+E%2C+Inver+Grove+Heights%2C+MN+55077" TargetMode="External"/><Relationship Id="rId710" Type="http://schemas.openxmlformats.org/officeDocument/2006/relationships/hyperlink" Target="https://npiregistry.cms.hhs.gov/provider-view/1174974786" TargetMode="External"/><Relationship Id="rId1340" Type="http://schemas.openxmlformats.org/officeDocument/2006/relationships/hyperlink" Target="https://npiregistry.cms.hhs.gov/provider-view/1033243167" TargetMode="External"/><Relationship Id="rId3098" Type="http://schemas.openxmlformats.org/officeDocument/2006/relationships/hyperlink" Target="https://npiregistry.cms.hhs.gov/provider-view/1336417807" TargetMode="External"/><Relationship Id="rId1200" Type="http://schemas.openxmlformats.org/officeDocument/2006/relationships/hyperlink" Target="https://npiregistry.cms.hhs.gov/provider-view/1912299405" TargetMode="External"/><Relationship Id="rId4149" Type="http://schemas.openxmlformats.org/officeDocument/2006/relationships/hyperlink" Target="https://www.google.com/maps/search/?api=1&amp;query=Rock+County+Chiropractic%2C+103+E+Main+St%2C+Luverne%2C+MN+56156" TargetMode="External"/><Relationship Id="rId3165" Type="http://schemas.openxmlformats.org/officeDocument/2006/relationships/hyperlink" Target="https://www.google.com/maps/search/?api=1&amp;query=Light+Mountain+Healthworks+INC.%2C+502+Hidden+Trail+Ct+SW%2C+Bemidji%2C+MN+56601" TargetMode="External"/><Relationship Id="rId3372" Type="http://schemas.openxmlformats.org/officeDocument/2006/relationships/hyperlink" Target="https://npiregistry.cms.hhs.gov/provider-view/1912121708" TargetMode="External"/><Relationship Id="rId4009" Type="http://schemas.openxmlformats.org/officeDocument/2006/relationships/hyperlink" Target="https://www.google.com/maps/search/?api=1&amp;query=Champion+Family+Chiropractic+PSC%2C+1213+Gilmore+Ave%2C+Winona%2C+MN+55987" TargetMode="External"/><Relationship Id="rId293" Type="http://schemas.openxmlformats.org/officeDocument/2006/relationships/hyperlink" Target="https://www.google.com/maps/search/?api=1&amp;query=Cedar+South+Chiropractic%2C+PA.%2C+14135+Cedar+Ave%2C+Apple+Valley%2C+MN+55124" TargetMode="External"/><Relationship Id="rId2181" Type="http://schemas.openxmlformats.org/officeDocument/2006/relationships/hyperlink" Target="https://www.google.com/maps/search/?api=1&amp;query=Lymphedema%26physical+Medicine+Services+PA%2C+17+Exchange+St+W%2C+St.+Paul%2C+MN+55102" TargetMode="External"/><Relationship Id="rId3025" Type="http://schemas.openxmlformats.org/officeDocument/2006/relationships/hyperlink" Target="https://www.google.com/maps/search/?api=1&amp;query=Advanced+Chiropractic%2C+857+Main+St+S%2C+Sauk+Centre%2C+MN+56378" TargetMode="External"/><Relationship Id="rId3232" Type="http://schemas.openxmlformats.org/officeDocument/2006/relationships/hyperlink" Target="https://npiregistry.cms.hhs.gov/provider-view/1629474713" TargetMode="External"/><Relationship Id="rId153" Type="http://schemas.openxmlformats.org/officeDocument/2006/relationships/hyperlink" Target="https://www.google.com/maps/search/?api=1&amp;query=Joy+Chiropractic%2C+4550+Central+Ave+NE%2C+Minneapolis%2C+MN+55421" TargetMode="External"/><Relationship Id="rId360" Type="http://schemas.openxmlformats.org/officeDocument/2006/relationships/hyperlink" Target="https://npiregistry.cms.hhs.gov/provider-view/1598859381" TargetMode="External"/><Relationship Id="rId2041" Type="http://schemas.openxmlformats.org/officeDocument/2006/relationships/hyperlink" Target="https://www.google.com/maps/search/?api=1&amp;query=Align+Chiromedical+Clinic%2C+PA.%2C+33+Hamline+Ave+S%2C+St.+Paul%2C+MN+55105" TargetMode="External"/><Relationship Id="rId220" Type="http://schemas.openxmlformats.org/officeDocument/2006/relationships/hyperlink" Target="https://npiregistry.cms.hhs.gov/provider-view/1497090963" TargetMode="External"/><Relationship Id="rId2998" Type="http://schemas.openxmlformats.org/officeDocument/2006/relationships/hyperlink" Target="https://npiregistry.cms.hhs.gov/provider-view/1306420245" TargetMode="External"/><Relationship Id="rId2858" Type="http://schemas.openxmlformats.org/officeDocument/2006/relationships/hyperlink" Target="https://npiregistry.cms.hhs.gov/provider-view/1184611899" TargetMode="External"/><Relationship Id="rId3909" Type="http://schemas.openxmlformats.org/officeDocument/2006/relationships/hyperlink" Target="https://www.google.com/maps/search/?api=1&amp;query=Southwest+Chiropractic+and+Rehabilitation+Services%2C+PA%2C+2215+2nd+St+SW%2C+Rochester%2C+MN+55902" TargetMode="External"/><Relationship Id="rId4073" Type="http://schemas.openxmlformats.org/officeDocument/2006/relationships/hyperlink" Target="https://www.google.com/maps/search/?api=1&amp;query=Madison+Chiropractic+Center+PC%2C+508+W+4th+St%2C+Madison%2C+MN+56256" TargetMode="External"/><Relationship Id="rId99" Type="http://schemas.openxmlformats.org/officeDocument/2006/relationships/hyperlink" Target="https://www.google.com/maps/search/?api=1&amp;query=Nolte+Health+and+Healing%2C+199+Coon+Rapids+Blvd+NW%2C+Coon+Rapids%2C+MN+55433" TargetMode="External"/><Relationship Id="rId1667" Type="http://schemas.openxmlformats.org/officeDocument/2006/relationships/hyperlink" Target="https://www.google.com/maps/search/?api=1&amp;query=Healing+Chiropractic+Clinic%2C+6715+Nicollet+Ave%2C+Richfield%2C+MN+55423" TargetMode="External"/><Relationship Id="rId1874" Type="http://schemas.openxmlformats.org/officeDocument/2006/relationships/hyperlink" Target="https://npiregistry.cms.hhs.gov/provider-view/1649489493" TargetMode="External"/><Relationship Id="rId2718" Type="http://schemas.openxmlformats.org/officeDocument/2006/relationships/hyperlink" Target="https://npiregistry.cms.hhs.gov/provider-view/1073819918" TargetMode="External"/><Relationship Id="rId2925" Type="http://schemas.openxmlformats.org/officeDocument/2006/relationships/hyperlink" Target="https://www.google.com/maps/search/?api=1&amp;query=Mille+Lacs+Health+System%2C+200+Elm+St+N%2C+Onamia%2C+MN+56359" TargetMode="External"/><Relationship Id="rId1527" Type="http://schemas.openxmlformats.org/officeDocument/2006/relationships/hyperlink" Target="https://www.google.com/maps/search/?api=1&amp;query=Janice+A+Suppes%2C+DC%2C+5757+Sanibel+Dr%2C+Minnetonka%2C+MN+55343" TargetMode="External"/><Relationship Id="rId1734" Type="http://schemas.openxmlformats.org/officeDocument/2006/relationships/hyperlink" Target="https://npiregistry.cms.hhs.gov/provider-view/1306041066" TargetMode="External"/><Relationship Id="rId1941" Type="http://schemas.openxmlformats.org/officeDocument/2006/relationships/hyperlink" Target="https://www.google.com/maps/search/?api=1&amp;query=Prime+Chiropractic+%26+Rehab+Center%2C+200+Village+Center+Dr%2C+North+Oaks%2C+MN+55127" TargetMode="External"/><Relationship Id="rId4140" Type="http://schemas.openxmlformats.org/officeDocument/2006/relationships/hyperlink" Target="https://npiregistry.cms.hhs.gov/provider-view/1609997006" TargetMode="External"/><Relationship Id="rId26" Type="http://schemas.openxmlformats.org/officeDocument/2006/relationships/hyperlink" Target="https://npiregistry.cms.hhs.gov/provider-view/1336512920" TargetMode="External"/><Relationship Id="rId3699" Type="http://schemas.openxmlformats.org/officeDocument/2006/relationships/hyperlink" Target="https://www.google.com/maps/search/?api=1&amp;query=Hedman+Chiropractic+Center+LLC%2C+307+9th+St%2C+Windom%2C+MN+56101" TargetMode="External"/><Relationship Id="rId4000" Type="http://schemas.openxmlformats.org/officeDocument/2006/relationships/hyperlink" Target="https://npiregistry.cms.hhs.gov/provider-view/1841497146" TargetMode="External"/><Relationship Id="rId1801" Type="http://schemas.openxmlformats.org/officeDocument/2006/relationships/hyperlink" Target="https://www.google.com/maps/search/?api=1&amp;query=Revolution+Performance+Physical+Therapy%2C+4906+W+35th+St%2C+St.+Louis+Park%2C+MN+55416" TargetMode="External"/><Relationship Id="rId3559" Type="http://schemas.openxmlformats.org/officeDocument/2006/relationships/hyperlink" Target="https://www.google.com/maps/search/?api=1&amp;query=Pfeffer+Chiropractic+and+Concussion+Clinic+PA%2C+108+15th+Ave+E%2C+Alexandria%2C+MN+56308" TargetMode="External"/><Relationship Id="rId687" Type="http://schemas.openxmlformats.org/officeDocument/2006/relationships/hyperlink" Target="https://www.google.com/maps/search/?api=1&amp;query=Community+Care+Chiropractic+%40+Rehab+Center%2C+LLC%2C+2781+Freeway+Blvd%2C+Brooklyn+Center%2C+MN+55430" TargetMode="External"/><Relationship Id="rId2368" Type="http://schemas.openxmlformats.org/officeDocument/2006/relationships/hyperlink" Target="https://npiregistry.cms.hhs.gov/provider-view/1205144722" TargetMode="External"/><Relationship Id="rId3766" Type="http://schemas.openxmlformats.org/officeDocument/2006/relationships/hyperlink" Target="https://npiregistry.cms.hhs.gov/provider-view/1861619744" TargetMode="External"/><Relationship Id="rId3973" Type="http://schemas.openxmlformats.org/officeDocument/2006/relationships/hyperlink" Target="https://www.google.com/maps/search/?api=1&amp;query=Dow+Chiropractic%2C+INC.%2C+152+E+Pearl+St%2C+Owatonna%2C+MN+55060" TargetMode="External"/><Relationship Id="rId894" Type="http://schemas.openxmlformats.org/officeDocument/2006/relationships/hyperlink" Target="https://npiregistry.cms.hhs.gov/provider-view/1578799870" TargetMode="External"/><Relationship Id="rId1177" Type="http://schemas.openxmlformats.org/officeDocument/2006/relationships/hyperlink" Target="https://www.google.com/maps/search/?api=1&amp;query=A+A+Meyer+Chiropractic+PA%2C+125+Main+St+SE%2C+Minneapolis%2C+MN+55414" TargetMode="External"/><Relationship Id="rId2575" Type="http://schemas.openxmlformats.org/officeDocument/2006/relationships/hyperlink" Target="https://www.google.com/maps/search/?api=1&amp;query=Persistence+Physical+Therapy+LLC%2C+2009+W+Broadway+Ave%2C+Forest+Lake%2C+MN+55025" TargetMode="External"/><Relationship Id="rId2782" Type="http://schemas.openxmlformats.org/officeDocument/2006/relationships/hyperlink" Target="https://npiregistry.cms.hhs.gov/provider-view/1881208981" TargetMode="External"/><Relationship Id="rId3419" Type="http://schemas.openxmlformats.org/officeDocument/2006/relationships/hyperlink" Target="https://www.google.com/maps/search/?api=1&amp;query=Viverant%2C+LLC%2C+1029+W+Central+Entrance%2C+Duluth%2C+MN+55811" TargetMode="External"/><Relationship Id="rId3626" Type="http://schemas.openxmlformats.org/officeDocument/2006/relationships/hyperlink" Target="https://npiregistry.cms.hhs.gov/provider-view/1811923535" TargetMode="External"/><Relationship Id="rId3833" Type="http://schemas.openxmlformats.org/officeDocument/2006/relationships/hyperlink" Target="https://www.google.com/maps/search/?api=1&amp;query=Chiropractic+Health+Center+of+Lesueur+PA%2C+211+S+Main+St%2C+Le+Sueur%2C+MN+56058" TargetMode="External"/><Relationship Id="rId547" Type="http://schemas.openxmlformats.org/officeDocument/2006/relationships/hyperlink" Target="https://www.google.com/maps/search/?api=1&amp;query=Olson+Family+Chiropractic%2C+17502+Dodd+Blvd%2C+Lakeville%2C+MN+55044" TargetMode="External"/><Relationship Id="rId754" Type="http://schemas.openxmlformats.org/officeDocument/2006/relationships/hyperlink" Target="https://npiregistry.cms.hhs.gov/provider-view/1013192640" TargetMode="External"/><Relationship Id="rId961" Type="http://schemas.openxmlformats.org/officeDocument/2006/relationships/hyperlink" Target="https://www.google.com/maps/search/?api=1&amp;query=Pearson+Chiropractic+Clinic%2C+4444+W+76th+St%2C+Edina%2C+MN+55435" TargetMode="External"/><Relationship Id="rId1384" Type="http://schemas.openxmlformats.org/officeDocument/2006/relationships/hyperlink" Target="https://npiregistry.cms.hhs.gov/provider-view/1699849042" TargetMode="External"/><Relationship Id="rId1591" Type="http://schemas.openxmlformats.org/officeDocument/2006/relationships/hyperlink" Target="https://www.google.com/maps/search/?api=1&amp;query=Active+Family+Chiropractic%2C+3390+Annapolis+Ln+N%2C+Plymouth%2C+MN+55447" TargetMode="External"/><Relationship Id="rId2228" Type="http://schemas.openxmlformats.org/officeDocument/2006/relationships/hyperlink" Target="https://npiregistry.cms.hhs.gov/provider-view/1265830145" TargetMode="External"/><Relationship Id="rId2435" Type="http://schemas.openxmlformats.org/officeDocument/2006/relationships/hyperlink" Target="https://www.google.com/maps/search/?api=1&amp;query=Arne+J.+Benson%2C+DC.%2C+PA.%2C+13677+Lynn+Cir%2C+Savage%2C+MN+55378" TargetMode="External"/><Relationship Id="rId2642" Type="http://schemas.openxmlformats.org/officeDocument/2006/relationships/hyperlink" Target="https://npiregistry.cms.hhs.gov/provider-view/1902212442" TargetMode="External"/><Relationship Id="rId3900" Type="http://schemas.openxmlformats.org/officeDocument/2006/relationships/hyperlink" Target="https://npiregistry.cms.hhs.gov/provider-view/1962667006" TargetMode="External"/><Relationship Id="rId90" Type="http://schemas.openxmlformats.org/officeDocument/2006/relationships/hyperlink" Target="https://npiregistry.cms.hhs.gov/provider-view/1205115912" TargetMode="External"/><Relationship Id="rId407" Type="http://schemas.openxmlformats.org/officeDocument/2006/relationships/hyperlink" Target="https://www.google.com/maps/search/?api=1&amp;query=Better+Health+Chiropractic+LLC%2C+2020+Silver+Bell+Rd%2C+Eagan%2C+MN+55122" TargetMode="External"/><Relationship Id="rId614" Type="http://schemas.openxmlformats.org/officeDocument/2006/relationships/hyperlink" Target="https://npiregistry.cms.hhs.gov/provider-view/1568696672" TargetMode="External"/><Relationship Id="rId821" Type="http://schemas.openxmlformats.org/officeDocument/2006/relationships/hyperlink" Target="https://www.google.com/maps/search/?api=1&amp;query=Healthsource+of+Eden+Prairie%2C+PLLC%2C+7920+Mitchell+Rd%2C+Eden+Prairie%2C+MN+55344" TargetMode="External"/><Relationship Id="rId1037" Type="http://schemas.openxmlformats.org/officeDocument/2006/relationships/hyperlink" Target="https://www.google.com/maps/search/?api=1&amp;query=Integrative+Health+Care+Services%2C+LLC%2C+820+Lilac+Dr+N%2C+Golden+Valley%2C+MN+55422" TargetMode="External"/><Relationship Id="rId1244" Type="http://schemas.openxmlformats.org/officeDocument/2006/relationships/hyperlink" Target="https://npiregistry.cms.hhs.gov/provider-view/1700499308" TargetMode="External"/><Relationship Id="rId1451" Type="http://schemas.openxmlformats.org/officeDocument/2006/relationships/hyperlink" Target="https://www.google.com/maps/search/?api=1&amp;query=Studio+U%2C+1516+W+Lake+St%2C+Minneapolis%2C+MN+55408" TargetMode="External"/><Relationship Id="rId2502" Type="http://schemas.openxmlformats.org/officeDocument/2006/relationships/hyperlink" Target="https://npiregistry.cms.hhs.gov/provider-view/1982064440" TargetMode="External"/><Relationship Id="rId1104" Type="http://schemas.openxmlformats.org/officeDocument/2006/relationships/hyperlink" Target="https://npiregistry.cms.hhs.gov/provider-view/1699049213" TargetMode="External"/><Relationship Id="rId1311" Type="http://schemas.openxmlformats.org/officeDocument/2006/relationships/hyperlink" Target="https://www.google.com/maps/search/?api=1&amp;query=Kinetic+Chiropractic+%26+Healing+Arts%2C+5415+Nicollet+Ave%2C+Minneapolis%2C+MN+55419" TargetMode="External"/><Relationship Id="rId3069" Type="http://schemas.openxmlformats.org/officeDocument/2006/relationships/hyperlink" Target="https://www.google.com/maps/search/?api=1&amp;query=Pain+%26+Rehabilitation+Clinics+INC%2C+325+33rd+Ave+N%2C+St.+Cloud%2C+MN+56303" TargetMode="External"/><Relationship Id="rId3276" Type="http://schemas.openxmlformats.org/officeDocument/2006/relationships/hyperlink" Target="https://npiregistry.cms.hhs.gov/provider-view/1780851030" TargetMode="External"/><Relationship Id="rId3483" Type="http://schemas.openxmlformats.org/officeDocument/2006/relationships/hyperlink" Target="https://www.google.com/maps/search/?api=1&amp;query=Riverview+Rehab+Services+Fertile%2C+101+S+Mill+St%2C+Fertile%2C+MN+56540" TargetMode="External"/><Relationship Id="rId3690" Type="http://schemas.openxmlformats.org/officeDocument/2006/relationships/hyperlink" Target="https://npiregistry.cms.hhs.gov/provider-view/1407365695" TargetMode="External"/><Relationship Id="rId197" Type="http://schemas.openxmlformats.org/officeDocument/2006/relationships/hyperlink" Target="https://www.google.com/maps/search/?api=1&amp;query=Chaska+Chiropractic+%26+Wellness+PLLC%2C+103+W+2nd+St%2C+Chaska%2C+MN+55318" TargetMode="External"/><Relationship Id="rId2085" Type="http://schemas.openxmlformats.org/officeDocument/2006/relationships/hyperlink" Target="https://www.google.com/maps/search/?api=1&amp;query=Child+Neurology+Solutions+PLLC%2C+360+Sherman+St%2C+St.+Paul%2C+MN+55102" TargetMode="External"/><Relationship Id="rId2292" Type="http://schemas.openxmlformats.org/officeDocument/2006/relationships/hyperlink" Target="https://npiregistry.cms.hhs.gov/provider-view/1740669217" TargetMode="External"/><Relationship Id="rId3136" Type="http://schemas.openxmlformats.org/officeDocument/2006/relationships/hyperlink" Target="https://npiregistry.cms.hhs.gov/provider-view/1073840492" TargetMode="External"/><Relationship Id="rId3343" Type="http://schemas.openxmlformats.org/officeDocument/2006/relationships/hyperlink" Target="https://www.google.com/maps/search/?api=1&amp;query=Rainy+Lake+Chiropractic+Clinic%2C+PA.%2C+501+3rd+St%2C+International+Falls%2C+MN+56649" TargetMode="External"/><Relationship Id="rId264" Type="http://schemas.openxmlformats.org/officeDocument/2006/relationships/hyperlink" Target="https://npiregistry.cms.hhs.gov/provider-view/1538215462" TargetMode="External"/><Relationship Id="rId471" Type="http://schemas.openxmlformats.org/officeDocument/2006/relationships/hyperlink" Target="https://www.google.com/maps/search/?api=1&amp;query=Viverant%2C+LLC%2C+3365+Central+Park+Village+Dr%2C+Eagan%2C+MN+55121" TargetMode="External"/><Relationship Id="rId2152" Type="http://schemas.openxmlformats.org/officeDocument/2006/relationships/hyperlink" Target="https://npiregistry.cms.hhs.gov/provider-view/1013921923" TargetMode="External"/><Relationship Id="rId3550" Type="http://schemas.openxmlformats.org/officeDocument/2006/relationships/hyperlink" Target="https://npiregistry.cms.hhs.gov/provider-view/1992993257" TargetMode="External"/><Relationship Id="rId124" Type="http://schemas.openxmlformats.org/officeDocument/2006/relationships/hyperlink" Target="https://npiregistry.cms.hhs.gov/provider-view/1720582125" TargetMode="External"/><Relationship Id="rId3203" Type="http://schemas.openxmlformats.org/officeDocument/2006/relationships/hyperlink" Target="https://www.google.com/maps/search/?api=1&amp;query=Caring+Chiropractic%2C+PA.%2C+101+W+Highway+61%2C+Grand+Marais%2C+MN+55604" TargetMode="External"/><Relationship Id="rId3410" Type="http://schemas.openxmlformats.org/officeDocument/2006/relationships/hyperlink" Target="https://npiregistry.cms.hhs.gov/provider-view/1558338996" TargetMode="External"/><Relationship Id="rId331" Type="http://schemas.openxmlformats.org/officeDocument/2006/relationships/hyperlink" Target="https://www.google.com/maps/search/?api=1&amp;query=Amesbarry+Chiropractic+PSC%2C+2500+County+Road+42+W%2C+Burnsville%2C+MN+55337" TargetMode="External"/><Relationship Id="rId2012" Type="http://schemas.openxmlformats.org/officeDocument/2006/relationships/hyperlink" Target="https://npiregistry.cms.hhs.gov/provider-view/1760076020" TargetMode="External"/><Relationship Id="rId2969" Type="http://schemas.openxmlformats.org/officeDocument/2006/relationships/hyperlink" Target="https://www.google.com/maps/search/?api=1&amp;query=Regional+Health+Center+of+Avon%2C+INC.%2C+300+Avon+Ave+S%2C+Avon%2C+MN+56310" TargetMode="External"/><Relationship Id="rId1778" Type="http://schemas.openxmlformats.org/officeDocument/2006/relationships/hyperlink" Target="https://npiregistry.cms.hhs.gov/provider-view/1356751523" TargetMode="External"/><Relationship Id="rId1985" Type="http://schemas.openxmlformats.org/officeDocument/2006/relationships/hyperlink" Target="https://www.google.com/maps/search/?api=1&amp;query=Platinum+Health+Regenerative+Solutions%2C+PA%2C+2780+Snelling+Ave+N%2C+Roseville%2C+MN+55113" TargetMode="External"/><Relationship Id="rId2829" Type="http://schemas.openxmlformats.org/officeDocument/2006/relationships/hyperlink" Target="https://www.google.com/maps/search/?api=1&amp;query=Whole+Health+Family+Chiropractic%2C+611+Walnut+St%2C+Monticello%2C+MN+55362" TargetMode="External"/><Relationship Id="rId1638" Type="http://schemas.openxmlformats.org/officeDocument/2006/relationships/hyperlink" Target="https://npiregistry.cms.hhs.gov/provider-view/1164626230" TargetMode="External"/><Relationship Id="rId4044" Type="http://schemas.openxmlformats.org/officeDocument/2006/relationships/hyperlink" Target="https://npiregistry.cms.hhs.gov/provider-view/1952363699" TargetMode="External"/><Relationship Id="rId1845" Type="http://schemas.openxmlformats.org/officeDocument/2006/relationships/hyperlink" Target="https://www.google.com/maps/search/?api=1&amp;query=The+Common+Sense+Wellness+Center%2C+700+Twelve+Oaks+Center+Dr%2C+Wayzata%2C+MN+55391" TargetMode="External"/><Relationship Id="rId3060" Type="http://schemas.openxmlformats.org/officeDocument/2006/relationships/hyperlink" Target="https://npiregistry.cms.hhs.gov/provider-view/1831144450" TargetMode="External"/><Relationship Id="rId4111" Type="http://schemas.openxmlformats.org/officeDocument/2006/relationships/hyperlink" Target="https://www.google.com/maps/search/?api=1&amp;query=Lewis+Chiropractic+Clinic%2C+1732+Miller+St%2C+Worthington%2C+MN+56187" TargetMode="External"/><Relationship Id="rId1705" Type="http://schemas.openxmlformats.org/officeDocument/2006/relationships/hyperlink" Target="https://www.google.com/maps/search/?api=1&amp;query=Minneapolis+Radiology-Robbinsdale%2C+3366+Oakdale+Ave+N%2C+Robbinsdale%2C+MN+55422" TargetMode="External"/><Relationship Id="rId1912" Type="http://schemas.openxmlformats.org/officeDocument/2006/relationships/hyperlink" Target="https://npiregistry.cms.hhs.gov/provider-view/1841410248" TargetMode="External"/><Relationship Id="rId3877" Type="http://schemas.openxmlformats.org/officeDocument/2006/relationships/hyperlink" Target="https://www.google.com/maps/search/?api=1&amp;query=Connected+Life+Chiropractic+LLC%2C+275+37th+St+NE%2C+Rochester%2C+MN+55906" TargetMode="External"/><Relationship Id="rId798" Type="http://schemas.openxmlformats.org/officeDocument/2006/relationships/hyperlink" Target="https://npiregistry.cms.hhs.gov/provider-view/1922509967" TargetMode="External"/><Relationship Id="rId2479" Type="http://schemas.openxmlformats.org/officeDocument/2006/relationships/hyperlink" Target="https://www.google.com/maps/search/?api=1&amp;query=Family+Chiropractic+of+Shakopee%2C+PA.%2C+1221+4th+Ave+E%2C+Shakopee%2C+MN+55379" TargetMode="External"/><Relationship Id="rId2686" Type="http://schemas.openxmlformats.org/officeDocument/2006/relationships/hyperlink" Target="https://npiregistry.cms.hhs.gov/provider-view/1306827118" TargetMode="External"/><Relationship Id="rId2893" Type="http://schemas.openxmlformats.org/officeDocument/2006/relationships/hyperlink" Target="https://www.google.com/maps/search/?api=1&amp;query=Dr+Adam+Fink+Family+Chiropractic+LLC%2C+1060+Highway+15+S%2C+Hutchinson%2C+MN+55350" TargetMode="External"/><Relationship Id="rId3737" Type="http://schemas.openxmlformats.org/officeDocument/2006/relationships/hyperlink" Target="https://www.google.com/maps/search/?api=1&amp;query=Schugel+Family+Chiropractic%2C+PA.%2C+1706+Lor+Ray+Dr%2C+North+Mankato%2C+MN+56003" TargetMode="External"/><Relationship Id="rId3944" Type="http://schemas.openxmlformats.org/officeDocument/2006/relationships/hyperlink" Target="https://npiregistry.cms.hhs.gov/provider-view/1942303912" TargetMode="External"/><Relationship Id="rId658" Type="http://schemas.openxmlformats.org/officeDocument/2006/relationships/hyperlink" Target="https://npiregistry.cms.hhs.gov/provider-view/1629589494" TargetMode="External"/><Relationship Id="rId865" Type="http://schemas.openxmlformats.org/officeDocument/2006/relationships/hyperlink" Target="https://www.google.com/maps/search/?api=1&amp;query=Ultimate+Health+Chiropractic%2C+PLLC%2C+6640+Shady+Oak+Rd%2C+Eden+Prairie%2C+MN+55344" TargetMode="External"/><Relationship Id="rId1288" Type="http://schemas.openxmlformats.org/officeDocument/2006/relationships/hyperlink" Target="https://npiregistry.cms.hhs.gov/provider-view/1447471552" TargetMode="External"/><Relationship Id="rId1495" Type="http://schemas.openxmlformats.org/officeDocument/2006/relationships/hyperlink" Target="https://www.google.com/maps/search/?api=1&amp;query=Advanced+Care+Chiropractic+PA.%2C+14001+Ridgedale+Dr%2C+Minnetonka%2C+MN+55305" TargetMode="External"/><Relationship Id="rId2339" Type="http://schemas.openxmlformats.org/officeDocument/2006/relationships/hyperlink" Target="https://www.google.com/maps/search/?api=1&amp;query=Viverant%2C+LLC%2C+3200+Labore+Rd%2C+Vadnais+Heights%2C+MN+55110" TargetMode="External"/><Relationship Id="rId2546" Type="http://schemas.openxmlformats.org/officeDocument/2006/relationships/hyperlink" Target="https://npiregistry.cms.hhs.gov/provider-view/1366778243" TargetMode="External"/><Relationship Id="rId2753" Type="http://schemas.openxmlformats.org/officeDocument/2006/relationships/hyperlink" Target="https://www.google.com/maps/search/?api=1&amp;query=Woodbury+Bone+and+Joint%2C+2025+Woodlane+Dr%2C+Woodbury%2C+MN+55125" TargetMode="External"/><Relationship Id="rId2960" Type="http://schemas.openxmlformats.org/officeDocument/2006/relationships/hyperlink" Target="https://npiregistry.cms.hhs.gov/provider-view/1881873511" TargetMode="External"/><Relationship Id="rId3804" Type="http://schemas.openxmlformats.org/officeDocument/2006/relationships/hyperlink" Target="https://npiregistry.cms.hhs.gov/provider-view/1790182335" TargetMode="External"/><Relationship Id="rId518" Type="http://schemas.openxmlformats.org/officeDocument/2006/relationships/hyperlink" Target="https://npiregistry.cms.hhs.gov/provider-view/1669570362" TargetMode="External"/><Relationship Id="rId725" Type="http://schemas.openxmlformats.org/officeDocument/2006/relationships/hyperlink" Target="https://www.google.com/maps/search/?api=1&amp;query=Inner+Light+Chiropractic%2C+PA.%2C+4630+97th+Ave+N%2C+Brooklyn+Park%2C+MN+55443" TargetMode="External"/><Relationship Id="rId932" Type="http://schemas.openxmlformats.org/officeDocument/2006/relationships/hyperlink" Target="https://npiregistry.cms.hhs.gov/provider-view/1881731982" TargetMode="External"/><Relationship Id="rId1148" Type="http://schemas.openxmlformats.org/officeDocument/2006/relationships/hyperlink" Target="https://npiregistry.cms.hhs.gov/provider-view/1184049298" TargetMode="External"/><Relationship Id="rId1355" Type="http://schemas.openxmlformats.org/officeDocument/2006/relationships/hyperlink" Target="https://www.google.com/maps/search/?api=1&amp;query=Midwest+Mri+Center%2C+4610+Oak+Grove+Pkwy+N%2C+Minneapolis%2C+MN+55443" TargetMode="External"/><Relationship Id="rId1562" Type="http://schemas.openxmlformats.org/officeDocument/2006/relationships/hyperlink" Target="https://npiregistry.cms.hhs.gov/provider-view/1770887424" TargetMode="External"/><Relationship Id="rId2406" Type="http://schemas.openxmlformats.org/officeDocument/2006/relationships/hyperlink" Target="https://npiregistry.cms.hhs.gov/provider-view/1063559078" TargetMode="External"/><Relationship Id="rId2613" Type="http://schemas.openxmlformats.org/officeDocument/2006/relationships/hyperlink" Target="https://www.google.com/maps/search/?api=1&amp;query=Oak+Springs+Chiropractic+%26+Wellness%2C+1015+Helmo+Ave+N%2C+Oakdale%2C+MN+55128" TargetMode="External"/><Relationship Id="rId1008" Type="http://schemas.openxmlformats.org/officeDocument/2006/relationships/hyperlink" Target="https://npiregistry.cms.hhs.gov/provider-view/1730381021" TargetMode="External"/><Relationship Id="rId1215" Type="http://schemas.openxmlformats.org/officeDocument/2006/relationships/hyperlink" Target="https://www.google.com/maps/search/?api=1&amp;query=Camden+Chiropractic+Clinic%2C+4149+Lyndale+Ave+N%2C+Minneapolis%2C+MN+55412" TargetMode="External"/><Relationship Id="rId1422" Type="http://schemas.openxmlformats.org/officeDocument/2006/relationships/hyperlink" Target="https://npiregistry.cms.hhs.gov/provider-view/1902054828" TargetMode="External"/><Relationship Id="rId2820" Type="http://schemas.openxmlformats.org/officeDocument/2006/relationships/hyperlink" Target="https://npiregistry.cms.hhs.gov/provider-view/1437295532" TargetMode="External"/><Relationship Id="rId61" Type="http://schemas.openxmlformats.org/officeDocument/2006/relationships/hyperlink" Target="https://www.google.com/maps/search/?api=1&amp;query=Minnesota+Interventional+Pain+Associates%2C+11855+Ulysses+St+NE%2C+Blaine%2C+MN+55434" TargetMode="External"/><Relationship Id="rId3387" Type="http://schemas.openxmlformats.org/officeDocument/2006/relationships/hyperlink" Target="https://www.google.com/maps/search/?api=1&amp;query=Lake+Superior+Physical+Therapy+INC%2C+215+N+Central+Ave%2C+Duluth%2C+MN+55807" TargetMode="External"/><Relationship Id="rId2196" Type="http://schemas.openxmlformats.org/officeDocument/2006/relationships/hyperlink" Target="https://npiregistry.cms.hhs.gov/provider-view/1790981538" TargetMode="External"/><Relationship Id="rId3594" Type="http://schemas.openxmlformats.org/officeDocument/2006/relationships/hyperlink" Target="https://npiregistry.cms.hhs.gov/provider-view/1518289958" TargetMode="External"/><Relationship Id="rId168" Type="http://schemas.openxmlformats.org/officeDocument/2006/relationships/hyperlink" Target="https://npiregistry.cms.hhs.gov/provider-view/1548253933" TargetMode="External"/><Relationship Id="rId3247" Type="http://schemas.openxmlformats.org/officeDocument/2006/relationships/hyperlink" Target="https://www.google.com/maps/search/?api=1&amp;query=Northern+Orthopedics+LTD%2C+2014+S+6th+St%2C+Brainerd%2C+MN+56401" TargetMode="External"/><Relationship Id="rId3454" Type="http://schemas.openxmlformats.org/officeDocument/2006/relationships/hyperlink" Target="https://npiregistry.cms.hhs.gov/provider-view/1114115029" TargetMode="External"/><Relationship Id="rId3661" Type="http://schemas.openxmlformats.org/officeDocument/2006/relationships/hyperlink" Target="https://www.google.com/maps/search/?api=1&amp;query=Mages+Chiropractic%2C+309+Madison+Ave%2C+Mankato%2C+MN+56001" TargetMode="External"/><Relationship Id="rId375" Type="http://schemas.openxmlformats.org/officeDocument/2006/relationships/hyperlink" Target="https://www.google.com/maps/search/?api=1&amp;query=Pietila+Chiropractic%2C+12358+River+Ridge+Blvd%2C+Burnsville%2C+MN+55337" TargetMode="External"/><Relationship Id="rId582" Type="http://schemas.openxmlformats.org/officeDocument/2006/relationships/hyperlink" Target="https://npiregistry.cms.hhs.gov/provider-view/1427086255" TargetMode="External"/><Relationship Id="rId2056" Type="http://schemas.openxmlformats.org/officeDocument/2006/relationships/hyperlink" Target="https://npiregistry.cms.hhs.gov/provider-view/1407190184" TargetMode="External"/><Relationship Id="rId2263" Type="http://schemas.openxmlformats.org/officeDocument/2006/relationships/hyperlink" Target="https://www.google.com/maps/search/?api=1&amp;query=St+Anthony+Orthopaedic+Specialists+PA%2C+17+Exchange+St+W%2C+St.+Paul%2C+MN+55102" TargetMode="External"/><Relationship Id="rId2470" Type="http://schemas.openxmlformats.org/officeDocument/2006/relationships/hyperlink" Target="https://npiregistry.cms.hhs.gov/provider-view/1356513592" TargetMode="External"/><Relationship Id="rId3107" Type="http://schemas.openxmlformats.org/officeDocument/2006/relationships/hyperlink" Target="https://www.google.com/maps/search/?api=1&amp;query=Scott+T.+Godbersen+Chiropratic+PLC%2C+71+10th+Ave+S%2C+Waite+Park%2C+MN+56387" TargetMode="External"/><Relationship Id="rId3314" Type="http://schemas.openxmlformats.org/officeDocument/2006/relationships/hyperlink" Target="https://npiregistry.cms.hhs.gov/provider-view/1508130147" TargetMode="External"/><Relationship Id="rId3521" Type="http://schemas.openxmlformats.org/officeDocument/2006/relationships/hyperlink" Target="https://www.google.com/maps/search/?api=1&amp;query=Nokken+Chiropractic+Clinic+LTD%2C+1220+2nd+Ave+S%2C+Moorhead%2C+MN+56560" TargetMode="External"/><Relationship Id="rId235" Type="http://schemas.openxmlformats.org/officeDocument/2006/relationships/hyperlink" Target="https://www.google.com/maps/search/?api=1&amp;query=Susan+Lecy-Lindall%2C+1750+Tower+Blvd%2C+Victoria%2C+MN+55386" TargetMode="External"/><Relationship Id="rId442" Type="http://schemas.openxmlformats.org/officeDocument/2006/relationships/hyperlink" Target="https://npiregistry.cms.hhs.gov/provider-view/1811029861" TargetMode="External"/><Relationship Id="rId1072" Type="http://schemas.openxmlformats.org/officeDocument/2006/relationships/hyperlink" Target="https://npiregistry.cms.hhs.gov/provider-view/1386851897" TargetMode="External"/><Relationship Id="rId2123" Type="http://schemas.openxmlformats.org/officeDocument/2006/relationships/hyperlink" Target="https://www.google.com/maps/search/?api=1&amp;query=Elite+Care+Chiropractic+PA.%2C+1132+Arcade+St%2C+St.+Paul%2C+MN+55106" TargetMode="External"/><Relationship Id="rId2330" Type="http://schemas.openxmlformats.org/officeDocument/2006/relationships/hyperlink" Target="https://npiregistry.cms.hhs.gov/provider-view/1316965064" TargetMode="External"/><Relationship Id="rId302" Type="http://schemas.openxmlformats.org/officeDocument/2006/relationships/hyperlink" Target="https://npiregistry.cms.hhs.gov/provider-view/1871891523" TargetMode="External"/><Relationship Id="rId4088" Type="http://schemas.openxmlformats.org/officeDocument/2006/relationships/hyperlink" Target="https://npiregistry.cms.hhs.gov/provider-view/1104987494" TargetMode="External"/><Relationship Id="rId1889" Type="http://schemas.openxmlformats.org/officeDocument/2006/relationships/hyperlink" Target="https://www.google.com/maps/search/?api=1&amp;query=Realm+Chiropractic+LLC%2C+2860+Middle+St%2C+Little+Canada%2C+MN+55117" TargetMode="External"/><Relationship Id="rId4155" Type="http://schemas.openxmlformats.org/officeDocument/2006/relationships/hyperlink" Target="https://www.google.com/maps/search/?api=1&amp;query=Canby+Chiropractic+Center%2C+109+Saint+Olaf+Ave+S%2C+Canby%2C+MN+56220" TargetMode="External"/><Relationship Id="rId1749" Type="http://schemas.openxmlformats.org/officeDocument/2006/relationships/hyperlink" Target="https://www.google.com/maps/search/?api=1&amp;query=Boulevard+Chiropractic+Clinic%2C+PA.%2C+7200+Minnetonka+Blvd%2C+St.+Louis+Park%2C+MN+55426" TargetMode="External"/><Relationship Id="rId1956" Type="http://schemas.openxmlformats.org/officeDocument/2006/relationships/hyperlink" Target="https://npiregistry.cms.hhs.gov/provider-view/1932258399" TargetMode="External"/><Relationship Id="rId3171" Type="http://schemas.openxmlformats.org/officeDocument/2006/relationships/hyperlink" Target="https://www.google.com/maps/search/?api=1&amp;query=Spinal+Health+Professionals%2C+4228+Power+Dr+NW%2C+Bemidji%2C+MN+56601" TargetMode="External"/><Relationship Id="rId4015" Type="http://schemas.openxmlformats.org/officeDocument/2006/relationships/hyperlink" Target="https://www.google.com/maps/search/?api=1&amp;query=Crowley+Chiropractic%2C+111+Market+Street%2C+Winona%2C+MN+55987" TargetMode="External"/><Relationship Id="rId1609" Type="http://schemas.openxmlformats.org/officeDocument/2006/relationships/hyperlink" Target="https://www.google.com/maps/search/?api=1&amp;query=Four+Seasons+Family+Chiropractic+Clinic%2C+4455+Hwy+169+N%2C+Plymouth%2C+MN+55442" TargetMode="External"/><Relationship Id="rId1816" Type="http://schemas.openxmlformats.org/officeDocument/2006/relationships/hyperlink" Target="https://npiregistry.cms.hhs.gov/provider-view/1679737159" TargetMode="External"/><Relationship Id="rId3031" Type="http://schemas.openxmlformats.org/officeDocument/2006/relationships/hyperlink" Target="https://www.google.com/maps/search/?api=1&amp;query=Central+Minnesota+Anesthesia+Providers%2C+PLLC%2C+22415+State+Highway+15%2C+St.+Augusta%2C+MN+56301" TargetMode="External"/><Relationship Id="rId3988" Type="http://schemas.openxmlformats.org/officeDocument/2006/relationships/hyperlink" Target="https://npiregistry.cms.hhs.gov/provider-view/1740337484" TargetMode="External"/><Relationship Id="rId2797" Type="http://schemas.openxmlformats.org/officeDocument/2006/relationships/hyperlink" Target="https://www.google.com/maps/search/?api=1&amp;query=Delano+Chiropractic+Center%2C+PA.%2C+120+Bridge+Ave+W%2C+Delano%2C+MN+55328" TargetMode="External"/><Relationship Id="rId3848" Type="http://schemas.openxmlformats.org/officeDocument/2006/relationships/hyperlink" Target="https://npiregistry.cms.hhs.gov/provider-view/1104408558" TargetMode="External"/><Relationship Id="rId769" Type="http://schemas.openxmlformats.org/officeDocument/2006/relationships/hyperlink" Target="https://www.google.com/maps/search/?api=1&amp;query=Minnesota+Natural+Medicine+Center%2C+PA%2C+8900+109th+Ave+N%2C+Champlin%2C+MN+55316" TargetMode="External"/><Relationship Id="rId976" Type="http://schemas.openxmlformats.org/officeDocument/2006/relationships/hyperlink" Target="https://npiregistry.cms.hhs.gov/provider-view/1366916363" TargetMode="External"/><Relationship Id="rId1399" Type="http://schemas.openxmlformats.org/officeDocument/2006/relationships/hyperlink" Target="https://www.google.com/maps/search/?api=1&amp;query=Osvold+Chiropractic+Corporated%2C+4811+Nicollet+Ave%2C+Minneapolis%2C+MN+55419" TargetMode="External"/><Relationship Id="rId2657" Type="http://schemas.openxmlformats.org/officeDocument/2006/relationships/hyperlink" Target="https://www.google.com/maps/search/?api=1&amp;query=Healing+River+Chiropractic%2C+LLC%2C+1903+Greeley+St+S%2C+Stillwater%2C+MN+55082" TargetMode="External"/><Relationship Id="rId629" Type="http://schemas.openxmlformats.org/officeDocument/2006/relationships/hyperlink" Target="https://www.google.com/maps/search/?api=1&amp;query=Edina+Physical+Medicine+Consultants%2C+PA%2C+5001+American+Blvd+W%2C+Bloomington%2C+MN+55437" TargetMode="External"/><Relationship Id="rId1259" Type="http://schemas.openxmlformats.org/officeDocument/2006/relationships/hyperlink" Target="https://www.google.com/maps/search/?api=1&amp;query=Emanata+Chiropractic%2C+INC.%2C+3821+42nd+Ave+S%2C+Minneapolis%2C+MN+55406" TargetMode="External"/><Relationship Id="rId1466" Type="http://schemas.openxmlformats.org/officeDocument/2006/relationships/hyperlink" Target="https://npiregistry.cms.hhs.gov/provider-view/1245458652" TargetMode="External"/><Relationship Id="rId2864" Type="http://schemas.openxmlformats.org/officeDocument/2006/relationships/hyperlink" Target="https://npiregistry.cms.hhs.gov/provider-view/1043372204" TargetMode="External"/><Relationship Id="rId3708" Type="http://schemas.openxmlformats.org/officeDocument/2006/relationships/hyperlink" Target="https://npiregistry.cms.hhs.gov/provider-view/1942563978" TargetMode="External"/><Relationship Id="rId3915" Type="http://schemas.openxmlformats.org/officeDocument/2006/relationships/hyperlink" Target="https://www.google.com/maps/search/?api=1&amp;query=Wholistic+Family+Chiropractic%2C+2625+Highway+14+W%2C+Rochester%2C+MN+55901" TargetMode="External"/><Relationship Id="rId836" Type="http://schemas.openxmlformats.org/officeDocument/2006/relationships/hyperlink" Target="https://npiregistry.cms.hhs.gov/provider-view/1669675682" TargetMode="External"/><Relationship Id="rId1119" Type="http://schemas.openxmlformats.org/officeDocument/2006/relationships/hyperlink" Target="https://www.google.com/maps/search/?api=1&amp;query=Excel+Family+Chiropractic%2C+16334+County+Road+30%2C+Maple+Grove%2C+MN+55311" TargetMode="External"/><Relationship Id="rId1673" Type="http://schemas.openxmlformats.org/officeDocument/2006/relationships/hyperlink" Target="https://www.google.com/maps/search/?api=1&amp;query=Life+Balance+Chiropractic+%26+Wellness%2C+LLC%2C+1300+E+66th+St%2C+Richfield%2C+MN+55423" TargetMode="External"/><Relationship Id="rId1880" Type="http://schemas.openxmlformats.org/officeDocument/2006/relationships/hyperlink" Target="https://npiregistry.cms.hhs.gov/provider-view/1972794675" TargetMode="External"/><Relationship Id="rId2517" Type="http://schemas.openxmlformats.org/officeDocument/2006/relationships/hyperlink" Target="https://www.google.com/maps/search/?api=1&amp;query=Ideal+Health%2C+A+Sports+%26+Family+Chiropractic+Clinic%2C+18336+Joplin+St+NW%2C+Elk+River%2C+MN+55330" TargetMode="External"/><Relationship Id="rId2724" Type="http://schemas.openxmlformats.org/officeDocument/2006/relationships/hyperlink" Target="https://npiregistry.cms.hhs.gov/provider-view/1730720509" TargetMode="External"/><Relationship Id="rId2931" Type="http://schemas.openxmlformats.org/officeDocument/2006/relationships/hyperlink" Target="https://www.google.com/maps/search/?api=1&amp;query=Riverside+Family+Chiropractic+Clinic+Chartered%2C+114+A+Rum+River+Drive+North%2C+Princeton%2C+MN+55371" TargetMode="External"/><Relationship Id="rId903" Type="http://schemas.openxmlformats.org/officeDocument/2006/relationships/hyperlink" Target="https://www.google.com/maps/search/?api=1&amp;query=Eyvindsson+Chiropractic%2C+7300+France+Ave+S%2C+Edina%2C+MN+55435" TargetMode="External"/><Relationship Id="rId1326" Type="http://schemas.openxmlformats.org/officeDocument/2006/relationships/hyperlink" Target="https://npiregistry.cms.hhs.gov/provider-view/1679971220" TargetMode="External"/><Relationship Id="rId1533" Type="http://schemas.openxmlformats.org/officeDocument/2006/relationships/hyperlink" Target="https://www.google.com/maps/search/?api=1&amp;query=Minnetonka+Chiropractors%2C+10653+Wayzata+Blvd%2C+Minnetonka%2C+MN+55305" TargetMode="External"/><Relationship Id="rId1740" Type="http://schemas.openxmlformats.org/officeDocument/2006/relationships/hyperlink" Target="https://npiregistry.cms.hhs.gov/provider-view/1427384478" TargetMode="External"/><Relationship Id="rId32" Type="http://schemas.openxmlformats.org/officeDocument/2006/relationships/hyperlink" Target="https://npiregistry.cms.hhs.gov/provider-view/1023499928" TargetMode="External"/><Relationship Id="rId1600" Type="http://schemas.openxmlformats.org/officeDocument/2006/relationships/hyperlink" Target="https://npiregistry.cms.hhs.gov/provider-view/1811206683" TargetMode="External"/><Relationship Id="rId3498" Type="http://schemas.openxmlformats.org/officeDocument/2006/relationships/hyperlink" Target="https://npiregistry.cms.hhs.gov/provider-view/1053613067" TargetMode="External"/><Relationship Id="rId3358" Type="http://schemas.openxmlformats.org/officeDocument/2006/relationships/hyperlink" Target="https://npiregistry.cms.hhs.gov/provider-view/1164514493" TargetMode="External"/><Relationship Id="rId3565" Type="http://schemas.openxmlformats.org/officeDocument/2006/relationships/hyperlink" Target="https://www.google.com/maps/search/?api=1&amp;query=Battle+Lake+Chiropractic+PA%2C+202+Lake+Avenue+South%2C+Battle+Lake%2C+MN+56515" TargetMode="External"/><Relationship Id="rId3772" Type="http://schemas.openxmlformats.org/officeDocument/2006/relationships/hyperlink" Target="https://npiregistry.cms.hhs.gov/provider-view/1811028178" TargetMode="External"/><Relationship Id="rId279" Type="http://schemas.openxmlformats.org/officeDocument/2006/relationships/hyperlink" Target="https://www.google.com/maps/search/?api=1&amp;query=Pfeiffer+Chiropractic+Clinic%2C+INC.%2C+5321+E+Viking+Blvd%2C+Wyoming%2C+MN+55092" TargetMode="External"/><Relationship Id="rId486" Type="http://schemas.openxmlformats.org/officeDocument/2006/relationships/hyperlink" Target="https://npiregistry.cms.hhs.gov/provider-view/1932309028" TargetMode="External"/><Relationship Id="rId693" Type="http://schemas.openxmlformats.org/officeDocument/2006/relationships/hyperlink" Target="https://www.google.com/maps/search/?api=1&amp;query=Metro+MN+Pain+Center%2C+LLC%2C+3260+County+Road+10%2C+Brooklyn+Center%2C+MN+55429" TargetMode="External"/><Relationship Id="rId2167" Type="http://schemas.openxmlformats.org/officeDocument/2006/relationships/hyperlink" Target="https://www.google.com/maps/search/?api=1&amp;query=Kevin+L.+Stevenson%2C+MD.%2C+PA.%2C+514+Saint+Peter+St%2C+St.+Paul%2C+MN+55102" TargetMode="External"/><Relationship Id="rId2374" Type="http://schemas.openxmlformats.org/officeDocument/2006/relationships/hyperlink" Target="https://npiregistry.cms.hhs.gov/provider-view/1407125099" TargetMode="External"/><Relationship Id="rId2581" Type="http://schemas.openxmlformats.org/officeDocument/2006/relationships/hyperlink" Target="https://www.google.com/maps/search/?api=1&amp;query=Oneka+Chiropractic%2C+PA%2C+14755+Victor+Hugo+Blvd+N%2C+Hugo%2C+MN+55038" TargetMode="External"/><Relationship Id="rId3218" Type="http://schemas.openxmlformats.org/officeDocument/2006/relationships/hyperlink" Target="https://npiregistry.cms.hhs.gov/provider-view/1447644257" TargetMode="External"/><Relationship Id="rId3425" Type="http://schemas.openxmlformats.org/officeDocument/2006/relationships/hyperlink" Target="https://www.google.com/maps/search/?api=1&amp;query=Ely+Chiropractic+Clinic%2C+247+E+Chapman+St%2C+Ely%2C+MN+55731" TargetMode="External"/><Relationship Id="rId3632" Type="http://schemas.openxmlformats.org/officeDocument/2006/relationships/hyperlink" Target="https://npiregistry.cms.hhs.gov/provider-view/1649749540" TargetMode="External"/><Relationship Id="rId139" Type="http://schemas.openxmlformats.org/officeDocument/2006/relationships/hyperlink" Target="https://www.google.com/maps/search/?api=1&amp;query=Made+2+Move+Chiropractic+%26+Wellness+PLLC%2C+14148+Lincoln+St+NE%2C+Ham+Lake%2C+MN+55304" TargetMode="External"/><Relationship Id="rId346" Type="http://schemas.openxmlformats.org/officeDocument/2006/relationships/hyperlink" Target="https://npiregistry.cms.hhs.gov/provider-view/1942400767" TargetMode="External"/><Relationship Id="rId553" Type="http://schemas.openxmlformats.org/officeDocument/2006/relationships/hyperlink" Target="https://www.google.com/maps/search/?api=1&amp;query=612+Chiropractic+%26+Wellness%2C+750+Main+St%2C+Mendota+Heights%2C+MN+55118" TargetMode="External"/><Relationship Id="rId760" Type="http://schemas.openxmlformats.org/officeDocument/2006/relationships/hyperlink" Target="https://npiregistry.cms.hhs.gov/provider-view/1326326661" TargetMode="External"/><Relationship Id="rId1183" Type="http://schemas.openxmlformats.org/officeDocument/2006/relationships/hyperlink" Target="https://www.google.com/maps/search/?api=1&amp;query=Acupuncture+Ayurvedic+Chiropractic+Clinic%2C+LTD%2C+624+W+54th+St%2C+Minneapolis%2C+MN+55419" TargetMode="External"/><Relationship Id="rId1390" Type="http://schemas.openxmlformats.org/officeDocument/2006/relationships/hyperlink" Target="https://npiregistry.cms.hhs.gov/provider-view/1346464211" TargetMode="External"/><Relationship Id="rId2027" Type="http://schemas.openxmlformats.org/officeDocument/2006/relationships/hyperlink" Target="https://www.google.com/maps/search/?api=1&amp;query=Steffen+Chiropractic+Center%2C+PC%2C+500+Highway+96+W%2C+Shoreview%2C+MN+55126" TargetMode="External"/><Relationship Id="rId2234" Type="http://schemas.openxmlformats.org/officeDocument/2006/relationships/hyperlink" Target="https://npiregistry.cms.hhs.gov/provider-view/1639416860" TargetMode="External"/><Relationship Id="rId2441" Type="http://schemas.openxmlformats.org/officeDocument/2006/relationships/hyperlink" Target="https://www.google.com/maps/search/?api=1&amp;query=Elite+Chiropractic+Clinic+LLC%2C+6001+Egan+Dr%2C+Savage%2C+MN+55378" TargetMode="External"/><Relationship Id="rId206" Type="http://schemas.openxmlformats.org/officeDocument/2006/relationships/hyperlink" Target="https://npiregistry.cms.hhs.gov/provider-view/1376832485" TargetMode="External"/><Relationship Id="rId413" Type="http://schemas.openxmlformats.org/officeDocument/2006/relationships/hyperlink" Target="https://www.google.com/maps/search/?api=1&amp;query=Cliff+Road+Chiropractic%2C+4555+Erin+Dr%2C+Eagan%2C+MN+55122" TargetMode="External"/><Relationship Id="rId1043" Type="http://schemas.openxmlformats.org/officeDocument/2006/relationships/hyperlink" Target="https://www.google.com/maps/search/?api=1&amp;query=Minneapolis+Clinic+of+Neurology%2C+LTD%2C+4225+Golden+Valley+Rd%2C+Golden+Valley%2C+MN+55422" TargetMode="External"/><Relationship Id="rId620" Type="http://schemas.openxmlformats.org/officeDocument/2006/relationships/hyperlink" Target="https://npiregistry.cms.hhs.gov/provider-view/1356553374" TargetMode="External"/><Relationship Id="rId1250" Type="http://schemas.openxmlformats.org/officeDocument/2006/relationships/hyperlink" Target="https://npiregistry.cms.hhs.gov/provider-view/1326382201" TargetMode="External"/><Relationship Id="rId2301" Type="http://schemas.openxmlformats.org/officeDocument/2006/relationships/hyperlink" Target="https://www.google.com/maps/search/?api=1&amp;query=Urban+Chirpractic+-+St+Paul%2C+876+Selby+Ave.%2C+St.+Paul%2C+MN+55104" TargetMode="External"/><Relationship Id="rId4059" Type="http://schemas.openxmlformats.org/officeDocument/2006/relationships/hyperlink" Target="https://www.google.com/maps/search/?api=1&amp;query=Meridian+Disc+Institute%2C+205+5th+St+SW%2C+Willmar%2C+MN+56201" TargetMode="External"/><Relationship Id="rId1110" Type="http://schemas.openxmlformats.org/officeDocument/2006/relationships/hyperlink" Target="https://npiregistry.cms.hhs.gov/provider-view/1942366679" TargetMode="External"/><Relationship Id="rId1927" Type="http://schemas.openxmlformats.org/officeDocument/2006/relationships/hyperlink" Target="https://www.google.com/maps/search/?api=1&amp;query=Eric+J+Hering+DC%2C+PA%2C+969+Old+Highway+8+NW%2C+New+Brighton%2C+MN+55112" TargetMode="External"/><Relationship Id="rId3075" Type="http://schemas.openxmlformats.org/officeDocument/2006/relationships/hyperlink" Target="https://www.google.com/maps/search/?api=1&amp;query=St+Cloud+Chiropractic%2C+437+33rd+Ave+N%2C+St.+Cloud%2C+MN+56303" TargetMode="External"/><Relationship Id="rId3282" Type="http://schemas.openxmlformats.org/officeDocument/2006/relationships/hyperlink" Target="https://npiregistry.cms.hhs.gov/provider-view/1467589101" TargetMode="External"/><Relationship Id="rId4126" Type="http://schemas.openxmlformats.org/officeDocument/2006/relationships/hyperlink" Target="https://npiregistry.cms.hhs.gov/provider-view/1215441027" TargetMode="External"/><Relationship Id="rId2091" Type="http://schemas.openxmlformats.org/officeDocument/2006/relationships/hyperlink" Target="https://www.google.com/maps/search/?api=1&amp;query=Chiroport%2C+1440+Arcade+St%2C+St.+Paul%2C+MN+55106" TargetMode="External"/><Relationship Id="rId3142" Type="http://schemas.openxmlformats.org/officeDocument/2006/relationships/hyperlink" Target="https://npiregistry.cms.hhs.gov/provider-view/1386794931" TargetMode="External"/><Relationship Id="rId270" Type="http://schemas.openxmlformats.org/officeDocument/2006/relationships/hyperlink" Target="https://npiregistry.cms.hhs.gov/provider-view/1194073346" TargetMode="External"/><Relationship Id="rId3002" Type="http://schemas.openxmlformats.org/officeDocument/2006/relationships/hyperlink" Target="https://npiregistry.cms.hhs.gov/provider-view/1013056969" TargetMode="External"/><Relationship Id="rId130" Type="http://schemas.openxmlformats.org/officeDocument/2006/relationships/hyperlink" Target="https://npiregistry.cms.hhs.gov/provider-view/1821278870" TargetMode="External"/><Relationship Id="rId3959" Type="http://schemas.openxmlformats.org/officeDocument/2006/relationships/hyperlink" Target="https://www.google.com/maps/search/?api=1&amp;query=Northfield+Chiropractic+Health+Center%2C+206+7th+St+W%2C+Northfield%2C+MN+55057" TargetMode="External"/><Relationship Id="rId2768" Type="http://schemas.openxmlformats.org/officeDocument/2006/relationships/hyperlink" Target="https://npiregistry.cms.hhs.gov/provider-view/1073808788" TargetMode="External"/><Relationship Id="rId2975" Type="http://schemas.openxmlformats.org/officeDocument/2006/relationships/hyperlink" Target="https://www.google.com/maps/search/?api=1&amp;query=Cold+Spring+Spine+and+Wellness%2C+24+3rd+Ave+S%2C+Cold+Spring%2C+MN+56320" TargetMode="External"/><Relationship Id="rId3819" Type="http://schemas.openxmlformats.org/officeDocument/2006/relationships/hyperlink" Target="https://www.google.com/maps/search/?api=1&amp;query=Connected+Family+Chiropractic%2C+LLC%2C+306+Main+St%2C+La+Crescent%2C+MN+55947" TargetMode="External"/><Relationship Id="rId947" Type="http://schemas.openxmlformats.org/officeDocument/2006/relationships/hyperlink" Target="https://www.google.com/maps/search/?api=1&amp;query=Moore+Chiropractic+PLLC%2C+6600+France+Ave+S%2C+Edina%2C+MN+55435" TargetMode="External"/><Relationship Id="rId1577" Type="http://schemas.openxmlformats.org/officeDocument/2006/relationships/hyperlink" Target="https://www.google.com/maps/search/?api=1&amp;query=Principled+Living+PA%2C+9405+36th+Ave+N%2C+New+Hope%2C+MN+55427" TargetMode="External"/><Relationship Id="rId1784" Type="http://schemas.openxmlformats.org/officeDocument/2006/relationships/hyperlink" Target="https://npiregistry.cms.hhs.gov/provider-view/1730211863" TargetMode="External"/><Relationship Id="rId1991" Type="http://schemas.openxmlformats.org/officeDocument/2006/relationships/hyperlink" Target="https://www.google.com/maps/search/?api=1&amp;query=Total+Healthcare+%26+Physical+Medicine%2C+PLLC%2C+2151+Hamline+Ave+N%2C+Roseville%2C+MN+55113" TargetMode="External"/><Relationship Id="rId2628" Type="http://schemas.openxmlformats.org/officeDocument/2006/relationships/hyperlink" Target="https://npiregistry.cms.hhs.gov/provider-view/1760418164" TargetMode="External"/><Relationship Id="rId2835" Type="http://schemas.openxmlformats.org/officeDocument/2006/relationships/hyperlink" Target="https://www.google.com/maps/search/?api=1&amp;query=Healing+Hands+Family+Chiropractic%2C+PSC%2C+9175+Quaday+Ave+NE%2C+Otsego%2C+MN+55330" TargetMode="External"/><Relationship Id="rId76" Type="http://schemas.openxmlformats.org/officeDocument/2006/relationships/hyperlink" Target="https://npiregistry.cms.hhs.gov/provider-view/1912242264" TargetMode="External"/><Relationship Id="rId807" Type="http://schemas.openxmlformats.org/officeDocument/2006/relationships/hyperlink" Target="https://www.google.com/maps/search/?api=1&amp;query=Davis+Chiropractic%2C+PA.%2C+330+Prairie+Center+Drive%2C+Eden+Prairie%2C+MN+55344" TargetMode="External"/><Relationship Id="rId1437" Type="http://schemas.openxmlformats.org/officeDocument/2006/relationships/hyperlink" Target="https://www.google.com/maps/search/?api=1&amp;query=Sports+Orthopedic+Advanced+Rehabilitation%2C+LLC%2C+825+Nicollet+Mall%2C+Minneapolis%2C+MN+55402" TargetMode="External"/><Relationship Id="rId1644" Type="http://schemas.openxmlformats.org/officeDocument/2006/relationships/hyperlink" Target="https://npiregistry.cms.hhs.gov/provider-view/1548413131" TargetMode="External"/><Relationship Id="rId1851" Type="http://schemas.openxmlformats.org/officeDocument/2006/relationships/hyperlink" Target="https://www.google.com/maps/search/?api=1&amp;query=Vaida+Chiropractic%2C+INC%2C+101+Lake+St+W%2C+Wayzata%2C+MN+55391" TargetMode="External"/><Relationship Id="rId2902" Type="http://schemas.openxmlformats.org/officeDocument/2006/relationships/hyperlink" Target="https://npiregistry.cms.hhs.gov/provider-view/1184812158" TargetMode="External"/><Relationship Id="rId4050" Type="http://schemas.openxmlformats.org/officeDocument/2006/relationships/hyperlink" Target="https://npiregistry.cms.hhs.gov/provider-view/1710535745" TargetMode="External"/><Relationship Id="rId1504" Type="http://schemas.openxmlformats.org/officeDocument/2006/relationships/hyperlink" Target="https://npiregistry.cms.hhs.gov/provider-view/1316149016" TargetMode="External"/><Relationship Id="rId1711" Type="http://schemas.openxmlformats.org/officeDocument/2006/relationships/hyperlink" Target="https://www.google.com/maps/search/?api=1&amp;query=Robbinsdale+Chirocenter+INC.%2C+4926+42nd+Ave+N%2C+Robbinsdale%2C+MN+55422" TargetMode="External"/><Relationship Id="rId3469" Type="http://schemas.openxmlformats.org/officeDocument/2006/relationships/hyperlink" Target="https://www.google.com/maps/search/?api=1&amp;query=North+Winds+Chiropractic%2C+1544+Hwy+59+SE%2C+Thief+River+Falls%2C+MN+56701" TargetMode="External"/><Relationship Id="rId3676" Type="http://schemas.openxmlformats.org/officeDocument/2006/relationships/hyperlink" Target="https://npiregistry.cms.hhs.gov/provider-view/1447813456" TargetMode="External"/><Relationship Id="rId597" Type="http://schemas.openxmlformats.org/officeDocument/2006/relationships/hyperlink" Target="https://www.google.com/maps/search/?api=1&amp;query=Wildenauer+Chiropractic+Clinic%2C+1525+Livingston+Ave%2C+West+St+Paul%2C+MN+55118" TargetMode="External"/><Relationship Id="rId2278" Type="http://schemas.openxmlformats.org/officeDocument/2006/relationships/hyperlink" Target="https://npiregistry.cms.hhs.gov/provider-view/1184191074" TargetMode="External"/><Relationship Id="rId2485" Type="http://schemas.openxmlformats.org/officeDocument/2006/relationships/hyperlink" Target="https://www.google.com/maps/search/?api=1&amp;query=Mcgraw+Chiropractic+Clinic+PA.%2C+225+Lewis+St+S%2C+Shakopee%2C+MN+55379" TargetMode="External"/><Relationship Id="rId3329" Type="http://schemas.openxmlformats.org/officeDocument/2006/relationships/hyperlink" Target="https://www.google.com/maps/search/?api=1&amp;query=Haven+Physical+Therapy%2C+INC.%2C+832+1st+St%2C+Nashwauk%2C+MN+55769" TargetMode="External"/><Relationship Id="rId3883" Type="http://schemas.openxmlformats.org/officeDocument/2006/relationships/hyperlink" Target="https://www.google.com/maps/search/?api=1&amp;query=Eresultspt%2C+2202+21st+St+NW%2C+Rochester%2C+MN+55901" TargetMode="External"/><Relationship Id="rId457" Type="http://schemas.openxmlformats.org/officeDocument/2006/relationships/hyperlink" Target="https://www.google.com/maps/search/?api=1&amp;query=Rukavina+Family+Chiropractic+PLLC%2C+4655+Nicols+Rd%2C+Eagan%2C+MN+55122" TargetMode="External"/><Relationship Id="rId1087" Type="http://schemas.openxmlformats.org/officeDocument/2006/relationships/hyperlink" Target="https://www.google.com/maps/search/?api=1&amp;query=Kruse+Clinic+of+Chiropractic+LLC%2C+724+Mainstreet%2C+Hopkins%2C+MN+55343" TargetMode="External"/><Relationship Id="rId1294" Type="http://schemas.openxmlformats.org/officeDocument/2006/relationships/hyperlink" Target="https://npiregistry.cms.hhs.gov/provider-view/1821547266" TargetMode="External"/><Relationship Id="rId2138" Type="http://schemas.openxmlformats.org/officeDocument/2006/relationships/hyperlink" Target="https://npiregistry.cms.hhs.gov/provider-view/1801961826" TargetMode="External"/><Relationship Id="rId2692" Type="http://schemas.openxmlformats.org/officeDocument/2006/relationships/hyperlink" Target="https://npiregistry.cms.hhs.gov/provider-view/1760507198" TargetMode="External"/><Relationship Id="rId3536" Type="http://schemas.openxmlformats.org/officeDocument/2006/relationships/hyperlink" Target="https://npiregistry.cms.hhs.gov/provider-view/1134393614" TargetMode="External"/><Relationship Id="rId3743" Type="http://schemas.openxmlformats.org/officeDocument/2006/relationships/hyperlink" Target="https://www.google.com/maps/search/?api=1&amp;query=Hulsebus+Chiropractic%2C+206+West+Walnut+St%2C+St.+Peter%2C+MN+56082" TargetMode="External"/><Relationship Id="rId3950" Type="http://schemas.openxmlformats.org/officeDocument/2006/relationships/hyperlink" Target="https://npiregistry.cms.hhs.gov/provider-view/1700961042" TargetMode="External"/><Relationship Id="rId664" Type="http://schemas.openxmlformats.org/officeDocument/2006/relationships/hyperlink" Target="https://npiregistry.cms.hhs.gov/provider-view/1114313798" TargetMode="External"/><Relationship Id="rId871" Type="http://schemas.openxmlformats.org/officeDocument/2006/relationships/hyperlink" Target="https://www.google.com/maps/search/?api=1&amp;query=Vitality+Health+and+Wellness%2C+12100+Singletree+Ln%2C+Eden+Prairie%2C+MN+55344" TargetMode="External"/><Relationship Id="rId2345" Type="http://schemas.openxmlformats.org/officeDocument/2006/relationships/hyperlink" Target="https://www.google.com/maps/search/?api=1&amp;query=Birch+Lake+Chiropractic+Clinic%2C+LLC%2C+4635+White+Bear+Pkwy%2C+White+Bear+Lake%2C+MN+55110" TargetMode="External"/><Relationship Id="rId2552" Type="http://schemas.openxmlformats.org/officeDocument/2006/relationships/hyperlink" Target="https://npiregistry.cms.hhs.gov/provider-view/1407208317" TargetMode="External"/><Relationship Id="rId3603" Type="http://schemas.openxmlformats.org/officeDocument/2006/relationships/hyperlink" Target="https://www.google.com/maps/search/?api=1&amp;query=Aim+Chiropractic+PC%2C+101+Coney+St+W%2C+Perham%2C+MN+56573" TargetMode="External"/><Relationship Id="rId3810" Type="http://schemas.openxmlformats.org/officeDocument/2006/relationships/hyperlink" Target="https://npiregistry.cms.hhs.gov/provider-view/1407343221" TargetMode="External"/><Relationship Id="rId317" Type="http://schemas.openxmlformats.org/officeDocument/2006/relationships/hyperlink" Target="https://www.google.com/maps/search/?api=1&amp;query=Lobash+Chiropractic+Clinic+PLLC%2C+14635+Pennock+Ave%2C+Apple+Valley%2C+MN+55124" TargetMode="External"/><Relationship Id="rId524" Type="http://schemas.openxmlformats.org/officeDocument/2006/relationships/hyperlink" Target="https://npiregistry.cms.hhs.gov/provider-view/1598912818" TargetMode="External"/><Relationship Id="rId731" Type="http://schemas.openxmlformats.org/officeDocument/2006/relationships/hyperlink" Target="https://www.google.com/maps/search/?api=1&amp;query=Maximum+Life+Chiropractic%2C+8509+Jefferson+Ln+N%2C+Brooklyn+Park%2C+MN+55445" TargetMode="External"/><Relationship Id="rId1154" Type="http://schemas.openxmlformats.org/officeDocument/2006/relationships/hyperlink" Target="https://npiregistry.cms.hhs.gov/provider-view/1326473273" TargetMode="External"/><Relationship Id="rId1361" Type="http://schemas.openxmlformats.org/officeDocument/2006/relationships/hyperlink" Target="https://www.google.com/maps/search/?api=1&amp;query=Minneapolis+Chiropractic+Center%2C+1216+W+Lake+St%2C+Minneapolis%2C+MN+55408" TargetMode="External"/><Relationship Id="rId2205" Type="http://schemas.openxmlformats.org/officeDocument/2006/relationships/hyperlink" Target="https://www.google.com/maps/search/?api=1&amp;query=Minnesota+Chiropractic+Center%2C+PA%2C+1959+Sloan+Pl%2C+St.+Paul%2C+MN+55117" TargetMode="External"/><Relationship Id="rId2412" Type="http://schemas.openxmlformats.org/officeDocument/2006/relationships/hyperlink" Target="https://npiregistry.cms.hhs.gov/provider-view/1528457645" TargetMode="External"/><Relationship Id="rId1014" Type="http://schemas.openxmlformats.org/officeDocument/2006/relationships/hyperlink" Target="https://npiregistry.cms.hhs.gov/provider-view/1124238480" TargetMode="External"/><Relationship Id="rId1221" Type="http://schemas.openxmlformats.org/officeDocument/2006/relationships/hyperlink" Target="https://www.google.com/maps/search/?api=1&amp;query=Central+Avenue+Spine+%26+Rehab%2C+INC%2C+931+20th+Ave+NE%2C+Minneapolis%2C+MN+55418" TargetMode="External"/><Relationship Id="rId3186" Type="http://schemas.openxmlformats.org/officeDocument/2006/relationships/hyperlink" Target="https://npiregistry.cms.hhs.gov/provider-view/1437127834" TargetMode="External"/><Relationship Id="rId3393" Type="http://schemas.openxmlformats.org/officeDocument/2006/relationships/hyperlink" Target="https://www.google.com/maps/search/?api=1&amp;query=Northern+Lakes+Chiropractic+LLC%2C+2340+Mountain+Shadow+Dr%2C+Duluth%2C+MN+55811" TargetMode="External"/><Relationship Id="rId3046" Type="http://schemas.openxmlformats.org/officeDocument/2006/relationships/hyperlink" Target="https://npiregistry.cms.hhs.gov/provider-view/1972520773" TargetMode="External"/><Relationship Id="rId3253" Type="http://schemas.openxmlformats.org/officeDocument/2006/relationships/hyperlink" Target="https://www.google.com/maps/search/?api=1&amp;query=Telic+Family+Chiropractic%2C+19157+Soder+Road%2C+Brainerd%2C+MN+56401" TargetMode="External"/><Relationship Id="rId3460" Type="http://schemas.openxmlformats.org/officeDocument/2006/relationships/hyperlink" Target="https://npiregistry.cms.hhs.gov/provider-view/1932240413" TargetMode="External"/><Relationship Id="rId174" Type="http://schemas.openxmlformats.org/officeDocument/2006/relationships/hyperlink" Target="https://npiregistry.cms.hhs.gov/provider-view/1225306608" TargetMode="External"/><Relationship Id="rId381" Type="http://schemas.openxmlformats.org/officeDocument/2006/relationships/hyperlink" Target="https://www.google.com/maps/search/?api=1&amp;query=Sailer+Chiropractic+Center%2C+403+W+Burnsville+Pkwy%2C+Burnsville%2C+MN+55337" TargetMode="External"/><Relationship Id="rId2062" Type="http://schemas.openxmlformats.org/officeDocument/2006/relationships/hyperlink" Target="https://npiregistry.cms.hhs.gov/provider-view/1588711857" TargetMode="External"/><Relationship Id="rId3113" Type="http://schemas.openxmlformats.org/officeDocument/2006/relationships/hyperlink" Target="https://www.google.com/maps/search/?api=1&amp;query=Spandl+Chiropractic+PC.%2C+518+2nd+Ave+NE%2C+Staples%2C+MN+56479" TargetMode="External"/><Relationship Id="rId241" Type="http://schemas.openxmlformats.org/officeDocument/2006/relationships/hyperlink" Target="https://www.google.com/maps/search/?api=1&amp;query=Neubauer+Chiropractic+Health+Center%2C+PA%2C+20+W+Main+St%2C+Waconia%2C+MN+55387" TargetMode="External"/><Relationship Id="rId3320" Type="http://schemas.openxmlformats.org/officeDocument/2006/relationships/hyperlink" Target="https://npiregistry.cms.hhs.gov/provider-view/1487980488" TargetMode="External"/><Relationship Id="rId2879" Type="http://schemas.openxmlformats.org/officeDocument/2006/relationships/hyperlink" Target="https://www.google.com/maps/search/?api=1&amp;query=Doctors+INC%2C+804+12th+St+E%2C+Glencoe%2C+MN+55336" TargetMode="External"/><Relationship Id="rId101" Type="http://schemas.openxmlformats.org/officeDocument/2006/relationships/hyperlink" Target="https://www.google.com/maps/search/?api=1&amp;query=North+Suburban+Chiropractic+Clinic+PA.%2C+12045+Hanson+Blvd+NW%2C+Coon+Rapids%2C+MN+55448" TargetMode="External"/><Relationship Id="rId1688" Type="http://schemas.openxmlformats.org/officeDocument/2006/relationships/hyperlink" Target="https://npiregistry.cms.hhs.gov/provider-view/1578945366" TargetMode="External"/><Relationship Id="rId1895" Type="http://schemas.openxmlformats.org/officeDocument/2006/relationships/hyperlink" Target="https://www.google.com/maps/search/?api=1&amp;query=Center+For+Diagnostic+Imaging%2C+1860+Beam+Avenue%2C+Maplewood%2C+MN+55109" TargetMode="External"/><Relationship Id="rId2739" Type="http://schemas.openxmlformats.org/officeDocument/2006/relationships/hyperlink" Target="https://www.google.com/maps/search/?api=1&amp;query=Seasons+Family+Chiropractic%2C+8425+Seasons+Pkwy%2C+Woodbury%2C+MN+55125" TargetMode="External"/><Relationship Id="rId2946" Type="http://schemas.openxmlformats.org/officeDocument/2006/relationships/hyperlink" Target="https://npiregistry.cms.hhs.gov/provider-view/1295184661" TargetMode="External"/><Relationship Id="rId4094" Type="http://schemas.openxmlformats.org/officeDocument/2006/relationships/hyperlink" Target="https://npiregistry.cms.hhs.gov/provider-view/1477837391" TargetMode="External"/><Relationship Id="rId918" Type="http://schemas.openxmlformats.org/officeDocument/2006/relationships/hyperlink" Target="https://npiregistry.cms.hhs.gov/provider-view/1689884801" TargetMode="External"/><Relationship Id="rId1548" Type="http://schemas.openxmlformats.org/officeDocument/2006/relationships/hyperlink" Target="https://npiregistry.cms.hhs.gov/provider-view/1982943320" TargetMode="External"/><Relationship Id="rId1755" Type="http://schemas.openxmlformats.org/officeDocument/2006/relationships/hyperlink" Target="https://www.google.com/maps/search/?api=1&amp;query=Clear+Health+Chiropractic+LLC%2C+5801+Cedar+Lake+Rd+S%2C+St.+Louis+Park%2C+MN+55416" TargetMode="External"/><Relationship Id="rId4161" Type="http://schemas.openxmlformats.org/officeDocument/2006/relationships/hyperlink" Target="https://www.google.com/maps/search/?api=1&amp;query=Lundell+Chiropractic+Health+Center%2C+1222+Granite+St%2C+Granite+Falls%2C+MN+56241" TargetMode="External"/><Relationship Id="rId1408" Type="http://schemas.openxmlformats.org/officeDocument/2006/relationships/hyperlink" Target="https://npiregistry.cms.hhs.gov/provider-view/1194912444" TargetMode="External"/><Relationship Id="rId1962" Type="http://schemas.openxmlformats.org/officeDocument/2006/relationships/hyperlink" Target="https://npiregistry.cms.hhs.gov/provider-view/1033393392" TargetMode="External"/><Relationship Id="rId2806" Type="http://schemas.openxmlformats.org/officeDocument/2006/relationships/hyperlink" Target="https://npiregistry.cms.hhs.gov/provider-view/1215132972" TargetMode="External"/><Relationship Id="rId4021" Type="http://schemas.openxmlformats.org/officeDocument/2006/relationships/hyperlink" Target="https://www.google.com/maps/search/?api=1&amp;query=Meisel+Chiropractic+Center%2C+PA%2C+856+W+5th+St%2C+Winona%2C+MN+55987" TargetMode="External"/><Relationship Id="rId47" Type="http://schemas.openxmlformats.org/officeDocument/2006/relationships/hyperlink" Target="https://www.google.com/maps/search/?api=1&amp;query=Evolve+Chiropractic+LLC%2C+11820+Ulysses+St+NE%2C+Blaine%2C+MN+55434" TargetMode="External"/><Relationship Id="rId1615" Type="http://schemas.openxmlformats.org/officeDocument/2006/relationships/hyperlink" Target="https://www.google.com/maps/search/?api=1&amp;query=J.beck+Chiropractic+%26+Wellness%2C+PA.%2C+3021+Harbor+Ln+N%2C+Plymouth%2C+MN+55447" TargetMode="External"/><Relationship Id="rId1822" Type="http://schemas.openxmlformats.org/officeDocument/2006/relationships/hyperlink" Target="https://npiregistry.cms.hhs.gov/provider-view/1598066086" TargetMode="External"/><Relationship Id="rId3787" Type="http://schemas.openxmlformats.org/officeDocument/2006/relationships/hyperlink" Target="https://www.google.com/maps/search/?api=1&amp;query=Meints+Chiropractic+%26+Wellness+PA%2C+500+S+Main+Street%2C+Pine+Island%2C+MN+55963" TargetMode="External"/><Relationship Id="rId3994" Type="http://schemas.openxmlformats.org/officeDocument/2006/relationships/hyperlink" Target="https://npiregistry.cms.hhs.gov/provider-view/1871713362" TargetMode="External"/><Relationship Id="rId2389" Type="http://schemas.openxmlformats.org/officeDocument/2006/relationships/hyperlink" Target="https://www.google.com/maps/search/?api=1&amp;query=Chiropractic+Specialists%2C+INC.%2C+212+2nd+St+E%2C+Jordan%2C+MN+55352" TargetMode="External"/><Relationship Id="rId2596" Type="http://schemas.openxmlformats.org/officeDocument/2006/relationships/hyperlink" Target="https://npiregistry.cms.hhs.gov/provider-view/1912169087" TargetMode="External"/><Relationship Id="rId3647" Type="http://schemas.openxmlformats.org/officeDocument/2006/relationships/hyperlink" Target="https://www.google.com/maps/search/?api=1&amp;query=Discover+Chiropractic+Corp%2C+PC%2C+1601+N+Riverfront+Dr%2C+Mankato%2C+MN+56001" TargetMode="External"/><Relationship Id="rId3854" Type="http://schemas.openxmlformats.org/officeDocument/2006/relationships/hyperlink" Target="https://npiregistry.cms.hhs.gov/provider-view/1528255973" TargetMode="External"/><Relationship Id="rId568" Type="http://schemas.openxmlformats.org/officeDocument/2006/relationships/hyperlink" Target="https://npiregistry.cms.hhs.gov/provider-view/1528350048" TargetMode="External"/><Relationship Id="rId775" Type="http://schemas.openxmlformats.org/officeDocument/2006/relationships/hyperlink" Target="https://www.google.com/maps/search/?api=1&amp;query=Pdr+Chanhassen%2C+LTD%2C+18912+Lake+Dr+E%2C+Chanhassen%2C+MN+55317" TargetMode="External"/><Relationship Id="rId982" Type="http://schemas.openxmlformats.org/officeDocument/2006/relationships/hyperlink" Target="https://npiregistry.cms.hhs.gov/provider-view/1851858872" TargetMode="External"/><Relationship Id="rId1198" Type="http://schemas.openxmlformats.org/officeDocument/2006/relationships/hyperlink" Target="https://npiregistry.cms.hhs.gov/provider-view/1699384198" TargetMode="External"/><Relationship Id="rId2249" Type="http://schemas.openxmlformats.org/officeDocument/2006/relationships/hyperlink" Target="https://www.google.com/maps/search/?api=1&amp;query=Sentinel+Medical+Associates%2C+PA.%2C+514+Saint+Peter+St%2C+St.+Paul%2C+MN+55102" TargetMode="External"/><Relationship Id="rId2456" Type="http://schemas.openxmlformats.org/officeDocument/2006/relationships/hyperlink" Target="https://npiregistry.cms.hhs.gov/provider-view/1619272630" TargetMode="External"/><Relationship Id="rId2663" Type="http://schemas.openxmlformats.org/officeDocument/2006/relationships/hyperlink" Target="https://www.google.com/maps/search/?api=1&amp;query=Restorative+Laser+Therapy+LLC.%2C+116+Chestnut+St+E%2C+Stillwater%2C+MN+55082" TargetMode="External"/><Relationship Id="rId2870" Type="http://schemas.openxmlformats.org/officeDocument/2006/relationships/hyperlink" Target="https://npiregistry.cms.hhs.gov/provider-view/1922362813" TargetMode="External"/><Relationship Id="rId3507" Type="http://schemas.openxmlformats.org/officeDocument/2006/relationships/hyperlink" Target="https://www.google.com/maps/search/?api=1&amp;query=C.o.m.p.e.t.e+Physical+Therapy+%26+Wellness+LLC%2C+1517+Johnson+Dr%2C+Moorhead%2C+MN+56560" TargetMode="External"/><Relationship Id="rId3714" Type="http://schemas.openxmlformats.org/officeDocument/2006/relationships/hyperlink" Target="https://npiregistry.cms.hhs.gov/provider-view/1114089877" TargetMode="External"/><Relationship Id="rId3921" Type="http://schemas.openxmlformats.org/officeDocument/2006/relationships/hyperlink" Target="https://www.google.com/maps/search/?api=1&amp;query=Advanced+Body+Chiropractic+PA%2C+93+20th+St+NE%2C+Stewartville%2C+MN+55976" TargetMode="External"/><Relationship Id="rId428" Type="http://schemas.openxmlformats.org/officeDocument/2006/relationships/hyperlink" Target="https://npiregistry.cms.hhs.gov/provider-view/1326197542" TargetMode="External"/><Relationship Id="rId635" Type="http://schemas.openxmlformats.org/officeDocument/2006/relationships/hyperlink" Target="https://www.google.com/maps/search/?api=1&amp;query=Global+Athlete+Village%2C+3600+W+98th+St%2C+Bloomington%2C+MN+55431" TargetMode="External"/><Relationship Id="rId842" Type="http://schemas.openxmlformats.org/officeDocument/2006/relationships/hyperlink" Target="https://npiregistry.cms.hhs.gov/provider-view/1154592434" TargetMode="External"/><Relationship Id="rId1058" Type="http://schemas.openxmlformats.org/officeDocument/2006/relationships/hyperlink" Target="https://npiregistry.cms.hhs.gov/provider-view/1356684039" TargetMode="External"/><Relationship Id="rId1265" Type="http://schemas.openxmlformats.org/officeDocument/2006/relationships/hyperlink" Target="https://www.google.com/maps/search/?api=1&amp;query=Franklin+Chiropractic%2C+PA.%2C+1433+E+Franklin+Ave%2C+Minneapolis%2C+MN+55404" TargetMode="External"/><Relationship Id="rId1472" Type="http://schemas.openxmlformats.org/officeDocument/2006/relationships/hyperlink" Target="https://npiregistry.cms.hhs.gov/provider-view/1194085035" TargetMode="External"/><Relationship Id="rId2109" Type="http://schemas.openxmlformats.org/officeDocument/2006/relationships/hyperlink" Target="https://www.google.com/maps/search/?api=1&amp;query=Concentra+Medical+Center%2C+570+Asbury+St%2C+St.+Paul%2C+MN+55104" TargetMode="External"/><Relationship Id="rId2316" Type="http://schemas.openxmlformats.org/officeDocument/2006/relationships/hyperlink" Target="https://npiregistry.cms.hhs.gov/provider-view/1477963353" TargetMode="External"/><Relationship Id="rId2523" Type="http://schemas.openxmlformats.org/officeDocument/2006/relationships/hyperlink" Target="https://www.google.com/maps/search/?api=1&amp;query=Schomaker+Chiropractic+Clinic%2C+PC.%2C+19022+Freeport+St.+NW%2C+Elk+River%2C+MN+55330" TargetMode="External"/><Relationship Id="rId2730" Type="http://schemas.openxmlformats.org/officeDocument/2006/relationships/hyperlink" Target="https://npiregistry.cms.hhs.gov/provider-view/1265967194" TargetMode="External"/><Relationship Id="rId702" Type="http://schemas.openxmlformats.org/officeDocument/2006/relationships/hyperlink" Target="https://npiregistry.cms.hhs.gov/provider-view/1144651613" TargetMode="External"/><Relationship Id="rId1125" Type="http://schemas.openxmlformats.org/officeDocument/2006/relationships/hyperlink" Target="https://www.google.com/maps/search/?api=1&amp;query=Health+Within+Chiropractic+Center%2C+PLLC%2C+7200+Hemlock+Ln+N%2C+Maple+Grove%2C+MN+55369" TargetMode="External"/><Relationship Id="rId1332" Type="http://schemas.openxmlformats.org/officeDocument/2006/relationships/hyperlink" Target="https://npiregistry.cms.hhs.gov/provider-view/1205035524" TargetMode="External"/><Relationship Id="rId3297" Type="http://schemas.openxmlformats.org/officeDocument/2006/relationships/hyperlink" Target="https://www.google.com/maps/search/?api=1&amp;query=Denver+Chiropractic%2C+107+SE+10th+St%2C+Grand+Rapids%2C+MN+55744" TargetMode="External"/><Relationship Id="rId3157" Type="http://schemas.openxmlformats.org/officeDocument/2006/relationships/hyperlink" Target="https://www.google.com/maps/search/?api=1&amp;query=Explore+Chiropractic%2C+223+3rd+St+NW%2C+Bemidji%2C+MN+56601" TargetMode="External"/><Relationship Id="rId285" Type="http://schemas.openxmlformats.org/officeDocument/2006/relationships/hyperlink" Target="https://www.google.com/maps/search/?api=1&amp;query=Advanced+Chiropractic+of+Apple+Valley+INC%2C+7700+145th+St+W%2C+Apple+Valley%2C+MN+55124" TargetMode="External"/><Relationship Id="rId3364" Type="http://schemas.openxmlformats.org/officeDocument/2006/relationships/hyperlink" Target="https://npiregistry.cms.hhs.gov/provider-view/1831250810" TargetMode="External"/><Relationship Id="rId3571" Type="http://schemas.openxmlformats.org/officeDocument/2006/relationships/hyperlink" Target="https://www.google.com/maps/search/?api=1&amp;query=Advanced+Health+Strategies%2C+INC.%2C+801+Pebble+Lake+Rd%2C+Fergus+Falls%2C+MN+56537" TargetMode="External"/><Relationship Id="rId492" Type="http://schemas.openxmlformats.org/officeDocument/2006/relationships/hyperlink" Target="https://npiregistry.cms.hhs.gov/provider-view/1407050891" TargetMode="External"/><Relationship Id="rId2173" Type="http://schemas.openxmlformats.org/officeDocument/2006/relationships/hyperlink" Target="https://www.google.com/maps/search/?api=1&amp;query=Larry+Miller+Chiropractic%2C+INC.%2C+1636+County+Road+E+E%2C+St.+Paul%2C+MN+55110" TargetMode="External"/><Relationship Id="rId2380" Type="http://schemas.openxmlformats.org/officeDocument/2006/relationships/hyperlink" Target="https://npiregistry.cms.hhs.gov/provider-view/1134459571" TargetMode="External"/><Relationship Id="rId3017" Type="http://schemas.openxmlformats.org/officeDocument/2006/relationships/hyperlink" Target="https://www.google.com/maps/search/?api=1&amp;query=Stillpointe+Natural+Health+Center%2C+2330+Troop+Dr%2C+Sartell%2C+MN+56377" TargetMode="External"/><Relationship Id="rId3224" Type="http://schemas.openxmlformats.org/officeDocument/2006/relationships/hyperlink" Target="https://npiregistry.cms.hhs.gov/provider-view/1942400940" TargetMode="External"/><Relationship Id="rId3431" Type="http://schemas.openxmlformats.org/officeDocument/2006/relationships/hyperlink" Target="https://www.google.com/maps/search/?api=1&amp;query=Advantage+Therapy%2C+227+Mckinley+Ave%2C+Eveleth%2C+MN+55734" TargetMode="External"/><Relationship Id="rId145" Type="http://schemas.openxmlformats.org/officeDocument/2006/relationships/hyperlink" Target="https://www.google.com/maps/search/?api=1&amp;query=Resonance+Performance+Solutions%2C+6702+E+Shadow+Lake+Dr%2C+Lino+Lakes%2C+MN+55014" TargetMode="External"/><Relationship Id="rId352" Type="http://schemas.openxmlformats.org/officeDocument/2006/relationships/hyperlink" Target="https://npiregistry.cms.hhs.gov/provider-view/1447882170" TargetMode="External"/><Relationship Id="rId2033" Type="http://schemas.openxmlformats.org/officeDocument/2006/relationships/hyperlink" Target="https://www.google.com/maps/search/?api=1&amp;query=Healthwise+Family+Chiropractic%2C+PA.%2C+3803+Silver+Lake+Road%2C+St.+Anthony%2C+MN+55421" TargetMode="External"/><Relationship Id="rId2240" Type="http://schemas.openxmlformats.org/officeDocument/2006/relationships/hyperlink" Target="https://npiregistry.cms.hhs.gov/provider-view/1194791384" TargetMode="External"/><Relationship Id="rId212" Type="http://schemas.openxmlformats.org/officeDocument/2006/relationships/hyperlink" Target="https://npiregistry.cms.hhs.gov/provider-view/1689868499" TargetMode="External"/><Relationship Id="rId1799" Type="http://schemas.openxmlformats.org/officeDocument/2006/relationships/hyperlink" Target="https://www.google.com/maps/search/?api=1&amp;query=Reset+Relax+Massage%2C+4833+Minnetonka+Blvd%2C+St.+Louis+Park%2C+MN+55416" TargetMode="External"/><Relationship Id="rId2100" Type="http://schemas.openxmlformats.org/officeDocument/2006/relationships/hyperlink" Target="https://npiregistry.cms.hhs.gov/provider-view/1568615102" TargetMode="External"/><Relationship Id="rId4065" Type="http://schemas.openxmlformats.org/officeDocument/2006/relationships/hyperlink" Target="https://www.google.com/maps/search/?api=1&amp;query=Prairie+Lakes+Therapies%2C+INC.%2C+2182+66th+Ave+NE%2C+Willmar%2C+MN+56201" TargetMode="External"/><Relationship Id="rId1659" Type="http://schemas.openxmlformats.org/officeDocument/2006/relationships/hyperlink" Target="https://www.google.com/maps/search/?api=1&amp;query=Wayzata+Orthopedic%27s+PA.%2C+2805+Campus+Dr%2C+Plymouth%2C+MN+55441" TargetMode="External"/><Relationship Id="rId1866" Type="http://schemas.openxmlformats.org/officeDocument/2006/relationships/hyperlink" Target="https://npiregistry.cms.hhs.gov/provider-view/1972812725" TargetMode="External"/><Relationship Id="rId2917" Type="http://schemas.openxmlformats.org/officeDocument/2006/relationships/hyperlink" Target="https://www.google.com/maps/search/?api=1&amp;query=Milaca+Chiropractic+Center%2C+105+Central+Ave+S%2C+Milaca%2C+MN+56353" TargetMode="External"/><Relationship Id="rId3081" Type="http://schemas.openxmlformats.org/officeDocument/2006/relationships/hyperlink" Target="https://www.google.com/maps/search/?api=1&amp;query=Westside+Chiropractic+Clinic%2C+INC.%2C+4142+2nd+St+S%2C+St.+Cloud%2C+MN+56301" TargetMode="External"/><Relationship Id="rId4132" Type="http://schemas.openxmlformats.org/officeDocument/2006/relationships/hyperlink" Target="https://npiregistry.cms.hhs.gov/provider-view/1740334929" TargetMode="External"/><Relationship Id="rId1519" Type="http://schemas.openxmlformats.org/officeDocument/2006/relationships/hyperlink" Target="https://www.google.com/maps/search/?api=1&amp;query=Fox+Rehabilitation+Services+MN+LLC%2C+500+Carlson+Pkwy%2C+Minnetonka%2C+MN+55305" TargetMode="External"/><Relationship Id="rId1726" Type="http://schemas.openxmlformats.org/officeDocument/2006/relationships/hyperlink" Target="https://npiregistry.cms.hhs.gov/provider-view/1386817005" TargetMode="External"/><Relationship Id="rId1933" Type="http://schemas.openxmlformats.org/officeDocument/2006/relationships/hyperlink" Target="https://www.google.com/maps/search/?api=1&amp;query=Novacare+Outpatient+Rehabilitation+East+INC%2C+949+Old+Highway+8+NW%2C+New+Brighton%2C+MN+55112" TargetMode="External"/><Relationship Id="rId18" Type="http://schemas.openxmlformats.org/officeDocument/2006/relationships/hyperlink" Target="https://npiregistry.cms.hhs.gov/provider-view/1184766842" TargetMode="External"/><Relationship Id="rId3898" Type="http://schemas.openxmlformats.org/officeDocument/2006/relationships/hyperlink" Target="https://npiregistry.cms.hhs.gov/provider-view/1699175430" TargetMode="External"/><Relationship Id="rId3758" Type="http://schemas.openxmlformats.org/officeDocument/2006/relationships/hyperlink" Target="https://npiregistry.cms.hhs.gov/provider-view/1639374416" TargetMode="External"/><Relationship Id="rId3965" Type="http://schemas.openxmlformats.org/officeDocument/2006/relationships/hyperlink" Target="https://www.google.com/maps/search/?api=1&amp;query=Burnham+Clinic+PLLC%2C+1015+W+Frontage+Rd%2C+Owatonna%2C+MN+55060" TargetMode="External"/><Relationship Id="rId679" Type="http://schemas.openxmlformats.org/officeDocument/2006/relationships/hyperlink" Target="https://www.google.com/maps/search/?api=1&amp;query=Brooklyn+Center+Neck+%26+Back+Clinic%2C+2781+Freeway+Blvd%2C+Brooklyn+Center%2C+MN+55430" TargetMode="External"/><Relationship Id="rId886" Type="http://schemas.openxmlformats.org/officeDocument/2006/relationships/hyperlink" Target="https://npiregistry.cms.hhs.gov/provider-view/1447699335" TargetMode="External"/><Relationship Id="rId2567" Type="http://schemas.openxmlformats.org/officeDocument/2006/relationships/hyperlink" Target="https://www.google.com/maps/search/?api=1&amp;query=Health+Dynamics%2C+25+Lake+St+N%2C+Forest+Lake%2C+MN+55025" TargetMode="External"/><Relationship Id="rId2774" Type="http://schemas.openxmlformats.org/officeDocument/2006/relationships/hyperlink" Target="https://npiregistry.cms.hhs.gov/provider-view/1104822717" TargetMode="External"/><Relationship Id="rId3618" Type="http://schemas.openxmlformats.org/officeDocument/2006/relationships/hyperlink" Target="https://npiregistry.cms.hhs.gov/provider-view/1306467907" TargetMode="External"/><Relationship Id="rId2" Type="http://schemas.openxmlformats.org/officeDocument/2006/relationships/hyperlink" Target="https://npiregistry.cms.hhs.gov/provider-view/1396864732" TargetMode="External"/><Relationship Id="rId539" Type="http://schemas.openxmlformats.org/officeDocument/2006/relationships/hyperlink" Target="https://www.google.com/maps/search/?api=1&amp;query=Lubovich+Chiropractic%2C+PA.%2C+10880+175th+Ct+W%2C+Lakeville%2C+MN+55044" TargetMode="External"/><Relationship Id="rId746" Type="http://schemas.openxmlformats.org/officeDocument/2006/relationships/hyperlink" Target="https://npiregistry.cms.hhs.gov/provider-view/1275778763" TargetMode="External"/><Relationship Id="rId1169" Type="http://schemas.openxmlformats.org/officeDocument/2006/relationships/hyperlink" Target="https://www.google.com/maps/search/?api=1&amp;query=Trillium+Chiropractic+%26+Wellness+PA%2C+13700+Reimer+Dr%2C+Maple+Grove%2C+MN+55311" TargetMode="External"/><Relationship Id="rId1376" Type="http://schemas.openxmlformats.org/officeDocument/2006/relationships/hyperlink" Target="https://npiregistry.cms.hhs.gov/provider-view/1700115870" TargetMode="External"/><Relationship Id="rId1583" Type="http://schemas.openxmlformats.org/officeDocument/2006/relationships/hyperlink" Target="https://www.google.com/maps/search/?api=1&amp;query=Osseo+Chiropractic+Clinic%2C+220+Central+Ave%2C+Osseo%2C+MN+55369" TargetMode="External"/><Relationship Id="rId2427" Type="http://schemas.openxmlformats.org/officeDocument/2006/relationships/hyperlink" Target="https://www.google.com/maps/search/?api=1&amp;query=Spratt+Chiropractic%2C+PLLC+Dba+Todd+J.+Spratt%2C+DC%2C+5116+Gateway+St+SE%2C+Prior+Lake%2C+MN+55372" TargetMode="External"/><Relationship Id="rId2981" Type="http://schemas.openxmlformats.org/officeDocument/2006/relationships/hyperlink" Target="https://www.google.com/maps/search/?api=1&amp;query=Integrated+Health+%26+Wellness+Center%2C+LLC%2C+103+3rd+Ave+NE%2C+Freeport%2C+MN+56331" TargetMode="External"/><Relationship Id="rId3825" Type="http://schemas.openxmlformats.org/officeDocument/2006/relationships/hyperlink" Target="https://www.google.com/maps/search/?api=1&amp;query=Spring+Grove+Family+Chiropractic%2C+PA%2C+102+1st+St+SE%2C+Spring+Grove%2C+MN+55974" TargetMode="External"/><Relationship Id="rId953" Type="http://schemas.openxmlformats.org/officeDocument/2006/relationships/hyperlink" Target="https://www.google.com/maps/search/?api=1&amp;query=Orthopedic+Specialists%2C+PA.%2C+6600+France+Ave+S%2C+Edina%2C+MN+55435" TargetMode="External"/><Relationship Id="rId1029" Type="http://schemas.openxmlformats.org/officeDocument/2006/relationships/hyperlink" Target="https://www.google.com/maps/search/?api=1&amp;query=Courage+Center%2C+3915+Golden+Valley+Rd%2C+Golden+Valley%2C+MN+55422" TargetMode="External"/><Relationship Id="rId1236" Type="http://schemas.openxmlformats.org/officeDocument/2006/relationships/hyperlink" Target="https://npiregistry.cms.hhs.gov/provider-view/1508018490" TargetMode="External"/><Relationship Id="rId1790" Type="http://schemas.openxmlformats.org/officeDocument/2006/relationships/hyperlink" Target="https://npiregistry.cms.hhs.gov/provider-view/1699925479" TargetMode="External"/><Relationship Id="rId2634" Type="http://schemas.openxmlformats.org/officeDocument/2006/relationships/hyperlink" Target="https://npiregistry.cms.hhs.gov/provider-view/1740325299" TargetMode="External"/><Relationship Id="rId2841" Type="http://schemas.openxmlformats.org/officeDocument/2006/relationships/hyperlink" Target="https://www.google.com/maps/search/?api=1&amp;query=Rockford+Chiropractic%2C+9000+Walnut+Street%2C+Rockford%2C+MN+55373" TargetMode="External"/><Relationship Id="rId82" Type="http://schemas.openxmlformats.org/officeDocument/2006/relationships/hyperlink" Target="https://npiregistry.cms.hhs.gov/provider-view/1992992788" TargetMode="External"/><Relationship Id="rId606" Type="http://schemas.openxmlformats.org/officeDocument/2006/relationships/hyperlink" Target="https://npiregistry.cms.hhs.gov/provider-view/1487086153" TargetMode="External"/><Relationship Id="rId813" Type="http://schemas.openxmlformats.org/officeDocument/2006/relationships/hyperlink" Target="https://www.google.com/maps/search/?api=1&amp;query=Dr.+Paul+C+Deglmann+DC%2C+LLC%2C+6805+Flying+Cloud+Drive%2C+Eden+Prairie%2C+MN+55344" TargetMode="External"/><Relationship Id="rId1443" Type="http://schemas.openxmlformats.org/officeDocument/2006/relationships/hyperlink" Target="https://www.google.com/maps/search/?api=1&amp;query=Step+Ahead+Therapy%2C+2781+Freeway+Blvd%2C+Minneapolis%2C+MN+55430" TargetMode="External"/><Relationship Id="rId1650" Type="http://schemas.openxmlformats.org/officeDocument/2006/relationships/hyperlink" Target="https://npiregistry.cms.hhs.gov/provider-view/1508535170" TargetMode="External"/><Relationship Id="rId2701" Type="http://schemas.openxmlformats.org/officeDocument/2006/relationships/hyperlink" Target="https://www.google.com/maps/search/?api=1&amp;query=Family+Achievement+Center+INC.%2C+2101+Wooddale+Dr%2C+Woodbury%2C+MN+55125" TargetMode="External"/><Relationship Id="rId1303" Type="http://schemas.openxmlformats.org/officeDocument/2006/relationships/hyperlink" Target="https://www.google.com/maps/search/?api=1&amp;query=Jai+Healing+Studio%2C+4801+1%2F2+Nicollet+Ave%2C+Minneapolis%2C+MN+55419" TargetMode="External"/><Relationship Id="rId1510" Type="http://schemas.openxmlformats.org/officeDocument/2006/relationships/hyperlink" Target="https://npiregistry.cms.hhs.gov/provider-view/1104364777" TargetMode="External"/><Relationship Id="rId3268" Type="http://schemas.openxmlformats.org/officeDocument/2006/relationships/hyperlink" Target="https://npiregistry.cms.hhs.gov/provider-view/1932684933" TargetMode="External"/><Relationship Id="rId3475" Type="http://schemas.openxmlformats.org/officeDocument/2006/relationships/hyperlink" Target="https://www.google.com/maps/search/?api=1&amp;query=Biermaier+Chiropractic+Clinic+PA.%2C+1226+University+Ave%2C+Crookston%2C+MN+56716" TargetMode="External"/><Relationship Id="rId3682" Type="http://schemas.openxmlformats.org/officeDocument/2006/relationships/hyperlink" Target="https://npiregistry.cms.hhs.gov/provider-view/1750578993" TargetMode="External"/><Relationship Id="rId189" Type="http://schemas.openxmlformats.org/officeDocument/2006/relationships/hyperlink" Target="https://www.google.com/maps/search/?api=1&amp;query=Ridgeview+Chanhassen+Clinic%2Fwestern+Orthopaedics+%26+Sports+Medicine+Con%2C+7907+Powers+Blvd%2C+Chanhassen%2C+MN+55317" TargetMode="External"/><Relationship Id="rId396" Type="http://schemas.openxmlformats.org/officeDocument/2006/relationships/hyperlink" Target="https://npiregistry.cms.hhs.gov/provider-view/1871915470" TargetMode="External"/><Relationship Id="rId2077" Type="http://schemas.openxmlformats.org/officeDocument/2006/relationships/hyperlink" Target="https://www.google.com/maps/search/?api=1&amp;query=Central+Medical+Clinic+PLLC%2C+393+Dunlap+St+N%2C+St.+Paul%2C+MN+55104" TargetMode="External"/><Relationship Id="rId2284" Type="http://schemas.openxmlformats.org/officeDocument/2006/relationships/hyperlink" Target="https://npiregistry.cms.hhs.gov/provider-view/1366501736" TargetMode="External"/><Relationship Id="rId2491" Type="http://schemas.openxmlformats.org/officeDocument/2006/relationships/hyperlink" Target="https://www.google.com/maps/search/?api=1&amp;query=South+Shakopee+Chiropractic%2C+1830+Marschall+Rd%2C+Shakopee%2C+MN+55379" TargetMode="External"/><Relationship Id="rId3128" Type="http://schemas.openxmlformats.org/officeDocument/2006/relationships/hyperlink" Target="https://npiregistry.cms.hhs.gov/provider-view/1235793886" TargetMode="External"/><Relationship Id="rId3335" Type="http://schemas.openxmlformats.org/officeDocument/2006/relationships/hyperlink" Target="https://www.google.com/maps/search/?api=1&amp;query=Chiropractic+Up+North%2C+INC.%2C+2205+2nd+Ave.+West%2C+Int%27l.+Falls%2C+MN+56649" TargetMode="External"/><Relationship Id="rId3542" Type="http://schemas.openxmlformats.org/officeDocument/2006/relationships/hyperlink" Target="https://npiregistry.cms.hhs.gov/provider-view/1144735960" TargetMode="External"/><Relationship Id="rId256" Type="http://schemas.openxmlformats.org/officeDocument/2006/relationships/hyperlink" Target="https://npiregistry.cms.hhs.gov/provider-view/1447549498" TargetMode="External"/><Relationship Id="rId463" Type="http://schemas.openxmlformats.org/officeDocument/2006/relationships/hyperlink" Target="https://www.google.com/maps/search/?api=1&amp;query=South+Lexington+Chiropractic%2C+PA.%2C+4250+Lexington+Ave+S%2C+Eagan%2C+MN+55123" TargetMode="External"/><Relationship Id="rId670" Type="http://schemas.openxmlformats.org/officeDocument/2006/relationships/hyperlink" Target="https://npiregistry.cms.hhs.gov/provider-view/1972680940" TargetMode="External"/><Relationship Id="rId1093" Type="http://schemas.openxmlformats.org/officeDocument/2006/relationships/hyperlink" Target="https://www.google.com/maps/search/?api=1&amp;query=Progressive+Health+Care+Solutions%2C+724+Mainstreet%2C+Hopkins%2C+MN+55343" TargetMode="External"/><Relationship Id="rId2144" Type="http://schemas.openxmlformats.org/officeDocument/2006/relationships/hyperlink" Target="https://npiregistry.cms.hhs.gov/provider-view/1972790269" TargetMode="External"/><Relationship Id="rId2351" Type="http://schemas.openxmlformats.org/officeDocument/2006/relationships/hyperlink" Target="https://www.google.com/maps/search/?api=1&amp;query=For+Your+Well+Being+Chiropractic%2C+INC%2C+2479+E.+County+Rd.+E%2C+White+Bear+Lake%2C+MN+55110" TargetMode="External"/><Relationship Id="rId3402" Type="http://schemas.openxmlformats.org/officeDocument/2006/relationships/hyperlink" Target="https://npiregistry.cms.hhs.gov/provider-view/1821364795" TargetMode="External"/><Relationship Id="rId116" Type="http://schemas.openxmlformats.org/officeDocument/2006/relationships/hyperlink" Target="https://npiregistry.cms.hhs.gov/provider-view/1073642567" TargetMode="External"/><Relationship Id="rId323" Type="http://schemas.openxmlformats.org/officeDocument/2006/relationships/hyperlink" Target="https://www.google.com/maps/search/?api=1&amp;query=Premier+Life+Chiropractic+PA.%2C+7000+151st+St+W%2C+Apple+Valley%2C+MN+55124" TargetMode="External"/><Relationship Id="rId530" Type="http://schemas.openxmlformats.org/officeDocument/2006/relationships/hyperlink" Target="https://npiregistry.cms.hhs.gov/provider-view/1225115405" TargetMode="External"/><Relationship Id="rId1160" Type="http://schemas.openxmlformats.org/officeDocument/2006/relationships/hyperlink" Target="https://npiregistry.cms.hhs.gov/provider-view/1720337249" TargetMode="External"/><Relationship Id="rId2004" Type="http://schemas.openxmlformats.org/officeDocument/2006/relationships/hyperlink" Target="https://npiregistry.cms.hhs.gov/provider-view/1639208739" TargetMode="External"/><Relationship Id="rId2211" Type="http://schemas.openxmlformats.org/officeDocument/2006/relationships/hyperlink" Target="https://www.google.com/maps/search/?api=1&amp;query=North+St+Paul+Chiropractic+Office%2C+PA.%2C+2516+7th+Ave+E%2C+St.+Paul%2C+MN+55109" TargetMode="External"/><Relationship Id="rId1020" Type="http://schemas.openxmlformats.org/officeDocument/2006/relationships/hyperlink" Target="https://npiregistry.cms.hhs.gov/provider-view/1760650840" TargetMode="External"/><Relationship Id="rId1977" Type="http://schemas.openxmlformats.org/officeDocument/2006/relationships/hyperlink" Target="https://www.google.com/maps/search/?api=1&amp;query=Norling+Chiropractic%2C+1752+Lexington+Ave+N%2C+Roseville%2C+MN+55113" TargetMode="External"/><Relationship Id="rId1837" Type="http://schemas.openxmlformats.org/officeDocument/2006/relationships/hyperlink" Target="https://www.google.com/maps/search/?api=1&amp;query=Life+Chiropractic%3A+A+Wellness+Centre%2C+PC.%2C+109+Bushaway+Rd%2C+Wayzata%2C+MN+55391" TargetMode="External"/><Relationship Id="rId3192" Type="http://schemas.openxmlformats.org/officeDocument/2006/relationships/hyperlink" Target="https://npiregistry.cms.hhs.gov/provider-view/1306141882" TargetMode="External"/><Relationship Id="rId4036" Type="http://schemas.openxmlformats.org/officeDocument/2006/relationships/hyperlink" Target="https://npiregistry.cms.hhs.gov/provider-view/1083120372" TargetMode="External"/><Relationship Id="rId3052" Type="http://schemas.openxmlformats.org/officeDocument/2006/relationships/hyperlink" Target="https://npiregistry.cms.hhs.gov/provider-view/1215080940" TargetMode="External"/><Relationship Id="rId4103" Type="http://schemas.openxmlformats.org/officeDocument/2006/relationships/hyperlink" Target="https://www.google.com/maps/search/?api=1&amp;query=Adrian+Chiropractic+PLLC%2C+212+Maine+Ave%2C+Adrian%2C+MN+56110" TargetMode="External"/><Relationship Id="rId180" Type="http://schemas.openxmlformats.org/officeDocument/2006/relationships/hyperlink" Target="https://npiregistry.cms.hhs.gov/provider-view/1659304053" TargetMode="External"/><Relationship Id="rId1904" Type="http://schemas.openxmlformats.org/officeDocument/2006/relationships/hyperlink" Target="https://npiregistry.cms.hhs.gov/provider-view/1740578749" TargetMode="External"/><Relationship Id="rId3869" Type="http://schemas.openxmlformats.org/officeDocument/2006/relationships/hyperlink" Target="https://www.google.com/maps/search/?api=1&amp;query=Back+Treatment+Center%2C+1827+S+Broadway%2C+Rochester%2C+MN+55904" TargetMode="External"/><Relationship Id="rId997" Type="http://schemas.openxmlformats.org/officeDocument/2006/relationships/hyperlink" Target="https://www.google.com/maps/search/?api=1&amp;query=Davis+Chiropractic%2C+6140+Lake+Linden+Dr%2C+Excelsior%2C+MN+55331" TargetMode="External"/><Relationship Id="rId2678" Type="http://schemas.openxmlformats.org/officeDocument/2006/relationships/hyperlink" Target="https://npiregistry.cms.hhs.gov/provider-view/1558350488" TargetMode="External"/><Relationship Id="rId2885" Type="http://schemas.openxmlformats.org/officeDocument/2006/relationships/hyperlink" Target="https://www.google.com/maps/search/?api=1&amp;query=All+Family+Chiropractic%2C+246+Main+St+S%2C+Hutchinson%2C+MN+55350" TargetMode="External"/><Relationship Id="rId3729" Type="http://schemas.openxmlformats.org/officeDocument/2006/relationships/hyperlink" Target="https://www.google.com/maps/search/?api=1&amp;query=Slayton+Chiropractic+Clinic+PA.%2C+2002+Broadway+Ave%2C+Slayton%2C+MN+56172" TargetMode="External"/><Relationship Id="rId3936" Type="http://schemas.openxmlformats.org/officeDocument/2006/relationships/hyperlink" Target="https://npiregistry.cms.hhs.gov/provider-view/1659397784" TargetMode="External"/><Relationship Id="rId857" Type="http://schemas.openxmlformats.org/officeDocument/2006/relationships/hyperlink" Target="https://www.google.com/maps/search/?api=1&amp;query=Spinal+Health%2C+12100+Singletree+Ln%2C+Eden+Prairie%2C+MN+55344" TargetMode="External"/><Relationship Id="rId1487" Type="http://schemas.openxmlformats.org/officeDocument/2006/relationships/hyperlink" Target="https://www.google.com/maps/search/?api=1&amp;query=Wolff+Chiropractic%2C+5332+46th+Ave+S%2C+Minneapolis%2C+MN+55417" TargetMode="External"/><Relationship Id="rId1694" Type="http://schemas.openxmlformats.org/officeDocument/2006/relationships/hyperlink" Target="https://npiregistry.cms.hhs.gov/provider-view/1578569232" TargetMode="External"/><Relationship Id="rId2538" Type="http://schemas.openxmlformats.org/officeDocument/2006/relationships/hyperlink" Target="https://npiregistry.cms.hhs.gov/provider-view/1225438336" TargetMode="External"/><Relationship Id="rId2745" Type="http://schemas.openxmlformats.org/officeDocument/2006/relationships/hyperlink" Target="https://www.google.com/maps/search/?api=1&amp;query=Summit+Orthopedics%2C+LTD.%2C+7115+Tamarack+Rd%2C+Woodbury%2C+MN+55125" TargetMode="External"/><Relationship Id="rId2952" Type="http://schemas.openxmlformats.org/officeDocument/2006/relationships/hyperlink" Target="https://npiregistry.cms.hhs.gov/provider-view/1053497057" TargetMode="External"/><Relationship Id="rId717" Type="http://schemas.openxmlformats.org/officeDocument/2006/relationships/hyperlink" Target="https://www.google.com/maps/search/?api=1&amp;query=Frikken+Fitness%2C+LLC.%2C+8507+Jefferson+Ln+N%2C+Brooklyn+Park%2C+MN+55445" TargetMode="External"/><Relationship Id="rId924" Type="http://schemas.openxmlformats.org/officeDocument/2006/relationships/hyperlink" Target="https://npiregistry.cms.hhs.gov/provider-view/1740283597" TargetMode="External"/><Relationship Id="rId1347" Type="http://schemas.openxmlformats.org/officeDocument/2006/relationships/hyperlink" Target="https://www.google.com/maps/search/?api=1&amp;query=Meshbesher+Chiropractic+Center+PA%2C+2917+Bryant+Ave+S%2C+Minneapolis%2C+MN+55408" TargetMode="External"/><Relationship Id="rId1554" Type="http://schemas.openxmlformats.org/officeDocument/2006/relationships/hyperlink" Target="https://npiregistry.cms.hhs.gov/provider-view/1518196864" TargetMode="External"/><Relationship Id="rId1761" Type="http://schemas.openxmlformats.org/officeDocument/2006/relationships/hyperlink" Target="https://www.google.com/maps/search/?api=1&amp;query=Evolve+Rehab+%26+Performance+LLC%2C+4346+Wooddale+Ave%2C+St.+Louis+Park%2C+MN+55424" TargetMode="External"/><Relationship Id="rId2605" Type="http://schemas.openxmlformats.org/officeDocument/2006/relationships/hyperlink" Target="https://www.google.com/maps/search/?api=1&amp;query=Barrett+Chiropractic+Center+LTD%2C+6070+50th+St+N%2C+Oakdale%2C+MN+55128" TargetMode="External"/><Relationship Id="rId2812" Type="http://schemas.openxmlformats.org/officeDocument/2006/relationships/hyperlink" Target="https://npiregistry.cms.hhs.gov/provider-view/1407051154" TargetMode="External"/><Relationship Id="rId53" Type="http://schemas.openxmlformats.org/officeDocument/2006/relationships/hyperlink" Target="https://www.google.com/maps/search/?api=1&amp;query=Hart+Family+Chiropractic%2C+2331+108th+Ln+NE%2C+Blaine%2C+MN+55449" TargetMode="External"/><Relationship Id="rId1207" Type="http://schemas.openxmlformats.org/officeDocument/2006/relationships/hyperlink" Target="https://www.google.com/maps/search/?api=1&amp;query=Bloom+Lake+Chiropractic%2C+1527+E+Lake+St%2C+Minneapolis%2C+MN+55407" TargetMode="External"/><Relationship Id="rId1414" Type="http://schemas.openxmlformats.org/officeDocument/2006/relationships/hyperlink" Target="https://npiregistry.cms.hhs.gov/provider-view/1730308909" TargetMode="External"/><Relationship Id="rId1621" Type="http://schemas.openxmlformats.org/officeDocument/2006/relationships/hyperlink" Target="https://www.google.com/maps/search/?api=1&amp;query=Lifetime+Wellness+Center%2C+PA.%2C+14215+44th+Pl+N%2C+Plymouth%2C+MN+55446" TargetMode="External"/><Relationship Id="rId3379" Type="http://schemas.openxmlformats.org/officeDocument/2006/relationships/hyperlink" Target="https://www.google.com/maps/search/?api=1&amp;query=In+Motion+Therapy%2C+INC%2C+2701+W+Superior+St%2C+Duluth%2C+MN+55806" TargetMode="External"/><Relationship Id="rId3586" Type="http://schemas.openxmlformats.org/officeDocument/2006/relationships/hyperlink" Target="https://npiregistry.cms.hhs.gov/provider-view/1316934870" TargetMode="External"/><Relationship Id="rId3793" Type="http://schemas.openxmlformats.org/officeDocument/2006/relationships/hyperlink" Target="https://www.google.com/maps/search/?api=1&amp;query=Downtown+Chiropractic+LTD.%2C+212+Fulton+St%2C+Red+Wing%2C+MN+55066" TargetMode="External"/><Relationship Id="rId2188" Type="http://schemas.openxmlformats.org/officeDocument/2006/relationships/hyperlink" Target="https://npiregistry.cms.hhs.gov/provider-view/1073185393" TargetMode="External"/><Relationship Id="rId2395" Type="http://schemas.openxmlformats.org/officeDocument/2006/relationships/hyperlink" Target="https://www.google.com/maps/search/?api=1&amp;query=Optimal+Sports+Physical+Therapy%2Cllc%2C+1400+1st+St+NE%2C+New+Prague%2C+MN+56071" TargetMode="External"/><Relationship Id="rId3239" Type="http://schemas.openxmlformats.org/officeDocument/2006/relationships/hyperlink" Target="https://www.google.com/maps/search/?api=1&amp;query=Inmotion+Physical+Therapy+and+Fitness%2C+15860+Audubon+Way%2C+Brainerd%2C+MN+56401" TargetMode="External"/><Relationship Id="rId3446" Type="http://schemas.openxmlformats.org/officeDocument/2006/relationships/hyperlink" Target="https://npiregistry.cms.hhs.gov/provider-view/1811267214" TargetMode="External"/><Relationship Id="rId367" Type="http://schemas.openxmlformats.org/officeDocument/2006/relationships/hyperlink" Target="https://www.google.com/maps/search/?api=1&amp;query=Northern+Life+Chiropractic%2C+PA.%2C+13955+W+Preserve+Blvd%2C+Burnsville%2C+MN+55337" TargetMode="External"/><Relationship Id="rId574" Type="http://schemas.openxmlformats.org/officeDocument/2006/relationships/hyperlink" Target="https://npiregistry.cms.hhs.gov/provider-view/1922295542" TargetMode="External"/><Relationship Id="rId2048" Type="http://schemas.openxmlformats.org/officeDocument/2006/relationships/hyperlink" Target="https://npiregistry.cms.hhs.gov/provider-view/1366886566" TargetMode="External"/><Relationship Id="rId2255" Type="http://schemas.openxmlformats.org/officeDocument/2006/relationships/hyperlink" Target="https://www.google.com/maps/search/?api=1&amp;query=Sp+Spine+Center+P+A%2C+441+University+Ave+W%2C+St.+Paul%2C+MN+55103" TargetMode="External"/><Relationship Id="rId3653" Type="http://schemas.openxmlformats.org/officeDocument/2006/relationships/hyperlink" Target="https://www.google.com/maps/search/?api=1&amp;query=Heinz+Chiropractic+LLC%2C+1704+N+Riverfront+Dr%2C+Mankato%2C+MN+56001" TargetMode="External"/><Relationship Id="rId3860" Type="http://schemas.openxmlformats.org/officeDocument/2006/relationships/hyperlink" Target="https://npiregistry.cms.hhs.gov/provider-view/1568925097" TargetMode="External"/><Relationship Id="rId227" Type="http://schemas.openxmlformats.org/officeDocument/2006/relationships/hyperlink" Target="https://www.google.com/maps/search/?api=1&amp;query=Sacred+Health+Family+Chiropractic%2C+306+W+Highway+212%2C+Norwood+Young+America%2C+MN+55368" TargetMode="External"/><Relationship Id="rId781" Type="http://schemas.openxmlformats.org/officeDocument/2006/relationships/hyperlink" Target="https://www.google.com/maps/search/?api=1&amp;query=Back+To+Life+Natural+Health+Center%2C+2960+Winnetka+Ave+N%2C+Crystal%2C+MN+55427" TargetMode="External"/><Relationship Id="rId2462" Type="http://schemas.openxmlformats.org/officeDocument/2006/relationships/hyperlink" Target="https://npiregistry.cms.hhs.gov/provider-view/1780753475" TargetMode="External"/><Relationship Id="rId3306" Type="http://schemas.openxmlformats.org/officeDocument/2006/relationships/hyperlink" Target="https://npiregistry.cms.hhs.gov/provider-view/1952744831" TargetMode="External"/><Relationship Id="rId3513" Type="http://schemas.openxmlformats.org/officeDocument/2006/relationships/hyperlink" Target="https://www.google.com/maps/search/?api=1&amp;query=Fm+Rehab+Center+INC%2C+312+Highway+75+N%2C+Moorhead%2C+MN+56560" TargetMode="External"/><Relationship Id="rId3720" Type="http://schemas.openxmlformats.org/officeDocument/2006/relationships/hyperlink" Target="https://npiregistry.cms.hhs.gov/provider-view/1285830422" TargetMode="External"/><Relationship Id="rId434" Type="http://schemas.openxmlformats.org/officeDocument/2006/relationships/hyperlink" Target="https://npiregistry.cms.hhs.gov/provider-view/1558851683" TargetMode="External"/><Relationship Id="rId641" Type="http://schemas.openxmlformats.org/officeDocument/2006/relationships/hyperlink" Target="https://www.google.com/maps/search/?api=1&amp;query=Institute+For+Chiropractic+Rehabilitation+PA%2C+8200+Humboldt+Ave+S%2C+Bloomington%2C+MN+55431" TargetMode="External"/><Relationship Id="rId1064" Type="http://schemas.openxmlformats.org/officeDocument/2006/relationships/hyperlink" Target="https://npiregistry.cms.hhs.gov/provider-view/1780625491" TargetMode="External"/><Relationship Id="rId1271" Type="http://schemas.openxmlformats.org/officeDocument/2006/relationships/hyperlink" Target="https://www.google.com/maps/search/?api=1&amp;query=Green+Health%2C+INC.%2C+2415+Hennepin+Ave%2C+Minneapolis%2C+MN+55405" TargetMode="External"/><Relationship Id="rId2115" Type="http://schemas.openxmlformats.org/officeDocument/2006/relationships/hyperlink" Target="https://www.google.com/maps/search/?api=1&amp;query=Doba%2C+LLC%2C+1158+Thomas+Ave%2C+St.+Paul%2C+MN+55104" TargetMode="External"/><Relationship Id="rId2322" Type="http://schemas.openxmlformats.org/officeDocument/2006/relationships/hyperlink" Target="https://npiregistry.cms.hhs.gov/provider-view/1447656830" TargetMode="External"/><Relationship Id="rId501" Type="http://schemas.openxmlformats.org/officeDocument/2006/relationships/hyperlink" Target="https://www.google.com/maps/search/?api=1&amp;query=Inver+Family+Chiropractic%2C+INC.%2C+2125+Upper+55th+St+E%2C+Inver+Grove+Heights%2C+MN+55077" TargetMode="External"/><Relationship Id="rId1131" Type="http://schemas.openxmlformats.org/officeDocument/2006/relationships/hyperlink" Target="https://www.google.com/maps/search/?api=1&amp;query=Macioce+Chiropractic+L.+L.+C.%2C+9479+Garland+Lane+N.%2C+Maple+Grove%2C+MN+55311" TargetMode="External"/><Relationship Id="rId3096" Type="http://schemas.openxmlformats.org/officeDocument/2006/relationships/hyperlink" Target="https://npiregistry.cms.hhs.gov/provider-view/1063678357" TargetMode="External"/><Relationship Id="rId4147" Type="http://schemas.openxmlformats.org/officeDocument/2006/relationships/hyperlink" Target="https://www.google.com/maps/search/?api=1&amp;query=Luverne+Health+%26+Wellness%2C+109+S+Freeman+Ave%2C+Luverne%2C+MN+56156" TargetMode="External"/><Relationship Id="rId1948" Type="http://schemas.openxmlformats.org/officeDocument/2006/relationships/hyperlink" Target="https://npiregistry.cms.hhs.gov/provider-view/1700941069" TargetMode="External"/><Relationship Id="rId3163" Type="http://schemas.openxmlformats.org/officeDocument/2006/relationships/hyperlink" Target="https://www.google.com/maps/search/?api=1&amp;query=Jm+Chiropractic+LLC%2C+705+Washington+Ave+S%2C+Bemidji%2C+MN+56601" TargetMode="External"/><Relationship Id="rId3370" Type="http://schemas.openxmlformats.org/officeDocument/2006/relationships/hyperlink" Target="https://npiregistry.cms.hhs.gov/provider-view/1730351016" TargetMode="External"/><Relationship Id="rId4007" Type="http://schemas.openxmlformats.org/officeDocument/2006/relationships/hyperlink" Target="https://www.google.com/maps/search/?api=1&amp;query=Center+For+Family+Chiropractic%2C+601+E+Sanborn+St%2C+Winona%2C+MN+55987" TargetMode="External"/><Relationship Id="rId291" Type="http://schemas.openxmlformats.org/officeDocument/2006/relationships/hyperlink" Target="https://www.google.com/maps/search/?api=1&amp;query=Apple+Valley+Wellness+Center+PA.%2C+7373+147th+St+W%2C+Apple+Valley%2C+MN+55124" TargetMode="External"/><Relationship Id="rId1808" Type="http://schemas.openxmlformats.org/officeDocument/2006/relationships/hyperlink" Target="https://npiregistry.cms.hhs.gov/provider-view/1578714226" TargetMode="External"/><Relationship Id="rId3023" Type="http://schemas.openxmlformats.org/officeDocument/2006/relationships/hyperlink" Target="https://www.google.com/maps/search/?api=1&amp;query=Abel+Chiropractic+Associates%2C+PA%2C+710+Main+St+S%2C+Sauk+Centre%2C+MN+56378" TargetMode="External"/><Relationship Id="rId151" Type="http://schemas.openxmlformats.org/officeDocument/2006/relationships/hyperlink" Target="https://www.google.com/maps/search/?api=1&amp;query=Therapy+Partners%2C+INC.%2C+556+Lilac+St%2C+Lino+Lakes%2C+MN+55014" TargetMode="External"/><Relationship Id="rId3230" Type="http://schemas.openxmlformats.org/officeDocument/2006/relationships/hyperlink" Target="https://npiregistry.cms.hhs.gov/provider-view/1457753360" TargetMode="External"/><Relationship Id="rId2789" Type="http://schemas.openxmlformats.org/officeDocument/2006/relationships/hyperlink" Target="https://www.google.com/maps/search/?api=1&amp;query=Your+Life+Chiropractic%2C+PA.%2C+103+Center+Dr%2C+Buffalo%2C+MN+55313" TargetMode="External"/><Relationship Id="rId2996" Type="http://schemas.openxmlformats.org/officeDocument/2006/relationships/hyperlink" Target="https://npiregistry.cms.hhs.gov/provider-view/1346864311" TargetMode="External"/><Relationship Id="rId968" Type="http://schemas.openxmlformats.org/officeDocument/2006/relationships/hyperlink" Target="https://npiregistry.cms.hhs.gov/provider-view/1265051627" TargetMode="External"/><Relationship Id="rId1598" Type="http://schemas.openxmlformats.org/officeDocument/2006/relationships/hyperlink" Target="https://npiregistry.cms.hhs.gov/provider-view/1942393798" TargetMode="External"/><Relationship Id="rId2649" Type="http://schemas.openxmlformats.org/officeDocument/2006/relationships/hyperlink" Target="https://www.google.com/maps/search/?api=1&amp;query=Dr.+David+L.+Wick%2C+DC.%2C+PA.%2C+105+New+England+Place%2C+Stillwater%2C+MN+55082" TargetMode="External"/><Relationship Id="rId2856" Type="http://schemas.openxmlformats.org/officeDocument/2006/relationships/hyperlink" Target="https://npiregistry.cms.hhs.gov/provider-view/1831227214" TargetMode="External"/><Relationship Id="rId3907" Type="http://schemas.openxmlformats.org/officeDocument/2006/relationships/hyperlink" Target="https://www.google.com/maps/search/?api=1&amp;query=Saj+Family+Chiropractic+PA.%2C+1610+14th+St+NW%2C+Rochester%2C+MN+55901" TargetMode="External"/><Relationship Id="rId97" Type="http://schemas.openxmlformats.org/officeDocument/2006/relationships/hyperlink" Target="https://www.google.com/maps/search/?api=1&amp;query=Gray+Duck+Physical+Therapy+PLLC%2C+299+Coon+Rapids+Blvd+NW%2C+Coon+Rapids%2C+MN+55433" TargetMode="External"/><Relationship Id="rId828" Type="http://schemas.openxmlformats.org/officeDocument/2006/relationships/hyperlink" Target="https://npiregistry.cms.hhs.gov/provider-view/1548582802" TargetMode="External"/><Relationship Id="rId1458" Type="http://schemas.openxmlformats.org/officeDocument/2006/relationships/hyperlink" Target="https://npiregistry.cms.hhs.gov/provider-view/1609139542" TargetMode="External"/><Relationship Id="rId1665" Type="http://schemas.openxmlformats.org/officeDocument/2006/relationships/hyperlink" Target="https://www.google.com/maps/search/?api=1&amp;query=Egan+Chiropractic+and+Acupuncture+LTD%2C+7400+Lyndale+Ave+S%2C+Richfield%2C+MN+55423" TargetMode="External"/><Relationship Id="rId1872" Type="http://schemas.openxmlformats.org/officeDocument/2006/relationships/hyperlink" Target="https://npiregistry.cms.hhs.gov/provider-view/1265469258" TargetMode="External"/><Relationship Id="rId2509" Type="http://schemas.openxmlformats.org/officeDocument/2006/relationships/hyperlink" Target="https://www.google.com/maps/search/?api=1&amp;query=Northstar+Chiropractic+%26+Wellness%2C+P.+A.%2C+670+Humboldt+Dr%2C+Big+Lake%2C+MN+55309" TargetMode="External"/><Relationship Id="rId2716" Type="http://schemas.openxmlformats.org/officeDocument/2006/relationships/hyperlink" Target="https://npiregistry.cms.hhs.gov/provider-view/1245824481" TargetMode="External"/><Relationship Id="rId4071" Type="http://schemas.openxmlformats.org/officeDocument/2006/relationships/hyperlink" Target="https://www.google.com/maps/search/?api=1&amp;query=Wager+Chiropractic+PLLC.%2C+814+6th+St.%2C+Dawson%2C+MN+56232" TargetMode="External"/><Relationship Id="rId1318" Type="http://schemas.openxmlformats.org/officeDocument/2006/relationships/hyperlink" Target="https://npiregistry.cms.hhs.gov/provider-view/1245675511" TargetMode="External"/><Relationship Id="rId1525" Type="http://schemas.openxmlformats.org/officeDocument/2006/relationships/hyperlink" Target="https://www.google.com/maps/search/?api=1&amp;query=Interventional+Pain+Center%2C+PLLC.%2C+10653+Wayzata+Blvd%2C+Minnetonka%2C+MN+55305" TargetMode="External"/><Relationship Id="rId2923" Type="http://schemas.openxmlformats.org/officeDocument/2006/relationships/hyperlink" Target="https://www.google.com/maps/search/?api=1&amp;query=Mille+Lacs+Family+Clinic+Onamia%2C+200+Elm+St+N%2C+Onamia%2C+MN+56359" TargetMode="External"/><Relationship Id="rId1732" Type="http://schemas.openxmlformats.org/officeDocument/2006/relationships/hyperlink" Target="https://npiregistry.cms.hhs.gov/provider-view/1134134679" TargetMode="External"/><Relationship Id="rId24" Type="http://schemas.openxmlformats.org/officeDocument/2006/relationships/hyperlink" Target="https://npiregistry.cms.hhs.gov/provider-view/1407160294" TargetMode="External"/><Relationship Id="rId2299" Type="http://schemas.openxmlformats.org/officeDocument/2006/relationships/hyperlink" Target="https://www.google.com/maps/search/?api=1&amp;query=Universal+Chiropractic+Health+Clinic%2C+671+Snelling+Ave+N%2C+St.+Paul%2C+MN+55104" TargetMode="External"/><Relationship Id="rId3697" Type="http://schemas.openxmlformats.org/officeDocument/2006/relationships/hyperlink" Target="https://www.google.com/maps/search/?api=1&amp;query=Springfield+Physical+Therapy+LLC%2C+50+W+Rock+St%2C+Springfield%2C+MN+56087" TargetMode="External"/><Relationship Id="rId3557" Type="http://schemas.openxmlformats.org/officeDocument/2006/relationships/hyperlink" Target="https://www.google.com/maps/search/?api=1&amp;query=Northwest+Industrial+Rehabilitation+Services+INC.%2C+410+30th+Ave+E%2C+Alexandria%2C+MN+56308" TargetMode="External"/><Relationship Id="rId3764" Type="http://schemas.openxmlformats.org/officeDocument/2006/relationships/hyperlink" Target="https://npiregistry.cms.hhs.gov/provider-view/1790031938" TargetMode="External"/><Relationship Id="rId3971" Type="http://schemas.openxmlformats.org/officeDocument/2006/relationships/hyperlink" Target="https://www.google.com/maps/search/?api=1&amp;query=Corey+Schuler+DC+PLLC%2C+1305+Esther+Ln%2C+Owatonna%2C+MN+55060" TargetMode="External"/><Relationship Id="rId478" Type="http://schemas.openxmlformats.org/officeDocument/2006/relationships/hyperlink" Target="https://npiregistry.cms.hhs.gov/provider-view/1437699790" TargetMode="External"/><Relationship Id="rId685" Type="http://schemas.openxmlformats.org/officeDocument/2006/relationships/hyperlink" Target="https://www.google.com/maps/search/?api=1&amp;query=Carlson+Healthcare+LLC%2C+615+66th+Ave+N%2C+Brooklyn+Center%2C+MN+55430" TargetMode="External"/><Relationship Id="rId892" Type="http://schemas.openxmlformats.org/officeDocument/2006/relationships/hyperlink" Target="https://npiregistry.cms.hhs.gov/provider-view/1710183439" TargetMode="External"/><Relationship Id="rId2159" Type="http://schemas.openxmlformats.org/officeDocument/2006/relationships/hyperlink" Target="https://www.google.com/maps/search/?api=1&amp;query=Healthsource+St.+Paul%2C+1815+Suburban+Ave%2C+St.+Paul%2C+MN+55119" TargetMode="External"/><Relationship Id="rId2366" Type="http://schemas.openxmlformats.org/officeDocument/2006/relationships/hyperlink" Target="https://npiregistry.cms.hhs.gov/provider-view/1174186951" TargetMode="External"/><Relationship Id="rId2573" Type="http://schemas.openxmlformats.org/officeDocument/2006/relationships/hyperlink" Target="https://www.google.com/maps/search/?api=1&amp;query=Laskow+Chiropractic+Clinic+PA%2C+822+Lake+St+S%2C+Forest+Lake%2C+MN+55025" TargetMode="External"/><Relationship Id="rId2780" Type="http://schemas.openxmlformats.org/officeDocument/2006/relationships/hyperlink" Target="https://npiregistry.cms.hhs.gov/provider-view/1184718298" TargetMode="External"/><Relationship Id="rId3417" Type="http://schemas.openxmlformats.org/officeDocument/2006/relationships/hyperlink" Target="https://www.google.com/maps/search/?api=1&amp;query=Umd+Sports+Medicine%2C+1216+Ordean+Ct%2C+Duluth%2C+MN+55812" TargetMode="External"/><Relationship Id="rId3624" Type="http://schemas.openxmlformats.org/officeDocument/2006/relationships/hyperlink" Target="https://npiregistry.cms.hhs.gov/provider-view/1487045829" TargetMode="External"/><Relationship Id="rId3831" Type="http://schemas.openxmlformats.org/officeDocument/2006/relationships/hyperlink" Target="https://www.google.com/maps/search/?api=1&amp;query=Priority+Health+Chiropractic+Clinic%2C+47+N+Waterville+Ave%2C+Le+Center%2C+MN+56057" TargetMode="External"/><Relationship Id="rId338" Type="http://schemas.openxmlformats.org/officeDocument/2006/relationships/hyperlink" Target="https://npiregistry.cms.hhs.gov/provider-view/1184904369" TargetMode="External"/><Relationship Id="rId545" Type="http://schemas.openxmlformats.org/officeDocument/2006/relationships/hyperlink" Target="https://www.google.com/maps/search/?api=1&amp;query=Okeson+Optimal+Chiropractic%2C+16372+Kenrick+Ave%2C+Lakeville%2C+MN+55044" TargetMode="External"/><Relationship Id="rId752" Type="http://schemas.openxmlformats.org/officeDocument/2006/relationships/hyperlink" Target="https://npiregistry.cms.hhs.gov/provider-view/1427334382" TargetMode="External"/><Relationship Id="rId1175" Type="http://schemas.openxmlformats.org/officeDocument/2006/relationships/hyperlink" Target="https://www.google.com/maps/search/?api=1&amp;query=Carlson+Chiropractic+Health+and+Healing+INC.%2C+4960+Highway+12%2C+Maple+Plain%2C+MN+55359" TargetMode="External"/><Relationship Id="rId1382" Type="http://schemas.openxmlformats.org/officeDocument/2006/relationships/hyperlink" Target="https://npiregistry.cms.hhs.gov/provider-view/1598881708" TargetMode="External"/><Relationship Id="rId2019" Type="http://schemas.openxmlformats.org/officeDocument/2006/relationships/hyperlink" Target="https://www.google.com/maps/search/?api=1&amp;query=Maryanne+Lassegard%2C+521+Tanglewood+Dr.%2C+Shoreview%2C+MN+55126" TargetMode="External"/><Relationship Id="rId2226" Type="http://schemas.openxmlformats.org/officeDocument/2006/relationships/hyperlink" Target="https://npiregistry.cms.hhs.gov/provider-view/1770792400" TargetMode="External"/><Relationship Id="rId2433" Type="http://schemas.openxmlformats.org/officeDocument/2006/relationships/hyperlink" Target="https://www.google.com/maps/search/?api=1&amp;query=Acute+Care+Chiropractic%2C+PA%2C+5773+Egan+Dr%2C+Savage%2C+MN+55378" TargetMode="External"/><Relationship Id="rId2640" Type="http://schemas.openxmlformats.org/officeDocument/2006/relationships/hyperlink" Target="https://npiregistry.cms.hhs.gov/provider-view/1245440502" TargetMode="External"/><Relationship Id="rId405" Type="http://schemas.openxmlformats.org/officeDocument/2006/relationships/hyperlink" Target="https://www.google.com/maps/search/?api=1&amp;query=Basic+Balance+Chiropractic%2C+3440+Federal+Dr%2C+Eagan%2C+MN+55122" TargetMode="External"/><Relationship Id="rId612" Type="http://schemas.openxmlformats.org/officeDocument/2006/relationships/hyperlink" Target="https://npiregistry.cms.hhs.gov/provider-view/1992923023" TargetMode="External"/><Relationship Id="rId1035" Type="http://schemas.openxmlformats.org/officeDocument/2006/relationships/hyperlink" Target="https://www.google.com/maps/search/?api=1&amp;query=Healthy+Nation+Consulting%2C+INC%2C+115+Maddaus+Ln%2C+Golden+Valley%2C+MN+55416" TargetMode="External"/><Relationship Id="rId1242" Type="http://schemas.openxmlformats.org/officeDocument/2006/relationships/hyperlink" Target="https://npiregistry.cms.hhs.gov/provider-view/1568756708" TargetMode="External"/><Relationship Id="rId2500" Type="http://schemas.openxmlformats.org/officeDocument/2006/relationships/hyperlink" Target="https://npiregistry.cms.hhs.gov/provider-view/1700079365" TargetMode="External"/><Relationship Id="rId1102" Type="http://schemas.openxmlformats.org/officeDocument/2006/relationships/hyperlink" Target="https://npiregistry.cms.hhs.gov/provider-view/1548483050" TargetMode="External"/><Relationship Id="rId3067" Type="http://schemas.openxmlformats.org/officeDocument/2006/relationships/hyperlink" Target="https://www.google.com/maps/search/?api=1&amp;query=Northern+Star+Therapy+LTD%2C+1301+33rd+St+S%2C+St.+Cloud%2C+MN+56301" TargetMode="External"/><Relationship Id="rId3274" Type="http://schemas.openxmlformats.org/officeDocument/2006/relationships/hyperlink" Target="https://npiregistry.cms.hhs.gov/provider-view/1992947121" TargetMode="External"/><Relationship Id="rId4118" Type="http://schemas.openxmlformats.org/officeDocument/2006/relationships/hyperlink" Target="https://npiregistry.cms.hhs.gov/provider-view/1396939997" TargetMode="External"/><Relationship Id="rId195" Type="http://schemas.openxmlformats.org/officeDocument/2006/relationships/hyperlink" Target="https://www.google.com/maps/search/?api=1&amp;query=Western+Orthopaedics+%26+Sports+Medicine+Consultants%2C+7907+Powers+Blvd%2C+Chanhassen%2C+MN+55317" TargetMode="External"/><Relationship Id="rId1919" Type="http://schemas.openxmlformats.org/officeDocument/2006/relationships/hyperlink" Target="https://www.google.com/maps/search/?api=1&amp;query=Balance+Chiropractic%2C+656+Selby+Ave%2C+Minneapolis%2C+MN+55104" TargetMode="External"/><Relationship Id="rId3481" Type="http://schemas.openxmlformats.org/officeDocument/2006/relationships/hyperlink" Target="https://www.google.com/maps/search/?api=1&amp;query=Hanson+Chiropractic+Clinic+PA%2C+306+North+Mill+Street%2C+Fertile%2C+MN+56540" TargetMode="External"/><Relationship Id="rId2083" Type="http://schemas.openxmlformats.org/officeDocument/2006/relationships/hyperlink" Target="https://www.google.com/maps/search/?api=1&amp;query=Channing+Mckinley+Chiropractic%2C+LTD.%2C+1801+Saint+Clair+Ave%2C+St.+Paul%2C+MN+55105" TargetMode="External"/><Relationship Id="rId2290" Type="http://schemas.openxmlformats.org/officeDocument/2006/relationships/hyperlink" Target="https://npiregistry.cms.hhs.gov/provider-view/1164885968" TargetMode="External"/><Relationship Id="rId3134" Type="http://schemas.openxmlformats.org/officeDocument/2006/relationships/hyperlink" Target="https://npiregistry.cms.hhs.gov/provider-view/1437145711" TargetMode="External"/><Relationship Id="rId3341" Type="http://schemas.openxmlformats.org/officeDocument/2006/relationships/hyperlink" Target="https://www.google.com/maps/search/?api=1&amp;query=Falls+Chiropractic+Clinic%2C+LTD%2C+440+4th+St%2C+International+Falls%2C+MN+56649" TargetMode="External"/><Relationship Id="rId262" Type="http://schemas.openxmlformats.org/officeDocument/2006/relationships/hyperlink" Target="https://npiregistry.cms.hhs.gov/provider-view/1043548951" TargetMode="External"/><Relationship Id="rId2150" Type="http://schemas.openxmlformats.org/officeDocument/2006/relationships/hyperlink" Target="https://npiregistry.cms.hhs.gov/provider-view/1366854945" TargetMode="External"/><Relationship Id="rId3201" Type="http://schemas.openxmlformats.org/officeDocument/2006/relationships/hyperlink" Target="https://www.google.com/maps/search/?api=1&amp;query=Bagley+Chiropractic+Clinic%2C+PA.%2C+5+Clearwater+Ave.+NW%2C+Bagley%2C+MN+56621" TargetMode="External"/><Relationship Id="rId122" Type="http://schemas.openxmlformats.org/officeDocument/2006/relationships/hyperlink" Target="https://npiregistry.cms.hhs.gov/provider-view/1821179607" TargetMode="External"/><Relationship Id="rId2010" Type="http://schemas.openxmlformats.org/officeDocument/2006/relationships/hyperlink" Target="https://npiregistry.cms.hhs.gov/provider-view/1346477635" TargetMode="External"/><Relationship Id="rId1569" Type="http://schemas.openxmlformats.org/officeDocument/2006/relationships/hyperlink" Target="https://www.google.com/maps/search/?api=1&amp;query=Dr.+Ethan+Skog%2C+4900+Highway+169+N%2C+New+Hope%2C+MN+55428" TargetMode="External"/><Relationship Id="rId2967" Type="http://schemas.openxmlformats.org/officeDocument/2006/relationships/hyperlink" Target="https://www.google.com/maps/search/?api=1&amp;query=St.+Cloud+Hospital+Physical+Therapy+-+Albany%2C+320+3rd+Ave%2C+Albany%2C+MN+56307" TargetMode="External"/><Relationship Id="rId939" Type="http://schemas.openxmlformats.org/officeDocument/2006/relationships/hyperlink" Target="https://www.google.com/maps/search/?api=1&amp;query=Mccoy+Physical+Therapy+Solutions%2C+7550+France+Ave+S%2C+Edina%2C+MN+55435" TargetMode="External"/><Relationship Id="rId1776" Type="http://schemas.openxmlformats.org/officeDocument/2006/relationships/hyperlink" Target="https://npiregistry.cms.hhs.gov/provider-view/1922416064" TargetMode="External"/><Relationship Id="rId1983" Type="http://schemas.openxmlformats.org/officeDocument/2006/relationships/hyperlink" Target="https://www.google.com/maps/search/?api=1&amp;query=Physicians+Neck+%26+Back+Clinics%2C+3050+Centre+Pointe+Dr%2C+Roseville%2C+MN+55113" TargetMode="External"/><Relationship Id="rId2827" Type="http://schemas.openxmlformats.org/officeDocument/2006/relationships/hyperlink" Target="https://www.google.com/maps/search/?api=1&amp;query=Monticello+Physical+Therapy%2C+1125+S+Cedar+Street%2C+Monticello%2C+MN+55362" TargetMode="External"/><Relationship Id="rId4042" Type="http://schemas.openxmlformats.org/officeDocument/2006/relationships/hyperlink" Target="https://npiregistry.cms.hhs.gov/provider-view/1639791932" TargetMode="External"/><Relationship Id="rId68" Type="http://schemas.openxmlformats.org/officeDocument/2006/relationships/hyperlink" Target="https://npiregistry.cms.hhs.gov/provider-view/1568588689" TargetMode="External"/><Relationship Id="rId1429" Type="http://schemas.openxmlformats.org/officeDocument/2006/relationships/hyperlink" Target="https://www.google.com/maps/search/?api=1&amp;query=Smart+Choice+Mri+Minneapolis%2C+1704+E+66th+St%2C+Minneapolis%2C+MN+55423" TargetMode="External"/><Relationship Id="rId1636" Type="http://schemas.openxmlformats.org/officeDocument/2006/relationships/hyperlink" Target="https://npiregistry.cms.hhs.gov/provider-view/1740627017" TargetMode="External"/><Relationship Id="rId1843" Type="http://schemas.openxmlformats.org/officeDocument/2006/relationships/hyperlink" Target="https://www.google.com/maps/search/?api=1&amp;query=The+Brost+Clinic%2C+PA%2C+1421+Wayzata+Blvd%2C+Wayzata%2C+MN+55391" TargetMode="External"/><Relationship Id="rId1703" Type="http://schemas.openxmlformats.org/officeDocument/2006/relationships/hyperlink" Target="https://www.google.com/maps/search/?api=1&amp;query=Lions+Gym+and+Wellness+Center%2C+4123+W+Broadway+Ave%2C+Robbinsdale%2C+MN+55422" TargetMode="External"/><Relationship Id="rId1910" Type="http://schemas.openxmlformats.org/officeDocument/2006/relationships/hyperlink" Target="https://npiregistry.cms.hhs.gov/provider-view/1275192197" TargetMode="External"/><Relationship Id="rId3668" Type="http://schemas.openxmlformats.org/officeDocument/2006/relationships/hyperlink" Target="https://npiregistry.cms.hhs.gov/provider-view/1477685600" TargetMode="External"/><Relationship Id="rId3875" Type="http://schemas.openxmlformats.org/officeDocument/2006/relationships/hyperlink" Target="https://www.google.com/maps/search/?api=1&amp;query=Chiropractic+First+Wellness+Center+INC%2C+3257+19th+St+NW%2C+Rochester%2C+MN+55901" TargetMode="External"/><Relationship Id="rId589" Type="http://schemas.openxmlformats.org/officeDocument/2006/relationships/hyperlink" Target="https://www.google.com/maps/search/?api=1&amp;query=Premier+Health+of+West+St+Paul%2C+1089+Robert+St+S%2C+West+Saint+Paul%2C+MN+55118" TargetMode="External"/><Relationship Id="rId796" Type="http://schemas.openxmlformats.org/officeDocument/2006/relationships/hyperlink" Target="https://npiregistry.cms.hhs.gov/provider-view/1770857195" TargetMode="External"/><Relationship Id="rId2477" Type="http://schemas.openxmlformats.org/officeDocument/2006/relationships/hyperlink" Target="https://www.google.com/maps/search/?api=1&amp;query=Families%27+1st+Choice+Chiropractic%2C+500+Marschall+Rd%2C+Shakopee%2C+MN+55379" TargetMode="External"/><Relationship Id="rId2684" Type="http://schemas.openxmlformats.org/officeDocument/2006/relationships/hyperlink" Target="https://npiregistry.cms.hhs.gov/provider-view/1306941406" TargetMode="External"/><Relationship Id="rId3528" Type="http://schemas.openxmlformats.org/officeDocument/2006/relationships/hyperlink" Target="https://npiregistry.cms.hhs.gov/provider-view/1609141050" TargetMode="External"/><Relationship Id="rId3735" Type="http://schemas.openxmlformats.org/officeDocument/2006/relationships/hyperlink" Target="https://www.google.com/maps/search/?api=1&amp;query=Advanced+Chiropractic+of+Mankato%2C+PC%2C+315+Webster+Ave%2C+North+Mankato%2C+MN+56003" TargetMode="External"/><Relationship Id="rId449" Type="http://schemas.openxmlformats.org/officeDocument/2006/relationships/hyperlink" Target="https://www.google.com/maps/search/?api=1&amp;query=Pettis+Chiropractic%2C+1570+Century+Pt%2C+Eagan%2C+MN+55121" TargetMode="External"/><Relationship Id="rId656" Type="http://schemas.openxmlformats.org/officeDocument/2006/relationships/hyperlink" Target="https://npiregistry.cms.hhs.gov/provider-view/1639631526" TargetMode="External"/><Relationship Id="rId863" Type="http://schemas.openxmlformats.org/officeDocument/2006/relationships/hyperlink" Target="https://www.google.com/maps/search/?api=1&amp;query=Twin+Cities+Spine+%26+Sports%2C+PLLC%2C+6409+City+West+Pkwy%2C+Eden+Prairie%2C+MN+55344" TargetMode="External"/><Relationship Id="rId1079" Type="http://schemas.openxmlformats.org/officeDocument/2006/relationships/hyperlink" Target="https://www.google.com/maps/search/?api=1&amp;query=Healthsource+of+Hopkins%2C+724+Mainstreet%2C+Hopkins%2C+MN+55343" TargetMode="External"/><Relationship Id="rId1286" Type="http://schemas.openxmlformats.org/officeDocument/2006/relationships/hyperlink" Target="https://npiregistry.cms.hhs.gov/provider-view/1487888111" TargetMode="External"/><Relationship Id="rId1493" Type="http://schemas.openxmlformats.org/officeDocument/2006/relationships/hyperlink" Target="https://www.google.com/maps/search/?api=1&amp;query=Active+Therapeutics+Institute%2C+PA%2C+10500+Wayzata+Blvd%2C+Minnetonka%2C+MN+55305" TargetMode="External"/><Relationship Id="rId2337" Type="http://schemas.openxmlformats.org/officeDocument/2006/relationships/hyperlink" Target="https://www.google.com/maps/search/?api=1&amp;query=Vadnais+Heights+Chiropractic%2C+1146+E+County+Road+E%2C+Vadnais+Heights%2C+MN+55110" TargetMode="External"/><Relationship Id="rId2544" Type="http://schemas.openxmlformats.org/officeDocument/2006/relationships/hyperlink" Target="https://npiregistry.cms.hhs.gov/provider-view/1447430228" TargetMode="External"/><Relationship Id="rId2891" Type="http://schemas.openxmlformats.org/officeDocument/2006/relationships/hyperlink" Target="https://www.google.com/maps/search/?api=1&amp;query=Dba+Crow+River+Chiropractic%2C+1507+Jefferson+St+SE%2C+Hutchinson%2C+MN+55350" TargetMode="External"/><Relationship Id="rId3942" Type="http://schemas.openxmlformats.org/officeDocument/2006/relationships/hyperlink" Target="https://npiregistry.cms.hhs.gov/provider-view/1083108013" TargetMode="External"/><Relationship Id="rId309" Type="http://schemas.openxmlformats.org/officeDocument/2006/relationships/hyperlink" Target="https://www.google.com/maps/search/?api=1&amp;query=Hands+On+Health+Family+Chiropractic%2C+14750+Cedar+Ave%2C+Apple+Valley%2C+MN+55124" TargetMode="External"/><Relationship Id="rId516" Type="http://schemas.openxmlformats.org/officeDocument/2006/relationships/hyperlink" Target="https://npiregistry.cms.hhs.gov/provider-view/1659937076" TargetMode="External"/><Relationship Id="rId1146" Type="http://schemas.openxmlformats.org/officeDocument/2006/relationships/hyperlink" Target="https://npiregistry.cms.hhs.gov/provider-view/1497978241" TargetMode="External"/><Relationship Id="rId2751" Type="http://schemas.openxmlformats.org/officeDocument/2006/relationships/hyperlink" Target="https://www.google.com/maps/search/?api=1&amp;query=Wedgewood+Chiropractic%2C+PA.%2C+3060+Woodbury+Dr%2C+Woodbury%2C+MN+55129" TargetMode="External"/><Relationship Id="rId3802" Type="http://schemas.openxmlformats.org/officeDocument/2006/relationships/hyperlink" Target="https://npiregistry.cms.hhs.gov/provider-view/1932366150" TargetMode="External"/><Relationship Id="rId723" Type="http://schemas.openxmlformats.org/officeDocument/2006/relationships/hyperlink" Target="https://www.google.com/maps/search/?api=1&amp;query=Injury+Physicians%2C+PLLC%2C+7648+Zane+Ave+N%2C+Brooklyn+Park%2C+MN+55443" TargetMode="External"/><Relationship Id="rId930" Type="http://schemas.openxmlformats.org/officeDocument/2006/relationships/hyperlink" Target="https://npiregistry.cms.hhs.gov/provider-view/1770724056" TargetMode="External"/><Relationship Id="rId1006" Type="http://schemas.openxmlformats.org/officeDocument/2006/relationships/hyperlink" Target="https://npiregistry.cms.hhs.gov/provider-view/1720611932" TargetMode="External"/><Relationship Id="rId1353" Type="http://schemas.openxmlformats.org/officeDocument/2006/relationships/hyperlink" Target="https://www.google.com/maps/search/?api=1&amp;query=Midwest+Injury+Physicians%2C+LLC%2C+312+W+Lake+St%2C+Minneapolis%2C+MN+55408" TargetMode="External"/><Relationship Id="rId1560" Type="http://schemas.openxmlformats.org/officeDocument/2006/relationships/hyperlink" Target="https://npiregistry.cms.hhs.gov/provider-view/1447679600" TargetMode="External"/><Relationship Id="rId2404" Type="http://schemas.openxmlformats.org/officeDocument/2006/relationships/hyperlink" Target="https://npiregistry.cms.hhs.gov/provider-view/1962950469" TargetMode="External"/><Relationship Id="rId2611" Type="http://schemas.openxmlformats.org/officeDocument/2006/relationships/hyperlink" Target="https://www.google.com/maps/search/?api=1&amp;query=New+Creation+Sports+and+Wellness%2C+LLC%2C+7500+Hudson+Blvd+N%2C+Oakdale%2C+MN+55128" TargetMode="External"/><Relationship Id="rId1213" Type="http://schemas.openxmlformats.org/officeDocument/2006/relationships/hyperlink" Target="https://www.google.com/maps/search/?api=1&amp;query=Calhoun+Chiropractic+Clinic%2C+1620+W+Lake+St%2C+Minneapolis%2C+MN+55408" TargetMode="External"/><Relationship Id="rId1420" Type="http://schemas.openxmlformats.org/officeDocument/2006/relationships/hyperlink" Target="https://npiregistry.cms.hhs.gov/provider-view/1891231171" TargetMode="External"/><Relationship Id="rId3178" Type="http://schemas.openxmlformats.org/officeDocument/2006/relationships/hyperlink" Target="https://npiregistry.cms.hhs.gov/provider-view/1043578560" TargetMode="External"/><Relationship Id="rId3385" Type="http://schemas.openxmlformats.org/officeDocument/2006/relationships/hyperlink" Target="https://www.google.com/maps/search/?api=1&amp;query=Integrated+Physical+Therapy%2Cinc%2C+324+W+Superior+St%2C+Duluth%2C+MN+55802" TargetMode="External"/><Relationship Id="rId3592" Type="http://schemas.openxmlformats.org/officeDocument/2006/relationships/hyperlink" Target="https://npiregistry.cms.hhs.gov/provider-view/1578038048" TargetMode="External"/><Relationship Id="rId2194" Type="http://schemas.openxmlformats.org/officeDocument/2006/relationships/hyperlink" Target="https://npiregistry.cms.hhs.gov/provider-view/1477738367" TargetMode="External"/><Relationship Id="rId3038" Type="http://schemas.openxmlformats.org/officeDocument/2006/relationships/hyperlink" Target="https://npiregistry.cms.hhs.gov/provider-view/1922296698" TargetMode="External"/><Relationship Id="rId3245" Type="http://schemas.openxmlformats.org/officeDocument/2006/relationships/hyperlink" Target="https://www.google.com/maps/search/?api=1&amp;query=Live+Well+Chiropractic%2C+315+E+River+Rd%2C+Brainerd%2C+MN+56401" TargetMode="External"/><Relationship Id="rId3452" Type="http://schemas.openxmlformats.org/officeDocument/2006/relationships/hyperlink" Target="https://npiregistry.cms.hhs.gov/provider-view/1467662759" TargetMode="External"/><Relationship Id="rId166" Type="http://schemas.openxmlformats.org/officeDocument/2006/relationships/hyperlink" Target="https://npiregistry.cms.hhs.gov/provider-view/1396085882" TargetMode="External"/><Relationship Id="rId373" Type="http://schemas.openxmlformats.org/officeDocument/2006/relationships/hyperlink" Target="https://www.google.com/maps/search/?api=1&amp;query=Physical+Therapy+Solutions%2C+INC%2C+13786+Frontier+Ct%2C+Burnsville%2C+MN+55337" TargetMode="External"/><Relationship Id="rId580" Type="http://schemas.openxmlformats.org/officeDocument/2006/relationships/hyperlink" Target="https://npiregistry.cms.hhs.gov/provider-view/1548314792" TargetMode="External"/><Relationship Id="rId2054" Type="http://schemas.openxmlformats.org/officeDocument/2006/relationships/hyperlink" Target="https://npiregistry.cms.hhs.gov/provider-view/1821294828" TargetMode="External"/><Relationship Id="rId2261" Type="http://schemas.openxmlformats.org/officeDocument/2006/relationships/hyperlink" Target="https://www.google.com/maps/search/?api=1&amp;query=Spine+Imaging+Mri+LLC%2C+393+North+Dunlap+Street%2C+St.+Paul%2C+MN+55104" TargetMode="External"/><Relationship Id="rId3105" Type="http://schemas.openxmlformats.org/officeDocument/2006/relationships/hyperlink" Target="https://www.google.com/maps/search/?api=1&amp;query=Jennifer+Bestick+DC%2C+LLC%2C+750+1st+St+S%2C+Waite+Park%2C+MN+56387" TargetMode="External"/><Relationship Id="rId3312" Type="http://schemas.openxmlformats.org/officeDocument/2006/relationships/hyperlink" Target="https://npiregistry.cms.hhs.gov/provider-view/1508846619" TargetMode="External"/><Relationship Id="rId233" Type="http://schemas.openxmlformats.org/officeDocument/2006/relationships/hyperlink" Target="https://www.google.com/maps/search/?api=1&amp;query=Carver+County+Chiropractic+Company+PLC%2C+1405+78th+St%2C+Victoria%2C+MN+55386" TargetMode="External"/><Relationship Id="rId440" Type="http://schemas.openxmlformats.org/officeDocument/2006/relationships/hyperlink" Target="https://npiregistry.cms.hhs.gov/provider-view/1053828467" TargetMode="External"/><Relationship Id="rId1070" Type="http://schemas.openxmlformats.org/officeDocument/2006/relationships/hyperlink" Target="https://npiregistry.cms.hhs.gov/provider-view/1396850558" TargetMode="External"/><Relationship Id="rId2121" Type="http://schemas.openxmlformats.org/officeDocument/2006/relationships/hyperlink" Target="https://www.google.com/maps/search/?api=1&amp;query=East+St+Paul+Health+PA%2C+779+7th+St+E%2C+St.+Paul%2C+MN+55106" TargetMode="External"/><Relationship Id="rId300" Type="http://schemas.openxmlformats.org/officeDocument/2006/relationships/hyperlink" Target="https://npiregistry.cms.hhs.gov/provider-view/1417221037" TargetMode="External"/><Relationship Id="rId4086" Type="http://schemas.openxmlformats.org/officeDocument/2006/relationships/hyperlink" Target="https://npiregistry.cms.hhs.gov/provider-view/1144372608" TargetMode="External"/><Relationship Id="rId1887" Type="http://schemas.openxmlformats.org/officeDocument/2006/relationships/hyperlink" Target="https://www.google.com/maps/search/?api=1&amp;query=Lifescan+Minnesota+Stand+Up+Mri%2C+75+Viking+Dr+W%2C+Little+Canada%2C+MN+55117" TargetMode="External"/><Relationship Id="rId2938" Type="http://schemas.openxmlformats.org/officeDocument/2006/relationships/hyperlink" Target="https://npiregistry.cms.hhs.gov/provider-view/1487983722" TargetMode="External"/><Relationship Id="rId1747" Type="http://schemas.openxmlformats.org/officeDocument/2006/relationships/hyperlink" Target="https://www.google.com/maps/search/?api=1&amp;query=Big+Brain+Concussion+Recovery+%26+Chiropractic+PA%2C+3313+Republic+Ave.%2C+St.+Louis+Park%2C+MN+55426" TargetMode="External"/><Relationship Id="rId1954" Type="http://schemas.openxmlformats.org/officeDocument/2006/relationships/hyperlink" Target="https://npiregistry.cms.hhs.gov/provider-view/1548568108" TargetMode="External"/><Relationship Id="rId4153" Type="http://schemas.openxmlformats.org/officeDocument/2006/relationships/hyperlink" Target="https://www.google.com/maps/search/?api=1&amp;query=Mitteness+Chiropractic+Clinic%2C+702+Highway+75+S%2C+Wheaton%2C+MN+56296" TargetMode="External"/><Relationship Id="rId39" Type="http://schemas.openxmlformats.org/officeDocument/2006/relationships/hyperlink" Target="https://www.google.com/maps/search/?api=1&amp;query=Corrective+Care+Chiropractic+PC%2C+922+125th+Ln+NE%2C+Blaine%2C+MN+55434" TargetMode="External"/><Relationship Id="rId1607" Type="http://schemas.openxmlformats.org/officeDocument/2006/relationships/hyperlink" Target="https://www.google.com/maps/search/?api=1&amp;query=Fernbrook+Chirpractic%2C+LTD.%2C+3169+Fernbrook+Ln+N%2C+Plymouth%2C+MN+55447" TargetMode="External"/><Relationship Id="rId1814" Type="http://schemas.openxmlformats.org/officeDocument/2006/relationships/hyperlink" Target="https://npiregistry.cms.hhs.gov/provider-view/1578849428" TargetMode="External"/><Relationship Id="rId4013" Type="http://schemas.openxmlformats.org/officeDocument/2006/relationships/hyperlink" Target="https://www.google.com/maps/search/?api=1&amp;query=Coron+Family+Chiropractic%2C+856+W+5th+St%2C+Winona%2C+MN+55987" TargetMode="External"/><Relationship Id="rId3779" Type="http://schemas.openxmlformats.org/officeDocument/2006/relationships/hyperlink" Target="https://www.google.com/maps/search/?api=1&amp;query=Eaton+Sport+and+Spine+Clinic+LLC%2C+424+Bridge+Ave%2C+Albert+Lea%2C+MN+56007" TargetMode="External"/><Relationship Id="rId2588" Type="http://schemas.openxmlformats.org/officeDocument/2006/relationships/hyperlink" Target="https://npiregistry.cms.hhs.gov/provider-view/1043217433" TargetMode="External"/><Relationship Id="rId3986" Type="http://schemas.openxmlformats.org/officeDocument/2006/relationships/hyperlink" Target="https://npiregistry.cms.hhs.gov/provider-view/1013106053" TargetMode="External"/><Relationship Id="rId1397" Type="http://schemas.openxmlformats.org/officeDocument/2006/relationships/hyperlink" Target="https://www.google.com/maps/search/?api=1&amp;query=Orthorehab+Specialists%2C+INC.%2C+825+Nicollet+Mall%2C+Minneapolis%2C+MN+55402" TargetMode="External"/><Relationship Id="rId2795" Type="http://schemas.openxmlformats.org/officeDocument/2006/relationships/hyperlink" Target="https://www.google.com/maps/search/?api=1&amp;query=Nesseth+Chiropractic+Clinic+PA%2C+235+Broadway+Ave+S%2C+Cokato%2C+MN+55321" TargetMode="External"/><Relationship Id="rId3639" Type="http://schemas.openxmlformats.org/officeDocument/2006/relationships/hyperlink" Target="https://www.google.com/maps/search/?api=1&amp;query=Aurora+Chiropractic%2C+LLC%2C+1051+Madison+Ave%2C+Mankato%2C+MN+56001" TargetMode="External"/><Relationship Id="rId3846" Type="http://schemas.openxmlformats.org/officeDocument/2006/relationships/hyperlink" Target="https://npiregistry.cms.hhs.gov/provider-view/1083222921" TargetMode="External"/><Relationship Id="rId767" Type="http://schemas.openxmlformats.org/officeDocument/2006/relationships/hyperlink" Target="https://www.google.com/maps/search/?api=1&amp;query=Dimensions+Chiropractic+and+Wellness%2C+11309+Toledo+Ave%2C+Champlin%2C+MN+55316" TargetMode="External"/><Relationship Id="rId974" Type="http://schemas.openxmlformats.org/officeDocument/2006/relationships/hyperlink" Target="https://npiregistry.cms.hhs.gov/provider-view/1396966057" TargetMode="External"/><Relationship Id="rId2448" Type="http://schemas.openxmlformats.org/officeDocument/2006/relationships/hyperlink" Target="https://npiregistry.cms.hhs.gov/provider-view/1235653726" TargetMode="External"/><Relationship Id="rId2655" Type="http://schemas.openxmlformats.org/officeDocument/2006/relationships/hyperlink" Target="https://www.google.com/maps/search/?api=1&amp;query=Hall+Family+Chiropractic+Clinic%2C+13999+60th+St+N%2C+Stillwater%2C+MN+55082" TargetMode="External"/><Relationship Id="rId2862" Type="http://schemas.openxmlformats.org/officeDocument/2006/relationships/hyperlink" Target="https://npiregistry.cms.hhs.gov/provider-view/1558533943" TargetMode="External"/><Relationship Id="rId3706" Type="http://schemas.openxmlformats.org/officeDocument/2006/relationships/hyperlink" Target="https://npiregistry.cms.hhs.gov/provider-view/1346594223" TargetMode="External"/><Relationship Id="rId3913" Type="http://schemas.openxmlformats.org/officeDocument/2006/relationships/hyperlink" Target="https://www.google.com/maps/search/?api=1&amp;query=Trillium+Spinal+Care+PLC%2C+2300+Superior+Dr+NW%2C+Rochester%2C+MN+55901" TargetMode="External"/><Relationship Id="rId627" Type="http://schemas.openxmlformats.org/officeDocument/2006/relationships/hyperlink" Target="https://www.google.com/maps/search/?api=1&amp;query=Dr.+Kaye+B.+Otter%2Cp.a.%2C+8100+Penn+Ave+S%2C+Bloomington%2C+MN+55431" TargetMode="External"/><Relationship Id="rId834" Type="http://schemas.openxmlformats.org/officeDocument/2006/relationships/hyperlink" Target="https://npiregistry.cms.hhs.gov/provider-view/1275787376" TargetMode="External"/><Relationship Id="rId1257" Type="http://schemas.openxmlformats.org/officeDocument/2006/relationships/hyperlink" Target="https://www.google.com/maps/search/?api=1&amp;query=Elevation+Chiropractic+%26+Wellness%2C+5415+Nicollet+Ave%2C+Minneapolis%2C+MN+55419" TargetMode="External"/><Relationship Id="rId1464" Type="http://schemas.openxmlformats.org/officeDocument/2006/relationships/hyperlink" Target="https://npiregistry.cms.hhs.gov/provider-view/1861819989" TargetMode="External"/><Relationship Id="rId1671" Type="http://schemas.openxmlformats.org/officeDocument/2006/relationships/hyperlink" Target="https://www.google.com/maps/search/?api=1&amp;query=Integrated+Sports+Chiropractic+and+Rehab%2C+6712+Clinton+Ave%2C+Richfield%2C+MN+55423" TargetMode="External"/><Relationship Id="rId2308" Type="http://schemas.openxmlformats.org/officeDocument/2006/relationships/hyperlink" Target="https://npiregistry.cms.hhs.gov/provider-view/1508228016" TargetMode="External"/><Relationship Id="rId2515" Type="http://schemas.openxmlformats.org/officeDocument/2006/relationships/hyperlink" Target="https://www.google.com/maps/search/?api=1&amp;query=Hillside+Chiropractic+Clinic%2C+19449+Evans+St+NW%2C+Elk+River%2C+MN+55330" TargetMode="External"/><Relationship Id="rId2722" Type="http://schemas.openxmlformats.org/officeDocument/2006/relationships/hyperlink" Target="https://npiregistry.cms.hhs.gov/provider-view/1306151832" TargetMode="External"/><Relationship Id="rId901" Type="http://schemas.openxmlformats.org/officeDocument/2006/relationships/hyperlink" Target="https://www.google.com/maps/search/?api=1&amp;query=Evans+Chiropractic+PA%2C+4010+W+65th+St%2C+Edina%2C+MN+55435" TargetMode="External"/><Relationship Id="rId1117" Type="http://schemas.openxmlformats.org/officeDocument/2006/relationships/hyperlink" Target="https://www.google.com/maps/search/?api=1&amp;query=DC+Wellness+Center%2C+9479+Garland+Lane+North%2C+Maple+Grove%2C+MN+55311" TargetMode="External"/><Relationship Id="rId1324" Type="http://schemas.openxmlformats.org/officeDocument/2006/relationships/hyperlink" Target="https://npiregistry.cms.hhs.gov/provider-view/1265519565" TargetMode="External"/><Relationship Id="rId1531" Type="http://schemas.openxmlformats.org/officeDocument/2006/relationships/hyperlink" Target="https://www.google.com/maps/search/?api=1&amp;query=Merz+Physical+Therapy%2C+15000+Minnetonka+Blvd%2C+Minnetonka%2C+MN+55345" TargetMode="External"/><Relationship Id="rId30" Type="http://schemas.openxmlformats.org/officeDocument/2006/relationships/hyperlink" Target="https://npiregistry.cms.hhs.gov/provider-view/1821211210" TargetMode="External"/><Relationship Id="rId3289" Type="http://schemas.openxmlformats.org/officeDocument/2006/relationships/hyperlink" Target="https://www.google.com/maps/search/?api=1&amp;query=Smart+Chiropractic+Center%2C+708+Bridge+St%2C+Park+Rapids%2C+MN+56470" TargetMode="External"/><Relationship Id="rId3496" Type="http://schemas.openxmlformats.org/officeDocument/2006/relationships/hyperlink" Target="https://npiregistry.cms.hhs.gov/provider-view/1316989817" TargetMode="External"/><Relationship Id="rId2098" Type="http://schemas.openxmlformats.org/officeDocument/2006/relationships/hyperlink" Target="https://npiregistry.cms.hhs.gov/provider-view/1962985663" TargetMode="External"/><Relationship Id="rId3149" Type="http://schemas.openxmlformats.org/officeDocument/2006/relationships/hyperlink" Target="https://www.google.com/maps/search/?api=1&amp;query=Complete+Health+PC%2C+3315+Bemidji+Avenue+North%2C+Bemidji%2C+MN+56601" TargetMode="External"/><Relationship Id="rId3356" Type="http://schemas.openxmlformats.org/officeDocument/2006/relationships/hyperlink" Target="https://npiregistry.cms.hhs.gov/provider-view/1972729176" TargetMode="External"/><Relationship Id="rId3563" Type="http://schemas.openxmlformats.org/officeDocument/2006/relationships/hyperlink" Target="https://www.google.com/maps/search/?api=1&amp;query=Kastner+Chiropractic+LLC%2C+17+South+Central+Avenue%2C+Elbow+Lake%2C+MN+56531" TargetMode="External"/><Relationship Id="rId277" Type="http://schemas.openxmlformats.org/officeDocument/2006/relationships/hyperlink" Target="https://www.google.com/maps/search/?api=1&amp;query=Diagnostic+Solutions%2C+33289+Forest+Blvd%2C+Stacy%2C+MN+55079" TargetMode="External"/><Relationship Id="rId484" Type="http://schemas.openxmlformats.org/officeDocument/2006/relationships/hyperlink" Target="https://npiregistry.cms.hhs.gov/provider-view/1053656157" TargetMode="External"/><Relationship Id="rId2165" Type="http://schemas.openxmlformats.org/officeDocument/2006/relationships/hyperlink" Target="https://www.google.com/maps/search/?api=1&amp;query=John+W+Benton+MD+PA%2C+1600+University+Avenue+West%2C+St.+Paul%2C+MN+55104" TargetMode="External"/><Relationship Id="rId3009" Type="http://schemas.openxmlformats.org/officeDocument/2006/relationships/hyperlink" Target="https://www.google.com/maps/search/?api=1&amp;query=Rayus+Radiology%2C+166+19th+Street+South%2C+Sartell%2C+MN+56377" TargetMode="External"/><Relationship Id="rId3216" Type="http://schemas.openxmlformats.org/officeDocument/2006/relationships/hyperlink" Target="https://npiregistry.cms.hhs.gov/provider-view/1154741288" TargetMode="External"/><Relationship Id="rId3770" Type="http://schemas.openxmlformats.org/officeDocument/2006/relationships/hyperlink" Target="https://npiregistry.cms.hhs.gov/provider-view/1619249133" TargetMode="External"/><Relationship Id="rId137" Type="http://schemas.openxmlformats.org/officeDocument/2006/relationships/hyperlink" Target="https://www.google.com/maps/search/?api=1&amp;query=Ham+Lake+Physical+Therapy%2C+16210+Aberdeen+St+NE%2C+Ham+Lake%2C+MN+55304" TargetMode="External"/><Relationship Id="rId344" Type="http://schemas.openxmlformats.org/officeDocument/2006/relationships/hyperlink" Target="https://npiregistry.cms.hhs.gov/provider-view/1790932390" TargetMode="External"/><Relationship Id="rId691" Type="http://schemas.openxmlformats.org/officeDocument/2006/relationships/hyperlink" Target="https://www.google.com/maps/search/?api=1&amp;query=Disc+Centers+of+America+Brooklyn+Center%2C+2781+Freeway+Blvd%2C+Brooklyn+Center%2C+MN+55430" TargetMode="External"/><Relationship Id="rId2025" Type="http://schemas.openxmlformats.org/officeDocument/2006/relationships/hyperlink" Target="https://www.google.com/maps/search/?api=1&amp;query=Shoreview+Spine+and+Sport+Family+Chiropractic%2C+LLC%2C+3434+Lexington+Ave+N%2C+Shoreview%2C+MN+55126" TargetMode="External"/><Relationship Id="rId2372" Type="http://schemas.openxmlformats.org/officeDocument/2006/relationships/hyperlink" Target="https://npiregistry.cms.hhs.gov/provider-view/1285939710" TargetMode="External"/><Relationship Id="rId3423" Type="http://schemas.openxmlformats.org/officeDocument/2006/relationships/hyperlink" Target="https://www.google.com/maps/search/?api=1&amp;query=Wolverine+Anesthesia%2C+LLC%2C+1420+London+Rd%2C+Duluth%2C+MN+55805" TargetMode="External"/><Relationship Id="rId3630" Type="http://schemas.openxmlformats.org/officeDocument/2006/relationships/hyperlink" Target="https://npiregistry.cms.hhs.gov/provider-view/1467524371" TargetMode="External"/><Relationship Id="rId551" Type="http://schemas.openxmlformats.org/officeDocument/2006/relationships/hyperlink" Target="https://www.google.com/maps/search/?api=1&amp;query=Viverant%2C+21034+Heron+Way%2C+Lakeville%2C+MN+55044" TargetMode="External"/><Relationship Id="rId1181" Type="http://schemas.openxmlformats.org/officeDocument/2006/relationships/hyperlink" Target="https://www.google.com/maps/search/?api=1&amp;query=Access+Chiropractic+Clinic%2C+1113+E+Franklin+Ave%2C+Minneapolis%2C+MN+55404" TargetMode="External"/><Relationship Id="rId2232" Type="http://schemas.openxmlformats.org/officeDocument/2006/relationships/hyperlink" Target="https://npiregistry.cms.hhs.gov/provider-view/1346617297" TargetMode="External"/><Relationship Id="rId204" Type="http://schemas.openxmlformats.org/officeDocument/2006/relationships/hyperlink" Target="https://npiregistry.cms.hhs.gov/provider-view/1144639949" TargetMode="External"/><Relationship Id="rId411" Type="http://schemas.openxmlformats.org/officeDocument/2006/relationships/hyperlink" Target="https://www.google.com/maps/search/?api=1&amp;query=Chiropractic+Wellness+Innovations+PLLC%2C+1590+Thomas+Center+Dr%2C+Eagan%2C+MN+55122" TargetMode="External"/><Relationship Id="rId1041" Type="http://schemas.openxmlformats.org/officeDocument/2006/relationships/hyperlink" Target="https://www.google.com/maps/search/?api=1&amp;query=Levernier+Chiropractic%2C+PA%2C+8441+Wayzata+Blvd%2C+Golden+Valley%2C+MN+55426" TargetMode="External"/><Relationship Id="rId1998" Type="http://schemas.openxmlformats.org/officeDocument/2006/relationships/hyperlink" Target="https://npiregistry.cms.hhs.gov/provider-view/1346773330" TargetMode="External"/><Relationship Id="rId1858" Type="http://schemas.openxmlformats.org/officeDocument/2006/relationships/hyperlink" Target="https://npiregistry.cms.hhs.gov/provider-view/1750755443" TargetMode="External"/><Relationship Id="rId4057" Type="http://schemas.openxmlformats.org/officeDocument/2006/relationships/hyperlink" Target="https://www.google.com/maps/search/?api=1&amp;query=Linden+Chiropractic+Clinic+PA.%2C+1604+1st+St+S%2C+Willmar%2C+MN+56201" TargetMode="External"/><Relationship Id="rId2909" Type="http://schemas.openxmlformats.org/officeDocument/2006/relationships/hyperlink" Target="https://www.google.com/maps/search/?api=1&amp;query=Litchfield+Chiropractic+Center+LLC%2C+126+N+Sibley+Ave%2C+Litchfield%2C+MN+55355" TargetMode="External"/><Relationship Id="rId3073" Type="http://schemas.openxmlformats.org/officeDocument/2006/relationships/hyperlink" Target="https://www.google.com/maps/search/?api=1&amp;query=Spot+Rehabilitation+INC.%2C+2835+W+Saint+Germain+St%2C+St.+Cloud%2C+MN+56301" TargetMode="External"/><Relationship Id="rId3280" Type="http://schemas.openxmlformats.org/officeDocument/2006/relationships/hyperlink" Target="https://npiregistry.cms.hhs.gov/provider-view/1417540774" TargetMode="External"/><Relationship Id="rId4124" Type="http://schemas.openxmlformats.org/officeDocument/2006/relationships/hyperlink" Target="https://npiregistry.cms.hhs.gov/provider-view/1497951073" TargetMode="External"/><Relationship Id="rId1718" Type="http://schemas.openxmlformats.org/officeDocument/2006/relationships/hyperlink" Target="https://npiregistry.cms.hhs.gov/provider-view/1043387392" TargetMode="External"/><Relationship Id="rId1925" Type="http://schemas.openxmlformats.org/officeDocument/2006/relationships/hyperlink" Target="https://www.google.com/maps/search/?api=1&amp;query=Cha+Family+Chiropractic%2C+1401+Silver+Lake+Rd+NW%2C+New+Brighton%2C+MN+55112" TargetMode="External"/><Relationship Id="rId3140" Type="http://schemas.openxmlformats.org/officeDocument/2006/relationships/hyperlink" Target="https://npiregistry.cms.hhs.gov/provider-view/1679068407" TargetMode="External"/><Relationship Id="rId2699" Type="http://schemas.openxmlformats.org/officeDocument/2006/relationships/hyperlink" Target="https://www.google.com/maps/search/?api=1&amp;query=Eastview+Family+Chiropractic+Clinic%2C+1125+Woodbury+Dr%2C+Woodbury%2C+MN+55129" TargetMode="External"/><Relationship Id="rId3000" Type="http://schemas.openxmlformats.org/officeDocument/2006/relationships/hyperlink" Target="https://npiregistry.cms.hhs.gov/provider-view/1427650217" TargetMode="External"/><Relationship Id="rId3957" Type="http://schemas.openxmlformats.org/officeDocument/2006/relationships/hyperlink" Target="https://www.google.com/maps/search/?api=1&amp;query=Noble+Chiropractic+Clinic+PA%2C+205+Division+St+S%2C+Northfield%2C+MN+55057" TargetMode="External"/><Relationship Id="rId878" Type="http://schemas.openxmlformats.org/officeDocument/2006/relationships/hyperlink" Target="https://npiregistry.cms.hhs.gov/provider-view/1962613513" TargetMode="External"/><Relationship Id="rId2559" Type="http://schemas.openxmlformats.org/officeDocument/2006/relationships/hyperlink" Target="https://www.google.com/maps/search/?api=1&amp;query=Santori+Chiropractic+Center%2C+LLC%2C+7155+80th+Street+So%2C+Cottage+Grove%2C+MN+55016" TargetMode="External"/><Relationship Id="rId2766" Type="http://schemas.openxmlformats.org/officeDocument/2006/relationships/hyperlink" Target="https://npiregistry.cms.hhs.gov/provider-view/1023236874" TargetMode="External"/><Relationship Id="rId2973" Type="http://schemas.openxmlformats.org/officeDocument/2006/relationships/hyperlink" Target="https://www.google.com/maps/search/?api=1&amp;query=Cold+Spring+Chiropractic+Center%2C+LTD%2C+402+Red+River+Ave+N%2C+Cold+Spring%2C+MN+56320" TargetMode="External"/><Relationship Id="rId3817" Type="http://schemas.openxmlformats.org/officeDocument/2006/relationships/hyperlink" Target="https://www.google.com/maps/search/?api=1&amp;query=Chiropractic+First+of+La+Crescent%2C+205+N+Chestnut+St%2C+La+Crescent%2C+MN+55947" TargetMode="External"/><Relationship Id="rId738" Type="http://schemas.openxmlformats.org/officeDocument/2006/relationships/hyperlink" Target="https://npiregistry.cms.hhs.gov/provider-view/1104286772" TargetMode="External"/><Relationship Id="rId945" Type="http://schemas.openxmlformats.org/officeDocument/2006/relationships/hyperlink" Target="https://www.google.com/maps/search/?api=1&amp;query=Minnesota+Radiology%2C+4000+W+76th+St%2C+Edina%2C+MN+55435" TargetMode="External"/><Relationship Id="rId1368" Type="http://schemas.openxmlformats.org/officeDocument/2006/relationships/hyperlink" Target="https://npiregistry.cms.hhs.gov/provider-view/1629121884" TargetMode="External"/><Relationship Id="rId1575" Type="http://schemas.openxmlformats.org/officeDocument/2006/relationships/hyperlink" Target="https://www.google.com/maps/search/?api=1&amp;query=Post-Acute+Physicians+of+Minnesota%2C+5430+Boone+Ave+N%2C+New+Hope%2C+MN+55428" TargetMode="External"/><Relationship Id="rId1782" Type="http://schemas.openxmlformats.org/officeDocument/2006/relationships/hyperlink" Target="https://npiregistry.cms.hhs.gov/provider-view/1376775049" TargetMode="External"/><Relationship Id="rId2419" Type="http://schemas.openxmlformats.org/officeDocument/2006/relationships/hyperlink" Target="https://www.google.com/maps/search/?api=1&amp;query=Pathways+Chiropractic+Health+Center+of+Prior+Lake%2C+PA%2C+16154+Main+Ave+SE%2C+Prior+Lake%2C+MN+55372" TargetMode="External"/><Relationship Id="rId2626" Type="http://schemas.openxmlformats.org/officeDocument/2006/relationships/hyperlink" Target="https://npiregistry.cms.hhs.gov/provider-view/1811462427" TargetMode="External"/><Relationship Id="rId2833" Type="http://schemas.openxmlformats.org/officeDocument/2006/relationships/hyperlink" Target="https://www.google.com/maps/search/?api=1&amp;query=Healing+Hands+Family+Chiropractic%2C+PSC%2C+9125+Quaday+Ave+NE%2C+Otsego%2C+MN+55330" TargetMode="External"/><Relationship Id="rId74" Type="http://schemas.openxmlformats.org/officeDocument/2006/relationships/hyperlink" Target="https://npiregistry.cms.hhs.gov/provider-view/1235413048" TargetMode="External"/><Relationship Id="rId805" Type="http://schemas.openxmlformats.org/officeDocument/2006/relationships/hyperlink" Target="https://www.google.com/maps/search/?api=1&amp;query=Chirocenter-Eden+Prairie%2C+7810+Terrey+Pine+Ct%2C+Eden+Prairie%2C+MN+55347" TargetMode="External"/><Relationship Id="rId1228" Type="http://schemas.openxmlformats.org/officeDocument/2006/relationships/hyperlink" Target="https://npiregistry.cms.hhs.gov/provider-view/1942418827" TargetMode="External"/><Relationship Id="rId1435" Type="http://schemas.openxmlformats.org/officeDocument/2006/relationships/hyperlink" Target="https://www.google.com/maps/search/?api=1&amp;query=Sport+%26+Spine+Chiropractic%2C+2915+Wayzata+Blvd%2C+Minneapolis%2C+MN+55405" TargetMode="External"/><Relationship Id="rId1642" Type="http://schemas.openxmlformats.org/officeDocument/2006/relationships/hyperlink" Target="https://npiregistry.cms.hhs.gov/provider-view/1962693747" TargetMode="External"/><Relationship Id="rId2900" Type="http://schemas.openxmlformats.org/officeDocument/2006/relationships/hyperlink" Target="https://npiregistry.cms.hhs.gov/provider-view/1962562249" TargetMode="External"/><Relationship Id="rId1502" Type="http://schemas.openxmlformats.org/officeDocument/2006/relationships/hyperlink" Target="https://npiregistry.cms.hhs.gov/provider-view/1184820193" TargetMode="External"/><Relationship Id="rId388" Type="http://schemas.openxmlformats.org/officeDocument/2006/relationships/hyperlink" Target="https://npiregistry.cms.hhs.gov/provider-view/1215120373" TargetMode="External"/><Relationship Id="rId2069" Type="http://schemas.openxmlformats.org/officeDocument/2006/relationships/hyperlink" Target="https://www.google.com/maps/search/?api=1&amp;query=Caron+Chiropractic+Clinic%2C+PA.%2C+490+Snelling+Ave+S%2C+St.+Paul%2C+MN+55116" TargetMode="External"/><Relationship Id="rId3467" Type="http://schemas.openxmlformats.org/officeDocument/2006/relationships/hyperlink" Target="https://www.google.com/maps/search/?api=1&amp;query=Health+Quest+Family+Chiropractic%2C+LLC%2C+213+Labree+Ave+N%2C+Thief+River+Falls%2C+MN+56701" TargetMode="External"/><Relationship Id="rId3674" Type="http://schemas.openxmlformats.org/officeDocument/2006/relationships/hyperlink" Target="https://npiregistry.cms.hhs.gov/provider-view/1215941737" TargetMode="External"/><Relationship Id="rId3881" Type="http://schemas.openxmlformats.org/officeDocument/2006/relationships/hyperlink" Target="https://www.google.com/maps/search/?api=1&amp;query=Empowered+Family+Chiropractic+INC.%2C+2625+Hwy+14+W%2C+Rochester%2C+MN+55901" TargetMode="External"/><Relationship Id="rId595" Type="http://schemas.openxmlformats.org/officeDocument/2006/relationships/hyperlink" Target="https://www.google.com/maps/search/?api=1&amp;query=Stoffels+Chiropractic+Office+LTD%2C+130+Butler+Ave+E%2C+West+St+Paul%2C+MN+55118" TargetMode="External"/><Relationship Id="rId2276" Type="http://schemas.openxmlformats.org/officeDocument/2006/relationships/hyperlink" Target="https://npiregistry.cms.hhs.gov/provider-view/1518140797" TargetMode="External"/><Relationship Id="rId2483" Type="http://schemas.openxmlformats.org/officeDocument/2006/relationships/hyperlink" Target="https://www.google.com/maps/search/?api=1&amp;query=Kavanagh+Chiropractic+PA%2C+500+Marschall+Rd%2C+Shakopee%2C+MN+55379" TargetMode="External"/><Relationship Id="rId2690" Type="http://schemas.openxmlformats.org/officeDocument/2006/relationships/hyperlink" Target="https://npiregistry.cms.hhs.gov/provider-view/1770780504" TargetMode="External"/><Relationship Id="rId3327" Type="http://schemas.openxmlformats.org/officeDocument/2006/relationships/hyperlink" Target="https://www.google.com/maps/search/?api=1&amp;query=Sonder+Chiropractic%2C+PA.%2C+423+NE+4th+St%2C+Grand+Rapids%2C+MN+55744" TargetMode="External"/><Relationship Id="rId3534" Type="http://schemas.openxmlformats.org/officeDocument/2006/relationships/hyperlink" Target="https://npiregistry.cms.hhs.gov/provider-view/1376966721" TargetMode="External"/><Relationship Id="rId3741" Type="http://schemas.openxmlformats.org/officeDocument/2006/relationships/hyperlink" Target="https://www.google.com/maps/search/?api=1&amp;query=Cornerstone+Wellness+Center+of+St.peter+PA.%2C+220+W+Broadway+Ave%2C+St.+Peter%2C+MN+56082" TargetMode="External"/><Relationship Id="rId248" Type="http://schemas.openxmlformats.org/officeDocument/2006/relationships/hyperlink" Target="https://npiregistry.cms.hhs.gov/provider-view/1598136830" TargetMode="External"/><Relationship Id="rId455" Type="http://schemas.openxmlformats.org/officeDocument/2006/relationships/hyperlink" Target="https://www.google.com/maps/search/?api=1&amp;query=Rejuv+Skin+%26+Laser+Clinic%2C+1625+Lena+Ct%2C+Eagan%2C+MN+55122" TargetMode="External"/><Relationship Id="rId662" Type="http://schemas.openxmlformats.org/officeDocument/2006/relationships/hyperlink" Target="https://npiregistry.cms.hhs.gov/provider-view/1710007620" TargetMode="External"/><Relationship Id="rId1085" Type="http://schemas.openxmlformats.org/officeDocument/2006/relationships/hyperlink" Target="https://www.google.com/maps/search/?api=1&amp;query=Hopkins+Spinal+Care+PA.%2C+10907+Excelsior+Blvd%2C+Hopkins%2C+MN+55343" TargetMode="External"/><Relationship Id="rId1292" Type="http://schemas.openxmlformats.org/officeDocument/2006/relationships/hyperlink" Target="https://npiregistry.cms.hhs.gov/provider-view/1215278601" TargetMode="External"/><Relationship Id="rId2136" Type="http://schemas.openxmlformats.org/officeDocument/2006/relationships/hyperlink" Target="https://npiregistry.cms.hhs.gov/provider-view/1285964411" TargetMode="External"/><Relationship Id="rId2343" Type="http://schemas.openxmlformats.org/officeDocument/2006/relationships/hyperlink" Target="https://www.google.com/maps/search/?api=1&amp;query=Bear+Town+Chiropractic+Clinic%2C+PA.%2C+2186+3rd+St%2C+White+Bear+Lake%2C+MN+55110" TargetMode="External"/><Relationship Id="rId2550" Type="http://schemas.openxmlformats.org/officeDocument/2006/relationships/hyperlink" Target="https://npiregistry.cms.hhs.gov/provider-view/1992028419" TargetMode="External"/><Relationship Id="rId3601" Type="http://schemas.openxmlformats.org/officeDocument/2006/relationships/hyperlink" Target="https://www.google.com/maps/search/?api=1&amp;query=Select+Physical+Therapy+Holdings+INC%2C+211+E+Mill+St%2C+Pelican+Rapids%2C+MN+56572" TargetMode="External"/><Relationship Id="rId108" Type="http://schemas.openxmlformats.org/officeDocument/2006/relationships/hyperlink" Target="https://npiregistry.cms.hhs.gov/provider-view/1952471336" TargetMode="External"/><Relationship Id="rId315" Type="http://schemas.openxmlformats.org/officeDocument/2006/relationships/hyperlink" Target="https://www.google.com/maps/search/?api=1&amp;query=Live+Healthy+PA%2C+7300+147th+St+W%2C+Apple+Valley%2C+MN+55124" TargetMode="External"/><Relationship Id="rId522" Type="http://schemas.openxmlformats.org/officeDocument/2006/relationships/hyperlink" Target="https://npiregistry.cms.hhs.gov/provider-view/1255751244" TargetMode="External"/><Relationship Id="rId1152" Type="http://schemas.openxmlformats.org/officeDocument/2006/relationships/hyperlink" Target="https://npiregistry.cms.hhs.gov/provider-view/1780987149" TargetMode="External"/><Relationship Id="rId2203" Type="http://schemas.openxmlformats.org/officeDocument/2006/relationships/hyperlink" Target="https://www.google.com/maps/search/?api=1&amp;query=Mighty+Oak+Chiropractic%2C+PLLC%2C+2233+Energy+Park+Dr%2C+St.+Paul%2C+MN+55108" TargetMode="External"/><Relationship Id="rId2410" Type="http://schemas.openxmlformats.org/officeDocument/2006/relationships/hyperlink" Target="https://npiregistry.cms.hhs.gov/provider-view/1366631244" TargetMode="External"/><Relationship Id="rId1012" Type="http://schemas.openxmlformats.org/officeDocument/2006/relationships/hyperlink" Target="https://npiregistry.cms.hhs.gov/provider-view/1447630223" TargetMode="External"/><Relationship Id="rId1969" Type="http://schemas.openxmlformats.org/officeDocument/2006/relationships/hyperlink" Target="https://www.google.com/maps/search/?api=1&amp;query=Midwest+Med+Management%2C+INC%2C+1935+County+Road+B2+W%2C+Roseville%2C+MN+55113" TargetMode="External"/><Relationship Id="rId3184" Type="http://schemas.openxmlformats.org/officeDocument/2006/relationships/hyperlink" Target="https://npiregistry.cms.hhs.gov/provider-view/1164592507" TargetMode="External"/><Relationship Id="rId4028" Type="http://schemas.openxmlformats.org/officeDocument/2006/relationships/hyperlink" Target="https://npiregistry.cms.hhs.gov/provider-view/1982610747" TargetMode="External"/><Relationship Id="rId1829" Type="http://schemas.openxmlformats.org/officeDocument/2006/relationships/hyperlink" Target="https://www.google.com/maps/search/?api=1&amp;query=Common+Sense+Health+%26+Wellness%2C+700+Twelve+Oaks+Center+Dr%2C+Wayzata%2C+MN+55391" TargetMode="External"/><Relationship Id="rId3391" Type="http://schemas.openxmlformats.org/officeDocument/2006/relationships/hyperlink" Target="https://www.google.com/maps/search/?api=1&amp;query=Miller+Hill+Chiropractic%2C+PA%2C+1705+Miller+Trunk+Hwy%2C+Duluth%2C+MN+55811" TargetMode="External"/><Relationship Id="rId3044" Type="http://schemas.openxmlformats.org/officeDocument/2006/relationships/hyperlink" Target="https://npiregistry.cms.hhs.gov/provider-view/1780807883" TargetMode="External"/><Relationship Id="rId3251" Type="http://schemas.openxmlformats.org/officeDocument/2006/relationships/hyperlink" Target="https://www.google.com/maps/search/?api=1&amp;query=Select+Life+Chiropractic%2C+INC.%2C+429+8th+Ave+NE%2C+Brainerd%2C+MN+56401" TargetMode="External"/><Relationship Id="rId172" Type="http://schemas.openxmlformats.org/officeDocument/2006/relationships/hyperlink" Target="https://npiregistry.cms.hhs.gov/provider-view/1346287158" TargetMode="External"/><Relationship Id="rId2060" Type="http://schemas.openxmlformats.org/officeDocument/2006/relationships/hyperlink" Target="https://npiregistry.cms.hhs.gov/provider-view/1982651303" TargetMode="External"/><Relationship Id="rId3111" Type="http://schemas.openxmlformats.org/officeDocument/2006/relationships/hyperlink" Target="https://www.google.com/maps/search/?api=1&amp;query=Hpm+of+Minnesota+PLLC%2C+49725+Co+Rd+83%2C+Staples%2C+MN+56479" TargetMode="External"/><Relationship Id="rId989" Type="http://schemas.openxmlformats.org/officeDocument/2006/relationships/hyperlink" Target="https://www.google.com/maps/search/?api=1&amp;query=Vitality+Life+Chiropractic%2C+LLC%2C+7250+France+Ave+S%2C%2C+Edina%2C+MN+55435" TargetMode="External"/><Relationship Id="rId2877" Type="http://schemas.openxmlformats.org/officeDocument/2006/relationships/hyperlink" Target="https://www.google.com/maps/search/?api=1&amp;query=Advanced+Orthopaedic+Surgery%2C+PA.%2C+1805+Hennepin+Ave+N%2C+Glencoe%2C+MN+55336" TargetMode="External"/><Relationship Id="rId849" Type="http://schemas.openxmlformats.org/officeDocument/2006/relationships/hyperlink" Target="https://www.google.com/maps/search/?api=1&amp;query=Renewal+Rehab%2C+10300+Hennepin+Town+Rd%2C+Eden+Prairie%2C+MN+55347" TargetMode="External"/><Relationship Id="rId1479" Type="http://schemas.openxmlformats.org/officeDocument/2006/relationships/hyperlink" Target="https://www.google.com/maps/search/?api=1&amp;query=Watson+Chiropractic%2C+3107+Penn+Avenue+North%2C+Minneapolis%2C+MN+55411" TargetMode="External"/><Relationship Id="rId1686" Type="http://schemas.openxmlformats.org/officeDocument/2006/relationships/hyperlink" Target="https://npiregistry.cms.hhs.gov/provider-view/1841602091" TargetMode="External"/><Relationship Id="rId3928" Type="http://schemas.openxmlformats.org/officeDocument/2006/relationships/hyperlink" Target="https://npiregistry.cms.hhs.gov/provider-view/1437290186" TargetMode="External"/><Relationship Id="rId4092" Type="http://schemas.openxmlformats.org/officeDocument/2006/relationships/hyperlink" Target="https://npiregistry.cms.hhs.gov/provider-view/1427282268" TargetMode="External"/><Relationship Id="rId1339" Type="http://schemas.openxmlformats.org/officeDocument/2006/relationships/hyperlink" Target="https://www.google.com/maps/search/?api=1&amp;query=Lordex+Spine+Institute+of+Minneapolis%2C+LLC%2C+2900+Thomas+Ave+S%2C+Minneapolis%2C+MN+55416" TargetMode="External"/><Relationship Id="rId1893" Type="http://schemas.openxmlformats.org/officeDocument/2006/relationships/hyperlink" Target="https://www.google.com/maps/search/?api=1&amp;query=Advanced+Chiropractic%2C+PA.%2C+2485+Maplewood+Dr%2C+Maplewood%2C+MN+55109" TargetMode="External"/><Relationship Id="rId2737" Type="http://schemas.openxmlformats.org/officeDocument/2006/relationships/hyperlink" Target="https://www.google.com/maps/search/?api=1&amp;query=Scott+M.+Schreiber%2C+DC%2C+PA.%2C+8360+City+Centre+Dr%2C+Woodbury%2C+MN+55125" TargetMode="External"/><Relationship Id="rId2944" Type="http://schemas.openxmlformats.org/officeDocument/2006/relationships/hyperlink" Target="https://npiregistry.cms.hhs.gov/provider-view/1841839156" TargetMode="External"/><Relationship Id="rId709" Type="http://schemas.openxmlformats.org/officeDocument/2006/relationships/hyperlink" Target="https://www.google.com/maps/search/?api=1&amp;query=Care+Physical+Thrapy%2C+LLC%2C+8401+73rd+Ave+N%2C+Brooklyn+Park%2C+MN+55428" TargetMode="External"/><Relationship Id="rId916" Type="http://schemas.openxmlformats.org/officeDocument/2006/relationships/hyperlink" Target="https://npiregistry.cms.hhs.gov/provider-view/1508191255" TargetMode="External"/><Relationship Id="rId1546" Type="http://schemas.openxmlformats.org/officeDocument/2006/relationships/hyperlink" Target="https://npiregistry.cms.hhs.gov/provider-view/1053845727" TargetMode="External"/><Relationship Id="rId1753" Type="http://schemas.openxmlformats.org/officeDocument/2006/relationships/hyperlink" Target="https://www.google.com/maps/search/?api=1&amp;query=Chiropractic+and+Acupuncture+Associates%2C+6200+Excelsior+Blvd%2C+St.+Louis+Park%2C+MN+55416" TargetMode="External"/><Relationship Id="rId1960" Type="http://schemas.openxmlformats.org/officeDocument/2006/relationships/hyperlink" Target="https://npiregistry.cms.hhs.gov/provider-view/1902010390" TargetMode="External"/><Relationship Id="rId2804" Type="http://schemas.openxmlformats.org/officeDocument/2006/relationships/hyperlink" Target="https://npiregistry.cms.hhs.gov/provider-view/1619164621" TargetMode="External"/><Relationship Id="rId45" Type="http://schemas.openxmlformats.org/officeDocument/2006/relationships/hyperlink" Target="https://www.google.com/maps/search/?api=1&amp;query=Empowered+Health+Chiropractic+%26+Wellness%2C+LLC%2C+12157+Dunkirk+St+NE%2C+Blaine%2C+MN+55449" TargetMode="External"/><Relationship Id="rId1406" Type="http://schemas.openxmlformats.org/officeDocument/2006/relationships/hyperlink" Target="https://npiregistry.cms.hhs.gov/provider-view/1922272673" TargetMode="External"/><Relationship Id="rId1613" Type="http://schemas.openxmlformats.org/officeDocument/2006/relationships/hyperlink" Target="https://www.google.com/maps/search/?api=1&amp;query=Institute+For+Low+Back+%26+Neck+Care%2C+15700+37th+Avenue+North%2C+Plymouth%2C+MN+55446" TargetMode="External"/><Relationship Id="rId1820" Type="http://schemas.openxmlformats.org/officeDocument/2006/relationships/hyperlink" Target="https://npiregistry.cms.hhs.gov/provider-view/1053490615" TargetMode="External"/><Relationship Id="rId3578" Type="http://schemas.openxmlformats.org/officeDocument/2006/relationships/hyperlink" Target="https://npiregistry.cms.hhs.gov/provider-view/1013290824" TargetMode="External"/><Relationship Id="rId3785" Type="http://schemas.openxmlformats.org/officeDocument/2006/relationships/hyperlink" Target="https://www.google.com/maps/search/?api=1&amp;query=Mcintee+Chiropractic+Clinic%2C+114+3rd+St+N%2C+Cannon+Falls%2C+MN+55009" TargetMode="External"/><Relationship Id="rId3992" Type="http://schemas.openxmlformats.org/officeDocument/2006/relationships/hyperlink" Target="https://npiregistry.cms.hhs.gov/provider-view/1801084009" TargetMode="External"/><Relationship Id="rId499" Type="http://schemas.openxmlformats.org/officeDocument/2006/relationships/hyperlink" Target="https://www.google.com/maps/search/?api=1&amp;query=Advantage+Life+Chiropractic%2C+7832+Cahill+Ave%2C+Inver+Grove+Heights%2C+MN+55076" TargetMode="External"/><Relationship Id="rId2387" Type="http://schemas.openxmlformats.org/officeDocument/2006/relationships/hyperlink" Target="https://www.google.com/maps/search/?api=1&amp;query=Plum+Creek+Chiropractic+PA%2C+24875+Panama+Ave%2C+Elko%2C+MN+55020" TargetMode="External"/><Relationship Id="rId2594" Type="http://schemas.openxmlformats.org/officeDocument/2006/relationships/hyperlink" Target="https://npiregistry.cms.hhs.gov/provider-view/1013439868" TargetMode="External"/><Relationship Id="rId3438" Type="http://schemas.openxmlformats.org/officeDocument/2006/relationships/hyperlink" Target="https://npiregistry.cms.hhs.gov/provider-view/1699956391" TargetMode="External"/><Relationship Id="rId3645" Type="http://schemas.openxmlformats.org/officeDocument/2006/relationships/hyperlink" Target="https://www.google.com/maps/search/?api=1&amp;query=Chiropractic+Family+Clinic%2C+PA.%2C+120+N+Augusta+Ct%2C+Mankato%2C+MN+56001" TargetMode="External"/><Relationship Id="rId3852" Type="http://schemas.openxmlformats.org/officeDocument/2006/relationships/hyperlink" Target="https://npiregistry.cms.hhs.gov/provider-view/1235754946" TargetMode="External"/><Relationship Id="rId359" Type="http://schemas.openxmlformats.org/officeDocument/2006/relationships/hyperlink" Target="https://www.google.com/maps/search/?api=1&amp;query=Marty+Chiropractic%2C+2424+E+117th+St%2C+Burnsville%2C+MN+55337" TargetMode="External"/><Relationship Id="rId566" Type="http://schemas.openxmlformats.org/officeDocument/2006/relationships/hyperlink" Target="https://npiregistry.cms.hhs.gov/provider-view/1497893911" TargetMode="External"/><Relationship Id="rId773" Type="http://schemas.openxmlformats.org/officeDocument/2006/relationships/hyperlink" Target="https://www.google.com/maps/search/?api=1&amp;query=Family+Focus+Chiropractic%2C+LLC%2C+18924+Lake+Dr+E%2C+Chanhassen%2C+MN+55317" TargetMode="External"/><Relationship Id="rId1196" Type="http://schemas.openxmlformats.org/officeDocument/2006/relationships/hyperlink" Target="https://npiregistry.cms.hhs.gov/provider-view/1740579598" TargetMode="External"/><Relationship Id="rId2247" Type="http://schemas.openxmlformats.org/officeDocument/2006/relationships/hyperlink" Target="https://www.google.com/maps/search/?api=1&amp;query=Sentinel+Laser+Center%2C+PA.%2C+514+Saint+Peter+St%2C+St.+Paul%2C+MN+55102" TargetMode="External"/><Relationship Id="rId2454" Type="http://schemas.openxmlformats.org/officeDocument/2006/relationships/hyperlink" Target="https://npiregistry.cms.hhs.gov/provider-view/1568790889" TargetMode="External"/><Relationship Id="rId3505" Type="http://schemas.openxmlformats.org/officeDocument/2006/relationships/hyperlink" Target="https://www.google.com/maps/search/?api=1&amp;query=Mobilityplus+Rehabilitation%2C+LTD%2C+520+Main+Street%2C+Hawley%2C+MN+56549" TargetMode="External"/><Relationship Id="rId219" Type="http://schemas.openxmlformats.org/officeDocument/2006/relationships/hyperlink" Target="https://www.google.com/maps/search/?api=1&amp;query=Sd+Neubauer+Family+Health+%26+Wellness+PLLC%2C+122+Pioneer+Trl%2C+Chaska%2C+MN+55318" TargetMode="External"/><Relationship Id="rId426" Type="http://schemas.openxmlformats.org/officeDocument/2006/relationships/hyperlink" Target="https://npiregistry.cms.hhs.gov/provider-view/1194042135" TargetMode="External"/><Relationship Id="rId633" Type="http://schemas.openxmlformats.org/officeDocument/2006/relationships/hyperlink" Target="https://www.google.com/maps/search/?api=1&amp;query=Fleisner+Chiropractic+and+Wellness%2C+5001+American+Blvd+W%2C+Bloomington%2C+MN+55437" TargetMode="External"/><Relationship Id="rId980" Type="http://schemas.openxmlformats.org/officeDocument/2006/relationships/hyperlink" Target="https://npiregistry.cms.hhs.gov/provider-view/1881749059" TargetMode="External"/><Relationship Id="rId1056" Type="http://schemas.openxmlformats.org/officeDocument/2006/relationships/hyperlink" Target="https://npiregistry.cms.hhs.gov/provider-view/1144236688" TargetMode="External"/><Relationship Id="rId1263" Type="http://schemas.openxmlformats.org/officeDocument/2006/relationships/hyperlink" Target="https://www.google.com/maps/search/?api=1&amp;query=First+Choice+Chiropractic+%26+Rehab+Center+LLC%2C+2929+4th+Ave+S%2C+Minneapolis%2C+MN+55408" TargetMode="External"/><Relationship Id="rId2107" Type="http://schemas.openxmlformats.org/officeDocument/2006/relationships/hyperlink" Target="https://www.google.com/maps/search/?api=1&amp;query=Complete+Chiropractic+Health+Services%2C+PA.%2C+1526+Grand+Ave%2C+St.+Paul%2C+MN+55105" TargetMode="External"/><Relationship Id="rId2314" Type="http://schemas.openxmlformats.org/officeDocument/2006/relationships/hyperlink" Target="https://npiregistry.cms.hhs.gov/provider-view/1174633010" TargetMode="External"/><Relationship Id="rId2661" Type="http://schemas.openxmlformats.org/officeDocument/2006/relationships/hyperlink" Target="https://www.google.com/maps/search/?api=1&amp;query=Midwest+Spine+%26+Brain+Institute%2C+LLC.%2C+1950+Northwestern+Ave+S%2C+Stillwater%2C+MN+55082" TargetMode="External"/><Relationship Id="rId3712" Type="http://schemas.openxmlformats.org/officeDocument/2006/relationships/hyperlink" Target="https://npiregistry.cms.hhs.gov/provider-view/1700958980" TargetMode="External"/><Relationship Id="rId840" Type="http://schemas.openxmlformats.org/officeDocument/2006/relationships/hyperlink" Target="https://npiregistry.cms.hhs.gov/provider-view/1053623785" TargetMode="External"/><Relationship Id="rId1470" Type="http://schemas.openxmlformats.org/officeDocument/2006/relationships/hyperlink" Target="https://npiregistry.cms.hhs.gov/provider-view/1871872200" TargetMode="External"/><Relationship Id="rId2521" Type="http://schemas.openxmlformats.org/officeDocument/2006/relationships/hyperlink" Target="https://www.google.com/maps/search/?api=1&amp;query=Lighthouse+Chiropractic+Health+Center%2C+INC%2C+710+Dodge+Ave+NW%2C+Elk+River%2C+MN+55330" TargetMode="External"/><Relationship Id="rId700" Type="http://schemas.openxmlformats.org/officeDocument/2006/relationships/hyperlink" Target="https://npiregistry.cms.hhs.gov/provider-view/1174650519" TargetMode="External"/><Relationship Id="rId1123" Type="http://schemas.openxmlformats.org/officeDocument/2006/relationships/hyperlink" Target="https://www.google.com/maps/search/?api=1&amp;query=Guse+Chiropractic%2C+PA.%2C+13704+Grove+Dr%2C+Maple+Grove%2C+MN+55311" TargetMode="External"/><Relationship Id="rId1330" Type="http://schemas.openxmlformats.org/officeDocument/2006/relationships/hyperlink" Target="https://npiregistry.cms.hhs.gov/provider-view/1508245747" TargetMode="External"/><Relationship Id="rId3088" Type="http://schemas.openxmlformats.org/officeDocument/2006/relationships/hyperlink" Target="https://npiregistry.cms.hhs.gov/provider-view/1952509143" TargetMode="External"/><Relationship Id="rId3295" Type="http://schemas.openxmlformats.org/officeDocument/2006/relationships/hyperlink" Target="https://www.google.com/maps/search/?api=1&amp;query=Davis+Chiropractic+Health+%26+Wellness%2C+PA%2C+204+NW+5th+St%2C+Grand+Rapids%2C+MN+55744" TargetMode="External"/><Relationship Id="rId4139" Type="http://schemas.openxmlformats.org/officeDocument/2006/relationships/hyperlink" Target="https://www.google.com/maps/search/?api=1&amp;query=Health+Enhancement%2C+210+Highway+Ave%2C+Bird+Island%2C+MN+55310" TargetMode="External"/><Relationship Id="rId3155" Type="http://schemas.openxmlformats.org/officeDocument/2006/relationships/hyperlink" Target="https://www.google.com/maps/search/?api=1&amp;query=Edlund+Chiropractic%2C+140+Paul+Bunyan+Dr+NW%2C+Bemidji%2C+MN+56601" TargetMode="External"/><Relationship Id="rId3362" Type="http://schemas.openxmlformats.org/officeDocument/2006/relationships/hyperlink" Target="https://npiregistry.cms.hhs.gov/provider-view/1588842009" TargetMode="External"/><Relationship Id="rId283" Type="http://schemas.openxmlformats.org/officeDocument/2006/relationships/hyperlink" Target="https://www.google.com/maps/search/?api=1&amp;query=Achieve+Health+and+Wellness%2C+LLC%2C+14819+Energy+Way%2C+Apple+Valley%2C+MN+55124" TargetMode="External"/><Relationship Id="rId490" Type="http://schemas.openxmlformats.org/officeDocument/2006/relationships/hyperlink" Target="https://npiregistry.cms.hhs.gov/provider-view/1750451639" TargetMode="External"/><Relationship Id="rId2171" Type="http://schemas.openxmlformats.org/officeDocument/2006/relationships/hyperlink" Target="https://www.google.com/maps/search/?api=1&amp;query=Larkins+Neurosurgery+PA%2C+889+Grand+Ave%2C+St.+Paul%2C+MN+55105" TargetMode="External"/><Relationship Id="rId3015" Type="http://schemas.openxmlformats.org/officeDocument/2006/relationships/hyperlink" Target="https://www.google.com/maps/search/?api=1&amp;query=St.+Cloud+Orthopedic+Associates%2C+LTD.%2C+1901+Connecticut+Avenue+S%2C+Sartell%2C+MN+56377" TargetMode="External"/><Relationship Id="rId3222" Type="http://schemas.openxmlformats.org/officeDocument/2006/relationships/hyperlink" Target="https://npiregistry.cms.hhs.gov/provider-view/1770101289" TargetMode="External"/><Relationship Id="rId143" Type="http://schemas.openxmlformats.org/officeDocument/2006/relationships/hyperlink" Target="https://www.google.com/maps/search/?api=1&amp;query=Centre+For+Upper+Cervical+Chiropractic+Care+LLC%2C+6776+Lake+Dr%2C+Lino+Lakes%2C+MN+55014" TargetMode="External"/><Relationship Id="rId350" Type="http://schemas.openxmlformats.org/officeDocument/2006/relationships/hyperlink" Target="https://npiregistry.cms.hhs.gov/provider-view/1407124225" TargetMode="External"/><Relationship Id="rId2031" Type="http://schemas.openxmlformats.org/officeDocument/2006/relationships/hyperlink" Target="https://www.google.com/maps/search/?api=1&amp;query=Willow+Creek+Chiropractic%2C+PA%2C+5922+Lexington+Ave+N%2C+Shoreview%2C+MN+55126" TargetMode="External"/><Relationship Id="rId9" Type="http://schemas.openxmlformats.org/officeDocument/2006/relationships/hyperlink" Target="https://www.google.com/maps/search/?api=1&amp;query=Sora+Pediatric+Therapy%2C+1891+Station+Pkwy+NW%2C+Andover%2C+MN+55304" TargetMode="External"/><Relationship Id="rId210" Type="http://schemas.openxmlformats.org/officeDocument/2006/relationships/hyperlink" Target="https://npiregistry.cms.hhs.gov/provider-view/1336481498" TargetMode="External"/><Relationship Id="rId2988" Type="http://schemas.openxmlformats.org/officeDocument/2006/relationships/hyperlink" Target="https://npiregistry.cms.hhs.gov/provider-view/1235150905" TargetMode="External"/><Relationship Id="rId1797" Type="http://schemas.openxmlformats.org/officeDocument/2006/relationships/hyperlink" Target="https://www.google.com/maps/search/?api=1&amp;query=Realief+Neuropathy+Center+of+St.+Louis+Park+PA%2C+1660+Highway+100+S%2C+St.+Louis+Park%2C+MN+55416" TargetMode="External"/><Relationship Id="rId2848" Type="http://schemas.openxmlformats.org/officeDocument/2006/relationships/hyperlink" Target="https://npiregistry.cms.hhs.gov/provider-view/1902308901" TargetMode="External"/><Relationship Id="rId89" Type="http://schemas.openxmlformats.org/officeDocument/2006/relationships/hyperlink" Target="https://www.google.com/maps/search/?api=1&amp;query=Paul+D.+Dingman+PA%2C+3984+Central+Ave+NE%2C+Columbia+Heights%2C+MN+55421" TargetMode="External"/><Relationship Id="rId1657" Type="http://schemas.openxmlformats.org/officeDocument/2006/relationships/hyperlink" Target="https://www.google.com/maps/search/?api=1&amp;query=Valentini+Chiropractic+Clinic+LTD+PA%2C+4455+Highway+169+N%2C+Plymouth%2C+MN+55442" TargetMode="External"/><Relationship Id="rId1864" Type="http://schemas.openxmlformats.org/officeDocument/2006/relationships/hyperlink" Target="https://npiregistry.cms.hhs.gov/provider-view/1912051756" TargetMode="External"/><Relationship Id="rId2708" Type="http://schemas.openxmlformats.org/officeDocument/2006/relationships/hyperlink" Target="https://npiregistry.cms.hhs.gov/provider-view/1487785044" TargetMode="External"/><Relationship Id="rId2915" Type="http://schemas.openxmlformats.org/officeDocument/2006/relationships/hyperlink" Target="https://www.google.com/maps/search/?api=1&amp;query=Mille+Lacs+Family+Health+Center%2C+375+W+Isle+St%2C+Isle%2C+MN+56342" TargetMode="External"/><Relationship Id="rId4063" Type="http://schemas.openxmlformats.org/officeDocument/2006/relationships/hyperlink" Target="https://www.google.com/maps/search/?api=1&amp;query=Pain+Relief+Center+of+Willmar+PA.%2C+525+1st+St+Suiteb%2C+Willmar%2C+MN+56201" TargetMode="External"/><Relationship Id="rId1517" Type="http://schemas.openxmlformats.org/officeDocument/2006/relationships/hyperlink" Target="https://www.google.com/maps/search/?api=1&amp;query=Family+Health+Trust+INC%2C+12321+Minnetonka+Blvd%2C+Minnetonka%2C+MN+55305" TargetMode="External"/><Relationship Id="rId1724" Type="http://schemas.openxmlformats.org/officeDocument/2006/relationships/hyperlink" Target="https://npiregistry.cms.hhs.gov/provider-view/1871878165" TargetMode="External"/><Relationship Id="rId4130" Type="http://schemas.openxmlformats.org/officeDocument/2006/relationships/hyperlink" Target="https://npiregistry.cms.hhs.gov/provider-view/1447621974" TargetMode="External"/><Relationship Id="rId16" Type="http://schemas.openxmlformats.org/officeDocument/2006/relationships/hyperlink" Target="https://npiregistry.cms.hhs.gov/provider-view/1770162174" TargetMode="External"/><Relationship Id="rId1931" Type="http://schemas.openxmlformats.org/officeDocument/2006/relationships/hyperlink" Target="https://www.google.com/maps/search/?api=1&amp;query=New+Brighton+Chiropractic+Clinic%2C+PA.%2C+2216+County+Road+D+W%2C+New+Brighton%2C+MN+55112" TargetMode="External"/><Relationship Id="rId3689" Type="http://schemas.openxmlformats.org/officeDocument/2006/relationships/hyperlink" Target="https://www.google.com/maps/search/?api=1&amp;query=Motion+Chiropractic+PLLC%2C+232+Main+St+E%2C+Sleepy+Eye%2C+MN+56085" TargetMode="External"/><Relationship Id="rId3896" Type="http://schemas.openxmlformats.org/officeDocument/2006/relationships/hyperlink" Target="https://npiregistry.cms.hhs.gov/provider-view/1720153745" TargetMode="External"/><Relationship Id="rId2498" Type="http://schemas.openxmlformats.org/officeDocument/2006/relationships/hyperlink" Target="https://npiregistry.cms.hhs.gov/provider-view/1134582638" TargetMode="External"/><Relationship Id="rId3549" Type="http://schemas.openxmlformats.org/officeDocument/2006/relationships/hyperlink" Target="https://www.google.com/maps/search/?api=1&amp;query=Heinz+Family+Chiropractic+PA%2C+1698+N+Nokomis+St+NE%2C+Alexandria%2C+MN+56308" TargetMode="External"/><Relationship Id="rId677" Type="http://schemas.openxmlformats.org/officeDocument/2006/relationships/hyperlink" Target="https://www.google.com/maps/search/?api=1&amp;query=Brooklyn+Center+Chiropractic+Office%2C+PA.%2C+6832+Humboldt+Ave+N%2C+Brooklyn+Center%2C+MN+55430" TargetMode="External"/><Relationship Id="rId2358" Type="http://schemas.openxmlformats.org/officeDocument/2006/relationships/hyperlink" Target="https://npiregistry.cms.hhs.gov/provider-view/1073767372" TargetMode="External"/><Relationship Id="rId3756" Type="http://schemas.openxmlformats.org/officeDocument/2006/relationships/hyperlink" Target="https://npiregistry.cms.hhs.gov/provider-view/1982893467" TargetMode="External"/><Relationship Id="rId3963" Type="http://schemas.openxmlformats.org/officeDocument/2006/relationships/hyperlink" Target="https://www.google.com/maps/search/?api=1&amp;query=Bridges+Chiropractic+Health+Clinic%2C+215+18th+St+SE%2C+Owatonna%2C+MN+55060" TargetMode="External"/><Relationship Id="rId884" Type="http://schemas.openxmlformats.org/officeDocument/2006/relationships/hyperlink" Target="https://npiregistry.cms.hhs.gov/provider-view/1770878761" TargetMode="External"/><Relationship Id="rId2565" Type="http://schemas.openxmlformats.org/officeDocument/2006/relationships/hyperlink" Target="https://www.google.com/maps/search/?api=1&amp;query=Forest+Lake+Chiropractic+Clinic%2C+PA.%2C+591+N+Shore+Dr%2C+Forest+Lake%2C+MN+55025" TargetMode="External"/><Relationship Id="rId2772" Type="http://schemas.openxmlformats.org/officeDocument/2006/relationships/hyperlink" Target="https://npiregistry.cms.hhs.gov/provider-view/1841684099" TargetMode="External"/><Relationship Id="rId3409" Type="http://schemas.openxmlformats.org/officeDocument/2006/relationships/hyperlink" Target="https://www.google.com/maps/search/?api=1&amp;query=St+Lukes+Center+For+Diagnostic+Imaging%2C+930+E+2nd+St%2C+Duluth%2C+MN+55805" TargetMode="External"/><Relationship Id="rId3616" Type="http://schemas.openxmlformats.org/officeDocument/2006/relationships/hyperlink" Target="https://npiregistry.cms.hhs.gov/provider-view/1154547123" TargetMode="External"/><Relationship Id="rId3823" Type="http://schemas.openxmlformats.org/officeDocument/2006/relationships/hyperlink" Target="https://www.google.com/maps/search/?api=1&amp;query=Booman+Chiropractic+Corporation%2C+102+1st+Street+SE%2C+Spring+Grove%2C+MN+55974" TargetMode="External"/><Relationship Id="rId537" Type="http://schemas.openxmlformats.org/officeDocument/2006/relationships/hyperlink" Target="https://www.google.com/maps/search/?api=1&amp;query=Liv+Health+Center%2C+PLLC%2C+16372+Kenrick+Ave%2C+Lakeville%2C+MN+55044" TargetMode="External"/><Relationship Id="rId744" Type="http://schemas.openxmlformats.org/officeDocument/2006/relationships/hyperlink" Target="https://npiregistry.cms.hhs.gov/provider-view/1356523849" TargetMode="External"/><Relationship Id="rId951" Type="http://schemas.openxmlformats.org/officeDocument/2006/relationships/hyperlink" Target="https://www.google.com/maps/search/?api=1&amp;query=Motion+Lab+Chiropractic+PLLC%2C+4444+W+76th+St%2C+Edina%2C+MN+55435" TargetMode="External"/><Relationship Id="rId1167" Type="http://schemas.openxmlformats.org/officeDocument/2006/relationships/hyperlink" Target="https://www.google.com/maps/search/?api=1&amp;query=Total+Spine+Health+and+Injury+Center%2C+13324+Bass+Lake+Rd%2C+Maple+Grove%2C+MN+55311" TargetMode="External"/><Relationship Id="rId1374" Type="http://schemas.openxmlformats.org/officeDocument/2006/relationships/hyperlink" Target="https://npiregistry.cms.hhs.gov/provider-view/1265788459" TargetMode="External"/><Relationship Id="rId1581" Type="http://schemas.openxmlformats.org/officeDocument/2006/relationships/hyperlink" Target="https://www.google.com/maps/search/?api=1&amp;query=Bonita+Bolsa+Dba+Twin+Cities+Natural+Care+Center%2C+24+3rd+St+NE%2C+Osseo%2C+MN+55369" TargetMode="External"/><Relationship Id="rId2218" Type="http://schemas.openxmlformats.org/officeDocument/2006/relationships/hyperlink" Target="https://npiregistry.cms.hhs.gov/provider-view/1467642728" TargetMode="External"/><Relationship Id="rId2425" Type="http://schemas.openxmlformats.org/officeDocument/2006/relationships/hyperlink" Target="https://www.google.com/maps/search/?api=1&amp;query=Prior+Lake+Spine%2C+16197+Main+Ave+SE%2C+Prior+Lake%2C+MN+55372" TargetMode="External"/><Relationship Id="rId2632" Type="http://schemas.openxmlformats.org/officeDocument/2006/relationships/hyperlink" Target="https://npiregistry.cms.hhs.gov/provider-view/1629469978" TargetMode="External"/><Relationship Id="rId80" Type="http://schemas.openxmlformats.org/officeDocument/2006/relationships/hyperlink" Target="https://npiregistry.cms.hhs.gov/provider-view/1144240953" TargetMode="External"/><Relationship Id="rId604" Type="http://schemas.openxmlformats.org/officeDocument/2006/relationships/hyperlink" Target="https://npiregistry.cms.hhs.gov/provider-view/1851464036" TargetMode="External"/><Relationship Id="rId811" Type="http://schemas.openxmlformats.org/officeDocument/2006/relationships/hyperlink" Target="https://www.google.com/maps/search/?api=1&amp;query=Dr.+Olinda+Floro+PA%2C+9198+E+Staring+Ln%2C+Eden+Prairie%2C+MN+55347" TargetMode="External"/><Relationship Id="rId1027" Type="http://schemas.openxmlformats.org/officeDocument/2006/relationships/hyperlink" Target="https://www.google.com/maps/search/?api=1&amp;query=Claussen+Chiropractic%2C+LLC%2C+8441+Wayzata+Blvd%2C+Golden+Valley%2C+MN+55426" TargetMode="External"/><Relationship Id="rId1234" Type="http://schemas.openxmlformats.org/officeDocument/2006/relationships/hyperlink" Target="https://npiregistry.cms.hhs.gov/provider-view/1770115479" TargetMode="External"/><Relationship Id="rId1441" Type="http://schemas.openxmlformats.org/officeDocument/2006/relationships/hyperlink" Target="https://www.google.com/maps/search/?api=1&amp;query=Stark+Specialty+Orthopaedics%2C+Stark+Clinic%2C+825+Nicollet+Mall%2C+Minneapolis%2C+MN+55402" TargetMode="External"/><Relationship Id="rId1301" Type="http://schemas.openxmlformats.org/officeDocument/2006/relationships/hyperlink" Target="https://www.google.com/maps/search/?api=1&amp;query=International+Chiropractic+Clinic%2C+PA.%2C+5810+Nicollet+Avenue%2C+Minneapolis%2C+MN+55419" TargetMode="External"/><Relationship Id="rId3199" Type="http://schemas.openxmlformats.org/officeDocument/2006/relationships/hyperlink" Target="https://www.google.com/maps/search/?api=1&amp;query=Walker+Wellness+Chiropractic+Center%2C+PA%2C+215+Garden+Street%2C+Walker%2C+MN+56484" TargetMode="External"/><Relationship Id="rId3059" Type="http://schemas.openxmlformats.org/officeDocument/2006/relationships/hyperlink" Target="https://www.google.com/maps/search/?api=1&amp;query=Meridian+Disc+Institute%2C+3337+W+Saint+Germain+St%2C+St.+Cloud%2C+MN+56301" TargetMode="External"/><Relationship Id="rId3266" Type="http://schemas.openxmlformats.org/officeDocument/2006/relationships/hyperlink" Target="https://npiregistry.cms.hhs.gov/provider-view/1396795092" TargetMode="External"/><Relationship Id="rId3473" Type="http://schemas.openxmlformats.org/officeDocument/2006/relationships/hyperlink" Target="https://www.google.com/maps/search/?api=1&amp;query=Active+Health+Family+Chiropractic%2C+116+4th+Ave+N%2C+Crookston%2C+MN+56716" TargetMode="External"/><Relationship Id="rId187" Type="http://schemas.openxmlformats.org/officeDocument/2006/relationships/hyperlink" Target="https://www.google.com/maps/search/?api=1&amp;query=Requet+Chiropractic+Wellness+Center%2C+600+Market+St%2C+Chanhassen%2C+MN+55317" TargetMode="External"/><Relationship Id="rId394" Type="http://schemas.openxmlformats.org/officeDocument/2006/relationships/hyperlink" Target="https://npiregistry.cms.hhs.gov/provider-view/1336655521" TargetMode="External"/><Relationship Id="rId2075" Type="http://schemas.openxmlformats.org/officeDocument/2006/relationships/hyperlink" Target="https://www.google.com/maps/search/?api=1&amp;query=Central+Medical+Clinic+LLC%2C+393+N+Dunlap+Street%2C+St.+Paul%2C+MN+55104" TargetMode="External"/><Relationship Id="rId2282" Type="http://schemas.openxmlformats.org/officeDocument/2006/relationships/hyperlink" Target="https://npiregistry.cms.hhs.gov/provider-view/1013963644" TargetMode="External"/><Relationship Id="rId3126" Type="http://schemas.openxmlformats.org/officeDocument/2006/relationships/hyperlink" Target="https://npiregistry.cms.hhs.gov/provider-view/1023039278" TargetMode="External"/><Relationship Id="rId3680" Type="http://schemas.openxmlformats.org/officeDocument/2006/relationships/hyperlink" Target="https://npiregistry.cms.hhs.gov/provider-view/1407924681" TargetMode="External"/><Relationship Id="rId254" Type="http://schemas.openxmlformats.org/officeDocument/2006/relationships/hyperlink" Target="https://npiregistry.cms.hhs.gov/provider-view/1093868184" TargetMode="External"/><Relationship Id="rId1091" Type="http://schemas.openxmlformats.org/officeDocument/2006/relationships/hyperlink" Target="https://www.google.com/maps/search/?api=1&amp;query=Marty+Gullickson+Chiropractic%2C+17+10th+Ave+S%2C+Hopkins%2C+MN+55343" TargetMode="External"/><Relationship Id="rId3333" Type="http://schemas.openxmlformats.org/officeDocument/2006/relationships/hyperlink" Target="https://www.google.com/maps/search/?api=1&amp;query=Radtke+Physical+Therapy+Limited+Partnership%2C+832+1st+St%2C+Nashwauk%2C+MN+55769" TargetMode="External"/><Relationship Id="rId3540" Type="http://schemas.openxmlformats.org/officeDocument/2006/relationships/hyperlink" Target="https://npiregistry.cms.hhs.gov/provider-view/1437333861" TargetMode="External"/><Relationship Id="rId114" Type="http://schemas.openxmlformats.org/officeDocument/2006/relationships/hyperlink" Target="https://npiregistry.cms.hhs.gov/provider-view/1548497340" TargetMode="External"/><Relationship Id="rId461" Type="http://schemas.openxmlformats.org/officeDocument/2006/relationships/hyperlink" Target="https://www.google.com/maps/search/?api=1&amp;query=Silver+Bell+Chiropractic+LLC%2C+2020+Silver+Bell+Rd%2C+Eagan%2C+MN+55122" TargetMode="External"/><Relationship Id="rId2142" Type="http://schemas.openxmlformats.org/officeDocument/2006/relationships/hyperlink" Target="https://npiregistry.cms.hhs.gov/provider-view/1891154720" TargetMode="External"/><Relationship Id="rId3400" Type="http://schemas.openxmlformats.org/officeDocument/2006/relationships/hyperlink" Target="https://npiregistry.cms.hhs.gov/provider-view/1528304136" TargetMode="External"/><Relationship Id="rId321" Type="http://schemas.openxmlformats.org/officeDocument/2006/relationships/hyperlink" Target="https://www.google.com/maps/search/?api=1&amp;query=Natural+Health+Solutions%2C+14698+Galaxie+Ave%2C+Apple+Valley%2C+MN+55124" TargetMode="External"/><Relationship Id="rId2002" Type="http://schemas.openxmlformats.org/officeDocument/2006/relationships/hyperlink" Target="https://npiregistry.cms.hhs.gov/provider-view/1184808636" TargetMode="External"/><Relationship Id="rId2959" Type="http://schemas.openxmlformats.org/officeDocument/2006/relationships/hyperlink" Target="https://www.google.com/maps/search/?api=1&amp;query=Waxberg+Clinic+PA%2C+805+Main+St+S%2C+Pine+City%2C+MN+55063" TargetMode="External"/><Relationship Id="rId1768" Type="http://schemas.openxmlformats.org/officeDocument/2006/relationships/hyperlink" Target="https://npiregistry.cms.hhs.gov/provider-view/1346835998" TargetMode="External"/><Relationship Id="rId2819" Type="http://schemas.openxmlformats.org/officeDocument/2006/relationships/hyperlink" Target="https://www.google.com/maps/search/?api=1&amp;query=Belde+Chiropractic+Clinic%2C+PA%2C+211+Highway+25+S%2C+Monticello%2C+MN+55362" TargetMode="External"/><Relationship Id="rId1628" Type="http://schemas.openxmlformats.org/officeDocument/2006/relationships/hyperlink" Target="https://npiregistry.cms.hhs.gov/provider-view/1194826917" TargetMode="External"/><Relationship Id="rId1975" Type="http://schemas.openxmlformats.org/officeDocument/2006/relationships/hyperlink" Target="https://www.google.com/maps/search/?api=1&amp;query=Nadig+Chiropractic%2C+2780+Snelling+Ave+N%2C+Roseville%2C+MN+55113" TargetMode="External"/><Relationship Id="rId3190" Type="http://schemas.openxmlformats.org/officeDocument/2006/relationships/hyperlink" Target="https://npiregistry.cms.hhs.gov/provider-view/1164592507" TargetMode="External"/><Relationship Id="rId4034" Type="http://schemas.openxmlformats.org/officeDocument/2006/relationships/hyperlink" Target="https://npiregistry.cms.hhs.gov/provider-view/1821151150" TargetMode="External"/><Relationship Id="rId1835" Type="http://schemas.openxmlformats.org/officeDocument/2006/relationships/hyperlink" Target="https://www.google.com/maps/search/?api=1&amp;query=Integrated+Healthcare+Services+Golden+Valley+PA%2C+700+Twelve+Oaks+Center+Dr%2C+Wayzata%2C+MN+55391" TargetMode="External"/><Relationship Id="rId3050" Type="http://schemas.openxmlformats.org/officeDocument/2006/relationships/hyperlink" Target="https://npiregistry.cms.hhs.gov/provider-view/1962400275" TargetMode="External"/><Relationship Id="rId4101" Type="http://schemas.openxmlformats.org/officeDocument/2006/relationships/hyperlink" Target="https://www.google.com/maps/search/?api=1&amp;query=Tracy+Chiropractic%2C+PA.%2C+271+3rd+St%2C+Tracy%2C+MN+56175" TargetMode="External"/><Relationship Id="rId1902" Type="http://schemas.openxmlformats.org/officeDocument/2006/relationships/hyperlink" Target="https://npiregistry.cms.hhs.gov/provider-view/1992806673" TargetMode="External"/><Relationship Id="rId3867" Type="http://schemas.openxmlformats.org/officeDocument/2006/relationships/hyperlink" Target="https://www.google.com/maps/search/?api=1&amp;query=Associates+In+Oral+and+Maxillofacial+Surgery%2C+PA.%2C+2717+Superior+Dr+NW%2C+Rochester%2C+MN+55901" TargetMode="External"/><Relationship Id="rId788" Type="http://schemas.openxmlformats.org/officeDocument/2006/relationships/hyperlink" Target="https://npiregistry.cms.hhs.gov/provider-view/1013100395" TargetMode="External"/><Relationship Id="rId995" Type="http://schemas.openxmlformats.org/officeDocument/2006/relationships/hyperlink" Target="https://www.google.com/maps/search/?api=1&amp;query=William+T.+Simonet%2C+Md%2Cpa%2C+6600+France+Ave+S%2C+Edina%2C+MN+55435" TargetMode="External"/><Relationship Id="rId2469" Type="http://schemas.openxmlformats.org/officeDocument/2006/relationships/hyperlink" Target="https://www.google.com/maps/search/?api=1&amp;query=Bridge+Chiropractic%2C+1755+17th+Ave+E%2C+Shakopee%2C+MN+55379" TargetMode="External"/><Relationship Id="rId2676" Type="http://schemas.openxmlformats.org/officeDocument/2006/relationships/hyperlink" Target="https://npiregistry.cms.hhs.gov/provider-view/1174617104" TargetMode="External"/><Relationship Id="rId2883" Type="http://schemas.openxmlformats.org/officeDocument/2006/relationships/hyperlink" Target="https://www.google.com/maps/search/?api=1&amp;query=Gauer+Chiropractic+Clinic+PA%2C+1706+East+Tenth+Street%2C+Glenoce%2C+MN+55336" TargetMode="External"/><Relationship Id="rId3727" Type="http://schemas.openxmlformats.org/officeDocument/2006/relationships/hyperlink" Target="https://www.google.com/maps/search/?api=1&amp;query=Fulda+Family+Chiropractic%2C+PA.%2C+108+N+St+Paul+Ave%2C+Fulda%2C+MN+56131" TargetMode="External"/><Relationship Id="rId3934" Type="http://schemas.openxmlformats.org/officeDocument/2006/relationships/hyperlink" Target="https://npiregistry.cms.hhs.gov/provider-view/1235597014" TargetMode="External"/><Relationship Id="rId648" Type="http://schemas.openxmlformats.org/officeDocument/2006/relationships/hyperlink" Target="https://npiregistry.cms.hhs.gov/provider-view/1083968457" TargetMode="External"/><Relationship Id="rId855" Type="http://schemas.openxmlformats.org/officeDocument/2006/relationships/hyperlink" Target="https://www.google.com/maps/search/?api=1&amp;query=Smart+Choice+Mri%2C+LLC%2C+13000+Technology+Dr%2C+Eden+Prairie%2C+MN+55344" TargetMode="External"/><Relationship Id="rId1278" Type="http://schemas.openxmlformats.org/officeDocument/2006/relationships/hyperlink" Target="https://npiregistry.cms.hhs.gov/provider-view/1851697064" TargetMode="External"/><Relationship Id="rId1485" Type="http://schemas.openxmlformats.org/officeDocument/2006/relationships/hyperlink" Target="https://www.google.com/maps/search/?api=1&amp;query=Whole+Living+Chiropractic%2C+4446+45th+Ave+S%2C+Minneapolis%2C+MN+55406" TargetMode="External"/><Relationship Id="rId1692" Type="http://schemas.openxmlformats.org/officeDocument/2006/relationships/hyperlink" Target="https://npiregistry.cms.hhs.gov/provider-view/1184288698" TargetMode="External"/><Relationship Id="rId2329" Type="http://schemas.openxmlformats.org/officeDocument/2006/relationships/hyperlink" Target="https://www.google.com/maps/search/?api=1&amp;query=Healtheast+Medical+Imaging+LLC%2C+3640+Talmage+Circle%2C+Vadnais+Heights%2C+MN+55110" TargetMode="External"/><Relationship Id="rId2536" Type="http://schemas.openxmlformats.org/officeDocument/2006/relationships/hyperlink" Target="https://npiregistry.cms.hhs.gov/provider-view/1245562263" TargetMode="External"/><Relationship Id="rId2743" Type="http://schemas.openxmlformats.org/officeDocument/2006/relationships/hyperlink" Target="https://www.google.com/maps/search/?api=1&amp;query=Summit+Orthopedics%2C+LTD%2C+2090+Woodwinds+Dr%2C+Woodbury%2C+MN+55125" TargetMode="External"/><Relationship Id="rId508" Type="http://schemas.openxmlformats.org/officeDocument/2006/relationships/hyperlink" Target="https://npiregistry.cms.hhs.gov/provider-view/1356701635" TargetMode="External"/><Relationship Id="rId715" Type="http://schemas.openxmlformats.org/officeDocument/2006/relationships/hyperlink" Target="https://www.google.com/maps/search/?api=1&amp;query=Feller+Chiropractic%2C+1404+85th+Ave+N%2C+Brooklyn+Park%2C+MN+55444" TargetMode="External"/><Relationship Id="rId922" Type="http://schemas.openxmlformats.org/officeDocument/2006/relationships/hyperlink" Target="https://npiregistry.cms.hhs.gov/provider-view/1306268826" TargetMode="External"/><Relationship Id="rId1138" Type="http://schemas.openxmlformats.org/officeDocument/2006/relationships/hyperlink" Target="https://npiregistry.cms.hhs.gov/provider-view/1922009471" TargetMode="External"/><Relationship Id="rId1345" Type="http://schemas.openxmlformats.org/officeDocument/2006/relationships/hyperlink" Target="https://www.google.com/maps/search/?api=1&amp;query=Mcferson+Chiropractic+PLLC%2C+649+Fillmore+St+NE%2C+Minneapolis%2C+MN+55413" TargetMode="External"/><Relationship Id="rId1552" Type="http://schemas.openxmlformats.org/officeDocument/2006/relationships/hyperlink" Target="https://npiregistry.cms.hhs.gov/provider-view/1801085931" TargetMode="External"/><Relationship Id="rId2603" Type="http://schemas.openxmlformats.org/officeDocument/2006/relationships/hyperlink" Target="https://www.google.com/maps/search/?api=1&amp;query=Oak+Hill+Chiropractic+PC.%2C+12+Long+Lake+Rd%2C+Mahtomedi%2C+MN+55115" TargetMode="External"/><Relationship Id="rId2950" Type="http://schemas.openxmlformats.org/officeDocument/2006/relationships/hyperlink" Target="https://npiregistry.cms.hhs.gov/provider-view/1649868720" TargetMode="External"/><Relationship Id="rId1205" Type="http://schemas.openxmlformats.org/officeDocument/2006/relationships/hyperlink" Target="https://www.google.com/maps/search/?api=1&amp;query=Bierbrauer+Chiropractic%2C+LLC%2C+221+10th+Ave+S%2C+Minneapolis%2C+MN+55415" TargetMode="External"/><Relationship Id="rId2810" Type="http://schemas.openxmlformats.org/officeDocument/2006/relationships/hyperlink" Target="https://npiregistry.cms.hhs.gov/provider-view/1831241348" TargetMode="External"/><Relationship Id="rId51" Type="http://schemas.openxmlformats.org/officeDocument/2006/relationships/hyperlink" Target="https://www.google.com/maps/search/?api=1&amp;query=Family+First+Chiropractic+Center+PC%2C+12203+Aberdeen+St+NE%2C+Blaine%2C+MN+55449" TargetMode="External"/><Relationship Id="rId1412" Type="http://schemas.openxmlformats.org/officeDocument/2006/relationships/hyperlink" Target="https://npiregistry.cms.hhs.gov/provider-view/1689621419" TargetMode="External"/><Relationship Id="rId3377" Type="http://schemas.openxmlformats.org/officeDocument/2006/relationships/hyperlink" Target="https://www.google.com/maps/search/?api=1&amp;query=Fisher+Chiropractic+Clinic+LTD%2C+1118+E+Superior+St%2C+Duluth%2C+MN+55802" TargetMode="External"/><Relationship Id="rId298" Type="http://schemas.openxmlformats.org/officeDocument/2006/relationships/hyperlink" Target="https://npiregistry.cms.hhs.gov/provider-view/1487052361" TargetMode="External"/><Relationship Id="rId3584" Type="http://schemas.openxmlformats.org/officeDocument/2006/relationships/hyperlink" Target="https://npiregistry.cms.hhs.gov/provider-view/1407184070" TargetMode="External"/><Relationship Id="rId3791" Type="http://schemas.openxmlformats.org/officeDocument/2006/relationships/hyperlink" Target="https://www.google.com/maps/search/?api=1&amp;query=Center+For+Natural+Healthcare%2C+PLLC%2C+1626+W+3rd+St%2C+Red+Wing%2C+MN+55066" TargetMode="External"/><Relationship Id="rId158" Type="http://schemas.openxmlformats.org/officeDocument/2006/relationships/hyperlink" Target="https://npiregistry.cms.hhs.gov/provider-view/1649741166" TargetMode="External"/><Relationship Id="rId2186" Type="http://schemas.openxmlformats.org/officeDocument/2006/relationships/hyperlink" Target="https://npiregistry.cms.hhs.gov/provider-view/1164662391" TargetMode="External"/><Relationship Id="rId2393" Type="http://schemas.openxmlformats.org/officeDocument/2006/relationships/hyperlink" Target="https://www.google.com/maps/search/?api=1&amp;query=Stonebrook+Family+Chiropractic+LLC%2C+321+Main+Street%2C+New+Market%2C+MN+55054" TargetMode="External"/><Relationship Id="rId3237" Type="http://schemas.openxmlformats.org/officeDocument/2006/relationships/hyperlink" Target="https://www.google.com/maps/search/?api=1&amp;query=Hedlund+Chiropractic%2C+PA.%2C+17025+Commercial+Park+Dr%2C+Brainerd%2C+MN+56401" TargetMode="External"/><Relationship Id="rId3444" Type="http://schemas.openxmlformats.org/officeDocument/2006/relationships/hyperlink" Target="https://npiregistry.cms.hhs.gov/provider-view/1598158917" TargetMode="External"/><Relationship Id="rId3651" Type="http://schemas.openxmlformats.org/officeDocument/2006/relationships/hyperlink" Target="https://www.google.com/maps/search/?api=1&amp;query=Healthways+Chiropractic+and+Integrated+Wellness+Center%2C+121+E+Main+St%2C+Mankato%2C+MN+56001" TargetMode="External"/><Relationship Id="rId365" Type="http://schemas.openxmlformats.org/officeDocument/2006/relationships/hyperlink" Target="https://www.google.com/maps/search/?api=1&amp;query=New+Concept+Chiropractic%2C+14031+Burnhaven+Dr%2C+Burnsville%2C+MN+55337" TargetMode="External"/><Relationship Id="rId572" Type="http://schemas.openxmlformats.org/officeDocument/2006/relationships/hyperlink" Target="https://npiregistry.cms.hhs.gov/provider-view/1407356157" TargetMode="External"/><Relationship Id="rId2046" Type="http://schemas.openxmlformats.org/officeDocument/2006/relationships/hyperlink" Target="https://npiregistry.cms.hhs.gov/provider-view/1790291748" TargetMode="External"/><Relationship Id="rId2253" Type="http://schemas.openxmlformats.org/officeDocument/2006/relationships/hyperlink" Target="https://www.google.com/maps/search/?api=1&amp;query=Sorum+Chiropractic%2C+506+Lexington+Pkwy+N%2C+St.+Paul%2C+MN+55104" TargetMode="External"/><Relationship Id="rId2460" Type="http://schemas.openxmlformats.org/officeDocument/2006/relationships/hyperlink" Target="https://npiregistry.cms.hhs.gov/provider-view/1891250635" TargetMode="External"/><Relationship Id="rId3304" Type="http://schemas.openxmlformats.org/officeDocument/2006/relationships/hyperlink" Target="https://npiregistry.cms.hhs.gov/provider-view/1316038680" TargetMode="External"/><Relationship Id="rId3511" Type="http://schemas.openxmlformats.org/officeDocument/2006/relationships/hyperlink" Target="https://www.google.com/maps/search/?api=1&amp;query=Excel+Physical+Therapy%2C+1400+25th+St+S%2C+Moorhead%2C+MN+56560" TargetMode="External"/><Relationship Id="rId225" Type="http://schemas.openxmlformats.org/officeDocument/2006/relationships/hyperlink" Target="https://www.google.com/maps/search/?api=1&amp;query=Wow+Chiropractic%2C+LLC%2C+758+Ashley+Dr%2C+Chaska%2C+MN+55318" TargetMode="External"/><Relationship Id="rId432" Type="http://schemas.openxmlformats.org/officeDocument/2006/relationships/hyperlink" Target="https://npiregistry.cms.hhs.gov/provider-view/1417431610" TargetMode="External"/><Relationship Id="rId1062" Type="http://schemas.openxmlformats.org/officeDocument/2006/relationships/hyperlink" Target="https://npiregistry.cms.hhs.gov/provider-view/1073953451" TargetMode="External"/><Relationship Id="rId2113" Type="http://schemas.openxmlformats.org/officeDocument/2006/relationships/hyperlink" Target="https://www.google.com/maps/search/?api=1&amp;query=Desita+Care%2C+333+Grand+Ave%2C+St.+Paul%2C+MN+55102" TargetMode="External"/><Relationship Id="rId2320" Type="http://schemas.openxmlformats.org/officeDocument/2006/relationships/hyperlink" Target="https://npiregistry.cms.hhs.gov/provider-view/1568695963" TargetMode="External"/><Relationship Id="rId4078" Type="http://schemas.openxmlformats.org/officeDocument/2006/relationships/hyperlink" Target="https://npiregistry.cms.hhs.gov/provider-view/1881882595" TargetMode="External"/><Relationship Id="rId1879" Type="http://schemas.openxmlformats.org/officeDocument/2006/relationships/hyperlink" Target="https://www.google.com/maps/search/?api=1&amp;query=Lauderdale+Wellness+Center%2C+2443+Larpenteur+Ave+W%2C+Lauderdale%2C+MN+55113" TargetMode="External"/><Relationship Id="rId3094" Type="http://schemas.openxmlformats.org/officeDocument/2006/relationships/hyperlink" Target="https://npiregistry.cms.hhs.gov/provider-view/1801084694" TargetMode="External"/><Relationship Id="rId4145" Type="http://schemas.openxmlformats.org/officeDocument/2006/relationships/hyperlink" Target="https://www.google.com/maps/search/?api=1&amp;query=Hinderks+Chiropractic%2C+PA.%2C+317+N+Main+St.%2C+Renville%2C+MN+56284" TargetMode="External"/><Relationship Id="rId1739" Type="http://schemas.openxmlformats.org/officeDocument/2006/relationships/hyperlink" Target="https://www.google.com/maps/search/?api=1&amp;query=Vibrant+Health+Family+Chiropractic+LLC%2C+4080+Tower+Street%2C+St.+Bonifacius%2C+MN+55375" TargetMode="External"/><Relationship Id="rId1946" Type="http://schemas.openxmlformats.org/officeDocument/2006/relationships/hyperlink" Target="https://npiregistry.cms.hhs.gov/provider-view/1740207703" TargetMode="External"/><Relationship Id="rId4005" Type="http://schemas.openxmlformats.org/officeDocument/2006/relationships/hyperlink" Target="https://www.google.com/maps/search/?api=1&amp;query=Back+To+Health+Chiropractic+and+Wellness%2C+INC.%2C+619+Huff+St%2C+Winona%2C+MN+55987" TargetMode="External"/><Relationship Id="rId1806" Type="http://schemas.openxmlformats.org/officeDocument/2006/relationships/hyperlink" Target="https://npiregistry.cms.hhs.gov/provider-view/1356421457" TargetMode="External"/><Relationship Id="rId3161" Type="http://schemas.openxmlformats.org/officeDocument/2006/relationships/hyperlink" Target="https://www.google.com/maps/search/?api=1&amp;query=Headwaters+Chiropractic+Center+LLC%2C+1426+Bemidji+Ave+N%2C+Bemidji%2C+MN+56601" TargetMode="External"/><Relationship Id="rId3021" Type="http://schemas.openxmlformats.org/officeDocument/2006/relationships/hyperlink" Target="https://www.google.com/maps/search/?api=1&amp;query=Williams%2Fintegracare+Clinic%2C+100+South+2nd+Street%2C+Sartell%2C+MN+56377" TargetMode="External"/><Relationship Id="rId3978" Type="http://schemas.openxmlformats.org/officeDocument/2006/relationships/hyperlink" Target="https://npiregistry.cms.hhs.gov/provider-view/1144235714" TargetMode="External"/><Relationship Id="rId899" Type="http://schemas.openxmlformats.org/officeDocument/2006/relationships/hyperlink" Target="https://www.google.com/maps/search/?api=1&amp;query=Eden+Chriopractic+and+Rehabilitation%2C+LLC%2C+5200+Willson+Rd%2C+Edina%2C+MN+55424" TargetMode="External"/><Relationship Id="rId2787" Type="http://schemas.openxmlformats.org/officeDocument/2006/relationships/hyperlink" Target="https://www.google.com/maps/search/?api=1&amp;query=Wright+County+Chiropractic%2C+1100+Highway+25+N%2C+Buffalo%2C+MN+55313" TargetMode="External"/><Relationship Id="rId3838" Type="http://schemas.openxmlformats.org/officeDocument/2006/relationships/hyperlink" Target="https://npiregistry.cms.hhs.gov/provider-view/1154557700" TargetMode="External"/><Relationship Id="rId759" Type="http://schemas.openxmlformats.org/officeDocument/2006/relationships/hyperlink" Target="https://www.google.com/maps/search/?api=1&amp;query=Bammert+Family+Chiropractic%2C+LLC%2C+11583+Theatre+Dr+N%2C+Champlin%2C+MN+55316" TargetMode="External"/><Relationship Id="rId966" Type="http://schemas.openxmlformats.org/officeDocument/2006/relationships/hyperlink" Target="https://npiregistry.cms.hhs.gov/provider-view/1184200081" TargetMode="External"/><Relationship Id="rId1389" Type="http://schemas.openxmlformats.org/officeDocument/2006/relationships/hyperlink" Target="https://www.google.com/maps/search/?api=1&amp;query=Nokomis+Therapy+Center%2C+5348+15th+Ave+S%2C+Minneapolis%2C+MN+55417" TargetMode="External"/><Relationship Id="rId1596" Type="http://schemas.openxmlformats.org/officeDocument/2006/relationships/hyperlink" Target="https://npiregistry.cms.hhs.gov/provider-view/1003038464" TargetMode="External"/><Relationship Id="rId2647" Type="http://schemas.openxmlformats.org/officeDocument/2006/relationships/hyperlink" Target="https://www.google.com/maps/search/?api=1&amp;query=Chiropatrick%2C+1826+Northwestern+Ave+S%2C+Stillwater%2C+MN+55082" TargetMode="External"/><Relationship Id="rId2994" Type="http://schemas.openxmlformats.org/officeDocument/2006/relationships/hyperlink" Target="https://npiregistry.cms.hhs.gov/provider-view/1962400275" TargetMode="External"/><Relationship Id="rId619" Type="http://schemas.openxmlformats.org/officeDocument/2006/relationships/hyperlink" Target="https://www.google.com/maps/search/?api=1&amp;query=Chiropractic+In+Motion%2C+4951+American+Blvd+W%2C+Bloomington%2C+MN+55437" TargetMode="External"/><Relationship Id="rId1249" Type="http://schemas.openxmlformats.org/officeDocument/2006/relationships/hyperlink" Target="https://www.google.com/maps/search/?api=1&amp;query=Doctor+Jason%2C+DC%2C+1010+2nd+Avenue+North%2C+Minneapolis%2C+MN+55405" TargetMode="External"/><Relationship Id="rId2854" Type="http://schemas.openxmlformats.org/officeDocument/2006/relationships/hyperlink" Target="https://npiregistry.cms.hhs.gov/provider-view/1487783965" TargetMode="External"/><Relationship Id="rId3905" Type="http://schemas.openxmlformats.org/officeDocument/2006/relationships/hyperlink" Target="https://www.google.com/maps/search/?api=1&amp;query=Rochester+Chiropractic+and+Wellness%2C+PLLC%2C+2711+Commerce+Dr+NW%2C+Rochester%2C+MN+55901" TargetMode="External"/><Relationship Id="rId95" Type="http://schemas.openxmlformats.org/officeDocument/2006/relationships/hyperlink" Target="https://www.google.com/maps/search/?api=1&amp;query=Family+Friendly+Chiropractic%2C+INC.%2C+1557+Coon+Rapids+Blvd+NW%2C+Coon+Rapids%2C+MN+55433" TargetMode="External"/><Relationship Id="rId826" Type="http://schemas.openxmlformats.org/officeDocument/2006/relationships/hyperlink" Target="https://npiregistry.cms.hhs.gov/provider-view/1053432989" TargetMode="External"/><Relationship Id="rId1109" Type="http://schemas.openxmlformats.org/officeDocument/2006/relationships/hyperlink" Target="https://www.google.com/maps/search/?api=1&amp;query=Chiropractic+Wellness+PA%2C+11254+86th+Ave+N%2C+Maple+Grove%2C+MN+55369" TargetMode="External"/><Relationship Id="rId1456" Type="http://schemas.openxmlformats.org/officeDocument/2006/relationships/hyperlink" Target="https://npiregistry.cms.hhs.gov/provider-view/1255303095" TargetMode="External"/><Relationship Id="rId1663" Type="http://schemas.openxmlformats.org/officeDocument/2006/relationships/hyperlink" Target="https://www.google.com/maps/search/?api=1&amp;query=Back+To+Health+Chiropractic%2C+6944+Nicollet+Ave%2C+Richfield%2C+MN+55423" TargetMode="External"/><Relationship Id="rId1870" Type="http://schemas.openxmlformats.org/officeDocument/2006/relationships/hyperlink" Target="https://npiregistry.cms.hhs.gov/provider-view/1689721151" TargetMode="External"/><Relationship Id="rId2507" Type="http://schemas.openxmlformats.org/officeDocument/2006/relationships/hyperlink" Target="https://www.google.com/maps/search/?api=1&amp;query=Great+River+Spine+%26+Sport%2C+751+Rose+Dr%2C+Big+Lake%2C+MN+55309" TargetMode="External"/><Relationship Id="rId2714" Type="http://schemas.openxmlformats.org/officeDocument/2006/relationships/hyperlink" Target="https://npiregistry.cms.hhs.gov/provider-view/1508477068" TargetMode="External"/><Relationship Id="rId2921" Type="http://schemas.openxmlformats.org/officeDocument/2006/relationships/hyperlink" Target="https://www.google.com/maps/search/?api=1&amp;query=Natural+Elements+Health+Center%2C+INC.%2C+900+Highway+23+W%2C+Milaca%2C+MN+56353" TargetMode="External"/><Relationship Id="rId1316" Type="http://schemas.openxmlformats.org/officeDocument/2006/relationships/hyperlink" Target="https://npiregistry.cms.hhs.gov/provider-view/1861563264" TargetMode="External"/><Relationship Id="rId1523" Type="http://schemas.openxmlformats.org/officeDocument/2006/relationships/hyperlink" Target="https://www.google.com/maps/search/?api=1&amp;query=Healthsource+of+Minnetonka+LLC%2C+14413+Excelsior+Blvd%2C+Minnetonka%2C+MN+55345" TargetMode="External"/><Relationship Id="rId1730" Type="http://schemas.openxmlformats.org/officeDocument/2006/relationships/hyperlink" Target="https://npiregistry.cms.hhs.gov/provider-view/1275845471" TargetMode="External"/><Relationship Id="rId22" Type="http://schemas.openxmlformats.org/officeDocument/2006/relationships/hyperlink" Target="https://npiregistry.cms.hhs.gov/provider-view/1811169832" TargetMode="External"/><Relationship Id="rId3488" Type="http://schemas.openxmlformats.org/officeDocument/2006/relationships/hyperlink" Target="https://npiregistry.cms.hhs.gov/provider-view/1063796795" TargetMode="External"/><Relationship Id="rId3695" Type="http://schemas.openxmlformats.org/officeDocument/2006/relationships/hyperlink" Target="https://www.google.com/maps/search/?api=1&amp;query=Dr+Brad+Haugo+DC+Chtd%2C+10+N+O+Connell+Ave%2C+Springfield%2C+MN+56087" TargetMode="External"/><Relationship Id="rId2297" Type="http://schemas.openxmlformats.org/officeDocument/2006/relationships/hyperlink" Target="https://www.google.com/maps/search/?api=1&amp;query=Universal+Care+Clinics%2C+INC.%2C+220+Robert+St+S%2C+St.+Paul%2C+MN+55107" TargetMode="External"/><Relationship Id="rId3348" Type="http://schemas.openxmlformats.org/officeDocument/2006/relationships/hyperlink" Target="https://npiregistry.cms.hhs.gov/provider-view/1700082484" TargetMode="External"/><Relationship Id="rId3555" Type="http://schemas.openxmlformats.org/officeDocument/2006/relationships/hyperlink" Target="https://www.google.com/maps/search/?api=1&amp;query=Lake+Region+Family+Chiropractic+Clinic%2C+614+Hawthorne+St%2C+Alexandria%2C+MN+56308" TargetMode="External"/><Relationship Id="rId3762" Type="http://schemas.openxmlformats.org/officeDocument/2006/relationships/hyperlink" Target="https://npiregistry.cms.hhs.gov/provider-view/1750436598" TargetMode="External"/><Relationship Id="rId269" Type="http://schemas.openxmlformats.org/officeDocument/2006/relationships/hyperlink" Target="https://www.google.com/maps/search/?api=1&amp;query=Northstone+Family+Chiropractic+PA.%2C+6041+Main+St%2C+North+Branch%2C+MN+55056" TargetMode="External"/><Relationship Id="rId476" Type="http://schemas.openxmlformats.org/officeDocument/2006/relationships/hyperlink" Target="https://npiregistry.cms.hhs.gov/provider-view/1619196698" TargetMode="External"/><Relationship Id="rId683" Type="http://schemas.openxmlformats.org/officeDocument/2006/relationships/hyperlink" Target="https://www.google.com/maps/search/?api=1&amp;query=Brooklyn+Chiropractic+INC%2C+7086+Brooklyn+Blvd%2C+Brooklyn+Center%2C+MN+55429" TargetMode="External"/><Relationship Id="rId890" Type="http://schemas.openxmlformats.org/officeDocument/2006/relationships/hyperlink" Target="https://npiregistry.cms.hhs.gov/provider-view/1881856722" TargetMode="External"/><Relationship Id="rId2157" Type="http://schemas.openxmlformats.org/officeDocument/2006/relationships/hyperlink" Target="https://www.google.com/maps/search/?api=1&amp;query=Healthsource+of+St+Paul%2C+1815+Suburban+Ave%2C+St.+Paul%2C+MN+55119" TargetMode="External"/><Relationship Id="rId2364" Type="http://schemas.openxmlformats.org/officeDocument/2006/relationships/hyperlink" Target="https://npiregistry.cms.hhs.gov/provider-view/1679863773" TargetMode="External"/><Relationship Id="rId2571" Type="http://schemas.openxmlformats.org/officeDocument/2006/relationships/hyperlink" Target="https://www.google.com/maps/search/?api=1&amp;query=Kari+Clinic+of+Chiropractic%2C+PA.%2C+368+Lake+St+S%2C+Forest+Lake%2C+MN+55025" TargetMode="External"/><Relationship Id="rId3208" Type="http://schemas.openxmlformats.org/officeDocument/2006/relationships/hyperlink" Target="https://npiregistry.cms.hhs.gov/provider-view/1013273416" TargetMode="External"/><Relationship Id="rId3415" Type="http://schemas.openxmlformats.org/officeDocument/2006/relationships/hyperlink" Target="https://www.google.com/maps/search/?api=1&amp;query=Turning+Point+Therapy%2C+1420+London+Rd%2C+Duluth%2C+MN+55805" TargetMode="External"/><Relationship Id="rId129" Type="http://schemas.openxmlformats.org/officeDocument/2006/relationships/hyperlink" Target="https://www.google.com/maps/search/?api=1&amp;query=North+Metro+Spinecare+Specialists%2C+7699+Highway+65+NE%2C+Fridley%2C+MN+55432" TargetMode="External"/><Relationship Id="rId336" Type="http://schemas.openxmlformats.org/officeDocument/2006/relationships/hyperlink" Target="https://npiregistry.cms.hhs.gov/provider-view/1598926859" TargetMode="External"/><Relationship Id="rId543" Type="http://schemas.openxmlformats.org/officeDocument/2006/relationships/hyperlink" Target="https://www.google.com/maps/search/?api=1&amp;query=Marty+Chiropractic+%26+Wellness+LLC%2C+18476+Kenrick+Ave%2C+Lakeville%2C+MN+55044" TargetMode="External"/><Relationship Id="rId1173" Type="http://schemas.openxmlformats.org/officeDocument/2006/relationships/hyperlink" Target="https://www.google.com/maps/search/?api=1&amp;query=Waypoint+Minnesota+Sports+PC%2C+9325+Upland+Ln+N%2C+Maple+Grove%2C+MN+55369" TargetMode="External"/><Relationship Id="rId1380" Type="http://schemas.openxmlformats.org/officeDocument/2006/relationships/hyperlink" Target="https://npiregistry.cms.hhs.gov/provider-view/1275683864" TargetMode="External"/><Relationship Id="rId2017" Type="http://schemas.openxmlformats.org/officeDocument/2006/relationships/hyperlink" Target="https://www.google.com/maps/search/?api=1&amp;query=Marek+Chiropractic%2C+LLC%2C+4700+Lexington+Ave+N%2C+Shoreview%2C+MN+55126" TargetMode="External"/><Relationship Id="rId2224" Type="http://schemas.openxmlformats.org/officeDocument/2006/relationships/hyperlink" Target="https://npiregistry.cms.hhs.gov/provider-view/1346486370" TargetMode="External"/><Relationship Id="rId3622" Type="http://schemas.openxmlformats.org/officeDocument/2006/relationships/hyperlink" Target="https://npiregistry.cms.hhs.gov/provider-view/1124216536" TargetMode="External"/><Relationship Id="rId403" Type="http://schemas.openxmlformats.org/officeDocument/2006/relationships/hyperlink" Target="https://www.google.com/maps/search/?api=1&amp;query=Baker+Chiropractic%2C+LLC%2C+2121+Cliff+Dr%2C+Eagan%2C+MN+55122" TargetMode="External"/><Relationship Id="rId750" Type="http://schemas.openxmlformats.org/officeDocument/2006/relationships/hyperlink" Target="https://npiregistry.cms.hhs.gov/provider-view/1669781753" TargetMode="External"/><Relationship Id="rId1033" Type="http://schemas.openxmlformats.org/officeDocument/2006/relationships/hyperlink" Target="https://www.google.com/maps/search/?api=1&amp;query=Health+West+Chiropractic+Center%2C+820+Lilac+Dr+N%2C+Golden+Valley%2C+MN+55422" TargetMode="External"/><Relationship Id="rId2431" Type="http://schemas.openxmlformats.org/officeDocument/2006/relationships/hyperlink" Target="https://www.google.com/maps/search/?api=1&amp;query=Accua+Advanced+Rehabilitation%2C+8690+Eagle+Creek+Pkwy%2C+Savage%2C+MN+55378" TargetMode="External"/><Relationship Id="rId610" Type="http://schemas.openxmlformats.org/officeDocument/2006/relationships/hyperlink" Target="https://npiregistry.cms.hhs.gov/provider-view/1023014859" TargetMode="External"/><Relationship Id="rId1240" Type="http://schemas.openxmlformats.org/officeDocument/2006/relationships/hyperlink" Target="https://npiregistry.cms.hhs.gov/provider-view/1073731527" TargetMode="External"/><Relationship Id="rId4049" Type="http://schemas.openxmlformats.org/officeDocument/2006/relationships/hyperlink" Target="https://www.google.com/maps/search/?api=1&amp;query=Compass+Chiropractic%2C+1100+19th+Ave+SW%2C+Willmar%2C+MN+56201" TargetMode="External"/><Relationship Id="rId1100" Type="http://schemas.openxmlformats.org/officeDocument/2006/relationships/hyperlink" Target="https://npiregistry.cms.hhs.gov/provider-view/1508166216" TargetMode="External"/><Relationship Id="rId1917" Type="http://schemas.openxmlformats.org/officeDocument/2006/relationships/hyperlink" Target="https://www.google.com/maps/search/?api=1&amp;query=Vitality+Health+Center%2C+2019A+Woodlynn+Ave%2C+Maplewood%2C+MN+55109" TargetMode="External"/><Relationship Id="rId3065" Type="http://schemas.openxmlformats.org/officeDocument/2006/relationships/hyperlink" Target="https://www.google.com/maps/search/?api=1&amp;query=Northern+Star+Therapy+LTD%2C+251+County+Road+120%2C+St.+Cloud%2C+MN+56303" TargetMode="External"/><Relationship Id="rId3272" Type="http://schemas.openxmlformats.org/officeDocument/2006/relationships/hyperlink" Target="https://npiregistry.cms.hhs.gov/provider-view/1578646360" TargetMode="External"/><Relationship Id="rId4116" Type="http://schemas.openxmlformats.org/officeDocument/2006/relationships/hyperlink" Target="https://npiregistry.cms.hhs.gov/provider-view/1689763021" TargetMode="External"/><Relationship Id="rId193" Type="http://schemas.openxmlformats.org/officeDocument/2006/relationships/hyperlink" Target="https://www.google.com/maps/search/?api=1&amp;query=Ttr+Systems%2C+971+Saddlebrook+Curv%2C+Chanhassen%2C+MN+55317" TargetMode="External"/><Relationship Id="rId2081" Type="http://schemas.openxmlformats.org/officeDocument/2006/relationships/hyperlink" Target="https://www.google.com/maps/search/?api=1&amp;query=Central+Medical+Wellness+INC%2C+821+Raymond+Ave%2C+St.+Paul%2C+MN+55114" TargetMode="External"/><Relationship Id="rId3132" Type="http://schemas.openxmlformats.org/officeDocument/2006/relationships/hyperlink" Target="https://npiregistry.cms.hhs.gov/provider-view/1346236627" TargetMode="External"/><Relationship Id="rId260" Type="http://schemas.openxmlformats.org/officeDocument/2006/relationships/hyperlink" Target="https://npiregistry.cms.hhs.gov/provider-view/1346489176" TargetMode="External"/><Relationship Id="rId120" Type="http://schemas.openxmlformats.org/officeDocument/2006/relationships/hyperlink" Target="https://npiregistry.cms.hhs.gov/provider-view/1609927169" TargetMode="External"/><Relationship Id="rId2898" Type="http://schemas.openxmlformats.org/officeDocument/2006/relationships/hyperlink" Target="https://npiregistry.cms.hhs.gov/provider-view/1871787473" TargetMode="External"/><Relationship Id="rId3949" Type="http://schemas.openxmlformats.org/officeDocument/2006/relationships/hyperlink" Target="https://www.google.com/maps/search/?api=1&amp;query=Wieber+Physical+Therapy%2C+1961+Cardinal+Ln%2C+Faribault%2C+MN+55021" TargetMode="External"/><Relationship Id="rId2758" Type="http://schemas.openxmlformats.org/officeDocument/2006/relationships/hyperlink" Target="https://npiregistry.cms.hhs.gov/provider-view/1861811333" TargetMode="External"/><Relationship Id="rId2965" Type="http://schemas.openxmlformats.org/officeDocument/2006/relationships/hyperlink" Target="https://www.google.com/maps/search/?api=1&amp;query=St.+Cloud+Hospital+Physical+Therapy+-+Albany%2C+30+Railroad+Ave%2C+Albany%2C+MN+56307" TargetMode="External"/><Relationship Id="rId3809" Type="http://schemas.openxmlformats.org/officeDocument/2006/relationships/hyperlink" Target="https://www.google.com/maps/search/?api=1&amp;query=Ethos+Physical+Therapy+LLC%2C+2030+Neal+St%2C+Redwing%2C+MN+55066" TargetMode="External"/><Relationship Id="rId937" Type="http://schemas.openxmlformats.org/officeDocument/2006/relationships/hyperlink" Target="https://www.google.com/maps/search/?api=1&amp;query=Marty+Chiropractic%2C+5201+Eden+Ave%2C+Edina%2C+MN+55436" TargetMode="External"/><Relationship Id="rId1567" Type="http://schemas.openxmlformats.org/officeDocument/2006/relationships/hyperlink" Target="https://www.google.com/maps/search/?api=1&amp;query=Cedar+Island+Chiropractic%2C+4124+Quebec+Ave+N%2C+New+Hope%2C+MN+55427" TargetMode="External"/><Relationship Id="rId1774" Type="http://schemas.openxmlformats.org/officeDocument/2006/relationships/hyperlink" Target="https://npiregistry.cms.hhs.gov/provider-view/1023296167" TargetMode="External"/><Relationship Id="rId1981" Type="http://schemas.openxmlformats.org/officeDocument/2006/relationships/hyperlink" Target="https://www.google.com/maps/search/?api=1&amp;query=Perfect+Touch+Massage+%26+Chiropractic%2C+LTD%2C+3101+Old+Highway+8%2C+Roseville%2C+MN+55113" TargetMode="External"/><Relationship Id="rId2618" Type="http://schemas.openxmlformats.org/officeDocument/2006/relationships/hyperlink" Target="https://npiregistry.cms.hhs.gov/provider-view/1144853540" TargetMode="External"/><Relationship Id="rId2825" Type="http://schemas.openxmlformats.org/officeDocument/2006/relationships/hyperlink" Target="https://www.google.com/maps/search/?api=1&amp;query=Monticello+Chiropractic+%26+Therapy%2C+212+Cedar+St%2C+Monticello%2C+MN+55362" TargetMode="External"/><Relationship Id="rId66" Type="http://schemas.openxmlformats.org/officeDocument/2006/relationships/hyperlink" Target="https://npiregistry.cms.hhs.gov/provider-view/1346647773" TargetMode="External"/><Relationship Id="rId1427" Type="http://schemas.openxmlformats.org/officeDocument/2006/relationships/hyperlink" Target="https://www.google.com/maps/search/?api=1&amp;query=Skyway+Chiropractic%2C+825+Nicollet+Mall%2C+Minneapolis%2C+MN+55402" TargetMode="External"/><Relationship Id="rId1634" Type="http://schemas.openxmlformats.org/officeDocument/2006/relationships/hyperlink" Target="https://npiregistry.cms.hhs.gov/provider-view/1033521927" TargetMode="External"/><Relationship Id="rId1841" Type="http://schemas.openxmlformats.org/officeDocument/2006/relationships/hyperlink" Target="https://www.google.com/maps/search/?api=1&amp;query=Pilates+MN%2C+864+Lake+St+E%2C+Wayzata%2C+MN+55391" TargetMode="External"/><Relationship Id="rId4040" Type="http://schemas.openxmlformats.org/officeDocument/2006/relationships/hyperlink" Target="https://npiregistry.cms.hhs.gov/provider-view/1144279324" TargetMode="External"/><Relationship Id="rId3599" Type="http://schemas.openxmlformats.org/officeDocument/2006/relationships/hyperlink" Target="https://www.google.com/maps/search/?api=1&amp;query=Klemek+Chiropractic%2C+115+W+Soo+St%2C+Parkers+Prairie%2C+MN+56361" TargetMode="External"/><Relationship Id="rId1701" Type="http://schemas.openxmlformats.org/officeDocument/2006/relationships/hyperlink" Target="https://www.google.com/maps/search/?api=1&amp;query=Healthsource+of+Robbinsdale%2C+4064+Lakeland+Ave+N%2C+Robbinsdale%2C+MN+55422" TargetMode="External"/><Relationship Id="rId3459" Type="http://schemas.openxmlformats.org/officeDocument/2006/relationships/hyperlink" Target="https://www.google.com/maps/search/?api=1&amp;query=Okland+Chiropractic%2C+102+1st+St+N%2C+Virginia%2C+MN+55792" TargetMode="External"/><Relationship Id="rId3666" Type="http://schemas.openxmlformats.org/officeDocument/2006/relationships/hyperlink" Target="https://npiregistry.cms.hhs.gov/provider-view/1528438116" TargetMode="External"/><Relationship Id="rId587" Type="http://schemas.openxmlformats.org/officeDocument/2006/relationships/hyperlink" Target="https://www.google.com/maps/search/?api=1&amp;query=Endris+Chiropractic%2C+PA%2C+1560+Livingston+Ave%2C+West+Saint+Paul%2C+MN+55118" TargetMode="External"/><Relationship Id="rId2268" Type="http://schemas.openxmlformats.org/officeDocument/2006/relationships/hyperlink" Target="https://npiregistry.cms.hhs.gov/provider-view/1417314881" TargetMode="External"/><Relationship Id="rId3319" Type="http://schemas.openxmlformats.org/officeDocument/2006/relationships/hyperlink" Target="https://www.google.com/maps/search/?api=1&amp;query=Pokegama+Physical+Therapy%2C+LLC%2C+19259+S+Gama+Beach+Rd%2C+Grand+Rapids%2C+MN+55744" TargetMode="External"/><Relationship Id="rId3873" Type="http://schemas.openxmlformats.org/officeDocument/2006/relationships/hyperlink" Target="https://www.google.com/maps/search/?api=1&amp;query=Chambers+Chiropractic+Clinic%2C+1751+Highway+52+N%2C+Rochester%2C+MN+55901" TargetMode="External"/><Relationship Id="rId447" Type="http://schemas.openxmlformats.org/officeDocument/2006/relationships/hyperlink" Target="https://www.google.com/maps/search/?api=1&amp;query=Life+Wellness+Center-Eagan%2C+PA%2C+1895+Plaza+Dr%2C+Eagan%2C+MN+55122" TargetMode="External"/><Relationship Id="rId794" Type="http://schemas.openxmlformats.org/officeDocument/2006/relationships/hyperlink" Target="https://npiregistry.cms.hhs.gov/provider-view/1366051278" TargetMode="External"/><Relationship Id="rId1077" Type="http://schemas.openxmlformats.org/officeDocument/2006/relationships/hyperlink" Target="https://www.google.com/maps/search/?api=1&amp;query=Freestone+Chiropractic%2C+724+Mainstreet%2C+Hopkins%2C+MN+55343" TargetMode="External"/><Relationship Id="rId2128" Type="http://schemas.openxmlformats.org/officeDocument/2006/relationships/hyperlink" Target="https://npiregistry.cms.hhs.gov/provider-view/1548653090" TargetMode="External"/><Relationship Id="rId2475" Type="http://schemas.openxmlformats.org/officeDocument/2006/relationships/hyperlink" Target="https://www.google.com/maps/search/?api=1&amp;query=Caspers+Chiropractic+Center+of+Shakopee+PC%2C+1275+Ramsey+St%2C+Shakopee%2C+MN+55379" TargetMode="External"/><Relationship Id="rId2682" Type="http://schemas.openxmlformats.org/officeDocument/2006/relationships/hyperlink" Target="https://npiregistry.cms.hhs.gov/provider-view/1508356619" TargetMode="External"/><Relationship Id="rId3526" Type="http://schemas.openxmlformats.org/officeDocument/2006/relationships/hyperlink" Target="https://npiregistry.cms.hhs.gov/provider-view/1104018373" TargetMode="External"/><Relationship Id="rId3733" Type="http://schemas.openxmlformats.org/officeDocument/2006/relationships/hyperlink" Target="https://www.google.com/maps/search/?api=1&amp;query=Discover+Chiropractic%2C+304+Pine+St%2C+Nicollet%2C+MN+56074" TargetMode="External"/><Relationship Id="rId3940" Type="http://schemas.openxmlformats.org/officeDocument/2006/relationships/hyperlink" Target="https://npiregistry.cms.hhs.gov/provider-view/1902968621" TargetMode="External"/><Relationship Id="rId654" Type="http://schemas.openxmlformats.org/officeDocument/2006/relationships/hyperlink" Target="https://npiregistry.cms.hhs.gov/provider-view/1447491345" TargetMode="External"/><Relationship Id="rId861" Type="http://schemas.openxmlformats.org/officeDocument/2006/relationships/hyperlink" Target="https://www.google.com/maps/search/?api=1&amp;query=Total+Health+Chiropractic+and+Wellness%2C+6805+Flying+Cloud+Dr%2C+Eden+Prairie%2C+MN+55344" TargetMode="External"/><Relationship Id="rId1284" Type="http://schemas.openxmlformats.org/officeDocument/2006/relationships/hyperlink" Target="https://npiregistry.cms.hhs.gov/provider-view/1689721276" TargetMode="External"/><Relationship Id="rId1491" Type="http://schemas.openxmlformats.org/officeDocument/2006/relationships/hyperlink" Target="https://www.google.com/maps/search/?api=1&amp;query=Achieve+Health+Chiropractic+Clinic%2C+PA.%2C+13911+Ridgedale+Dr%2C+Minnetonka%2C+MN+55305" TargetMode="External"/><Relationship Id="rId2335" Type="http://schemas.openxmlformats.org/officeDocument/2006/relationships/hyperlink" Target="https://www.google.com/maps/search/?api=1&amp;query=Upper+Room+Wellness+Center%2C+1654+County+Road+E+E%2C+Vadnais+Heights%2C+MN+55110" TargetMode="External"/><Relationship Id="rId2542" Type="http://schemas.openxmlformats.org/officeDocument/2006/relationships/hyperlink" Target="https://npiregistry.cms.hhs.gov/provider-view/1487843819" TargetMode="External"/><Relationship Id="rId3800" Type="http://schemas.openxmlformats.org/officeDocument/2006/relationships/hyperlink" Target="https://npiregistry.cms.hhs.gov/provider-view/1003128869" TargetMode="External"/><Relationship Id="rId307" Type="http://schemas.openxmlformats.org/officeDocument/2006/relationships/hyperlink" Target="https://www.google.com/maps/search/?api=1&amp;query=Essential+Health+Chiropractic%2C+PA.%2C+7275+147th+St+W%2C+Apple+Valley%2C+MN+55124" TargetMode="External"/><Relationship Id="rId514" Type="http://schemas.openxmlformats.org/officeDocument/2006/relationships/hyperlink" Target="https://npiregistry.cms.hhs.gov/provider-view/1891913349" TargetMode="External"/><Relationship Id="rId721" Type="http://schemas.openxmlformats.org/officeDocument/2006/relationships/hyperlink" Target="https://www.google.com/maps/search/?api=1&amp;query=Heu+Chiropractic+Spa%2C+P.+A.%2C+6901+78th+Ave+N%2C+Brooklyn+Park%2C+MN+55445" TargetMode="External"/><Relationship Id="rId1144" Type="http://schemas.openxmlformats.org/officeDocument/2006/relationships/hyperlink" Target="https://npiregistry.cms.hhs.gov/provider-view/1659608776" TargetMode="External"/><Relationship Id="rId1351" Type="http://schemas.openxmlformats.org/officeDocument/2006/relationships/hyperlink" Target="https://www.google.com/maps/search/?api=1&amp;query=Michelle+L.+Meinholz%2C+DC.%2C+PLLC%2C+2920+Bryant+Ave+S%2C+Minneapolis%2C+MN+55408" TargetMode="External"/><Relationship Id="rId2402" Type="http://schemas.openxmlformats.org/officeDocument/2006/relationships/hyperlink" Target="https://npiregistry.cms.hhs.gov/provider-view/1558688838" TargetMode="External"/><Relationship Id="rId1004" Type="http://schemas.openxmlformats.org/officeDocument/2006/relationships/hyperlink" Target="https://npiregistry.cms.hhs.gov/provider-view/1477589109" TargetMode="External"/><Relationship Id="rId1211" Type="http://schemas.openxmlformats.org/officeDocument/2006/relationships/hyperlink" Target="https://www.google.com/maps/search/?api=1&amp;query=Bryn+Mawr+Chiropractic%2C+PA%2C+402+Penn+Ave+S%2C+Minneapolis%2C+MN+55405" TargetMode="External"/><Relationship Id="rId3176" Type="http://schemas.openxmlformats.org/officeDocument/2006/relationships/hyperlink" Target="https://npiregistry.cms.hhs.gov/provider-view/1437770864" TargetMode="External"/><Relationship Id="rId3383" Type="http://schemas.openxmlformats.org/officeDocument/2006/relationships/hyperlink" Target="https://www.google.com/maps/search/?api=1&amp;query=Institute+For+Whole+Health%2C+1525+London+Rd%2C+Duluth%2C+MN+55812" TargetMode="External"/><Relationship Id="rId3590" Type="http://schemas.openxmlformats.org/officeDocument/2006/relationships/hyperlink" Target="https://npiregistry.cms.hhs.gov/provider-view/1417045378" TargetMode="External"/><Relationship Id="rId2192" Type="http://schemas.openxmlformats.org/officeDocument/2006/relationships/hyperlink" Target="https://npiregistry.cms.hhs.gov/provider-view/1093746018" TargetMode="External"/><Relationship Id="rId3036" Type="http://schemas.openxmlformats.org/officeDocument/2006/relationships/hyperlink" Target="https://npiregistry.cms.hhs.gov/provider-view/1457967234" TargetMode="External"/><Relationship Id="rId3243" Type="http://schemas.openxmlformats.org/officeDocument/2006/relationships/hyperlink" Target="https://www.google.com/maps/search/?api=1&amp;query=Live+Well+Center%2C+315+E+River+Rd%2C+Brainerd%2C+MN+56401" TargetMode="External"/><Relationship Id="rId164" Type="http://schemas.openxmlformats.org/officeDocument/2006/relationships/hyperlink" Target="https://npiregistry.cms.hhs.gov/provider-view/1629557590" TargetMode="External"/><Relationship Id="rId371" Type="http://schemas.openxmlformats.org/officeDocument/2006/relationships/hyperlink" Target="https://www.google.com/maps/search/?api=1&amp;query=Phoenix+Physical+Therapy%2C+3200+Corporate+Center+Dr%2C+Burnsville%2C+MN+55306" TargetMode="External"/><Relationship Id="rId2052" Type="http://schemas.openxmlformats.org/officeDocument/2006/relationships/hyperlink" Target="https://npiregistry.cms.hhs.gov/provider-view/1841540713" TargetMode="External"/><Relationship Id="rId3450" Type="http://schemas.openxmlformats.org/officeDocument/2006/relationships/hyperlink" Target="https://npiregistry.cms.hhs.gov/provider-view/1699140129" TargetMode="External"/><Relationship Id="rId3103" Type="http://schemas.openxmlformats.org/officeDocument/2006/relationships/hyperlink" Target="https://www.google.com/maps/search/?api=1&amp;query=Imagine+Chiropractic%2C+750+1st.+St.+S.%2C+Waite+Park%2C+MN+56387" TargetMode="External"/><Relationship Id="rId3310" Type="http://schemas.openxmlformats.org/officeDocument/2006/relationships/hyperlink" Target="https://npiregistry.cms.hhs.gov/provider-view/1124427414" TargetMode="External"/><Relationship Id="rId231" Type="http://schemas.openxmlformats.org/officeDocument/2006/relationships/hyperlink" Target="https://www.google.com/maps/search/?api=1&amp;query=Abc+Family+Chiropractic%2C+PA.%2C+1405+78th+St%2C+Victoria%2C+MN+55386" TargetMode="External"/><Relationship Id="rId2869" Type="http://schemas.openxmlformats.org/officeDocument/2006/relationships/hyperlink" Target="https://www.google.com/maps/search/?api=1&amp;query=Country+Chiropractic+Center%2C+4505+State+Highway+23%2C+Brook+Park%2C+MN+55007" TargetMode="External"/><Relationship Id="rId1678" Type="http://schemas.openxmlformats.org/officeDocument/2006/relationships/hyperlink" Target="https://npiregistry.cms.hhs.gov/provider-view/1437525292" TargetMode="External"/><Relationship Id="rId1885" Type="http://schemas.openxmlformats.org/officeDocument/2006/relationships/hyperlink" Target="https://www.google.com/maps/search/?api=1&amp;query=Ellen+Weis+Chiropractic+LLC%2C+2860+Middle+St%2C+Little+Canada%2C+MN+55117" TargetMode="External"/><Relationship Id="rId2729" Type="http://schemas.openxmlformats.org/officeDocument/2006/relationships/hyperlink" Target="https://www.google.com/maps/search/?api=1&amp;query=Ptlinked%2C+LLC%2C+8317+Marsh+Creek+Rd%2C+Woodbury%2C+MN+55125" TargetMode="External"/><Relationship Id="rId2936" Type="http://schemas.openxmlformats.org/officeDocument/2006/relationships/hyperlink" Target="https://npiregistry.cms.hhs.gov/provider-view/1215266408" TargetMode="External"/><Relationship Id="rId4084" Type="http://schemas.openxmlformats.org/officeDocument/2006/relationships/hyperlink" Target="https://npiregistry.cms.hhs.gov/provider-view/1477098515" TargetMode="External"/><Relationship Id="rId908" Type="http://schemas.openxmlformats.org/officeDocument/2006/relationships/hyperlink" Target="https://npiregistry.cms.hhs.gov/provider-view/1992142764" TargetMode="External"/><Relationship Id="rId1538" Type="http://schemas.openxmlformats.org/officeDocument/2006/relationships/hyperlink" Target="https://npiregistry.cms.hhs.gov/provider-view/1194037689" TargetMode="External"/><Relationship Id="rId4151" Type="http://schemas.openxmlformats.org/officeDocument/2006/relationships/hyperlink" Target="https://www.google.com/maps/search/?api=1&amp;query=Kavanagh+Chiropractic%2C+PA.%2C+440+110th+Ave+SE%2C+De+Graff%2C+MN+56271" TargetMode="External"/><Relationship Id="rId1745" Type="http://schemas.openxmlformats.org/officeDocument/2006/relationships/hyperlink" Target="https://www.google.com/maps/search/?api=1&amp;query=Arrow+Health+Chiropractic%2C+PA.%2C+3800+Park+Nicollet+Blvd%2C+St.+Louis+Park%2C+MN+55416" TargetMode="External"/><Relationship Id="rId1952" Type="http://schemas.openxmlformats.org/officeDocument/2006/relationships/hyperlink" Target="https://npiregistry.cms.hhs.gov/provider-view/1336471390" TargetMode="External"/><Relationship Id="rId4011" Type="http://schemas.openxmlformats.org/officeDocument/2006/relationships/hyperlink" Target="https://www.google.com/maps/search/?api=1&amp;query=Cone+Chiropractic%2C+LTD%2C+801+W+Sarnia+St%2C+Winona%2C+MN+55987" TargetMode="External"/><Relationship Id="rId37" Type="http://schemas.openxmlformats.org/officeDocument/2006/relationships/hyperlink" Target="https://www.google.com/maps/search/?api=1&amp;query=Coon+Rapids+Chiropractic+Health+Services+LTD%2C+9140+Baltimore+St+NE%2C+Blaine%2C+MN+55449" TargetMode="External"/><Relationship Id="rId1605" Type="http://schemas.openxmlformats.org/officeDocument/2006/relationships/hyperlink" Target="https://www.google.com/maps/search/?api=1&amp;query=Family+Wellness+Chiropractic%2C+9600+28th+Ave+N%2C+Plymouth%2C+MN+55441" TargetMode="External"/><Relationship Id="rId1812" Type="http://schemas.openxmlformats.org/officeDocument/2006/relationships/hyperlink" Target="https://npiregistry.cms.hhs.gov/provider-view/1124540968" TargetMode="External"/><Relationship Id="rId3777" Type="http://schemas.openxmlformats.org/officeDocument/2006/relationships/hyperlink" Target="https://www.google.com/maps/search/?api=1&amp;query=Albert+Lea+Chiropractic%2C+PLC%2C+1340+W+Main+St%2C+Albert+Lea%2C+MN+56007" TargetMode="External"/><Relationship Id="rId3984" Type="http://schemas.openxmlformats.org/officeDocument/2006/relationships/hyperlink" Target="https://npiregistry.cms.hhs.gov/provider-view/1972821874" TargetMode="External"/><Relationship Id="rId698" Type="http://schemas.openxmlformats.org/officeDocument/2006/relationships/hyperlink" Target="https://npiregistry.cms.hhs.gov/provider-view/1902265432" TargetMode="External"/><Relationship Id="rId2379" Type="http://schemas.openxmlformats.org/officeDocument/2006/relationships/hyperlink" Target="https://www.google.com/maps/search/?api=1&amp;query=Belle+Plaine+Chiropractic%2C+PA%2C+200+W+Main+St%2C+Belle+Plaine%2C+MN+56011" TargetMode="External"/><Relationship Id="rId2586" Type="http://schemas.openxmlformats.org/officeDocument/2006/relationships/hyperlink" Target="https://npiregistry.cms.hhs.gov/provider-view/1174730048" TargetMode="External"/><Relationship Id="rId2793" Type="http://schemas.openxmlformats.org/officeDocument/2006/relationships/hyperlink" Target="https://www.google.com/maps/search/?api=1&amp;query=Mcconkey+Chiropractic+Clinic+PA%2C+15703+US+Highway+12+SW%2C+Cokato%2C+MN+55321" TargetMode="External"/><Relationship Id="rId3637" Type="http://schemas.openxmlformats.org/officeDocument/2006/relationships/hyperlink" Target="https://www.google.com/maps/search/?api=1&amp;query=Associates+In+Oral+and+Maxillofacial+Surgery%2C+PA.%2C+1990+Premiere+Dr%2C+Mankato%2C+MN+56001" TargetMode="External"/><Relationship Id="rId3844" Type="http://schemas.openxmlformats.org/officeDocument/2006/relationships/hyperlink" Target="https://npiregistry.cms.hhs.gov/provider-view/1518039072" TargetMode="External"/><Relationship Id="rId558" Type="http://schemas.openxmlformats.org/officeDocument/2006/relationships/hyperlink" Target="https://npiregistry.cms.hhs.gov/provider-view/1932341070" TargetMode="External"/><Relationship Id="rId765" Type="http://schemas.openxmlformats.org/officeDocument/2006/relationships/hyperlink" Target="https://www.google.com/maps/search/?api=1&amp;query=Champlin+Family+Chiropractic+LLC%2C+11452+Jefferson+Ct%2C+Champlin%2C+MN+55316" TargetMode="External"/><Relationship Id="rId972" Type="http://schemas.openxmlformats.org/officeDocument/2006/relationships/hyperlink" Target="https://npiregistry.cms.hhs.gov/provider-view/1033115084" TargetMode="External"/><Relationship Id="rId1188" Type="http://schemas.openxmlformats.org/officeDocument/2006/relationships/hyperlink" Target="https://npiregistry.cms.hhs.gov/provider-view/1497932792" TargetMode="External"/><Relationship Id="rId1395" Type="http://schemas.openxmlformats.org/officeDocument/2006/relationships/hyperlink" Target="https://www.google.com/maps/search/?api=1&amp;query=Oda+Chiropractic+Health+Center%2C+2800+University+Ave+SE%2C+Minneapolis%2C+MN+55414" TargetMode="External"/><Relationship Id="rId2239" Type="http://schemas.openxmlformats.org/officeDocument/2006/relationships/hyperlink" Target="https://www.google.com/maps/search/?api=1&amp;query=Robert+W.+Glineburg%2C+D.d.s.%2C+M.s.%2C+PA.%2C+1630+University+Avenue+West%2C+St.+Paul%2C+MN+55104" TargetMode="External"/><Relationship Id="rId2446" Type="http://schemas.openxmlformats.org/officeDocument/2006/relationships/hyperlink" Target="https://npiregistry.cms.hhs.gov/provider-view/1922463074" TargetMode="External"/><Relationship Id="rId2653" Type="http://schemas.openxmlformats.org/officeDocument/2006/relationships/hyperlink" Target="https://www.google.com/maps/search/?api=1&amp;query=Fiebelkorn+Enterpises+PA%2C+1250+Frontage+Rd+W%2C+Stillwater%2C+MN+55082" TargetMode="External"/><Relationship Id="rId2860" Type="http://schemas.openxmlformats.org/officeDocument/2006/relationships/hyperlink" Target="https://npiregistry.cms.hhs.gov/provider-view/1548683519" TargetMode="External"/><Relationship Id="rId3704" Type="http://schemas.openxmlformats.org/officeDocument/2006/relationships/hyperlink" Target="https://npiregistry.cms.hhs.gov/provider-view/1528285475" TargetMode="External"/><Relationship Id="rId418" Type="http://schemas.openxmlformats.org/officeDocument/2006/relationships/hyperlink" Target="https://npiregistry.cms.hhs.gov/provider-view/1629135819" TargetMode="External"/><Relationship Id="rId625" Type="http://schemas.openxmlformats.org/officeDocument/2006/relationships/hyperlink" Target="https://www.google.com/maps/search/?api=1&amp;query=Dr.+Jessi+Phillips%2C+On-Site+Chiropractic%2C+8701+Penn+Ave+S%2C+Bloomington%2C+MN+55431" TargetMode="External"/><Relationship Id="rId832" Type="http://schemas.openxmlformats.org/officeDocument/2006/relationships/hyperlink" Target="https://npiregistry.cms.hhs.gov/provider-view/1407145725" TargetMode="External"/><Relationship Id="rId1048" Type="http://schemas.openxmlformats.org/officeDocument/2006/relationships/hyperlink" Target="https://npiregistry.cms.hhs.gov/provider-view/1922134030" TargetMode="External"/><Relationship Id="rId1255" Type="http://schemas.openxmlformats.org/officeDocument/2006/relationships/hyperlink" Target="https://www.google.com/maps/search/?api=1&amp;query=Elevate+Chiropractic+LLC%2C+6528+W+Lake+St%2C+Minneapolis%2C+MN+55426" TargetMode="External"/><Relationship Id="rId1462" Type="http://schemas.openxmlformats.org/officeDocument/2006/relationships/hyperlink" Target="https://npiregistry.cms.hhs.gov/provider-view/1033500657" TargetMode="External"/><Relationship Id="rId2306" Type="http://schemas.openxmlformats.org/officeDocument/2006/relationships/hyperlink" Target="https://npiregistry.cms.hhs.gov/provider-view/1578008900" TargetMode="External"/><Relationship Id="rId2513" Type="http://schemas.openxmlformats.org/officeDocument/2006/relationships/hyperlink" Target="https://www.google.com/maps/search/?api=1&amp;query=Bodywise+Chiropractic+Center%2C+19332+Highway+169%2C+Elk+River%2C+MN+55330" TargetMode="External"/><Relationship Id="rId3911" Type="http://schemas.openxmlformats.org/officeDocument/2006/relationships/hyperlink" Target="https://www.google.com/maps/search/?api=1&amp;query=Specific+Chiropractic%2C+2001+2nd+St+SW%2C+Rochester%2C+MN+55902" TargetMode="External"/><Relationship Id="rId1115" Type="http://schemas.openxmlformats.org/officeDocument/2006/relationships/hyperlink" Target="https://www.google.com/maps/search/?api=1&amp;query=Cortex+Rehabilitation+LLC%2C+11658+Fountains+Dr%2C+Maple+Grove%2C+MN+55369" TargetMode="External"/><Relationship Id="rId1322" Type="http://schemas.openxmlformats.org/officeDocument/2006/relationships/hyperlink" Target="https://npiregistry.cms.hhs.gov/provider-view/1104043355" TargetMode="External"/><Relationship Id="rId2720" Type="http://schemas.openxmlformats.org/officeDocument/2006/relationships/hyperlink" Target="https://npiregistry.cms.hhs.gov/provider-view/1184951717" TargetMode="External"/><Relationship Id="rId3287" Type="http://schemas.openxmlformats.org/officeDocument/2006/relationships/hyperlink" Target="https://www.google.com/maps/search/?api=1&amp;query=Pinoniemi+Chiropractic%2C+17261+State+Highway+34%2C+Park+Rapids%2C+MN+56470" TargetMode="External"/><Relationship Id="rId2096" Type="http://schemas.openxmlformats.org/officeDocument/2006/relationships/hyperlink" Target="https://npiregistry.cms.hhs.gov/provider-view/1336185149" TargetMode="External"/><Relationship Id="rId3494" Type="http://schemas.openxmlformats.org/officeDocument/2006/relationships/hyperlink" Target="https://npiregistry.cms.hhs.gov/provider-view/1780265009" TargetMode="External"/><Relationship Id="rId3147" Type="http://schemas.openxmlformats.org/officeDocument/2006/relationships/hyperlink" Target="https://www.google.com/maps/search/?api=1&amp;query=Bemidji+Family+Chiropractic+Center%2C+5184+Theater+Lane+NW%2C+Bemidji%2C+MN+56601" TargetMode="External"/><Relationship Id="rId3354" Type="http://schemas.openxmlformats.org/officeDocument/2006/relationships/hyperlink" Target="https://npiregistry.cms.hhs.gov/provider-view/1366629750" TargetMode="External"/><Relationship Id="rId3561" Type="http://schemas.openxmlformats.org/officeDocument/2006/relationships/hyperlink" Target="https://www.google.com/maps/search/?api=1&amp;query=Morris+Integrative+Chiropractic+%26+Wellness+LLP%2C+11022+Tall+Timbers+Rd+SW%2C+Garfield%2C+MN+56332" TargetMode="External"/><Relationship Id="rId275" Type="http://schemas.openxmlformats.org/officeDocument/2006/relationships/hyperlink" Target="https://www.google.com/maps/search/?api=1&amp;query=Andrew+W+Ulvin+Dcpa%2C+30962+Fenway+Ave+N%2C+Stacy%2C+MN+55079" TargetMode="External"/><Relationship Id="rId482" Type="http://schemas.openxmlformats.org/officeDocument/2006/relationships/hyperlink" Target="https://npiregistry.cms.hhs.gov/provider-view/1427107655" TargetMode="External"/><Relationship Id="rId2163" Type="http://schemas.openxmlformats.org/officeDocument/2006/relationships/hyperlink" Target="https://www.google.com/maps/search/?api=1&amp;query=Holly+House+Center+For+Integrated+Healthcare%2C+2324+University+Ave+W%2C+St.+Paul%2C+MN+55114" TargetMode="External"/><Relationship Id="rId2370" Type="http://schemas.openxmlformats.org/officeDocument/2006/relationships/hyperlink" Target="https://npiregistry.cms.hhs.gov/provider-view/1164703492" TargetMode="External"/><Relationship Id="rId3007" Type="http://schemas.openxmlformats.org/officeDocument/2006/relationships/hyperlink" Target="https://www.google.com/maps/search/?api=1&amp;query=Physicians+Neck+%26+Back+Clinics%2C+158+19th+St+S%2C+Sartell%2C+MN+56377" TargetMode="External"/><Relationship Id="rId3214" Type="http://schemas.openxmlformats.org/officeDocument/2006/relationships/hyperlink" Target="https://npiregistry.cms.hhs.gov/provider-view/1316260417" TargetMode="External"/><Relationship Id="rId3421" Type="http://schemas.openxmlformats.org/officeDocument/2006/relationships/hyperlink" Target="https://www.google.com/maps/search/?api=1&amp;query=Wilderness+Wellness+Chiropractic+LLC%2C+224+E+Central+Entrance%2C+Duluth%2C+MN+55811" TargetMode="External"/><Relationship Id="rId135" Type="http://schemas.openxmlformats.org/officeDocument/2006/relationships/hyperlink" Target="https://www.google.com/maps/search/?api=1&amp;query=Frach+Chiropractic+LLC%2C+13352+Aberdeen+St.+NE%2C+Ham+Lake%2C+MN+55304" TargetMode="External"/><Relationship Id="rId342" Type="http://schemas.openxmlformats.org/officeDocument/2006/relationships/hyperlink" Target="https://npiregistry.cms.hhs.gov/provider-view/1215058102" TargetMode="External"/><Relationship Id="rId2023" Type="http://schemas.openxmlformats.org/officeDocument/2006/relationships/hyperlink" Target="https://www.google.com/maps/search/?api=1&amp;query=Motioncare%2C+INC.%2C+5985+Rice+Creek+Pkwy%2C+Shoreview%2C+MN+55126" TargetMode="External"/><Relationship Id="rId2230" Type="http://schemas.openxmlformats.org/officeDocument/2006/relationships/hyperlink" Target="https://npiregistry.cms.hhs.gov/provider-view/1053560292" TargetMode="External"/><Relationship Id="rId202" Type="http://schemas.openxmlformats.org/officeDocument/2006/relationships/hyperlink" Target="https://npiregistry.cms.hhs.gov/provider-view/1528380235" TargetMode="External"/><Relationship Id="rId1789" Type="http://schemas.openxmlformats.org/officeDocument/2006/relationships/hyperlink" Target="https://www.google.com/maps/search/?api=1&amp;query=Nikole+Carlson%2C+DC%2C+LLC%2C+6200+Excelsior+Blvd%2C+St.+Louis+Park%2C+MN+55416" TargetMode="External"/><Relationship Id="rId1996" Type="http://schemas.openxmlformats.org/officeDocument/2006/relationships/hyperlink" Target="https://npiregistry.cms.hhs.gov/provider-view/1457568768" TargetMode="External"/><Relationship Id="rId4055" Type="http://schemas.openxmlformats.org/officeDocument/2006/relationships/hyperlink" Target="https://www.google.com/maps/search/?api=1&amp;query=Lee-Fuhr+Chiropractic+Clinic+PA%2C+180+45th+Ave+SE%2C+Willmar%2C+MN+56201" TargetMode="External"/><Relationship Id="rId1649" Type="http://schemas.openxmlformats.org/officeDocument/2006/relationships/hyperlink" Target="https://www.google.com/maps/search/?api=1&amp;query=Sisu+Physical+Therapy%2C+2072+E+Center+Cir%2C+Plymouth%2C+MN+55441" TargetMode="External"/><Relationship Id="rId1856" Type="http://schemas.openxmlformats.org/officeDocument/2006/relationships/hyperlink" Target="https://npiregistry.cms.hhs.gov/provider-view/1588831697" TargetMode="External"/><Relationship Id="rId2907" Type="http://schemas.openxmlformats.org/officeDocument/2006/relationships/hyperlink" Target="https://www.google.com/maps/search/?api=1&amp;query=Kinsella+Chiropractic+Clinic%2C+407+S+Sibley+Ave%2C+Litchfield%2C+MN+55355" TargetMode="External"/><Relationship Id="rId3071" Type="http://schemas.openxmlformats.org/officeDocument/2006/relationships/hyperlink" Target="https://www.google.com/maps/search/?api=1&amp;query=Specialized+Spine+Care%2C+INC.%2C+3333+W+Division+St%2C+St.+Cloud%2C+MN+56301" TargetMode="External"/><Relationship Id="rId1509" Type="http://schemas.openxmlformats.org/officeDocument/2006/relationships/hyperlink" Target="https://www.google.com/maps/search/?api=1&amp;query=Back+To+Balance+Natural+Healing+Center%2C+10505+Wayzata+Blvd%2C+Minnetonka%2C+MN+55305" TargetMode="External"/><Relationship Id="rId1716" Type="http://schemas.openxmlformats.org/officeDocument/2006/relationships/hyperlink" Target="https://npiregistry.cms.hhs.gov/provider-view/1255817839" TargetMode="External"/><Relationship Id="rId1923" Type="http://schemas.openxmlformats.org/officeDocument/2006/relationships/hyperlink" Target="https://www.google.com/maps/search/?api=1&amp;query=Allied+Wellness+Professionals%2C+PLLC%2C+2459+-+15th+Street+NW%2C+New+Brighton%2C+MN+55112" TargetMode="External"/><Relationship Id="rId4122" Type="http://schemas.openxmlformats.org/officeDocument/2006/relationships/hyperlink" Target="https://npiregistry.cms.hhs.gov/provider-view/1336460526" TargetMode="External"/><Relationship Id="rId3888" Type="http://schemas.openxmlformats.org/officeDocument/2006/relationships/hyperlink" Target="https://npiregistry.cms.hhs.gov/provider-view/1841611811" TargetMode="External"/><Relationship Id="rId2697" Type="http://schemas.openxmlformats.org/officeDocument/2006/relationships/hyperlink" Target="https://www.google.com/maps/search/?api=1&amp;query=Drews+Family+Chiropractic+INC.%2C+563+Bielenberg+Dr%2C+Woodbury%2C+MN+55125" TargetMode="External"/><Relationship Id="rId3748" Type="http://schemas.openxmlformats.org/officeDocument/2006/relationships/hyperlink" Target="https://npiregistry.cms.hhs.gov/provider-view/1215177621" TargetMode="External"/><Relationship Id="rId669" Type="http://schemas.openxmlformats.org/officeDocument/2006/relationships/hyperlink" Target="https://www.google.com/maps/search/?api=1&amp;query=Valley+West+Chiropractic+Clinic%2C+LTD.%2C+10700+Normandale+Blvd%2C+Bloomington%2C+MN+55437" TargetMode="External"/><Relationship Id="rId876" Type="http://schemas.openxmlformats.org/officeDocument/2006/relationships/hyperlink" Target="https://npiregistry.cms.hhs.gov/provider-view/1013366533" TargetMode="External"/><Relationship Id="rId1299" Type="http://schemas.openxmlformats.org/officeDocument/2006/relationships/hyperlink" Target="https://www.google.com/maps/search/?api=1&amp;query=Infinity+Chiropractic%2C+515+W+Lake+St%2C+Minneapolis%2C+MN+55408" TargetMode="External"/><Relationship Id="rId2557" Type="http://schemas.openxmlformats.org/officeDocument/2006/relationships/hyperlink" Target="https://www.google.com/maps/search/?api=1&amp;query=On+the+Go+Chiropractic+LLC%2C+7586+63rd+Street+Cir+S%2C+Cottage+Grove%2C+MN+55016" TargetMode="External"/><Relationship Id="rId3608" Type="http://schemas.openxmlformats.org/officeDocument/2006/relationships/hyperlink" Target="https://npiregistry.cms.hhs.gov/provider-view/1952683708" TargetMode="External"/><Relationship Id="rId3955" Type="http://schemas.openxmlformats.org/officeDocument/2006/relationships/hyperlink" Target="https://www.google.com/maps/search/?api=1&amp;query=Corbett+Chiropractic+and+Health+Enhancement%2C+PA%2C+1605+Heritage+Dr%2C+Northfield%2C+MN+55057" TargetMode="External"/><Relationship Id="rId529" Type="http://schemas.openxmlformats.org/officeDocument/2006/relationships/hyperlink" Target="https://www.google.com/maps/search/?api=1&amp;query=Lake+Marion+Chiropractic+Center+PA%2C+20176+Heritage+Dr%2C+Lakeville%2C+MN+55044" TargetMode="External"/><Relationship Id="rId736" Type="http://schemas.openxmlformats.org/officeDocument/2006/relationships/hyperlink" Target="https://npiregistry.cms.hhs.gov/provider-view/1346652609" TargetMode="External"/><Relationship Id="rId1159" Type="http://schemas.openxmlformats.org/officeDocument/2006/relationships/hyperlink" Target="https://www.google.com/maps/search/?api=1&amp;query=Scherping+Chiropractic+PA%2C+9664+63rd+Ave+N%2C+Maple+Grove%2C+MN+55369" TargetMode="External"/><Relationship Id="rId1366" Type="http://schemas.openxmlformats.org/officeDocument/2006/relationships/hyperlink" Target="https://npiregistry.cms.hhs.gov/provider-view/1497890594" TargetMode="External"/><Relationship Id="rId2417" Type="http://schemas.openxmlformats.org/officeDocument/2006/relationships/hyperlink" Target="https://www.google.com/maps/search/?api=1&amp;query=Melissa+Engelson%2C+DC%2C+PLLC%2C+15815+Franklin+Trl+SE%2C+Prior+Lake%2C+MN+55372" TargetMode="External"/><Relationship Id="rId2764" Type="http://schemas.openxmlformats.org/officeDocument/2006/relationships/hyperlink" Target="https://npiregistry.cms.hhs.gov/provider-view/1770802019" TargetMode="External"/><Relationship Id="rId2971" Type="http://schemas.openxmlformats.org/officeDocument/2006/relationships/hyperlink" Target="https://www.google.com/maps/search/?api=1&amp;query=Clearwater+Family+Chiropractic+Clinic%2C+935+Professional%2C+Clearwater%2C+MN+55320" TargetMode="External"/><Relationship Id="rId3815" Type="http://schemas.openxmlformats.org/officeDocument/2006/relationships/hyperlink" Target="https://www.google.com/maps/search/?api=1&amp;query=Mell+Chiropractic%2C+LLC%2C+126+W+Main+St%2C+Caledonia%2C+MN+55921" TargetMode="External"/><Relationship Id="rId943" Type="http://schemas.openxmlformats.org/officeDocument/2006/relationships/hyperlink" Target="https://www.google.com/maps/search/?api=1&amp;query=Metro+Rehab+LLC%2C+7250+France+Ave+S%2C+Edina%2C+MN+55435" TargetMode="External"/><Relationship Id="rId1019" Type="http://schemas.openxmlformats.org/officeDocument/2006/relationships/hyperlink" Target="https://www.google.com/maps/search/?api=1&amp;query=Advanced+Chiropractic+Center%2C+INC.%2C+2508+Hillsboro+Ave+N%2C+Golden+Valley%2C+MN+55427" TargetMode="External"/><Relationship Id="rId1573" Type="http://schemas.openxmlformats.org/officeDocument/2006/relationships/hyperlink" Target="https://www.google.com/maps/search/?api=1&amp;query=Jason+W.+Phillips%2C+DC.%2C+PA.%2C+2738+Winnetka+Ave+N%2C+New+Hope%2C+MN+55427" TargetMode="External"/><Relationship Id="rId1780" Type="http://schemas.openxmlformats.org/officeDocument/2006/relationships/hyperlink" Target="https://npiregistry.cms.hhs.gov/provider-view/1134122054" TargetMode="External"/><Relationship Id="rId2624" Type="http://schemas.openxmlformats.org/officeDocument/2006/relationships/hyperlink" Target="https://npiregistry.cms.hhs.gov/provider-view/1306927272" TargetMode="External"/><Relationship Id="rId2831" Type="http://schemas.openxmlformats.org/officeDocument/2006/relationships/hyperlink" Target="https://www.google.com/maps/search/?api=1&amp;query=Montrose+Family+Chiropractic%2C+145+Nelson+Blvd%2C%2C+Montrose%2C+MN+55363" TargetMode="External"/><Relationship Id="rId72" Type="http://schemas.openxmlformats.org/officeDocument/2006/relationships/hyperlink" Target="https://npiregistry.cms.hhs.gov/provider-view/1255619169" TargetMode="External"/><Relationship Id="rId803" Type="http://schemas.openxmlformats.org/officeDocument/2006/relationships/hyperlink" Target="https://www.google.com/maps/search/?api=1&amp;query=Center+For+Diagnostic+Imaging%2C+775+Prairie+Center+Dr%2C+Eden+Prairie%2C+MN+55344" TargetMode="External"/><Relationship Id="rId1226" Type="http://schemas.openxmlformats.org/officeDocument/2006/relationships/hyperlink" Target="https://npiregistry.cms.hhs.gov/provider-view/1245641513" TargetMode="External"/><Relationship Id="rId1433" Type="http://schemas.openxmlformats.org/officeDocument/2006/relationships/hyperlink" Target="https://www.google.com/maps/search/?api=1&amp;query=Southside+Chiropractic%2C+PA.%2C+5536+Chicago+Ave%2C+Minneapolis%2C+MN+55417" TargetMode="External"/><Relationship Id="rId1640" Type="http://schemas.openxmlformats.org/officeDocument/2006/relationships/hyperlink" Target="https://npiregistry.cms.hhs.gov/provider-view/1073569927" TargetMode="External"/><Relationship Id="rId1500" Type="http://schemas.openxmlformats.org/officeDocument/2006/relationships/hyperlink" Target="https://npiregistry.cms.hhs.gov/provider-view/1184922387" TargetMode="External"/><Relationship Id="rId3398" Type="http://schemas.openxmlformats.org/officeDocument/2006/relationships/hyperlink" Target="https://npiregistry.cms.hhs.gov/provider-view/1891304317" TargetMode="External"/><Relationship Id="rId3258" Type="http://schemas.openxmlformats.org/officeDocument/2006/relationships/hyperlink" Target="https://npiregistry.cms.hhs.gov/provider-view/1891399275" TargetMode="External"/><Relationship Id="rId3465" Type="http://schemas.openxmlformats.org/officeDocument/2006/relationships/hyperlink" Target="https://www.google.com/maps/search/?api=1&amp;query=Ada+Chiropractic+Clinic%2C+PA.%2C+406+E+Main+St%2C+Ada%2C+MN+56510" TargetMode="External"/><Relationship Id="rId3672" Type="http://schemas.openxmlformats.org/officeDocument/2006/relationships/hyperlink" Target="https://npiregistry.cms.hhs.gov/provider-view/1306223722" TargetMode="External"/><Relationship Id="rId179" Type="http://schemas.openxmlformats.org/officeDocument/2006/relationships/hyperlink" Target="https://www.google.com/maps/search/?api=1&amp;query=Nrg+Chiropractic+PA%2C+470+W+78th+St%2C+Chanhassen%2C+MN+55317" TargetMode="External"/><Relationship Id="rId386" Type="http://schemas.openxmlformats.org/officeDocument/2006/relationships/hyperlink" Target="https://npiregistry.cms.hhs.gov/provider-view/1992189542" TargetMode="External"/><Relationship Id="rId593" Type="http://schemas.openxmlformats.org/officeDocument/2006/relationships/hyperlink" Target="https://www.google.com/maps/search/?api=1&amp;query=Novacare+Outpatient+Rehabilitation+East+INC%2C+1970+Christensen+Ave%2C+West+St+Paul%2C+MN+55118" TargetMode="External"/><Relationship Id="rId2067" Type="http://schemas.openxmlformats.org/officeDocument/2006/relationships/hyperlink" Target="https://www.google.com/maps/search/?api=1&amp;query=Care+Point+Chiropractic%2C+PLLC%2C+1821+University+Ave+W%2C%2C+St.+Paul%2C+MN+55104" TargetMode="External"/><Relationship Id="rId2274" Type="http://schemas.openxmlformats.org/officeDocument/2006/relationships/hyperlink" Target="https://npiregistry.cms.hhs.gov/provider-view/1407931967" TargetMode="External"/><Relationship Id="rId2481" Type="http://schemas.openxmlformats.org/officeDocument/2006/relationships/hyperlink" Target="https://www.google.com/maps/search/?api=1&amp;query=Functional+Chiropractic+and+Laser%2C+1226+4th+Ave+E%2C+Shakopee%2C+MN+55379" TargetMode="External"/><Relationship Id="rId3118" Type="http://schemas.openxmlformats.org/officeDocument/2006/relationships/hyperlink" Target="https://npiregistry.cms.hhs.gov/provider-view/1144312471" TargetMode="External"/><Relationship Id="rId3325" Type="http://schemas.openxmlformats.org/officeDocument/2006/relationships/hyperlink" Target="https://www.google.com/maps/search/?api=1&amp;query=Radtke+Physical+Therapy+LTD.+Partnership%2C+9+Willow+Ln%2C+Grand+Rapids%2C+MN+55744" TargetMode="External"/><Relationship Id="rId3532" Type="http://schemas.openxmlformats.org/officeDocument/2006/relationships/hyperlink" Target="https://npiregistry.cms.hhs.gov/provider-view/1679768543" TargetMode="External"/><Relationship Id="rId246" Type="http://schemas.openxmlformats.org/officeDocument/2006/relationships/hyperlink" Target="https://npiregistry.cms.hhs.gov/provider-view/1154520039" TargetMode="External"/><Relationship Id="rId453" Type="http://schemas.openxmlformats.org/officeDocument/2006/relationships/hyperlink" Target="https://www.google.com/maps/search/?api=1&amp;query=Rehabilitation+Specialists+PA%2C+4152+Nicols+Rd%2C+Eagan%2C+MN+55122" TargetMode="External"/><Relationship Id="rId660" Type="http://schemas.openxmlformats.org/officeDocument/2006/relationships/hyperlink" Target="https://npiregistry.cms.hhs.gov/provider-view/1942411822" TargetMode="External"/><Relationship Id="rId1083" Type="http://schemas.openxmlformats.org/officeDocument/2006/relationships/hyperlink" Target="https://www.google.com/maps/search/?api=1&amp;query=Hopkins+Chiropractic+PA%2C+17+10th+Ave+S%2C+Hopkins%2C+MN+55343" TargetMode="External"/><Relationship Id="rId1290" Type="http://schemas.openxmlformats.org/officeDocument/2006/relationships/hyperlink" Target="https://npiregistry.cms.hhs.gov/provider-view/1427275288" TargetMode="External"/><Relationship Id="rId2134" Type="http://schemas.openxmlformats.org/officeDocument/2006/relationships/hyperlink" Target="https://npiregistry.cms.hhs.gov/provider-view/1245373034" TargetMode="External"/><Relationship Id="rId2341" Type="http://schemas.openxmlformats.org/officeDocument/2006/relationships/hyperlink" Target="https://www.google.com/maps/search/?api=1&amp;query=Barr+Family+Chiropractic+%26+Sports+Clinic%2C+4719+Banning+Ave%2C+White+Bear+Lake%2C+MN+55110" TargetMode="External"/><Relationship Id="rId106" Type="http://schemas.openxmlformats.org/officeDocument/2006/relationships/hyperlink" Target="https://npiregistry.cms.hhs.gov/provider-view/1073915732" TargetMode="External"/><Relationship Id="rId313" Type="http://schemas.openxmlformats.org/officeDocument/2006/relationships/hyperlink" Target="https://www.google.com/maps/search/?api=1&amp;query=Jocelyn+Lian+Pediatric+Physical+Therapy+Services%2C+LLC%2C+13889+Fawn+Ridge+Way%2C+Apple+Valley%2C+MN+55124" TargetMode="External"/><Relationship Id="rId1150" Type="http://schemas.openxmlformats.org/officeDocument/2006/relationships/hyperlink" Target="https://npiregistry.cms.hhs.gov/provider-view/1760012454" TargetMode="External"/><Relationship Id="rId4099" Type="http://schemas.openxmlformats.org/officeDocument/2006/relationships/hyperlink" Target="https://www.google.com/maps/search/?api=1&amp;query=Prairie+Winds+Wellness%2C+PLLC%2C+202+E+1st+St%2C+Minneota%2C+MN+56264" TargetMode="External"/><Relationship Id="rId520" Type="http://schemas.openxmlformats.org/officeDocument/2006/relationships/hyperlink" Target="https://npiregistry.cms.hhs.gov/provider-view/1174946628" TargetMode="External"/><Relationship Id="rId2201" Type="http://schemas.openxmlformats.org/officeDocument/2006/relationships/hyperlink" Target="https://www.google.com/maps/search/?api=1&amp;query=Midwest+Radiology+Outpatient+Imaging%2C+LLC%2C+250+Thompson+St%2C+St.+Paul%2C+MN+55102" TargetMode="External"/><Relationship Id="rId1010" Type="http://schemas.openxmlformats.org/officeDocument/2006/relationships/hyperlink" Target="https://npiregistry.cms.hhs.gov/provider-view/1003830787" TargetMode="External"/><Relationship Id="rId1967" Type="http://schemas.openxmlformats.org/officeDocument/2006/relationships/hyperlink" Target="https://www.google.com/maps/search/?api=1&amp;query=Jason+Wing+Louie+Chiropractic+LLC%2C+2489+Rice+St%2C+Roseville%2C+MN+55113" TargetMode="External"/><Relationship Id="rId4026" Type="http://schemas.openxmlformats.org/officeDocument/2006/relationships/hyperlink" Target="https://npiregistry.cms.hhs.gov/provider-view/1336312354" TargetMode="External"/><Relationship Id="rId3042" Type="http://schemas.openxmlformats.org/officeDocument/2006/relationships/hyperlink" Target="https://npiregistry.cms.hhs.gov/provider-view/1780800524" TargetMode="External"/><Relationship Id="rId3859" Type="http://schemas.openxmlformats.org/officeDocument/2006/relationships/hyperlink" Target="https://www.google.com/maps/search/?api=1&amp;query=Eyota+Chiropractic%2C+123+Lafayette+Ave+SW%2C+Eyota%2C+MN+55934" TargetMode="External"/><Relationship Id="rId2875" Type="http://schemas.openxmlformats.org/officeDocument/2006/relationships/hyperlink" Target="https://www.google.com/maps/search/?api=1&amp;query=Mora+Chiropractic+Clinic+PC.%2C+114+W+Maple+Ave%2C+Mora%2C+MN+55051" TargetMode="External"/><Relationship Id="rId3926" Type="http://schemas.openxmlformats.org/officeDocument/2006/relationships/hyperlink" Target="https://npiregistry.cms.hhs.gov/provider-view/1225218282" TargetMode="External"/><Relationship Id="rId847" Type="http://schemas.openxmlformats.org/officeDocument/2006/relationships/hyperlink" Target="https://www.google.com/maps/search/?api=1&amp;query=Real+Health+Chiropractic+Clinic%2C+8901+Aztec+Dr%2C+Eden+Prairie%2C+MN+55347" TargetMode="External"/><Relationship Id="rId1477" Type="http://schemas.openxmlformats.org/officeDocument/2006/relationships/hyperlink" Target="https://www.google.com/maps/search/?api=1&amp;query=Warner+Chiropractic+Clinic%2C+2726+Johnson+St+NE%2C+Minneapolis%2C+MN+55418" TargetMode="External"/><Relationship Id="rId1891" Type="http://schemas.openxmlformats.org/officeDocument/2006/relationships/hyperlink" Target="https://www.google.com/maps/search/?api=1&amp;query=Revive+Chiropractic+Wellness+Center%2C+LLC%2C+2800+Rice+St%2C+Little+Canada%2C+MN+55113" TargetMode="External"/><Relationship Id="rId2528" Type="http://schemas.openxmlformats.org/officeDocument/2006/relationships/hyperlink" Target="https://npiregistry.cms.hhs.gov/provider-view/1720233570" TargetMode="External"/><Relationship Id="rId2942" Type="http://schemas.openxmlformats.org/officeDocument/2006/relationships/hyperlink" Target="https://npiregistry.cms.hhs.gov/provider-view/1962440008" TargetMode="External"/><Relationship Id="rId914" Type="http://schemas.openxmlformats.org/officeDocument/2006/relationships/hyperlink" Target="https://npiregistry.cms.hhs.gov/provider-view/1386935831" TargetMode="External"/><Relationship Id="rId1544" Type="http://schemas.openxmlformats.org/officeDocument/2006/relationships/hyperlink" Target="https://npiregistry.cms.hhs.gov/provider-view/1023414901" TargetMode="External"/><Relationship Id="rId1611" Type="http://schemas.openxmlformats.org/officeDocument/2006/relationships/hyperlink" Target="https://www.google.com/maps/search/?api=1&amp;query=Harkins+Chiropractic+Center+LLC%2C+15600+35th+Ave+N%2C+Plymouth%2C+MN+55447" TargetMode="External"/><Relationship Id="rId3369" Type="http://schemas.openxmlformats.org/officeDocument/2006/relationships/hyperlink" Target="https://www.google.com/maps/search/?api=1&amp;query=Constance+Jacoby+DC.%2C+32+E+1st+St%2C+Duluth%2C+MN+55802" TargetMode="External"/><Relationship Id="rId2385" Type="http://schemas.openxmlformats.org/officeDocument/2006/relationships/hyperlink" Target="https://www.google.com/maps/search/?api=1&amp;query=Lubovich+Chiropractic%2C+PA.%2C+730+Main+St%2C+Elko%2C+MN+55020" TargetMode="External"/><Relationship Id="rId3783" Type="http://schemas.openxmlformats.org/officeDocument/2006/relationships/hyperlink" Target="https://www.google.com/maps/search/?api=1&amp;query=Cannon+Valley+Chiropractic%2Cllc%2C+6505+Cedar+Hills+Dr%2C+Cannon+Falls%2C+MN+55009" TargetMode="External"/><Relationship Id="rId357" Type="http://schemas.openxmlformats.org/officeDocument/2006/relationships/hyperlink" Target="https://www.google.com/maps/search/?api=1&amp;query=Integrated+Medical+Rehabilitation+of+MN.%2C+LLC%2C+1601+Highway+13+E%2C+Burnsville%2C+MN+55337" TargetMode="External"/><Relationship Id="rId2038" Type="http://schemas.openxmlformats.org/officeDocument/2006/relationships/hyperlink" Target="https://npiregistry.cms.hhs.gov/provider-view/1396390050" TargetMode="External"/><Relationship Id="rId3436" Type="http://schemas.openxmlformats.org/officeDocument/2006/relationships/hyperlink" Target="https://npiregistry.cms.hhs.gov/provider-view/1255614277" TargetMode="External"/><Relationship Id="rId3850" Type="http://schemas.openxmlformats.org/officeDocument/2006/relationships/hyperlink" Target="https://npiregistry.cms.hhs.gov/provider-view/1255487971" TargetMode="External"/><Relationship Id="rId771" Type="http://schemas.openxmlformats.org/officeDocument/2006/relationships/hyperlink" Target="https://www.google.com/maps/search/?api=1&amp;query=Viverant%2C+LLC%2C+8900+109th+Ave+N%2C+Champlin%2C+MN+55316" TargetMode="External"/><Relationship Id="rId2452" Type="http://schemas.openxmlformats.org/officeDocument/2006/relationships/hyperlink" Target="https://npiregistry.cms.hhs.gov/provider-view/1871784272" TargetMode="External"/><Relationship Id="rId3503" Type="http://schemas.openxmlformats.org/officeDocument/2006/relationships/hyperlink" Target="https://www.google.com/maps/search/?api=1&amp;query=Health+Intended%2C+1054+Elizabeth+St%2C+Hawley%2C+MN+56549" TargetMode="External"/><Relationship Id="rId424" Type="http://schemas.openxmlformats.org/officeDocument/2006/relationships/hyperlink" Target="https://npiregistry.cms.hhs.gov/provider-view/1881902591" TargetMode="External"/><Relationship Id="rId1054" Type="http://schemas.openxmlformats.org/officeDocument/2006/relationships/hyperlink" Target="https://npiregistry.cms.hhs.gov/provider-view/1205174919" TargetMode="External"/><Relationship Id="rId2105" Type="http://schemas.openxmlformats.org/officeDocument/2006/relationships/hyperlink" Target="https://www.google.com/maps/search/?api=1&amp;query=Como+Chiropractic+Health+Center%2C+PA%2C+947+Payne+Ave%2C+St.+Paul%2C+MN+55101" TargetMode="External"/><Relationship Id="rId1121" Type="http://schemas.openxmlformats.org/officeDocument/2006/relationships/hyperlink" Target="https://www.google.com/maps/search/?api=1&amp;query=Great+Lakes+Chiropractic+LLC%2C+13601+80th+Cir+N%2C+Maple+Grove%2C+MN+55369" TargetMode="External"/><Relationship Id="rId3293" Type="http://schemas.openxmlformats.org/officeDocument/2006/relationships/hyperlink" Target="https://www.google.com/maps/search/?api=1&amp;query=Alans+Physical+Therapy+of+Grand+Rapids%2C+111+Golf+Course+Rd%2C+Grand+Rapids%2C+MN+55744" TargetMode="External"/><Relationship Id="rId1938" Type="http://schemas.openxmlformats.org/officeDocument/2006/relationships/hyperlink" Target="https://npiregistry.cms.hhs.gov/provider-view/1235506759" TargetMode="External"/><Relationship Id="rId3360" Type="http://schemas.openxmlformats.org/officeDocument/2006/relationships/hyperlink" Target="https://npiregistry.cms.hhs.gov/provider-view/1659508182" TargetMode="External"/><Relationship Id="rId281" Type="http://schemas.openxmlformats.org/officeDocument/2006/relationships/hyperlink" Target="https://www.google.com/maps/search/?api=1&amp;query=A.b.l.e.+Chiropractic+PA.%2C+13335+Palomino+Dr%2C+Apple+Valley%2C+MN+55124" TargetMode="External"/><Relationship Id="rId3013" Type="http://schemas.openxmlformats.org/officeDocument/2006/relationships/hyperlink" Target="https://www.google.com/maps/search/?api=1&amp;query=Sailer+Family+Chiropractic+PA.%2C+234+Pinecone+Rd%2C+Sartell%2C+MN+56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workbookViewId="0">
      <pane ySplit="7" topLeftCell="A8" activePane="bottomLeft" state="frozen"/>
      <selection pane="bottomLeft"/>
    </sheetView>
  </sheetViews>
  <sheetFormatPr baseColWidth="10" defaultColWidth="8.88671875" defaultRowHeight="14.4" x14ac:dyDescent="0.3"/>
  <cols>
    <col min="1" max="1" width="30" customWidth="1"/>
    <col min="2" max="2" width="22" customWidth="1"/>
    <col min="3" max="10" width="13" customWidth="1"/>
  </cols>
  <sheetData>
    <row r="1" spans="1:10" ht="22.8" x14ac:dyDescent="0.4">
      <c r="A1" s="1" t="s">
        <v>0</v>
      </c>
    </row>
    <row r="2" spans="1:10" ht="28.05" customHeight="1" x14ac:dyDescent="0.3">
      <c r="A2" s="30" t="s">
        <v>1</v>
      </c>
      <c r="B2" s="24"/>
      <c r="C2" s="24"/>
      <c r="D2" s="24"/>
      <c r="E2" s="24"/>
      <c r="F2" s="24"/>
      <c r="G2" s="24"/>
      <c r="H2" s="24"/>
      <c r="I2" s="24"/>
      <c r="J2" s="24"/>
    </row>
    <row r="4" spans="1:10" ht="35.4" x14ac:dyDescent="0.6">
      <c r="A4" s="2">
        <f>COUNTA('All Clinics'!$A:$A)-1</f>
        <v>953</v>
      </c>
      <c r="C4" s="29">
        <f>COUNTIF('All Clinics'!$M:$M,"No")</f>
        <v>890</v>
      </c>
      <c r="D4" s="24"/>
      <c r="E4" s="24"/>
    </row>
    <row r="5" spans="1:10" x14ac:dyDescent="0.3">
      <c r="A5" s="3" t="s">
        <v>2</v>
      </c>
      <c r="C5" s="3" t="s">
        <v>3</v>
      </c>
    </row>
    <row r="6" spans="1:10" ht="28.05" customHeight="1" x14ac:dyDescent="0.3">
      <c r="A6" s="25" t="str">
        <f>"Plus "&amp;TEXT(COUNTA('Older Entries'!$A:$A)-1,"#,##0")&amp;" older registry entries on the 'Older Entries' sheet: clinics that have not updated their federal registration since before 2022. Call to confirm before using them."</f>
        <v>Plus 2,081 older registry entries on the 'Older Entries' sheet: clinics that have not updated their federal registration since before 2022. Call to confirm before using them.</v>
      </c>
      <c r="B6" s="24"/>
      <c r="C6" s="24"/>
      <c r="D6" s="24"/>
      <c r="E6" s="24"/>
      <c r="F6" s="24"/>
      <c r="G6" s="24"/>
      <c r="H6" s="24"/>
      <c r="I6" s="24"/>
      <c r="J6" s="24"/>
    </row>
    <row r="8" spans="1:10" x14ac:dyDescent="0.3">
      <c r="A8" s="3" t="s">
        <v>4</v>
      </c>
    </row>
    <row r="9" spans="1:10" ht="30" customHeight="1" x14ac:dyDescent="0.3">
      <c r="A9" s="4" t="s">
        <v>5</v>
      </c>
      <c r="B9" s="5" t="s">
        <v>6</v>
      </c>
      <c r="C9" s="5" t="s">
        <v>7</v>
      </c>
      <c r="D9" s="5" t="s">
        <v>8</v>
      </c>
      <c r="E9" s="26" t="s">
        <v>9</v>
      </c>
      <c r="F9" s="27"/>
      <c r="G9" s="27"/>
      <c r="H9" s="27"/>
      <c r="I9" s="27"/>
      <c r="J9" s="28"/>
    </row>
    <row r="10" spans="1:10" x14ac:dyDescent="0.3">
      <c r="A10" s="6" t="s">
        <v>10</v>
      </c>
      <c r="B10" s="7">
        <f>COUNTA('Injury Physicians'!$A:$A)-1</f>
        <v>153</v>
      </c>
      <c r="C10" s="7">
        <f>COUNTIF('Injury Physicians'!$M:$M,"No")</f>
        <v>96</v>
      </c>
      <c r="D10" s="7">
        <f>COUNTIF('Older Entries'!$B:$B,"Injury Physicians")+COUNTIF('Older Entries'!$C:$C,"*Injury Physicians*")</f>
        <v>160</v>
      </c>
      <c r="E10" s="23" t="s">
        <v>11</v>
      </c>
      <c r="F10" s="24"/>
      <c r="G10" s="24"/>
      <c r="H10" s="24"/>
      <c r="I10" s="24"/>
      <c r="J10" s="24"/>
    </row>
    <row r="11" spans="1:10" x14ac:dyDescent="0.3">
      <c r="A11" s="6" t="s">
        <v>12</v>
      </c>
      <c r="B11" s="7">
        <f>COUNTA('Chiropractic'!$A:$A)-1</f>
        <v>440</v>
      </c>
      <c r="C11" s="7">
        <f>COUNTIF('Chiropractic'!$M:$M,"No")</f>
        <v>439</v>
      </c>
      <c r="D11" s="7">
        <f>COUNTIF('Older Entries'!$B:$B,"Chiropractic")+COUNTIF('Older Entries'!$C:$C,"*Chiropractic*")</f>
        <v>1617</v>
      </c>
      <c r="E11" s="23" t="s">
        <v>13</v>
      </c>
      <c r="F11" s="24"/>
      <c r="G11" s="24"/>
      <c r="H11" s="24"/>
      <c r="I11" s="24"/>
      <c r="J11" s="24"/>
    </row>
    <row r="12" spans="1:10" x14ac:dyDescent="0.3">
      <c r="A12" s="6" t="s">
        <v>14</v>
      </c>
      <c r="B12" s="7">
        <f>COUNTA('Physical Therapy'!$A:$A)-1</f>
        <v>298</v>
      </c>
      <c r="C12" s="7">
        <f>COUNTIF('Physical Therapy'!$M:$M,"No")</f>
        <v>288</v>
      </c>
      <c r="D12" s="7">
        <f>COUNTIF('Older Entries'!$B:$B,"Physical Therapy")+COUNTIF('Older Entries'!$C:$C,"*Physical Therapy*")</f>
        <v>298</v>
      </c>
      <c r="E12" s="23" t="s">
        <v>15</v>
      </c>
      <c r="F12" s="24"/>
      <c r="G12" s="24"/>
      <c r="H12" s="24"/>
      <c r="I12" s="24"/>
      <c r="J12" s="24"/>
    </row>
    <row r="13" spans="1:10" x14ac:dyDescent="0.3">
      <c r="A13" s="6" t="s">
        <v>16</v>
      </c>
      <c r="B13" s="7">
        <f>COUNTA(Imaging!$A:$A)-1</f>
        <v>16</v>
      </c>
      <c r="C13" s="7">
        <f>COUNTIF(Imaging!$M:$M,"No")</f>
        <v>13</v>
      </c>
      <c r="D13" s="7">
        <f>COUNTIF('Older Entries'!$B:$B,"Imaging")+COUNTIF('Older Entries'!$C:$C,"*Imaging*")</f>
        <v>43</v>
      </c>
      <c r="E13" s="23" t="s">
        <v>17</v>
      </c>
      <c r="F13" s="24"/>
      <c r="G13" s="24"/>
      <c r="H13" s="24"/>
      <c r="I13" s="24"/>
      <c r="J13" s="24"/>
    </row>
    <row r="14" spans="1:10" x14ac:dyDescent="0.3">
      <c r="A14" s="6" t="s">
        <v>18</v>
      </c>
      <c r="B14" s="7">
        <f>COUNTA('TMJ Specialists'!$A:$A)-1</f>
        <v>33</v>
      </c>
      <c r="C14" s="7">
        <f>COUNTIF('TMJ Specialists'!$P:$P,"No")</f>
        <v>32</v>
      </c>
      <c r="D14" s="7">
        <f>COUNTIF('Older Entries'!$B:$B,"TMJ Specialists")+COUNTIF('Older Entries'!$C:$C,"*TMJ Specialists*")</f>
        <v>1</v>
      </c>
      <c r="E14" s="23" t="s">
        <v>19</v>
      </c>
      <c r="F14" s="24"/>
      <c r="G14" s="24"/>
      <c r="H14" s="24"/>
      <c r="I14" s="24"/>
      <c r="J14" s="24"/>
    </row>
    <row r="15" spans="1:10" x14ac:dyDescent="0.3">
      <c r="A15" s="6" t="s">
        <v>20</v>
      </c>
      <c r="B15" s="7">
        <f>COUNTA('Oral Surgery'!$A:$A)-1</f>
        <v>67</v>
      </c>
      <c r="C15" s="7">
        <f>COUNTIF('Oral Surgery'!$Q:$Q,"No")</f>
        <v>67</v>
      </c>
      <c r="D15" s="7">
        <f>COUNTIF('Older Entries'!$B:$B,"Oral Surgery")+COUNTIF('Older Entries'!$C:$C,"*Oral Surgery*")</f>
        <v>10</v>
      </c>
      <c r="E15" s="23" t="s">
        <v>21</v>
      </c>
      <c r="F15" s="24"/>
      <c r="G15" s="24"/>
      <c r="H15" s="24"/>
      <c r="I15" s="24"/>
      <c r="J15" s="24"/>
    </row>
    <row r="16" spans="1:10" x14ac:dyDescent="0.3">
      <c r="A16" s="8" t="s">
        <v>22</v>
      </c>
    </row>
    <row r="18" spans="1:10" x14ac:dyDescent="0.3">
      <c r="A18" s="3" t="s">
        <v>23</v>
      </c>
    </row>
    <row r="19" spans="1:10" ht="30" customHeight="1" x14ac:dyDescent="0.3">
      <c r="A19" s="4" t="s">
        <v>24</v>
      </c>
      <c r="B19" s="5" t="s">
        <v>10</v>
      </c>
      <c r="C19" s="5" t="s">
        <v>12</v>
      </c>
      <c r="D19" s="5" t="s">
        <v>14</v>
      </c>
      <c r="E19" s="5" t="s">
        <v>16</v>
      </c>
      <c r="F19" s="5" t="s">
        <v>18</v>
      </c>
      <c r="G19" s="5" t="s">
        <v>20</v>
      </c>
      <c r="H19" s="5" t="s">
        <v>25</v>
      </c>
    </row>
    <row r="20" spans="1:10" x14ac:dyDescent="0.3">
      <c r="A20" s="6" t="s">
        <v>26</v>
      </c>
      <c r="B20" s="7">
        <f>COUNTIFS('All Clinics'!$I:$I,$A20,'All Clinics'!$B:$B,"Injury Physicians")</f>
        <v>109</v>
      </c>
      <c r="C20" s="7">
        <f>COUNTIFS('All Clinics'!$I:$I,$A20,'All Clinics'!$B:$B,"Chiropractic")</f>
        <v>279</v>
      </c>
      <c r="D20" s="7">
        <f>COUNTIFS('All Clinics'!$I:$I,$A20,'All Clinics'!$B:$B,"Physical Therapy")</f>
        <v>166</v>
      </c>
      <c r="E20" s="7">
        <f>COUNTIFS('All Clinics'!$I:$I,$A20,'All Clinics'!$B:$B,"Imaging")</f>
        <v>10</v>
      </c>
      <c r="F20" s="7">
        <f>COUNTIFS('All Clinics'!$I:$I,$A20,'All Clinics'!$B:$B,"TMJ Specialists")</f>
        <v>27</v>
      </c>
      <c r="G20" s="7">
        <f>COUNTIFS('All Clinics'!$I:$I,$A20,'All Clinics'!$B:$B,"Oral Surgery")</f>
        <v>50</v>
      </c>
      <c r="H20" s="9">
        <f t="shared" ref="H20:H27" si="0">SUM(B20:G20)</f>
        <v>641</v>
      </c>
    </row>
    <row r="21" spans="1:10" x14ac:dyDescent="0.3">
      <c r="A21" s="6" t="s">
        <v>27</v>
      </c>
      <c r="B21" s="7">
        <f>COUNTIFS('All Clinics'!$I:$I,$A21,'All Clinics'!$B:$B,"Injury Physicians")</f>
        <v>2</v>
      </c>
      <c r="C21" s="7">
        <f>COUNTIFS('All Clinics'!$I:$I,$A21,'All Clinics'!$B:$B,"Chiropractic")</f>
        <v>21</v>
      </c>
      <c r="D21" s="7">
        <f>COUNTIFS('All Clinics'!$I:$I,$A21,'All Clinics'!$B:$B,"Physical Therapy")</f>
        <v>11</v>
      </c>
      <c r="E21" s="7">
        <f>COUNTIFS('All Clinics'!$I:$I,$A21,'All Clinics'!$B:$B,"Imaging")</f>
        <v>0</v>
      </c>
      <c r="F21" s="7">
        <f>COUNTIFS('All Clinics'!$I:$I,$A21,'All Clinics'!$B:$B,"TMJ Specialists")</f>
        <v>1</v>
      </c>
      <c r="G21" s="7">
        <f>COUNTIFS('All Clinics'!$I:$I,$A21,'All Clinics'!$B:$B,"Oral Surgery")</f>
        <v>2</v>
      </c>
      <c r="H21" s="9">
        <f t="shared" si="0"/>
        <v>37</v>
      </c>
    </row>
    <row r="22" spans="1:10" x14ac:dyDescent="0.3">
      <c r="A22" s="6" t="s">
        <v>28</v>
      </c>
      <c r="B22" s="7">
        <f>COUNTIFS('All Clinics'!$I:$I,$A22,'All Clinics'!$B:$B,"Injury Physicians")</f>
        <v>10</v>
      </c>
      <c r="C22" s="7">
        <f>COUNTIFS('All Clinics'!$I:$I,$A22,'All Clinics'!$B:$B,"Chiropractic")</f>
        <v>39</v>
      </c>
      <c r="D22" s="7">
        <f>COUNTIFS('All Clinics'!$I:$I,$A22,'All Clinics'!$B:$B,"Physical Therapy")</f>
        <v>27</v>
      </c>
      <c r="E22" s="7">
        <f>COUNTIFS('All Clinics'!$I:$I,$A22,'All Clinics'!$B:$B,"Imaging")</f>
        <v>0</v>
      </c>
      <c r="F22" s="7">
        <f>COUNTIFS('All Clinics'!$I:$I,$A22,'All Clinics'!$B:$B,"TMJ Specialists")</f>
        <v>0</v>
      </c>
      <c r="G22" s="7">
        <f>COUNTIFS('All Clinics'!$I:$I,$A22,'All Clinics'!$B:$B,"Oral Surgery")</f>
        <v>6</v>
      </c>
      <c r="H22" s="9">
        <f t="shared" si="0"/>
        <v>82</v>
      </c>
    </row>
    <row r="23" spans="1:10" x14ac:dyDescent="0.3">
      <c r="A23" s="6" t="s">
        <v>29</v>
      </c>
      <c r="B23" s="7">
        <f>COUNTIFS('All Clinics'!$I:$I,$A23,'All Clinics'!$B:$B,"Injury Physicians")</f>
        <v>2</v>
      </c>
      <c r="C23" s="7">
        <f>COUNTIFS('All Clinics'!$I:$I,$A23,'All Clinics'!$B:$B,"Chiropractic")</f>
        <v>7</v>
      </c>
      <c r="D23" s="7">
        <f>COUNTIFS('All Clinics'!$I:$I,$A23,'All Clinics'!$B:$B,"Physical Therapy")</f>
        <v>6</v>
      </c>
      <c r="E23" s="7">
        <f>COUNTIFS('All Clinics'!$I:$I,$A23,'All Clinics'!$B:$B,"Imaging")</f>
        <v>0</v>
      </c>
      <c r="F23" s="7">
        <f>COUNTIFS('All Clinics'!$I:$I,$A23,'All Clinics'!$B:$B,"TMJ Specialists")</f>
        <v>0</v>
      </c>
      <c r="G23" s="7">
        <f>COUNTIFS('All Clinics'!$I:$I,$A23,'All Clinics'!$B:$B,"Oral Surgery")</f>
        <v>0</v>
      </c>
      <c r="H23" s="9">
        <f t="shared" si="0"/>
        <v>15</v>
      </c>
    </row>
    <row r="24" spans="1:10" x14ac:dyDescent="0.3">
      <c r="A24" s="6" t="s">
        <v>30</v>
      </c>
      <c r="B24" s="7">
        <f>COUNTIFS('All Clinics'!$I:$I,$A24,'All Clinics'!$B:$B,"Injury Physicians")</f>
        <v>6</v>
      </c>
      <c r="C24" s="7">
        <f>COUNTIFS('All Clinics'!$I:$I,$A24,'All Clinics'!$B:$B,"Chiropractic")</f>
        <v>18</v>
      </c>
      <c r="D24" s="7">
        <f>COUNTIFS('All Clinics'!$I:$I,$A24,'All Clinics'!$B:$B,"Physical Therapy")</f>
        <v>16</v>
      </c>
      <c r="E24" s="7">
        <f>COUNTIFS('All Clinics'!$I:$I,$A24,'All Clinics'!$B:$B,"Imaging")</f>
        <v>1</v>
      </c>
      <c r="F24" s="7">
        <f>COUNTIFS('All Clinics'!$I:$I,$A24,'All Clinics'!$B:$B,"TMJ Specialists")</f>
        <v>1</v>
      </c>
      <c r="G24" s="7">
        <f>COUNTIFS('All Clinics'!$I:$I,$A24,'All Clinics'!$B:$B,"Oral Surgery")</f>
        <v>3</v>
      </c>
      <c r="H24" s="9">
        <f t="shared" si="0"/>
        <v>45</v>
      </c>
    </row>
    <row r="25" spans="1:10" x14ac:dyDescent="0.3">
      <c r="A25" s="6" t="s">
        <v>31</v>
      </c>
      <c r="B25" s="7">
        <f>COUNTIFS('All Clinics'!$I:$I,$A25,'All Clinics'!$B:$B,"Injury Physicians")</f>
        <v>7</v>
      </c>
      <c r="C25" s="7">
        <f>COUNTIFS('All Clinics'!$I:$I,$A25,'All Clinics'!$B:$B,"Chiropractic")</f>
        <v>23</v>
      </c>
      <c r="D25" s="7">
        <f>COUNTIFS('All Clinics'!$I:$I,$A25,'All Clinics'!$B:$B,"Physical Therapy")</f>
        <v>6</v>
      </c>
      <c r="E25" s="7">
        <f>COUNTIFS('All Clinics'!$I:$I,$A25,'All Clinics'!$B:$B,"Imaging")</f>
        <v>0</v>
      </c>
      <c r="F25" s="7">
        <f>COUNTIFS('All Clinics'!$I:$I,$A25,'All Clinics'!$B:$B,"TMJ Specialists")</f>
        <v>1</v>
      </c>
      <c r="G25" s="7">
        <f>COUNTIFS('All Clinics'!$I:$I,$A25,'All Clinics'!$B:$B,"Oral Surgery")</f>
        <v>1</v>
      </c>
      <c r="H25" s="9">
        <f t="shared" si="0"/>
        <v>38</v>
      </c>
    </row>
    <row r="26" spans="1:10" x14ac:dyDescent="0.3">
      <c r="A26" s="6" t="s">
        <v>32</v>
      </c>
      <c r="B26" s="7">
        <f>COUNTIFS('All Clinics'!$I:$I,$A26,'All Clinics'!$B:$B,"Injury Physicians")</f>
        <v>7</v>
      </c>
      <c r="C26" s="7">
        <f>COUNTIFS('All Clinics'!$I:$I,$A26,'All Clinics'!$B:$B,"Chiropractic")</f>
        <v>28</v>
      </c>
      <c r="D26" s="7">
        <f>COUNTIFS('All Clinics'!$I:$I,$A26,'All Clinics'!$B:$B,"Physical Therapy")</f>
        <v>23</v>
      </c>
      <c r="E26" s="7">
        <f>COUNTIFS('All Clinics'!$I:$I,$A26,'All Clinics'!$B:$B,"Imaging")</f>
        <v>0</v>
      </c>
      <c r="F26" s="7">
        <f>COUNTIFS('All Clinics'!$I:$I,$A26,'All Clinics'!$B:$B,"TMJ Specialists")</f>
        <v>3</v>
      </c>
      <c r="G26" s="7">
        <f>COUNTIFS('All Clinics'!$I:$I,$A26,'All Clinics'!$B:$B,"Oral Surgery")</f>
        <v>2</v>
      </c>
      <c r="H26" s="9">
        <f t="shared" si="0"/>
        <v>63</v>
      </c>
    </row>
    <row r="27" spans="1:10" x14ac:dyDescent="0.3">
      <c r="A27" s="6" t="s">
        <v>33</v>
      </c>
      <c r="B27" s="7">
        <f>COUNTIFS('All Clinics'!$I:$I,$A27,'All Clinics'!$B:$B,"Injury Physicians")</f>
        <v>8</v>
      </c>
      <c r="C27" s="7">
        <f>COUNTIFS('All Clinics'!$I:$I,$A27,'All Clinics'!$B:$B,"Chiropractic")</f>
        <v>16</v>
      </c>
      <c r="D27" s="7">
        <f>COUNTIFS('All Clinics'!$I:$I,$A27,'All Clinics'!$B:$B,"Physical Therapy")</f>
        <v>7</v>
      </c>
      <c r="E27" s="7">
        <f>COUNTIFS('All Clinics'!$I:$I,$A27,'All Clinics'!$B:$B,"Imaging")</f>
        <v>0</v>
      </c>
      <c r="F27" s="7">
        <f>COUNTIFS('All Clinics'!$I:$I,$A27,'All Clinics'!$B:$B,"TMJ Specialists")</f>
        <v>0</v>
      </c>
      <c r="G27" s="7">
        <f>COUNTIFS('All Clinics'!$I:$I,$A27,'All Clinics'!$B:$B,"Oral Surgery")</f>
        <v>1</v>
      </c>
      <c r="H27" s="9">
        <f t="shared" si="0"/>
        <v>32</v>
      </c>
    </row>
    <row r="28" spans="1:10" x14ac:dyDescent="0.3">
      <c r="A28" s="6" t="s">
        <v>25</v>
      </c>
      <c r="B28" s="9">
        <f t="shared" ref="B28:H28" si="1">SUM(B20:B27)</f>
        <v>151</v>
      </c>
      <c r="C28" s="9">
        <f t="shared" si="1"/>
        <v>431</v>
      </c>
      <c r="D28" s="9">
        <f t="shared" si="1"/>
        <v>262</v>
      </c>
      <c r="E28" s="9">
        <f t="shared" si="1"/>
        <v>11</v>
      </c>
      <c r="F28" s="9">
        <f t="shared" si="1"/>
        <v>33</v>
      </c>
      <c r="G28" s="9">
        <f t="shared" si="1"/>
        <v>65</v>
      </c>
      <c r="H28" s="9">
        <f t="shared" si="1"/>
        <v>953</v>
      </c>
    </row>
    <row r="30" spans="1:10" x14ac:dyDescent="0.3">
      <c r="A30" s="3" t="s">
        <v>34</v>
      </c>
    </row>
    <row r="31" spans="1:10" ht="30" customHeight="1" x14ac:dyDescent="0.3">
      <c r="A31" s="4" t="s">
        <v>35</v>
      </c>
      <c r="B31" s="5" t="s">
        <v>24</v>
      </c>
      <c r="C31" s="5" t="s">
        <v>10</v>
      </c>
      <c r="D31" s="5" t="s">
        <v>12</v>
      </c>
      <c r="E31" s="5" t="s">
        <v>14</v>
      </c>
      <c r="F31" s="5" t="s">
        <v>16</v>
      </c>
      <c r="G31" s="5" t="s">
        <v>18</v>
      </c>
      <c r="H31" s="5" t="s">
        <v>20</v>
      </c>
      <c r="I31" s="5" t="s">
        <v>25</v>
      </c>
      <c r="J31" s="5" t="s">
        <v>8</v>
      </c>
    </row>
    <row r="32" spans="1:10" x14ac:dyDescent="0.3">
      <c r="A32" s="6" t="s">
        <v>36</v>
      </c>
      <c r="B32" s="10" t="s">
        <v>26</v>
      </c>
      <c r="C32" s="7">
        <f>COUNTIFS('All Clinics'!$H:$H,$A32,'All Clinics'!$B:$B,"Injury Physicians")</f>
        <v>50</v>
      </c>
      <c r="D32" s="7">
        <f>COUNTIFS('All Clinics'!$H:$H,$A32,'All Clinics'!$B:$B,"Chiropractic")</f>
        <v>108</v>
      </c>
      <c r="E32" s="7">
        <f>COUNTIFS('All Clinics'!$H:$H,$A32,'All Clinics'!$B:$B,"Physical Therapy")</f>
        <v>68</v>
      </c>
      <c r="F32" s="7">
        <f>COUNTIFS('All Clinics'!$H:$H,$A32,'All Clinics'!$B:$B,"Imaging")</f>
        <v>6</v>
      </c>
      <c r="G32" s="7">
        <f>COUNTIFS('All Clinics'!$H:$H,$A32,'All Clinics'!$B:$B,"TMJ Specialists")</f>
        <v>11</v>
      </c>
      <c r="H32" s="7">
        <f>COUNTIFS('All Clinics'!$H:$H,$A32,'All Clinics'!$B:$B,"Oral Surgery")</f>
        <v>16</v>
      </c>
      <c r="I32" s="9">
        <f t="shared" ref="I32:I63" si="2">SUM(C32:H32)</f>
        <v>259</v>
      </c>
      <c r="J32" s="7">
        <f>COUNTIF('Older Entries'!$H:$H,$A32)</f>
        <v>630</v>
      </c>
    </row>
    <row r="33" spans="1:10" x14ac:dyDescent="0.3">
      <c r="A33" s="6" t="s">
        <v>37</v>
      </c>
      <c r="B33" s="10" t="s">
        <v>26</v>
      </c>
      <c r="C33" s="7">
        <f>COUNTIFS('All Clinics'!$H:$H,$A33,'All Clinics'!$B:$B,"Injury Physicians")</f>
        <v>22</v>
      </c>
      <c r="D33" s="7">
        <f>COUNTIFS('All Clinics'!$H:$H,$A33,'All Clinics'!$B:$B,"Chiropractic")</f>
        <v>39</v>
      </c>
      <c r="E33" s="7">
        <f>COUNTIFS('All Clinics'!$H:$H,$A33,'All Clinics'!$B:$B,"Physical Therapy")</f>
        <v>23</v>
      </c>
      <c r="F33" s="7">
        <f>COUNTIFS('All Clinics'!$H:$H,$A33,'All Clinics'!$B:$B,"Imaging")</f>
        <v>3</v>
      </c>
      <c r="G33" s="7">
        <f>COUNTIFS('All Clinics'!$H:$H,$A33,'All Clinics'!$B:$B,"TMJ Specialists")</f>
        <v>4</v>
      </c>
      <c r="H33" s="7">
        <f>COUNTIFS('All Clinics'!$H:$H,$A33,'All Clinics'!$B:$B,"Oral Surgery")</f>
        <v>8</v>
      </c>
      <c r="I33" s="9">
        <f t="shared" si="2"/>
        <v>99</v>
      </c>
      <c r="J33" s="7">
        <f>COUNTIF('Older Entries'!$H:$H,$A33)</f>
        <v>252</v>
      </c>
    </row>
    <row r="34" spans="1:10" x14ac:dyDescent="0.3">
      <c r="A34" s="6" t="s">
        <v>38</v>
      </c>
      <c r="B34" s="10" t="s">
        <v>26</v>
      </c>
      <c r="C34" s="7">
        <f>COUNTIFS('All Clinics'!$H:$H,$A34,'All Clinics'!$B:$B,"Injury Physicians")</f>
        <v>10</v>
      </c>
      <c r="D34" s="7">
        <f>COUNTIFS('All Clinics'!$H:$H,$A34,'All Clinics'!$B:$B,"Chiropractic")</f>
        <v>45</v>
      </c>
      <c r="E34" s="7">
        <f>COUNTIFS('All Clinics'!$H:$H,$A34,'All Clinics'!$B:$B,"Physical Therapy")</f>
        <v>27</v>
      </c>
      <c r="F34" s="7">
        <f>COUNTIFS('All Clinics'!$H:$H,$A34,'All Clinics'!$B:$B,"Imaging")</f>
        <v>0</v>
      </c>
      <c r="G34" s="7">
        <f>COUNTIFS('All Clinics'!$H:$H,$A34,'All Clinics'!$B:$B,"TMJ Specialists")</f>
        <v>2</v>
      </c>
      <c r="H34" s="7">
        <f>COUNTIFS('All Clinics'!$H:$H,$A34,'All Clinics'!$B:$B,"Oral Surgery")</f>
        <v>7</v>
      </c>
      <c r="I34" s="9">
        <f t="shared" si="2"/>
        <v>91</v>
      </c>
      <c r="J34" s="7">
        <f>COUNTIF('Older Entries'!$H:$H,$A34)</f>
        <v>159</v>
      </c>
    </row>
    <row r="35" spans="1:10" x14ac:dyDescent="0.3">
      <c r="A35" s="6" t="s">
        <v>39</v>
      </c>
      <c r="B35" s="10" t="s">
        <v>26</v>
      </c>
      <c r="C35" s="7">
        <f>COUNTIFS('All Clinics'!$H:$H,$A35,'All Clinics'!$B:$B,"Injury Physicians")</f>
        <v>10</v>
      </c>
      <c r="D35" s="7">
        <f>COUNTIFS('All Clinics'!$H:$H,$A35,'All Clinics'!$B:$B,"Chiropractic")</f>
        <v>25</v>
      </c>
      <c r="E35" s="7">
        <f>COUNTIFS('All Clinics'!$H:$H,$A35,'All Clinics'!$B:$B,"Physical Therapy")</f>
        <v>15</v>
      </c>
      <c r="F35" s="7">
        <f>COUNTIFS('All Clinics'!$H:$H,$A35,'All Clinics'!$B:$B,"Imaging")</f>
        <v>0</v>
      </c>
      <c r="G35" s="7">
        <f>COUNTIFS('All Clinics'!$H:$H,$A35,'All Clinics'!$B:$B,"TMJ Specialists")</f>
        <v>5</v>
      </c>
      <c r="H35" s="7">
        <f>COUNTIFS('All Clinics'!$H:$H,$A35,'All Clinics'!$B:$B,"Oral Surgery")</f>
        <v>6</v>
      </c>
      <c r="I35" s="9">
        <f t="shared" si="2"/>
        <v>61</v>
      </c>
      <c r="J35" s="7">
        <f>COUNTIF('Older Entries'!$H:$H,$A35)</f>
        <v>112</v>
      </c>
    </row>
    <row r="36" spans="1:10" x14ac:dyDescent="0.3">
      <c r="A36" s="6" t="s">
        <v>40</v>
      </c>
      <c r="B36" s="10" t="s">
        <v>26</v>
      </c>
      <c r="C36" s="7">
        <f>COUNTIFS('All Clinics'!$H:$H,$A36,'All Clinics'!$B:$B,"Injury Physicians")</f>
        <v>8</v>
      </c>
      <c r="D36" s="7">
        <f>COUNTIFS('All Clinics'!$H:$H,$A36,'All Clinics'!$B:$B,"Chiropractic")</f>
        <v>22</v>
      </c>
      <c r="E36" s="7">
        <f>COUNTIFS('All Clinics'!$H:$H,$A36,'All Clinics'!$B:$B,"Physical Therapy")</f>
        <v>13</v>
      </c>
      <c r="F36" s="7">
        <f>COUNTIFS('All Clinics'!$H:$H,$A36,'All Clinics'!$B:$B,"Imaging")</f>
        <v>0</v>
      </c>
      <c r="G36" s="7">
        <f>COUNTIFS('All Clinics'!$H:$H,$A36,'All Clinics'!$B:$B,"TMJ Specialists")</f>
        <v>1</v>
      </c>
      <c r="H36" s="7">
        <f>COUNTIFS('All Clinics'!$H:$H,$A36,'All Clinics'!$B:$B,"Oral Surgery")</f>
        <v>6</v>
      </c>
      <c r="I36" s="9">
        <f t="shared" si="2"/>
        <v>50</v>
      </c>
      <c r="J36" s="7">
        <f>COUNTIF('Older Entries'!$H:$H,$A36)</f>
        <v>88</v>
      </c>
    </row>
    <row r="37" spans="1:10" x14ac:dyDescent="0.3">
      <c r="A37" s="6" t="s">
        <v>41</v>
      </c>
      <c r="B37" s="10" t="s">
        <v>28</v>
      </c>
      <c r="C37" s="7">
        <f>COUNTIFS('All Clinics'!$H:$H,$A37,'All Clinics'!$B:$B,"Injury Physicians")</f>
        <v>7</v>
      </c>
      <c r="D37" s="7">
        <f>COUNTIFS('All Clinics'!$H:$H,$A37,'All Clinics'!$B:$B,"Chiropractic")</f>
        <v>9</v>
      </c>
      <c r="E37" s="7">
        <f>COUNTIFS('All Clinics'!$H:$H,$A37,'All Clinics'!$B:$B,"Physical Therapy")</f>
        <v>14</v>
      </c>
      <c r="F37" s="7">
        <f>COUNTIFS('All Clinics'!$H:$H,$A37,'All Clinics'!$B:$B,"Imaging")</f>
        <v>0</v>
      </c>
      <c r="G37" s="7">
        <f>COUNTIFS('All Clinics'!$H:$H,$A37,'All Clinics'!$B:$B,"TMJ Specialists")</f>
        <v>0</v>
      </c>
      <c r="H37" s="7">
        <f>COUNTIFS('All Clinics'!$H:$H,$A37,'All Clinics'!$B:$B,"Oral Surgery")</f>
        <v>4</v>
      </c>
      <c r="I37" s="9">
        <f t="shared" si="2"/>
        <v>34</v>
      </c>
      <c r="J37" s="7">
        <f>COUNTIF('Older Entries'!$H:$H,$A37)</f>
        <v>54</v>
      </c>
    </row>
    <row r="38" spans="1:10" x14ac:dyDescent="0.3">
      <c r="A38" s="6" t="s">
        <v>42</v>
      </c>
      <c r="B38" s="10" t="s">
        <v>32</v>
      </c>
      <c r="C38" s="7">
        <f>COUNTIFS('All Clinics'!$H:$H,$A38,'All Clinics'!$B:$B,"Injury Physicians")</f>
        <v>4</v>
      </c>
      <c r="D38" s="7">
        <f>COUNTIFS('All Clinics'!$H:$H,$A38,'All Clinics'!$B:$B,"Chiropractic")</f>
        <v>9</v>
      </c>
      <c r="E38" s="7">
        <f>COUNTIFS('All Clinics'!$H:$H,$A38,'All Clinics'!$B:$B,"Physical Therapy")</f>
        <v>9</v>
      </c>
      <c r="F38" s="7">
        <f>COUNTIFS('All Clinics'!$H:$H,$A38,'All Clinics'!$B:$B,"Imaging")</f>
        <v>0</v>
      </c>
      <c r="G38" s="7">
        <f>COUNTIFS('All Clinics'!$H:$H,$A38,'All Clinics'!$B:$B,"TMJ Specialists")</f>
        <v>3</v>
      </c>
      <c r="H38" s="7">
        <f>COUNTIFS('All Clinics'!$H:$H,$A38,'All Clinics'!$B:$B,"Oral Surgery")</f>
        <v>2</v>
      </c>
      <c r="I38" s="9">
        <f t="shared" si="2"/>
        <v>27</v>
      </c>
      <c r="J38" s="7">
        <f>COUNTIF('Older Entries'!$H:$H,$A38)</f>
        <v>35</v>
      </c>
    </row>
    <row r="39" spans="1:10" x14ac:dyDescent="0.3">
      <c r="A39" s="6" t="s">
        <v>43</v>
      </c>
      <c r="B39" s="10" t="s">
        <v>26</v>
      </c>
      <c r="C39" s="7">
        <f>COUNTIFS('All Clinics'!$H:$H,$A39,'All Clinics'!$B:$B,"Injury Physicians")</f>
        <v>1</v>
      </c>
      <c r="D39" s="7">
        <f>COUNTIFS('All Clinics'!$H:$H,$A39,'All Clinics'!$B:$B,"Chiropractic")</f>
        <v>12</v>
      </c>
      <c r="E39" s="7">
        <f>COUNTIFS('All Clinics'!$H:$H,$A39,'All Clinics'!$B:$B,"Physical Therapy")</f>
        <v>8</v>
      </c>
      <c r="F39" s="7">
        <f>COUNTIFS('All Clinics'!$H:$H,$A39,'All Clinics'!$B:$B,"Imaging")</f>
        <v>0</v>
      </c>
      <c r="G39" s="7">
        <f>COUNTIFS('All Clinics'!$H:$H,$A39,'All Clinics'!$B:$B,"TMJ Specialists")</f>
        <v>2</v>
      </c>
      <c r="H39" s="7">
        <f>COUNTIFS('All Clinics'!$H:$H,$A39,'All Clinics'!$B:$B,"Oral Surgery")</f>
        <v>2</v>
      </c>
      <c r="I39" s="9">
        <f t="shared" si="2"/>
        <v>25</v>
      </c>
      <c r="J39" s="7">
        <f>COUNTIF('Older Entries'!$H:$H,$A39)</f>
        <v>49</v>
      </c>
    </row>
    <row r="40" spans="1:10" x14ac:dyDescent="0.3">
      <c r="A40" s="6" t="s">
        <v>44</v>
      </c>
      <c r="B40" s="10" t="s">
        <v>27</v>
      </c>
      <c r="C40" s="7">
        <f>COUNTIFS('All Clinics'!$H:$H,$A40,'All Clinics'!$B:$B,"Injury Physicians")</f>
        <v>2</v>
      </c>
      <c r="D40" s="7">
        <f>COUNTIFS('All Clinics'!$H:$H,$A40,'All Clinics'!$B:$B,"Chiropractic")</f>
        <v>8</v>
      </c>
      <c r="E40" s="7">
        <f>COUNTIFS('All Clinics'!$H:$H,$A40,'All Clinics'!$B:$B,"Physical Therapy")</f>
        <v>8</v>
      </c>
      <c r="F40" s="7">
        <f>COUNTIFS('All Clinics'!$H:$H,$A40,'All Clinics'!$B:$B,"Imaging")</f>
        <v>0</v>
      </c>
      <c r="G40" s="7">
        <f>COUNTIFS('All Clinics'!$H:$H,$A40,'All Clinics'!$B:$B,"TMJ Specialists")</f>
        <v>1</v>
      </c>
      <c r="H40" s="7">
        <f>COUNTIFS('All Clinics'!$H:$H,$A40,'All Clinics'!$B:$B,"Oral Surgery")</f>
        <v>2</v>
      </c>
      <c r="I40" s="9">
        <f t="shared" si="2"/>
        <v>21</v>
      </c>
      <c r="J40" s="7">
        <f>COUNTIF('Older Entries'!$H:$H,$A40)</f>
        <v>73</v>
      </c>
    </row>
    <row r="41" spans="1:10" x14ac:dyDescent="0.3">
      <c r="A41" s="6" t="s">
        <v>45</v>
      </c>
      <c r="B41" s="10" t="s">
        <v>30</v>
      </c>
      <c r="C41" s="7">
        <f>COUNTIFS('All Clinics'!$H:$H,$A41,'All Clinics'!$B:$B,"Injury Physicians")</f>
        <v>5</v>
      </c>
      <c r="D41" s="7">
        <f>COUNTIFS('All Clinics'!$H:$H,$A41,'All Clinics'!$B:$B,"Chiropractic")</f>
        <v>6</v>
      </c>
      <c r="E41" s="7">
        <f>COUNTIFS('All Clinics'!$H:$H,$A41,'All Clinics'!$B:$B,"Physical Therapy")</f>
        <v>7</v>
      </c>
      <c r="F41" s="7">
        <f>COUNTIFS('All Clinics'!$H:$H,$A41,'All Clinics'!$B:$B,"Imaging")</f>
        <v>1</v>
      </c>
      <c r="G41" s="7">
        <f>COUNTIFS('All Clinics'!$H:$H,$A41,'All Clinics'!$B:$B,"TMJ Specialists")</f>
        <v>0</v>
      </c>
      <c r="H41" s="7">
        <f>COUNTIFS('All Clinics'!$H:$H,$A41,'All Clinics'!$B:$B,"Oral Surgery")</f>
        <v>1</v>
      </c>
      <c r="I41" s="9">
        <f t="shared" si="2"/>
        <v>20</v>
      </c>
      <c r="J41" s="7">
        <f>COUNTIF('Older Entries'!$H:$H,$A41)</f>
        <v>16</v>
      </c>
    </row>
    <row r="42" spans="1:10" x14ac:dyDescent="0.3">
      <c r="A42" s="6" t="s">
        <v>46</v>
      </c>
      <c r="B42" s="10" t="s">
        <v>26</v>
      </c>
      <c r="C42" s="7">
        <f>COUNTIFS('All Clinics'!$H:$H,$A42,'All Clinics'!$B:$B,"Injury Physicians")</f>
        <v>2</v>
      </c>
      <c r="D42" s="7">
        <f>COUNTIFS('All Clinics'!$H:$H,$A42,'All Clinics'!$B:$B,"Chiropractic")</f>
        <v>9</v>
      </c>
      <c r="E42" s="7">
        <f>COUNTIFS('All Clinics'!$H:$H,$A42,'All Clinics'!$B:$B,"Physical Therapy")</f>
        <v>5</v>
      </c>
      <c r="F42" s="7">
        <f>COUNTIFS('All Clinics'!$H:$H,$A42,'All Clinics'!$B:$B,"Imaging")</f>
        <v>1</v>
      </c>
      <c r="G42" s="7">
        <f>COUNTIFS('All Clinics'!$H:$H,$A42,'All Clinics'!$B:$B,"TMJ Specialists")</f>
        <v>0</v>
      </c>
      <c r="H42" s="7">
        <f>COUNTIFS('All Clinics'!$H:$H,$A42,'All Clinics'!$B:$B,"Oral Surgery")</f>
        <v>1</v>
      </c>
      <c r="I42" s="9">
        <f t="shared" si="2"/>
        <v>18</v>
      </c>
      <c r="J42" s="7">
        <f>COUNTIF('Older Entries'!$H:$H,$A42)</f>
        <v>38</v>
      </c>
    </row>
    <row r="43" spans="1:10" x14ac:dyDescent="0.3">
      <c r="A43" s="6" t="s">
        <v>47</v>
      </c>
      <c r="B43" s="10" t="s">
        <v>26</v>
      </c>
      <c r="C43" s="7">
        <f>COUNTIFS('All Clinics'!$H:$H,$A43,'All Clinics'!$B:$B,"Injury Physicians")</f>
        <v>1</v>
      </c>
      <c r="D43" s="7">
        <f>COUNTIFS('All Clinics'!$H:$H,$A43,'All Clinics'!$B:$B,"Chiropractic")</f>
        <v>9</v>
      </c>
      <c r="E43" s="7">
        <f>COUNTIFS('All Clinics'!$H:$H,$A43,'All Clinics'!$B:$B,"Physical Therapy")</f>
        <v>3</v>
      </c>
      <c r="F43" s="7">
        <f>COUNTIFS('All Clinics'!$H:$H,$A43,'All Clinics'!$B:$B,"Imaging")</f>
        <v>0</v>
      </c>
      <c r="G43" s="7">
        <f>COUNTIFS('All Clinics'!$H:$H,$A43,'All Clinics'!$B:$B,"TMJ Specialists")</f>
        <v>2</v>
      </c>
      <c r="H43" s="7">
        <f>COUNTIFS('All Clinics'!$H:$H,$A43,'All Clinics'!$B:$B,"Oral Surgery")</f>
        <v>2</v>
      </c>
      <c r="I43" s="9">
        <f t="shared" si="2"/>
        <v>17</v>
      </c>
      <c r="J43" s="7">
        <f>COUNTIF('Older Entries'!$H:$H,$A43)</f>
        <v>61</v>
      </c>
    </row>
    <row r="44" spans="1:10" x14ac:dyDescent="0.3">
      <c r="A44" s="6" t="s">
        <v>48</v>
      </c>
      <c r="B44" s="10" t="s">
        <v>30</v>
      </c>
      <c r="C44" s="7">
        <f>COUNTIFS('All Clinics'!$H:$H,$A44,'All Clinics'!$B:$B,"Injury Physicians")</f>
        <v>1</v>
      </c>
      <c r="D44" s="7">
        <f>COUNTIFS('All Clinics'!$H:$H,$A44,'All Clinics'!$B:$B,"Chiropractic")</f>
        <v>5</v>
      </c>
      <c r="E44" s="7">
        <f>COUNTIFS('All Clinics'!$H:$H,$A44,'All Clinics'!$B:$B,"Physical Therapy")</f>
        <v>4</v>
      </c>
      <c r="F44" s="7">
        <f>COUNTIFS('All Clinics'!$H:$H,$A44,'All Clinics'!$B:$B,"Imaging")</f>
        <v>0</v>
      </c>
      <c r="G44" s="7">
        <f>COUNTIFS('All Clinics'!$H:$H,$A44,'All Clinics'!$B:$B,"TMJ Specialists")</f>
        <v>1</v>
      </c>
      <c r="H44" s="7">
        <f>COUNTIFS('All Clinics'!$H:$H,$A44,'All Clinics'!$B:$B,"Oral Surgery")</f>
        <v>2</v>
      </c>
      <c r="I44" s="9">
        <f t="shared" si="2"/>
        <v>13</v>
      </c>
      <c r="J44" s="7">
        <f>COUNTIF('Older Entries'!$H:$H,$A44)</f>
        <v>25</v>
      </c>
    </row>
    <row r="45" spans="1:10" x14ac:dyDescent="0.3">
      <c r="A45" s="6" t="s">
        <v>49</v>
      </c>
      <c r="B45" s="10" t="s">
        <v>28</v>
      </c>
      <c r="C45" s="7">
        <f>COUNTIFS('All Clinics'!$H:$H,$A45,'All Clinics'!$B:$B,"Injury Physicians")</f>
        <v>3</v>
      </c>
      <c r="D45" s="7">
        <f>COUNTIFS('All Clinics'!$H:$H,$A45,'All Clinics'!$B:$B,"Chiropractic")</f>
        <v>7</v>
      </c>
      <c r="E45" s="7">
        <f>COUNTIFS('All Clinics'!$H:$H,$A45,'All Clinics'!$B:$B,"Physical Therapy")</f>
        <v>2</v>
      </c>
      <c r="F45" s="7">
        <f>COUNTIFS('All Clinics'!$H:$H,$A45,'All Clinics'!$B:$B,"Imaging")</f>
        <v>0</v>
      </c>
      <c r="G45" s="7">
        <f>COUNTIFS('All Clinics'!$H:$H,$A45,'All Clinics'!$B:$B,"TMJ Specialists")</f>
        <v>0</v>
      </c>
      <c r="H45" s="7">
        <f>COUNTIFS('All Clinics'!$H:$H,$A45,'All Clinics'!$B:$B,"Oral Surgery")</f>
        <v>0</v>
      </c>
      <c r="I45" s="9">
        <f t="shared" si="2"/>
        <v>12</v>
      </c>
      <c r="J45" s="7">
        <f>COUNTIF('Older Entries'!$H:$H,$A45)</f>
        <v>18</v>
      </c>
    </row>
    <row r="46" spans="1:10" x14ac:dyDescent="0.3">
      <c r="A46" s="6" t="s">
        <v>50</v>
      </c>
      <c r="B46" s="10" t="s">
        <v>31</v>
      </c>
      <c r="C46" s="7">
        <f>COUNTIFS('All Clinics'!$H:$H,$A46,'All Clinics'!$B:$B,"Injury Physicians")</f>
        <v>2</v>
      </c>
      <c r="D46" s="7">
        <f>COUNTIFS('All Clinics'!$H:$H,$A46,'All Clinics'!$B:$B,"Chiropractic")</f>
        <v>8</v>
      </c>
      <c r="E46" s="7">
        <f>COUNTIFS('All Clinics'!$H:$H,$A46,'All Clinics'!$B:$B,"Physical Therapy")</f>
        <v>0</v>
      </c>
      <c r="F46" s="7">
        <f>COUNTIFS('All Clinics'!$H:$H,$A46,'All Clinics'!$B:$B,"Imaging")</f>
        <v>0</v>
      </c>
      <c r="G46" s="7">
        <f>COUNTIFS('All Clinics'!$H:$H,$A46,'All Clinics'!$B:$B,"TMJ Specialists")</f>
        <v>1</v>
      </c>
      <c r="H46" s="7">
        <f>COUNTIFS('All Clinics'!$H:$H,$A46,'All Clinics'!$B:$B,"Oral Surgery")</f>
        <v>1</v>
      </c>
      <c r="I46" s="9">
        <f t="shared" si="2"/>
        <v>12</v>
      </c>
      <c r="J46" s="7">
        <f>COUNTIF('Older Entries'!$H:$H,$A46)</f>
        <v>26</v>
      </c>
    </row>
    <row r="47" spans="1:10" x14ac:dyDescent="0.3">
      <c r="A47" s="6" t="s">
        <v>51</v>
      </c>
      <c r="B47" s="10" t="s">
        <v>28</v>
      </c>
      <c r="C47" s="7">
        <f>COUNTIFS('All Clinics'!$H:$H,$A47,'All Clinics'!$B:$B,"Injury Physicians")</f>
        <v>0</v>
      </c>
      <c r="D47" s="7">
        <f>COUNTIFS('All Clinics'!$H:$H,$A47,'All Clinics'!$B:$B,"Chiropractic")</f>
        <v>8</v>
      </c>
      <c r="E47" s="7">
        <f>COUNTIFS('All Clinics'!$H:$H,$A47,'All Clinics'!$B:$B,"Physical Therapy")</f>
        <v>2</v>
      </c>
      <c r="F47" s="7">
        <f>COUNTIFS('All Clinics'!$H:$H,$A47,'All Clinics'!$B:$B,"Imaging")</f>
        <v>0</v>
      </c>
      <c r="G47" s="7">
        <f>COUNTIFS('All Clinics'!$H:$H,$A47,'All Clinics'!$B:$B,"TMJ Specialists")</f>
        <v>0</v>
      </c>
      <c r="H47" s="7">
        <f>COUNTIFS('All Clinics'!$H:$H,$A47,'All Clinics'!$B:$B,"Oral Surgery")</f>
        <v>1</v>
      </c>
      <c r="I47" s="9">
        <f t="shared" si="2"/>
        <v>11</v>
      </c>
      <c r="J47" s="7">
        <f>COUNTIF('Older Entries'!$H:$H,$A47)</f>
        <v>22</v>
      </c>
    </row>
    <row r="48" spans="1:10" x14ac:dyDescent="0.3">
      <c r="A48" s="6" t="s">
        <v>52</v>
      </c>
      <c r="B48" s="10" t="s">
        <v>26</v>
      </c>
      <c r="C48" s="7">
        <f>COUNTIFS('All Clinics'!$H:$H,$A48,'All Clinics'!$B:$B,"Injury Physicians")</f>
        <v>1</v>
      </c>
      <c r="D48" s="7">
        <f>COUNTIFS('All Clinics'!$H:$H,$A48,'All Clinics'!$B:$B,"Chiropractic")</f>
        <v>5</v>
      </c>
      <c r="E48" s="7">
        <f>COUNTIFS('All Clinics'!$H:$H,$A48,'All Clinics'!$B:$B,"Physical Therapy")</f>
        <v>4</v>
      </c>
      <c r="F48" s="7">
        <f>COUNTIFS('All Clinics'!$H:$H,$A48,'All Clinics'!$B:$B,"Imaging")</f>
        <v>0</v>
      </c>
      <c r="G48" s="7">
        <f>COUNTIFS('All Clinics'!$H:$H,$A48,'All Clinics'!$B:$B,"TMJ Specialists")</f>
        <v>0</v>
      </c>
      <c r="H48" s="7">
        <f>COUNTIFS('All Clinics'!$H:$H,$A48,'All Clinics'!$B:$B,"Oral Surgery")</f>
        <v>1</v>
      </c>
      <c r="I48" s="9">
        <f t="shared" si="2"/>
        <v>11</v>
      </c>
      <c r="J48" s="7">
        <f>COUNTIF('Older Entries'!$H:$H,$A48)</f>
        <v>17</v>
      </c>
    </row>
    <row r="49" spans="1:10" x14ac:dyDescent="0.3">
      <c r="A49" s="6" t="s">
        <v>53</v>
      </c>
      <c r="B49" s="10" t="s">
        <v>30</v>
      </c>
      <c r="C49" s="7">
        <f>COUNTIFS('All Clinics'!$H:$H,$A49,'All Clinics'!$B:$B,"Injury Physicians")</f>
        <v>0</v>
      </c>
      <c r="D49" s="7">
        <f>COUNTIFS('All Clinics'!$H:$H,$A49,'All Clinics'!$B:$B,"Chiropractic")</f>
        <v>4</v>
      </c>
      <c r="E49" s="7">
        <f>COUNTIFS('All Clinics'!$H:$H,$A49,'All Clinics'!$B:$B,"Physical Therapy")</f>
        <v>5</v>
      </c>
      <c r="F49" s="7">
        <f>COUNTIFS('All Clinics'!$H:$H,$A49,'All Clinics'!$B:$B,"Imaging")</f>
        <v>0</v>
      </c>
      <c r="G49" s="7">
        <f>COUNTIFS('All Clinics'!$H:$H,$A49,'All Clinics'!$B:$B,"TMJ Specialists")</f>
        <v>0</v>
      </c>
      <c r="H49" s="7">
        <f>COUNTIFS('All Clinics'!$H:$H,$A49,'All Clinics'!$B:$B,"Oral Surgery")</f>
        <v>0</v>
      </c>
      <c r="I49" s="9">
        <f t="shared" si="2"/>
        <v>9</v>
      </c>
      <c r="J49" s="7">
        <f>COUNTIF('Older Entries'!$H:$H,$A49)</f>
        <v>16</v>
      </c>
    </row>
    <row r="50" spans="1:10" x14ac:dyDescent="0.3">
      <c r="A50" s="6" t="s">
        <v>54</v>
      </c>
      <c r="B50" s="10" t="s">
        <v>28</v>
      </c>
      <c r="C50" s="7">
        <f>COUNTIFS('All Clinics'!$H:$H,$A50,'All Clinics'!$B:$B,"Injury Physicians")</f>
        <v>0</v>
      </c>
      <c r="D50" s="7">
        <f>COUNTIFS('All Clinics'!$H:$H,$A50,'All Clinics'!$B:$B,"Chiropractic")</f>
        <v>5</v>
      </c>
      <c r="E50" s="7">
        <f>COUNTIFS('All Clinics'!$H:$H,$A50,'All Clinics'!$B:$B,"Physical Therapy")</f>
        <v>2</v>
      </c>
      <c r="F50" s="7">
        <f>COUNTIFS('All Clinics'!$H:$H,$A50,'All Clinics'!$B:$B,"Imaging")</f>
        <v>0</v>
      </c>
      <c r="G50" s="7">
        <f>COUNTIFS('All Clinics'!$H:$H,$A50,'All Clinics'!$B:$B,"TMJ Specialists")</f>
        <v>0</v>
      </c>
      <c r="H50" s="7">
        <f>COUNTIFS('All Clinics'!$H:$H,$A50,'All Clinics'!$B:$B,"Oral Surgery")</f>
        <v>1</v>
      </c>
      <c r="I50" s="9">
        <f t="shared" si="2"/>
        <v>8</v>
      </c>
      <c r="J50" s="7">
        <f>COUNTIF('Older Entries'!$H:$H,$A50)</f>
        <v>38</v>
      </c>
    </row>
    <row r="51" spans="1:10" x14ac:dyDescent="0.3">
      <c r="A51" s="6" t="s">
        <v>55</v>
      </c>
      <c r="B51" s="10" t="s">
        <v>33</v>
      </c>
      <c r="C51" s="7">
        <f>COUNTIFS('All Clinics'!$H:$H,$A51,'All Clinics'!$B:$B,"Injury Physicians")</f>
        <v>2</v>
      </c>
      <c r="D51" s="7">
        <f>COUNTIFS('All Clinics'!$H:$H,$A51,'All Clinics'!$B:$B,"Chiropractic")</f>
        <v>4</v>
      </c>
      <c r="E51" s="7">
        <f>COUNTIFS('All Clinics'!$H:$H,$A51,'All Clinics'!$B:$B,"Physical Therapy")</f>
        <v>2</v>
      </c>
      <c r="F51" s="7">
        <f>COUNTIFS('All Clinics'!$H:$H,$A51,'All Clinics'!$B:$B,"Imaging")</f>
        <v>0</v>
      </c>
      <c r="G51" s="7">
        <f>COUNTIFS('All Clinics'!$H:$H,$A51,'All Clinics'!$B:$B,"TMJ Specialists")</f>
        <v>0</v>
      </c>
      <c r="H51" s="7">
        <f>COUNTIFS('All Clinics'!$H:$H,$A51,'All Clinics'!$B:$B,"Oral Surgery")</f>
        <v>0</v>
      </c>
      <c r="I51" s="9">
        <f t="shared" si="2"/>
        <v>8</v>
      </c>
      <c r="J51" s="7">
        <f>COUNTIF('Older Entries'!$H:$H,$A51)</f>
        <v>10</v>
      </c>
    </row>
    <row r="52" spans="1:10" x14ac:dyDescent="0.3">
      <c r="A52" s="6" t="s">
        <v>56</v>
      </c>
      <c r="B52" s="10" t="s">
        <v>32</v>
      </c>
      <c r="C52" s="7">
        <f>COUNTIFS('All Clinics'!$H:$H,$A52,'All Clinics'!$B:$B,"Injury Physicians")</f>
        <v>3</v>
      </c>
      <c r="D52" s="7">
        <f>COUNTIFS('All Clinics'!$H:$H,$A52,'All Clinics'!$B:$B,"Chiropractic")</f>
        <v>2</v>
      </c>
      <c r="E52" s="7">
        <f>COUNTIFS('All Clinics'!$H:$H,$A52,'All Clinics'!$B:$B,"Physical Therapy")</f>
        <v>3</v>
      </c>
      <c r="F52" s="7">
        <f>COUNTIFS('All Clinics'!$H:$H,$A52,'All Clinics'!$B:$B,"Imaging")</f>
        <v>0</v>
      </c>
      <c r="G52" s="7">
        <f>COUNTIFS('All Clinics'!$H:$H,$A52,'All Clinics'!$B:$B,"TMJ Specialists")</f>
        <v>0</v>
      </c>
      <c r="H52" s="7">
        <f>COUNTIFS('All Clinics'!$H:$H,$A52,'All Clinics'!$B:$B,"Oral Surgery")</f>
        <v>0</v>
      </c>
      <c r="I52" s="9">
        <f t="shared" si="2"/>
        <v>8</v>
      </c>
      <c r="J52" s="7">
        <f>COUNTIF('Older Entries'!$H:$H,$A52)</f>
        <v>18</v>
      </c>
    </row>
    <row r="53" spans="1:10" x14ac:dyDescent="0.3">
      <c r="A53" s="6" t="s">
        <v>57</v>
      </c>
      <c r="B53" s="10" t="s">
        <v>32</v>
      </c>
      <c r="C53" s="7">
        <f>COUNTIFS('All Clinics'!$H:$H,$A53,'All Clinics'!$B:$B,"Injury Physicians")</f>
        <v>0</v>
      </c>
      <c r="D53" s="7">
        <f>COUNTIFS('All Clinics'!$H:$H,$A53,'All Clinics'!$B:$B,"Chiropractic")</f>
        <v>3</v>
      </c>
      <c r="E53" s="7">
        <f>COUNTIFS('All Clinics'!$H:$H,$A53,'All Clinics'!$B:$B,"Physical Therapy")</f>
        <v>4</v>
      </c>
      <c r="F53" s="7">
        <f>COUNTIFS('All Clinics'!$H:$H,$A53,'All Clinics'!$B:$B,"Imaging")</f>
        <v>0</v>
      </c>
      <c r="G53" s="7">
        <f>COUNTIFS('All Clinics'!$H:$H,$A53,'All Clinics'!$B:$B,"TMJ Specialists")</f>
        <v>0</v>
      </c>
      <c r="H53" s="7">
        <f>COUNTIFS('All Clinics'!$H:$H,$A53,'All Clinics'!$B:$B,"Oral Surgery")</f>
        <v>0</v>
      </c>
      <c r="I53" s="9">
        <f t="shared" si="2"/>
        <v>7</v>
      </c>
      <c r="J53" s="7">
        <f>COUNTIF('Older Entries'!$H:$H,$A53)</f>
        <v>15</v>
      </c>
    </row>
    <row r="54" spans="1:10" x14ac:dyDescent="0.3">
      <c r="A54" s="6" t="s">
        <v>58</v>
      </c>
      <c r="B54" s="10" t="s">
        <v>27</v>
      </c>
      <c r="C54" s="7">
        <f>COUNTIFS('All Clinics'!$H:$H,$A54,'All Clinics'!$B:$B,"Injury Physicians")</f>
        <v>0</v>
      </c>
      <c r="D54" s="7">
        <f>COUNTIFS('All Clinics'!$H:$H,$A54,'All Clinics'!$B:$B,"Chiropractic")</f>
        <v>6</v>
      </c>
      <c r="E54" s="7">
        <f>COUNTIFS('All Clinics'!$H:$H,$A54,'All Clinics'!$B:$B,"Physical Therapy")</f>
        <v>1</v>
      </c>
      <c r="F54" s="7">
        <f>COUNTIFS('All Clinics'!$H:$H,$A54,'All Clinics'!$B:$B,"Imaging")</f>
        <v>0</v>
      </c>
      <c r="G54" s="7">
        <f>COUNTIFS('All Clinics'!$H:$H,$A54,'All Clinics'!$B:$B,"TMJ Specialists")</f>
        <v>0</v>
      </c>
      <c r="H54" s="7">
        <f>COUNTIFS('All Clinics'!$H:$H,$A54,'All Clinics'!$B:$B,"Oral Surgery")</f>
        <v>0</v>
      </c>
      <c r="I54" s="9">
        <f t="shared" si="2"/>
        <v>7</v>
      </c>
      <c r="J54" s="7">
        <f>COUNTIF('Older Entries'!$H:$H,$A54)</f>
        <v>9</v>
      </c>
    </row>
    <row r="55" spans="1:10" x14ac:dyDescent="0.3">
      <c r="A55" s="6" t="s">
        <v>59</v>
      </c>
      <c r="B55" s="10" t="s">
        <v>29</v>
      </c>
      <c r="C55" s="7">
        <f>COUNTIFS('All Clinics'!$H:$H,$A55,'All Clinics'!$B:$B,"Injury Physicians")</f>
        <v>0</v>
      </c>
      <c r="D55" s="7">
        <f>COUNTIFS('All Clinics'!$H:$H,$A55,'All Clinics'!$B:$B,"Chiropractic")</f>
        <v>4</v>
      </c>
      <c r="E55" s="7">
        <f>COUNTIFS('All Clinics'!$H:$H,$A55,'All Clinics'!$B:$B,"Physical Therapy")</f>
        <v>3</v>
      </c>
      <c r="F55" s="7">
        <f>COUNTIFS('All Clinics'!$H:$H,$A55,'All Clinics'!$B:$B,"Imaging")</f>
        <v>0</v>
      </c>
      <c r="G55" s="7">
        <f>COUNTIFS('All Clinics'!$H:$H,$A55,'All Clinics'!$B:$B,"TMJ Specialists")</f>
        <v>0</v>
      </c>
      <c r="H55" s="7">
        <f>COUNTIFS('All Clinics'!$H:$H,$A55,'All Clinics'!$B:$B,"Oral Surgery")</f>
        <v>0</v>
      </c>
      <c r="I55" s="9">
        <f t="shared" si="2"/>
        <v>7</v>
      </c>
      <c r="J55" s="7">
        <f>COUNTIF('Older Entries'!$H:$H,$A55)</f>
        <v>9</v>
      </c>
    </row>
    <row r="56" spans="1:10" x14ac:dyDescent="0.3">
      <c r="A56" s="6" t="s">
        <v>60</v>
      </c>
      <c r="B56" s="10" t="s">
        <v>28</v>
      </c>
      <c r="C56" s="7">
        <f>COUNTIFS('All Clinics'!$H:$H,$A56,'All Clinics'!$B:$B,"Injury Physicians")</f>
        <v>0</v>
      </c>
      <c r="D56" s="7">
        <f>COUNTIFS('All Clinics'!$H:$H,$A56,'All Clinics'!$B:$B,"Chiropractic")</f>
        <v>2</v>
      </c>
      <c r="E56" s="7">
        <f>COUNTIFS('All Clinics'!$H:$H,$A56,'All Clinics'!$B:$B,"Physical Therapy")</f>
        <v>4</v>
      </c>
      <c r="F56" s="7">
        <f>COUNTIFS('All Clinics'!$H:$H,$A56,'All Clinics'!$B:$B,"Imaging")</f>
        <v>0</v>
      </c>
      <c r="G56" s="7">
        <f>COUNTIFS('All Clinics'!$H:$H,$A56,'All Clinics'!$B:$B,"TMJ Specialists")</f>
        <v>0</v>
      </c>
      <c r="H56" s="7">
        <f>COUNTIFS('All Clinics'!$H:$H,$A56,'All Clinics'!$B:$B,"Oral Surgery")</f>
        <v>0</v>
      </c>
      <c r="I56" s="9">
        <f t="shared" si="2"/>
        <v>6</v>
      </c>
      <c r="J56" s="7">
        <f>COUNTIF('Older Entries'!$H:$H,$A56)</f>
        <v>5</v>
      </c>
    </row>
    <row r="57" spans="1:10" x14ac:dyDescent="0.3">
      <c r="A57" s="6" t="s">
        <v>61</v>
      </c>
      <c r="B57" s="10" t="s">
        <v>26</v>
      </c>
      <c r="C57" s="7">
        <f>COUNTIFS('All Clinics'!$H:$H,$A57,'All Clinics'!$B:$B,"Injury Physicians")</f>
        <v>3</v>
      </c>
      <c r="D57" s="7">
        <f>COUNTIFS('All Clinics'!$H:$H,$A57,'All Clinics'!$B:$B,"Chiropractic")</f>
        <v>3</v>
      </c>
      <c r="E57" s="7">
        <f>COUNTIFS('All Clinics'!$H:$H,$A57,'All Clinics'!$B:$B,"Physical Therapy")</f>
        <v>0</v>
      </c>
      <c r="F57" s="7">
        <f>COUNTIFS('All Clinics'!$H:$H,$A57,'All Clinics'!$B:$B,"Imaging")</f>
        <v>0</v>
      </c>
      <c r="G57" s="7">
        <f>COUNTIFS('All Clinics'!$H:$H,$A57,'All Clinics'!$B:$B,"TMJ Specialists")</f>
        <v>0</v>
      </c>
      <c r="H57" s="7">
        <f>COUNTIFS('All Clinics'!$H:$H,$A57,'All Clinics'!$B:$B,"Oral Surgery")</f>
        <v>0</v>
      </c>
      <c r="I57" s="9">
        <f t="shared" si="2"/>
        <v>6</v>
      </c>
      <c r="J57" s="7">
        <f>COUNTIF('Older Entries'!$H:$H,$A57)</f>
        <v>14</v>
      </c>
    </row>
    <row r="58" spans="1:10" x14ac:dyDescent="0.3">
      <c r="A58" s="6" t="s">
        <v>62</v>
      </c>
      <c r="B58" s="10" t="s">
        <v>31</v>
      </c>
      <c r="C58" s="7">
        <f>COUNTIFS('All Clinics'!$H:$H,$A58,'All Clinics'!$B:$B,"Injury Physicians")</f>
        <v>1</v>
      </c>
      <c r="D58" s="7">
        <f>COUNTIFS('All Clinics'!$H:$H,$A58,'All Clinics'!$B:$B,"Chiropractic")</f>
        <v>2</v>
      </c>
      <c r="E58" s="7">
        <f>COUNTIFS('All Clinics'!$H:$H,$A58,'All Clinics'!$B:$B,"Physical Therapy")</f>
        <v>3</v>
      </c>
      <c r="F58" s="7">
        <f>COUNTIFS('All Clinics'!$H:$H,$A58,'All Clinics'!$B:$B,"Imaging")</f>
        <v>0</v>
      </c>
      <c r="G58" s="7">
        <f>COUNTIFS('All Clinics'!$H:$H,$A58,'All Clinics'!$B:$B,"TMJ Specialists")</f>
        <v>0</v>
      </c>
      <c r="H58" s="7">
        <f>COUNTIFS('All Clinics'!$H:$H,$A58,'All Clinics'!$B:$B,"Oral Surgery")</f>
        <v>0</v>
      </c>
      <c r="I58" s="9">
        <f t="shared" si="2"/>
        <v>6</v>
      </c>
      <c r="J58" s="7">
        <f>COUNTIF('Older Entries'!$H:$H,$A58)</f>
        <v>3</v>
      </c>
    </row>
    <row r="59" spans="1:10" x14ac:dyDescent="0.3">
      <c r="A59" s="6" t="s">
        <v>63</v>
      </c>
      <c r="B59" s="10" t="s">
        <v>32</v>
      </c>
      <c r="C59" s="7">
        <f>COUNTIFS('All Clinics'!$H:$H,$A59,'All Clinics'!$B:$B,"Injury Physicians")</f>
        <v>0</v>
      </c>
      <c r="D59" s="7">
        <f>COUNTIFS('All Clinics'!$H:$H,$A59,'All Clinics'!$B:$B,"Chiropractic")</f>
        <v>2</v>
      </c>
      <c r="E59" s="7">
        <f>COUNTIFS('All Clinics'!$H:$H,$A59,'All Clinics'!$B:$B,"Physical Therapy")</f>
        <v>4</v>
      </c>
      <c r="F59" s="7">
        <f>COUNTIFS('All Clinics'!$H:$H,$A59,'All Clinics'!$B:$B,"Imaging")</f>
        <v>0</v>
      </c>
      <c r="G59" s="7">
        <f>COUNTIFS('All Clinics'!$H:$H,$A59,'All Clinics'!$B:$B,"TMJ Specialists")</f>
        <v>0</v>
      </c>
      <c r="H59" s="7">
        <f>COUNTIFS('All Clinics'!$H:$H,$A59,'All Clinics'!$B:$B,"Oral Surgery")</f>
        <v>0</v>
      </c>
      <c r="I59" s="9">
        <f t="shared" si="2"/>
        <v>6</v>
      </c>
      <c r="J59" s="7">
        <f>COUNTIF('Older Entries'!$H:$H,$A59)</f>
        <v>12</v>
      </c>
    </row>
    <row r="60" spans="1:10" x14ac:dyDescent="0.3">
      <c r="A60" s="6" t="s">
        <v>64</v>
      </c>
      <c r="B60" s="10" t="s">
        <v>28</v>
      </c>
      <c r="C60" s="7">
        <f>COUNTIFS('All Clinics'!$H:$H,$A60,'All Clinics'!$B:$B,"Injury Physicians")</f>
        <v>0</v>
      </c>
      <c r="D60" s="7">
        <f>COUNTIFS('All Clinics'!$H:$H,$A60,'All Clinics'!$B:$B,"Chiropractic")</f>
        <v>4</v>
      </c>
      <c r="E60" s="7">
        <f>COUNTIFS('All Clinics'!$H:$H,$A60,'All Clinics'!$B:$B,"Physical Therapy")</f>
        <v>1</v>
      </c>
      <c r="F60" s="7">
        <f>COUNTIFS('All Clinics'!$H:$H,$A60,'All Clinics'!$B:$B,"Imaging")</f>
        <v>0</v>
      </c>
      <c r="G60" s="7">
        <f>COUNTIFS('All Clinics'!$H:$H,$A60,'All Clinics'!$B:$B,"TMJ Specialists")</f>
        <v>0</v>
      </c>
      <c r="H60" s="7">
        <f>COUNTIFS('All Clinics'!$H:$H,$A60,'All Clinics'!$B:$B,"Oral Surgery")</f>
        <v>0</v>
      </c>
      <c r="I60" s="9">
        <f t="shared" si="2"/>
        <v>5</v>
      </c>
      <c r="J60" s="7">
        <f>COUNTIF('Older Entries'!$H:$H,$A60)</f>
        <v>4</v>
      </c>
    </row>
    <row r="61" spans="1:10" x14ac:dyDescent="0.3">
      <c r="A61" s="6" t="s">
        <v>65</v>
      </c>
      <c r="B61" s="10" t="s">
        <v>33</v>
      </c>
      <c r="C61" s="7">
        <f>COUNTIFS('All Clinics'!$H:$H,$A61,'All Clinics'!$B:$B,"Injury Physicians")</f>
        <v>1</v>
      </c>
      <c r="D61" s="7">
        <f>COUNTIFS('All Clinics'!$H:$H,$A61,'All Clinics'!$B:$B,"Chiropractic")</f>
        <v>2</v>
      </c>
      <c r="E61" s="7">
        <f>COUNTIFS('All Clinics'!$H:$H,$A61,'All Clinics'!$B:$B,"Physical Therapy")</f>
        <v>2</v>
      </c>
      <c r="F61" s="7">
        <f>COUNTIFS('All Clinics'!$H:$H,$A61,'All Clinics'!$B:$B,"Imaging")</f>
        <v>0</v>
      </c>
      <c r="G61" s="7">
        <f>COUNTIFS('All Clinics'!$H:$H,$A61,'All Clinics'!$B:$B,"TMJ Specialists")</f>
        <v>0</v>
      </c>
      <c r="H61" s="7">
        <f>COUNTIFS('All Clinics'!$H:$H,$A61,'All Clinics'!$B:$B,"Oral Surgery")</f>
        <v>0</v>
      </c>
      <c r="I61" s="9">
        <f t="shared" si="2"/>
        <v>5</v>
      </c>
      <c r="J61" s="7">
        <f>COUNTIF('Older Entries'!$H:$H,$A61)</f>
        <v>7</v>
      </c>
    </row>
    <row r="62" spans="1:10" x14ac:dyDescent="0.3">
      <c r="A62" s="6" t="s">
        <v>66</v>
      </c>
      <c r="B62" s="10" t="s">
        <v>26</v>
      </c>
      <c r="C62" s="7">
        <f>COUNTIFS('All Clinics'!$H:$H,$A62,'All Clinics'!$B:$B,"Injury Physicians")</f>
        <v>1</v>
      </c>
      <c r="D62" s="7">
        <f>COUNTIFS('All Clinics'!$H:$H,$A62,'All Clinics'!$B:$B,"Chiropractic")</f>
        <v>2</v>
      </c>
      <c r="E62" s="7">
        <f>COUNTIFS('All Clinics'!$H:$H,$A62,'All Clinics'!$B:$B,"Physical Therapy")</f>
        <v>0</v>
      </c>
      <c r="F62" s="7">
        <f>COUNTIFS('All Clinics'!$H:$H,$A62,'All Clinics'!$B:$B,"Imaging")</f>
        <v>0</v>
      </c>
      <c r="G62" s="7">
        <f>COUNTIFS('All Clinics'!$H:$H,$A62,'All Clinics'!$B:$B,"TMJ Specialists")</f>
        <v>0</v>
      </c>
      <c r="H62" s="7">
        <f>COUNTIFS('All Clinics'!$H:$H,$A62,'All Clinics'!$B:$B,"Oral Surgery")</f>
        <v>1</v>
      </c>
      <c r="I62" s="9">
        <f t="shared" si="2"/>
        <v>4</v>
      </c>
      <c r="J62" s="7">
        <f>COUNTIF('Older Entries'!$H:$H,$A62)</f>
        <v>8</v>
      </c>
    </row>
    <row r="63" spans="1:10" x14ac:dyDescent="0.3">
      <c r="A63" s="6" t="s">
        <v>67</v>
      </c>
      <c r="B63" s="10" t="s">
        <v>33</v>
      </c>
      <c r="C63" s="7">
        <f>COUNTIFS('All Clinics'!$H:$H,$A63,'All Clinics'!$B:$B,"Injury Physicians")</f>
        <v>1</v>
      </c>
      <c r="D63" s="7">
        <f>COUNTIFS('All Clinics'!$H:$H,$A63,'All Clinics'!$B:$B,"Chiropractic")</f>
        <v>1</v>
      </c>
      <c r="E63" s="7">
        <f>COUNTIFS('All Clinics'!$H:$H,$A63,'All Clinics'!$B:$B,"Physical Therapy")</f>
        <v>1</v>
      </c>
      <c r="F63" s="7">
        <f>COUNTIFS('All Clinics'!$H:$H,$A63,'All Clinics'!$B:$B,"Imaging")</f>
        <v>0</v>
      </c>
      <c r="G63" s="7">
        <f>COUNTIFS('All Clinics'!$H:$H,$A63,'All Clinics'!$B:$B,"TMJ Specialists")</f>
        <v>0</v>
      </c>
      <c r="H63" s="7">
        <f>COUNTIFS('All Clinics'!$H:$H,$A63,'All Clinics'!$B:$B,"Oral Surgery")</f>
        <v>1</v>
      </c>
      <c r="I63" s="9">
        <f t="shared" si="2"/>
        <v>4</v>
      </c>
      <c r="J63" s="7">
        <f>COUNTIF('Older Entries'!$H:$H,$A63)</f>
        <v>15</v>
      </c>
    </row>
    <row r="64" spans="1:10" x14ac:dyDescent="0.3">
      <c r="A64" s="6" t="s">
        <v>68</v>
      </c>
      <c r="B64" s="10" t="s">
        <v>31</v>
      </c>
      <c r="C64" s="7">
        <f>COUNTIFS('All Clinics'!$H:$H,$A64,'All Clinics'!$B:$B,"Injury Physicians")</f>
        <v>0</v>
      </c>
      <c r="D64" s="7">
        <f>COUNTIFS('All Clinics'!$H:$H,$A64,'All Clinics'!$B:$B,"Chiropractic")</f>
        <v>3</v>
      </c>
      <c r="E64" s="7">
        <f>COUNTIFS('All Clinics'!$H:$H,$A64,'All Clinics'!$B:$B,"Physical Therapy")</f>
        <v>1</v>
      </c>
      <c r="F64" s="7">
        <f>COUNTIFS('All Clinics'!$H:$H,$A64,'All Clinics'!$B:$B,"Imaging")</f>
        <v>0</v>
      </c>
      <c r="G64" s="7">
        <f>COUNTIFS('All Clinics'!$H:$H,$A64,'All Clinics'!$B:$B,"TMJ Specialists")</f>
        <v>0</v>
      </c>
      <c r="H64" s="7">
        <f>COUNTIFS('All Clinics'!$H:$H,$A64,'All Clinics'!$B:$B,"Oral Surgery")</f>
        <v>0</v>
      </c>
      <c r="I64" s="9">
        <f t="shared" ref="I64:I95" si="3">SUM(C64:H64)</f>
        <v>4</v>
      </c>
      <c r="J64" s="7">
        <f>COUNTIF('Older Entries'!$H:$H,$A64)</f>
        <v>6</v>
      </c>
    </row>
    <row r="65" spans="1:10" x14ac:dyDescent="0.3">
      <c r="A65" s="6" t="s">
        <v>69</v>
      </c>
      <c r="B65" s="10" t="s">
        <v>31</v>
      </c>
      <c r="C65" s="7">
        <f>COUNTIFS('All Clinics'!$H:$H,$A65,'All Clinics'!$B:$B,"Injury Physicians")</f>
        <v>1</v>
      </c>
      <c r="D65" s="7">
        <f>COUNTIFS('All Clinics'!$H:$H,$A65,'All Clinics'!$B:$B,"Chiropractic")</f>
        <v>3</v>
      </c>
      <c r="E65" s="7">
        <f>COUNTIFS('All Clinics'!$H:$H,$A65,'All Clinics'!$B:$B,"Physical Therapy")</f>
        <v>0</v>
      </c>
      <c r="F65" s="7">
        <f>COUNTIFS('All Clinics'!$H:$H,$A65,'All Clinics'!$B:$B,"Imaging")</f>
        <v>0</v>
      </c>
      <c r="G65" s="7">
        <f>COUNTIFS('All Clinics'!$H:$H,$A65,'All Clinics'!$B:$B,"TMJ Specialists")</f>
        <v>0</v>
      </c>
      <c r="H65" s="7">
        <f>COUNTIFS('All Clinics'!$H:$H,$A65,'All Clinics'!$B:$B,"Oral Surgery")</f>
        <v>0</v>
      </c>
      <c r="I65" s="9">
        <f t="shared" si="3"/>
        <v>4</v>
      </c>
      <c r="J65" s="7">
        <f>COUNTIF('Older Entries'!$H:$H,$A65)</f>
        <v>7</v>
      </c>
    </row>
    <row r="66" spans="1:10" x14ac:dyDescent="0.3">
      <c r="A66" s="6" t="s">
        <v>70</v>
      </c>
      <c r="B66" s="10" t="s">
        <v>29</v>
      </c>
      <c r="C66" s="7">
        <f>COUNTIFS('All Clinics'!$H:$H,$A66,'All Clinics'!$B:$B,"Injury Physicians")</f>
        <v>2</v>
      </c>
      <c r="D66" s="7">
        <f>COUNTIFS('All Clinics'!$H:$H,$A66,'All Clinics'!$B:$B,"Chiropractic")</f>
        <v>1</v>
      </c>
      <c r="E66" s="7">
        <f>COUNTIFS('All Clinics'!$H:$H,$A66,'All Clinics'!$B:$B,"Physical Therapy")</f>
        <v>1</v>
      </c>
      <c r="F66" s="7">
        <f>COUNTIFS('All Clinics'!$H:$H,$A66,'All Clinics'!$B:$B,"Imaging")</f>
        <v>0</v>
      </c>
      <c r="G66" s="7">
        <f>COUNTIFS('All Clinics'!$H:$H,$A66,'All Clinics'!$B:$B,"TMJ Specialists")</f>
        <v>0</v>
      </c>
      <c r="H66" s="7">
        <f>COUNTIFS('All Clinics'!$H:$H,$A66,'All Clinics'!$B:$B,"Oral Surgery")</f>
        <v>0</v>
      </c>
      <c r="I66" s="9">
        <f t="shared" si="3"/>
        <v>4</v>
      </c>
      <c r="J66" s="7">
        <f>COUNTIF('Older Entries'!$H:$H,$A66)</f>
        <v>3</v>
      </c>
    </row>
    <row r="67" spans="1:10" x14ac:dyDescent="0.3">
      <c r="A67" s="6" t="s">
        <v>71</v>
      </c>
      <c r="B67" s="10" t="s">
        <v>28</v>
      </c>
      <c r="C67" s="7">
        <f>COUNTIFS('All Clinics'!$H:$H,$A67,'All Clinics'!$B:$B,"Injury Physicians")</f>
        <v>0</v>
      </c>
      <c r="D67" s="7">
        <f>COUNTIFS('All Clinics'!$H:$H,$A67,'All Clinics'!$B:$B,"Chiropractic")</f>
        <v>1</v>
      </c>
      <c r="E67" s="7">
        <f>COUNTIFS('All Clinics'!$H:$H,$A67,'All Clinics'!$B:$B,"Physical Therapy")</f>
        <v>2</v>
      </c>
      <c r="F67" s="7">
        <f>COUNTIFS('All Clinics'!$H:$H,$A67,'All Clinics'!$B:$B,"Imaging")</f>
        <v>0</v>
      </c>
      <c r="G67" s="7">
        <f>COUNTIFS('All Clinics'!$H:$H,$A67,'All Clinics'!$B:$B,"TMJ Specialists")</f>
        <v>0</v>
      </c>
      <c r="H67" s="7">
        <f>COUNTIFS('All Clinics'!$H:$H,$A67,'All Clinics'!$B:$B,"Oral Surgery")</f>
        <v>0</v>
      </c>
      <c r="I67" s="9">
        <f t="shared" si="3"/>
        <v>3</v>
      </c>
      <c r="J67" s="7">
        <f>COUNTIF('Older Entries'!$H:$H,$A67)</f>
        <v>12</v>
      </c>
    </row>
    <row r="68" spans="1:10" x14ac:dyDescent="0.3">
      <c r="A68" s="6" t="s">
        <v>72</v>
      </c>
      <c r="B68" s="10" t="s">
        <v>31</v>
      </c>
      <c r="C68" s="7">
        <f>COUNTIFS('All Clinics'!$H:$H,$A68,'All Clinics'!$B:$B,"Injury Physicians")</f>
        <v>1</v>
      </c>
      <c r="D68" s="7">
        <f>COUNTIFS('All Clinics'!$H:$H,$A68,'All Clinics'!$B:$B,"Chiropractic")</f>
        <v>2</v>
      </c>
      <c r="E68" s="7">
        <f>COUNTIFS('All Clinics'!$H:$H,$A68,'All Clinics'!$B:$B,"Physical Therapy")</f>
        <v>0</v>
      </c>
      <c r="F68" s="7">
        <f>COUNTIFS('All Clinics'!$H:$H,$A68,'All Clinics'!$B:$B,"Imaging")</f>
        <v>0</v>
      </c>
      <c r="G68" s="7">
        <f>COUNTIFS('All Clinics'!$H:$H,$A68,'All Clinics'!$B:$B,"TMJ Specialists")</f>
        <v>0</v>
      </c>
      <c r="H68" s="7">
        <f>COUNTIFS('All Clinics'!$H:$H,$A68,'All Clinics'!$B:$B,"Oral Surgery")</f>
        <v>0</v>
      </c>
      <c r="I68" s="9">
        <f t="shared" si="3"/>
        <v>3</v>
      </c>
      <c r="J68" s="7">
        <f>COUNTIF('Older Entries'!$H:$H,$A68)</f>
        <v>10</v>
      </c>
    </row>
    <row r="69" spans="1:10" x14ac:dyDescent="0.3">
      <c r="A69" s="6" t="s">
        <v>73</v>
      </c>
      <c r="B69" s="10" t="s">
        <v>33</v>
      </c>
      <c r="C69" s="7">
        <f>COUNTIFS('All Clinics'!$H:$H,$A69,'All Clinics'!$B:$B,"Injury Physicians")</f>
        <v>0</v>
      </c>
      <c r="D69" s="7">
        <f>COUNTIFS('All Clinics'!$H:$H,$A69,'All Clinics'!$B:$B,"Chiropractic")</f>
        <v>3</v>
      </c>
      <c r="E69" s="7">
        <f>COUNTIFS('All Clinics'!$H:$H,$A69,'All Clinics'!$B:$B,"Physical Therapy")</f>
        <v>0</v>
      </c>
      <c r="F69" s="7">
        <f>COUNTIFS('All Clinics'!$H:$H,$A69,'All Clinics'!$B:$B,"Imaging")</f>
        <v>0</v>
      </c>
      <c r="G69" s="7">
        <f>COUNTIFS('All Clinics'!$H:$H,$A69,'All Clinics'!$B:$B,"TMJ Specialists")</f>
        <v>0</v>
      </c>
      <c r="H69" s="7">
        <f>COUNTIFS('All Clinics'!$H:$H,$A69,'All Clinics'!$B:$B,"Oral Surgery")</f>
        <v>0</v>
      </c>
      <c r="I69" s="9">
        <f t="shared" si="3"/>
        <v>3</v>
      </c>
      <c r="J69" s="7">
        <f>COUNTIF('Older Entries'!$H:$H,$A69)</f>
        <v>5</v>
      </c>
    </row>
    <row r="70" spans="1:10" x14ac:dyDescent="0.3">
      <c r="A70" s="6" t="s">
        <v>74</v>
      </c>
      <c r="B70" s="10" t="s">
        <v>31</v>
      </c>
      <c r="C70" s="7">
        <f>COUNTIFS('All Clinics'!$H:$H,$A70,'All Clinics'!$B:$B,"Injury Physicians")</f>
        <v>2</v>
      </c>
      <c r="D70" s="7">
        <f>COUNTIFS('All Clinics'!$H:$H,$A70,'All Clinics'!$B:$B,"Chiropractic")</f>
        <v>1</v>
      </c>
      <c r="E70" s="7">
        <f>COUNTIFS('All Clinics'!$H:$H,$A70,'All Clinics'!$B:$B,"Physical Therapy")</f>
        <v>0</v>
      </c>
      <c r="F70" s="7">
        <f>COUNTIFS('All Clinics'!$H:$H,$A70,'All Clinics'!$B:$B,"Imaging")</f>
        <v>0</v>
      </c>
      <c r="G70" s="7">
        <f>COUNTIFS('All Clinics'!$H:$H,$A70,'All Clinics'!$B:$B,"TMJ Specialists")</f>
        <v>0</v>
      </c>
      <c r="H70" s="7">
        <f>COUNTIFS('All Clinics'!$H:$H,$A70,'All Clinics'!$B:$B,"Oral Surgery")</f>
        <v>0</v>
      </c>
      <c r="I70" s="9">
        <f t="shared" si="3"/>
        <v>3</v>
      </c>
      <c r="J70" s="7">
        <f>COUNTIF('Older Entries'!$H:$H,$A70)</f>
        <v>2</v>
      </c>
    </row>
    <row r="71" spans="1:10" x14ac:dyDescent="0.3">
      <c r="A71" s="6" t="s">
        <v>75</v>
      </c>
      <c r="B71" s="10" t="s">
        <v>32</v>
      </c>
      <c r="C71" s="7">
        <f>COUNTIFS('All Clinics'!$H:$H,$A71,'All Clinics'!$B:$B,"Injury Physicians")</f>
        <v>0</v>
      </c>
      <c r="D71" s="7">
        <f>COUNTIFS('All Clinics'!$H:$H,$A71,'All Clinics'!$B:$B,"Chiropractic")</f>
        <v>1</v>
      </c>
      <c r="E71" s="7">
        <f>COUNTIFS('All Clinics'!$H:$H,$A71,'All Clinics'!$B:$B,"Physical Therapy")</f>
        <v>2</v>
      </c>
      <c r="F71" s="7">
        <f>COUNTIFS('All Clinics'!$H:$H,$A71,'All Clinics'!$B:$B,"Imaging")</f>
        <v>0</v>
      </c>
      <c r="G71" s="7">
        <f>COUNTIFS('All Clinics'!$H:$H,$A71,'All Clinics'!$B:$B,"TMJ Specialists")</f>
        <v>0</v>
      </c>
      <c r="H71" s="7">
        <f>COUNTIFS('All Clinics'!$H:$H,$A71,'All Clinics'!$B:$B,"Oral Surgery")</f>
        <v>0</v>
      </c>
      <c r="I71" s="9">
        <f t="shared" si="3"/>
        <v>3</v>
      </c>
      <c r="J71" s="7">
        <f>COUNTIF('Older Entries'!$H:$H,$A71)</f>
        <v>4</v>
      </c>
    </row>
    <row r="72" spans="1:10" x14ac:dyDescent="0.3">
      <c r="A72" s="6" t="s">
        <v>76</v>
      </c>
      <c r="B72" s="10" t="s">
        <v>31</v>
      </c>
      <c r="C72" s="7">
        <f>COUNTIFS('All Clinics'!$H:$H,$A72,'All Clinics'!$B:$B,"Injury Physicians")</f>
        <v>0</v>
      </c>
      <c r="D72" s="7">
        <f>COUNTIFS('All Clinics'!$H:$H,$A72,'All Clinics'!$B:$B,"Chiropractic")</f>
        <v>3</v>
      </c>
      <c r="E72" s="7">
        <f>COUNTIFS('All Clinics'!$H:$H,$A72,'All Clinics'!$B:$B,"Physical Therapy")</f>
        <v>0</v>
      </c>
      <c r="F72" s="7">
        <f>COUNTIFS('All Clinics'!$H:$H,$A72,'All Clinics'!$B:$B,"Imaging")</f>
        <v>0</v>
      </c>
      <c r="G72" s="7">
        <f>COUNTIFS('All Clinics'!$H:$H,$A72,'All Clinics'!$B:$B,"TMJ Specialists")</f>
        <v>0</v>
      </c>
      <c r="H72" s="7">
        <f>COUNTIFS('All Clinics'!$H:$H,$A72,'All Clinics'!$B:$B,"Oral Surgery")</f>
        <v>0</v>
      </c>
      <c r="I72" s="9">
        <f t="shared" si="3"/>
        <v>3</v>
      </c>
      <c r="J72" s="7">
        <f>COUNTIF('Older Entries'!$H:$H,$A72)</f>
        <v>3</v>
      </c>
    </row>
    <row r="73" spans="1:10" x14ac:dyDescent="0.3">
      <c r="A73" s="6" t="s">
        <v>77</v>
      </c>
      <c r="B73" s="10" t="s">
        <v>27</v>
      </c>
      <c r="C73" s="7">
        <f>COUNTIFS('All Clinics'!$H:$H,$A73,'All Clinics'!$B:$B,"Injury Physicians")</f>
        <v>0</v>
      </c>
      <c r="D73" s="7">
        <f>COUNTIFS('All Clinics'!$H:$H,$A73,'All Clinics'!$B:$B,"Chiropractic")</f>
        <v>3</v>
      </c>
      <c r="E73" s="7">
        <f>COUNTIFS('All Clinics'!$H:$H,$A73,'All Clinics'!$B:$B,"Physical Therapy")</f>
        <v>0</v>
      </c>
      <c r="F73" s="7">
        <f>COUNTIFS('All Clinics'!$H:$H,$A73,'All Clinics'!$B:$B,"Imaging")</f>
        <v>0</v>
      </c>
      <c r="G73" s="7">
        <f>COUNTIFS('All Clinics'!$H:$H,$A73,'All Clinics'!$B:$B,"TMJ Specialists")</f>
        <v>0</v>
      </c>
      <c r="H73" s="7">
        <f>COUNTIFS('All Clinics'!$H:$H,$A73,'All Clinics'!$B:$B,"Oral Surgery")</f>
        <v>0</v>
      </c>
      <c r="I73" s="9">
        <f t="shared" si="3"/>
        <v>3</v>
      </c>
      <c r="J73" s="7">
        <f>COUNTIF('Older Entries'!$H:$H,$A73)</f>
        <v>10</v>
      </c>
    </row>
    <row r="74" spans="1:10" x14ac:dyDescent="0.3">
      <c r="A74" s="6" t="s">
        <v>78</v>
      </c>
      <c r="B74" s="10" t="s">
        <v>33</v>
      </c>
      <c r="C74" s="7">
        <f>COUNTIFS('All Clinics'!$H:$H,$A74,'All Clinics'!$B:$B,"Injury Physicians")</f>
        <v>2</v>
      </c>
      <c r="D74" s="7">
        <f>COUNTIFS('All Clinics'!$H:$H,$A74,'All Clinics'!$B:$B,"Chiropractic")</f>
        <v>0</v>
      </c>
      <c r="E74" s="7">
        <f>COUNTIFS('All Clinics'!$H:$H,$A74,'All Clinics'!$B:$B,"Physical Therapy")</f>
        <v>1</v>
      </c>
      <c r="F74" s="7">
        <f>COUNTIFS('All Clinics'!$H:$H,$A74,'All Clinics'!$B:$B,"Imaging")</f>
        <v>0</v>
      </c>
      <c r="G74" s="7">
        <f>COUNTIFS('All Clinics'!$H:$H,$A74,'All Clinics'!$B:$B,"TMJ Specialists")</f>
        <v>0</v>
      </c>
      <c r="H74" s="7">
        <f>COUNTIFS('All Clinics'!$H:$H,$A74,'All Clinics'!$B:$B,"Oral Surgery")</f>
        <v>0</v>
      </c>
      <c r="I74" s="9">
        <f t="shared" si="3"/>
        <v>3</v>
      </c>
      <c r="J74" s="7">
        <f>COUNTIF('Older Entries'!$H:$H,$A74)</f>
        <v>2</v>
      </c>
    </row>
    <row r="75" spans="1:10" x14ac:dyDescent="0.3">
      <c r="A75" s="6" t="s">
        <v>79</v>
      </c>
      <c r="B75" s="10" t="s">
        <v>33</v>
      </c>
      <c r="C75" s="7">
        <f>COUNTIFS('All Clinics'!$H:$H,$A75,'All Clinics'!$B:$B,"Injury Physicians")</f>
        <v>1</v>
      </c>
      <c r="D75" s="7">
        <f>COUNTIFS('All Clinics'!$H:$H,$A75,'All Clinics'!$B:$B,"Chiropractic")</f>
        <v>2</v>
      </c>
      <c r="E75" s="7">
        <f>COUNTIFS('All Clinics'!$H:$H,$A75,'All Clinics'!$B:$B,"Physical Therapy")</f>
        <v>0</v>
      </c>
      <c r="F75" s="7">
        <f>COUNTIFS('All Clinics'!$H:$H,$A75,'All Clinics'!$B:$B,"Imaging")</f>
        <v>0</v>
      </c>
      <c r="G75" s="7">
        <f>COUNTIFS('All Clinics'!$H:$H,$A75,'All Clinics'!$B:$B,"TMJ Specialists")</f>
        <v>0</v>
      </c>
      <c r="H75" s="7">
        <f>COUNTIFS('All Clinics'!$H:$H,$A75,'All Clinics'!$B:$B,"Oral Surgery")</f>
        <v>0</v>
      </c>
      <c r="I75" s="9">
        <f t="shared" si="3"/>
        <v>3</v>
      </c>
      <c r="J75" s="7">
        <f>COUNTIF('Older Entries'!$H:$H,$A75)</f>
        <v>4</v>
      </c>
    </row>
    <row r="76" spans="1:10" x14ac:dyDescent="0.3">
      <c r="A76" s="6" t="s">
        <v>80</v>
      </c>
      <c r="B76" s="10" t="s">
        <v>27</v>
      </c>
      <c r="C76" s="7">
        <f>COUNTIFS('All Clinics'!$H:$H,$A76,'All Clinics'!$B:$B,"Injury Physicians")</f>
        <v>0</v>
      </c>
      <c r="D76" s="7">
        <f>COUNTIFS('All Clinics'!$H:$H,$A76,'All Clinics'!$B:$B,"Chiropractic")</f>
        <v>1</v>
      </c>
      <c r="E76" s="7">
        <f>COUNTIFS('All Clinics'!$H:$H,$A76,'All Clinics'!$B:$B,"Physical Therapy")</f>
        <v>1</v>
      </c>
      <c r="F76" s="7">
        <f>COUNTIFS('All Clinics'!$H:$H,$A76,'All Clinics'!$B:$B,"Imaging")</f>
        <v>0</v>
      </c>
      <c r="G76" s="7">
        <f>COUNTIFS('All Clinics'!$H:$H,$A76,'All Clinics'!$B:$B,"TMJ Specialists")</f>
        <v>0</v>
      </c>
      <c r="H76" s="7">
        <f>COUNTIFS('All Clinics'!$H:$H,$A76,'All Clinics'!$B:$B,"Oral Surgery")</f>
        <v>0</v>
      </c>
      <c r="I76" s="9">
        <f t="shared" si="3"/>
        <v>2</v>
      </c>
      <c r="J76" s="7">
        <f>COUNTIF('Older Entries'!$H:$H,$A76)</f>
        <v>6</v>
      </c>
    </row>
    <row r="77" spans="1:10" x14ac:dyDescent="0.3">
      <c r="A77" s="6" t="s">
        <v>81</v>
      </c>
      <c r="B77" s="10" t="s">
        <v>32</v>
      </c>
      <c r="C77" s="7">
        <f>COUNTIFS('All Clinics'!$H:$H,$A77,'All Clinics'!$B:$B,"Injury Physicians")</f>
        <v>0</v>
      </c>
      <c r="D77" s="7">
        <f>COUNTIFS('All Clinics'!$H:$H,$A77,'All Clinics'!$B:$B,"Chiropractic")</f>
        <v>2</v>
      </c>
      <c r="E77" s="7">
        <f>COUNTIFS('All Clinics'!$H:$H,$A77,'All Clinics'!$B:$B,"Physical Therapy")</f>
        <v>0</v>
      </c>
      <c r="F77" s="7">
        <f>COUNTIFS('All Clinics'!$H:$H,$A77,'All Clinics'!$B:$B,"Imaging")</f>
        <v>0</v>
      </c>
      <c r="G77" s="7">
        <f>COUNTIFS('All Clinics'!$H:$H,$A77,'All Clinics'!$B:$B,"TMJ Specialists")</f>
        <v>0</v>
      </c>
      <c r="H77" s="7">
        <f>COUNTIFS('All Clinics'!$H:$H,$A77,'All Clinics'!$B:$B,"Oral Surgery")</f>
        <v>0</v>
      </c>
      <c r="I77" s="9">
        <f t="shared" si="3"/>
        <v>2</v>
      </c>
      <c r="J77" s="7">
        <f>COUNTIF('Older Entries'!$H:$H,$A77)</f>
        <v>4</v>
      </c>
    </row>
    <row r="78" spans="1:10" x14ac:dyDescent="0.3">
      <c r="A78" s="6" t="s">
        <v>82</v>
      </c>
      <c r="B78" s="10" t="s">
        <v>32</v>
      </c>
      <c r="C78" s="7">
        <f>COUNTIFS('All Clinics'!$H:$H,$A78,'All Clinics'!$B:$B,"Injury Physicians")</f>
        <v>0</v>
      </c>
      <c r="D78" s="7">
        <f>COUNTIFS('All Clinics'!$H:$H,$A78,'All Clinics'!$B:$B,"Chiropractic")</f>
        <v>1</v>
      </c>
      <c r="E78" s="7">
        <f>COUNTIFS('All Clinics'!$H:$H,$A78,'All Clinics'!$B:$B,"Physical Therapy")</f>
        <v>1</v>
      </c>
      <c r="F78" s="7">
        <f>COUNTIFS('All Clinics'!$H:$H,$A78,'All Clinics'!$B:$B,"Imaging")</f>
        <v>0</v>
      </c>
      <c r="G78" s="7">
        <f>COUNTIFS('All Clinics'!$H:$H,$A78,'All Clinics'!$B:$B,"TMJ Specialists")</f>
        <v>0</v>
      </c>
      <c r="H78" s="7">
        <f>COUNTIFS('All Clinics'!$H:$H,$A78,'All Clinics'!$B:$B,"Oral Surgery")</f>
        <v>0</v>
      </c>
      <c r="I78" s="9">
        <f t="shared" si="3"/>
        <v>2</v>
      </c>
      <c r="J78" s="7">
        <f>COUNTIF('Older Entries'!$H:$H,$A78)</f>
        <v>3</v>
      </c>
    </row>
    <row r="79" spans="1:10" x14ac:dyDescent="0.3">
      <c r="A79" s="6" t="s">
        <v>83</v>
      </c>
      <c r="B79" s="10" t="s">
        <v>32</v>
      </c>
      <c r="C79" s="7">
        <f>COUNTIFS('All Clinics'!$H:$H,$A79,'All Clinics'!$B:$B,"Injury Physicians")</f>
        <v>0</v>
      </c>
      <c r="D79" s="7">
        <f>COUNTIFS('All Clinics'!$H:$H,$A79,'All Clinics'!$B:$B,"Chiropractic")</f>
        <v>2</v>
      </c>
      <c r="E79" s="7">
        <f>COUNTIFS('All Clinics'!$H:$H,$A79,'All Clinics'!$B:$B,"Physical Therapy")</f>
        <v>0</v>
      </c>
      <c r="F79" s="7">
        <f>COUNTIFS('All Clinics'!$H:$H,$A79,'All Clinics'!$B:$B,"Imaging")</f>
        <v>0</v>
      </c>
      <c r="G79" s="7">
        <f>COUNTIFS('All Clinics'!$H:$H,$A79,'All Clinics'!$B:$B,"TMJ Specialists")</f>
        <v>0</v>
      </c>
      <c r="H79" s="7">
        <f>COUNTIFS('All Clinics'!$H:$H,$A79,'All Clinics'!$B:$B,"Oral Surgery")</f>
        <v>0</v>
      </c>
      <c r="I79" s="9">
        <f t="shared" si="3"/>
        <v>2</v>
      </c>
      <c r="J79" s="7">
        <f>COUNTIF('Older Entries'!$H:$H,$A79)</f>
        <v>7</v>
      </c>
    </row>
    <row r="80" spans="1:10" x14ac:dyDescent="0.3">
      <c r="A80" s="6" t="s">
        <v>84</v>
      </c>
      <c r="B80" s="10" t="s">
        <v>32</v>
      </c>
      <c r="C80" s="7">
        <f>COUNTIFS('All Clinics'!$H:$H,$A80,'All Clinics'!$B:$B,"Injury Physicians")</f>
        <v>0</v>
      </c>
      <c r="D80" s="7">
        <f>COUNTIFS('All Clinics'!$H:$H,$A80,'All Clinics'!$B:$B,"Chiropractic")</f>
        <v>2</v>
      </c>
      <c r="E80" s="7">
        <f>COUNTIFS('All Clinics'!$H:$H,$A80,'All Clinics'!$B:$B,"Physical Therapy")</f>
        <v>0</v>
      </c>
      <c r="F80" s="7">
        <f>COUNTIFS('All Clinics'!$H:$H,$A80,'All Clinics'!$B:$B,"Imaging")</f>
        <v>0</v>
      </c>
      <c r="G80" s="7">
        <f>COUNTIFS('All Clinics'!$H:$H,$A80,'All Clinics'!$B:$B,"TMJ Specialists")</f>
        <v>0</v>
      </c>
      <c r="H80" s="7">
        <f>COUNTIFS('All Clinics'!$H:$H,$A80,'All Clinics'!$B:$B,"Oral Surgery")</f>
        <v>0</v>
      </c>
      <c r="I80" s="9">
        <f t="shared" si="3"/>
        <v>2</v>
      </c>
      <c r="J80" s="7">
        <f>COUNTIF('Older Entries'!$H:$H,$A80)</f>
        <v>8</v>
      </c>
    </row>
    <row r="81" spans="1:10" x14ac:dyDescent="0.3">
      <c r="A81" s="6" t="s">
        <v>85</v>
      </c>
      <c r="B81" s="10" t="s">
        <v>27</v>
      </c>
      <c r="C81" s="7">
        <f>COUNTIFS('All Clinics'!$H:$H,$A81,'All Clinics'!$B:$B,"Injury Physicians")</f>
        <v>0</v>
      </c>
      <c r="D81" s="7">
        <f>COUNTIFS('All Clinics'!$H:$H,$A81,'All Clinics'!$B:$B,"Chiropractic")</f>
        <v>2</v>
      </c>
      <c r="E81" s="7">
        <f>COUNTIFS('All Clinics'!$H:$H,$A81,'All Clinics'!$B:$B,"Physical Therapy")</f>
        <v>0</v>
      </c>
      <c r="F81" s="7">
        <f>COUNTIFS('All Clinics'!$H:$H,$A81,'All Clinics'!$B:$B,"Imaging")</f>
        <v>0</v>
      </c>
      <c r="G81" s="7">
        <f>COUNTIFS('All Clinics'!$H:$H,$A81,'All Clinics'!$B:$B,"TMJ Specialists")</f>
        <v>0</v>
      </c>
      <c r="H81" s="7">
        <f>COUNTIFS('All Clinics'!$H:$H,$A81,'All Clinics'!$B:$B,"Oral Surgery")</f>
        <v>0</v>
      </c>
      <c r="I81" s="9">
        <f t="shared" si="3"/>
        <v>2</v>
      </c>
      <c r="J81" s="7">
        <f>COUNTIF('Older Entries'!$H:$H,$A81)</f>
        <v>5</v>
      </c>
    </row>
    <row r="82" spans="1:10" x14ac:dyDescent="0.3">
      <c r="A82" s="6" t="s">
        <v>86</v>
      </c>
      <c r="B82" s="10" t="s">
        <v>33</v>
      </c>
      <c r="C82" s="7">
        <f>COUNTIFS('All Clinics'!$H:$H,$A82,'All Clinics'!$B:$B,"Injury Physicians")</f>
        <v>1</v>
      </c>
      <c r="D82" s="7">
        <f>COUNTIFS('All Clinics'!$H:$H,$A82,'All Clinics'!$B:$B,"Chiropractic")</f>
        <v>0</v>
      </c>
      <c r="E82" s="7">
        <f>COUNTIFS('All Clinics'!$H:$H,$A82,'All Clinics'!$B:$B,"Physical Therapy")</f>
        <v>1</v>
      </c>
      <c r="F82" s="7">
        <f>COUNTIFS('All Clinics'!$H:$H,$A82,'All Clinics'!$B:$B,"Imaging")</f>
        <v>0</v>
      </c>
      <c r="G82" s="7">
        <f>COUNTIFS('All Clinics'!$H:$H,$A82,'All Clinics'!$B:$B,"TMJ Specialists")</f>
        <v>0</v>
      </c>
      <c r="H82" s="7">
        <f>COUNTIFS('All Clinics'!$H:$H,$A82,'All Clinics'!$B:$B,"Oral Surgery")</f>
        <v>0</v>
      </c>
      <c r="I82" s="9">
        <f t="shared" si="3"/>
        <v>2</v>
      </c>
      <c r="J82" s="7">
        <f>COUNTIF('Older Entries'!$H:$H,$A82)</f>
        <v>4</v>
      </c>
    </row>
    <row r="83" spans="1:10" x14ac:dyDescent="0.3">
      <c r="A83" s="6" t="s">
        <v>87</v>
      </c>
      <c r="B83" s="10" t="s">
        <v>29</v>
      </c>
      <c r="C83" s="7">
        <f>COUNTIFS('All Clinics'!$H:$H,$A83,'All Clinics'!$B:$B,"Injury Physicians")</f>
        <v>0</v>
      </c>
      <c r="D83" s="7">
        <f>COUNTIFS('All Clinics'!$H:$H,$A83,'All Clinics'!$B:$B,"Chiropractic")</f>
        <v>1</v>
      </c>
      <c r="E83" s="7">
        <f>COUNTIFS('All Clinics'!$H:$H,$A83,'All Clinics'!$B:$B,"Physical Therapy")</f>
        <v>1</v>
      </c>
      <c r="F83" s="7">
        <f>COUNTIFS('All Clinics'!$H:$H,$A83,'All Clinics'!$B:$B,"Imaging")</f>
        <v>0</v>
      </c>
      <c r="G83" s="7">
        <f>COUNTIFS('All Clinics'!$H:$H,$A83,'All Clinics'!$B:$B,"TMJ Specialists")</f>
        <v>0</v>
      </c>
      <c r="H83" s="7">
        <f>COUNTIFS('All Clinics'!$H:$H,$A83,'All Clinics'!$B:$B,"Oral Surgery")</f>
        <v>0</v>
      </c>
      <c r="I83" s="9">
        <f t="shared" si="3"/>
        <v>2</v>
      </c>
      <c r="J83" s="7">
        <f>COUNTIF('Older Entries'!$H:$H,$A83)</f>
        <v>3</v>
      </c>
    </row>
    <row r="84" spans="1:10" x14ac:dyDescent="0.3">
      <c r="A84" s="6" t="s">
        <v>88</v>
      </c>
      <c r="B84" s="10" t="s">
        <v>30</v>
      </c>
      <c r="C84" s="7">
        <f>COUNTIFS('All Clinics'!$H:$H,$A84,'All Clinics'!$B:$B,"Injury Physicians")</f>
        <v>0</v>
      </c>
      <c r="D84" s="7">
        <f>COUNTIFS('All Clinics'!$H:$H,$A84,'All Clinics'!$B:$B,"Chiropractic")</f>
        <v>2</v>
      </c>
      <c r="E84" s="7">
        <f>COUNTIFS('All Clinics'!$H:$H,$A84,'All Clinics'!$B:$B,"Physical Therapy")</f>
        <v>0</v>
      </c>
      <c r="F84" s="7">
        <f>COUNTIFS('All Clinics'!$H:$H,$A84,'All Clinics'!$B:$B,"Imaging")</f>
        <v>0</v>
      </c>
      <c r="G84" s="7">
        <f>COUNTIFS('All Clinics'!$H:$H,$A84,'All Clinics'!$B:$B,"TMJ Specialists")</f>
        <v>0</v>
      </c>
      <c r="H84" s="7">
        <f>COUNTIFS('All Clinics'!$H:$H,$A84,'All Clinics'!$B:$B,"Oral Surgery")</f>
        <v>0</v>
      </c>
      <c r="I84" s="9">
        <f t="shared" si="3"/>
        <v>2</v>
      </c>
      <c r="J84" s="7">
        <f>COUNTIF('Older Entries'!$H:$H,$A84)</f>
        <v>2</v>
      </c>
    </row>
    <row r="85" spans="1:10" x14ac:dyDescent="0.3">
      <c r="A85" s="6" t="s">
        <v>89</v>
      </c>
      <c r="B85" s="10" t="s">
        <v>31</v>
      </c>
      <c r="C85" s="7">
        <f>COUNTIFS('All Clinics'!$H:$H,$A85,'All Clinics'!$B:$B,"Injury Physicians")</f>
        <v>0</v>
      </c>
      <c r="D85" s="7">
        <f>COUNTIFS('All Clinics'!$H:$H,$A85,'All Clinics'!$B:$B,"Chiropractic")</f>
        <v>1</v>
      </c>
      <c r="E85" s="7">
        <f>COUNTIFS('All Clinics'!$H:$H,$A85,'All Clinics'!$B:$B,"Physical Therapy")</f>
        <v>1</v>
      </c>
      <c r="F85" s="7">
        <f>COUNTIFS('All Clinics'!$H:$H,$A85,'All Clinics'!$B:$B,"Imaging")</f>
        <v>0</v>
      </c>
      <c r="G85" s="7">
        <f>COUNTIFS('All Clinics'!$H:$H,$A85,'All Clinics'!$B:$B,"TMJ Specialists")</f>
        <v>0</v>
      </c>
      <c r="H85" s="7">
        <f>COUNTIFS('All Clinics'!$H:$H,$A85,'All Clinics'!$B:$B,"Oral Surgery")</f>
        <v>0</v>
      </c>
      <c r="I85" s="9">
        <f t="shared" si="3"/>
        <v>2</v>
      </c>
      <c r="J85" s="7">
        <f>COUNTIF('Older Entries'!$H:$H,$A85)</f>
        <v>2</v>
      </c>
    </row>
    <row r="86" spans="1:10" x14ac:dyDescent="0.3">
      <c r="A86" s="6" t="s">
        <v>90</v>
      </c>
      <c r="B86" s="10" t="s">
        <v>32</v>
      </c>
      <c r="C86" s="7">
        <f>COUNTIFS('All Clinics'!$H:$H,$A86,'All Clinics'!$B:$B,"Injury Physicians")</f>
        <v>0</v>
      </c>
      <c r="D86" s="7">
        <f>COUNTIFS('All Clinics'!$H:$H,$A86,'All Clinics'!$B:$B,"Chiropractic")</f>
        <v>2</v>
      </c>
      <c r="E86" s="7">
        <f>COUNTIFS('All Clinics'!$H:$H,$A86,'All Clinics'!$B:$B,"Physical Therapy")</f>
        <v>0</v>
      </c>
      <c r="F86" s="7">
        <f>COUNTIFS('All Clinics'!$H:$H,$A86,'All Clinics'!$B:$B,"Imaging")</f>
        <v>0</v>
      </c>
      <c r="G86" s="7">
        <f>COUNTIFS('All Clinics'!$H:$H,$A86,'All Clinics'!$B:$B,"TMJ Specialists")</f>
        <v>0</v>
      </c>
      <c r="H86" s="7">
        <f>COUNTIFS('All Clinics'!$H:$H,$A86,'All Clinics'!$B:$B,"Oral Surgery")</f>
        <v>0</v>
      </c>
      <c r="I86" s="9">
        <f t="shared" si="3"/>
        <v>2</v>
      </c>
      <c r="J86" s="7">
        <f>COUNTIF('Older Entries'!$H:$H,$A86)</f>
        <v>12</v>
      </c>
    </row>
    <row r="87" spans="1:10" x14ac:dyDescent="0.3">
      <c r="A87" s="6" t="s">
        <v>91</v>
      </c>
      <c r="B87" s="10" t="s">
        <v>28</v>
      </c>
      <c r="C87" s="7">
        <f>COUNTIFS('All Clinics'!$H:$H,$A87,'All Clinics'!$B:$B,"Injury Physicians")</f>
        <v>0</v>
      </c>
      <c r="D87" s="7">
        <f>COUNTIFS('All Clinics'!$H:$H,$A87,'All Clinics'!$B:$B,"Chiropractic")</f>
        <v>1</v>
      </c>
      <c r="E87" s="7">
        <f>COUNTIFS('All Clinics'!$H:$H,$A87,'All Clinics'!$B:$B,"Physical Therapy")</f>
        <v>0</v>
      </c>
      <c r="F87" s="7">
        <f>COUNTIFS('All Clinics'!$H:$H,$A87,'All Clinics'!$B:$B,"Imaging")</f>
        <v>0</v>
      </c>
      <c r="G87" s="7">
        <f>COUNTIFS('All Clinics'!$H:$H,$A87,'All Clinics'!$B:$B,"TMJ Specialists")</f>
        <v>0</v>
      </c>
      <c r="H87" s="7">
        <f>COUNTIFS('All Clinics'!$H:$H,$A87,'All Clinics'!$B:$B,"Oral Surgery")</f>
        <v>0</v>
      </c>
      <c r="I87" s="9">
        <f t="shared" si="3"/>
        <v>1</v>
      </c>
      <c r="J87" s="7">
        <f>COUNTIF('Older Entries'!$H:$H,$A87)</f>
        <v>0</v>
      </c>
    </row>
    <row r="88" spans="1:10" x14ac:dyDescent="0.3">
      <c r="A88" s="6" t="s">
        <v>92</v>
      </c>
      <c r="B88" s="10" t="s">
        <v>33</v>
      </c>
      <c r="C88" s="7">
        <f>COUNTIFS('All Clinics'!$H:$H,$A88,'All Clinics'!$B:$B,"Injury Physicians")</f>
        <v>0</v>
      </c>
      <c r="D88" s="7">
        <f>COUNTIFS('All Clinics'!$H:$H,$A88,'All Clinics'!$B:$B,"Chiropractic")</f>
        <v>1</v>
      </c>
      <c r="E88" s="7">
        <f>COUNTIFS('All Clinics'!$H:$H,$A88,'All Clinics'!$B:$B,"Physical Therapy")</f>
        <v>0</v>
      </c>
      <c r="F88" s="7">
        <f>COUNTIFS('All Clinics'!$H:$H,$A88,'All Clinics'!$B:$B,"Imaging")</f>
        <v>0</v>
      </c>
      <c r="G88" s="7">
        <f>COUNTIFS('All Clinics'!$H:$H,$A88,'All Clinics'!$B:$B,"TMJ Specialists")</f>
        <v>0</v>
      </c>
      <c r="H88" s="7">
        <f>COUNTIFS('All Clinics'!$H:$H,$A88,'All Clinics'!$B:$B,"Oral Surgery")</f>
        <v>0</v>
      </c>
      <c r="I88" s="9">
        <f t="shared" si="3"/>
        <v>1</v>
      </c>
      <c r="J88" s="7">
        <f>COUNTIF('Older Entries'!$H:$H,$A88)</f>
        <v>2</v>
      </c>
    </row>
    <row r="89" spans="1:10" x14ac:dyDescent="0.3">
      <c r="A89" s="6" t="s">
        <v>93</v>
      </c>
      <c r="B89" s="10" t="s">
        <v>28</v>
      </c>
      <c r="C89" s="7">
        <f>COUNTIFS('All Clinics'!$H:$H,$A89,'All Clinics'!$B:$B,"Injury Physicians")</f>
        <v>0</v>
      </c>
      <c r="D89" s="7">
        <f>COUNTIFS('All Clinics'!$H:$H,$A89,'All Clinics'!$B:$B,"Chiropractic")</f>
        <v>1</v>
      </c>
      <c r="E89" s="7">
        <f>COUNTIFS('All Clinics'!$H:$H,$A89,'All Clinics'!$B:$B,"Physical Therapy")</f>
        <v>0</v>
      </c>
      <c r="F89" s="7">
        <f>COUNTIFS('All Clinics'!$H:$H,$A89,'All Clinics'!$B:$B,"Imaging")</f>
        <v>0</v>
      </c>
      <c r="G89" s="7">
        <f>COUNTIFS('All Clinics'!$H:$H,$A89,'All Clinics'!$B:$B,"TMJ Specialists")</f>
        <v>0</v>
      </c>
      <c r="H89" s="7">
        <f>COUNTIFS('All Clinics'!$H:$H,$A89,'All Clinics'!$B:$B,"Oral Surgery")</f>
        <v>0</v>
      </c>
      <c r="I89" s="9">
        <f t="shared" si="3"/>
        <v>1</v>
      </c>
      <c r="J89" s="7">
        <f>COUNTIF('Older Entries'!$H:$H,$A89)</f>
        <v>5</v>
      </c>
    </row>
    <row r="90" spans="1:10" x14ac:dyDescent="0.3">
      <c r="A90" s="6" t="s">
        <v>94</v>
      </c>
      <c r="B90" s="10" t="s">
        <v>28</v>
      </c>
      <c r="C90" s="7">
        <f>COUNTIFS('All Clinics'!$H:$H,$A90,'All Clinics'!$B:$B,"Injury Physicians")</f>
        <v>0</v>
      </c>
      <c r="D90" s="7">
        <f>COUNTIFS('All Clinics'!$H:$H,$A90,'All Clinics'!$B:$B,"Chiropractic")</f>
        <v>1</v>
      </c>
      <c r="E90" s="7">
        <f>COUNTIFS('All Clinics'!$H:$H,$A90,'All Clinics'!$B:$B,"Physical Therapy")</f>
        <v>0</v>
      </c>
      <c r="F90" s="7">
        <f>COUNTIFS('All Clinics'!$H:$H,$A90,'All Clinics'!$B:$B,"Imaging")</f>
        <v>0</v>
      </c>
      <c r="G90" s="7">
        <f>COUNTIFS('All Clinics'!$H:$H,$A90,'All Clinics'!$B:$B,"TMJ Specialists")</f>
        <v>0</v>
      </c>
      <c r="H90" s="7">
        <f>COUNTIFS('All Clinics'!$H:$H,$A90,'All Clinics'!$B:$B,"Oral Surgery")</f>
        <v>0</v>
      </c>
      <c r="I90" s="9">
        <f t="shared" si="3"/>
        <v>1</v>
      </c>
      <c r="J90" s="7">
        <f>COUNTIF('Older Entries'!$H:$H,$A90)</f>
        <v>1</v>
      </c>
    </row>
    <row r="91" spans="1:10" x14ac:dyDescent="0.3">
      <c r="A91" s="6" t="s">
        <v>95</v>
      </c>
      <c r="B91" s="10" t="s">
        <v>29</v>
      </c>
      <c r="C91" s="7">
        <f>COUNTIFS('All Clinics'!$H:$H,$A91,'All Clinics'!$B:$B,"Injury Physicians")</f>
        <v>0</v>
      </c>
      <c r="D91" s="7">
        <f>COUNTIFS('All Clinics'!$H:$H,$A91,'All Clinics'!$B:$B,"Chiropractic")</f>
        <v>1</v>
      </c>
      <c r="E91" s="7">
        <f>COUNTIFS('All Clinics'!$H:$H,$A91,'All Clinics'!$B:$B,"Physical Therapy")</f>
        <v>0</v>
      </c>
      <c r="F91" s="7">
        <f>COUNTIFS('All Clinics'!$H:$H,$A91,'All Clinics'!$B:$B,"Imaging")</f>
        <v>0</v>
      </c>
      <c r="G91" s="7">
        <f>COUNTIFS('All Clinics'!$H:$H,$A91,'All Clinics'!$B:$B,"TMJ Specialists")</f>
        <v>0</v>
      </c>
      <c r="H91" s="7">
        <f>COUNTIFS('All Clinics'!$H:$H,$A91,'All Clinics'!$B:$B,"Oral Surgery")</f>
        <v>0</v>
      </c>
      <c r="I91" s="9">
        <f t="shared" si="3"/>
        <v>1</v>
      </c>
      <c r="J91" s="7">
        <f>COUNTIF('Older Entries'!$H:$H,$A91)</f>
        <v>0</v>
      </c>
    </row>
    <row r="92" spans="1:10" x14ac:dyDescent="0.3">
      <c r="A92" s="6" t="s">
        <v>96</v>
      </c>
      <c r="B92" s="10" t="s">
        <v>29</v>
      </c>
      <c r="C92" s="7">
        <f>COUNTIFS('All Clinics'!$H:$H,$A92,'All Clinics'!$B:$B,"Injury Physicians")</f>
        <v>0</v>
      </c>
      <c r="D92" s="7">
        <f>COUNTIFS('All Clinics'!$H:$H,$A92,'All Clinics'!$B:$B,"Chiropractic")</f>
        <v>0</v>
      </c>
      <c r="E92" s="7">
        <f>COUNTIFS('All Clinics'!$H:$H,$A92,'All Clinics'!$B:$B,"Physical Therapy")</f>
        <v>1</v>
      </c>
      <c r="F92" s="7">
        <f>COUNTIFS('All Clinics'!$H:$H,$A92,'All Clinics'!$B:$B,"Imaging")</f>
        <v>0</v>
      </c>
      <c r="G92" s="7">
        <f>COUNTIFS('All Clinics'!$H:$H,$A92,'All Clinics'!$B:$B,"TMJ Specialists")</f>
        <v>0</v>
      </c>
      <c r="H92" s="7">
        <f>COUNTIFS('All Clinics'!$H:$H,$A92,'All Clinics'!$B:$B,"Oral Surgery")</f>
        <v>0</v>
      </c>
      <c r="I92" s="9">
        <f t="shared" si="3"/>
        <v>1</v>
      </c>
      <c r="J92" s="7">
        <f>COUNTIF('Older Entries'!$H:$H,$A92)</f>
        <v>1</v>
      </c>
    </row>
    <row r="93" spans="1:10" x14ac:dyDescent="0.3">
      <c r="A93" s="6" t="s">
        <v>97</v>
      </c>
      <c r="B93" s="10" t="s">
        <v>27</v>
      </c>
      <c r="C93" s="7">
        <f>COUNTIFS('All Clinics'!$H:$H,$A93,'All Clinics'!$B:$B,"Injury Physicians")</f>
        <v>0</v>
      </c>
      <c r="D93" s="7">
        <f>COUNTIFS('All Clinics'!$H:$H,$A93,'All Clinics'!$B:$B,"Chiropractic")</f>
        <v>1</v>
      </c>
      <c r="E93" s="7">
        <f>COUNTIFS('All Clinics'!$H:$H,$A93,'All Clinics'!$B:$B,"Physical Therapy")</f>
        <v>0</v>
      </c>
      <c r="F93" s="7">
        <f>COUNTIFS('All Clinics'!$H:$H,$A93,'All Clinics'!$B:$B,"Imaging")</f>
        <v>0</v>
      </c>
      <c r="G93" s="7">
        <f>COUNTIFS('All Clinics'!$H:$H,$A93,'All Clinics'!$B:$B,"TMJ Specialists")</f>
        <v>0</v>
      </c>
      <c r="H93" s="7">
        <f>COUNTIFS('All Clinics'!$H:$H,$A93,'All Clinics'!$B:$B,"Oral Surgery")</f>
        <v>0</v>
      </c>
      <c r="I93" s="9">
        <f t="shared" si="3"/>
        <v>1</v>
      </c>
      <c r="J93" s="7">
        <f>COUNTIF('Older Entries'!$H:$H,$A93)</f>
        <v>14</v>
      </c>
    </row>
    <row r="94" spans="1:10" x14ac:dyDescent="0.3">
      <c r="A94" s="6" t="s">
        <v>98</v>
      </c>
      <c r="B94" s="10" t="s">
        <v>32</v>
      </c>
      <c r="C94" s="7">
        <f>COUNTIFS('All Clinics'!$H:$H,$A94,'All Clinics'!$B:$B,"Injury Physicians")</f>
        <v>0</v>
      </c>
      <c r="D94" s="7">
        <f>COUNTIFS('All Clinics'!$H:$H,$A94,'All Clinics'!$B:$B,"Chiropractic")</f>
        <v>1</v>
      </c>
      <c r="E94" s="7">
        <f>COUNTIFS('All Clinics'!$H:$H,$A94,'All Clinics'!$B:$B,"Physical Therapy")</f>
        <v>0</v>
      </c>
      <c r="F94" s="7">
        <f>COUNTIFS('All Clinics'!$H:$H,$A94,'All Clinics'!$B:$B,"Imaging")</f>
        <v>0</v>
      </c>
      <c r="G94" s="7">
        <f>COUNTIFS('All Clinics'!$H:$H,$A94,'All Clinics'!$B:$B,"TMJ Specialists")</f>
        <v>0</v>
      </c>
      <c r="H94" s="7">
        <f>COUNTIFS('All Clinics'!$H:$H,$A94,'All Clinics'!$B:$B,"Oral Surgery")</f>
        <v>0</v>
      </c>
      <c r="I94" s="9">
        <f t="shared" si="3"/>
        <v>1</v>
      </c>
      <c r="J94" s="7">
        <f>COUNTIF('Older Entries'!$H:$H,$A94)</f>
        <v>6</v>
      </c>
    </row>
    <row r="95" spans="1:10" x14ac:dyDescent="0.3">
      <c r="A95" s="6" t="s">
        <v>99</v>
      </c>
      <c r="B95" s="10" t="s">
        <v>31</v>
      </c>
      <c r="C95" s="7">
        <f>COUNTIFS('All Clinics'!$H:$H,$A95,'All Clinics'!$B:$B,"Injury Physicians")</f>
        <v>0</v>
      </c>
      <c r="D95" s="7">
        <f>COUNTIFS('All Clinics'!$H:$H,$A95,'All Clinics'!$B:$B,"Chiropractic")</f>
        <v>0</v>
      </c>
      <c r="E95" s="7">
        <f>COUNTIFS('All Clinics'!$H:$H,$A95,'All Clinics'!$B:$B,"Physical Therapy")</f>
        <v>1</v>
      </c>
      <c r="F95" s="7">
        <f>COUNTIFS('All Clinics'!$H:$H,$A95,'All Clinics'!$B:$B,"Imaging")</f>
        <v>0</v>
      </c>
      <c r="G95" s="7">
        <f>COUNTIFS('All Clinics'!$H:$H,$A95,'All Clinics'!$B:$B,"TMJ Specialists")</f>
        <v>0</v>
      </c>
      <c r="H95" s="7">
        <f>COUNTIFS('All Clinics'!$H:$H,$A95,'All Clinics'!$B:$B,"Oral Surgery")</f>
        <v>0</v>
      </c>
      <c r="I95" s="9">
        <f t="shared" si="3"/>
        <v>1</v>
      </c>
      <c r="J95" s="7">
        <f>COUNTIF('Older Entries'!$H:$H,$A95)</f>
        <v>3</v>
      </c>
    </row>
    <row r="96" spans="1:10" x14ac:dyDescent="0.3">
      <c r="A96" s="6" t="s">
        <v>100</v>
      </c>
      <c r="B96" s="10" t="s">
        <v>30</v>
      </c>
      <c r="C96" s="7">
        <f>COUNTIFS('All Clinics'!$H:$H,$A96,'All Clinics'!$B:$B,"Injury Physicians")</f>
        <v>0</v>
      </c>
      <c r="D96" s="7">
        <f>COUNTIFS('All Clinics'!$H:$H,$A96,'All Clinics'!$B:$B,"Chiropractic")</f>
        <v>1</v>
      </c>
      <c r="E96" s="7">
        <f>COUNTIFS('All Clinics'!$H:$H,$A96,'All Clinics'!$B:$B,"Physical Therapy")</f>
        <v>0</v>
      </c>
      <c r="F96" s="7">
        <f>COUNTIFS('All Clinics'!$H:$H,$A96,'All Clinics'!$B:$B,"Imaging")</f>
        <v>0</v>
      </c>
      <c r="G96" s="7">
        <f>COUNTIFS('All Clinics'!$H:$H,$A96,'All Clinics'!$B:$B,"TMJ Specialists")</f>
        <v>0</v>
      </c>
      <c r="H96" s="7">
        <f>COUNTIFS('All Clinics'!$H:$H,$A96,'All Clinics'!$B:$B,"Oral Surgery")</f>
        <v>0</v>
      </c>
      <c r="I96" s="9">
        <f t="shared" ref="I96:I127" si="4">SUM(C96:H96)</f>
        <v>1</v>
      </c>
      <c r="J96" s="7">
        <f>COUNTIF('Older Entries'!$H:$H,$A96)</f>
        <v>2</v>
      </c>
    </row>
    <row r="97" spans="1:10" x14ac:dyDescent="0.3">
      <c r="A97" s="6" t="s">
        <v>101</v>
      </c>
      <c r="B97" s="10" t="s">
        <v>33</v>
      </c>
      <c r="C97" s="7">
        <f>COUNTIFS('All Clinics'!$H:$H,$A97,'All Clinics'!$B:$B,"Injury Physicians")</f>
        <v>0</v>
      </c>
      <c r="D97" s="7">
        <f>COUNTIFS('All Clinics'!$H:$H,$A97,'All Clinics'!$B:$B,"Chiropractic")</f>
        <v>1</v>
      </c>
      <c r="E97" s="7">
        <f>COUNTIFS('All Clinics'!$H:$H,$A97,'All Clinics'!$B:$B,"Physical Therapy")</f>
        <v>0</v>
      </c>
      <c r="F97" s="7">
        <f>COUNTIFS('All Clinics'!$H:$H,$A97,'All Clinics'!$B:$B,"Imaging")</f>
        <v>0</v>
      </c>
      <c r="G97" s="7">
        <f>COUNTIFS('All Clinics'!$H:$H,$A97,'All Clinics'!$B:$B,"TMJ Specialists")</f>
        <v>0</v>
      </c>
      <c r="H97" s="7">
        <f>COUNTIFS('All Clinics'!$H:$H,$A97,'All Clinics'!$B:$B,"Oral Surgery")</f>
        <v>0</v>
      </c>
      <c r="I97" s="9">
        <f t="shared" si="4"/>
        <v>1</v>
      </c>
      <c r="J97" s="7">
        <f>COUNTIF('Older Entries'!$H:$H,$A97)</f>
        <v>7</v>
      </c>
    </row>
    <row r="98" spans="1:10" x14ac:dyDescent="0.3">
      <c r="A98" s="6" t="s">
        <v>102</v>
      </c>
      <c r="B98" s="10" t="s">
        <v>33</v>
      </c>
      <c r="C98" s="7">
        <f>COUNTIFS('All Clinics'!$H:$H,$A98,'All Clinics'!$B:$B,"Injury Physicians")</f>
        <v>0</v>
      </c>
      <c r="D98" s="7">
        <f>COUNTIFS('All Clinics'!$H:$H,$A98,'All Clinics'!$B:$B,"Chiropractic")</f>
        <v>1</v>
      </c>
      <c r="E98" s="7">
        <f>COUNTIFS('All Clinics'!$H:$H,$A98,'All Clinics'!$B:$B,"Physical Therapy")</f>
        <v>0</v>
      </c>
      <c r="F98" s="7">
        <f>COUNTIFS('All Clinics'!$H:$H,$A98,'All Clinics'!$B:$B,"Imaging")</f>
        <v>0</v>
      </c>
      <c r="G98" s="7">
        <f>COUNTIFS('All Clinics'!$H:$H,$A98,'All Clinics'!$B:$B,"TMJ Specialists")</f>
        <v>0</v>
      </c>
      <c r="H98" s="7">
        <f>COUNTIFS('All Clinics'!$H:$H,$A98,'All Clinics'!$B:$B,"Oral Surgery")</f>
        <v>0</v>
      </c>
      <c r="I98" s="9">
        <f t="shared" si="4"/>
        <v>1</v>
      </c>
      <c r="J98" s="7">
        <f>COUNTIF('Older Entries'!$H:$H,$A98)</f>
        <v>1</v>
      </c>
    </row>
    <row r="99" spans="1:10" x14ac:dyDescent="0.3">
      <c r="A99" s="6" t="s">
        <v>103</v>
      </c>
      <c r="B99" s="10" t="s">
        <v>33</v>
      </c>
      <c r="C99" s="7">
        <f>COUNTIFS('All Clinics'!$H:$H,$A99,'All Clinics'!$B:$B,"Injury Physicians")</f>
        <v>0</v>
      </c>
      <c r="D99" s="7">
        <f>COUNTIFS('All Clinics'!$H:$H,$A99,'All Clinics'!$B:$B,"Chiropractic")</f>
        <v>1</v>
      </c>
      <c r="E99" s="7">
        <f>COUNTIFS('All Clinics'!$H:$H,$A99,'All Clinics'!$B:$B,"Physical Therapy")</f>
        <v>0</v>
      </c>
      <c r="F99" s="7">
        <f>COUNTIFS('All Clinics'!$H:$H,$A99,'All Clinics'!$B:$B,"Imaging")</f>
        <v>0</v>
      </c>
      <c r="G99" s="7">
        <f>COUNTIFS('All Clinics'!$H:$H,$A99,'All Clinics'!$B:$B,"TMJ Specialists")</f>
        <v>0</v>
      </c>
      <c r="H99" s="7">
        <f>COUNTIFS('All Clinics'!$H:$H,$A99,'All Clinics'!$B:$B,"Oral Surgery")</f>
        <v>0</v>
      </c>
      <c r="I99" s="9">
        <f t="shared" si="4"/>
        <v>1</v>
      </c>
      <c r="J99" s="7">
        <f>COUNTIF('Older Entries'!$H:$H,$A99)</f>
        <v>1</v>
      </c>
    </row>
    <row r="100" spans="1:10" x14ac:dyDescent="0.3">
      <c r="A100" s="6" t="s">
        <v>104</v>
      </c>
      <c r="B100" s="10" t="s">
        <v>27</v>
      </c>
      <c r="C100" s="7">
        <f>COUNTIFS('All Clinics'!$H:$H,$A100,'All Clinics'!$B:$B,"Injury Physicians")</f>
        <v>0</v>
      </c>
      <c r="D100" s="7">
        <f>COUNTIFS('All Clinics'!$H:$H,$A100,'All Clinics'!$B:$B,"Chiropractic")</f>
        <v>0</v>
      </c>
      <c r="E100" s="7">
        <f>COUNTIFS('All Clinics'!$H:$H,$A100,'All Clinics'!$B:$B,"Physical Therapy")</f>
        <v>1</v>
      </c>
      <c r="F100" s="7">
        <f>COUNTIFS('All Clinics'!$H:$H,$A100,'All Clinics'!$B:$B,"Imaging")</f>
        <v>0</v>
      </c>
      <c r="G100" s="7">
        <f>COUNTIFS('All Clinics'!$H:$H,$A100,'All Clinics'!$B:$B,"TMJ Specialists")</f>
        <v>0</v>
      </c>
      <c r="H100" s="7">
        <f>COUNTIFS('All Clinics'!$H:$H,$A100,'All Clinics'!$B:$B,"Oral Surgery")</f>
        <v>0</v>
      </c>
      <c r="I100" s="9">
        <f t="shared" si="4"/>
        <v>1</v>
      </c>
      <c r="J100" s="7">
        <f>COUNTIF('Older Entries'!$H:$H,$A100)</f>
        <v>3</v>
      </c>
    </row>
    <row r="101" spans="1:10" x14ac:dyDescent="0.3">
      <c r="A101" s="6" t="s">
        <v>105</v>
      </c>
      <c r="B101" s="10" t="s">
        <v>32</v>
      </c>
      <c r="C101" s="7">
        <f>COUNTIFS('All Clinics'!$H:$H,$A101,'All Clinics'!$B:$B,"Injury Physicians")</f>
        <v>0</v>
      </c>
      <c r="D101" s="7">
        <f>COUNTIFS('All Clinics'!$H:$H,$A101,'All Clinics'!$B:$B,"Chiropractic")</f>
        <v>1</v>
      </c>
      <c r="E101" s="7">
        <f>COUNTIFS('All Clinics'!$H:$H,$A101,'All Clinics'!$B:$B,"Physical Therapy")</f>
        <v>0</v>
      </c>
      <c r="F101" s="7">
        <f>COUNTIFS('All Clinics'!$H:$H,$A101,'All Clinics'!$B:$B,"Imaging")</f>
        <v>0</v>
      </c>
      <c r="G101" s="7">
        <f>COUNTIFS('All Clinics'!$H:$H,$A101,'All Clinics'!$B:$B,"TMJ Specialists")</f>
        <v>0</v>
      </c>
      <c r="H101" s="7">
        <f>COUNTIFS('All Clinics'!$H:$H,$A101,'All Clinics'!$B:$B,"Oral Surgery")</f>
        <v>0</v>
      </c>
      <c r="I101" s="9">
        <f t="shared" si="4"/>
        <v>1</v>
      </c>
      <c r="J101" s="7">
        <f>COUNTIF('Older Entries'!$H:$H,$A101)</f>
        <v>3</v>
      </c>
    </row>
    <row r="102" spans="1:10" x14ac:dyDescent="0.3">
      <c r="A102" s="6" t="s">
        <v>106</v>
      </c>
      <c r="B102" s="10" t="s">
        <v>28</v>
      </c>
      <c r="C102" s="7">
        <f>COUNTIFS('All Clinics'!$H:$H,$A102,'All Clinics'!$B:$B,"Injury Physicians")</f>
        <v>0</v>
      </c>
      <c r="D102" s="7">
        <f>COUNTIFS('All Clinics'!$H:$H,$A102,'All Clinics'!$B:$B,"Chiropractic")</f>
        <v>0</v>
      </c>
      <c r="E102" s="7">
        <f>COUNTIFS('All Clinics'!$H:$H,$A102,'All Clinics'!$B:$B,"Physical Therapy")</f>
        <v>0</v>
      </c>
      <c r="F102" s="7">
        <f>COUNTIFS('All Clinics'!$H:$H,$A102,'All Clinics'!$B:$B,"Imaging")</f>
        <v>0</v>
      </c>
      <c r="G102" s="7">
        <f>COUNTIFS('All Clinics'!$H:$H,$A102,'All Clinics'!$B:$B,"TMJ Specialists")</f>
        <v>0</v>
      </c>
      <c r="H102" s="7">
        <f>COUNTIFS('All Clinics'!$H:$H,$A102,'All Clinics'!$B:$B,"Oral Surgery")</f>
        <v>0</v>
      </c>
      <c r="I102" s="9">
        <f t="shared" si="4"/>
        <v>0</v>
      </c>
      <c r="J102" s="7">
        <f>COUNTIF('Older Entries'!$H:$H,$A102)</f>
        <v>2</v>
      </c>
    </row>
    <row r="103" spans="1:10" x14ac:dyDescent="0.3">
      <c r="A103" s="6" t="s">
        <v>107</v>
      </c>
      <c r="B103" s="10" t="s">
        <v>30</v>
      </c>
      <c r="C103" s="7">
        <f>COUNTIFS('All Clinics'!$H:$H,$A103,'All Clinics'!$B:$B,"Injury Physicians")</f>
        <v>0</v>
      </c>
      <c r="D103" s="7">
        <f>COUNTIFS('All Clinics'!$H:$H,$A103,'All Clinics'!$B:$B,"Chiropractic")</f>
        <v>0</v>
      </c>
      <c r="E103" s="7">
        <f>COUNTIFS('All Clinics'!$H:$H,$A103,'All Clinics'!$B:$B,"Physical Therapy")</f>
        <v>0</v>
      </c>
      <c r="F103" s="7">
        <f>COUNTIFS('All Clinics'!$H:$H,$A103,'All Clinics'!$B:$B,"Imaging")</f>
        <v>0</v>
      </c>
      <c r="G103" s="7">
        <f>COUNTIFS('All Clinics'!$H:$H,$A103,'All Clinics'!$B:$B,"TMJ Specialists")</f>
        <v>0</v>
      </c>
      <c r="H103" s="7">
        <f>COUNTIFS('All Clinics'!$H:$H,$A103,'All Clinics'!$B:$B,"Oral Surgery")</f>
        <v>0</v>
      </c>
      <c r="I103" s="9">
        <f t="shared" si="4"/>
        <v>0</v>
      </c>
      <c r="J103" s="7">
        <f>COUNTIF('Older Entries'!$H:$H,$A103)</f>
        <v>1</v>
      </c>
    </row>
    <row r="104" spans="1:10" x14ac:dyDescent="0.3">
      <c r="A104" s="6" t="s">
        <v>108</v>
      </c>
      <c r="B104" s="10" t="s">
        <v>27</v>
      </c>
      <c r="C104" s="7">
        <f>COUNTIFS('All Clinics'!$H:$H,$A104,'All Clinics'!$B:$B,"Injury Physicians")</f>
        <v>0</v>
      </c>
      <c r="D104" s="7">
        <f>COUNTIFS('All Clinics'!$H:$H,$A104,'All Clinics'!$B:$B,"Chiropractic")</f>
        <v>0</v>
      </c>
      <c r="E104" s="7">
        <f>COUNTIFS('All Clinics'!$H:$H,$A104,'All Clinics'!$B:$B,"Physical Therapy")</f>
        <v>0</v>
      </c>
      <c r="F104" s="7">
        <f>COUNTIFS('All Clinics'!$H:$H,$A104,'All Clinics'!$B:$B,"Imaging")</f>
        <v>0</v>
      </c>
      <c r="G104" s="7">
        <f>COUNTIFS('All Clinics'!$H:$H,$A104,'All Clinics'!$B:$B,"TMJ Specialists")</f>
        <v>0</v>
      </c>
      <c r="H104" s="7">
        <f>COUNTIFS('All Clinics'!$H:$H,$A104,'All Clinics'!$B:$B,"Oral Surgery")</f>
        <v>0</v>
      </c>
      <c r="I104" s="9">
        <f t="shared" si="4"/>
        <v>0</v>
      </c>
      <c r="J104" s="7">
        <f>COUNTIF('Older Entries'!$H:$H,$A104)</f>
        <v>4</v>
      </c>
    </row>
    <row r="105" spans="1:10" x14ac:dyDescent="0.3">
      <c r="A105" s="6" t="s">
        <v>109</v>
      </c>
      <c r="B105" s="10" t="s">
        <v>28</v>
      </c>
      <c r="C105" s="7">
        <f>COUNTIFS('All Clinics'!$H:$H,$A105,'All Clinics'!$B:$B,"Injury Physicians")</f>
        <v>0</v>
      </c>
      <c r="D105" s="7">
        <f>COUNTIFS('All Clinics'!$H:$H,$A105,'All Clinics'!$B:$B,"Chiropractic")</f>
        <v>0</v>
      </c>
      <c r="E105" s="7">
        <f>COUNTIFS('All Clinics'!$H:$H,$A105,'All Clinics'!$B:$B,"Physical Therapy")</f>
        <v>0</v>
      </c>
      <c r="F105" s="7">
        <f>COUNTIFS('All Clinics'!$H:$H,$A105,'All Clinics'!$B:$B,"Imaging")</f>
        <v>0</v>
      </c>
      <c r="G105" s="7">
        <f>COUNTIFS('All Clinics'!$H:$H,$A105,'All Clinics'!$B:$B,"TMJ Specialists")</f>
        <v>0</v>
      </c>
      <c r="H105" s="7">
        <f>COUNTIFS('All Clinics'!$H:$H,$A105,'All Clinics'!$B:$B,"Oral Surgery")</f>
        <v>0</v>
      </c>
      <c r="I105" s="9">
        <f t="shared" si="4"/>
        <v>0</v>
      </c>
      <c r="J105" s="7">
        <f>COUNTIF('Older Entries'!$H:$H,$A105)</f>
        <v>6</v>
      </c>
    </row>
    <row r="106" spans="1:10" x14ac:dyDescent="0.3">
      <c r="A106" s="6" t="s">
        <v>110</v>
      </c>
      <c r="B106" s="10" t="s">
        <v>33</v>
      </c>
      <c r="C106" s="7">
        <f>COUNTIFS('All Clinics'!$H:$H,$A106,'All Clinics'!$B:$B,"Injury Physicians")</f>
        <v>0</v>
      </c>
      <c r="D106" s="7">
        <f>COUNTIFS('All Clinics'!$H:$H,$A106,'All Clinics'!$B:$B,"Chiropractic")</f>
        <v>0</v>
      </c>
      <c r="E106" s="7">
        <f>COUNTIFS('All Clinics'!$H:$H,$A106,'All Clinics'!$B:$B,"Physical Therapy")</f>
        <v>0</v>
      </c>
      <c r="F106" s="7">
        <f>COUNTIFS('All Clinics'!$H:$H,$A106,'All Clinics'!$B:$B,"Imaging")</f>
        <v>0</v>
      </c>
      <c r="G106" s="7">
        <f>COUNTIFS('All Clinics'!$H:$H,$A106,'All Clinics'!$B:$B,"TMJ Specialists")</f>
        <v>0</v>
      </c>
      <c r="H106" s="7">
        <f>COUNTIFS('All Clinics'!$H:$H,$A106,'All Clinics'!$B:$B,"Oral Surgery")</f>
        <v>0</v>
      </c>
      <c r="I106" s="9">
        <f t="shared" si="4"/>
        <v>0</v>
      </c>
      <c r="J106" s="7">
        <f>COUNTIF('Older Entries'!$H:$H,$A106)</f>
        <v>2</v>
      </c>
    </row>
    <row r="107" spans="1:10" x14ac:dyDescent="0.3">
      <c r="A107" s="6" t="s">
        <v>111</v>
      </c>
      <c r="B107" s="10" t="s">
        <v>28</v>
      </c>
      <c r="C107" s="7">
        <f>COUNTIFS('All Clinics'!$H:$H,$A107,'All Clinics'!$B:$B,"Injury Physicians")</f>
        <v>0</v>
      </c>
      <c r="D107" s="7">
        <f>COUNTIFS('All Clinics'!$H:$H,$A107,'All Clinics'!$B:$B,"Chiropractic")</f>
        <v>0</v>
      </c>
      <c r="E107" s="7">
        <f>COUNTIFS('All Clinics'!$H:$H,$A107,'All Clinics'!$B:$B,"Physical Therapy")</f>
        <v>0</v>
      </c>
      <c r="F107" s="7">
        <f>COUNTIFS('All Clinics'!$H:$H,$A107,'All Clinics'!$B:$B,"Imaging")</f>
        <v>0</v>
      </c>
      <c r="G107" s="7">
        <f>COUNTIFS('All Clinics'!$H:$H,$A107,'All Clinics'!$B:$B,"TMJ Specialists")</f>
        <v>0</v>
      </c>
      <c r="H107" s="7">
        <f>COUNTIFS('All Clinics'!$H:$H,$A107,'All Clinics'!$B:$B,"Oral Surgery")</f>
        <v>0</v>
      </c>
      <c r="I107" s="9">
        <f t="shared" si="4"/>
        <v>0</v>
      </c>
      <c r="J107" s="7">
        <f>COUNTIF('Older Entries'!$H:$H,$A107)</f>
        <v>4</v>
      </c>
    </row>
    <row r="108" spans="1:10" x14ac:dyDescent="0.3">
      <c r="A108" s="6" t="s">
        <v>112</v>
      </c>
      <c r="B108" s="10" t="s">
        <v>29</v>
      </c>
      <c r="C108" s="7">
        <f>COUNTIFS('All Clinics'!$H:$H,$A108,'All Clinics'!$B:$B,"Injury Physicians")</f>
        <v>0</v>
      </c>
      <c r="D108" s="7">
        <f>COUNTIFS('All Clinics'!$H:$H,$A108,'All Clinics'!$B:$B,"Chiropractic")</f>
        <v>0</v>
      </c>
      <c r="E108" s="7">
        <f>COUNTIFS('All Clinics'!$H:$H,$A108,'All Clinics'!$B:$B,"Physical Therapy")</f>
        <v>0</v>
      </c>
      <c r="F108" s="7">
        <f>COUNTIFS('All Clinics'!$H:$H,$A108,'All Clinics'!$B:$B,"Imaging")</f>
        <v>0</v>
      </c>
      <c r="G108" s="7">
        <f>COUNTIFS('All Clinics'!$H:$H,$A108,'All Clinics'!$B:$B,"TMJ Specialists")</f>
        <v>0</v>
      </c>
      <c r="H108" s="7">
        <f>COUNTIFS('All Clinics'!$H:$H,$A108,'All Clinics'!$B:$B,"Oral Surgery")</f>
        <v>0</v>
      </c>
      <c r="I108" s="9">
        <f t="shared" si="4"/>
        <v>0</v>
      </c>
      <c r="J108" s="7">
        <f>COUNTIF('Older Entries'!$H:$H,$A108)</f>
        <v>0</v>
      </c>
    </row>
    <row r="109" spans="1:10" x14ac:dyDescent="0.3">
      <c r="A109" s="6" t="s">
        <v>113</v>
      </c>
      <c r="B109" s="10" t="s">
        <v>33</v>
      </c>
      <c r="C109" s="7">
        <f>COUNTIFS('All Clinics'!$H:$H,$A109,'All Clinics'!$B:$B,"Injury Physicians")</f>
        <v>0</v>
      </c>
      <c r="D109" s="7">
        <f>COUNTIFS('All Clinics'!$H:$H,$A109,'All Clinics'!$B:$B,"Chiropractic")</f>
        <v>0</v>
      </c>
      <c r="E109" s="7">
        <f>COUNTIFS('All Clinics'!$H:$H,$A109,'All Clinics'!$B:$B,"Physical Therapy")</f>
        <v>0</v>
      </c>
      <c r="F109" s="7">
        <f>COUNTIFS('All Clinics'!$H:$H,$A109,'All Clinics'!$B:$B,"Imaging")</f>
        <v>0</v>
      </c>
      <c r="G109" s="7">
        <f>COUNTIFS('All Clinics'!$H:$H,$A109,'All Clinics'!$B:$B,"TMJ Specialists")</f>
        <v>0</v>
      </c>
      <c r="H109" s="7">
        <f>COUNTIFS('All Clinics'!$H:$H,$A109,'All Clinics'!$B:$B,"Oral Surgery")</f>
        <v>0</v>
      </c>
      <c r="I109" s="9">
        <f t="shared" si="4"/>
        <v>0</v>
      </c>
      <c r="J109" s="7">
        <f>COUNTIF('Older Entries'!$H:$H,$A109)</f>
        <v>4</v>
      </c>
    </row>
    <row r="110" spans="1:10" x14ac:dyDescent="0.3">
      <c r="A110" s="6" t="s">
        <v>114</v>
      </c>
      <c r="B110" s="10" t="s">
        <v>29</v>
      </c>
      <c r="C110" s="7">
        <f>COUNTIFS('All Clinics'!$H:$H,$A110,'All Clinics'!$B:$B,"Injury Physicians")</f>
        <v>0</v>
      </c>
      <c r="D110" s="7">
        <f>COUNTIFS('All Clinics'!$H:$H,$A110,'All Clinics'!$B:$B,"Chiropractic")</f>
        <v>0</v>
      </c>
      <c r="E110" s="7">
        <f>COUNTIFS('All Clinics'!$H:$H,$A110,'All Clinics'!$B:$B,"Physical Therapy")</f>
        <v>0</v>
      </c>
      <c r="F110" s="7">
        <f>COUNTIFS('All Clinics'!$H:$H,$A110,'All Clinics'!$B:$B,"Imaging")</f>
        <v>0</v>
      </c>
      <c r="G110" s="7">
        <f>COUNTIFS('All Clinics'!$H:$H,$A110,'All Clinics'!$B:$B,"TMJ Specialists")</f>
        <v>0</v>
      </c>
      <c r="H110" s="7">
        <f>COUNTIFS('All Clinics'!$H:$H,$A110,'All Clinics'!$B:$B,"Oral Surgery")</f>
        <v>0</v>
      </c>
      <c r="I110" s="9">
        <f t="shared" si="4"/>
        <v>0</v>
      </c>
      <c r="J110" s="7">
        <f>COUNTIF('Older Entries'!$H:$H,$A110)</f>
        <v>0</v>
      </c>
    </row>
    <row r="111" spans="1:10" x14ac:dyDescent="0.3">
      <c r="A111" s="6" t="s">
        <v>115</v>
      </c>
      <c r="B111" s="10" t="s">
        <v>27</v>
      </c>
      <c r="C111" s="7">
        <f>COUNTIFS('All Clinics'!$H:$H,$A111,'All Clinics'!$B:$B,"Injury Physicians")</f>
        <v>0</v>
      </c>
      <c r="D111" s="7">
        <f>COUNTIFS('All Clinics'!$H:$H,$A111,'All Clinics'!$B:$B,"Chiropractic")</f>
        <v>0</v>
      </c>
      <c r="E111" s="7">
        <f>COUNTIFS('All Clinics'!$H:$H,$A111,'All Clinics'!$B:$B,"Physical Therapy")</f>
        <v>0</v>
      </c>
      <c r="F111" s="7">
        <f>COUNTIFS('All Clinics'!$H:$H,$A111,'All Clinics'!$B:$B,"Imaging")</f>
        <v>0</v>
      </c>
      <c r="G111" s="7">
        <f>COUNTIFS('All Clinics'!$H:$H,$A111,'All Clinics'!$B:$B,"TMJ Specialists")</f>
        <v>0</v>
      </c>
      <c r="H111" s="7">
        <f>COUNTIFS('All Clinics'!$H:$H,$A111,'All Clinics'!$B:$B,"Oral Surgery")</f>
        <v>0</v>
      </c>
      <c r="I111" s="9">
        <f t="shared" si="4"/>
        <v>0</v>
      </c>
      <c r="J111" s="7">
        <f>COUNTIF('Older Entries'!$H:$H,$A111)</f>
        <v>5</v>
      </c>
    </row>
    <row r="112" spans="1:10" x14ac:dyDescent="0.3">
      <c r="A112" s="6" t="s">
        <v>116</v>
      </c>
      <c r="B112" s="10" t="s">
        <v>29</v>
      </c>
      <c r="C112" s="7">
        <f>COUNTIFS('All Clinics'!$H:$H,$A112,'All Clinics'!$B:$B,"Injury Physicians")</f>
        <v>0</v>
      </c>
      <c r="D112" s="7">
        <f>COUNTIFS('All Clinics'!$H:$H,$A112,'All Clinics'!$B:$B,"Chiropractic")</f>
        <v>0</v>
      </c>
      <c r="E112" s="7">
        <f>COUNTIFS('All Clinics'!$H:$H,$A112,'All Clinics'!$B:$B,"Physical Therapy")</f>
        <v>0</v>
      </c>
      <c r="F112" s="7">
        <f>COUNTIFS('All Clinics'!$H:$H,$A112,'All Clinics'!$B:$B,"Imaging")</f>
        <v>0</v>
      </c>
      <c r="G112" s="7">
        <f>COUNTIFS('All Clinics'!$H:$H,$A112,'All Clinics'!$B:$B,"TMJ Specialists")</f>
        <v>0</v>
      </c>
      <c r="H112" s="7">
        <f>COUNTIFS('All Clinics'!$H:$H,$A112,'All Clinics'!$B:$B,"Oral Surgery")</f>
        <v>0</v>
      </c>
      <c r="I112" s="9">
        <f t="shared" si="4"/>
        <v>0</v>
      </c>
      <c r="J112" s="7">
        <f>COUNTIF('Older Entries'!$H:$H,$A112)</f>
        <v>1</v>
      </c>
    </row>
    <row r="113" spans="1:10" x14ac:dyDescent="0.3">
      <c r="A113" s="6" t="s">
        <v>117</v>
      </c>
      <c r="B113" s="10" t="s">
        <v>29</v>
      </c>
      <c r="C113" s="7">
        <f>COUNTIFS('All Clinics'!$H:$H,$A113,'All Clinics'!$B:$B,"Injury Physicians")</f>
        <v>0</v>
      </c>
      <c r="D113" s="7">
        <f>COUNTIFS('All Clinics'!$H:$H,$A113,'All Clinics'!$B:$B,"Chiropractic")</f>
        <v>0</v>
      </c>
      <c r="E113" s="7">
        <f>COUNTIFS('All Clinics'!$H:$H,$A113,'All Clinics'!$B:$B,"Physical Therapy")</f>
        <v>0</v>
      </c>
      <c r="F113" s="7">
        <f>COUNTIFS('All Clinics'!$H:$H,$A113,'All Clinics'!$B:$B,"Imaging")</f>
        <v>0</v>
      </c>
      <c r="G113" s="7">
        <f>COUNTIFS('All Clinics'!$H:$H,$A113,'All Clinics'!$B:$B,"TMJ Specialists")</f>
        <v>0</v>
      </c>
      <c r="H113" s="7">
        <f>COUNTIFS('All Clinics'!$H:$H,$A113,'All Clinics'!$B:$B,"Oral Surgery")</f>
        <v>0</v>
      </c>
      <c r="I113" s="9">
        <f t="shared" si="4"/>
        <v>0</v>
      </c>
      <c r="J113" s="7">
        <f>COUNTIF('Older Entries'!$H:$H,$A113)</f>
        <v>1</v>
      </c>
    </row>
    <row r="114" spans="1:10" x14ac:dyDescent="0.3">
      <c r="A114" s="6" t="s">
        <v>118</v>
      </c>
      <c r="B114" s="10" t="s">
        <v>33</v>
      </c>
      <c r="C114" s="7">
        <f>COUNTIFS('All Clinics'!$H:$H,$A114,'All Clinics'!$B:$B,"Injury Physicians")</f>
        <v>0</v>
      </c>
      <c r="D114" s="7">
        <f>COUNTIFS('All Clinics'!$H:$H,$A114,'All Clinics'!$B:$B,"Chiropractic")</f>
        <v>0</v>
      </c>
      <c r="E114" s="7">
        <f>COUNTIFS('All Clinics'!$H:$H,$A114,'All Clinics'!$B:$B,"Physical Therapy")</f>
        <v>0</v>
      </c>
      <c r="F114" s="7">
        <f>COUNTIFS('All Clinics'!$H:$H,$A114,'All Clinics'!$B:$B,"Imaging")</f>
        <v>0</v>
      </c>
      <c r="G114" s="7">
        <f>COUNTIFS('All Clinics'!$H:$H,$A114,'All Clinics'!$B:$B,"TMJ Specialists")</f>
        <v>0</v>
      </c>
      <c r="H114" s="7">
        <f>COUNTIFS('All Clinics'!$H:$H,$A114,'All Clinics'!$B:$B,"Oral Surgery")</f>
        <v>0</v>
      </c>
      <c r="I114" s="9">
        <f t="shared" si="4"/>
        <v>0</v>
      </c>
      <c r="J114" s="7">
        <f>COUNTIF('Older Entries'!$H:$H,$A114)</f>
        <v>4</v>
      </c>
    </row>
    <row r="115" spans="1:10" x14ac:dyDescent="0.3">
      <c r="A115" s="6" t="s">
        <v>119</v>
      </c>
      <c r="B115" s="10" t="s">
        <v>31</v>
      </c>
      <c r="C115" s="7">
        <f>COUNTIFS('All Clinics'!$H:$H,$A115,'All Clinics'!$B:$B,"Injury Physicians")</f>
        <v>0</v>
      </c>
      <c r="D115" s="7">
        <f>COUNTIFS('All Clinics'!$H:$H,$A115,'All Clinics'!$B:$B,"Chiropractic")</f>
        <v>0</v>
      </c>
      <c r="E115" s="7">
        <f>COUNTIFS('All Clinics'!$H:$H,$A115,'All Clinics'!$B:$B,"Physical Therapy")</f>
        <v>0</v>
      </c>
      <c r="F115" s="7">
        <f>COUNTIFS('All Clinics'!$H:$H,$A115,'All Clinics'!$B:$B,"Imaging")</f>
        <v>0</v>
      </c>
      <c r="G115" s="7">
        <f>COUNTIFS('All Clinics'!$H:$H,$A115,'All Clinics'!$B:$B,"TMJ Specialists")</f>
        <v>0</v>
      </c>
      <c r="H115" s="7">
        <f>COUNTIFS('All Clinics'!$H:$H,$A115,'All Clinics'!$B:$B,"Oral Surgery")</f>
        <v>0</v>
      </c>
      <c r="I115" s="9">
        <f t="shared" si="4"/>
        <v>0</v>
      </c>
      <c r="J115" s="7">
        <f>COUNTIF('Older Entries'!$H:$H,$A115)</f>
        <v>5</v>
      </c>
    </row>
    <row r="116" spans="1:10" x14ac:dyDescent="0.3">
      <c r="A116" s="6" t="s">
        <v>120</v>
      </c>
      <c r="B116" s="10" t="s">
        <v>27</v>
      </c>
      <c r="C116" s="7">
        <f>COUNTIFS('All Clinics'!$H:$H,$A116,'All Clinics'!$B:$B,"Injury Physicians")</f>
        <v>0</v>
      </c>
      <c r="D116" s="7">
        <f>COUNTIFS('All Clinics'!$H:$H,$A116,'All Clinics'!$B:$B,"Chiropractic")</f>
        <v>0</v>
      </c>
      <c r="E116" s="7">
        <f>COUNTIFS('All Clinics'!$H:$H,$A116,'All Clinics'!$B:$B,"Physical Therapy")</f>
        <v>0</v>
      </c>
      <c r="F116" s="7">
        <f>COUNTIFS('All Clinics'!$H:$H,$A116,'All Clinics'!$B:$B,"Imaging")</f>
        <v>0</v>
      </c>
      <c r="G116" s="7">
        <f>COUNTIFS('All Clinics'!$H:$H,$A116,'All Clinics'!$B:$B,"TMJ Specialists")</f>
        <v>0</v>
      </c>
      <c r="H116" s="7">
        <f>COUNTIFS('All Clinics'!$H:$H,$A116,'All Clinics'!$B:$B,"Oral Surgery")</f>
        <v>0</v>
      </c>
      <c r="I116" s="9">
        <f t="shared" si="4"/>
        <v>0</v>
      </c>
      <c r="J116" s="7">
        <f>COUNTIF('Older Entries'!$H:$H,$A116)</f>
        <v>3</v>
      </c>
    </row>
    <row r="117" spans="1:10" x14ac:dyDescent="0.3">
      <c r="A117" s="6" t="s">
        <v>121</v>
      </c>
      <c r="B117" s="10" t="s">
        <v>32</v>
      </c>
      <c r="C117" s="7">
        <f>COUNTIFS('All Clinics'!$H:$H,$A117,'All Clinics'!$B:$B,"Injury Physicians")</f>
        <v>0</v>
      </c>
      <c r="D117" s="7">
        <f>COUNTIFS('All Clinics'!$H:$H,$A117,'All Clinics'!$B:$B,"Chiropractic")</f>
        <v>0</v>
      </c>
      <c r="E117" s="7">
        <f>COUNTIFS('All Clinics'!$H:$H,$A117,'All Clinics'!$B:$B,"Physical Therapy")</f>
        <v>0</v>
      </c>
      <c r="F117" s="7">
        <f>COUNTIFS('All Clinics'!$H:$H,$A117,'All Clinics'!$B:$B,"Imaging")</f>
        <v>0</v>
      </c>
      <c r="G117" s="7">
        <f>COUNTIFS('All Clinics'!$H:$H,$A117,'All Clinics'!$B:$B,"TMJ Specialists")</f>
        <v>0</v>
      </c>
      <c r="H117" s="7">
        <f>COUNTIFS('All Clinics'!$H:$H,$A117,'All Clinics'!$B:$B,"Oral Surgery")</f>
        <v>0</v>
      </c>
      <c r="I117" s="9">
        <f t="shared" si="4"/>
        <v>0</v>
      </c>
      <c r="J117" s="7">
        <f>COUNTIF('Older Entries'!$H:$H,$A117)</f>
        <v>6</v>
      </c>
    </row>
    <row r="118" spans="1:10" x14ac:dyDescent="0.3">
      <c r="A118" s="6" t="s">
        <v>122</v>
      </c>
      <c r="B118" s="10" t="s">
        <v>30</v>
      </c>
      <c r="C118" s="7">
        <f>COUNTIFS('All Clinics'!$H:$H,$A118,'All Clinics'!$B:$B,"Injury Physicians")</f>
        <v>0</v>
      </c>
      <c r="D118" s="7">
        <f>COUNTIFS('All Clinics'!$H:$H,$A118,'All Clinics'!$B:$B,"Chiropractic")</f>
        <v>0</v>
      </c>
      <c r="E118" s="7">
        <f>COUNTIFS('All Clinics'!$H:$H,$A118,'All Clinics'!$B:$B,"Physical Therapy")</f>
        <v>0</v>
      </c>
      <c r="F118" s="7">
        <f>COUNTIFS('All Clinics'!$H:$H,$A118,'All Clinics'!$B:$B,"Imaging")</f>
        <v>0</v>
      </c>
      <c r="G118" s="7">
        <f>COUNTIFS('All Clinics'!$H:$H,$A118,'All Clinics'!$B:$B,"TMJ Specialists")</f>
        <v>0</v>
      </c>
      <c r="H118" s="7">
        <f>COUNTIFS('All Clinics'!$H:$H,$A118,'All Clinics'!$B:$B,"Oral Surgery")</f>
        <v>0</v>
      </c>
      <c r="I118" s="9">
        <f t="shared" si="4"/>
        <v>0</v>
      </c>
      <c r="J118" s="7">
        <f>COUNTIF('Older Entries'!$H:$H,$A118)</f>
        <v>2</v>
      </c>
    </row>
  </sheetData>
  <mergeCells count="10">
    <mergeCell ref="C4:E4"/>
    <mergeCell ref="A2:J2"/>
    <mergeCell ref="E12:J12"/>
    <mergeCell ref="E15:J15"/>
    <mergeCell ref="E11:J11"/>
    <mergeCell ref="E10:J10"/>
    <mergeCell ref="A6:J6"/>
    <mergeCell ref="E13:J13"/>
    <mergeCell ref="E14:J14"/>
    <mergeCell ref="E9:J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95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139</v>
      </c>
      <c r="B2" s="12" t="s">
        <v>12</v>
      </c>
      <c r="C2" s="12"/>
      <c r="D2" s="12" t="s">
        <v>12</v>
      </c>
      <c r="E2" s="12" t="s">
        <v>140</v>
      </c>
      <c r="F2" s="12"/>
      <c r="G2" s="12" t="s">
        <v>141</v>
      </c>
      <c r="H2" s="12" t="s">
        <v>40</v>
      </c>
      <c r="I2" s="12" t="s">
        <v>26</v>
      </c>
      <c r="J2" s="13" t="s">
        <v>142</v>
      </c>
      <c r="K2" s="14" t="s">
        <v>143</v>
      </c>
      <c r="L2" s="15">
        <v>1</v>
      </c>
      <c r="M2" s="15" t="s">
        <v>144</v>
      </c>
      <c r="N2" s="16">
        <v>45559</v>
      </c>
      <c r="O2" s="12" t="s">
        <v>139</v>
      </c>
      <c r="P2" s="14" t="s">
        <v>145</v>
      </c>
      <c r="Q2" s="17" t="s">
        <v>137</v>
      </c>
      <c r="R2" s="17" t="s">
        <v>146</v>
      </c>
    </row>
    <row r="3" spans="1:18" x14ac:dyDescent="0.3">
      <c r="A3" s="12" t="s">
        <v>147</v>
      </c>
      <c r="B3" s="12" t="s">
        <v>14</v>
      </c>
      <c r="C3" s="12"/>
      <c r="D3" s="12" t="s">
        <v>14</v>
      </c>
      <c r="E3" s="12" t="s">
        <v>148</v>
      </c>
      <c r="F3" s="12"/>
      <c r="G3" s="12" t="s">
        <v>141</v>
      </c>
      <c r="H3" s="12" t="s">
        <v>40</v>
      </c>
      <c r="I3" s="12" t="s">
        <v>26</v>
      </c>
      <c r="J3" s="13" t="s">
        <v>142</v>
      </c>
      <c r="K3" s="14" t="s">
        <v>149</v>
      </c>
      <c r="L3" s="15">
        <v>0</v>
      </c>
      <c r="M3" s="15" t="s">
        <v>144</v>
      </c>
      <c r="N3" s="16">
        <v>45408</v>
      </c>
      <c r="O3" s="12" t="s">
        <v>147</v>
      </c>
      <c r="P3" s="14" t="s">
        <v>150</v>
      </c>
      <c r="Q3" s="17" t="s">
        <v>137</v>
      </c>
      <c r="R3" s="17" t="s">
        <v>146</v>
      </c>
    </row>
    <row r="4" spans="1:18" x14ac:dyDescent="0.3">
      <c r="A4" s="12" t="s">
        <v>151</v>
      </c>
      <c r="B4" s="12" t="s">
        <v>12</v>
      </c>
      <c r="C4" s="12"/>
      <c r="D4" s="12" t="s">
        <v>12</v>
      </c>
      <c r="E4" s="12" t="s">
        <v>152</v>
      </c>
      <c r="F4" s="12"/>
      <c r="G4" s="12" t="s">
        <v>40</v>
      </c>
      <c r="H4" s="12" t="s">
        <v>40</v>
      </c>
      <c r="I4" s="12" t="s">
        <v>26</v>
      </c>
      <c r="J4" s="13" t="s">
        <v>153</v>
      </c>
      <c r="K4" s="14" t="s">
        <v>154</v>
      </c>
      <c r="L4" s="15">
        <v>2</v>
      </c>
      <c r="M4" s="15" t="s">
        <v>144</v>
      </c>
      <c r="N4" s="16">
        <v>45659</v>
      </c>
      <c r="O4" s="12" t="s">
        <v>151</v>
      </c>
      <c r="P4" s="14" t="s">
        <v>155</v>
      </c>
      <c r="Q4" s="17" t="s">
        <v>137</v>
      </c>
      <c r="R4" s="17" t="s">
        <v>146</v>
      </c>
    </row>
    <row r="5" spans="1:18" x14ac:dyDescent="0.3">
      <c r="A5" s="12" t="s">
        <v>156</v>
      </c>
      <c r="B5" s="12" t="s">
        <v>10</v>
      </c>
      <c r="C5" s="12"/>
      <c r="D5" s="12" t="s">
        <v>157</v>
      </c>
      <c r="E5" s="12" t="s">
        <v>158</v>
      </c>
      <c r="F5" s="12"/>
      <c r="G5" s="12" t="s">
        <v>40</v>
      </c>
      <c r="H5" s="12" t="s">
        <v>40</v>
      </c>
      <c r="I5" s="12" t="s">
        <v>26</v>
      </c>
      <c r="J5" s="13" t="s">
        <v>153</v>
      </c>
      <c r="K5" s="14" t="s">
        <v>159</v>
      </c>
      <c r="L5" s="15">
        <v>0</v>
      </c>
      <c r="M5" s="15" t="s">
        <v>144</v>
      </c>
      <c r="N5" s="16">
        <v>46240</v>
      </c>
      <c r="O5" s="12" t="s">
        <v>160</v>
      </c>
      <c r="P5" s="14" t="s">
        <v>161</v>
      </c>
      <c r="Q5" s="17" t="s">
        <v>137</v>
      </c>
      <c r="R5" s="17" t="s">
        <v>146</v>
      </c>
    </row>
    <row r="6" spans="1:18" x14ac:dyDescent="0.3">
      <c r="A6" s="12" t="s">
        <v>162</v>
      </c>
      <c r="B6" s="12" t="s">
        <v>12</v>
      </c>
      <c r="C6" s="12"/>
      <c r="D6" s="12" t="s">
        <v>12</v>
      </c>
      <c r="E6" s="12" t="s">
        <v>163</v>
      </c>
      <c r="F6" s="12" t="s">
        <v>164</v>
      </c>
      <c r="G6" s="12" t="s">
        <v>40</v>
      </c>
      <c r="H6" s="12" t="s">
        <v>40</v>
      </c>
      <c r="I6" s="12" t="s">
        <v>26</v>
      </c>
      <c r="J6" s="13" t="s">
        <v>153</v>
      </c>
      <c r="K6" s="14" t="s">
        <v>165</v>
      </c>
      <c r="L6" s="15">
        <v>1</v>
      </c>
      <c r="M6" s="15" t="s">
        <v>144</v>
      </c>
      <c r="N6" s="16">
        <v>45778</v>
      </c>
      <c r="O6" s="12" t="s">
        <v>166</v>
      </c>
      <c r="P6" s="14" t="s">
        <v>167</v>
      </c>
      <c r="Q6" s="17" t="s">
        <v>137</v>
      </c>
      <c r="R6" s="17" t="s">
        <v>146</v>
      </c>
    </row>
    <row r="7" spans="1:18" x14ac:dyDescent="0.3">
      <c r="A7" s="12" t="s">
        <v>168</v>
      </c>
      <c r="B7" s="12" t="s">
        <v>12</v>
      </c>
      <c r="C7" s="12"/>
      <c r="D7" s="12" t="s">
        <v>12</v>
      </c>
      <c r="E7" s="12" t="s">
        <v>169</v>
      </c>
      <c r="F7" s="12" t="s">
        <v>170</v>
      </c>
      <c r="G7" s="12" t="s">
        <v>40</v>
      </c>
      <c r="H7" s="12" t="s">
        <v>40</v>
      </c>
      <c r="I7" s="12" t="s">
        <v>26</v>
      </c>
      <c r="J7" s="13" t="s">
        <v>153</v>
      </c>
      <c r="K7" s="14" t="s">
        <v>171</v>
      </c>
      <c r="L7" s="15">
        <v>1</v>
      </c>
      <c r="M7" s="15" t="s">
        <v>144</v>
      </c>
      <c r="N7" s="16">
        <v>46001</v>
      </c>
      <c r="O7" s="12" t="s">
        <v>168</v>
      </c>
      <c r="P7" s="14" t="s">
        <v>172</v>
      </c>
      <c r="Q7" s="17" t="s">
        <v>137</v>
      </c>
      <c r="R7" s="17" t="s">
        <v>146</v>
      </c>
    </row>
    <row r="8" spans="1:18" x14ac:dyDescent="0.3">
      <c r="A8" s="12" t="s">
        <v>173</v>
      </c>
      <c r="B8" s="12" t="s">
        <v>12</v>
      </c>
      <c r="C8" s="12"/>
      <c r="D8" s="12" t="s">
        <v>12</v>
      </c>
      <c r="E8" s="12" t="s">
        <v>174</v>
      </c>
      <c r="F8" s="12"/>
      <c r="G8" s="12" t="s">
        <v>175</v>
      </c>
      <c r="H8" s="12" t="s">
        <v>40</v>
      </c>
      <c r="I8" s="12" t="s">
        <v>26</v>
      </c>
      <c r="J8" s="13" t="s">
        <v>176</v>
      </c>
      <c r="K8" s="14" t="s">
        <v>177</v>
      </c>
      <c r="L8" s="15">
        <v>8</v>
      </c>
      <c r="M8" s="15" t="s">
        <v>144</v>
      </c>
      <c r="N8" s="16">
        <v>45384</v>
      </c>
      <c r="O8" s="12" t="s">
        <v>173</v>
      </c>
      <c r="P8" s="14" t="s">
        <v>178</v>
      </c>
      <c r="Q8" s="17" t="s">
        <v>137</v>
      </c>
      <c r="R8" s="17" t="s">
        <v>146</v>
      </c>
    </row>
    <row r="9" spans="1:18" x14ac:dyDescent="0.3">
      <c r="A9" s="12" t="s">
        <v>179</v>
      </c>
      <c r="B9" s="12" t="s">
        <v>12</v>
      </c>
      <c r="C9" s="12" t="s">
        <v>14</v>
      </c>
      <c r="D9" s="12" t="s">
        <v>180</v>
      </c>
      <c r="E9" s="12" t="s">
        <v>181</v>
      </c>
      <c r="F9" s="12" t="s">
        <v>182</v>
      </c>
      <c r="G9" s="12" t="s">
        <v>175</v>
      </c>
      <c r="H9" s="12" t="s">
        <v>40</v>
      </c>
      <c r="I9" s="12" t="s">
        <v>26</v>
      </c>
      <c r="J9" s="13" t="s">
        <v>183</v>
      </c>
      <c r="K9" s="14" t="s">
        <v>184</v>
      </c>
      <c r="L9" s="15">
        <v>3</v>
      </c>
      <c r="M9" s="15" t="s">
        <v>144</v>
      </c>
      <c r="N9" s="16">
        <v>45348</v>
      </c>
      <c r="O9" s="12" t="s">
        <v>179</v>
      </c>
      <c r="P9" s="14" t="s">
        <v>185</v>
      </c>
      <c r="Q9" s="17" t="s">
        <v>137</v>
      </c>
      <c r="R9" s="17" t="s">
        <v>146</v>
      </c>
    </row>
    <row r="10" spans="1:18" x14ac:dyDescent="0.3">
      <c r="A10" s="12" t="s">
        <v>186</v>
      </c>
      <c r="B10" s="12" t="s">
        <v>14</v>
      </c>
      <c r="C10" s="12"/>
      <c r="D10" s="12" t="s">
        <v>14</v>
      </c>
      <c r="E10" s="12" t="s">
        <v>187</v>
      </c>
      <c r="F10" s="12" t="s">
        <v>188</v>
      </c>
      <c r="G10" s="12" t="s">
        <v>175</v>
      </c>
      <c r="H10" s="12" t="s">
        <v>40</v>
      </c>
      <c r="I10" s="12" t="s">
        <v>26</v>
      </c>
      <c r="J10" s="13" t="s">
        <v>183</v>
      </c>
      <c r="K10" s="14" t="s">
        <v>189</v>
      </c>
      <c r="L10" s="15">
        <v>0</v>
      </c>
      <c r="M10" s="15" t="s">
        <v>144</v>
      </c>
      <c r="N10" s="16">
        <v>45827</v>
      </c>
      <c r="O10" s="12" t="s">
        <v>190</v>
      </c>
      <c r="P10" s="14" t="s">
        <v>191</v>
      </c>
      <c r="Q10" s="17" t="s">
        <v>137</v>
      </c>
      <c r="R10" s="17" t="s">
        <v>146</v>
      </c>
    </row>
    <row r="11" spans="1:18" x14ac:dyDescent="0.3">
      <c r="A11" s="12" t="s">
        <v>192</v>
      </c>
      <c r="B11" s="12" t="s">
        <v>20</v>
      </c>
      <c r="C11" s="12"/>
      <c r="D11" s="12" t="s">
        <v>193</v>
      </c>
      <c r="E11" s="12" t="s">
        <v>194</v>
      </c>
      <c r="F11" s="12" t="s">
        <v>195</v>
      </c>
      <c r="G11" s="12" t="s">
        <v>175</v>
      </c>
      <c r="H11" s="12" t="s">
        <v>40</v>
      </c>
      <c r="I11" s="12" t="s">
        <v>26</v>
      </c>
      <c r="J11" s="13" t="s">
        <v>176</v>
      </c>
      <c r="K11" s="14" t="s">
        <v>196</v>
      </c>
      <c r="L11" s="15">
        <v>0</v>
      </c>
      <c r="M11" s="15" t="s">
        <v>144</v>
      </c>
      <c r="N11" s="16">
        <v>44642</v>
      </c>
      <c r="O11" s="12" t="s">
        <v>197</v>
      </c>
      <c r="P11" s="14" t="s">
        <v>198</v>
      </c>
      <c r="Q11" s="17" t="s">
        <v>137</v>
      </c>
      <c r="R11" s="17" t="s">
        <v>146</v>
      </c>
    </row>
    <row r="12" spans="1:18" x14ac:dyDescent="0.3">
      <c r="A12" s="12" t="s">
        <v>199</v>
      </c>
      <c r="B12" s="12" t="s">
        <v>14</v>
      </c>
      <c r="C12" s="12"/>
      <c r="D12" s="12" t="s">
        <v>14</v>
      </c>
      <c r="E12" s="12" t="s">
        <v>200</v>
      </c>
      <c r="F12" s="12" t="s">
        <v>201</v>
      </c>
      <c r="G12" s="12" t="s">
        <v>175</v>
      </c>
      <c r="H12" s="12" t="s">
        <v>40</v>
      </c>
      <c r="I12" s="12" t="s">
        <v>26</v>
      </c>
      <c r="J12" s="13" t="s">
        <v>176</v>
      </c>
      <c r="K12" s="14" t="s">
        <v>202</v>
      </c>
      <c r="L12" s="15">
        <v>10</v>
      </c>
      <c r="M12" s="15" t="s">
        <v>144</v>
      </c>
      <c r="N12" s="16">
        <v>45589</v>
      </c>
      <c r="O12" s="12" t="s">
        <v>203</v>
      </c>
      <c r="P12" s="14" t="s">
        <v>204</v>
      </c>
      <c r="Q12" s="17" t="s">
        <v>137</v>
      </c>
      <c r="R12" s="17" t="s">
        <v>146</v>
      </c>
    </row>
    <row r="13" spans="1:18" x14ac:dyDescent="0.3">
      <c r="A13" s="12" t="s">
        <v>205</v>
      </c>
      <c r="B13" s="12" t="s">
        <v>20</v>
      </c>
      <c r="C13" s="12"/>
      <c r="D13" s="12" t="s">
        <v>193</v>
      </c>
      <c r="E13" s="12" t="s">
        <v>206</v>
      </c>
      <c r="F13" s="12" t="s">
        <v>207</v>
      </c>
      <c r="G13" s="12" t="s">
        <v>175</v>
      </c>
      <c r="H13" s="12" t="s">
        <v>40</v>
      </c>
      <c r="I13" s="12" t="s">
        <v>26</v>
      </c>
      <c r="J13" s="13" t="s">
        <v>176</v>
      </c>
      <c r="K13" s="14" t="s">
        <v>208</v>
      </c>
      <c r="L13" s="15">
        <v>0</v>
      </c>
      <c r="M13" s="15" t="s">
        <v>144</v>
      </c>
      <c r="N13" s="16">
        <v>41849</v>
      </c>
      <c r="O13" s="12" t="s">
        <v>209</v>
      </c>
      <c r="P13" s="14" t="s">
        <v>210</v>
      </c>
      <c r="Q13" s="17" t="s">
        <v>137</v>
      </c>
      <c r="R13" s="17" t="s">
        <v>146</v>
      </c>
    </row>
    <row r="14" spans="1:18" x14ac:dyDescent="0.3">
      <c r="A14" s="12" t="s">
        <v>211</v>
      </c>
      <c r="B14" s="12" t="s">
        <v>12</v>
      </c>
      <c r="C14" s="12"/>
      <c r="D14" s="12" t="s">
        <v>12</v>
      </c>
      <c r="E14" s="12" t="s">
        <v>212</v>
      </c>
      <c r="F14" s="12"/>
      <c r="G14" s="12" t="s">
        <v>175</v>
      </c>
      <c r="H14" s="12" t="s">
        <v>40</v>
      </c>
      <c r="I14" s="12" t="s">
        <v>26</v>
      </c>
      <c r="J14" s="13" t="s">
        <v>176</v>
      </c>
      <c r="K14" s="14" t="s">
        <v>213</v>
      </c>
      <c r="L14" s="15">
        <v>2</v>
      </c>
      <c r="M14" s="15" t="s">
        <v>144</v>
      </c>
      <c r="N14" s="16">
        <v>45153</v>
      </c>
      <c r="O14" s="12" t="s">
        <v>211</v>
      </c>
      <c r="P14" s="14" t="s">
        <v>214</v>
      </c>
      <c r="Q14" s="17" t="s">
        <v>137</v>
      </c>
      <c r="R14" s="17" t="s">
        <v>146</v>
      </c>
    </row>
    <row r="15" spans="1:18" x14ac:dyDescent="0.3">
      <c r="A15" s="12" t="s">
        <v>215</v>
      </c>
      <c r="B15" s="12" t="s">
        <v>10</v>
      </c>
      <c r="C15" s="12"/>
      <c r="D15" s="12" t="s">
        <v>216</v>
      </c>
      <c r="E15" s="12" t="s">
        <v>217</v>
      </c>
      <c r="F15" s="12" t="s">
        <v>218</v>
      </c>
      <c r="G15" s="12" t="s">
        <v>175</v>
      </c>
      <c r="H15" s="12" t="s">
        <v>40</v>
      </c>
      <c r="I15" s="12" t="s">
        <v>26</v>
      </c>
      <c r="J15" s="13" t="s">
        <v>183</v>
      </c>
      <c r="K15" s="14" t="s">
        <v>219</v>
      </c>
      <c r="L15" s="15">
        <v>2</v>
      </c>
      <c r="M15" s="15" t="s">
        <v>220</v>
      </c>
      <c r="N15" s="16">
        <v>45818</v>
      </c>
      <c r="O15" s="12" t="s">
        <v>215</v>
      </c>
      <c r="P15" s="14" t="s">
        <v>221</v>
      </c>
      <c r="Q15" s="17" t="s">
        <v>137</v>
      </c>
      <c r="R15" s="17" t="s">
        <v>146</v>
      </c>
    </row>
    <row r="16" spans="1:18" x14ac:dyDescent="0.3">
      <c r="A16" s="12" t="s">
        <v>222</v>
      </c>
      <c r="B16" s="12" t="s">
        <v>18</v>
      </c>
      <c r="C16" s="12"/>
      <c r="D16" s="12" t="s">
        <v>223</v>
      </c>
      <c r="E16" s="12" t="s">
        <v>224</v>
      </c>
      <c r="F16" s="12" t="s">
        <v>225</v>
      </c>
      <c r="G16" s="12" t="s">
        <v>175</v>
      </c>
      <c r="H16" s="12" t="s">
        <v>40</v>
      </c>
      <c r="I16" s="12" t="s">
        <v>26</v>
      </c>
      <c r="J16" s="13" t="s">
        <v>183</v>
      </c>
      <c r="K16" s="14" t="s">
        <v>226</v>
      </c>
      <c r="L16" s="15">
        <v>0</v>
      </c>
      <c r="M16" s="15" t="s">
        <v>144</v>
      </c>
      <c r="N16" s="16">
        <v>46245</v>
      </c>
      <c r="O16" s="12" t="s">
        <v>227</v>
      </c>
      <c r="P16" s="14" t="s">
        <v>228</v>
      </c>
      <c r="Q16" s="17" t="s">
        <v>137</v>
      </c>
      <c r="R16" s="17" t="s">
        <v>146</v>
      </c>
    </row>
    <row r="17" spans="1:18" x14ac:dyDescent="0.3">
      <c r="A17" s="12" t="s">
        <v>229</v>
      </c>
      <c r="B17" s="12" t="s">
        <v>10</v>
      </c>
      <c r="C17" s="12"/>
      <c r="D17" s="12" t="s">
        <v>230</v>
      </c>
      <c r="E17" s="12" t="s">
        <v>231</v>
      </c>
      <c r="F17" s="12" t="s">
        <v>232</v>
      </c>
      <c r="G17" s="12" t="s">
        <v>233</v>
      </c>
      <c r="H17" s="12" t="s">
        <v>40</v>
      </c>
      <c r="I17" s="12" t="s">
        <v>26</v>
      </c>
      <c r="J17" s="13" t="s">
        <v>234</v>
      </c>
      <c r="K17" s="14" t="s">
        <v>235</v>
      </c>
      <c r="L17" s="15">
        <v>5</v>
      </c>
      <c r="M17" s="15" t="s">
        <v>220</v>
      </c>
      <c r="N17" s="16">
        <v>46036</v>
      </c>
      <c r="O17" s="12" t="s">
        <v>236</v>
      </c>
      <c r="P17" s="14" t="s">
        <v>237</v>
      </c>
      <c r="Q17" s="17" t="s">
        <v>137</v>
      </c>
      <c r="R17" s="17" t="s">
        <v>146</v>
      </c>
    </row>
    <row r="18" spans="1:18" x14ac:dyDescent="0.3">
      <c r="A18" s="12" t="s">
        <v>238</v>
      </c>
      <c r="B18" s="12" t="s">
        <v>20</v>
      </c>
      <c r="C18" s="12"/>
      <c r="D18" s="12" t="s">
        <v>193</v>
      </c>
      <c r="E18" s="12" t="s">
        <v>239</v>
      </c>
      <c r="F18" s="12"/>
      <c r="G18" s="12" t="s">
        <v>233</v>
      </c>
      <c r="H18" s="12" t="s">
        <v>40</v>
      </c>
      <c r="I18" s="12" t="s">
        <v>26</v>
      </c>
      <c r="J18" s="13" t="s">
        <v>234</v>
      </c>
      <c r="K18" s="14" t="s">
        <v>240</v>
      </c>
      <c r="L18" s="15">
        <v>1</v>
      </c>
      <c r="M18" s="15" t="s">
        <v>144</v>
      </c>
      <c r="N18" s="16">
        <v>45441</v>
      </c>
      <c r="O18" s="12" t="s">
        <v>241</v>
      </c>
      <c r="P18" s="14" t="s">
        <v>242</v>
      </c>
      <c r="Q18" s="17" t="s">
        <v>137</v>
      </c>
      <c r="R18" s="17" t="s">
        <v>146</v>
      </c>
    </row>
    <row r="19" spans="1:18" x14ac:dyDescent="0.3">
      <c r="A19" s="12" t="s">
        <v>243</v>
      </c>
      <c r="B19" s="12" t="s">
        <v>12</v>
      </c>
      <c r="C19" s="12"/>
      <c r="D19" s="12" t="s">
        <v>12</v>
      </c>
      <c r="E19" s="12" t="s">
        <v>244</v>
      </c>
      <c r="F19" s="12"/>
      <c r="G19" s="12" t="s">
        <v>233</v>
      </c>
      <c r="H19" s="12" t="s">
        <v>40</v>
      </c>
      <c r="I19" s="12" t="s">
        <v>26</v>
      </c>
      <c r="J19" s="13" t="s">
        <v>234</v>
      </c>
      <c r="K19" s="14" t="s">
        <v>245</v>
      </c>
      <c r="L19" s="15">
        <v>2</v>
      </c>
      <c r="M19" s="15" t="s">
        <v>144</v>
      </c>
      <c r="N19" s="16">
        <v>46248</v>
      </c>
      <c r="O19" s="12" t="s">
        <v>243</v>
      </c>
      <c r="P19" s="14" t="s">
        <v>246</v>
      </c>
      <c r="Q19" s="17" t="s">
        <v>137</v>
      </c>
      <c r="R19" s="17" t="s">
        <v>146</v>
      </c>
    </row>
    <row r="20" spans="1:18" x14ac:dyDescent="0.3">
      <c r="A20" s="12" t="s">
        <v>186</v>
      </c>
      <c r="B20" s="12" t="s">
        <v>14</v>
      </c>
      <c r="C20" s="12"/>
      <c r="D20" s="12" t="s">
        <v>14</v>
      </c>
      <c r="E20" s="12" t="s">
        <v>247</v>
      </c>
      <c r="F20" s="12" t="s">
        <v>248</v>
      </c>
      <c r="G20" s="12" t="s">
        <v>233</v>
      </c>
      <c r="H20" s="12" t="s">
        <v>40</v>
      </c>
      <c r="I20" s="12" t="s">
        <v>26</v>
      </c>
      <c r="J20" s="13" t="s">
        <v>234</v>
      </c>
      <c r="K20" s="14" t="s">
        <v>249</v>
      </c>
      <c r="L20" s="15">
        <v>1</v>
      </c>
      <c r="M20" s="15" t="s">
        <v>144</v>
      </c>
      <c r="N20" s="16">
        <v>46211</v>
      </c>
      <c r="O20" s="12" t="s">
        <v>190</v>
      </c>
      <c r="P20" s="14" t="s">
        <v>250</v>
      </c>
      <c r="Q20" s="17" t="s">
        <v>137</v>
      </c>
      <c r="R20" s="17" t="s">
        <v>146</v>
      </c>
    </row>
    <row r="21" spans="1:18" x14ac:dyDescent="0.3">
      <c r="A21" s="12" t="s">
        <v>251</v>
      </c>
      <c r="B21" s="12" t="s">
        <v>10</v>
      </c>
      <c r="C21" s="12"/>
      <c r="D21" s="12" t="s">
        <v>252</v>
      </c>
      <c r="E21" s="12" t="s">
        <v>231</v>
      </c>
      <c r="F21" s="12" t="s">
        <v>253</v>
      </c>
      <c r="G21" s="12" t="s">
        <v>233</v>
      </c>
      <c r="H21" s="12" t="s">
        <v>40</v>
      </c>
      <c r="I21" s="12" t="s">
        <v>26</v>
      </c>
      <c r="J21" s="13" t="s">
        <v>234</v>
      </c>
      <c r="K21" s="14" t="s">
        <v>254</v>
      </c>
      <c r="L21" s="15">
        <v>3</v>
      </c>
      <c r="M21" s="15" t="s">
        <v>220</v>
      </c>
      <c r="N21" s="16">
        <v>45713</v>
      </c>
      <c r="O21" s="12" t="s">
        <v>236</v>
      </c>
      <c r="P21" s="14" t="s">
        <v>255</v>
      </c>
      <c r="Q21" s="17" t="s">
        <v>137</v>
      </c>
      <c r="R21" s="17" t="s">
        <v>146</v>
      </c>
    </row>
    <row r="22" spans="1:18" x14ac:dyDescent="0.3">
      <c r="A22" s="12" t="s">
        <v>256</v>
      </c>
      <c r="B22" s="12" t="s">
        <v>12</v>
      </c>
      <c r="C22" s="12"/>
      <c r="D22" s="12" t="s">
        <v>12</v>
      </c>
      <c r="E22" s="12" t="s">
        <v>257</v>
      </c>
      <c r="F22" s="12" t="s">
        <v>258</v>
      </c>
      <c r="G22" s="12" t="s">
        <v>233</v>
      </c>
      <c r="H22" s="12" t="s">
        <v>40</v>
      </c>
      <c r="I22" s="12" t="s">
        <v>26</v>
      </c>
      <c r="J22" s="13" t="s">
        <v>259</v>
      </c>
      <c r="K22" s="14" t="s">
        <v>260</v>
      </c>
      <c r="L22" s="15">
        <v>1</v>
      </c>
      <c r="M22" s="15" t="s">
        <v>144</v>
      </c>
      <c r="N22" s="16">
        <v>44663</v>
      </c>
      <c r="O22" s="12" t="s">
        <v>261</v>
      </c>
      <c r="P22" s="14" t="s">
        <v>262</v>
      </c>
      <c r="Q22" s="17" t="s">
        <v>137</v>
      </c>
      <c r="R22" s="17" t="s">
        <v>146</v>
      </c>
    </row>
    <row r="23" spans="1:18" x14ac:dyDescent="0.3">
      <c r="A23" s="12" t="s">
        <v>263</v>
      </c>
      <c r="B23" s="12" t="s">
        <v>14</v>
      </c>
      <c r="C23" s="12"/>
      <c r="D23" s="12" t="s">
        <v>14</v>
      </c>
      <c r="E23" s="12" t="s">
        <v>264</v>
      </c>
      <c r="F23" s="12"/>
      <c r="G23" s="12" t="s">
        <v>233</v>
      </c>
      <c r="H23" s="12" t="s">
        <v>40</v>
      </c>
      <c r="I23" s="12" t="s">
        <v>26</v>
      </c>
      <c r="J23" s="13" t="s">
        <v>259</v>
      </c>
      <c r="K23" s="14" t="s">
        <v>265</v>
      </c>
      <c r="L23" s="15">
        <v>4</v>
      </c>
      <c r="M23" s="15" t="s">
        <v>144</v>
      </c>
      <c r="N23" s="16">
        <v>44736</v>
      </c>
      <c r="O23" s="12" t="s">
        <v>263</v>
      </c>
      <c r="P23" s="14" t="s">
        <v>266</v>
      </c>
      <c r="Q23" s="17" t="s">
        <v>137</v>
      </c>
      <c r="R23" s="17" t="s">
        <v>146</v>
      </c>
    </row>
    <row r="24" spans="1:18" x14ac:dyDescent="0.3">
      <c r="A24" s="12" t="s">
        <v>267</v>
      </c>
      <c r="B24" s="12" t="s">
        <v>10</v>
      </c>
      <c r="C24" s="12"/>
      <c r="D24" s="12" t="s">
        <v>230</v>
      </c>
      <c r="E24" s="12" t="s">
        <v>231</v>
      </c>
      <c r="F24" s="12" t="s">
        <v>232</v>
      </c>
      <c r="G24" s="12" t="s">
        <v>233</v>
      </c>
      <c r="H24" s="12" t="s">
        <v>40</v>
      </c>
      <c r="I24" s="12" t="s">
        <v>26</v>
      </c>
      <c r="J24" s="13" t="s">
        <v>234</v>
      </c>
      <c r="K24" s="14" t="s">
        <v>268</v>
      </c>
      <c r="L24" s="15">
        <v>5</v>
      </c>
      <c r="M24" s="15" t="s">
        <v>144</v>
      </c>
      <c r="N24" s="16">
        <v>45394</v>
      </c>
      <c r="O24" s="12" t="s">
        <v>267</v>
      </c>
      <c r="P24" s="14" t="s">
        <v>269</v>
      </c>
      <c r="Q24" s="17" t="s">
        <v>137</v>
      </c>
      <c r="R24" s="17" t="s">
        <v>146</v>
      </c>
    </row>
    <row r="25" spans="1:18" x14ac:dyDescent="0.3">
      <c r="A25" s="12" t="s">
        <v>270</v>
      </c>
      <c r="B25" s="12" t="s">
        <v>10</v>
      </c>
      <c r="C25" s="12"/>
      <c r="D25" s="12" t="s">
        <v>230</v>
      </c>
      <c r="E25" s="12" t="s">
        <v>231</v>
      </c>
      <c r="F25" s="12" t="s">
        <v>232</v>
      </c>
      <c r="G25" s="12" t="s">
        <v>233</v>
      </c>
      <c r="H25" s="12" t="s">
        <v>40</v>
      </c>
      <c r="I25" s="12" t="s">
        <v>26</v>
      </c>
      <c r="J25" s="13" t="s">
        <v>234</v>
      </c>
      <c r="K25" s="14" t="s">
        <v>268</v>
      </c>
      <c r="L25" s="15">
        <v>5</v>
      </c>
      <c r="M25" s="15" t="s">
        <v>144</v>
      </c>
      <c r="N25" s="16">
        <v>45407</v>
      </c>
      <c r="O25" s="12" t="s">
        <v>270</v>
      </c>
      <c r="P25" s="14" t="s">
        <v>271</v>
      </c>
      <c r="Q25" s="17" t="s">
        <v>137</v>
      </c>
      <c r="R25" s="17" t="s">
        <v>146</v>
      </c>
    </row>
    <row r="26" spans="1:18" x14ac:dyDescent="0.3">
      <c r="A26" s="12" t="s">
        <v>272</v>
      </c>
      <c r="B26" s="12" t="s">
        <v>20</v>
      </c>
      <c r="C26" s="12"/>
      <c r="D26" s="12" t="s">
        <v>193</v>
      </c>
      <c r="E26" s="12" t="s">
        <v>273</v>
      </c>
      <c r="F26" s="12"/>
      <c r="G26" s="12" t="s">
        <v>233</v>
      </c>
      <c r="H26" s="12" t="s">
        <v>40</v>
      </c>
      <c r="I26" s="12" t="s">
        <v>26</v>
      </c>
      <c r="J26" s="13" t="s">
        <v>234</v>
      </c>
      <c r="K26" s="14" t="s">
        <v>274</v>
      </c>
      <c r="L26" s="15">
        <v>1</v>
      </c>
      <c r="M26" s="15" t="s">
        <v>144</v>
      </c>
      <c r="N26" s="16">
        <v>44369</v>
      </c>
      <c r="O26" s="12" t="s">
        <v>272</v>
      </c>
      <c r="P26" s="14" t="s">
        <v>275</v>
      </c>
      <c r="Q26" s="17" t="s">
        <v>137</v>
      </c>
      <c r="R26" s="17" t="s">
        <v>146</v>
      </c>
    </row>
    <row r="27" spans="1:18" x14ac:dyDescent="0.3">
      <c r="A27" s="12" t="s">
        <v>199</v>
      </c>
      <c r="B27" s="12" t="s">
        <v>14</v>
      </c>
      <c r="C27" s="12"/>
      <c r="D27" s="12" t="s">
        <v>14</v>
      </c>
      <c r="E27" s="12" t="s">
        <v>276</v>
      </c>
      <c r="F27" s="12" t="s">
        <v>188</v>
      </c>
      <c r="G27" s="12" t="s">
        <v>233</v>
      </c>
      <c r="H27" s="12" t="s">
        <v>40</v>
      </c>
      <c r="I27" s="12" t="s">
        <v>26</v>
      </c>
      <c r="J27" s="13" t="s">
        <v>234</v>
      </c>
      <c r="K27" s="14" t="s">
        <v>277</v>
      </c>
      <c r="L27" s="15">
        <v>18</v>
      </c>
      <c r="M27" s="15" t="s">
        <v>144</v>
      </c>
      <c r="N27" s="16">
        <v>45593</v>
      </c>
      <c r="O27" s="12" t="s">
        <v>203</v>
      </c>
      <c r="P27" s="14" t="s">
        <v>278</v>
      </c>
      <c r="Q27" s="17" t="s">
        <v>137</v>
      </c>
      <c r="R27" s="17" t="s">
        <v>146</v>
      </c>
    </row>
    <row r="28" spans="1:18" x14ac:dyDescent="0.3">
      <c r="A28" s="12" t="s">
        <v>199</v>
      </c>
      <c r="B28" s="12" t="s">
        <v>14</v>
      </c>
      <c r="C28" s="12"/>
      <c r="D28" s="12" t="s">
        <v>14</v>
      </c>
      <c r="E28" s="12" t="s">
        <v>279</v>
      </c>
      <c r="F28" s="12"/>
      <c r="G28" s="12" t="s">
        <v>233</v>
      </c>
      <c r="H28" s="12" t="s">
        <v>40</v>
      </c>
      <c r="I28" s="12" t="s">
        <v>26</v>
      </c>
      <c r="J28" s="13" t="s">
        <v>259</v>
      </c>
      <c r="K28" s="14" t="s">
        <v>280</v>
      </c>
      <c r="L28" s="15">
        <v>4</v>
      </c>
      <c r="M28" s="15" t="s">
        <v>144</v>
      </c>
      <c r="N28" s="16">
        <v>45926</v>
      </c>
      <c r="O28" s="12" t="s">
        <v>203</v>
      </c>
      <c r="P28" s="14" t="s">
        <v>281</v>
      </c>
      <c r="Q28" s="17" t="s">
        <v>137</v>
      </c>
      <c r="R28" s="17" t="s">
        <v>146</v>
      </c>
    </row>
    <row r="29" spans="1:18" x14ac:dyDescent="0.3">
      <c r="A29" s="12" t="s">
        <v>282</v>
      </c>
      <c r="B29" s="12" t="s">
        <v>10</v>
      </c>
      <c r="C29" s="12" t="s">
        <v>180</v>
      </c>
      <c r="D29" s="12" t="s">
        <v>283</v>
      </c>
      <c r="E29" s="12" t="s">
        <v>284</v>
      </c>
      <c r="F29" s="12" t="s">
        <v>285</v>
      </c>
      <c r="G29" s="12" t="s">
        <v>233</v>
      </c>
      <c r="H29" s="12" t="s">
        <v>40</v>
      </c>
      <c r="I29" s="12" t="s">
        <v>26</v>
      </c>
      <c r="J29" s="13" t="s">
        <v>234</v>
      </c>
      <c r="K29" s="14" t="s">
        <v>286</v>
      </c>
      <c r="L29" s="15">
        <v>5</v>
      </c>
      <c r="M29" s="15" t="s">
        <v>144</v>
      </c>
      <c r="N29" s="16">
        <v>45911</v>
      </c>
      <c r="O29" s="12" t="s">
        <v>282</v>
      </c>
      <c r="P29" s="14" t="s">
        <v>287</v>
      </c>
      <c r="Q29" s="17" t="s">
        <v>137</v>
      </c>
      <c r="R29" s="17" t="s">
        <v>146</v>
      </c>
    </row>
    <row r="30" spans="1:18" x14ac:dyDescent="0.3">
      <c r="A30" s="12" t="s">
        <v>288</v>
      </c>
      <c r="B30" s="12" t="s">
        <v>12</v>
      </c>
      <c r="C30" s="12"/>
      <c r="D30" s="12" t="s">
        <v>12</v>
      </c>
      <c r="E30" s="12" t="s">
        <v>244</v>
      </c>
      <c r="F30" s="12"/>
      <c r="G30" s="12" t="s">
        <v>233</v>
      </c>
      <c r="H30" s="12" t="s">
        <v>40</v>
      </c>
      <c r="I30" s="12" t="s">
        <v>26</v>
      </c>
      <c r="J30" s="13" t="s">
        <v>234</v>
      </c>
      <c r="K30" s="14" t="s">
        <v>289</v>
      </c>
      <c r="L30" s="15">
        <v>2</v>
      </c>
      <c r="M30" s="15" t="s">
        <v>144</v>
      </c>
      <c r="N30" s="16">
        <v>45131</v>
      </c>
      <c r="O30" s="12" t="s">
        <v>290</v>
      </c>
      <c r="P30" s="14" t="s">
        <v>291</v>
      </c>
      <c r="Q30" s="17" t="s">
        <v>137</v>
      </c>
      <c r="R30" s="17" t="s">
        <v>146</v>
      </c>
    </row>
    <row r="31" spans="1:18" x14ac:dyDescent="0.3">
      <c r="A31" s="12" t="s">
        <v>292</v>
      </c>
      <c r="B31" s="12" t="s">
        <v>14</v>
      </c>
      <c r="C31" s="12"/>
      <c r="D31" s="12" t="s">
        <v>14</v>
      </c>
      <c r="E31" s="12" t="s">
        <v>247</v>
      </c>
      <c r="F31" s="12" t="s">
        <v>293</v>
      </c>
      <c r="G31" s="12" t="s">
        <v>233</v>
      </c>
      <c r="H31" s="12" t="s">
        <v>40</v>
      </c>
      <c r="I31" s="12" t="s">
        <v>26</v>
      </c>
      <c r="J31" s="13" t="s">
        <v>234</v>
      </c>
      <c r="K31" s="14" t="s">
        <v>294</v>
      </c>
      <c r="L31" s="15">
        <v>1</v>
      </c>
      <c r="M31" s="15" t="s">
        <v>144</v>
      </c>
      <c r="N31" s="16">
        <v>45391</v>
      </c>
      <c r="O31" s="12" t="s">
        <v>292</v>
      </c>
      <c r="P31" s="14" t="s">
        <v>295</v>
      </c>
      <c r="Q31" s="17" t="s">
        <v>137</v>
      </c>
      <c r="R31" s="17" t="s">
        <v>146</v>
      </c>
    </row>
    <row r="32" spans="1:18" x14ac:dyDescent="0.3">
      <c r="A32" s="12" t="s">
        <v>296</v>
      </c>
      <c r="B32" s="12" t="s">
        <v>20</v>
      </c>
      <c r="C32" s="12"/>
      <c r="D32" s="12" t="s">
        <v>193</v>
      </c>
      <c r="E32" s="12" t="s">
        <v>297</v>
      </c>
      <c r="F32" s="12"/>
      <c r="G32" s="12" t="s">
        <v>233</v>
      </c>
      <c r="H32" s="12" t="s">
        <v>40</v>
      </c>
      <c r="I32" s="12" t="s">
        <v>26</v>
      </c>
      <c r="J32" s="13" t="s">
        <v>259</v>
      </c>
      <c r="K32" s="14" t="s">
        <v>298</v>
      </c>
      <c r="L32" s="15">
        <v>0</v>
      </c>
      <c r="M32" s="15" t="s">
        <v>144</v>
      </c>
      <c r="N32" s="16">
        <v>44763</v>
      </c>
      <c r="O32" s="12" t="s">
        <v>299</v>
      </c>
      <c r="P32" s="14" t="s">
        <v>300</v>
      </c>
      <c r="Q32" s="17" t="s">
        <v>137</v>
      </c>
      <c r="R32" s="17" t="s">
        <v>146</v>
      </c>
    </row>
    <row r="33" spans="1:18" x14ac:dyDescent="0.3">
      <c r="A33" s="12" t="s">
        <v>301</v>
      </c>
      <c r="B33" s="12" t="s">
        <v>20</v>
      </c>
      <c r="C33" s="12"/>
      <c r="D33" s="12" t="s">
        <v>193</v>
      </c>
      <c r="E33" s="12" t="s">
        <v>302</v>
      </c>
      <c r="F33" s="12"/>
      <c r="G33" s="12" t="s">
        <v>233</v>
      </c>
      <c r="H33" s="12" t="s">
        <v>40</v>
      </c>
      <c r="I33" s="12" t="s">
        <v>26</v>
      </c>
      <c r="J33" s="13" t="s">
        <v>259</v>
      </c>
      <c r="K33" s="14" t="s">
        <v>303</v>
      </c>
      <c r="L33" s="15">
        <v>0</v>
      </c>
      <c r="M33" s="15" t="s">
        <v>144</v>
      </c>
      <c r="N33" s="16">
        <v>44132</v>
      </c>
      <c r="O33" s="12" t="s">
        <v>299</v>
      </c>
      <c r="P33" s="14" t="s">
        <v>304</v>
      </c>
      <c r="Q33" s="17" t="s">
        <v>137</v>
      </c>
      <c r="R33" s="17" t="s">
        <v>146</v>
      </c>
    </row>
    <row r="34" spans="1:18" x14ac:dyDescent="0.3">
      <c r="A34" s="12" t="s">
        <v>305</v>
      </c>
      <c r="B34" s="12" t="s">
        <v>14</v>
      </c>
      <c r="C34" s="12"/>
      <c r="D34" s="12" t="s">
        <v>14</v>
      </c>
      <c r="E34" s="12" t="s">
        <v>264</v>
      </c>
      <c r="F34" s="12"/>
      <c r="G34" s="12" t="s">
        <v>233</v>
      </c>
      <c r="H34" s="12" t="s">
        <v>40</v>
      </c>
      <c r="I34" s="12" t="s">
        <v>26</v>
      </c>
      <c r="J34" s="13" t="s">
        <v>259</v>
      </c>
      <c r="K34" s="14" t="s">
        <v>265</v>
      </c>
      <c r="L34" s="15">
        <v>4</v>
      </c>
      <c r="M34" s="15" t="s">
        <v>144</v>
      </c>
      <c r="N34" s="16">
        <v>45370</v>
      </c>
      <c r="O34" s="12" t="s">
        <v>305</v>
      </c>
      <c r="P34" s="14" t="s">
        <v>306</v>
      </c>
      <c r="Q34" s="17" t="s">
        <v>137</v>
      </c>
      <c r="R34" s="17" t="s">
        <v>146</v>
      </c>
    </row>
    <row r="35" spans="1:18" x14ac:dyDescent="0.3">
      <c r="A35" s="12" t="s">
        <v>307</v>
      </c>
      <c r="B35" s="12" t="s">
        <v>14</v>
      </c>
      <c r="C35" s="12"/>
      <c r="D35" s="12" t="s">
        <v>14</v>
      </c>
      <c r="E35" s="12" t="s">
        <v>308</v>
      </c>
      <c r="F35" s="12" t="s">
        <v>188</v>
      </c>
      <c r="G35" s="12" t="s">
        <v>233</v>
      </c>
      <c r="H35" s="12" t="s">
        <v>40</v>
      </c>
      <c r="I35" s="12" t="s">
        <v>26</v>
      </c>
      <c r="J35" s="13" t="s">
        <v>234</v>
      </c>
      <c r="K35" s="14" t="s">
        <v>309</v>
      </c>
      <c r="L35" s="15">
        <v>6</v>
      </c>
      <c r="M35" s="15" t="s">
        <v>144</v>
      </c>
      <c r="N35" s="16">
        <v>46275</v>
      </c>
      <c r="O35" s="12" t="s">
        <v>307</v>
      </c>
      <c r="P35" s="14" t="s">
        <v>310</v>
      </c>
      <c r="Q35" s="17" t="s">
        <v>137</v>
      </c>
      <c r="R35" s="17" t="s">
        <v>146</v>
      </c>
    </row>
    <row r="36" spans="1:18" x14ac:dyDescent="0.3">
      <c r="A36" s="12" t="s">
        <v>311</v>
      </c>
      <c r="B36" s="12" t="s">
        <v>12</v>
      </c>
      <c r="C36" s="12"/>
      <c r="D36" s="12" t="s">
        <v>12</v>
      </c>
      <c r="E36" s="12" t="s">
        <v>312</v>
      </c>
      <c r="F36" s="12"/>
      <c r="G36" s="12" t="s">
        <v>313</v>
      </c>
      <c r="H36" s="12" t="s">
        <v>40</v>
      </c>
      <c r="I36" s="12" t="s">
        <v>26</v>
      </c>
      <c r="J36" s="13" t="s">
        <v>314</v>
      </c>
      <c r="K36" s="14" t="s">
        <v>315</v>
      </c>
      <c r="L36" s="15">
        <v>0</v>
      </c>
      <c r="M36" s="15" t="s">
        <v>144</v>
      </c>
      <c r="N36" s="16">
        <v>45674</v>
      </c>
      <c r="O36" s="12" t="s">
        <v>311</v>
      </c>
      <c r="P36" s="14" t="s">
        <v>316</v>
      </c>
      <c r="Q36" s="17" t="s">
        <v>137</v>
      </c>
      <c r="R36" s="17" t="s">
        <v>146</v>
      </c>
    </row>
    <row r="37" spans="1:18" x14ac:dyDescent="0.3">
      <c r="A37" s="12" t="s">
        <v>317</v>
      </c>
      <c r="B37" s="12" t="s">
        <v>12</v>
      </c>
      <c r="C37" s="12"/>
      <c r="D37" s="12" t="s">
        <v>12</v>
      </c>
      <c r="E37" s="12" t="s">
        <v>318</v>
      </c>
      <c r="F37" s="12" t="s">
        <v>319</v>
      </c>
      <c r="G37" s="12" t="s">
        <v>320</v>
      </c>
      <c r="H37" s="12" t="s">
        <v>40</v>
      </c>
      <c r="I37" s="12" t="s">
        <v>26</v>
      </c>
      <c r="J37" s="13" t="s">
        <v>321</v>
      </c>
      <c r="K37" s="14" t="s">
        <v>322</v>
      </c>
      <c r="L37" s="15">
        <v>1</v>
      </c>
      <c r="M37" s="15" t="s">
        <v>144</v>
      </c>
      <c r="N37" s="16">
        <v>46266</v>
      </c>
      <c r="O37" s="12" t="s">
        <v>317</v>
      </c>
      <c r="P37" s="14" t="s">
        <v>323</v>
      </c>
      <c r="Q37" s="17" t="s">
        <v>137</v>
      </c>
      <c r="R37" s="17" t="s">
        <v>146</v>
      </c>
    </row>
    <row r="38" spans="1:18" x14ac:dyDescent="0.3">
      <c r="A38" s="12" t="s">
        <v>324</v>
      </c>
      <c r="B38" s="12" t="s">
        <v>12</v>
      </c>
      <c r="C38" s="12"/>
      <c r="D38" s="12" t="s">
        <v>12</v>
      </c>
      <c r="E38" s="12" t="s">
        <v>325</v>
      </c>
      <c r="F38" s="12" t="s">
        <v>188</v>
      </c>
      <c r="G38" s="12" t="s">
        <v>320</v>
      </c>
      <c r="H38" s="12" t="s">
        <v>40</v>
      </c>
      <c r="I38" s="12" t="s">
        <v>26</v>
      </c>
      <c r="J38" s="13" t="s">
        <v>321</v>
      </c>
      <c r="K38" s="14" t="s">
        <v>326</v>
      </c>
      <c r="L38" s="15">
        <v>0</v>
      </c>
      <c r="M38" s="15" t="s">
        <v>144</v>
      </c>
      <c r="N38" s="16">
        <v>44981</v>
      </c>
      <c r="O38" s="12" t="s">
        <v>324</v>
      </c>
      <c r="P38" s="14" t="s">
        <v>327</v>
      </c>
      <c r="Q38" s="17" t="s">
        <v>137</v>
      </c>
      <c r="R38" s="17" t="s">
        <v>146</v>
      </c>
    </row>
    <row r="39" spans="1:18" x14ac:dyDescent="0.3">
      <c r="A39" s="12" t="s">
        <v>199</v>
      </c>
      <c r="B39" s="12" t="s">
        <v>14</v>
      </c>
      <c r="C39" s="12"/>
      <c r="D39" s="12" t="s">
        <v>14</v>
      </c>
      <c r="E39" s="12" t="s">
        <v>328</v>
      </c>
      <c r="F39" s="12" t="s">
        <v>329</v>
      </c>
      <c r="G39" s="12" t="s">
        <v>320</v>
      </c>
      <c r="H39" s="12" t="s">
        <v>40</v>
      </c>
      <c r="I39" s="12" t="s">
        <v>26</v>
      </c>
      <c r="J39" s="13" t="s">
        <v>321</v>
      </c>
      <c r="K39" s="14" t="s">
        <v>330</v>
      </c>
      <c r="L39" s="15">
        <v>0</v>
      </c>
      <c r="M39" s="15" t="s">
        <v>144</v>
      </c>
      <c r="N39" s="16">
        <v>45951</v>
      </c>
      <c r="O39" s="12" t="s">
        <v>331</v>
      </c>
      <c r="P39" s="14" t="s">
        <v>332</v>
      </c>
      <c r="Q39" s="17" t="s">
        <v>137</v>
      </c>
      <c r="R39" s="17" t="s">
        <v>146</v>
      </c>
    </row>
    <row r="40" spans="1:18" x14ac:dyDescent="0.3">
      <c r="A40" s="12" t="s">
        <v>199</v>
      </c>
      <c r="B40" s="12" t="s">
        <v>14</v>
      </c>
      <c r="C40" s="12"/>
      <c r="D40" s="12" t="s">
        <v>14</v>
      </c>
      <c r="E40" s="12" t="s">
        <v>333</v>
      </c>
      <c r="F40" s="12" t="s">
        <v>334</v>
      </c>
      <c r="G40" s="12" t="s">
        <v>320</v>
      </c>
      <c r="H40" s="12" t="s">
        <v>40</v>
      </c>
      <c r="I40" s="12" t="s">
        <v>26</v>
      </c>
      <c r="J40" s="13" t="s">
        <v>321</v>
      </c>
      <c r="K40" s="14" t="s">
        <v>330</v>
      </c>
      <c r="L40" s="15">
        <v>3</v>
      </c>
      <c r="M40" s="15" t="s">
        <v>144</v>
      </c>
      <c r="N40" s="16">
        <v>45589</v>
      </c>
      <c r="O40" s="12" t="s">
        <v>203</v>
      </c>
      <c r="P40" s="14" t="s">
        <v>335</v>
      </c>
      <c r="Q40" s="17" t="s">
        <v>137</v>
      </c>
      <c r="R40" s="17" t="s">
        <v>146</v>
      </c>
    </row>
    <row r="41" spans="1:18" x14ac:dyDescent="0.3">
      <c r="A41" s="12" t="s">
        <v>336</v>
      </c>
      <c r="B41" s="12" t="s">
        <v>12</v>
      </c>
      <c r="C41" s="12"/>
      <c r="D41" s="12" t="s">
        <v>12</v>
      </c>
      <c r="E41" s="12" t="s">
        <v>337</v>
      </c>
      <c r="F41" s="12"/>
      <c r="G41" s="12" t="s">
        <v>320</v>
      </c>
      <c r="H41" s="12" t="s">
        <v>40</v>
      </c>
      <c r="I41" s="12" t="s">
        <v>26</v>
      </c>
      <c r="J41" s="13" t="s">
        <v>321</v>
      </c>
      <c r="K41" s="14" t="s">
        <v>338</v>
      </c>
      <c r="L41" s="15">
        <v>3</v>
      </c>
      <c r="M41" s="15" t="s">
        <v>144</v>
      </c>
      <c r="N41" s="16">
        <v>44763</v>
      </c>
      <c r="O41" s="12" t="s">
        <v>339</v>
      </c>
      <c r="P41" s="14" t="s">
        <v>340</v>
      </c>
      <c r="Q41" s="17" t="s">
        <v>137</v>
      </c>
      <c r="R41" s="17" t="s">
        <v>146</v>
      </c>
    </row>
    <row r="42" spans="1:18" x14ac:dyDescent="0.3">
      <c r="A42" s="12" t="s">
        <v>341</v>
      </c>
      <c r="B42" s="12" t="s">
        <v>12</v>
      </c>
      <c r="C42" s="12"/>
      <c r="D42" s="12" t="s">
        <v>12</v>
      </c>
      <c r="E42" s="12" t="s">
        <v>337</v>
      </c>
      <c r="F42" s="12"/>
      <c r="G42" s="12" t="s">
        <v>320</v>
      </c>
      <c r="H42" s="12" t="s">
        <v>40</v>
      </c>
      <c r="I42" s="12" t="s">
        <v>26</v>
      </c>
      <c r="J42" s="13" t="s">
        <v>321</v>
      </c>
      <c r="K42" s="14" t="s">
        <v>338</v>
      </c>
      <c r="L42" s="15">
        <v>3</v>
      </c>
      <c r="M42" s="15" t="s">
        <v>144</v>
      </c>
      <c r="N42" s="16">
        <v>46129</v>
      </c>
      <c r="O42" s="12" t="s">
        <v>341</v>
      </c>
      <c r="P42" s="14" t="s">
        <v>342</v>
      </c>
      <c r="Q42" s="17" t="s">
        <v>137</v>
      </c>
      <c r="R42" s="17" t="s">
        <v>146</v>
      </c>
    </row>
    <row r="43" spans="1:18" x14ac:dyDescent="0.3">
      <c r="A43" s="12" t="s">
        <v>343</v>
      </c>
      <c r="B43" s="12" t="s">
        <v>12</v>
      </c>
      <c r="C43" s="12"/>
      <c r="D43" s="12" t="s">
        <v>12</v>
      </c>
      <c r="E43" s="12" t="s">
        <v>344</v>
      </c>
      <c r="F43" s="12" t="s">
        <v>345</v>
      </c>
      <c r="G43" s="12" t="s">
        <v>346</v>
      </c>
      <c r="H43" s="12" t="s">
        <v>40</v>
      </c>
      <c r="I43" s="12" t="s">
        <v>26</v>
      </c>
      <c r="J43" s="13" t="s">
        <v>142</v>
      </c>
      <c r="K43" s="14" t="s">
        <v>347</v>
      </c>
      <c r="L43" s="15">
        <v>2</v>
      </c>
      <c r="M43" s="15" t="s">
        <v>144</v>
      </c>
      <c r="N43" s="16">
        <v>45352</v>
      </c>
      <c r="O43" s="12" t="s">
        <v>343</v>
      </c>
      <c r="P43" s="14" t="s">
        <v>348</v>
      </c>
      <c r="Q43" s="17" t="s">
        <v>137</v>
      </c>
      <c r="R43" s="17" t="s">
        <v>146</v>
      </c>
    </row>
    <row r="44" spans="1:18" x14ac:dyDescent="0.3">
      <c r="A44" s="12" t="s">
        <v>343</v>
      </c>
      <c r="B44" s="12" t="s">
        <v>12</v>
      </c>
      <c r="C44" s="12"/>
      <c r="D44" s="12" t="s">
        <v>12</v>
      </c>
      <c r="E44" s="12" t="s">
        <v>349</v>
      </c>
      <c r="F44" s="12"/>
      <c r="G44" s="12" t="s">
        <v>346</v>
      </c>
      <c r="H44" s="12" t="s">
        <v>40</v>
      </c>
      <c r="I44" s="12" t="s">
        <v>26</v>
      </c>
      <c r="J44" s="13" t="s">
        <v>142</v>
      </c>
      <c r="K44" s="14" t="s">
        <v>350</v>
      </c>
      <c r="L44" s="15">
        <v>0</v>
      </c>
      <c r="M44" s="15" t="s">
        <v>144</v>
      </c>
      <c r="N44" s="16">
        <v>45352</v>
      </c>
      <c r="O44" s="12" t="s">
        <v>343</v>
      </c>
      <c r="P44" s="14" t="s">
        <v>348</v>
      </c>
      <c r="Q44" s="17" t="s">
        <v>137</v>
      </c>
      <c r="R44" s="17" t="s">
        <v>146</v>
      </c>
    </row>
    <row r="45" spans="1:18" x14ac:dyDescent="0.3">
      <c r="A45" s="12" t="s">
        <v>351</v>
      </c>
      <c r="B45" s="12" t="s">
        <v>12</v>
      </c>
      <c r="C45" s="12"/>
      <c r="D45" s="12" t="s">
        <v>12</v>
      </c>
      <c r="E45" s="12" t="s">
        <v>352</v>
      </c>
      <c r="F45" s="12"/>
      <c r="G45" s="12" t="s">
        <v>353</v>
      </c>
      <c r="H45" s="12" t="s">
        <v>40</v>
      </c>
      <c r="I45" s="12" t="s">
        <v>26</v>
      </c>
      <c r="J45" s="13" t="s">
        <v>354</v>
      </c>
      <c r="K45" s="14" t="s">
        <v>355</v>
      </c>
      <c r="L45" s="15">
        <v>3</v>
      </c>
      <c r="M45" s="15" t="s">
        <v>144</v>
      </c>
      <c r="N45" s="16">
        <v>45523</v>
      </c>
      <c r="O45" s="12" t="s">
        <v>351</v>
      </c>
      <c r="P45" s="14" t="s">
        <v>356</v>
      </c>
      <c r="Q45" s="17" t="s">
        <v>137</v>
      </c>
      <c r="R45" s="17" t="s">
        <v>146</v>
      </c>
    </row>
    <row r="46" spans="1:18" x14ac:dyDescent="0.3">
      <c r="A46" s="12" t="s">
        <v>357</v>
      </c>
      <c r="B46" s="12" t="s">
        <v>12</v>
      </c>
      <c r="C46" s="12"/>
      <c r="D46" s="12" t="s">
        <v>12</v>
      </c>
      <c r="E46" s="12" t="s">
        <v>358</v>
      </c>
      <c r="F46" s="12" t="s">
        <v>359</v>
      </c>
      <c r="G46" s="12" t="s">
        <v>360</v>
      </c>
      <c r="H46" s="12" t="s">
        <v>40</v>
      </c>
      <c r="I46" s="12" t="s">
        <v>26</v>
      </c>
      <c r="J46" s="13" t="s">
        <v>354</v>
      </c>
      <c r="K46" s="14" t="s">
        <v>361</v>
      </c>
      <c r="L46" s="15">
        <v>1</v>
      </c>
      <c r="M46" s="15" t="s">
        <v>144</v>
      </c>
      <c r="N46" s="16">
        <v>44760</v>
      </c>
      <c r="O46" s="12" t="s">
        <v>362</v>
      </c>
      <c r="P46" s="14" t="s">
        <v>363</v>
      </c>
      <c r="Q46" s="17" t="s">
        <v>137</v>
      </c>
      <c r="R46" s="17" t="s">
        <v>146</v>
      </c>
    </row>
    <row r="47" spans="1:18" x14ac:dyDescent="0.3">
      <c r="A47" s="12" t="s">
        <v>364</v>
      </c>
      <c r="B47" s="12" t="s">
        <v>10</v>
      </c>
      <c r="C47" s="12"/>
      <c r="D47" s="12" t="s">
        <v>157</v>
      </c>
      <c r="E47" s="12" t="s">
        <v>365</v>
      </c>
      <c r="F47" s="12" t="s">
        <v>366</v>
      </c>
      <c r="G47" s="12" t="s">
        <v>367</v>
      </c>
      <c r="H47" s="12" t="s">
        <v>40</v>
      </c>
      <c r="I47" s="12" t="s">
        <v>26</v>
      </c>
      <c r="J47" s="13" t="s">
        <v>234</v>
      </c>
      <c r="K47" s="14" t="s">
        <v>368</v>
      </c>
      <c r="L47" s="15">
        <v>10</v>
      </c>
      <c r="M47" s="15" t="s">
        <v>144</v>
      </c>
      <c r="N47" s="16">
        <v>46253</v>
      </c>
      <c r="O47" s="12" t="s">
        <v>364</v>
      </c>
      <c r="P47" s="14" t="s">
        <v>369</v>
      </c>
      <c r="Q47" s="17" t="s">
        <v>137</v>
      </c>
      <c r="R47" s="17" t="s">
        <v>146</v>
      </c>
    </row>
    <row r="48" spans="1:18" x14ac:dyDescent="0.3">
      <c r="A48" s="12" t="s">
        <v>370</v>
      </c>
      <c r="B48" s="12" t="s">
        <v>12</v>
      </c>
      <c r="C48" s="12"/>
      <c r="D48" s="12" t="s">
        <v>12</v>
      </c>
      <c r="E48" s="12" t="s">
        <v>371</v>
      </c>
      <c r="F48" s="12" t="s">
        <v>372</v>
      </c>
      <c r="G48" s="12" t="s">
        <v>373</v>
      </c>
      <c r="H48" s="12" t="s">
        <v>40</v>
      </c>
      <c r="I48" s="12" t="s">
        <v>26</v>
      </c>
      <c r="J48" s="13" t="s">
        <v>153</v>
      </c>
      <c r="K48" s="14" t="s">
        <v>374</v>
      </c>
      <c r="L48" s="15">
        <v>1</v>
      </c>
      <c r="M48" s="15" t="s">
        <v>144</v>
      </c>
      <c r="N48" s="16">
        <v>45313</v>
      </c>
      <c r="O48" s="12" t="s">
        <v>370</v>
      </c>
      <c r="P48" s="14" t="s">
        <v>375</v>
      </c>
      <c r="Q48" s="17" t="s">
        <v>137</v>
      </c>
      <c r="R48" s="17" t="s">
        <v>146</v>
      </c>
    </row>
    <row r="49" spans="1:18" x14ac:dyDescent="0.3">
      <c r="A49" s="12" t="s">
        <v>376</v>
      </c>
      <c r="B49" s="12" t="s">
        <v>14</v>
      </c>
      <c r="C49" s="12"/>
      <c r="D49" s="12" t="s">
        <v>14</v>
      </c>
      <c r="E49" s="12" t="s">
        <v>377</v>
      </c>
      <c r="F49" s="12"/>
      <c r="G49" s="12" t="s">
        <v>37</v>
      </c>
      <c r="H49" s="12" t="s">
        <v>40</v>
      </c>
      <c r="I49" s="12" t="s">
        <v>26</v>
      </c>
      <c r="J49" s="13" t="s">
        <v>153</v>
      </c>
      <c r="K49" s="14" t="s">
        <v>378</v>
      </c>
      <c r="L49" s="15">
        <v>0</v>
      </c>
      <c r="M49" s="15" t="s">
        <v>144</v>
      </c>
      <c r="N49" s="16">
        <v>46107</v>
      </c>
      <c r="O49" s="12" t="s">
        <v>376</v>
      </c>
      <c r="P49" s="14" t="s">
        <v>379</v>
      </c>
      <c r="Q49" s="17" t="s">
        <v>137</v>
      </c>
      <c r="R49" s="17" t="s">
        <v>146</v>
      </c>
    </row>
    <row r="50" spans="1:18" x14ac:dyDescent="0.3">
      <c r="A50" s="12" t="s">
        <v>380</v>
      </c>
      <c r="B50" s="12" t="s">
        <v>12</v>
      </c>
      <c r="C50" s="12"/>
      <c r="D50" s="12" t="s">
        <v>12</v>
      </c>
      <c r="E50" s="12" t="s">
        <v>381</v>
      </c>
      <c r="F50" s="12" t="s">
        <v>382</v>
      </c>
      <c r="G50" s="12" t="s">
        <v>383</v>
      </c>
      <c r="H50" s="12" t="s">
        <v>40</v>
      </c>
      <c r="I50" s="12" t="s">
        <v>26</v>
      </c>
      <c r="J50" s="13" t="s">
        <v>384</v>
      </c>
      <c r="K50" s="14" t="s">
        <v>385</v>
      </c>
      <c r="L50" s="15">
        <v>3</v>
      </c>
      <c r="M50" s="15" t="s">
        <v>144</v>
      </c>
      <c r="N50" s="16">
        <v>45419</v>
      </c>
      <c r="O50" s="12" t="s">
        <v>380</v>
      </c>
      <c r="P50" s="14" t="s">
        <v>386</v>
      </c>
      <c r="Q50" s="17" t="s">
        <v>137</v>
      </c>
      <c r="R50" s="17" t="s">
        <v>146</v>
      </c>
    </row>
    <row r="51" spans="1:18" x14ac:dyDescent="0.3">
      <c r="A51" s="12" t="s">
        <v>387</v>
      </c>
      <c r="B51" s="12" t="s">
        <v>12</v>
      </c>
      <c r="C51" s="12"/>
      <c r="D51" s="12" t="s">
        <v>12</v>
      </c>
      <c r="E51" s="12" t="s">
        <v>388</v>
      </c>
      <c r="F51" s="12" t="s">
        <v>389</v>
      </c>
      <c r="G51" s="12" t="s">
        <v>383</v>
      </c>
      <c r="H51" s="12" t="s">
        <v>40</v>
      </c>
      <c r="I51" s="12" t="s">
        <v>26</v>
      </c>
      <c r="J51" s="13" t="s">
        <v>384</v>
      </c>
      <c r="K51" s="14" t="s">
        <v>390</v>
      </c>
      <c r="L51" s="15">
        <v>1</v>
      </c>
      <c r="M51" s="15" t="s">
        <v>144</v>
      </c>
      <c r="N51" s="16">
        <v>45260</v>
      </c>
      <c r="O51" s="12" t="s">
        <v>387</v>
      </c>
      <c r="P51" s="14" t="s">
        <v>391</v>
      </c>
      <c r="Q51" s="17" t="s">
        <v>137</v>
      </c>
      <c r="R51" s="17" t="s">
        <v>146</v>
      </c>
    </row>
    <row r="52" spans="1:18" x14ac:dyDescent="0.3">
      <c r="A52" s="12" t="s">
        <v>392</v>
      </c>
      <c r="B52" s="12" t="s">
        <v>12</v>
      </c>
      <c r="C52" s="12"/>
      <c r="D52" s="12" t="s">
        <v>12</v>
      </c>
      <c r="E52" s="12" t="s">
        <v>393</v>
      </c>
      <c r="F52" s="12" t="s">
        <v>394</v>
      </c>
      <c r="G52" s="12" t="s">
        <v>395</v>
      </c>
      <c r="H52" s="12" t="s">
        <v>46</v>
      </c>
      <c r="I52" s="12" t="s">
        <v>26</v>
      </c>
      <c r="J52" s="13" t="s">
        <v>396</v>
      </c>
      <c r="K52" s="14" t="s">
        <v>397</v>
      </c>
      <c r="L52" s="15">
        <v>1</v>
      </c>
      <c r="M52" s="15" t="s">
        <v>144</v>
      </c>
      <c r="N52" s="16">
        <v>45631</v>
      </c>
      <c r="O52" s="12" t="s">
        <v>398</v>
      </c>
      <c r="P52" s="14" t="s">
        <v>399</v>
      </c>
      <c r="Q52" s="17" t="s">
        <v>137</v>
      </c>
      <c r="R52" s="17" t="s">
        <v>146</v>
      </c>
    </row>
    <row r="53" spans="1:18" x14ac:dyDescent="0.3">
      <c r="A53" s="12" t="s">
        <v>400</v>
      </c>
      <c r="B53" s="12" t="s">
        <v>12</v>
      </c>
      <c r="C53" s="12"/>
      <c r="D53" s="12" t="s">
        <v>12</v>
      </c>
      <c r="E53" s="12" t="s">
        <v>401</v>
      </c>
      <c r="F53" s="12"/>
      <c r="G53" s="12" t="s">
        <v>395</v>
      </c>
      <c r="H53" s="12" t="s">
        <v>46</v>
      </c>
      <c r="I53" s="12" t="s">
        <v>26</v>
      </c>
      <c r="J53" s="13" t="s">
        <v>396</v>
      </c>
      <c r="K53" s="14" t="s">
        <v>402</v>
      </c>
      <c r="L53" s="15">
        <v>2</v>
      </c>
      <c r="M53" s="15" t="s">
        <v>144</v>
      </c>
      <c r="N53" s="16">
        <v>45225</v>
      </c>
      <c r="O53" s="12" t="s">
        <v>403</v>
      </c>
      <c r="P53" s="14" t="s">
        <v>404</v>
      </c>
      <c r="Q53" s="17" t="s">
        <v>137</v>
      </c>
      <c r="R53" s="17" t="s">
        <v>146</v>
      </c>
    </row>
    <row r="54" spans="1:18" x14ac:dyDescent="0.3">
      <c r="A54" s="12" t="s">
        <v>405</v>
      </c>
      <c r="B54" s="12" t="s">
        <v>14</v>
      </c>
      <c r="C54" s="12"/>
      <c r="D54" s="12" t="s">
        <v>14</v>
      </c>
      <c r="E54" s="12" t="s">
        <v>406</v>
      </c>
      <c r="F54" s="12" t="s">
        <v>407</v>
      </c>
      <c r="G54" s="12" t="s">
        <v>395</v>
      </c>
      <c r="H54" s="12" t="s">
        <v>46</v>
      </c>
      <c r="I54" s="12" t="s">
        <v>26</v>
      </c>
      <c r="J54" s="13" t="s">
        <v>396</v>
      </c>
      <c r="K54" s="14" t="s">
        <v>408</v>
      </c>
      <c r="L54" s="15">
        <v>0</v>
      </c>
      <c r="M54" s="15" t="s">
        <v>144</v>
      </c>
      <c r="N54" s="16">
        <v>46037</v>
      </c>
      <c r="O54" s="12" t="s">
        <v>405</v>
      </c>
      <c r="P54" s="14" t="s">
        <v>409</v>
      </c>
      <c r="Q54" s="17" t="s">
        <v>137</v>
      </c>
      <c r="R54" s="17" t="s">
        <v>146</v>
      </c>
    </row>
    <row r="55" spans="1:18" x14ac:dyDescent="0.3">
      <c r="A55" s="12" t="s">
        <v>307</v>
      </c>
      <c r="B55" s="12" t="s">
        <v>14</v>
      </c>
      <c r="C55" s="12"/>
      <c r="D55" s="12" t="s">
        <v>14</v>
      </c>
      <c r="E55" s="12" t="s">
        <v>410</v>
      </c>
      <c r="F55" s="12" t="s">
        <v>293</v>
      </c>
      <c r="G55" s="12" t="s">
        <v>395</v>
      </c>
      <c r="H55" s="12" t="s">
        <v>46</v>
      </c>
      <c r="I55" s="12" t="s">
        <v>26</v>
      </c>
      <c r="J55" s="13" t="s">
        <v>396</v>
      </c>
      <c r="K55" s="14" t="s">
        <v>411</v>
      </c>
      <c r="L55" s="15">
        <v>8</v>
      </c>
      <c r="M55" s="15" t="s">
        <v>144</v>
      </c>
      <c r="N55" s="16">
        <v>46275</v>
      </c>
      <c r="O55" s="12" t="s">
        <v>307</v>
      </c>
      <c r="P55" s="14" t="s">
        <v>310</v>
      </c>
      <c r="Q55" s="17" t="s">
        <v>137</v>
      </c>
      <c r="R55" s="17" t="s">
        <v>146</v>
      </c>
    </row>
    <row r="56" spans="1:18" x14ac:dyDescent="0.3">
      <c r="A56" s="12" t="s">
        <v>412</v>
      </c>
      <c r="B56" s="12" t="s">
        <v>10</v>
      </c>
      <c r="C56" s="12"/>
      <c r="D56" s="12" t="s">
        <v>252</v>
      </c>
      <c r="E56" s="12" t="s">
        <v>413</v>
      </c>
      <c r="F56" s="12"/>
      <c r="G56" s="12" t="s">
        <v>414</v>
      </c>
      <c r="H56" s="12" t="s">
        <v>46</v>
      </c>
      <c r="I56" s="12" t="s">
        <v>26</v>
      </c>
      <c r="J56" s="13" t="s">
        <v>415</v>
      </c>
      <c r="K56" s="14" t="s">
        <v>416</v>
      </c>
      <c r="L56" s="15">
        <v>0</v>
      </c>
      <c r="M56" s="15" t="s">
        <v>144</v>
      </c>
      <c r="N56" s="16">
        <v>44971</v>
      </c>
      <c r="O56" s="12" t="s">
        <v>412</v>
      </c>
      <c r="P56" s="14" t="s">
        <v>417</v>
      </c>
      <c r="Q56" s="17" t="s">
        <v>137</v>
      </c>
      <c r="R56" s="17" t="s">
        <v>146</v>
      </c>
    </row>
    <row r="57" spans="1:18" x14ac:dyDescent="0.3">
      <c r="A57" s="12" t="s">
        <v>186</v>
      </c>
      <c r="B57" s="12" t="s">
        <v>14</v>
      </c>
      <c r="C57" s="12"/>
      <c r="D57" s="12" t="s">
        <v>14</v>
      </c>
      <c r="E57" s="12" t="s">
        <v>418</v>
      </c>
      <c r="F57" s="12" t="s">
        <v>188</v>
      </c>
      <c r="G57" s="12" t="s">
        <v>414</v>
      </c>
      <c r="H57" s="12" t="s">
        <v>46</v>
      </c>
      <c r="I57" s="12" t="s">
        <v>26</v>
      </c>
      <c r="J57" s="13" t="s">
        <v>415</v>
      </c>
      <c r="K57" s="14" t="s">
        <v>419</v>
      </c>
      <c r="L57" s="15">
        <v>2</v>
      </c>
      <c r="M57" s="15" t="s">
        <v>144</v>
      </c>
      <c r="N57" s="16">
        <v>45827</v>
      </c>
      <c r="O57" s="12" t="s">
        <v>190</v>
      </c>
      <c r="P57" s="14" t="s">
        <v>420</v>
      </c>
      <c r="Q57" s="17" t="s">
        <v>137</v>
      </c>
      <c r="R57" s="17" t="s">
        <v>146</v>
      </c>
    </row>
    <row r="58" spans="1:18" x14ac:dyDescent="0.3">
      <c r="A58" s="12" t="s">
        <v>421</v>
      </c>
      <c r="B58" s="12" t="s">
        <v>12</v>
      </c>
      <c r="C58" s="12"/>
      <c r="D58" s="12" t="s">
        <v>12</v>
      </c>
      <c r="E58" s="12" t="s">
        <v>422</v>
      </c>
      <c r="F58" s="12" t="s">
        <v>188</v>
      </c>
      <c r="G58" s="12" t="s">
        <v>414</v>
      </c>
      <c r="H58" s="12" t="s">
        <v>46</v>
      </c>
      <c r="I58" s="12" t="s">
        <v>26</v>
      </c>
      <c r="J58" s="13" t="s">
        <v>415</v>
      </c>
      <c r="K58" s="14" t="s">
        <v>423</v>
      </c>
      <c r="L58" s="15">
        <v>1</v>
      </c>
      <c r="M58" s="15" t="s">
        <v>144</v>
      </c>
      <c r="N58" s="16">
        <v>46246</v>
      </c>
      <c r="O58" s="12" t="s">
        <v>424</v>
      </c>
      <c r="P58" s="14" t="s">
        <v>425</v>
      </c>
      <c r="Q58" s="17" t="s">
        <v>137</v>
      </c>
      <c r="R58" s="17" t="s">
        <v>146</v>
      </c>
    </row>
    <row r="59" spans="1:18" x14ac:dyDescent="0.3">
      <c r="A59" s="12" t="s">
        <v>426</v>
      </c>
      <c r="B59" s="12" t="s">
        <v>14</v>
      </c>
      <c r="C59" s="12"/>
      <c r="D59" s="12" t="s">
        <v>14</v>
      </c>
      <c r="E59" s="12" t="s">
        <v>422</v>
      </c>
      <c r="F59" s="12" t="s">
        <v>427</v>
      </c>
      <c r="G59" s="12" t="s">
        <v>414</v>
      </c>
      <c r="H59" s="12" t="s">
        <v>46</v>
      </c>
      <c r="I59" s="12" t="s">
        <v>26</v>
      </c>
      <c r="J59" s="13" t="s">
        <v>415</v>
      </c>
      <c r="K59" s="14" t="s">
        <v>428</v>
      </c>
      <c r="L59" s="15">
        <v>0</v>
      </c>
      <c r="M59" s="15" t="s">
        <v>144</v>
      </c>
      <c r="N59" s="16">
        <v>46177</v>
      </c>
      <c r="O59" s="12" t="s">
        <v>426</v>
      </c>
      <c r="P59" s="14" t="s">
        <v>429</v>
      </c>
      <c r="Q59" s="17" t="s">
        <v>137</v>
      </c>
      <c r="R59" s="17" t="s">
        <v>146</v>
      </c>
    </row>
    <row r="60" spans="1:18" x14ac:dyDescent="0.3">
      <c r="A60" s="12" t="s">
        <v>430</v>
      </c>
      <c r="B60" s="12" t="s">
        <v>12</v>
      </c>
      <c r="C60" s="12"/>
      <c r="D60" s="12" t="s">
        <v>12</v>
      </c>
      <c r="E60" s="12" t="s">
        <v>431</v>
      </c>
      <c r="F60" s="12" t="s">
        <v>432</v>
      </c>
      <c r="G60" s="12" t="s">
        <v>414</v>
      </c>
      <c r="H60" s="12" t="s">
        <v>46</v>
      </c>
      <c r="I60" s="12" t="s">
        <v>26</v>
      </c>
      <c r="J60" s="13" t="s">
        <v>415</v>
      </c>
      <c r="K60" s="14" t="s">
        <v>433</v>
      </c>
      <c r="L60" s="15">
        <v>2</v>
      </c>
      <c r="M60" s="15" t="s">
        <v>144</v>
      </c>
      <c r="N60" s="16">
        <v>45820</v>
      </c>
      <c r="O60" s="12" t="s">
        <v>430</v>
      </c>
      <c r="P60" s="14" t="s">
        <v>434</v>
      </c>
      <c r="Q60" s="17" t="s">
        <v>137</v>
      </c>
      <c r="R60" s="17" t="s">
        <v>146</v>
      </c>
    </row>
    <row r="61" spans="1:18" x14ac:dyDescent="0.3">
      <c r="A61" s="12" t="s">
        <v>435</v>
      </c>
      <c r="B61" s="12" t="s">
        <v>12</v>
      </c>
      <c r="C61" s="12"/>
      <c r="D61" s="12" t="s">
        <v>12</v>
      </c>
      <c r="E61" s="12" t="s">
        <v>422</v>
      </c>
      <c r="F61" s="12" t="s">
        <v>436</v>
      </c>
      <c r="G61" s="12" t="s">
        <v>414</v>
      </c>
      <c r="H61" s="12" t="s">
        <v>46</v>
      </c>
      <c r="I61" s="12" t="s">
        <v>26</v>
      </c>
      <c r="J61" s="13" t="s">
        <v>415</v>
      </c>
      <c r="K61" s="14" t="s">
        <v>437</v>
      </c>
      <c r="L61" s="15">
        <v>1</v>
      </c>
      <c r="M61" s="15" t="s">
        <v>144</v>
      </c>
      <c r="N61" s="16">
        <v>45475</v>
      </c>
      <c r="O61" s="12" t="s">
        <v>435</v>
      </c>
      <c r="P61" s="14" t="s">
        <v>438</v>
      </c>
      <c r="Q61" s="17" t="s">
        <v>137</v>
      </c>
      <c r="R61" s="17" t="s">
        <v>146</v>
      </c>
    </row>
    <row r="62" spans="1:18" x14ac:dyDescent="0.3">
      <c r="A62" s="12" t="s">
        <v>439</v>
      </c>
      <c r="B62" s="12" t="s">
        <v>10</v>
      </c>
      <c r="C62" s="12"/>
      <c r="D62" s="12" t="s">
        <v>440</v>
      </c>
      <c r="E62" s="12" t="s">
        <v>441</v>
      </c>
      <c r="F62" s="12"/>
      <c r="G62" s="12" t="s">
        <v>414</v>
      </c>
      <c r="H62" s="12" t="s">
        <v>46</v>
      </c>
      <c r="I62" s="12" t="s">
        <v>26</v>
      </c>
      <c r="J62" s="13" t="s">
        <v>415</v>
      </c>
      <c r="K62" s="14" t="s">
        <v>442</v>
      </c>
      <c r="L62" s="15">
        <v>4</v>
      </c>
      <c r="M62" s="15" t="s">
        <v>144</v>
      </c>
      <c r="N62" s="16">
        <v>45027</v>
      </c>
      <c r="O62" s="12" t="s">
        <v>443</v>
      </c>
      <c r="P62" s="14" t="s">
        <v>444</v>
      </c>
      <c r="Q62" s="17" t="s">
        <v>137</v>
      </c>
      <c r="R62" s="17" t="s">
        <v>146</v>
      </c>
    </row>
    <row r="63" spans="1:18" x14ac:dyDescent="0.3">
      <c r="A63" s="12" t="s">
        <v>445</v>
      </c>
      <c r="B63" s="12" t="s">
        <v>12</v>
      </c>
      <c r="C63" s="12"/>
      <c r="D63" s="12" t="s">
        <v>12</v>
      </c>
      <c r="E63" s="12" t="s">
        <v>446</v>
      </c>
      <c r="F63" s="12" t="s">
        <v>447</v>
      </c>
      <c r="G63" s="12" t="s">
        <v>448</v>
      </c>
      <c r="H63" s="12" t="s">
        <v>46</v>
      </c>
      <c r="I63" s="12" t="s">
        <v>26</v>
      </c>
      <c r="J63" s="13" t="s">
        <v>449</v>
      </c>
      <c r="K63" s="14" t="s">
        <v>450</v>
      </c>
      <c r="L63" s="15">
        <v>0</v>
      </c>
      <c r="M63" s="15" t="s">
        <v>144</v>
      </c>
      <c r="N63" s="16">
        <v>46125</v>
      </c>
      <c r="O63" s="12" t="s">
        <v>445</v>
      </c>
      <c r="P63" s="14" t="s">
        <v>451</v>
      </c>
      <c r="Q63" s="17" t="s">
        <v>137</v>
      </c>
      <c r="R63" s="17" t="s">
        <v>146</v>
      </c>
    </row>
    <row r="64" spans="1:18" x14ac:dyDescent="0.3">
      <c r="A64" s="12" t="s">
        <v>452</v>
      </c>
      <c r="B64" s="12" t="s">
        <v>12</v>
      </c>
      <c r="C64" s="12"/>
      <c r="D64" s="12" t="s">
        <v>12</v>
      </c>
      <c r="E64" s="12" t="s">
        <v>453</v>
      </c>
      <c r="F64" s="12" t="s">
        <v>454</v>
      </c>
      <c r="G64" s="12" t="s">
        <v>455</v>
      </c>
      <c r="H64" s="12" t="s">
        <v>46</v>
      </c>
      <c r="I64" s="12" t="s">
        <v>26</v>
      </c>
      <c r="J64" s="13" t="s">
        <v>456</v>
      </c>
      <c r="K64" s="14" t="s">
        <v>457</v>
      </c>
      <c r="L64" s="15">
        <v>1</v>
      </c>
      <c r="M64" s="15" t="s">
        <v>144</v>
      </c>
      <c r="N64" s="16">
        <v>45721</v>
      </c>
      <c r="O64" s="12" t="s">
        <v>458</v>
      </c>
      <c r="P64" s="14" t="s">
        <v>459</v>
      </c>
      <c r="Q64" s="17" t="s">
        <v>137</v>
      </c>
      <c r="R64" s="17" t="s">
        <v>146</v>
      </c>
    </row>
    <row r="65" spans="1:18" x14ac:dyDescent="0.3">
      <c r="A65" s="12" t="s">
        <v>460</v>
      </c>
      <c r="B65" s="12" t="s">
        <v>12</v>
      </c>
      <c r="C65" s="12"/>
      <c r="D65" s="12" t="s">
        <v>12</v>
      </c>
      <c r="E65" s="12" t="s">
        <v>461</v>
      </c>
      <c r="F65" s="12"/>
      <c r="G65" s="12" t="s">
        <v>462</v>
      </c>
      <c r="H65" s="12" t="s">
        <v>46</v>
      </c>
      <c r="I65" s="12" t="s">
        <v>26</v>
      </c>
      <c r="J65" s="13" t="s">
        <v>463</v>
      </c>
      <c r="K65" s="14" t="s">
        <v>464</v>
      </c>
      <c r="L65" s="15">
        <v>3</v>
      </c>
      <c r="M65" s="15" t="s">
        <v>144</v>
      </c>
      <c r="N65" s="16">
        <v>46230</v>
      </c>
      <c r="O65" s="12" t="s">
        <v>460</v>
      </c>
      <c r="P65" s="14" t="s">
        <v>465</v>
      </c>
      <c r="Q65" s="17" t="s">
        <v>137</v>
      </c>
      <c r="R65" s="17" t="s">
        <v>146</v>
      </c>
    </row>
    <row r="66" spans="1:18" x14ac:dyDescent="0.3">
      <c r="A66" s="12" t="s">
        <v>205</v>
      </c>
      <c r="B66" s="12" t="s">
        <v>20</v>
      </c>
      <c r="C66" s="12"/>
      <c r="D66" s="12" t="s">
        <v>193</v>
      </c>
      <c r="E66" s="12" t="s">
        <v>466</v>
      </c>
      <c r="F66" s="12" t="s">
        <v>467</v>
      </c>
      <c r="G66" s="12" t="s">
        <v>462</v>
      </c>
      <c r="H66" s="12" t="s">
        <v>46</v>
      </c>
      <c r="I66" s="12" t="s">
        <v>26</v>
      </c>
      <c r="J66" s="13" t="s">
        <v>463</v>
      </c>
      <c r="K66" s="14" t="s">
        <v>468</v>
      </c>
      <c r="L66" s="15">
        <v>1</v>
      </c>
      <c r="M66" s="15" t="s">
        <v>144</v>
      </c>
      <c r="N66" s="16">
        <v>41849</v>
      </c>
      <c r="O66" s="12" t="s">
        <v>209</v>
      </c>
      <c r="P66" s="14" t="s">
        <v>469</v>
      </c>
      <c r="Q66" s="17" t="s">
        <v>137</v>
      </c>
      <c r="R66" s="17" t="s">
        <v>146</v>
      </c>
    </row>
    <row r="67" spans="1:18" x14ac:dyDescent="0.3">
      <c r="A67" s="12" t="s">
        <v>470</v>
      </c>
      <c r="B67" s="12" t="s">
        <v>16</v>
      </c>
      <c r="C67" s="12"/>
      <c r="D67" s="12" t="s">
        <v>471</v>
      </c>
      <c r="E67" s="12" t="s">
        <v>472</v>
      </c>
      <c r="F67" s="12"/>
      <c r="G67" s="12" t="s">
        <v>462</v>
      </c>
      <c r="H67" s="12" t="s">
        <v>46</v>
      </c>
      <c r="I67" s="12" t="s">
        <v>26</v>
      </c>
      <c r="J67" s="13" t="s">
        <v>463</v>
      </c>
      <c r="K67" s="14" t="s">
        <v>473</v>
      </c>
      <c r="L67" s="15">
        <v>3</v>
      </c>
      <c r="M67" s="15" t="s">
        <v>220</v>
      </c>
      <c r="N67" s="16">
        <v>45268</v>
      </c>
      <c r="O67" s="12" t="s">
        <v>470</v>
      </c>
      <c r="P67" s="14" t="s">
        <v>474</v>
      </c>
      <c r="Q67" s="17" t="s">
        <v>137</v>
      </c>
      <c r="R67" s="17" t="s">
        <v>146</v>
      </c>
    </row>
    <row r="68" spans="1:18" x14ac:dyDescent="0.3">
      <c r="A68" s="12" t="s">
        <v>475</v>
      </c>
      <c r="B68" s="12" t="s">
        <v>14</v>
      </c>
      <c r="C68" s="12"/>
      <c r="D68" s="12" t="s">
        <v>14</v>
      </c>
      <c r="E68" s="12" t="s">
        <v>476</v>
      </c>
      <c r="F68" s="12"/>
      <c r="G68" s="12" t="s">
        <v>462</v>
      </c>
      <c r="H68" s="12" t="s">
        <v>46</v>
      </c>
      <c r="I68" s="12" t="s">
        <v>26</v>
      </c>
      <c r="J68" s="13" t="s">
        <v>463</v>
      </c>
      <c r="K68" s="14" t="s">
        <v>477</v>
      </c>
      <c r="L68" s="15">
        <v>3</v>
      </c>
      <c r="M68" s="15" t="s">
        <v>144</v>
      </c>
      <c r="N68" s="16">
        <v>45379</v>
      </c>
      <c r="O68" s="12" t="s">
        <v>475</v>
      </c>
      <c r="P68" s="14" t="s">
        <v>478</v>
      </c>
      <c r="Q68" s="17" t="s">
        <v>137</v>
      </c>
      <c r="R68" s="17" t="s">
        <v>146</v>
      </c>
    </row>
    <row r="69" spans="1:18" x14ac:dyDescent="0.3">
      <c r="A69" s="12" t="s">
        <v>479</v>
      </c>
      <c r="B69" s="12" t="s">
        <v>12</v>
      </c>
      <c r="C69" s="12"/>
      <c r="D69" s="12" t="s">
        <v>12</v>
      </c>
      <c r="E69" s="12" t="s">
        <v>480</v>
      </c>
      <c r="F69" s="12" t="s">
        <v>481</v>
      </c>
      <c r="G69" s="12" t="s">
        <v>482</v>
      </c>
      <c r="H69" s="12" t="s">
        <v>46</v>
      </c>
      <c r="I69" s="12" t="s">
        <v>26</v>
      </c>
      <c r="J69" s="13" t="s">
        <v>483</v>
      </c>
      <c r="K69" s="14" t="s">
        <v>484</v>
      </c>
      <c r="L69" s="15">
        <v>1</v>
      </c>
      <c r="M69" s="15" t="s">
        <v>144</v>
      </c>
      <c r="N69" s="16">
        <v>44572</v>
      </c>
      <c r="O69" s="12" t="s">
        <v>485</v>
      </c>
      <c r="P69" s="14" t="s">
        <v>486</v>
      </c>
      <c r="Q69" s="17" t="s">
        <v>137</v>
      </c>
      <c r="R69" s="17" t="s">
        <v>146</v>
      </c>
    </row>
    <row r="70" spans="1:18" x14ac:dyDescent="0.3">
      <c r="A70" s="12" t="s">
        <v>487</v>
      </c>
      <c r="B70" s="12" t="s">
        <v>12</v>
      </c>
      <c r="C70" s="12"/>
      <c r="D70" s="12" t="s">
        <v>12</v>
      </c>
      <c r="E70" s="12" t="s">
        <v>488</v>
      </c>
      <c r="F70" s="12" t="s">
        <v>467</v>
      </c>
      <c r="G70" s="12" t="s">
        <v>489</v>
      </c>
      <c r="H70" s="12" t="s">
        <v>61</v>
      </c>
      <c r="I70" s="12" t="s">
        <v>26</v>
      </c>
      <c r="J70" s="13" t="s">
        <v>490</v>
      </c>
      <c r="K70" s="14" t="s">
        <v>491</v>
      </c>
      <c r="L70" s="15">
        <v>1</v>
      </c>
      <c r="M70" s="15" t="s">
        <v>144</v>
      </c>
      <c r="N70" s="16">
        <v>45751</v>
      </c>
      <c r="O70" s="12" t="s">
        <v>487</v>
      </c>
      <c r="P70" s="14" t="s">
        <v>492</v>
      </c>
      <c r="Q70" s="17" t="s">
        <v>137</v>
      </c>
      <c r="R70" s="17" t="s">
        <v>146</v>
      </c>
    </row>
    <row r="71" spans="1:18" x14ac:dyDescent="0.3">
      <c r="A71" s="12" t="s">
        <v>493</v>
      </c>
      <c r="B71" s="12" t="s">
        <v>12</v>
      </c>
      <c r="C71" s="12"/>
      <c r="D71" s="12" t="s">
        <v>12</v>
      </c>
      <c r="E71" s="12" t="s">
        <v>494</v>
      </c>
      <c r="F71" s="12"/>
      <c r="G71" s="12" t="s">
        <v>489</v>
      </c>
      <c r="H71" s="12" t="s">
        <v>61</v>
      </c>
      <c r="I71" s="12" t="s">
        <v>26</v>
      </c>
      <c r="J71" s="13" t="s">
        <v>490</v>
      </c>
      <c r="K71" s="14" t="s">
        <v>495</v>
      </c>
      <c r="L71" s="15">
        <v>0</v>
      </c>
      <c r="M71" s="15" t="s">
        <v>144</v>
      </c>
      <c r="N71" s="16">
        <v>45090</v>
      </c>
      <c r="O71" s="12" t="s">
        <v>496</v>
      </c>
      <c r="P71" s="14" t="s">
        <v>497</v>
      </c>
      <c r="Q71" s="17" t="s">
        <v>137</v>
      </c>
      <c r="R71" s="17" t="s">
        <v>146</v>
      </c>
    </row>
    <row r="72" spans="1:18" x14ac:dyDescent="0.3">
      <c r="A72" s="12" t="s">
        <v>498</v>
      </c>
      <c r="B72" s="12" t="s">
        <v>10</v>
      </c>
      <c r="C72" s="12"/>
      <c r="D72" s="12" t="s">
        <v>157</v>
      </c>
      <c r="E72" s="12" t="s">
        <v>499</v>
      </c>
      <c r="F72" s="12" t="s">
        <v>359</v>
      </c>
      <c r="G72" s="12" t="s">
        <v>489</v>
      </c>
      <c r="H72" s="12" t="s">
        <v>61</v>
      </c>
      <c r="I72" s="12" t="s">
        <v>26</v>
      </c>
      <c r="J72" s="13" t="s">
        <v>490</v>
      </c>
      <c r="K72" s="14" t="s">
        <v>500</v>
      </c>
      <c r="L72" s="15">
        <v>1</v>
      </c>
      <c r="M72" s="15" t="s">
        <v>144</v>
      </c>
      <c r="N72" s="16">
        <v>46029</v>
      </c>
      <c r="O72" s="12" t="s">
        <v>498</v>
      </c>
      <c r="P72" s="14" t="s">
        <v>501</v>
      </c>
      <c r="Q72" s="17" t="s">
        <v>137</v>
      </c>
      <c r="R72" s="17" t="s">
        <v>146</v>
      </c>
    </row>
    <row r="73" spans="1:18" x14ac:dyDescent="0.3">
      <c r="A73" s="12" t="s">
        <v>502</v>
      </c>
      <c r="B73" s="12" t="s">
        <v>12</v>
      </c>
      <c r="C73" s="12"/>
      <c r="D73" s="12" t="s">
        <v>12</v>
      </c>
      <c r="E73" s="12" t="s">
        <v>503</v>
      </c>
      <c r="F73" s="12"/>
      <c r="G73" s="12" t="s">
        <v>504</v>
      </c>
      <c r="H73" s="12" t="s">
        <v>61</v>
      </c>
      <c r="I73" s="12" t="s">
        <v>26</v>
      </c>
      <c r="J73" s="13" t="s">
        <v>505</v>
      </c>
      <c r="K73" s="14" t="s">
        <v>506</v>
      </c>
      <c r="L73" s="15">
        <v>0</v>
      </c>
      <c r="M73" s="15" t="s">
        <v>144</v>
      </c>
      <c r="N73" s="16">
        <v>45464</v>
      </c>
      <c r="O73" s="12" t="s">
        <v>502</v>
      </c>
      <c r="P73" s="14" t="s">
        <v>507</v>
      </c>
      <c r="Q73" s="17" t="s">
        <v>137</v>
      </c>
      <c r="R73" s="17" t="s">
        <v>146</v>
      </c>
    </row>
    <row r="74" spans="1:18" x14ac:dyDescent="0.3">
      <c r="A74" s="12" t="s">
        <v>508</v>
      </c>
      <c r="B74" s="12" t="s">
        <v>10</v>
      </c>
      <c r="C74" s="12"/>
      <c r="D74" s="12" t="s">
        <v>157</v>
      </c>
      <c r="E74" s="12" t="s">
        <v>509</v>
      </c>
      <c r="F74" s="12" t="s">
        <v>510</v>
      </c>
      <c r="G74" s="12" t="s">
        <v>511</v>
      </c>
      <c r="H74" s="12" t="s">
        <v>61</v>
      </c>
      <c r="I74" s="12" t="s">
        <v>26</v>
      </c>
      <c r="J74" s="13" t="s">
        <v>512</v>
      </c>
      <c r="K74" s="14" t="s">
        <v>513</v>
      </c>
      <c r="L74" s="15">
        <v>0</v>
      </c>
      <c r="M74" s="15" t="s">
        <v>220</v>
      </c>
      <c r="N74" s="16">
        <v>45701</v>
      </c>
      <c r="O74" s="12" t="s">
        <v>508</v>
      </c>
      <c r="P74" s="14" t="s">
        <v>514</v>
      </c>
      <c r="Q74" s="17" t="s">
        <v>137</v>
      </c>
      <c r="R74" s="17" t="s">
        <v>146</v>
      </c>
    </row>
    <row r="75" spans="1:18" x14ac:dyDescent="0.3">
      <c r="A75" s="12" t="s">
        <v>508</v>
      </c>
      <c r="B75" s="12" t="s">
        <v>10</v>
      </c>
      <c r="C75" s="12"/>
      <c r="D75" s="12" t="s">
        <v>157</v>
      </c>
      <c r="E75" s="12" t="s">
        <v>515</v>
      </c>
      <c r="F75" s="12" t="s">
        <v>516</v>
      </c>
      <c r="G75" s="12" t="s">
        <v>511</v>
      </c>
      <c r="H75" s="12" t="s">
        <v>61</v>
      </c>
      <c r="I75" s="12" t="s">
        <v>26</v>
      </c>
      <c r="J75" s="13" t="s">
        <v>512</v>
      </c>
      <c r="K75" s="14" t="s">
        <v>517</v>
      </c>
      <c r="L75" s="15">
        <v>0</v>
      </c>
      <c r="M75" s="15" t="s">
        <v>220</v>
      </c>
      <c r="N75" s="16">
        <v>45701</v>
      </c>
      <c r="O75" s="12" t="s">
        <v>508</v>
      </c>
      <c r="P75" s="14" t="s">
        <v>514</v>
      </c>
      <c r="Q75" s="17" t="s">
        <v>137</v>
      </c>
      <c r="R75" s="17" t="s">
        <v>146</v>
      </c>
    </row>
    <row r="76" spans="1:18" x14ac:dyDescent="0.3">
      <c r="A76" s="12" t="s">
        <v>518</v>
      </c>
      <c r="B76" s="12" t="s">
        <v>12</v>
      </c>
      <c r="C76" s="12"/>
      <c r="D76" s="12" t="s">
        <v>12</v>
      </c>
      <c r="E76" s="12" t="s">
        <v>519</v>
      </c>
      <c r="F76" s="12" t="s">
        <v>520</v>
      </c>
      <c r="G76" s="12" t="s">
        <v>521</v>
      </c>
      <c r="H76" s="12" t="s">
        <v>38</v>
      </c>
      <c r="I76" s="12" t="s">
        <v>26</v>
      </c>
      <c r="J76" s="13" t="s">
        <v>522</v>
      </c>
      <c r="K76" s="14" t="s">
        <v>523</v>
      </c>
      <c r="L76" s="15">
        <v>1</v>
      </c>
      <c r="M76" s="15" t="s">
        <v>144</v>
      </c>
      <c r="N76" s="16">
        <v>44763</v>
      </c>
      <c r="O76" s="12" t="s">
        <v>518</v>
      </c>
      <c r="P76" s="14" t="s">
        <v>524</v>
      </c>
      <c r="Q76" s="17" t="s">
        <v>137</v>
      </c>
      <c r="R76" s="17" t="s">
        <v>146</v>
      </c>
    </row>
    <row r="77" spans="1:18" x14ac:dyDescent="0.3">
      <c r="A77" s="12" t="s">
        <v>525</v>
      </c>
      <c r="B77" s="12" t="s">
        <v>14</v>
      </c>
      <c r="C77" s="12"/>
      <c r="D77" s="12" t="s">
        <v>14</v>
      </c>
      <c r="E77" s="12" t="s">
        <v>526</v>
      </c>
      <c r="F77" s="12" t="s">
        <v>218</v>
      </c>
      <c r="G77" s="12" t="s">
        <v>521</v>
      </c>
      <c r="H77" s="12" t="s">
        <v>38</v>
      </c>
      <c r="I77" s="12" t="s">
        <v>26</v>
      </c>
      <c r="J77" s="13" t="s">
        <v>522</v>
      </c>
      <c r="K77" s="14" t="s">
        <v>527</v>
      </c>
      <c r="L77" s="15">
        <v>8</v>
      </c>
      <c r="M77" s="15" t="s">
        <v>144</v>
      </c>
      <c r="N77" s="16">
        <v>46141</v>
      </c>
      <c r="O77" s="12" t="s">
        <v>525</v>
      </c>
      <c r="P77" s="14" t="s">
        <v>528</v>
      </c>
      <c r="Q77" s="17" t="s">
        <v>137</v>
      </c>
      <c r="R77" s="17" t="s">
        <v>146</v>
      </c>
    </row>
    <row r="78" spans="1:18" x14ac:dyDescent="0.3">
      <c r="A78" s="12" t="s">
        <v>529</v>
      </c>
      <c r="B78" s="12" t="s">
        <v>12</v>
      </c>
      <c r="C78" s="12"/>
      <c r="D78" s="12" t="s">
        <v>12</v>
      </c>
      <c r="E78" s="12" t="s">
        <v>530</v>
      </c>
      <c r="F78" s="12"/>
      <c r="G78" s="12" t="s">
        <v>521</v>
      </c>
      <c r="H78" s="12" t="s">
        <v>38</v>
      </c>
      <c r="I78" s="12" t="s">
        <v>26</v>
      </c>
      <c r="J78" s="13" t="s">
        <v>522</v>
      </c>
      <c r="K78" s="14" t="s">
        <v>531</v>
      </c>
      <c r="L78" s="15">
        <v>7</v>
      </c>
      <c r="M78" s="15" t="s">
        <v>144</v>
      </c>
      <c r="N78" s="16">
        <v>45005</v>
      </c>
      <c r="O78" s="12" t="s">
        <v>529</v>
      </c>
      <c r="P78" s="14" t="s">
        <v>532</v>
      </c>
      <c r="Q78" s="17" t="s">
        <v>137</v>
      </c>
      <c r="R78" s="17" t="s">
        <v>146</v>
      </c>
    </row>
    <row r="79" spans="1:18" x14ac:dyDescent="0.3">
      <c r="A79" s="12" t="s">
        <v>533</v>
      </c>
      <c r="B79" s="12" t="s">
        <v>14</v>
      </c>
      <c r="C79" s="12"/>
      <c r="D79" s="12" t="s">
        <v>14</v>
      </c>
      <c r="E79" s="12" t="s">
        <v>534</v>
      </c>
      <c r="F79" s="12"/>
      <c r="G79" s="12" t="s">
        <v>521</v>
      </c>
      <c r="H79" s="12" t="s">
        <v>38</v>
      </c>
      <c r="I79" s="12" t="s">
        <v>26</v>
      </c>
      <c r="J79" s="13" t="s">
        <v>522</v>
      </c>
      <c r="K79" s="14" t="s">
        <v>535</v>
      </c>
      <c r="L79" s="15">
        <v>0</v>
      </c>
      <c r="M79" s="15" t="s">
        <v>144</v>
      </c>
      <c r="N79" s="16">
        <v>44797</v>
      </c>
      <c r="O79" s="12" t="s">
        <v>533</v>
      </c>
      <c r="P79" s="14" t="s">
        <v>536</v>
      </c>
      <c r="Q79" s="17" t="s">
        <v>137</v>
      </c>
      <c r="R79" s="17" t="s">
        <v>146</v>
      </c>
    </row>
    <row r="80" spans="1:18" x14ac:dyDescent="0.3">
      <c r="A80" s="12" t="s">
        <v>537</v>
      </c>
      <c r="B80" s="12" t="s">
        <v>12</v>
      </c>
      <c r="C80" s="12"/>
      <c r="D80" s="12" t="s">
        <v>12</v>
      </c>
      <c r="E80" s="12" t="s">
        <v>538</v>
      </c>
      <c r="F80" s="12" t="s">
        <v>516</v>
      </c>
      <c r="G80" s="12" t="s">
        <v>521</v>
      </c>
      <c r="H80" s="12" t="s">
        <v>38</v>
      </c>
      <c r="I80" s="12" t="s">
        <v>26</v>
      </c>
      <c r="J80" s="13" t="s">
        <v>522</v>
      </c>
      <c r="K80" s="14" t="s">
        <v>539</v>
      </c>
      <c r="L80" s="15">
        <v>6</v>
      </c>
      <c r="M80" s="15" t="s">
        <v>144</v>
      </c>
      <c r="N80" s="16">
        <v>45902</v>
      </c>
      <c r="O80" s="12" t="s">
        <v>537</v>
      </c>
      <c r="P80" s="14" t="s">
        <v>540</v>
      </c>
      <c r="Q80" s="17" t="s">
        <v>137</v>
      </c>
      <c r="R80" s="17" t="s">
        <v>146</v>
      </c>
    </row>
    <row r="81" spans="1:18" x14ac:dyDescent="0.3">
      <c r="A81" s="12" t="s">
        <v>541</v>
      </c>
      <c r="B81" s="12" t="s">
        <v>14</v>
      </c>
      <c r="C81" s="12"/>
      <c r="D81" s="12" t="s">
        <v>14</v>
      </c>
      <c r="E81" s="12" t="s">
        <v>538</v>
      </c>
      <c r="F81" s="12" t="s">
        <v>542</v>
      </c>
      <c r="G81" s="12" t="s">
        <v>521</v>
      </c>
      <c r="H81" s="12" t="s">
        <v>38</v>
      </c>
      <c r="I81" s="12" t="s">
        <v>26</v>
      </c>
      <c r="J81" s="13" t="s">
        <v>522</v>
      </c>
      <c r="K81" s="14" t="s">
        <v>543</v>
      </c>
      <c r="L81" s="15">
        <v>1</v>
      </c>
      <c r="M81" s="15" t="s">
        <v>144</v>
      </c>
      <c r="N81" s="16">
        <v>46031</v>
      </c>
      <c r="O81" s="12" t="s">
        <v>541</v>
      </c>
      <c r="P81" s="14" t="s">
        <v>544</v>
      </c>
      <c r="Q81" s="17" t="s">
        <v>137</v>
      </c>
      <c r="R81" s="17" t="s">
        <v>146</v>
      </c>
    </row>
    <row r="82" spans="1:18" x14ac:dyDescent="0.3">
      <c r="A82" s="12" t="s">
        <v>545</v>
      </c>
      <c r="B82" s="12" t="s">
        <v>14</v>
      </c>
      <c r="C82" s="12"/>
      <c r="D82" s="12" t="s">
        <v>14</v>
      </c>
      <c r="E82" s="12" t="s">
        <v>546</v>
      </c>
      <c r="F82" s="12" t="s">
        <v>547</v>
      </c>
      <c r="G82" s="12" t="s">
        <v>521</v>
      </c>
      <c r="H82" s="12" t="s">
        <v>38</v>
      </c>
      <c r="I82" s="12" t="s">
        <v>26</v>
      </c>
      <c r="J82" s="13" t="s">
        <v>522</v>
      </c>
      <c r="K82" s="14" t="s">
        <v>548</v>
      </c>
      <c r="L82" s="15">
        <v>0</v>
      </c>
      <c r="M82" s="15" t="s">
        <v>144</v>
      </c>
      <c r="N82" s="16">
        <v>46114</v>
      </c>
      <c r="O82" s="12" t="s">
        <v>545</v>
      </c>
      <c r="P82" s="14" t="s">
        <v>549</v>
      </c>
      <c r="Q82" s="17" t="s">
        <v>137</v>
      </c>
      <c r="R82" s="17" t="s">
        <v>146</v>
      </c>
    </row>
    <row r="83" spans="1:18" x14ac:dyDescent="0.3">
      <c r="A83" s="12" t="s">
        <v>199</v>
      </c>
      <c r="B83" s="12" t="s">
        <v>14</v>
      </c>
      <c r="C83" s="12"/>
      <c r="D83" s="12" t="s">
        <v>14</v>
      </c>
      <c r="E83" s="12" t="s">
        <v>550</v>
      </c>
      <c r="F83" s="12" t="s">
        <v>520</v>
      </c>
      <c r="G83" s="12" t="s">
        <v>521</v>
      </c>
      <c r="H83" s="12" t="s">
        <v>38</v>
      </c>
      <c r="I83" s="12" t="s">
        <v>26</v>
      </c>
      <c r="J83" s="13" t="s">
        <v>522</v>
      </c>
      <c r="K83" s="14" t="s">
        <v>551</v>
      </c>
      <c r="L83" s="15">
        <v>2</v>
      </c>
      <c r="M83" s="15" t="s">
        <v>144</v>
      </c>
      <c r="N83" s="16">
        <v>45951</v>
      </c>
      <c r="O83" s="12" t="s">
        <v>331</v>
      </c>
      <c r="P83" s="14" t="s">
        <v>552</v>
      </c>
      <c r="Q83" s="17" t="s">
        <v>137</v>
      </c>
      <c r="R83" s="17" t="s">
        <v>146</v>
      </c>
    </row>
    <row r="84" spans="1:18" x14ac:dyDescent="0.3">
      <c r="A84" s="12" t="s">
        <v>553</v>
      </c>
      <c r="B84" s="12" t="s">
        <v>14</v>
      </c>
      <c r="C84" s="12"/>
      <c r="D84" s="12" t="s">
        <v>14</v>
      </c>
      <c r="E84" s="12" t="s">
        <v>538</v>
      </c>
      <c r="F84" s="12" t="s">
        <v>542</v>
      </c>
      <c r="G84" s="12" t="s">
        <v>521</v>
      </c>
      <c r="H84" s="12" t="s">
        <v>38</v>
      </c>
      <c r="I84" s="12" t="s">
        <v>26</v>
      </c>
      <c r="J84" s="13" t="s">
        <v>522</v>
      </c>
      <c r="K84" s="14" t="s">
        <v>554</v>
      </c>
      <c r="L84" s="15">
        <v>1</v>
      </c>
      <c r="M84" s="15" t="s">
        <v>144</v>
      </c>
      <c r="N84" s="16">
        <v>46119</v>
      </c>
      <c r="O84" s="12" t="s">
        <v>553</v>
      </c>
      <c r="P84" s="14" t="s">
        <v>555</v>
      </c>
      <c r="Q84" s="17" t="s">
        <v>137</v>
      </c>
      <c r="R84" s="17" t="s">
        <v>146</v>
      </c>
    </row>
    <row r="85" spans="1:18" x14ac:dyDescent="0.3">
      <c r="A85" s="12" t="s">
        <v>307</v>
      </c>
      <c r="B85" s="12" t="s">
        <v>14</v>
      </c>
      <c r="C85" s="12"/>
      <c r="D85" s="12" t="s">
        <v>14</v>
      </c>
      <c r="E85" s="12" t="s">
        <v>556</v>
      </c>
      <c r="F85" s="12" t="s">
        <v>557</v>
      </c>
      <c r="G85" s="12" t="s">
        <v>521</v>
      </c>
      <c r="H85" s="12" t="s">
        <v>38</v>
      </c>
      <c r="I85" s="12" t="s">
        <v>26</v>
      </c>
      <c r="J85" s="13" t="s">
        <v>522</v>
      </c>
      <c r="K85" s="14" t="s">
        <v>558</v>
      </c>
      <c r="L85" s="15">
        <v>5</v>
      </c>
      <c r="M85" s="15" t="s">
        <v>144</v>
      </c>
      <c r="N85" s="16">
        <v>46275</v>
      </c>
      <c r="O85" s="12" t="s">
        <v>307</v>
      </c>
      <c r="P85" s="14" t="s">
        <v>310</v>
      </c>
      <c r="Q85" s="17" t="s">
        <v>137</v>
      </c>
      <c r="R85" s="17" t="s">
        <v>146</v>
      </c>
    </row>
    <row r="86" spans="1:18" x14ac:dyDescent="0.3">
      <c r="A86" s="12" t="s">
        <v>307</v>
      </c>
      <c r="B86" s="12" t="s">
        <v>14</v>
      </c>
      <c r="C86" s="12"/>
      <c r="D86" s="12" t="s">
        <v>14</v>
      </c>
      <c r="E86" s="12" t="s">
        <v>559</v>
      </c>
      <c r="F86" s="12" t="s">
        <v>560</v>
      </c>
      <c r="G86" s="12" t="s">
        <v>521</v>
      </c>
      <c r="H86" s="12" t="s">
        <v>38</v>
      </c>
      <c r="I86" s="12" t="s">
        <v>26</v>
      </c>
      <c r="J86" s="13" t="s">
        <v>522</v>
      </c>
      <c r="K86" s="14" t="s">
        <v>561</v>
      </c>
      <c r="L86" s="15">
        <v>2</v>
      </c>
      <c r="M86" s="15" t="s">
        <v>144</v>
      </c>
      <c r="N86" s="16">
        <v>46275</v>
      </c>
      <c r="O86" s="12" t="s">
        <v>307</v>
      </c>
      <c r="P86" s="14" t="s">
        <v>310</v>
      </c>
      <c r="Q86" s="17" t="s">
        <v>137</v>
      </c>
      <c r="R86" s="17" t="s">
        <v>146</v>
      </c>
    </row>
    <row r="87" spans="1:18" x14ac:dyDescent="0.3">
      <c r="A87" s="12" t="s">
        <v>562</v>
      </c>
      <c r="B87" s="12" t="s">
        <v>20</v>
      </c>
      <c r="C87" s="12"/>
      <c r="D87" s="12" t="s">
        <v>193</v>
      </c>
      <c r="E87" s="12" t="s">
        <v>526</v>
      </c>
      <c r="F87" s="12" t="s">
        <v>563</v>
      </c>
      <c r="G87" s="12" t="s">
        <v>521</v>
      </c>
      <c r="H87" s="12" t="s">
        <v>38</v>
      </c>
      <c r="I87" s="12" t="s">
        <v>26</v>
      </c>
      <c r="J87" s="13" t="s">
        <v>522</v>
      </c>
      <c r="K87" s="14" t="s">
        <v>564</v>
      </c>
      <c r="L87" s="15">
        <v>0</v>
      </c>
      <c r="M87" s="15" t="s">
        <v>144</v>
      </c>
      <c r="N87" s="16">
        <v>44065</v>
      </c>
      <c r="O87" s="12" t="s">
        <v>565</v>
      </c>
      <c r="P87" s="14" t="s">
        <v>566</v>
      </c>
      <c r="Q87" s="17" t="s">
        <v>137</v>
      </c>
      <c r="R87" s="17" t="s">
        <v>146</v>
      </c>
    </row>
    <row r="88" spans="1:18" x14ac:dyDescent="0.3">
      <c r="A88" s="12" t="s">
        <v>567</v>
      </c>
      <c r="B88" s="12" t="s">
        <v>12</v>
      </c>
      <c r="C88" s="12"/>
      <c r="D88" s="12" t="s">
        <v>12</v>
      </c>
      <c r="E88" s="12" t="s">
        <v>568</v>
      </c>
      <c r="F88" s="12"/>
      <c r="G88" s="12" t="s">
        <v>569</v>
      </c>
      <c r="H88" s="12" t="s">
        <v>38</v>
      </c>
      <c r="I88" s="12" t="s">
        <v>26</v>
      </c>
      <c r="J88" s="13" t="s">
        <v>570</v>
      </c>
      <c r="K88" s="14" t="s">
        <v>571</v>
      </c>
      <c r="L88" s="15">
        <v>1</v>
      </c>
      <c r="M88" s="15" t="s">
        <v>144</v>
      </c>
      <c r="N88" s="16">
        <v>44733</v>
      </c>
      <c r="O88" s="12" t="s">
        <v>567</v>
      </c>
      <c r="P88" s="14" t="s">
        <v>572</v>
      </c>
      <c r="Q88" s="17" t="s">
        <v>137</v>
      </c>
      <c r="R88" s="17" t="s">
        <v>146</v>
      </c>
    </row>
    <row r="89" spans="1:18" x14ac:dyDescent="0.3">
      <c r="A89" s="12" t="s">
        <v>573</v>
      </c>
      <c r="B89" s="12" t="s">
        <v>12</v>
      </c>
      <c r="C89" s="12"/>
      <c r="D89" s="12" t="s">
        <v>12</v>
      </c>
      <c r="E89" s="12" t="s">
        <v>574</v>
      </c>
      <c r="F89" s="12" t="s">
        <v>520</v>
      </c>
      <c r="G89" s="12" t="s">
        <v>569</v>
      </c>
      <c r="H89" s="12" t="s">
        <v>38</v>
      </c>
      <c r="I89" s="12" t="s">
        <v>26</v>
      </c>
      <c r="J89" s="13" t="s">
        <v>570</v>
      </c>
      <c r="K89" s="14" t="s">
        <v>575</v>
      </c>
      <c r="L89" s="15">
        <v>1</v>
      </c>
      <c r="M89" s="15" t="s">
        <v>144</v>
      </c>
      <c r="N89" s="16">
        <v>45062</v>
      </c>
      <c r="O89" s="12" t="s">
        <v>573</v>
      </c>
      <c r="P89" s="14" t="s">
        <v>576</v>
      </c>
      <c r="Q89" s="17" t="s">
        <v>137</v>
      </c>
      <c r="R89" s="17" t="s">
        <v>146</v>
      </c>
    </row>
    <row r="90" spans="1:18" x14ac:dyDescent="0.3">
      <c r="A90" s="12" t="s">
        <v>577</v>
      </c>
      <c r="B90" s="12" t="s">
        <v>12</v>
      </c>
      <c r="C90" s="12"/>
      <c r="D90" s="12" t="s">
        <v>12</v>
      </c>
      <c r="E90" s="12" t="s">
        <v>578</v>
      </c>
      <c r="F90" s="12" t="s">
        <v>345</v>
      </c>
      <c r="G90" s="12" t="s">
        <v>569</v>
      </c>
      <c r="H90" s="12" t="s">
        <v>38</v>
      </c>
      <c r="I90" s="12" t="s">
        <v>26</v>
      </c>
      <c r="J90" s="13" t="s">
        <v>570</v>
      </c>
      <c r="K90" s="14" t="s">
        <v>579</v>
      </c>
      <c r="L90" s="15">
        <v>3</v>
      </c>
      <c r="M90" s="15" t="s">
        <v>144</v>
      </c>
      <c r="N90" s="16">
        <v>45820</v>
      </c>
      <c r="O90" s="12" t="s">
        <v>577</v>
      </c>
      <c r="P90" s="14" t="s">
        <v>580</v>
      </c>
      <c r="Q90" s="17" t="s">
        <v>137</v>
      </c>
      <c r="R90" s="17" t="s">
        <v>146</v>
      </c>
    </row>
    <row r="91" spans="1:18" x14ac:dyDescent="0.3">
      <c r="A91" s="12" t="s">
        <v>581</v>
      </c>
      <c r="B91" s="12" t="s">
        <v>12</v>
      </c>
      <c r="C91" s="12"/>
      <c r="D91" s="12" t="s">
        <v>12</v>
      </c>
      <c r="E91" s="12" t="s">
        <v>582</v>
      </c>
      <c r="F91" s="12" t="s">
        <v>583</v>
      </c>
      <c r="G91" s="12" t="s">
        <v>569</v>
      </c>
      <c r="H91" s="12" t="s">
        <v>38</v>
      </c>
      <c r="I91" s="12" t="s">
        <v>26</v>
      </c>
      <c r="J91" s="13" t="s">
        <v>570</v>
      </c>
      <c r="K91" s="14" t="s">
        <v>584</v>
      </c>
      <c r="L91" s="15">
        <v>1</v>
      </c>
      <c r="M91" s="15" t="s">
        <v>144</v>
      </c>
      <c r="N91" s="16">
        <v>46022</v>
      </c>
      <c r="O91" s="12" t="s">
        <v>581</v>
      </c>
      <c r="P91" s="14" t="s">
        <v>585</v>
      </c>
      <c r="Q91" s="17" t="s">
        <v>137</v>
      </c>
      <c r="R91" s="17" t="s">
        <v>146</v>
      </c>
    </row>
    <row r="92" spans="1:18" x14ac:dyDescent="0.3">
      <c r="A92" s="12" t="s">
        <v>581</v>
      </c>
      <c r="B92" s="12" t="s">
        <v>12</v>
      </c>
      <c r="C92" s="12"/>
      <c r="D92" s="12" t="s">
        <v>12</v>
      </c>
      <c r="E92" s="12" t="s">
        <v>586</v>
      </c>
      <c r="F92" s="12" t="s">
        <v>447</v>
      </c>
      <c r="G92" s="12" t="s">
        <v>569</v>
      </c>
      <c r="H92" s="12" t="s">
        <v>38</v>
      </c>
      <c r="I92" s="12" t="s">
        <v>26</v>
      </c>
      <c r="J92" s="13" t="s">
        <v>570</v>
      </c>
      <c r="K92" s="14" t="s">
        <v>584</v>
      </c>
      <c r="L92" s="15">
        <v>9</v>
      </c>
      <c r="M92" s="15" t="s">
        <v>144</v>
      </c>
      <c r="N92" s="16">
        <v>46022</v>
      </c>
      <c r="O92" s="12" t="s">
        <v>581</v>
      </c>
      <c r="P92" s="14" t="s">
        <v>585</v>
      </c>
      <c r="Q92" s="17" t="s">
        <v>137</v>
      </c>
      <c r="R92" s="17" t="s">
        <v>146</v>
      </c>
    </row>
    <row r="93" spans="1:18" x14ac:dyDescent="0.3">
      <c r="A93" s="12" t="s">
        <v>587</v>
      </c>
      <c r="B93" s="12" t="s">
        <v>10</v>
      </c>
      <c r="C93" s="12"/>
      <c r="D93" s="12" t="s">
        <v>588</v>
      </c>
      <c r="E93" s="12" t="s">
        <v>589</v>
      </c>
      <c r="F93" s="12" t="s">
        <v>188</v>
      </c>
      <c r="G93" s="12" t="s">
        <v>569</v>
      </c>
      <c r="H93" s="12" t="s">
        <v>38</v>
      </c>
      <c r="I93" s="12" t="s">
        <v>26</v>
      </c>
      <c r="J93" s="13" t="s">
        <v>570</v>
      </c>
      <c r="K93" s="14" t="s">
        <v>590</v>
      </c>
      <c r="L93" s="15">
        <v>2</v>
      </c>
      <c r="M93" s="15" t="s">
        <v>220</v>
      </c>
      <c r="N93" s="16">
        <v>45176</v>
      </c>
      <c r="O93" s="12" t="s">
        <v>591</v>
      </c>
      <c r="P93" s="14" t="s">
        <v>592</v>
      </c>
      <c r="Q93" s="17" t="s">
        <v>137</v>
      </c>
      <c r="R93" s="17" t="s">
        <v>146</v>
      </c>
    </row>
    <row r="94" spans="1:18" x14ac:dyDescent="0.3">
      <c r="A94" s="12" t="s">
        <v>593</v>
      </c>
      <c r="B94" s="12" t="s">
        <v>12</v>
      </c>
      <c r="C94" s="12" t="s">
        <v>14</v>
      </c>
      <c r="D94" s="12" t="s">
        <v>180</v>
      </c>
      <c r="E94" s="12" t="s">
        <v>594</v>
      </c>
      <c r="F94" s="12" t="s">
        <v>595</v>
      </c>
      <c r="G94" s="12" t="s">
        <v>569</v>
      </c>
      <c r="H94" s="12" t="s">
        <v>38</v>
      </c>
      <c r="I94" s="12" t="s">
        <v>26</v>
      </c>
      <c r="J94" s="13" t="s">
        <v>596</v>
      </c>
      <c r="K94" s="14" t="s">
        <v>597</v>
      </c>
      <c r="L94" s="15">
        <v>4</v>
      </c>
      <c r="M94" s="15" t="s">
        <v>144</v>
      </c>
      <c r="N94" s="16">
        <v>46161</v>
      </c>
      <c r="O94" s="12" t="s">
        <v>593</v>
      </c>
      <c r="P94" s="14" t="s">
        <v>598</v>
      </c>
      <c r="Q94" s="17" t="s">
        <v>137</v>
      </c>
      <c r="R94" s="17" t="s">
        <v>146</v>
      </c>
    </row>
    <row r="95" spans="1:18" x14ac:dyDescent="0.3">
      <c r="A95" s="12" t="s">
        <v>599</v>
      </c>
      <c r="B95" s="12" t="s">
        <v>12</v>
      </c>
      <c r="C95" s="12"/>
      <c r="D95" s="12" t="s">
        <v>12</v>
      </c>
      <c r="E95" s="12" t="s">
        <v>574</v>
      </c>
      <c r="F95" s="12" t="s">
        <v>520</v>
      </c>
      <c r="G95" s="12" t="s">
        <v>569</v>
      </c>
      <c r="H95" s="12" t="s">
        <v>38</v>
      </c>
      <c r="I95" s="12" t="s">
        <v>26</v>
      </c>
      <c r="J95" s="13" t="s">
        <v>570</v>
      </c>
      <c r="K95" s="14" t="s">
        <v>600</v>
      </c>
      <c r="L95" s="15">
        <v>1</v>
      </c>
      <c r="M95" s="15" t="s">
        <v>144</v>
      </c>
      <c r="N95" s="16">
        <v>45706</v>
      </c>
      <c r="O95" s="12" t="s">
        <v>599</v>
      </c>
      <c r="P95" s="14" t="s">
        <v>601</v>
      </c>
      <c r="Q95" s="17" t="s">
        <v>137</v>
      </c>
      <c r="R95" s="17" t="s">
        <v>146</v>
      </c>
    </row>
    <row r="96" spans="1:18" x14ac:dyDescent="0.3">
      <c r="A96" s="12" t="s">
        <v>602</v>
      </c>
      <c r="B96" s="12" t="s">
        <v>14</v>
      </c>
      <c r="C96" s="12" t="s">
        <v>12</v>
      </c>
      <c r="D96" s="12" t="s">
        <v>180</v>
      </c>
      <c r="E96" s="12" t="s">
        <v>594</v>
      </c>
      <c r="F96" s="12" t="s">
        <v>595</v>
      </c>
      <c r="G96" s="12" t="s">
        <v>569</v>
      </c>
      <c r="H96" s="12" t="s">
        <v>38</v>
      </c>
      <c r="I96" s="12" t="s">
        <v>26</v>
      </c>
      <c r="J96" s="13" t="s">
        <v>596</v>
      </c>
      <c r="K96" s="14" t="s">
        <v>597</v>
      </c>
      <c r="L96" s="15">
        <v>4</v>
      </c>
      <c r="M96" s="15" t="s">
        <v>144</v>
      </c>
      <c r="N96" s="16">
        <v>46148</v>
      </c>
      <c r="O96" s="12" t="s">
        <v>602</v>
      </c>
      <c r="P96" s="14" t="s">
        <v>603</v>
      </c>
      <c r="Q96" s="17" t="s">
        <v>137</v>
      </c>
      <c r="R96" s="17" t="s">
        <v>146</v>
      </c>
    </row>
    <row r="97" spans="1:18" x14ac:dyDescent="0.3">
      <c r="A97" s="12" t="s">
        <v>604</v>
      </c>
      <c r="B97" s="12" t="s">
        <v>12</v>
      </c>
      <c r="C97" s="12"/>
      <c r="D97" s="12" t="s">
        <v>12</v>
      </c>
      <c r="E97" s="12" t="s">
        <v>605</v>
      </c>
      <c r="F97" s="12"/>
      <c r="G97" s="12" t="s">
        <v>569</v>
      </c>
      <c r="H97" s="12" t="s">
        <v>38</v>
      </c>
      <c r="I97" s="12" t="s">
        <v>26</v>
      </c>
      <c r="J97" s="13" t="s">
        <v>596</v>
      </c>
      <c r="K97" s="14" t="s">
        <v>606</v>
      </c>
      <c r="L97" s="15">
        <v>0</v>
      </c>
      <c r="M97" s="15" t="s">
        <v>144</v>
      </c>
      <c r="N97" s="16">
        <v>45813</v>
      </c>
      <c r="O97" s="12" t="s">
        <v>604</v>
      </c>
      <c r="P97" s="14" t="s">
        <v>607</v>
      </c>
      <c r="Q97" s="17" t="s">
        <v>137</v>
      </c>
      <c r="R97" s="17" t="s">
        <v>146</v>
      </c>
    </row>
    <row r="98" spans="1:18" x14ac:dyDescent="0.3">
      <c r="A98" s="12" t="s">
        <v>608</v>
      </c>
      <c r="B98" s="12" t="s">
        <v>20</v>
      </c>
      <c r="C98" s="12"/>
      <c r="D98" s="12" t="s">
        <v>193</v>
      </c>
      <c r="E98" s="12" t="s">
        <v>609</v>
      </c>
      <c r="F98" s="12"/>
      <c r="G98" s="12" t="s">
        <v>569</v>
      </c>
      <c r="H98" s="12" t="s">
        <v>38</v>
      </c>
      <c r="I98" s="12" t="s">
        <v>26</v>
      </c>
      <c r="J98" s="13" t="s">
        <v>596</v>
      </c>
      <c r="K98" s="14" t="s">
        <v>610</v>
      </c>
      <c r="L98" s="15">
        <v>1</v>
      </c>
      <c r="M98" s="15" t="s">
        <v>144</v>
      </c>
      <c r="N98" s="16">
        <v>44642</v>
      </c>
      <c r="O98" s="12" t="s">
        <v>197</v>
      </c>
      <c r="P98" s="14" t="s">
        <v>611</v>
      </c>
      <c r="Q98" s="17" t="s">
        <v>137</v>
      </c>
      <c r="R98" s="17" t="s">
        <v>146</v>
      </c>
    </row>
    <row r="99" spans="1:18" x14ac:dyDescent="0.3">
      <c r="A99" s="12" t="s">
        <v>612</v>
      </c>
      <c r="B99" s="12" t="s">
        <v>18</v>
      </c>
      <c r="C99" s="12"/>
      <c r="D99" s="12" t="s">
        <v>613</v>
      </c>
      <c r="E99" s="12" t="s">
        <v>614</v>
      </c>
      <c r="F99" s="12" t="s">
        <v>615</v>
      </c>
      <c r="G99" s="12" t="s">
        <v>569</v>
      </c>
      <c r="H99" s="12" t="s">
        <v>38</v>
      </c>
      <c r="I99" s="12" t="s">
        <v>26</v>
      </c>
      <c r="J99" s="13" t="s">
        <v>570</v>
      </c>
      <c r="K99" s="14" t="s">
        <v>616</v>
      </c>
      <c r="L99" s="15">
        <v>4</v>
      </c>
      <c r="M99" s="15" t="s">
        <v>144</v>
      </c>
      <c r="N99" s="16">
        <v>45490</v>
      </c>
      <c r="O99" s="12" t="s">
        <v>612</v>
      </c>
      <c r="P99" s="14" t="s">
        <v>617</v>
      </c>
      <c r="Q99" s="17" t="s">
        <v>137</v>
      </c>
      <c r="R99" s="17" t="s">
        <v>146</v>
      </c>
    </row>
    <row r="100" spans="1:18" x14ac:dyDescent="0.3">
      <c r="A100" s="12" t="s">
        <v>618</v>
      </c>
      <c r="B100" s="12" t="s">
        <v>14</v>
      </c>
      <c r="C100" s="12"/>
      <c r="D100" s="12" t="s">
        <v>14</v>
      </c>
      <c r="E100" s="12" t="s">
        <v>574</v>
      </c>
      <c r="F100" s="12" t="s">
        <v>520</v>
      </c>
      <c r="G100" s="12" t="s">
        <v>569</v>
      </c>
      <c r="H100" s="12" t="s">
        <v>38</v>
      </c>
      <c r="I100" s="12" t="s">
        <v>26</v>
      </c>
      <c r="J100" s="13" t="s">
        <v>570</v>
      </c>
      <c r="K100" s="14" t="s">
        <v>600</v>
      </c>
      <c r="L100" s="15">
        <v>1</v>
      </c>
      <c r="M100" s="15" t="s">
        <v>144</v>
      </c>
      <c r="N100" s="16">
        <v>45169</v>
      </c>
      <c r="O100" s="12" t="s">
        <v>618</v>
      </c>
      <c r="P100" s="14" t="s">
        <v>619</v>
      </c>
      <c r="Q100" s="17" t="s">
        <v>137</v>
      </c>
      <c r="R100" s="17" t="s">
        <v>146</v>
      </c>
    </row>
    <row r="101" spans="1:18" x14ac:dyDescent="0.3">
      <c r="A101" s="12" t="s">
        <v>620</v>
      </c>
      <c r="B101" s="12" t="s">
        <v>12</v>
      </c>
      <c r="C101" s="12"/>
      <c r="D101" s="12" t="s">
        <v>12</v>
      </c>
      <c r="E101" s="12" t="s">
        <v>621</v>
      </c>
      <c r="F101" s="12"/>
      <c r="G101" s="12" t="s">
        <v>569</v>
      </c>
      <c r="H101" s="12" t="s">
        <v>38</v>
      </c>
      <c r="I101" s="12" t="s">
        <v>26</v>
      </c>
      <c r="J101" s="13" t="s">
        <v>570</v>
      </c>
      <c r="K101" s="14" t="s">
        <v>622</v>
      </c>
      <c r="L101" s="15">
        <v>8</v>
      </c>
      <c r="M101" s="15" t="s">
        <v>144</v>
      </c>
      <c r="N101" s="16">
        <v>44796</v>
      </c>
      <c r="O101" s="12" t="s">
        <v>620</v>
      </c>
      <c r="P101" s="14" t="s">
        <v>623</v>
      </c>
      <c r="Q101" s="17" t="s">
        <v>137</v>
      </c>
      <c r="R101" s="17" t="s">
        <v>146</v>
      </c>
    </row>
    <row r="102" spans="1:18" x14ac:dyDescent="0.3">
      <c r="A102" s="12" t="s">
        <v>624</v>
      </c>
      <c r="B102" s="12" t="s">
        <v>10</v>
      </c>
      <c r="C102" s="12" t="s">
        <v>180</v>
      </c>
      <c r="D102" s="12" t="s">
        <v>283</v>
      </c>
      <c r="E102" s="12" t="s">
        <v>625</v>
      </c>
      <c r="F102" s="12" t="s">
        <v>626</v>
      </c>
      <c r="G102" s="12" t="s">
        <v>569</v>
      </c>
      <c r="H102" s="12" t="s">
        <v>38</v>
      </c>
      <c r="I102" s="12" t="s">
        <v>26</v>
      </c>
      <c r="J102" s="13" t="s">
        <v>570</v>
      </c>
      <c r="K102" s="14" t="s">
        <v>627</v>
      </c>
      <c r="L102" s="15">
        <v>1</v>
      </c>
      <c r="M102" s="15" t="s">
        <v>144</v>
      </c>
      <c r="N102" s="16">
        <v>45911</v>
      </c>
      <c r="O102" s="12" t="s">
        <v>624</v>
      </c>
      <c r="P102" s="14" t="s">
        <v>628</v>
      </c>
      <c r="Q102" s="17" t="s">
        <v>137</v>
      </c>
      <c r="R102" s="17" t="s">
        <v>146</v>
      </c>
    </row>
    <row r="103" spans="1:18" x14ac:dyDescent="0.3">
      <c r="A103" s="12" t="s">
        <v>629</v>
      </c>
      <c r="B103" s="12" t="s">
        <v>12</v>
      </c>
      <c r="C103" s="12"/>
      <c r="D103" s="12" t="s">
        <v>12</v>
      </c>
      <c r="E103" s="12" t="s">
        <v>630</v>
      </c>
      <c r="F103" s="12" t="s">
        <v>631</v>
      </c>
      <c r="G103" s="12" t="s">
        <v>569</v>
      </c>
      <c r="H103" s="12" t="s">
        <v>38</v>
      </c>
      <c r="I103" s="12" t="s">
        <v>26</v>
      </c>
      <c r="J103" s="13" t="s">
        <v>570</v>
      </c>
      <c r="K103" s="14" t="s">
        <v>632</v>
      </c>
      <c r="L103" s="15">
        <v>1</v>
      </c>
      <c r="M103" s="15" t="s">
        <v>144</v>
      </c>
      <c r="N103" s="16">
        <v>45754</v>
      </c>
      <c r="O103" s="12" t="s">
        <v>629</v>
      </c>
      <c r="P103" s="14" t="s">
        <v>633</v>
      </c>
      <c r="Q103" s="17" t="s">
        <v>137</v>
      </c>
      <c r="R103" s="17" t="s">
        <v>146</v>
      </c>
    </row>
    <row r="104" spans="1:18" x14ac:dyDescent="0.3">
      <c r="A104" s="12" t="s">
        <v>634</v>
      </c>
      <c r="B104" s="12" t="s">
        <v>12</v>
      </c>
      <c r="C104" s="12"/>
      <c r="D104" s="12" t="s">
        <v>12</v>
      </c>
      <c r="E104" s="12" t="s">
        <v>635</v>
      </c>
      <c r="F104" s="12"/>
      <c r="G104" s="12" t="s">
        <v>569</v>
      </c>
      <c r="H104" s="12" t="s">
        <v>38</v>
      </c>
      <c r="I104" s="12" t="s">
        <v>26</v>
      </c>
      <c r="J104" s="13" t="s">
        <v>570</v>
      </c>
      <c r="K104" s="14" t="s">
        <v>636</v>
      </c>
      <c r="L104" s="15">
        <v>1</v>
      </c>
      <c r="M104" s="15" t="s">
        <v>144</v>
      </c>
      <c r="N104" s="16">
        <v>45848</v>
      </c>
      <c r="O104" s="12" t="s">
        <v>634</v>
      </c>
      <c r="P104" s="14" t="s">
        <v>637</v>
      </c>
      <c r="Q104" s="17" t="s">
        <v>137</v>
      </c>
      <c r="R104" s="17" t="s">
        <v>146</v>
      </c>
    </row>
    <row r="105" spans="1:18" x14ac:dyDescent="0.3">
      <c r="A105" s="12" t="s">
        <v>638</v>
      </c>
      <c r="B105" s="12" t="s">
        <v>12</v>
      </c>
      <c r="C105" s="12"/>
      <c r="D105" s="12" t="s">
        <v>12</v>
      </c>
      <c r="E105" s="12" t="s">
        <v>594</v>
      </c>
      <c r="F105" s="12" t="s">
        <v>595</v>
      </c>
      <c r="G105" s="12" t="s">
        <v>569</v>
      </c>
      <c r="H105" s="12" t="s">
        <v>38</v>
      </c>
      <c r="I105" s="12" t="s">
        <v>26</v>
      </c>
      <c r="J105" s="13" t="s">
        <v>596</v>
      </c>
      <c r="K105" s="14" t="s">
        <v>639</v>
      </c>
      <c r="L105" s="15">
        <v>3</v>
      </c>
      <c r="M105" s="15" t="s">
        <v>144</v>
      </c>
      <c r="N105" s="16">
        <v>46251</v>
      </c>
      <c r="O105" s="12" t="s">
        <v>640</v>
      </c>
      <c r="P105" s="14" t="s">
        <v>641</v>
      </c>
      <c r="Q105" s="17" t="s">
        <v>137</v>
      </c>
      <c r="R105" s="17" t="s">
        <v>146</v>
      </c>
    </row>
    <row r="106" spans="1:18" x14ac:dyDescent="0.3">
      <c r="A106" s="12" t="s">
        <v>642</v>
      </c>
      <c r="B106" s="12" t="s">
        <v>20</v>
      </c>
      <c r="C106" s="12"/>
      <c r="D106" s="12" t="s">
        <v>193</v>
      </c>
      <c r="E106" s="12" t="s">
        <v>643</v>
      </c>
      <c r="F106" s="12" t="s">
        <v>644</v>
      </c>
      <c r="G106" s="12" t="s">
        <v>569</v>
      </c>
      <c r="H106" s="12" t="s">
        <v>38</v>
      </c>
      <c r="I106" s="12" t="s">
        <v>26</v>
      </c>
      <c r="J106" s="13" t="s">
        <v>570</v>
      </c>
      <c r="K106" s="14" t="s">
        <v>645</v>
      </c>
      <c r="L106" s="15">
        <v>0</v>
      </c>
      <c r="M106" s="15" t="s">
        <v>144</v>
      </c>
      <c r="N106" s="16">
        <v>44065</v>
      </c>
      <c r="O106" s="12" t="s">
        <v>642</v>
      </c>
      <c r="P106" s="14" t="s">
        <v>646</v>
      </c>
      <c r="Q106" s="17" t="s">
        <v>137</v>
      </c>
      <c r="R106" s="17" t="s">
        <v>146</v>
      </c>
    </row>
    <row r="107" spans="1:18" x14ac:dyDescent="0.3">
      <c r="A107" s="12" t="s">
        <v>292</v>
      </c>
      <c r="B107" s="12" t="s">
        <v>10</v>
      </c>
      <c r="C107" s="12"/>
      <c r="D107" s="12" t="s">
        <v>647</v>
      </c>
      <c r="E107" s="12" t="s">
        <v>648</v>
      </c>
      <c r="F107" s="12" t="s">
        <v>218</v>
      </c>
      <c r="G107" s="12" t="s">
        <v>569</v>
      </c>
      <c r="H107" s="12" t="s">
        <v>38</v>
      </c>
      <c r="I107" s="12" t="s">
        <v>26</v>
      </c>
      <c r="J107" s="13" t="s">
        <v>570</v>
      </c>
      <c r="K107" s="14" t="s">
        <v>294</v>
      </c>
      <c r="L107" s="15">
        <v>2</v>
      </c>
      <c r="M107" s="15" t="s">
        <v>220</v>
      </c>
      <c r="N107" s="16">
        <v>45978</v>
      </c>
      <c r="O107" s="12" t="s">
        <v>292</v>
      </c>
      <c r="P107" s="14" t="s">
        <v>649</v>
      </c>
      <c r="Q107" s="17" t="s">
        <v>137</v>
      </c>
      <c r="R107" s="17" t="s">
        <v>146</v>
      </c>
    </row>
    <row r="108" spans="1:18" x14ac:dyDescent="0.3">
      <c r="A108" s="12" t="s">
        <v>591</v>
      </c>
      <c r="B108" s="12" t="s">
        <v>10</v>
      </c>
      <c r="C108" s="12"/>
      <c r="D108" s="12" t="s">
        <v>650</v>
      </c>
      <c r="E108" s="12" t="s">
        <v>589</v>
      </c>
      <c r="F108" s="12" t="s">
        <v>188</v>
      </c>
      <c r="G108" s="12" t="s">
        <v>569</v>
      </c>
      <c r="H108" s="12" t="s">
        <v>38</v>
      </c>
      <c r="I108" s="12" t="s">
        <v>26</v>
      </c>
      <c r="J108" s="13" t="s">
        <v>570</v>
      </c>
      <c r="K108" s="14" t="s">
        <v>590</v>
      </c>
      <c r="L108" s="15">
        <v>3</v>
      </c>
      <c r="M108" s="15" t="s">
        <v>220</v>
      </c>
      <c r="N108" s="16">
        <v>46087</v>
      </c>
      <c r="O108" s="12" t="s">
        <v>591</v>
      </c>
      <c r="P108" s="14" t="s">
        <v>651</v>
      </c>
      <c r="Q108" s="17" t="s">
        <v>137</v>
      </c>
      <c r="R108" s="17" t="s">
        <v>146</v>
      </c>
    </row>
    <row r="109" spans="1:18" x14ac:dyDescent="0.3">
      <c r="A109" s="12" t="s">
        <v>652</v>
      </c>
      <c r="B109" s="12" t="s">
        <v>20</v>
      </c>
      <c r="C109" s="12"/>
      <c r="D109" s="12" t="s">
        <v>193</v>
      </c>
      <c r="E109" s="12" t="s">
        <v>653</v>
      </c>
      <c r="F109" s="12"/>
      <c r="G109" s="12" t="s">
        <v>569</v>
      </c>
      <c r="H109" s="12" t="s">
        <v>38</v>
      </c>
      <c r="I109" s="12" t="s">
        <v>26</v>
      </c>
      <c r="J109" s="13" t="s">
        <v>570</v>
      </c>
      <c r="K109" s="14" t="s">
        <v>654</v>
      </c>
      <c r="L109" s="15">
        <v>0</v>
      </c>
      <c r="M109" s="15" t="s">
        <v>144</v>
      </c>
      <c r="N109" s="16">
        <v>44132</v>
      </c>
      <c r="O109" s="12" t="s">
        <v>299</v>
      </c>
      <c r="P109" s="14" t="s">
        <v>655</v>
      </c>
      <c r="Q109" s="17" t="s">
        <v>137</v>
      </c>
      <c r="R109" s="17" t="s">
        <v>146</v>
      </c>
    </row>
    <row r="110" spans="1:18" x14ac:dyDescent="0.3">
      <c r="A110" s="12" t="s">
        <v>222</v>
      </c>
      <c r="B110" s="12" t="s">
        <v>18</v>
      </c>
      <c r="C110" s="12"/>
      <c r="D110" s="12" t="s">
        <v>613</v>
      </c>
      <c r="E110" s="12" t="s">
        <v>653</v>
      </c>
      <c r="F110" s="12"/>
      <c r="G110" s="12" t="s">
        <v>569</v>
      </c>
      <c r="H110" s="12" t="s">
        <v>38</v>
      </c>
      <c r="I110" s="12" t="s">
        <v>26</v>
      </c>
      <c r="J110" s="13" t="s">
        <v>570</v>
      </c>
      <c r="K110" s="14" t="s">
        <v>656</v>
      </c>
      <c r="L110" s="15">
        <v>1</v>
      </c>
      <c r="M110" s="15" t="s">
        <v>144</v>
      </c>
      <c r="N110" s="16">
        <v>44132</v>
      </c>
      <c r="O110" s="12" t="s">
        <v>657</v>
      </c>
      <c r="P110" s="14" t="s">
        <v>658</v>
      </c>
      <c r="Q110" s="17" t="s">
        <v>137</v>
      </c>
      <c r="R110" s="17" t="s">
        <v>146</v>
      </c>
    </row>
    <row r="111" spans="1:18" x14ac:dyDescent="0.3">
      <c r="A111" s="12" t="s">
        <v>307</v>
      </c>
      <c r="B111" s="12" t="s">
        <v>14</v>
      </c>
      <c r="C111" s="12"/>
      <c r="D111" s="12" t="s">
        <v>14</v>
      </c>
      <c r="E111" s="12" t="s">
        <v>659</v>
      </c>
      <c r="F111" s="12"/>
      <c r="G111" s="12" t="s">
        <v>569</v>
      </c>
      <c r="H111" s="12" t="s">
        <v>38</v>
      </c>
      <c r="I111" s="12" t="s">
        <v>26</v>
      </c>
      <c r="J111" s="13" t="s">
        <v>570</v>
      </c>
      <c r="K111" s="14" t="s">
        <v>558</v>
      </c>
      <c r="L111" s="15">
        <v>1</v>
      </c>
      <c r="M111" s="15" t="s">
        <v>144</v>
      </c>
      <c r="N111" s="16">
        <v>46275</v>
      </c>
      <c r="O111" s="12" t="s">
        <v>307</v>
      </c>
      <c r="P111" s="14" t="s">
        <v>310</v>
      </c>
      <c r="Q111" s="17" t="s">
        <v>137</v>
      </c>
      <c r="R111" s="17" t="s">
        <v>146</v>
      </c>
    </row>
    <row r="112" spans="1:18" x14ac:dyDescent="0.3">
      <c r="A112" s="12" t="s">
        <v>660</v>
      </c>
      <c r="B112" s="12" t="s">
        <v>12</v>
      </c>
      <c r="C112" s="12"/>
      <c r="D112" s="12" t="s">
        <v>12</v>
      </c>
      <c r="E112" s="12" t="s">
        <v>661</v>
      </c>
      <c r="F112" s="12"/>
      <c r="G112" s="12" t="s">
        <v>569</v>
      </c>
      <c r="H112" s="12" t="s">
        <v>38</v>
      </c>
      <c r="I112" s="12" t="s">
        <v>26</v>
      </c>
      <c r="J112" s="13" t="s">
        <v>596</v>
      </c>
      <c r="K112" s="14" t="s">
        <v>662</v>
      </c>
      <c r="L112" s="15">
        <v>2</v>
      </c>
      <c r="M112" s="15" t="s">
        <v>144</v>
      </c>
      <c r="N112" s="16">
        <v>44726</v>
      </c>
      <c r="O112" s="12" t="s">
        <v>660</v>
      </c>
      <c r="P112" s="14" t="s">
        <v>663</v>
      </c>
      <c r="Q112" s="17" t="s">
        <v>137</v>
      </c>
      <c r="R112" s="17" t="s">
        <v>146</v>
      </c>
    </row>
    <row r="113" spans="1:18" x14ac:dyDescent="0.3">
      <c r="A113" s="12" t="s">
        <v>664</v>
      </c>
      <c r="B113" s="12" t="s">
        <v>12</v>
      </c>
      <c r="C113" s="12"/>
      <c r="D113" s="12" t="s">
        <v>12</v>
      </c>
      <c r="E113" s="12" t="s">
        <v>665</v>
      </c>
      <c r="F113" s="12"/>
      <c r="G113" s="12" t="s">
        <v>569</v>
      </c>
      <c r="H113" s="12" t="s">
        <v>38</v>
      </c>
      <c r="I113" s="12" t="s">
        <v>26</v>
      </c>
      <c r="J113" s="13" t="s">
        <v>570</v>
      </c>
      <c r="K113" s="14" t="s">
        <v>666</v>
      </c>
      <c r="L113" s="15">
        <v>1</v>
      </c>
      <c r="M113" s="15" t="s">
        <v>144</v>
      </c>
      <c r="N113" s="16">
        <v>44578</v>
      </c>
      <c r="O113" s="12" t="s">
        <v>664</v>
      </c>
      <c r="P113" s="14" t="s">
        <v>667</v>
      </c>
      <c r="Q113" s="17" t="s">
        <v>137</v>
      </c>
      <c r="R113" s="17" t="s">
        <v>146</v>
      </c>
    </row>
    <row r="114" spans="1:18" x14ac:dyDescent="0.3">
      <c r="A114" s="12" t="s">
        <v>668</v>
      </c>
      <c r="B114" s="12" t="s">
        <v>12</v>
      </c>
      <c r="C114" s="12"/>
      <c r="D114" s="12" t="s">
        <v>12</v>
      </c>
      <c r="E114" s="12" t="s">
        <v>669</v>
      </c>
      <c r="F114" s="12" t="s">
        <v>164</v>
      </c>
      <c r="G114" s="12" t="s">
        <v>670</v>
      </c>
      <c r="H114" s="12" t="s">
        <v>38</v>
      </c>
      <c r="I114" s="12" t="s">
        <v>26</v>
      </c>
      <c r="J114" s="13" t="s">
        <v>671</v>
      </c>
      <c r="K114" s="14" t="s">
        <v>672</v>
      </c>
      <c r="L114" s="15">
        <v>1</v>
      </c>
      <c r="M114" s="15" t="s">
        <v>144</v>
      </c>
      <c r="N114" s="16">
        <v>46191</v>
      </c>
      <c r="O114" s="12" t="s">
        <v>668</v>
      </c>
      <c r="P114" s="14" t="s">
        <v>673</v>
      </c>
      <c r="Q114" s="17" t="s">
        <v>137</v>
      </c>
      <c r="R114" s="17" t="s">
        <v>146</v>
      </c>
    </row>
    <row r="115" spans="1:18" x14ac:dyDescent="0.3">
      <c r="A115" s="12" t="s">
        <v>525</v>
      </c>
      <c r="B115" s="12" t="s">
        <v>14</v>
      </c>
      <c r="C115" s="12"/>
      <c r="D115" s="12" t="s">
        <v>14</v>
      </c>
      <c r="E115" s="12" t="s">
        <v>674</v>
      </c>
      <c r="F115" s="12" t="s">
        <v>188</v>
      </c>
      <c r="G115" s="12" t="s">
        <v>670</v>
      </c>
      <c r="H115" s="12" t="s">
        <v>38</v>
      </c>
      <c r="I115" s="12" t="s">
        <v>26</v>
      </c>
      <c r="J115" s="13" t="s">
        <v>675</v>
      </c>
      <c r="K115" s="14" t="s">
        <v>527</v>
      </c>
      <c r="L115" s="15">
        <v>7</v>
      </c>
      <c r="M115" s="15" t="s">
        <v>144</v>
      </c>
      <c r="N115" s="16">
        <v>46141</v>
      </c>
      <c r="O115" s="12" t="s">
        <v>525</v>
      </c>
      <c r="P115" s="14" t="s">
        <v>528</v>
      </c>
      <c r="Q115" s="17" t="s">
        <v>137</v>
      </c>
      <c r="R115" s="17" t="s">
        <v>146</v>
      </c>
    </row>
    <row r="116" spans="1:18" x14ac:dyDescent="0.3">
      <c r="A116" s="12" t="s">
        <v>676</v>
      </c>
      <c r="B116" s="12" t="s">
        <v>12</v>
      </c>
      <c r="C116" s="12"/>
      <c r="D116" s="12" t="s">
        <v>12</v>
      </c>
      <c r="E116" s="12" t="s">
        <v>677</v>
      </c>
      <c r="F116" s="12"/>
      <c r="G116" s="12" t="s">
        <v>670</v>
      </c>
      <c r="H116" s="12" t="s">
        <v>38</v>
      </c>
      <c r="I116" s="12" t="s">
        <v>26</v>
      </c>
      <c r="J116" s="13" t="s">
        <v>678</v>
      </c>
      <c r="K116" s="14" t="s">
        <v>679</v>
      </c>
      <c r="L116" s="15">
        <v>2</v>
      </c>
      <c r="M116" s="15" t="s">
        <v>144</v>
      </c>
      <c r="N116" s="16">
        <v>45719</v>
      </c>
      <c r="O116" s="12" t="s">
        <v>680</v>
      </c>
      <c r="P116" s="14" t="s">
        <v>681</v>
      </c>
      <c r="Q116" s="17" t="s">
        <v>137</v>
      </c>
      <c r="R116" s="17" t="s">
        <v>146</v>
      </c>
    </row>
    <row r="117" spans="1:18" x14ac:dyDescent="0.3">
      <c r="A117" s="12" t="s">
        <v>186</v>
      </c>
      <c r="B117" s="12" t="s">
        <v>14</v>
      </c>
      <c r="C117" s="12"/>
      <c r="D117" s="12" t="s">
        <v>14</v>
      </c>
      <c r="E117" s="12" t="s">
        <v>682</v>
      </c>
      <c r="F117" s="12" t="s">
        <v>447</v>
      </c>
      <c r="G117" s="12" t="s">
        <v>670</v>
      </c>
      <c r="H117" s="12" t="s">
        <v>38</v>
      </c>
      <c r="I117" s="12" t="s">
        <v>26</v>
      </c>
      <c r="J117" s="13" t="s">
        <v>675</v>
      </c>
      <c r="K117" s="14" t="s">
        <v>683</v>
      </c>
      <c r="L117" s="15">
        <v>0</v>
      </c>
      <c r="M117" s="15" t="s">
        <v>144</v>
      </c>
      <c r="N117" s="16">
        <v>46211</v>
      </c>
      <c r="O117" s="12" t="s">
        <v>190</v>
      </c>
      <c r="P117" s="14" t="s">
        <v>684</v>
      </c>
      <c r="Q117" s="17" t="s">
        <v>137</v>
      </c>
      <c r="R117" s="17" t="s">
        <v>146</v>
      </c>
    </row>
    <row r="118" spans="1:18" x14ac:dyDescent="0.3">
      <c r="A118" s="12" t="s">
        <v>685</v>
      </c>
      <c r="B118" s="12" t="s">
        <v>12</v>
      </c>
      <c r="C118" s="12"/>
      <c r="D118" s="12" t="s">
        <v>12</v>
      </c>
      <c r="E118" s="12" t="s">
        <v>686</v>
      </c>
      <c r="F118" s="12" t="s">
        <v>359</v>
      </c>
      <c r="G118" s="12" t="s">
        <v>670</v>
      </c>
      <c r="H118" s="12" t="s">
        <v>38</v>
      </c>
      <c r="I118" s="12" t="s">
        <v>26</v>
      </c>
      <c r="J118" s="13" t="s">
        <v>678</v>
      </c>
      <c r="K118" s="14" t="s">
        <v>687</v>
      </c>
      <c r="L118" s="15">
        <v>3</v>
      </c>
      <c r="M118" s="15" t="s">
        <v>144</v>
      </c>
      <c r="N118" s="16">
        <v>45105</v>
      </c>
      <c r="O118" s="12" t="s">
        <v>685</v>
      </c>
      <c r="P118" s="14" t="s">
        <v>688</v>
      </c>
      <c r="Q118" s="17" t="s">
        <v>137</v>
      </c>
      <c r="R118" s="17" t="s">
        <v>146</v>
      </c>
    </row>
    <row r="119" spans="1:18" x14ac:dyDescent="0.3">
      <c r="A119" s="12" t="s">
        <v>689</v>
      </c>
      <c r="B119" s="12" t="s">
        <v>12</v>
      </c>
      <c r="C119" s="12"/>
      <c r="D119" s="12" t="s">
        <v>12</v>
      </c>
      <c r="E119" s="12" t="s">
        <v>690</v>
      </c>
      <c r="F119" s="12"/>
      <c r="G119" s="12" t="s">
        <v>670</v>
      </c>
      <c r="H119" s="12" t="s">
        <v>38</v>
      </c>
      <c r="I119" s="12" t="s">
        <v>26</v>
      </c>
      <c r="J119" s="13" t="s">
        <v>678</v>
      </c>
      <c r="K119" s="14" t="s">
        <v>691</v>
      </c>
      <c r="L119" s="15">
        <v>1</v>
      </c>
      <c r="M119" s="15" t="s">
        <v>144</v>
      </c>
      <c r="N119" s="16">
        <v>45000</v>
      </c>
      <c r="O119" s="12" t="s">
        <v>689</v>
      </c>
      <c r="P119" s="14" t="s">
        <v>692</v>
      </c>
      <c r="Q119" s="17" t="s">
        <v>137</v>
      </c>
      <c r="R119" s="17" t="s">
        <v>146</v>
      </c>
    </row>
    <row r="120" spans="1:18" x14ac:dyDescent="0.3">
      <c r="A120" s="12" t="s">
        <v>693</v>
      </c>
      <c r="B120" s="12" t="s">
        <v>14</v>
      </c>
      <c r="C120" s="12"/>
      <c r="D120" s="12" t="s">
        <v>14</v>
      </c>
      <c r="E120" s="12" t="s">
        <v>694</v>
      </c>
      <c r="F120" s="12" t="s">
        <v>225</v>
      </c>
      <c r="G120" s="12" t="s">
        <v>670</v>
      </c>
      <c r="H120" s="12" t="s">
        <v>38</v>
      </c>
      <c r="I120" s="12" t="s">
        <v>26</v>
      </c>
      <c r="J120" s="13" t="s">
        <v>675</v>
      </c>
      <c r="K120" s="14" t="s">
        <v>695</v>
      </c>
      <c r="L120" s="15">
        <v>12</v>
      </c>
      <c r="M120" s="15" t="s">
        <v>144</v>
      </c>
      <c r="N120" s="16">
        <v>45950</v>
      </c>
      <c r="O120" s="12" t="s">
        <v>508</v>
      </c>
      <c r="P120" s="14" t="s">
        <v>696</v>
      </c>
      <c r="Q120" s="17" t="s">
        <v>137</v>
      </c>
      <c r="R120" s="17" t="s">
        <v>146</v>
      </c>
    </row>
    <row r="121" spans="1:18" x14ac:dyDescent="0.3">
      <c r="A121" s="12" t="s">
        <v>697</v>
      </c>
      <c r="B121" s="12" t="s">
        <v>14</v>
      </c>
      <c r="C121" s="12"/>
      <c r="D121" s="12" t="s">
        <v>14</v>
      </c>
      <c r="E121" s="12" t="s">
        <v>698</v>
      </c>
      <c r="F121" s="12" t="s">
        <v>447</v>
      </c>
      <c r="G121" s="12" t="s">
        <v>670</v>
      </c>
      <c r="H121" s="12" t="s">
        <v>38</v>
      </c>
      <c r="I121" s="12" t="s">
        <v>26</v>
      </c>
      <c r="J121" s="13" t="s">
        <v>675</v>
      </c>
      <c r="K121" s="14" t="s">
        <v>699</v>
      </c>
      <c r="L121" s="15">
        <v>0</v>
      </c>
      <c r="M121" s="15" t="s">
        <v>144</v>
      </c>
      <c r="N121" s="16">
        <v>45674</v>
      </c>
      <c r="O121" s="12" t="s">
        <v>700</v>
      </c>
      <c r="P121" s="14" t="s">
        <v>701</v>
      </c>
      <c r="Q121" s="17" t="s">
        <v>137</v>
      </c>
      <c r="R121" s="17" t="s">
        <v>146</v>
      </c>
    </row>
    <row r="122" spans="1:18" x14ac:dyDescent="0.3">
      <c r="A122" s="12" t="s">
        <v>215</v>
      </c>
      <c r="B122" s="12" t="s">
        <v>10</v>
      </c>
      <c r="C122" s="12" t="s">
        <v>14</v>
      </c>
      <c r="D122" s="12" t="s">
        <v>702</v>
      </c>
      <c r="E122" s="12" t="s">
        <v>703</v>
      </c>
      <c r="F122" s="12"/>
      <c r="G122" s="12" t="s">
        <v>670</v>
      </c>
      <c r="H122" s="12" t="s">
        <v>38</v>
      </c>
      <c r="I122" s="12" t="s">
        <v>26</v>
      </c>
      <c r="J122" s="13" t="s">
        <v>675</v>
      </c>
      <c r="K122" s="14" t="s">
        <v>219</v>
      </c>
      <c r="L122" s="15">
        <v>23</v>
      </c>
      <c r="M122" s="15" t="s">
        <v>220</v>
      </c>
      <c r="N122" s="16">
        <v>45867</v>
      </c>
      <c r="O122" s="12" t="s">
        <v>215</v>
      </c>
      <c r="P122" s="14" t="s">
        <v>704</v>
      </c>
      <c r="Q122" s="17" t="s">
        <v>137</v>
      </c>
      <c r="R122" s="17" t="s">
        <v>146</v>
      </c>
    </row>
    <row r="123" spans="1:18" x14ac:dyDescent="0.3">
      <c r="A123" s="12" t="s">
        <v>705</v>
      </c>
      <c r="B123" s="12" t="s">
        <v>12</v>
      </c>
      <c r="C123" s="12"/>
      <c r="D123" s="12" t="s">
        <v>12</v>
      </c>
      <c r="E123" s="12" t="s">
        <v>706</v>
      </c>
      <c r="F123" s="12"/>
      <c r="G123" s="12" t="s">
        <v>670</v>
      </c>
      <c r="H123" s="12" t="s">
        <v>38</v>
      </c>
      <c r="I123" s="12" t="s">
        <v>26</v>
      </c>
      <c r="J123" s="13" t="s">
        <v>678</v>
      </c>
      <c r="K123" s="14" t="s">
        <v>707</v>
      </c>
      <c r="L123" s="15">
        <v>3</v>
      </c>
      <c r="M123" s="15" t="s">
        <v>144</v>
      </c>
      <c r="N123" s="16">
        <v>45412</v>
      </c>
      <c r="O123" s="12" t="s">
        <v>708</v>
      </c>
      <c r="P123" s="14" t="s">
        <v>709</v>
      </c>
      <c r="Q123" s="17" t="s">
        <v>137</v>
      </c>
      <c r="R123" s="17" t="s">
        <v>146</v>
      </c>
    </row>
    <row r="124" spans="1:18" x14ac:dyDescent="0.3">
      <c r="A124" s="12" t="s">
        <v>307</v>
      </c>
      <c r="B124" s="12" t="s">
        <v>14</v>
      </c>
      <c r="C124" s="12"/>
      <c r="D124" s="12" t="s">
        <v>14</v>
      </c>
      <c r="E124" s="12" t="s">
        <v>677</v>
      </c>
      <c r="F124" s="12"/>
      <c r="G124" s="12" t="s">
        <v>670</v>
      </c>
      <c r="H124" s="12" t="s">
        <v>38</v>
      </c>
      <c r="I124" s="12" t="s">
        <v>26</v>
      </c>
      <c r="J124" s="13" t="s">
        <v>678</v>
      </c>
      <c r="K124" s="14" t="s">
        <v>710</v>
      </c>
      <c r="L124" s="15">
        <v>7</v>
      </c>
      <c r="M124" s="15" t="s">
        <v>144</v>
      </c>
      <c r="N124" s="16">
        <v>46275</v>
      </c>
      <c r="O124" s="12" t="s">
        <v>307</v>
      </c>
      <c r="P124" s="14" t="s">
        <v>310</v>
      </c>
      <c r="Q124" s="17" t="s">
        <v>137</v>
      </c>
      <c r="R124" s="17" t="s">
        <v>146</v>
      </c>
    </row>
    <row r="125" spans="1:18" x14ac:dyDescent="0.3">
      <c r="A125" s="12" t="s">
        <v>577</v>
      </c>
      <c r="B125" s="12" t="s">
        <v>12</v>
      </c>
      <c r="C125" s="12"/>
      <c r="D125" s="12" t="s">
        <v>12</v>
      </c>
      <c r="E125" s="12" t="s">
        <v>711</v>
      </c>
      <c r="F125" s="12" t="s">
        <v>712</v>
      </c>
      <c r="G125" s="12" t="s">
        <v>713</v>
      </c>
      <c r="H125" s="12" t="s">
        <v>38</v>
      </c>
      <c r="I125" s="12" t="s">
        <v>26</v>
      </c>
      <c r="J125" s="13" t="s">
        <v>714</v>
      </c>
      <c r="K125" s="14" t="s">
        <v>579</v>
      </c>
      <c r="L125" s="15">
        <v>4</v>
      </c>
      <c r="M125" s="15" t="s">
        <v>144</v>
      </c>
      <c r="N125" s="16">
        <v>45820</v>
      </c>
      <c r="O125" s="12" t="s">
        <v>577</v>
      </c>
      <c r="P125" s="14" t="s">
        <v>580</v>
      </c>
      <c r="Q125" s="17" t="s">
        <v>137</v>
      </c>
      <c r="R125" s="17" t="s">
        <v>146</v>
      </c>
    </row>
    <row r="126" spans="1:18" x14ac:dyDescent="0.3">
      <c r="A126" s="12" t="s">
        <v>715</v>
      </c>
      <c r="B126" s="12" t="s">
        <v>14</v>
      </c>
      <c r="C126" s="12"/>
      <c r="D126" s="12" t="s">
        <v>14</v>
      </c>
      <c r="E126" s="12" t="s">
        <v>716</v>
      </c>
      <c r="F126" s="12"/>
      <c r="G126" s="12" t="s">
        <v>713</v>
      </c>
      <c r="H126" s="12" t="s">
        <v>38</v>
      </c>
      <c r="I126" s="12" t="s">
        <v>26</v>
      </c>
      <c r="J126" s="13" t="s">
        <v>714</v>
      </c>
      <c r="K126" s="14" t="s">
        <v>717</v>
      </c>
      <c r="L126" s="15">
        <v>1</v>
      </c>
      <c r="M126" s="15" t="s">
        <v>144</v>
      </c>
      <c r="N126" s="16">
        <v>45295</v>
      </c>
      <c r="O126" s="12" t="s">
        <v>715</v>
      </c>
      <c r="P126" s="14" t="s">
        <v>718</v>
      </c>
      <c r="Q126" s="17" t="s">
        <v>137</v>
      </c>
      <c r="R126" s="17" t="s">
        <v>146</v>
      </c>
    </row>
    <row r="127" spans="1:18" x14ac:dyDescent="0.3">
      <c r="A127" s="12" t="s">
        <v>719</v>
      </c>
      <c r="B127" s="12" t="s">
        <v>10</v>
      </c>
      <c r="C127" s="12"/>
      <c r="D127" s="12" t="s">
        <v>720</v>
      </c>
      <c r="E127" s="12" t="s">
        <v>721</v>
      </c>
      <c r="F127" s="12"/>
      <c r="G127" s="12" t="s">
        <v>722</v>
      </c>
      <c r="H127" s="12" t="s">
        <v>38</v>
      </c>
      <c r="I127" s="12" t="s">
        <v>26</v>
      </c>
      <c r="J127" s="13" t="s">
        <v>723</v>
      </c>
      <c r="K127" s="14" t="s">
        <v>724</v>
      </c>
      <c r="L127" s="15">
        <v>0</v>
      </c>
      <c r="M127" s="15" t="s">
        <v>144</v>
      </c>
      <c r="N127" s="16">
        <v>46143</v>
      </c>
      <c r="O127" s="12" t="s">
        <v>236</v>
      </c>
      <c r="P127" s="14" t="s">
        <v>725</v>
      </c>
      <c r="Q127" s="17" t="s">
        <v>137</v>
      </c>
      <c r="R127" s="17" t="s">
        <v>146</v>
      </c>
    </row>
    <row r="128" spans="1:18" x14ac:dyDescent="0.3">
      <c r="A128" s="12" t="s">
        <v>726</v>
      </c>
      <c r="B128" s="12" t="s">
        <v>12</v>
      </c>
      <c r="C128" s="12"/>
      <c r="D128" s="12" t="s">
        <v>12</v>
      </c>
      <c r="E128" s="12" t="s">
        <v>727</v>
      </c>
      <c r="F128" s="12" t="s">
        <v>547</v>
      </c>
      <c r="G128" s="12" t="s">
        <v>722</v>
      </c>
      <c r="H128" s="12" t="s">
        <v>38</v>
      </c>
      <c r="I128" s="12" t="s">
        <v>26</v>
      </c>
      <c r="J128" s="13" t="s">
        <v>723</v>
      </c>
      <c r="K128" s="14" t="s">
        <v>728</v>
      </c>
      <c r="L128" s="15">
        <v>1</v>
      </c>
      <c r="M128" s="15" t="s">
        <v>144</v>
      </c>
      <c r="N128" s="16">
        <v>45691</v>
      </c>
      <c r="O128" s="12" t="s">
        <v>726</v>
      </c>
      <c r="P128" s="14" t="s">
        <v>729</v>
      </c>
      <c r="Q128" s="17" t="s">
        <v>137</v>
      </c>
      <c r="R128" s="17" t="s">
        <v>146</v>
      </c>
    </row>
    <row r="129" spans="1:18" x14ac:dyDescent="0.3">
      <c r="A129" s="12" t="s">
        <v>730</v>
      </c>
      <c r="B129" s="12" t="s">
        <v>12</v>
      </c>
      <c r="C129" s="12"/>
      <c r="D129" s="12" t="s">
        <v>12</v>
      </c>
      <c r="E129" s="12" t="s">
        <v>731</v>
      </c>
      <c r="F129" s="12" t="s">
        <v>345</v>
      </c>
      <c r="G129" s="12" t="s">
        <v>722</v>
      </c>
      <c r="H129" s="12" t="s">
        <v>38</v>
      </c>
      <c r="I129" s="12" t="s">
        <v>26</v>
      </c>
      <c r="J129" s="13" t="s">
        <v>723</v>
      </c>
      <c r="K129" s="14" t="s">
        <v>732</v>
      </c>
      <c r="L129" s="15">
        <v>1</v>
      </c>
      <c r="M129" s="15" t="s">
        <v>144</v>
      </c>
      <c r="N129" s="16">
        <v>44796</v>
      </c>
      <c r="O129" s="12" t="s">
        <v>733</v>
      </c>
      <c r="P129" s="14" t="s">
        <v>734</v>
      </c>
      <c r="Q129" s="17" t="s">
        <v>137</v>
      </c>
      <c r="R129" s="17" t="s">
        <v>146</v>
      </c>
    </row>
    <row r="130" spans="1:18" x14ac:dyDescent="0.3">
      <c r="A130" s="12" t="s">
        <v>735</v>
      </c>
      <c r="B130" s="12" t="s">
        <v>12</v>
      </c>
      <c r="C130" s="12"/>
      <c r="D130" s="12" t="s">
        <v>12</v>
      </c>
      <c r="E130" s="12" t="s">
        <v>736</v>
      </c>
      <c r="F130" s="12" t="s">
        <v>454</v>
      </c>
      <c r="G130" s="12" t="s">
        <v>722</v>
      </c>
      <c r="H130" s="12" t="s">
        <v>38</v>
      </c>
      <c r="I130" s="12" t="s">
        <v>26</v>
      </c>
      <c r="J130" s="13" t="s">
        <v>723</v>
      </c>
      <c r="K130" s="14" t="s">
        <v>737</v>
      </c>
      <c r="L130" s="15">
        <v>1</v>
      </c>
      <c r="M130" s="15" t="s">
        <v>144</v>
      </c>
      <c r="N130" s="16">
        <v>45924</v>
      </c>
      <c r="O130" s="12" t="s">
        <v>735</v>
      </c>
      <c r="P130" s="14" t="s">
        <v>738</v>
      </c>
      <c r="Q130" s="17" t="s">
        <v>137</v>
      </c>
      <c r="R130" s="17" t="s">
        <v>146</v>
      </c>
    </row>
    <row r="131" spans="1:18" x14ac:dyDescent="0.3">
      <c r="A131" s="12" t="s">
        <v>739</v>
      </c>
      <c r="B131" s="12" t="s">
        <v>14</v>
      </c>
      <c r="C131" s="12"/>
      <c r="D131" s="12" t="s">
        <v>14</v>
      </c>
      <c r="E131" s="12" t="s">
        <v>740</v>
      </c>
      <c r="F131" s="12"/>
      <c r="G131" s="12" t="s">
        <v>722</v>
      </c>
      <c r="H131" s="12" t="s">
        <v>38</v>
      </c>
      <c r="I131" s="12" t="s">
        <v>26</v>
      </c>
      <c r="J131" s="13" t="s">
        <v>723</v>
      </c>
      <c r="K131" s="14" t="s">
        <v>741</v>
      </c>
      <c r="L131" s="15">
        <v>0</v>
      </c>
      <c r="M131" s="15" t="s">
        <v>144</v>
      </c>
      <c r="N131" s="16">
        <v>45012</v>
      </c>
      <c r="O131" s="12" t="s">
        <v>739</v>
      </c>
      <c r="P131" s="14" t="s">
        <v>742</v>
      </c>
      <c r="Q131" s="17" t="s">
        <v>137</v>
      </c>
      <c r="R131" s="17" t="s">
        <v>146</v>
      </c>
    </row>
    <row r="132" spans="1:18" x14ac:dyDescent="0.3">
      <c r="A132" s="12" t="s">
        <v>743</v>
      </c>
      <c r="B132" s="12" t="s">
        <v>20</v>
      </c>
      <c r="C132" s="12"/>
      <c r="D132" s="12" t="s">
        <v>193</v>
      </c>
      <c r="E132" s="12" t="s">
        <v>736</v>
      </c>
      <c r="F132" s="12" t="s">
        <v>744</v>
      </c>
      <c r="G132" s="12" t="s">
        <v>722</v>
      </c>
      <c r="H132" s="12" t="s">
        <v>38</v>
      </c>
      <c r="I132" s="12" t="s">
        <v>26</v>
      </c>
      <c r="J132" s="13" t="s">
        <v>723</v>
      </c>
      <c r="K132" s="14" t="s">
        <v>745</v>
      </c>
      <c r="L132" s="15">
        <v>0</v>
      </c>
      <c r="M132" s="15" t="s">
        <v>144</v>
      </c>
      <c r="N132" s="16">
        <v>39771</v>
      </c>
      <c r="O132" s="12" t="s">
        <v>743</v>
      </c>
      <c r="P132" s="14" t="s">
        <v>746</v>
      </c>
      <c r="Q132" s="17" t="s">
        <v>137</v>
      </c>
      <c r="R132" s="17" t="s">
        <v>146</v>
      </c>
    </row>
    <row r="133" spans="1:18" x14ac:dyDescent="0.3">
      <c r="A133" s="12" t="s">
        <v>747</v>
      </c>
      <c r="B133" s="12" t="s">
        <v>14</v>
      </c>
      <c r="C133" s="12"/>
      <c r="D133" s="12" t="s">
        <v>14</v>
      </c>
      <c r="E133" s="12" t="s">
        <v>748</v>
      </c>
      <c r="F133" s="12"/>
      <c r="G133" s="12" t="s">
        <v>749</v>
      </c>
      <c r="H133" s="12" t="s">
        <v>38</v>
      </c>
      <c r="I133" s="12" t="s">
        <v>26</v>
      </c>
      <c r="J133" s="13" t="s">
        <v>750</v>
      </c>
      <c r="K133" s="14" t="s">
        <v>751</v>
      </c>
      <c r="L133" s="15">
        <v>0</v>
      </c>
      <c r="M133" s="15" t="s">
        <v>144</v>
      </c>
      <c r="N133" s="16">
        <v>45205</v>
      </c>
      <c r="O133" s="12" t="s">
        <v>752</v>
      </c>
      <c r="P133" s="14" t="s">
        <v>753</v>
      </c>
      <c r="Q133" s="17" t="s">
        <v>137</v>
      </c>
      <c r="R133" s="17" t="s">
        <v>146</v>
      </c>
    </row>
    <row r="134" spans="1:18" x14ac:dyDescent="0.3">
      <c r="A134" s="12" t="s">
        <v>754</v>
      </c>
      <c r="B134" s="12" t="s">
        <v>12</v>
      </c>
      <c r="C134" s="12" t="s">
        <v>14</v>
      </c>
      <c r="D134" s="12" t="s">
        <v>180</v>
      </c>
      <c r="E134" s="12" t="s">
        <v>755</v>
      </c>
      <c r="F134" s="12"/>
      <c r="G134" s="12" t="s">
        <v>749</v>
      </c>
      <c r="H134" s="12" t="s">
        <v>38</v>
      </c>
      <c r="I134" s="12" t="s">
        <v>26</v>
      </c>
      <c r="J134" s="13" t="s">
        <v>756</v>
      </c>
      <c r="K134" s="14" t="s">
        <v>757</v>
      </c>
      <c r="L134" s="15">
        <v>3</v>
      </c>
      <c r="M134" s="15" t="s">
        <v>144</v>
      </c>
      <c r="N134" s="16">
        <v>45622</v>
      </c>
      <c r="O134" s="12" t="s">
        <v>754</v>
      </c>
      <c r="P134" s="14" t="s">
        <v>758</v>
      </c>
      <c r="Q134" s="17" t="s">
        <v>137</v>
      </c>
      <c r="R134" s="17" t="s">
        <v>146</v>
      </c>
    </row>
    <row r="135" spans="1:18" x14ac:dyDescent="0.3">
      <c r="A135" s="12" t="s">
        <v>759</v>
      </c>
      <c r="B135" s="12" t="s">
        <v>12</v>
      </c>
      <c r="C135" s="12"/>
      <c r="D135" s="12" t="s">
        <v>12</v>
      </c>
      <c r="E135" s="12" t="s">
        <v>760</v>
      </c>
      <c r="F135" s="12"/>
      <c r="G135" s="12" t="s">
        <v>749</v>
      </c>
      <c r="H135" s="12" t="s">
        <v>38</v>
      </c>
      <c r="I135" s="12" t="s">
        <v>26</v>
      </c>
      <c r="J135" s="13" t="s">
        <v>756</v>
      </c>
      <c r="K135" s="14" t="s">
        <v>761</v>
      </c>
      <c r="L135" s="15">
        <v>0</v>
      </c>
      <c r="M135" s="15" t="s">
        <v>144</v>
      </c>
      <c r="N135" s="16">
        <v>45572</v>
      </c>
      <c r="O135" s="12" t="s">
        <v>759</v>
      </c>
      <c r="P135" s="14" t="s">
        <v>762</v>
      </c>
      <c r="Q135" s="17" t="s">
        <v>137</v>
      </c>
      <c r="R135" s="17" t="s">
        <v>146</v>
      </c>
    </row>
    <row r="136" spans="1:18" x14ac:dyDescent="0.3">
      <c r="A136" s="12" t="s">
        <v>763</v>
      </c>
      <c r="B136" s="12" t="s">
        <v>12</v>
      </c>
      <c r="C136" s="12"/>
      <c r="D136" s="12" t="s">
        <v>12</v>
      </c>
      <c r="E136" s="12" t="s">
        <v>764</v>
      </c>
      <c r="F136" s="12" t="s">
        <v>218</v>
      </c>
      <c r="G136" s="12" t="s">
        <v>749</v>
      </c>
      <c r="H136" s="12" t="s">
        <v>38</v>
      </c>
      <c r="I136" s="12" t="s">
        <v>26</v>
      </c>
      <c r="J136" s="13" t="s">
        <v>750</v>
      </c>
      <c r="K136" s="14" t="s">
        <v>765</v>
      </c>
      <c r="L136" s="15">
        <v>2</v>
      </c>
      <c r="M136" s="15" t="s">
        <v>144</v>
      </c>
      <c r="N136" s="16">
        <v>45692</v>
      </c>
      <c r="O136" s="12" t="s">
        <v>766</v>
      </c>
      <c r="P136" s="14" t="s">
        <v>767</v>
      </c>
      <c r="Q136" s="17" t="s">
        <v>137</v>
      </c>
      <c r="R136" s="17" t="s">
        <v>146</v>
      </c>
    </row>
    <row r="137" spans="1:18" x14ac:dyDescent="0.3">
      <c r="A137" s="12" t="s">
        <v>768</v>
      </c>
      <c r="B137" s="12" t="s">
        <v>12</v>
      </c>
      <c r="C137" s="12"/>
      <c r="D137" s="12" t="s">
        <v>12</v>
      </c>
      <c r="E137" s="12" t="s">
        <v>769</v>
      </c>
      <c r="F137" s="12"/>
      <c r="G137" s="12" t="s">
        <v>749</v>
      </c>
      <c r="H137" s="12" t="s">
        <v>38</v>
      </c>
      <c r="I137" s="12" t="s">
        <v>26</v>
      </c>
      <c r="J137" s="13" t="s">
        <v>750</v>
      </c>
      <c r="K137" s="14" t="s">
        <v>770</v>
      </c>
      <c r="L137" s="15">
        <v>1</v>
      </c>
      <c r="M137" s="15" t="s">
        <v>144</v>
      </c>
      <c r="N137" s="16">
        <v>45415</v>
      </c>
      <c r="O137" s="12" t="s">
        <v>771</v>
      </c>
      <c r="P137" s="14" t="s">
        <v>772</v>
      </c>
      <c r="Q137" s="17" t="s">
        <v>137</v>
      </c>
      <c r="R137" s="17" t="s">
        <v>146</v>
      </c>
    </row>
    <row r="138" spans="1:18" x14ac:dyDescent="0.3">
      <c r="A138" s="12" t="s">
        <v>739</v>
      </c>
      <c r="B138" s="12" t="s">
        <v>14</v>
      </c>
      <c r="C138" s="12"/>
      <c r="D138" s="12" t="s">
        <v>14</v>
      </c>
      <c r="E138" s="12" t="s">
        <v>773</v>
      </c>
      <c r="F138" s="12"/>
      <c r="G138" s="12" t="s">
        <v>749</v>
      </c>
      <c r="H138" s="12" t="s">
        <v>38</v>
      </c>
      <c r="I138" s="12" t="s">
        <v>26</v>
      </c>
      <c r="J138" s="13" t="s">
        <v>756</v>
      </c>
      <c r="K138" s="14" t="s">
        <v>774</v>
      </c>
      <c r="L138" s="15">
        <v>6</v>
      </c>
      <c r="M138" s="15" t="s">
        <v>144</v>
      </c>
      <c r="N138" s="16">
        <v>45012</v>
      </c>
      <c r="O138" s="12" t="s">
        <v>739</v>
      </c>
      <c r="P138" s="14" t="s">
        <v>742</v>
      </c>
      <c r="Q138" s="17" t="s">
        <v>137</v>
      </c>
      <c r="R138" s="17" t="s">
        <v>146</v>
      </c>
    </row>
    <row r="139" spans="1:18" x14ac:dyDescent="0.3">
      <c r="A139" s="12" t="s">
        <v>775</v>
      </c>
      <c r="B139" s="12" t="s">
        <v>12</v>
      </c>
      <c r="C139" s="12"/>
      <c r="D139" s="12" t="s">
        <v>12</v>
      </c>
      <c r="E139" s="12" t="s">
        <v>776</v>
      </c>
      <c r="F139" s="12"/>
      <c r="G139" s="12" t="s">
        <v>749</v>
      </c>
      <c r="H139" s="12" t="s">
        <v>38</v>
      </c>
      <c r="I139" s="12" t="s">
        <v>26</v>
      </c>
      <c r="J139" s="13" t="s">
        <v>756</v>
      </c>
      <c r="K139" s="14" t="s">
        <v>777</v>
      </c>
      <c r="L139" s="15">
        <v>0</v>
      </c>
      <c r="M139" s="15" t="s">
        <v>144</v>
      </c>
      <c r="N139" s="16">
        <v>46133</v>
      </c>
      <c r="O139" s="12" t="s">
        <v>775</v>
      </c>
      <c r="P139" s="14" t="s">
        <v>778</v>
      </c>
      <c r="Q139" s="17" t="s">
        <v>137</v>
      </c>
      <c r="R139" s="17" t="s">
        <v>146</v>
      </c>
    </row>
    <row r="140" spans="1:18" x14ac:dyDescent="0.3">
      <c r="A140" s="12" t="s">
        <v>779</v>
      </c>
      <c r="B140" s="12" t="s">
        <v>12</v>
      </c>
      <c r="C140" s="12"/>
      <c r="D140" s="12" t="s">
        <v>12</v>
      </c>
      <c r="E140" s="12" t="s">
        <v>780</v>
      </c>
      <c r="F140" s="12"/>
      <c r="G140" s="12" t="s">
        <v>749</v>
      </c>
      <c r="H140" s="12" t="s">
        <v>38</v>
      </c>
      <c r="I140" s="12" t="s">
        <v>26</v>
      </c>
      <c r="J140" s="13" t="s">
        <v>756</v>
      </c>
      <c r="K140" s="14" t="s">
        <v>781</v>
      </c>
      <c r="L140" s="15">
        <v>1</v>
      </c>
      <c r="M140" s="15" t="s">
        <v>144</v>
      </c>
      <c r="N140" s="16">
        <v>46053</v>
      </c>
      <c r="O140" s="12" t="s">
        <v>779</v>
      </c>
      <c r="P140" s="14" t="s">
        <v>782</v>
      </c>
      <c r="Q140" s="17" t="s">
        <v>137</v>
      </c>
      <c r="R140" s="17" t="s">
        <v>146</v>
      </c>
    </row>
    <row r="141" spans="1:18" x14ac:dyDescent="0.3">
      <c r="A141" s="12" t="s">
        <v>783</v>
      </c>
      <c r="B141" s="12" t="s">
        <v>20</v>
      </c>
      <c r="C141" s="12"/>
      <c r="D141" s="12" t="s">
        <v>193</v>
      </c>
      <c r="E141" s="12" t="s">
        <v>784</v>
      </c>
      <c r="F141" s="12"/>
      <c r="G141" s="12" t="s">
        <v>785</v>
      </c>
      <c r="H141" s="12" t="s">
        <v>38</v>
      </c>
      <c r="I141" s="12" t="s">
        <v>26</v>
      </c>
      <c r="J141" s="13" t="s">
        <v>786</v>
      </c>
      <c r="K141" s="14" t="s">
        <v>787</v>
      </c>
      <c r="L141" s="15">
        <v>0</v>
      </c>
      <c r="M141" s="15" t="s">
        <v>144</v>
      </c>
      <c r="N141" s="16">
        <v>43356</v>
      </c>
      <c r="O141" s="12" t="s">
        <v>788</v>
      </c>
      <c r="P141" s="14" t="s">
        <v>789</v>
      </c>
      <c r="Q141" s="17" t="s">
        <v>137</v>
      </c>
      <c r="R141" s="17" t="s">
        <v>146</v>
      </c>
    </row>
    <row r="142" spans="1:18" x14ac:dyDescent="0.3">
      <c r="A142" s="12" t="s">
        <v>790</v>
      </c>
      <c r="B142" s="12" t="s">
        <v>12</v>
      </c>
      <c r="C142" s="12"/>
      <c r="D142" s="12" t="s">
        <v>12</v>
      </c>
      <c r="E142" s="12" t="s">
        <v>791</v>
      </c>
      <c r="F142" s="12"/>
      <c r="G142" s="12" t="s">
        <v>785</v>
      </c>
      <c r="H142" s="12" t="s">
        <v>38</v>
      </c>
      <c r="I142" s="12" t="s">
        <v>26</v>
      </c>
      <c r="J142" s="13" t="s">
        <v>786</v>
      </c>
      <c r="K142" s="14" t="s">
        <v>792</v>
      </c>
      <c r="L142" s="15">
        <v>3</v>
      </c>
      <c r="M142" s="15" t="s">
        <v>144</v>
      </c>
      <c r="N142" s="16">
        <v>44763</v>
      </c>
      <c r="O142" s="12" t="s">
        <v>790</v>
      </c>
      <c r="P142" s="14" t="s">
        <v>793</v>
      </c>
      <c r="Q142" s="17" t="s">
        <v>137</v>
      </c>
      <c r="R142" s="17" t="s">
        <v>146</v>
      </c>
    </row>
    <row r="143" spans="1:18" x14ac:dyDescent="0.3">
      <c r="A143" s="12" t="s">
        <v>794</v>
      </c>
      <c r="B143" s="12" t="s">
        <v>10</v>
      </c>
      <c r="C143" s="12"/>
      <c r="D143" s="12" t="s">
        <v>230</v>
      </c>
      <c r="E143" s="12" t="s">
        <v>795</v>
      </c>
      <c r="F143" s="12"/>
      <c r="G143" s="12" t="s">
        <v>785</v>
      </c>
      <c r="H143" s="12" t="s">
        <v>38</v>
      </c>
      <c r="I143" s="12" t="s">
        <v>26</v>
      </c>
      <c r="J143" s="13" t="s">
        <v>786</v>
      </c>
      <c r="K143" s="14" t="s">
        <v>796</v>
      </c>
      <c r="L143" s="15">
        <v>0</v>
      </c>
      <c r="M143" s="15" t="s">
        <v>144</v>
      </c>
      <c r="N143" s="16">
        <v>46036</v>
      </c>
      <c r="O143" s="12" t="s">
        <v>236</v>
      </c>
      <c r="P143" s="14" t="s">
        <v>797</v>
      </c>
      <c r="Q143" s="17" t="s">
        <v>137</v>
      </c>
      <c r="R143" s="17" t="s">
        <v>146</v>
      </c>
    </row>
    <row r="144" spans="1:18" x14ac:dyDescent="0.3">
      <c r="A144" s="12" t="s">
        <v>798</v>
      </c>
      <c r="B144" s="12" t="s">
        <v>10</v>
      </c>
      <c r="C144" s="12"/>
      <c r="D144" s="12" t="s">
        <v>647</v>
      </c>
      <c r="E144" s="12" t="s">
        <v>795</v>
      </c>
      <c r="F144" s="12"/>
      <c r="G144" s="12" t="s">
        <v>785</v>
      </c>
      <c r="H144" s="12" t="s">
        <v>38</v>
      </c>
      <c r="I144" s="12" t="s">
        <v>26</v>
      </c>
      <c r="J144" s="13" t="s">
        <v>786</v>
      </c>
      <c r="K144" s="14" t="s">
        <v>799</v>
      </c>
      <c r="L144" s="15">
        <v>0</v>
      </c>
      <c r="M144" s="15" t="s">
        <v>144</v>
      </c>
      <c r="N144" s="16">
        <v>45671</v>
      </c>
      <c r="O144" s="12" t="s">
        <v>236</v>
      </c>
      <c r="P144" s="14" t="s">
        <v>800</v>
      </c>
      <c r="Q144" s="17" t="s">
        <v>137</v>
      </c>
      <c r="R144" s="17" t="s">
        <v>146</v>
      </c>
    </row>
    <row r="145" spans="1:18" x14ac:dyDescent="0.3">
      <c r="A145" s="12" t="s">
        <v>801</v>
      </c>
      <c r="B145" s="12" t="s">
        <v>12</v>
      </c>
      <c r="C145" s="12"/>
      <c r="D145" s="12" t="s">
        <v>12</v>
      </c>
      <c r="E145" s="12" t="s">
        <v>802</v>
      </c>
      <c r="F145" s="12"/>
      <c r="G145" s="12" t="s">
        <v>785</v>
      </c>
      <c r="H145" s="12" t="s">
        <v>38</v>
      </c>
      <c r="I145" s="12" t="s">
        <v>26</v>
      </c>
      <c r="J145" s="13" t="s">
        <v>786</v>
      </c>
      <c r="K145" s="14" t="s">
        <v>803</v>
      </c>
      <c r="L145" s="15">
        <v>2</v>
      </c>
      <c r="M145" s="15" t="s">
        <v>144</v>
      </c>
      <c r="N145" s="16">
        <v>44699</v>
      </c>
      <c r="O145" s="12" t="s">
        <v>804</v>
      </c>
      <c r="P145" s="14" t="s">
        <v>805</v>
      </c>
      <c r="Q145" s="17" t="s">
        <v>137</v>
      </c>
      <c r="R145" s="17" t="s">
        <v>146</v>
      </c>
    </row>
    <row r="146" spans="1:18" x14ac:dyDescent="0.3">
      <c r="A146" s="12" t="s">
        <v>806</v>
      </c>
      <c r="B146" s="12" t="s">
        <v>14</v>
      </c>
      <c r="C146" s="12"/>
      <c r="D146" s="12" t="s">
        <v>14</v>
      </c>
      <c r="E146" s="12" t="s">
        <v>807</v>
      </c>
      <c r="F146" s="12"/>
      <c r="G146" s="12" t="s">
        <v>785</v>
      </c>
      <c r="H146" s="12" t="s">
        <v>38</v>
      </c>
      <c r="I146" s="12" t="s">
        <v>26</v>
      </c>
      <c r="J146" s="13" t="s">
        <v>786</v>
      </c>
      <c r="K146" s="14" t="s">
        <v>808</v>
      </c>
      <c r="L146" s="15">
        <v>0</v>
      </c>
      <c r="M146" s="15" t="s">
        <v>144</v>
      </c>
      <c r="N146" s="16">
        <v>44995</v>
      </c>
      <c r="O146" s="12" t="s">
        <v>809</v>
      </c>
      <c r="P146" s="14" t="s">
        <v>810</v>
      </c>
      <c r="Q146" s="17" t="s">
        <v>137</v>
      </c>
      <c r="R146" s="17" t="s">
        <v>146</v>
      </c>
    </row>
    <row r="147" spans="1:18" x14ac:dyDescent="0.3">
      <c r="A147" s="12" t="s">
        <v>811</v>
      </c>
      <c r="B147" s="12" t="s">
        <v>12</v>
      </c>
      <c r="C147" s="12"/>
      <c r="D147" s="12" t="s">
        <v>12</v>
      </c>
      <c r="E147" s="12" t="s">
        <v>812</v>
      </c>
      <c r="F147" s="12"/>
      <c r="G147" s="12" t="s">
        <v>785</v>
      </c>
      <c r="H147" s="12" t="s">
        <v>38</v>
      </c>
      <c r="I147" s="12" t="s">
        <v>26</v>
      </c>
      <c r="J147" s="13" t="s">
        <v>786</v>
      </c>
      <c r="K147" s="14" t="s">
        <v>813</v>
      </c>
      <c r="L147" s="15">
        <v>8</v>
      </c>
      <c r="M147" s="15" t="s">
        <v>144</v>
      </c>
      <c r="N147" s="16">
        <v>45257</v>
      </c>
      <c r="O147" s="12" t="s">
        <v>811</v>
      </c>
      <c r="P147" s="14" t="s">
        <v>814</v>
      </c>
      <c r="Q147" s="17" t="s">
        <v>137</v>
      </c>
      <c r="R147" s="17" t="s">
        <v>146</v>
      </c>
    </row>
    <row r="148" spans="1:18" x14ac:dyDescent="0.3">
      <c r="A148" s="12" t="s">
        <v>815</v>
      </c>
      <c r="B148" s="12" t="s">
        <v>12</v>
      </c>
      <c r="C148" s="12"/>
      <c r="D148" s="12" t="s">
        <v>12</v>
      </c>
      <c r="E148" s="12" t="s">
        <v>816</v>
      </c>
      <c r="F148" s="12"/>
      <c r="G148" s="12" t="s">
        <v>785</v>
      </c>
      <c r="H148" s="12" t="s">
        <v>38</v>
      </c>
      <c r="I148" s="12" t="s">
        <v>26</v>
      </c>
      <c r="J148" s="13" t="s">
        <v>786</v>
      </c>
      <c r="K148" s="14" t="s">
        <v>817</v>
      </c>
      <c r="L148" s="15">
        <v>5</v>
      </c>
      <c r="M148" s="15" t="s">
        <v>144</v>
      </c>
      <c r="N148" s="16">
        <v>44719</v>
      </c>
      <c r="O148" s="12" t="s">
        <v>818</v>
      </c>
      <c r="P148" s="14" t="s">
        <v>819</v>
      </c>
      <c r="Q148" s="17" t="s">
        <v>137</v>
      </c>
      <c r="R148" s="17" t="s">
        <v>146</v>
      </c>
    </row>
    <row r="149" spans="1:18" x14ac:dyDescent="0.3">
      <c r="A149" s="12" t="s">
        <v>820</v>
      </c>
      <c r="B149" s="12" t="s">
        <v>12</v>
      </c>
      <c r="C149" s="12"/>
      <c r="D149" s="12" t="s">
        <v>12</v>
      </c>
      <c r="E149" s="12" t="s">
        <v>812</v>
      </c>
      <c r="F149" s="12"/>
      <c r="G149" s="12" t="s">
        <v>785</v>
      </c>
      <c r="H149" s="12" t="s">
        <v>38</v>
      </c>
      <c r="I149" s="12" t="s">
        <v>26</v>
      </c>
      <c r="J149" s="13" t="s">
        <v>786</v>
      </c>
      <c r="K149" s="14" t="s">
        <v>813</v>
      </c>
      <c r="L149" s="15">
        <v>8</v>
      </c>
      <c r="M149" s="15" t="s">
        <v>144</v>
      </c>
      <c r="N149" s="16">
        <v>45905</v>
      </c>
      <c r="O149" s="12" t="s">
        <v>821</v>
      </c>
      <c r="P149" s="14" t="s">
        <v>822</v>
      </c>
      <c r="Q149" s="17" t="s">
        <v>137</v>
      </c>
      <c r="R149" s="17" t="s">
        <v>146</v>
      </c>
    </row>
    <row r="150" spans="1:18" x14ac:dyDescent="0.3">
      <c r="A150" s="12" t="s">
        <v>823</v>
      </c>
      <c r="B150" s="12" t="s">
        <v>12</v>
      </c>
      <c r="C150" s="12"/>
      <c r="D150" s="12" t="s">
        <v>12</v>
      </c>
      <c r="E150" s="12" t="s">
        <v>824</v>
      </c>
      <c r="F150" s="12" t="s">
        <v>520</v>
      </c>
      <c r="G150" s="12" t="s">
        <v>785</v>
      </c>
      <c r="H150" s="12" t="s">
        <v>38</v>
      </c>
      <c r="I150" s="12" t="s">
        <v>26</v>
      </c>
      <c r="J150" s="13" t="s">
        <v>786</v>
      </c>
      <c r="K150" s="14" t="s">
        <v>825</v>
      </c>
      <c r="L150" s="15">
        <v>3</v>
      </c>
      <c r="M150" s="15" t="s">
        <v>144</v>
      </c>
      <c r="N150" s="16">
        <v>45280</v>
      </c>
      <c r="O150" s="12" t="s">
        <v>826</v>
      </c>
      <c r="P150" s="14" t="s">
        <v>827</v>
      </c>
      <c r="Q150" s="17" t="s">
        <v>137</v>
      </c>
      <c r="R150" s="17" t="s">
        <v>146</v>
      </c>
    </row>
    <row r="151" spans="1:18" x14ac:dyDescent="0.3">
      <c r="A151" s="12" t="s">
        <v>199</v>
      </c>
      <c r="B151" s="12" t="s">
        <v>14</v>
      </c>
      <c r="C151" s="12"/>
      <c r="D151" s="12" t="s">
        <v>14</v>
      </c>
      <c r="E151" s="12" t="s">
        <v>828</v>
      </c>
      <c r="F151" s="12" t="s">
        <v>359</v>
      </c>
      <c r="G151" s="12" t="s">
        <v>785</v>
      </c>
      <c r="H151" s="12" t="s">
        <v>38</v>
      </c>
      <c r="I151" s="12" t="s">
        <v>26</v>
      </c>
      <c r="J151" s="13" t="s">
        <v>786</v>
      </c>
      <c r="K151" s="14" t="s">
        <v>551</v>
      </c>
      <c r="L151" s="15">
        <v>5</v>
      </c>
      <c r="M151" s="15" t="s">
        <v>144</v>
      </c>
      <c r="N151" s="16">
        <v>45588</v>
      </c>
      <c r="O151" s="12" t="s">
        <v>203</v>
      </c>
      <c r="P151" s="14" t="s">
        <v>829</v>
      </c>
      <c r="Q151" s="17" t="s">
        <v>137</v>
      </c>
      <c r="R151" s="17" t="s">
        <v>146</v>
      </c>
    </row>
    <row r="152" spans="1:18" x14ac:dyDescent="0.3">
      <c r="A152" s="12" t="s">
        <v>830</v>
      </c>
      <c r="B152" s="12" t="s">
        <v>12</v>
      </c>
      <c r="C152" s="12"/>
      <c r="D152" s="12" t="s">
        <v>12</v>
      </c>
      <c r="E152" s="12" t="s">
        <v>831</v>
      </c>
      <c r="F152" s="12" t="s">
        <v>832</v>
      </c>
      <c r="G152" s="12" t="s">
        <v>785</v>
      </c>
      <c r="H152" s="12" t="s">
        <v>38</v>
      </c>
      <c r="I152" s="12" t="s">
        <v>26</v>
      </c>
      <c r="J152" s="13" t="s">
        <v>786</v>
      </c>
      <c r="K152" s="14" t="s">
        <v>833</v>
      </c>
      <c r="L152" s="15">
        <v>4</v>
      </c>
      <c r="M152" s="15" t="s">
        <v>144</v>
      </c>
      <c r="N152" s="16">
        <v>44635</v>
      </c>
      <c r="O152" s="12" t="s">
        <v>830</v>
      </c>
      <c r="P152" s="14" t="s">
        <v>834</v>
      </c>
      <c r="Q152" s="17" t="s">
        <v>137</v>
      </c>
      <c r="R152" s="17" t="s">
        <v>146</v>
      </c>
    </row>
    <row r="153" spans="1:18" x14ac:dyDescent="0.3">
      <c r="A153" s="12" t="s">
        <v>215</v>
      </c>
      <c r="B153" s="12" t="s">
        <v>10</v>
      </c>
      <c r="C153" s="12" t="s">
        <v>16</v>
      </c>
      <c r="D153" s="12" t="s">
        <v>835</v>
      </c>
      <c r="E153" s="12" t="s">
        <v>836</v>
      </c>
      <c r="F153" s="12"/>
      <c r="G153" s="12" t="s">
        <v>785</v>
      </c>
      <c r="H153" s="12" t="s">
        <v>38</v>
      </c>
      <c r="I153" s="12" t="s">
        <v>26</v>
      </c>
      <c r="J153" s="13" t="s">
        <v>786</v>
      </c>
      <c r="K153" s="14" t="s">
        <v>294</v>
      </c>
      <c r="L153" s="15">
        <v>0</v>
      </c>
      <c r="M153" s="15" t="s">
        <v>144</v>
      </c>
      <c r="N153" s="16">
        <v>45818</v>
      </c>
      <c r="O153" s="12" t="s">
        <v>215</v>
      </c>
      <c r="P153" s="14" t="s">
        <v>837</v>
      </c>
      <c r="Q153" s="17" t="s">
        <v>137</v>
      </c>
      <c r="R153" s="17" t="s">
        <v>146</v>
      </c>
    </row>
    <row r="154" spans="1:18" x14ac:dyDescent="0.3">
      <c r="A154" s="12" t="s">
        <v>838</v>
      </c>
      <c r="B154" s="12" t="s">
        <v>12</v>
      </c>
      <c r="C154" s="12"/>
      <c r="D154" s="12" t="s">
        <v>12</v>
      </c>
      <c r="E154" s="12" t="s">
        <v>839</v>
      </c>
      <c r="F154" s="12" t="s">
        <v>447</v>
      </c>
      <c r="G154" s="12" t="s">
        <v>785</v>
      </c>
      <c r="H154" s="12" t="s">
        <v>38</v>
      </c>
      <c r="I154" s="12" t="s">
        <v>26</v>
      </c>
      <c r="J154" s="13" t="s">
        <v>786</v>
      </c>
      <c r="K154" s="14" t="s">
        <v>840</v>
      </c>
      <c r="L154" s="15">
        <v>5</v>
      </c>
      <c r="M154" s="15" t="s">
        <v>144</v>
      </c>
      <c r="N154" s="16">
        <v>45602</v>
      </c>
      <c r="O154" s="12" t="s">
        <v>838</v>
      </c>
      <c r="P154" s="14" t="s">
        <v>841</v>
      </c>
      <c r="Q154" s="17" t="s">
        <v>137</v>
      </c>
      <c r="R154" s="17" t="s">
        <v>146</v>
      </c>
    </row>
    <row r="155" spans="1:18" x14ac:dyDescent="0.3">
      <c r="A155" s="12" t="s">
        <v>186</v>
      </c>
      <c r="B155" s="12" t="s">
        <v>14</v>
      </c>
      <c r="C155" s="12"/>
      <c r="D155" s="12" t="s">
        <v>14</v>
      </c>
      <c r="E155" s="12" t="s">
        <v>842</v>
      </c>
      <c r="F155" s="12" t="s">
        <v>843</v>
      </c>
      <c r="G155" s="12" t="s">
        <v>844</v>
      </c>
      <c r="H155" s="12" t="s">
        <v>38</v>
      </c>
      <c r="I155" s="12" t="s">
        <v>26</v>
      </c>
      <c r="J155" s="13" t="s">
        <v>845</v>
      </c>
      <c r="K155" s="14" t="s">
        <v>846</v>
      </c>
      <c r="L155" s="15">
        <v>3</v>
      </c>
      <c r="M155" s="15" t="s">
        <v>144</v>
      </c>
      <c r="N155" s="16">
        <v>45827</v>
      </c>
      <c r="O155" s="12" t="s">
        <v>190</v>
      </c>
      <c r="P155" s="14" t="s">
        <v>847</v>
      </c>
      <c r="Q155" s="17" t="s">
        <v>137</v>
      </c>
      <c r="R155" s="17" t="s">
        <v>146</v>
      </c>
    </row>
    <row r="156" spans="1:18" x14ac:dyDescent="0.3">
      <c r="A156" s="12" t="s">
        <v>848</v>
      </c>
      <c r="B156" s="12" t="s">
        <v>14</v>
      </c>
      <c r="C156" s="12"/>
      <c r="D156" s="12" t="s">
        <v>14</v>
      </c>
      <c r="E156" s="12" t="s">
        <v>849</v>
      </c>
      <c r="F156" s="12"/>
      <c r="G156" s="12" t="s">
        <v>844</v>
      </c>
      <c r="H156" s="12" t="s">
        <v>38</v>
      </c>
      <c r="I156" s="12" t="s">
        <v>26</v>
      </c>
      <c r="J156" s="13" t="s">
        <v>850</v>
      </c>
      <c r="K156" s="14" t="s">
        <v>851</v>
      </c>
      <c r="L156" s="15">
        <v>0</v>
      </c>
      <c r="M156" s="15" t="s">
        <v>144</v>
      </c>
      <c r="N156" s="16">
        <v>45936</v>
      </c>
      <c r="O156" s="12" t="s">
        <v>848</v>
      </c>
      <c r="P156" s="14" t="s">
        <v>852</v>
      </c>
      <c r="Q156" s="17" t="s">
        <v>137</v>
      </c>
      <c r="R156" s="17" t="s">
        <v>146</v>
      </c>
    </row>
    <row r="157" spans="1:18" x14ac:dyDescent="0.3">
      <c r="A157" s="12" t="s">
        <v>853</v>
      </c>
      <c r="B157" s="12" t="s">
        <v>12</v>
      </c>
      <c r="C157" s="12"/>
      <c r="D157" s="12" t="s">
        <v>12</v>
      </c>
      <c r="E157" s="12" t="s">
        <v>854</v>
      </c>
      <c r="F157" s="12" t="s">
        <v>389</v>
      </c>
      <c r="G157" s="12" t="s">
        <v>844</v>
      </c>
      <c r="H157" s="12" t="s">
        <v>38</v>
      </c>
      <c r="I157" s="12" t="s">
        <v>26</v>
      </c>
      <c r="J157" s="13" t="s">
        <v>850</v>
      </c>
      <c r="K157" s="14" t="s">
        <v>855</v>
      </c>
      <c r="L157" s="15">
        <v>1</v>
      </c>
      <c r="M157" s="15" t="s">
        <v>144</v>
      </c>
      <c r="N157" s="16">
        <v>44763</v>
      </c>
      <c r="O157" s="12" t="s">
        <v>853</v>
      </c>
      <c r="P157" s="14" t="s">
        <v>856</v>
      </c>
      <c r="Q157" s="17" t="s">
        <v>137</v>
      </c>
      <c r="R157" s="17" t="s">
        <v>146</v>
      </c>
    </row>
    <row r="158" spans="1:18" x14ac:dyDescent="0.3">
      <c r="A158" s="12" t="s">
        <v>857</v>
      </c>
      <c r="B158" s="12" t="s">
        <v>12</v>
      </c>
      <c r="C158" s="12"/>
      <c r="D158" s="12" t="s">
        <v>12</v>
      </c>
      <c r="E158" s="12" t="s">
        <v>858</v>
      </c>
      <c r="F158" s="12" t="s">
        <v>258</v>
      </c>
      <c r="G158" s="12" t="s">
        <v>844</v>
      </c>
      <c r="H158" s="12" t="s">
        <v>38</v>
      </c>
      <c r="I158" s="12" t="s">
        <v>26</v>
      </c>
      <c r="J158" s="13" t="s">
        <v>845</v>
      </c>
      <c r="K158" s="14" t="s">
        <v>859</v>
      </c>
      <c r="L158" s="15">
        <v>3</v>
      </c>
      <c r="M158" s="15" t="s">
        <v>144</v>
      </c>
      <c r="N158" s="16">
        <v>45986</v>
      </c>
      <c r="O158" s="12" t="s">
        <v>857</v>
      </c>
      <c r="P158" s="14" t="s">
        <v>860</v>
      </c>
      <c r="Q158" s="17" t="s">
        <v>137</v>
      </c>
      <c r="R158" s="17" t="s">
        <v>146</v>
      </c>
    </row>
    <row r="159" spans="1:18" x14ac:dyDescent="0.3">
      <c r="A159" s="12" t="s">
        <v>861</v>
      </c>
      <c r="B159" s="12" t="s">
        <v>14</v>
      </c>
      <c r="C159" s="12"/>
      <c r="D159" s="12" t="s">
        <v>14</v>
      </c>
      <c r="E159" s="12" t="s">
        <v>862</v>
      </c>
      <c r="F159" s="12" t="s">
        <v>863</v>
      </c>
      <c r="G159" s="12" t="s">
        <v>844</v>
      </c>
      <c r="H159" s="12" t="s">
        <v>38</v>
      </c>
      <c r="I159" s="12" t="s">
        <v>26</v>
      </c>
      <c r="J159" s="13" t="s">
        <v>845</v>
      </c>
      <c r="K159" s="14" t="s">
        <v>864</v>
      </c>
      <c r="L159" s="15">
        <v>5</v>
      </c>
      <c r="M159" s="15" t="s">
        <v>144</v>
      </c>
      <c r="N159" s="16">
        <v>44860</v>
      </c>
      <c r="O159" s="12" t="s">
        <v>861</v>
      </c>
      <c r="P159" s="14" t="s">
        <v>865</v>
      </c>
      <c r="Q159" s="17" t="s">
        <v>137</v>
      </c>
      <c r="R159" s="17" t="s">
        <v>146</v>
      </c>
    </row>
    <row r="160" spans="1:18" x14ac:dyDescent="0.3">
      <c r="A160" s="12" t="s">
        <v>307</v>
      </c>
      <c r="B160" s="12" t="s">
        <v>14</v>
      </c>
      <c r="C160" s="12"/>
      <c r="D160" s="12" t="s">
        <v>14</v>
      </c>
      <c r="E160" s="12" t="s">
        <v>862</v>
      </c>
      <c r="F160" s="12" t="s">
        <v>863</v>
      </c>
      <c r="G160" s="12" t="s">
        <v>844</v>
      </c>
      <c r="H160" s="12" t="s">
        <v>38</v>
      </c>
      <c r="I160" s="12" t="s">
        <v>26</v>
      </c>
      <c r="J160" s="13" t="s">
        <v>845</v>
      </c>
      <c r="K160" s="14" t="s">
        <v>864</v>
      </c>
      <c r="L160" s="15">
        <v>5</v>
      </c>
      <c r="M160" s="15" t="s">
        <v>144</v>
      </c>
      <c r="N160" s="16">
        <v>46275</v>
      </c>
      <c r="O160" s="12" t="s">
        <v>307</v>
      </c>
      <c r="P160" s="14" t="s">
        <v>310</v>
      </c>
      <c r="Q160" s="17" t="s">
        <v>137</v>
      </c>
      <c r="R160" s="17" t="s">
        <v>146</v>
      </c>
    </row>
    <row r="161" spans="1:18" x14ac:dyDescent="0.3">
      <c r="A161" s="12" t="s">
        <v>577</v>
      </c>
      <c r="B161" s="12" t="s">
        <v>12</v>
      </c>
      <c r="C161" s="12"/>
      <c r="D161" s="12" t="s">
        <v>12</v>
      </c>
      <c r="E161" s="12" t="s">
        <v>866</v>
      </c>
      <c r="F161" s="12" t="s">
        <v>359</v>
      </c>
      <c r="G161" s="12" t="s">
        <v>867</v>
      </c>
      <c r="H161" s="12" t="s">
        <v>38</v>
      </c>
      <c r="I161" s="12" t="s">
        <v>26</v>
      </c>
      <c r="J161" s="13" t="s">
        <v>868</v>
      </c>
      <c r="K161" s="14" t="s">
        <v>579</v>
      </c>
      <c r="L161" s="15">
        <v>4</v>
      </c>
      <c r="M161" s="15" t="s">
        <v>144</v>
      </c>
      <c r="N161" s="16">
        <v>45820</v>
      </c>
      <c r="O161" s="12" t="s">
        <v>577</v>
      </c>
      <c r="P161" s="14" t="s">
        <v>580</v>
      </c>
      <c r="Q161" s="17" t="s">
        <v>137</v>
      </c>
      <c r="R161" s="17" t="s">
        <v>146</v>
      </c>
    </row>
    <row r="162" spans="1:18" x14ac:dyDescent="0.3">
      <c r="A162" s="12" t="s">
        <v>869</v>
      </c>
      <c r="B162" s="12" t="s">
        <v>12</v>
      </c>
      <c r="C162" s="12" t="s">
        <v>14</v>
      </c>
      <c r="D162" s="12" t="s">
        <v>180</v>
      </c>
      <c r="E162" s="12" t="s">
        <v>870</v>
      </c>
      <c r="F162" s="12" t="s">
        <v>871</v>
      </c>
      <c r="G162" s="12" t="s">
        <v>867</v>
      </c>
      <c r="H162" s="12" t="s">
        <v>38</v>
      </c>
      <c r="I162" s="12" t="s">
        <v>26</v>
      </c>
      <c r="J162" s="13" t="s">
        <v>868</v>
      </c>
      <c r="K162" s="14" t="s">
        <v>872</v>
      </c>
      <c r="L162" s="15">
        <v>5</v>
      </c>
      <c r="M162" s="15" t="s">
        <v>144</v>
      </c>
      <c r="N162" s="16">
        <v>46198</v>
      </c>
      <c r="O162" s="12" t="s">
        <v>869</v>
      </c>
      <c r="P162" s="14" t="s">
        <v>873</v>
      </c>
      <c r="Q162" s="17" t="s">
        <v>137</v>
      </c>
      <c r="R162" s="17" t="s">
        <v>146</v>
      </c>
    </row>
    <row r="163" spans="1:18" x14ac:dyDescent="0.3">
      <c r="A163" s="12" t="s">
        <v>874</v>
      </c>
      <c r="B163" s="12" t="s">
        <v>20</v>
      </c>
      <c r="C163" s="12"/>
      <c r="D163" s="12" t="s">
        <v>193</v>
      </c>
      <c r="E163" s="12" t="s">
        <v>875</v>
      </c>
      <c r="F163" s="12" t="s">
        <v>188</v>
      </c>
      <c r="G163" s="12" t="s">
        <v>876</v>
      </c>
      <c r="H163" s="12" t="s">
        <v>38</v>
      </c>
      <c r="I163" s="12" t="s">
        <v>26</v>
      </c>
      <c r="J163" s="13" t="s">
        <v>678</v>
      </c>
      <c r="K163" s="14" t="s">
        <v>877</v>
      </c>
      <c r="L163" s="15">
        <v>3</v>
      </c>
      <c r="M163" s="15" t="s">
        <v>144</v>
      </c>
      <c r="N163" s="16">
        <v>44018</v>
      </c>
      <c r="O163" s="12" t="s">
        <v>874</v>
      </c>
      <c r="P163" s="14" t="s">
        <v>878</v>
      </c>
      <c r="Q163" s="17" t="s">
        <v>137</v>
      </c>
      <c r="R163" s="17" t="s">
        <v>146</v>
      </c>
    </row>
    <row r="164" spans="1:18" x14ac:dyDescent="0.3">
      <c r="A164" s="12" t="s">
        <v>879</v>
      </c>
      <c r="B164" s="12" t="s">
        <v>10</v>
      </c>
      <c r="C164" s="12"/>
      <c r="D164" s="12" t="s">
        <v>880</v>
      </c>
      <c r="E164" s="12" t="s">
        <v>881</v>
      </c>
      <c r="F164" s="12"/>
      <c r="G164" s="12" t="s">
        <v>882</v>
      </c>
      <c r="H164" s="12" t="s">
        <v>38</v>
      </c>
      <c r="I164" s="12" t="s">
        <v>26</v>
      </c>
      <c r="J164" s="13" t="s">
        <v>850</v>
      </c>
      <c r="K164" s="14" t="s">
        <v>883</v>
      </c>
      <c r="L164" s="15">
        <v>0</v>
      </c>
      <c r="M164" s="15" t="s">
        <v>144</v>
      </c>
      <c r="N164" s="16">
        <v>45944</v>
      </c>
      <c r="O164" s="12" t="s">
        <v>884</v>
      </c>
      <c r="P164" s="14" t="s">
        <v>885</v>
      </c>
      <c r="Q164" s="17" t="s">
        <v>137</v>
      </c>
      <c r="R164" s="17" t="s">
        <v>146</v>
      </c>
    </row>
    <row r="165" spans="1:18" x14ac:dyDescent="0.3">
      <c r="A165" s="12" t="s">
        <v>199</v>
      </c>
      <c r="B165" s="12" t="s">
        <v>14</v>
      </c>
      <c r="C165" s="12"/>
      <c r="D165" s="12" t="s">
        <v>14</v>
      </c>
      <c r="E165" s="12" t="s">
        <v>886</v>
      </c>
      <c r="F165" s="12" t="s">
        <v>887</v>
      </c>
      <c r="G165" s="12" t="s">
        <v>882</v>
      </c>
      <c r="H165" s="12" t="s">
        <v>38</v>
      </c>
      <c r="I165" s="12" t="s">
        <v>26</v>
      </c>
      <c r="J165" s="13" t="s">
        <v>850</v>
      </c>
      <c r="K165" s="14" t="s">
        <v>888</v>
      </c>
      <c r="L165" s="15">
        <v>8</v>
      </c>
      <c r="M165" s="15" t="s">
        <v>144</v>
      </c>
      <c r="N165" s="16">
        <v>45951</v>
      </c>
      <c r="O165" s="12" t="s">
        <v>889</v>
      </c>
      <c r="P165" s="14" t="s">
        <v>890</v>
      </c>
      <c r="Q165" s="17" t="s">
        <v>137</v>
      </c>
      <c r="R165" s="17" t="s">
        <v>146</v>
      </c>
    </row>
    <row r="166" spans="1:18" x14ac:dyDescent="0.3">
      <c r="A166" s="12" t="s">
        <v>891</v>
      </c>
      <c r="B166" s="12" t="s">
        <v>12</v>
      </c>
      <c r="C166" s="12"/>
      <c r="D166" s="12" t="s">
        <v>12</v>
      </c>
      <c r="E166" s="12" t="s">
        <v>892</v>
      </c>
      <c r="F166" s="12"/>
      <c r="G166" s="12" t="s">
        <v>882</v>
      </c>
      <c r="H166" s="12" t="s">
        <v>38</v>
      </c>
      <c r="I166" s="12" t="s">
        <v>26</v>
      </c>
      <c r="J166" s="13" t="s">
        <v>850</v>
      </c>
      <c r="K166" s="14" t="s">
        <v>893</v>
      </c>
      <c r="L166" s="15">
        <v>1</v>
      </c>
      <c r="M166" s="15" t="s">
        <v>144</v>
      </c>
      <c r="N166" s="16">
        <v>45140</v>
      </c>
      <c r="O166" s="12" t="s">
        <v>894</v>
      </c>
      <c r="P166" s="14" t="s">
        <v>895</v>
      </c>
      <c r="Q166" s="17" t="s">
        <v>137</v>
      </c>
      <c r="R166" s="17" t="s">
        <v>146</v>
      </c>
    </row>
    <row r="167" spans="1:18" x14ac:dyDescent="0.3">
      <c r="A167" s="12" t="s">
        <v>896</v>
      </c>
      <c r="B167" s="12" t="s">
        <v>12</v>
      </c>
      <c r="C167" s="12"/>
      <c r="D167" s="12" t="s">
        <v>12</v>
      </c>
      <c r="E167" s="12" t="s">
        <v>897</v>
      </c>
      <c r="F167" s="12"/>
      <c r="G167" s="12" t="s">
        <v>898</v>
      </c>
      <c r="H167" s="12" t="s">
        <v>36</v>
      </c>
      <c r="I167" s="12" t="s">
        <v>26</v>
      </c>
      <c r="J167" s="13" t="s">
        <v>899</v>
      </c>
      <c r="K167" s="14" t="s">
        <v>900</v>
      </c>
      <c r="L167" s="15">
        <v>10</v>
      </c>
      <c r="M167" s="15" t="s">
        <v>144</v>
      </c>
      <c r="N167" s="16">
        <v>46000</v>
      </c>
      <c r="O167" s="12" t="s">
        <v>896</v>
      </c>
      <c r="P167" s="14" t="s">
        <v>901</v>
      </c>
      <c r="Q167" s="17" t="s">
        <v>137</v>
      </c>
      <c r="R167" s="17" t="s">
        <v>146</v>
      </c>
    </row>
    <row r="168" spans="1:18" x14ac:dyDescent="0.3">
      <c r="A168" s="12" t="s">
        <v>902</v>
      </c>
      <c r="B168" s="12" t="s">
        <v>12</v>
      </c>
      <c r="C168" s="12"/>
      <c r="D168" s="12" t="s">
        <v>12</v>
      </c>
      <c r="E168" s="12" t="s">
        <v>903</v>
      </c>
      <c r="F168" s="12" t="s">
        <v>904</v>
      </c>
      <c r="G168" s="12" t="s">
        <v>898</v>
      </c>
      <c r="H168" s="12" t="s">
        <v>36</v>
      </c>
      <c r="I168" s="12" t="s">
        <v>26</v>
      </c>
      <c r="J168" s="13" t="s">
        <v>905</v>
      </c>
      <c r="K168" s="14" t="s">
        <v>906</v>
      </c>
      <c r="L168" s="15">
        <v>5</v>
      </c>
      <c r="M168" s="15" t="s">
        <v>144</v>
      </c>
      <c r="N168" s="16">
        <v>46106</v>
      </c>
      <c r="O168" s="12" t="s">
        <v>902</v>
      </c>
      <c r="P168" s="14" t="s">
        <v>907</v>
      </c>
      <c r="Q168" s="17" t="s">
        <v>137</v>
      </c>
      <c r="R168" s="17" t="s">
        <v>146</v>
      </c>
    </row>
    <row r="169" spans="1:18" x14ac:dyDescent="0.3">
      <c r="A169" s="12" t="s">
        <v>908</v>
      </c>
      <c r="B169" s="12" t="s">
        <v>12</v>
      </c>
      <c r="C169" s="12"/>
      <c r="D169" s="12" t="s">
        <v>12</v>
      </c>
      <c r="E169" s="12" t="s">
        <v>903</v>
      </c>
      <c r="F169" s="12" t="s">
        <v>904</v>
      </c>
      <c r="G169" s="12" t="s">
        <v>898</v>
      </c>
      <c r="H169" s="12" t="s">
        <v>36</v>
      </c>
      <c r="I169" s="12" t="s">
        <v>26</v>
      </c>
      <c r="J169" s="13" t="s">
        <v>905</v>
      </c>
      <c r="K169" s="14" t="s">
        <v>906</v>
      </c>
      <c r="L169" s="15">
        <v>5</v>
      </c>
      <c r="M169" s="15" t="s">
        <v>144</v>
      </c>
      <c r="N169" s="16">
        <v>46181</v>
      </c>
      <c r="O169" s="12" t="s">
        <v>902</v>
      </c>
      <c r="P169" s="14" t="s">
        <v>909</v>
      </c>
      <c r="Q169" s="17" t="s">
        <v>137</v>
      </c>
      <c r="R169" s="17" t="s">
        <v>146</v>
      </c>
    </row>
    <row r="170" spans="1:18" x14ac:dyDescent="0.3">
      <c r="A170" s="12" t="s">
        <v>910</v>
      </c>
      <c r="B170" s="12" t="s">
        <v>12</v>
      </c>
      <c r="C170" s="12"/>
      <c r="D170" s="12" t="s">
        <v>12</v>
      </c>
      <c r="E170" s="12" t="s">
        <v>911</v>
      </c>
      <c r="F170" s="12" t="s">
        <v>912</v>
      </c>
      <c r="G170" s="12" t="s">
        <v>898</v>
      </c>
      <c r="H170" s="12" t="s">
        <v>36</v>
      </c>
      <c r="I170" s="12" t="s">
        <v>26</v>
      </c>
      <c r="J170" s="13" t="s">
        <v>913</v>
      </c>
      <c r="K170" s="14" t="s">
        <v>914</v>
      </c>
      <c r="L170" s="15">
        <v>0</v>
      </c>
      <c r="M170" s="15" t="s">
        <v>144</v>
      </c>
      <c r="N170" s="16">
        <v>46133</v>
      </c>
      <c r="O170" s="12" t="s">
        <v>910</v>
      </c>
      <c r="P170" s="14" t="s">
        <v>915</v>
      </c>
      <c r="Q170" s="17" t="s">
        <v>137</v>
      </c>
      <c r="R170" s="17" t="s">
        <v>146</v>
      </c>
    </row>
    <row r="171" spans="1:18" x14ac:dyDescent="0.3">
      <c r="A171" s="12" t="s">
        <v>916</v>
      </c>
      <c r="B171" s="12" t="s">
        <v>12</v>
      </c>
      <c r="C171" s="12"/>
      <c r="D171" s="12" t="s">
        <v>12</v>
      </c>
      <c r="E171" s="12" t="s">
        <v>917</v>
      </c>
      <c r="F171" s="12" t="s">
        <v>918</v>
      </c>
      <c r="G171" s="12" t="s">
        <v>898</v>
      </c>
      <c r="H171" s="12" t="s">
        <v>36</v>
      </c>
      <c r="I171" s="12" t="s">
        <v>26</v>
      </c>
      <c r="J171" s="13" t="s">
        <v>913</v>
      </c>
      <c r="K171" s="14" t="s">
        <v>919</v>
      </c>
      <c r="L171" s="15">
        <v>0</v>
      </c>
      <c r="M171" s="15" t="s">
        <v>144</v>
      </c>
      <c r="N171" s="16">
        <v>44851</v>
      </c>
      <c r="O171" s="12" t="s">
        <v>920</v>
      </c>
      <c r="P171" s="14" t="s">
        <v>921</v>
      </c>
      <c r="Q171" s="17" t="s">
        <v>137</v>
      </c>
      <c r="R171" s="17" t="s">
        <v>146</v>
      </c>
    </row>
    <row r="172" spans="1:18" x14ac:dyDescent="0.3">
      <c r="A172" s="12" t="s">
        <v>922</v>
      </c>
      <c r="B172" s="12" t="s">
        <v>12</v>
      </c>
      <c r="C172" s="12"/>
      <c r="D172" s="12" t="s">
        <v>12</v>
      </c>
      <c r="E172" s="12" t="s">
        <v>923</v>
      </c>
      <c r="F172" s="12" t="s">
        <v>924</v>
      </c>
      <c r="G172" s="12" t="s">
        <v>898</v>
      </c>
      <c r="H172" s="12" t="s">
        <v>36</v>
      </c>
      <c r="I172" s="12" t="s">
        <v>26</v>
      </c>
      <c r="J172" s="13" t="s">
        <v>925</v>
      </c>
      <c r="K172" s="14" t="s">
        <v>926</v>
      </c>
      <c r="L172" s="15">
        <v>0</v>
      </c>
      <c r="M172" s="15" t="s">
        <v>144</v>
      </c>
      <c r="N172" s="16">
        <v>45587</v>
      </c>
      <c r="O172" s="12" t="s">
        <v>922</v>
      </c>
      <c r="P172" s="14" t="s">
        <v>927</v>
      </c>
      <c r="Q172" s="17" t="s">
        <v>137</v>
      </c>
      <c r="R172" s="17" t="s">
        <v>146</v>
      </c>
    </row>
    <row r="173" spans="1:18" x14ac:dyDescent="0.3">
      <c r="A173" s="12" t="s">
        <v>928</v>
      </c>
      <c r="B173" s="12" t="s">
        <v>10</v>
      </c>
      <c r="C173" s="12" t="s">
        <v>929</v>
      </c>
      <c r="D173" s="12" t="s">
        <v>930</v>
      </c>
      <c r="E173" s="12" t="s">
        <v>931</v>
      </c>
      <c r="F173" s="12" t="s">
        <v>218</v>
      </c>
      <c r="G173" s="12" t="s">
        <v>898</v>
      </c>
      <c r="H173" s="12" t="s">
        <v>36</v>
      </c>
      <c r="I173" s="12" t="s">
        <v>26</v>
      </c>
      <c r="J173" s="13" t="s">
        <v>905</v>
      </c>
      <c r="K173" s="14" t="s">
        <v>932</v>
      </c>
      <c r="L173" s="15">
        <v>0</v>
      </c>
      <c r="M173" s="15" t="s">
        <v>220</v>
      </c>
      <c r="N173" s="16">
        <v>46177</v>
      </c>
      <c r="O173" s="12" t="s">
        <v>928</v>
      </c>
      <c r="P173" s="14" t="s">
        <v>933</v>
      </c>
      <c r="Q173" s="17" t="s">
        <v>137</v>
      </c>
      <c r="R173" s="17" t="s">
        <v>146</v>
      </c>
    </row>
    <row r="174" spans="1:18" x14ac:dyDescent="0.3">
      <c r="A174" s="12" t="s">
        <v>934</v>
      </c>
      <c r="B174" s="12" t="s">
        <v>12</v>
      </c>
      <c r="C174" s="12"/>
      <c r="D174" s="12" t="s">
        <v>12</v>
      </c>
      <c r="E174" s="12" t="s">
        <v>935</v>
      </c>
      <c r="F174" s="12"/>
      <c r="G174" s="12" t="s">
        <v>898</v>
      </c>
      <c r="H174" s="12" t="s">
        <v>36</v>
      </c>
      <c r="I174" s="12" t="s">
        <v>26</v>
      </c>
      <c r="J174" s="13" t="s">
        <v>905</v>
      </c>
      <c r="K174" s="14" t="s">
        <v>936</v>
      </c>
      <c r="L174" s="15">
        <v>0</v>
      </c>
      <c r="M174" s="15" t="s">
        <v>144</v>
      </c>
      <c r="N174" s="16">
        <v>46188</v>
      </c>
      <c r="O174" s="12" t="s">
        <v>934</v>
      </c>
      <c r="P174" s="14" t="s">
        <v>937</v>
      </c>
      <c r="Q174" s="17" t="s">
        <v>137</v>
      </c>
      <c r="R174" s="17" t="s">
        <v>146</v>
      </c>
    </row>
    <row r="175" spans="1:18" x14ac:dyDescent="0.3">
      <c r="A175" s="12" t="s">
        <v>938</v>
      </c>
      <c r="B175" s="12" t="s">
        <v>10</v>
      </c>
      <c r="C175" s="12"/>
      <c r="D175" s="12" t="s">
        <v>157</v>
      </c>
      <c r="E175" s="12" t="s">
        <v>939</v>
      </c>
      <c r="F175" s="12" t="s">
        <v>940</v>
      </c>
      <c r="G175" s="12" t="s">
        <v>898</v>
      </c>
      <c r="H175" s="12" t="s">
        <v>36</v>
      </c>
      <c r="I175" s="12" t="s">
        <v>26</v>
      </c>
      <c r="J175" s="13" t="s">
        <v>941</v>
      </c>
      <c r="K175" s="14" t="s">
        <v>942</v>
      </c>
      <c r="L175" s="15">
        <v>0</v>
      </c>
      <c r="M175" s="15" t="s">
        <v>144</v>
      </c>
      <c r="N175" s="16">
        <v>45498</v>
      </c>
      <c r="O175" s="12" t="s">
        <v>938</v>
      </c>
      <c r="P175" s="14" t="s">
        <v>943</v>
      </c>
      <c r="Q175" s="17" t="s">
        <v>137</v>
      </c>
      <c r="R175" s="17" t="s">
        <v>146</v>
      </c>
    </row>
    <row r="176" spans="1:18" x14ac:dyDescent="0.3">
      <c r="A176" s="12" t="s">
        <v>944</v>
      </c>
      <c r="B176" s="12" t="s">
        <v>10</v>
      </c>
      <c r="C176" s="12" t="s">
        <v>14</v>
      </c>
      <c r="D176" s="12" t="s">
        <v>945</v>
      </c>
      <c r="E176" s="12" t="s">
        <v>946</v>
      </c>
      <c r="F176" s="12" t="s">
        <v>947</v>
      </c>
      <c r="G176" s="12" t="s">
        <v>898</v>
      </c>
      <c r="H176" s="12" t="s">
        <v>36</v>
      </c>
      <c r="I176" s="12" t="s">
        <v>26</v>
      </c>
      <c r="J176" s="13" t="s">
        <v>899</v>
      </c>
      <c r="K176" s="14" t="s">
        <v>948</v>
      </c>
      <c r="L176" s="15">
        <v>19</v>
      </c>
      <c r="M176" s="15" t="s">
        <v>144</v>
      </c>
      <c r="N176" s="16">
        <v>44901</v>
      </c>
      <c r="O176" s="12" t="s">
        <v>944</v>
      </c>
      <c r="P176" s="14" t="s">
        <v>949</v>
      </c>
      <c r="Q176" s="17" t="s">
        <v>137</v>
      </c>
      <c r="R176" s="17" t="s">
        <v>146</v>
      </c>
    </row>
    <row r="177" spans="1:18" x14ac:dyDescent="0.3">
      <c r="A177" s="12" t="s">
        <v>950</v>
      </c>
      <c r="B177" s="12" t="s">
        <v>12</v>
      </c>
      <c r="C177" s="12"/>
      <c r="D177" s="12" t="s">
        <v>12</v>
      </c>
      <c r="E177" s="12" t="s">
        <v>951</v>
      </c>
      <c r="F177" s="12" t="s">
        <v>952</v>
      </c>
      <c r="G177" s="12" t="s">
        <v>898</v>
      </c>
      <c r="H177" s="12" t="s">
        <v>36</v>
      </c>
      <c r="I177" s="12" t="s">
        <v>26</v>
      </c>
      <c r="J177" s="13" t="s">
        <v>913</v>
      </c>
      <c r="K177" s="14" t="s">
        <v>953</v>
      </c>
      <c r="L177" s="15">
        <v>1</v>
      </c>
      <c r="M177" s="15" t="s">
        <v>144</v>
      </c>
      <c r="N177" s="16">
        <v>45574</v>
      </c>
      <c r="O177" s="12" t="s">
        <v>954</v>
      </c>
      <c r="P177" s="14" t="s">
        <v>955</v>
      </c>
      <c r="Q177" s="17" t="s">
        <v>137</v>
      </c>
      <c r="R177" s="17" t="s">
        <v>146</v>
      </c>
    </row>
    <row r="178" spans="1:18" x14ac:dyDescent="0.3">
      <c r="A178" s="12" t="s">
        <v>956</v>
      </c>
      <c r="B178" s="12" t="s">
        <v>12</v>
      </c>
      <c r="C178" s="12"/>
      <c r="D178" s="12" t="s">
        <v>12</v>
      </c>
      <c r="E178" s="12" t="s">
        <v>957</v>
      </c>
      <c r="F178" s="12" t="s">
        <v>218</v>
      </c>
      <c r="G178" s="12" t="s">
        <v>898</v>
      </c>
      <c r="H178" s="12" t="s">
        <v>36</v>
      </c>
      <c r="I178" s="12" t="s">
        <v>26</v>
      </c>
      <c r="J178" s="13" t="s">
        <v>913</v>
      </c>
      <c r="K178" s="14" t="s">
        <v>958</v>
      </c>
      <c r="L178" s="15">
        <v>0</v>
      </c>
      <c r="M178" s="15" t="s">
        <v>144</v>
      </c>
      <c r="N178" s="16">
        <v>45573</v>
      </c>
      <c r="O178" s="12" t="s">
        <v>956</v>
      </c>
      <c r="P178" s="14" t="s">
        <v>959</v>
      </c>
      <c r="Q178" s="17" t="s">
        <v>137</v>
      </c>
      <c r="R178" s="17" t="s">
        <v>146</v>
      </c>
    </row>
    <row r="179" spans="1:18" x14ac:dyDescent="0.3">
      <c r="A179" s="12" t="s">
        <v>960</v>
      </c>
      <c r="B179" s="12" t="s">
        <v>14</v>
      </c>
      <c r="C179" s="12"/>
      <c r="D179" s="12" t="s">
        <v>14</v>
      </c>
      <c r="E179" s="12" t="s">
        <v>946</v>
      </c>
      <c r="F179" s="12" t="s">
        <v>454</v>
      </c>
      <c r="G179" s="12" t="s">
        <v>898</v>
      </c>
      <c r="H179" s="12" t="s">
        <v>36</v>
      </c>
      <c r="I179" s="12" t="s">
        <v>26</v>
      </c>
      <c r="J179" s="13" t="s">
        <v>899</v>
      </c>
      <c r="K179" s="14" t="s">
        <v>961</v>
      </c>
      <c r="L179" s="15">
        <v>17</v>
      </c>
      <c r="M179" s="15" t="s">
        <v>144</v>
      </c>
      <c r="N179" s="16">
        <v>45609</v>
      </c>
      <c r="O179" s="12" t="s">
        <v>960</v>
      </c>
      <c r="P179" s="14" t="s">
        <v>962</v>
      </c>
      <c r="Q179" s="17" t="s">
        <v>137</v>
      </c>
      <c r="R179" s="17" t="s">
        <v>146</v>
      </c>
    </row>
    <row r="180" spans="1:18" x14ac:dyDescent="0.3">
      <c r="A180" s="12" t="s">
        <v>963</v>
      </c>
      <c r="B180" s="12" t="s">
        <v>14</v>
      </c>
      <c r="C180" s="12"/>
      <c r="D180" s="12" t="s">
        <v>14</v>
      </c>
      <c r="E180" s="12" t="s">
        <v>903</v>
      </c>
      <c r="F180" s="12" t="s">
        <v>964</v>
      </c>
      <c r="G180" s="12" t="s">
        <v>898</v>
      </c>
      <c r="H180" s="12" t="s">
        <v>36</v>
      </c>
      <c r="I180" s="12" t="s">
        <v>26</v>
      </c>
      <c r="J180" s="13" t="s">
        <v>905</v>
      </c>
      <c r="K180" s="14" t="s">
        <v>965</v>
      </c>
      <c r="L180" s="15">
        <v>6</v>
      </c>
      <c r="M180" s="15" t="s">
        <v>144</v>
      </c>
      <c r="N180" s="16">
        <v>45055</v>
      </c>
      <c r="O180" s="12" t="s">
        <v>963</v>
      </c>
      <c r="P180" s="14" t="s">
        <v>966</v>
      </c>
      <c r="Q180" s="17" t="s">
        <v>137</v>
      </c>
      <c r="R180" s="17" t="s">
        <v>146</v>
      </c>
    </row>
    <row r="181" spans="1:18" x14ac:dyDescent="0.3">
      <c r="A181" s="12" t="s">
        <v>222</v>
      </c>
      <c r="B181" s="12" t="s">
        <v>18</v>
      </c>
      <c r="C181" s="12"/>
      <c r="D181" s="12" t="s">
        <v>967</v>
      </c>
      <c r="E181" s="12" t="s">
        <v>968</v>
      </c>
      <c r="F181" s="12" t="s">
        <v>188</v>
      </c>
      <c r="G181" s="12" t="s">
        <v>898</v>
      </c>
      <c r="H181" s="12" t="s">
        <v>36</v>
      </c>
      <c r="I181" s="12" t="s">
        <v>26</v>
      </c>
      <c r="J181" s="13" t="s">
        <v>899</v>
      </c>
      <c r="K181" s="14" t="s">
        <v>656</v>
      </c>
      <c r="L181" s="15">
        <v>1</v>
      </c>
      <c r="M181" s="15" t="s">
        <v>144</v>
      </c>
      <c r="N181" s="16">
        <v>45545</v>
      </c>
      <c r="O181" s="12" t="s">
        <v>969</v>
      </c>
      <c r="P181" s="14" t="s">
        <v>970</v>
      </c>
      <c r="Q181" s="17" t="s">
        <v>137</v>
      </c>
      <c r="R181" s="17" t="s">
        <v>146</v>
      </c>
    </row>
    <row r="182" spans="1:18" x14ac:dyDescent="0.3">
      <c r="A182" s="12" t="s">
        <v>971</v>
      </c>
      <c r="B182" s="12" t="s">
        <v>10</v>
      </c>
      <c r="C182" s="12" t="s">
        <v>14</v>
      </c>
      <c r="D182" s="12" t="s">
        <v>972</v>
      </c>
      <c r="E182" s="12" t="s">
        <v>973</v>
      </c>
      <c r="F182" s="12"/>
      <c r="G182" s="12" t="s">
        <v>898</v>
      </c>
      <c r="H182" s="12" t="s">
        <v>36</v>
      </c>
      <c r="I182" s="12" t="s">
        <v>26</v>
      </c>
      <c r="J182" s="13" t="s">
        <v>905</v>
      </c>
      <c r="K182" s="14" t="s">
        <v>974</v>
      </c>
      <c r="L182" s="15">
        <v>78</v>
      </c>
      <c r="M182" s="15" t="s">
        <v>220</v>
      </c>
      <c r="N182" s="16">
        <v>46237</v>
      </c>
      <c r="O182" s="12" t="s">
        <v>971</v>
      </c>
      <c r="P182" s="14" t="s">
        <v>975</v>
      </c>
      <c r="Q182" s="17" t="s">
        <v>137</v>
      </c>
      <c r="R182" s="17" t="s">
        <v>146</v>
      </c>
    </row>
    <row r="183" spans="1:18" x14ac:dyDescent="0.3">
      <c r="A183" s="12" t="s">
        <v>976</v>
      </c>
      <c r="B183" s="12" t="s">
        <v>10</v>
      </c>
      <c r="C183" s="12" t="s">
        <v>14</v>
      </c>
      <c r="D183" s="12" t="s">
        <v>972</v>
      </c>
      <c r="E183" s="12" t="s">
        <v>973</v>
      </c>
      <c r="F183" s="12"/>
      <c r="G183" s="12" t="s">
        <v>898</v>
      </c>
      <c r="H183" s="12" t="s">
        <v>36</v>
      </c>
      <c r="I183" s="12" t="s">
        <v>26</v>
      </c>
      <c r="J183" s="13" t="s">
        <v>905</v>
      </c>
      <c r="K183" s="14" t="s">
        <v>974</v>
      </c>
      <c r="L183" s="15">
        <v>78</v>
      </c>
      <c r="M183" s="15" t="s">
        <v>220</v>
      </c>
      <c r="N183" s="16">
        <v>46237</v>
      </c>
      <c r="O183" s="12" t="s">
        <v>971</v>
      </c>
      <c r="P183" s="14" t="s">
        <v>977</v>
      </c>
      <c r="Q183" s="17" t="s">
        <v>137</v>
      </c>
      <c r="R183" s="17" t="s">
        <v>146</v>
      </c>
    </row>
    <row r="184" spans="1:18" x14ac:dyDescent="0.3">
      <c r="A184" s="12" t="s">
        <v>978</v>
      </c>
      <c r="B184" s="12" t="s">
        <v>14</v>
      </c>
      <c r="C184" s="12"/>
      <c r="D184" s="12" t="s">
        <v>14</v>
      </c>
      <c r="E184" s="12" t="s">
        <v>979</v>
      </c>
      <c r="F184" s="12"/>
      <c r="G184" s="12" t="s">
        <v>898</v>
      </c>
      <c r="H184" s="12" t="s">
        <v>36</v>
      </c>
      <c r="I184" s="12" t="s">
        <v>26</v>
      </c>
      <c r="J184" s="13" t="s">
        <v>899</v>
      </c>
      <c r="K184" s="14" t="s">
        <v>980</v>
      </c>
      <c r="L184" s="15">
        <v>2</v>
      </c>
      <c r="M184" s="15" t="s">
        <v>144</v>
      </c>
      <c r="N184" s="16">
        <v>44687</v>
      </c>
      <c r="O184" s="12" t="s">
        <v>978</v>
      </c>
      <c r="P184" s="14" t="s">
        <v>981</v>
      </c>
      <c r="Q184" s="17" t="s">
        <v>137</v>
      </c>
      <c r="R184" s="17" t="s">
        <v>146</v>
      </c>
    </row>
    <row r="185" spans="1:18" x14ac:dyDescent="0.3">
      <c r="A185" s="12" t="s">
        <v>982</v>
      </c>
      <c r="B185" s="12" t="s">
        <v>12</v>
      </c>
      <c r="C185" s="12"/>
      <c r="D185" s="12" t="s">
        <v>12</v>
      </c>
      <c r="E185" s="12" t="s">
        <v>983</v>
      </c>
      <c r="F185" s="12"/>
      <c r="G185" s="12" t="s">
        <v>898</v>
      </c>
      <c r="H185" s="12" t="s">
        <v>36</v>
      </c>
      <c r="I185" s="12" t="s">
        <v>26</v>
      </c>
      <c r="J185" s="13" t="s">
        <v>905</v>
      </c>
      <c r="K185" s="14" t="s">
        <v>984</v>
      </c>
      <c r="L185" s="15">
        <v>1</v>
      </c>
      <c r="M185" s="15" t="s">
        <v>144</v>
      </c>
      <c r="N185" s="16">
        <v>44763</v>
      </c>
      <c r="O185" s="12" t="s">
        <v>982</v>
      </c>
      <c r="P185" s="14" t="s">
        <v>985</v>
      </c>
      <c r="Q185" s="17" t="s">
        <v>137</v>
      </c>
      <c r="R185" s="17" t="s">
        <v>146</v>
      </c>
    </row>
    <row r="186" spans="1:18" x14ac:dyDescent="0.3">
      <c r="A186" s="12" t="s">
        <v>986</v>
      </c>
      <c r="B186" s="12" t="s">
        <v>12</v>
      </c>
      <c r="C186" s="12"/>
      <c r="D186" s="12" t="s">
        <v>12</v>
      </c>
      <c r="E186" s="12" t="s">
        <v>987</v>
      </c>
      <c r="F186" s="12"/>
      <c r="G186" s="12" t="s">
        <v>988</v>
      </c>
      <c r="H186" s="12" t="s">
        <v>36</v>
      </c>
      <c r="I186" s="12" t="s">
        <v>26</v>
      </c>
      <c r="J186" s="13" t="s">
        <v>989</v>
      </c>
      <c r="K186" s="14" t="s">
        <v>990</v>
      </c>
      <c r="L186" s="15">
        <v>1</v>
      </c>
      <c r="M186" s="15" t="s">
        <v>144</v>
      </c>
      <c r="N186" s="16">
        <v>45831</v>
      </c>
      <c r="O186" s="12" t="s">
        <v>986</v>
      </c>
      <c r="P186" s="14" t="s">
        <v>991</v>
      </c>
      <c r="Q186" s="17" t="s">
        <v>137</v>
      </c>
      <c r="R186" s="17" t="s">
        <v>146</v>
      </c>
    </row>
    <row r="187" spans="1:18" x14ac:dyDescent="0.3">
      <c r="A187" s="12" t="s">
        <v>992</v>
      </c>
      <c r="B187" s="12" t="s">
        <v>16</v>
      </c>
      <c r="C187" s="12"/>
      <c r="D187" s="12" t="s">
        <v>993</v>
      </c>
      <c r="E187" s="12" t="s">
        <v>994</v>
      </c>
      <c r="F187" s="12" t="s">
        <v>995</v>
      </c>
      <c r="G187" s="12" t="s">
        <v>988</v>
      </c>
      <c r="H187" s="12" t="s">
        <v>36</v>
      </c>
      <c r="I187" s="12" t="s">
        <v>26</v>
      </c>
      <c r="J187" s="13" t="s">
        <v>989</v>
      </c>
      <c r="K187" s="14" t="s">
        <v>996</v>
      </c>
      <c r="L187" s="15">
        <v>0</v>
      </c>
      <c r="M187" s="15" t="s">
        <v>144</v>
      </c>
      <c r="N187" s="16">
        <v>46198</v>
      </c>
      <c r="O187" s="12" t="s">
        <v>992</v>
      </c>
      <c r="P187" s="14" t="s">
        <v>997</v>
      </c>
      <c r="Q187" s="17" t="s">
        <v>137</v>
      </c>
      <c r="R187" s="17" t="s">
        <v>146</v>
      </c>
    </row>
    <row r="188" spans="1:18" x14ac:dyDescent="0.3">
      <c r="A188" s="12" t="s">
        <v>998</v>
      </c>
      <c r="B188" s="12" t="s">
        <v>10</v>
      </c>
      <c r="C188" s="12"/>
      <c r="D188" s="12" t="s">
        <v>216</v>
      </c>
      <c r="E188" s="12" t="s">
        <v>999</v>
      </c>
      <c r="F188" s="12" t="s">
        <v>188</v>
      </c>
      <c r="G188" s="12" t="s">
        <v>1000</v>
      </c>
      <c r="H188" s="12" t="s">
        <v>36</v>
      </c>
      <c r="I188" s="12" t="s">
        <v>26</v>
      </c>
      <c r="J188" s="13" t="s">
        <v>1001</v>
      </c>
      <c r="K188" s="14" t="s">
        <v>1002</v>
      </c>
      <c r="L188" s="15">
        <v>0</v>
      </c>
      <c r="M188" s="15" t="s">
        <v>144</v>
      </c>
      <c r="N188" s="16">
        <v>46042</v>
      </c>
      <c r="O188" s="12" t="s">
        <v>236</v>
      </c>
      <c r="P188" s="14" t="s">
        <v>1003</v>
      </c>
      <c r="Q188" s="17" t="s">
        <v>137</v>
      </c>
      <c r="R188" s="17" t="s">
        <v>146</v>
      </c>
    </row>
    <row r="189" spans="1:18" x14ac:dyDescent="0.3">
      <c r="A189" s="12" t="s">
        <v>1004</v>
      </c>
      <c r="B189" s="12" t="s">
        <v>14</v>
      </c>
      <c r="C189" s="12"/>
      <c r="D189" s="12" t="s">
        <v>14</v>
      </c>
      <c r="E189" s="12" t="s">
        <v>1005</v>
      </c>
      <c r="F189" s="12"/>
      <c r="G189" s="12" t="s">
        <v>1000</v>
      </c>
      <c r="H189" s="12" t="s">
        <v>36</v>
      </c>
      <c r="I189" s="12" t="s">
        <v>26</v>
      </c>
      <c r="J189" s="13" t="s">
        <v>1006</v>
      </c>
      <c r="K189" s="14" t="s">
        <v>1007</v>
      </c>
      <c r="L189" s="15">
        <v>1</v>
      </c>
      <c r="M189" s="15" t="s">
        <v>144</v>
      </c>
      <c r="N189" s="16">
        <v>46097</v>
      </c>
      <c r="O189" s="12" t="s">
        <v>1004</v>
      </c>
      <c r="P189" s="14" t="s">
        <v>1008</v>
      </c>
      <c r="Q189" s="17" t="s">
        <v>137</v>
      </c>
      <c r="R189" s="17" t="s">
        <v>146</v>
      </c>
    </row>
    <row r="190" spans="1:18" x14ac:dyDescent="0.3">
      <c r="A190" s="12" t="s">
        <v>1009</v>
      </c>
      <c r="B190" s="12" t="s">
        <v>12</v>
      </c>
      <c r="C190" s="12"/>
      <c r="D190" s="12" t="s">
        <v>12</v>
      </c>
      <c r="E190" s="12" t="s">
        <v>1010</v>
      </c>
      <c r="F190" s="12"/>
      <c r="G190" s="12" t="s">
        <v>1000</v>
      </c>
      <c r="H190" s="12" t="s">
        <v>36</v>
      </c>
      <c r="I190" s="12" t="s">
        <v>26</v>
      </c>
      <c r="J190" s="13" t="s">
        <v>1001</v>
      </c>
      <c r="K190" s="14" t="s">
        <v>1011</v>
      </c>
      <c r="L190" s="15">
        <v>2</v>
      </c>
      <c r="M190" s="15" t="s">
        <v>144</v>
      </c>
      <c r="N190" s="16">
        <v>44573</v>
      </c>
      <c r="O190" s="12" t="s">
        <v>1012</v>
      </c>
      <c r="P190" s="14" t="s">
        <v>1013</v>
      </c>
      <c r="Q190" s="17" t="s">
        <v>137</v>
      </c>
      <c r="R190" s="17" t="s">
        <v>146</v>
      </c>
    </row>
    <row r="191" spans="1:18" x14ac:dyDescent="0.3">
      <c r="A191" s="12" t="s">
        <v>1014</v>
      </c>
      <c r="B191" s="12" t="s">
        <v>12</v>
      </c>
      <c r="C191" s="12"/>
      <c r="D191" s="12" t="s">
        <v>12</v>
      </c>
      <c r="E191" s="12" t="s">
        <v>1015</v>
      </c>
      <c r="F191" s="12"/>
      <c r="G191" s="12" t="s">
        <v>1000</v>
      </c>
      <c r="H191" s="12" t="s">
        <v>36</v>
      </c>
      <c r="I191" s="12" t="s">
        <v>26</v>
      </c>
      <c r="J191" s="13" t="s">
        <v>1006</v>
      </c>
      <c r="K191" s="14" t="s">
        <v>1016</v>
      </c>
      <c r="L191" s="15">
        <v>2</v>
      </c>
      <c r="M191" s="15" t="s">
        <v>144</v>
      </c>
      <c r="N191" s="16">
        <v>44763</v>
      </c>
      <c r="O191" s="12" t="s">
        <v>1014</v>
      </c>
      <c r="P191" s="14" t="s">
        <v>1017</v>
      </c>
      <c r="Q191" s="17" t="s">
        <v>137</v>
      </c>
      <c r="R191" s="17" t="s">
        <v>146</v>
      </c>
    </row>
    <row r="192" spans="1:18" x14ac:dyDescent="0.3">
      <c r="A192" s="12" t="s">
        <v>1018</v>
      </c>
      <c r="B192" s="12" t="s">
        <v>12</v>
      </c>
      <c r="C192" s="12"/>
      <c r="D192" s="12" t="s">
        <v>12</v>
      </c>
      <c r="E192" s="12" t="s">
        <v>1010</v>
      </c>
      <c r="F192" s="12"/>
      <c r="G192" s="12" t="s">
        <v>1000</v>
      </c>
      <c r="H192" s="12" t="s">
        <v>36</v>
      </c>
      <c r="I192" s="12" t="s">
        <v>26</v>
      </c>
      <c r="J192" s="13" t="s">
        <v>1001</v>
      </c>
      <c r="K192" s="14" t="s">
        <v>1011</v>
      </c>
      <c r="L192" s="15">
        <v>2</v>
      </c>
      <c r="M192" s="15" t="s">
        <v>144</v>
      </c>
      <c r="N192" s="16">
        <v>45848</v>
      </c>
      <c r="O192" s="12" t="s">
        <v>1018</v>
      </c>
      <c r="P192" s="14" t="s">
        <v>1019</v>
      </c>
      <c r="Q192" s="17" t="s">
        <v>137</v>
      </c>
      <c r="R192" s="17" t="s">
        <v>146</v>
      </c>
    </row>
    <row r="193" spans="1:18" x14ac:dyDescent="0.3">
      <c r="A193" s="12" t="s">
        <v>1020</v>
      </c>
      <c r="B193" s="12" t="s">
        <v>12</v>
      </c>
      <c r="C193" s="12"/>
      <c r="D193" s="12" t="s">
        <v>12</v>
      </c>
      <c r="E193" s="12" t="s">
        <v>1021</v>
      </c>
      <c r="F193" s="12" t="s">
        <v>510</v>
      </c>
      <c r="G193" s="12" t="s">
        <v>1000</v>
      </c>
      <c r="H193" s="12" t="s">
        <v>36</v>
      </c>
      <c r="I193" s="12" t="s">
        <v>26</v>
      </c>
      <c r="J193" s="13" t="s">
        <v>1006</v>
      </c>
      <c r="K193" s="14" t="s">
        <v>1022</v>
      </c>
      <c r="L193" s="15">
        <v>1</v>
      </c>
      <c r="M193" s="15" t="s">
        <v>144</v>
      </c>
      <c r="N193" s="16">
        <v>45883</v>
      </c>
      <c r="O193" s="12" t="s">
        <v>1020</v>
      </c>
      <c r="P193" s="14" t="s">
        <v>1023</v>
      </c>
      <c r="Q193" s="17" t="s">
        <v>137</v>
      </c>
      <c r="R193" s="17" t="s">
        <v>146</v>
      </c>
    </row>
    <row r="194" spans="1:18" x14ac:dyDescent="0.3">
      <c r="A194" s="12" t="s">
        <v>343</v>
      </c>
      <c r="B194" s="12" t="s">
        <v>12</v>
      </c>
      <c r="C194" s="12"/>
      <c r="D194" s="12" t="s">
        <v>12</v>
      </c>
      <c r="E194" s="12" t="s">
        <v>1024</v>
      </c>
      <c r="F194" s="12" t="s">
        <v>1025</v>
      </c>
      <c r="G194" s="12" t="s">
        <v>1026</v>
      </c>
      <c r="H194" s="12" t="s">
        <v>36</v>
      </c>
      <c r="I194" s="12" t="s">
        <v>26</v>
      </c>
      <c r="J194" s="13" t="s">
        <v>1027</v>
      </c>
      <c r="K194" s="14" t="s">
        <v>347</v>
      </c>
      <c r="L194" s="15">
        <v>0</v>
      </c>
      <c r="M194" s="15" t="s">
        <v>144</v>
      </c>
      <c r="N194" s="16">
        <v>45352</v>
      </c>
      <c r="O194" s="12" t="s">
        <v>343</v>
      </c>
      <c r="P194" s="14" t="s">
        <v>348</v>
      </c>
      <c r="Q194" s="17" t="s">
        <v>137</v>
      </c>
      <c r="R194" s="17" t="s">
        <v>146</v>
      </c>
    </row>
    <row r="195" spans="1:18" x14ac:dyDescent="0.3">
      <c r="A195" s="12" t="s">
        <v>1028</v>
      </c>
      <c r="B195" s="12" t="s">
        <v>12</v>
      </c>
      <c r="C195" s="12"/>
      <c r="D195" s="12" t="s">
        <v>12</v>
      </c>
      <c r="E195" s="12" t="s">
        <v>1029</v>
      </c>
      <c r="F195" s="12"/>
      <c r="G195" s="12" t="s">
        <v>1026</v>
      </c>
      <c r="H195" s="12" t="s">
        <v>36</v>
      </c>
      <c r="I195" s="12" t="s">
        <v>26</v>
      </c>
      <c r="J195" s="13" t="s">
        <v>1027</v>
      </c>
      <c r="K195" s="14" t="s">
        <v>1030</v>
      </c>
      <c r="L195" s="15">
        <v>2</v>
      </c>
      <c r="M195" s="15" t="s">
        <v>144</v>
      </c>
      <c r="N195" s="16">
        <v>45573</v>
      </c>
      <c r="O195" s="12" t="s">
        <v>1028</v>
      </c>
      <c r="P195" s="14" t="s">
        <v>1031</v>
      </c>
      <c r="Q195" s="17" t="s">
        <v>137</v>
      </c>
      <c r="R195" s="17" t="s">
        <v>146</v>
      </c>
    </row>
    <row r="196" spans="1:18" x14ac:dyDescent="0.3">
      <c r="A196" s="12" t="s">
        <v>1032</v>
      </c>
      <c r="B196" s="12" t="s">
        <v>12</v>
      </c>
      <c r="C196" s="12" t="s">
        <v>10</v>
      </c>
      <c r="D196" s="12" t="s">
        <v>1033</v>
      </c>
      <c r="E196" s="12" t="s">
        <v>1034</v>
      </c>
      <c r="F196" s="12"/>
      <c r="G196" s="12" t="s">
        <v>1026</v>
      </c>
      <c r="H196" s="12" t="s">
        <v>36</v>
      </c>
      <c r="I196" s="12" t="s">
        <v>26</v>
      </c>
      <c r="J196" s="13" t="s">
        <v>1027</v>
      </c>
      <c r="K196" s="14" t="s">
        <v>1035</v>
      </c>
      <c r="L196" s="15">
        <v>5</v>
      </c>
      <c r="M196" s="15" t="s">
        <v>144</v>
      </c>
      <c r="N196" s="16">
        <v>44881</v>
      </c>
      <c r="O196" s="12" t="s">
        <v>1036</v>
      </c>
      <c r="P196" s="14" t="s">
        <v>1037</v>
      </c>
      <c r="Q196" s="17" t="s">
        <v>137</v>
      </c>
      <c r="R196" s="17" t="s">
        <v>146</v>
      </c>
    </row>
    <row r="197" spans="1:18" x14ac:dyDescent="0.3">
      <c r="A197" s="12" t="s">
        <v>430</v>
      </c>
      <c r="B197" s="12" t="s">
        <v>12</v>
      </c>
      <c r="C197" s="12"/>
      <c r="D197" s="12" t="s">
        <v>12</v>
      </c>
      <c r="E197" s="12" t="s">
        <v>1038</v>
      </c>
      <c r="F197" s="12" t="s">
        <v>1039</v>
      </c>
      <c r="G197" s="12" t="s">
        <v>395</v>
      </c>
      <c r="H197" s="12" t="s">
        <v>36</v>
      </c>
      <c r="I197" s="12" t="s">
        <v>26</v>
      </c>
      <c r="J197" s="13" t="s">
        <v>396</v>
      </c>
      <c r="K197" s="14" t="s">
        <v>1040</v>
      </c>
      <c r="L197" s="15">
        <v>2</v>
      </c>
      <c r="M197" s="15" t="s">
        <v>144</v>
      </c>
      <c r="N197" s="16">
        <v>45820</v>
      </c>
      <c r="O197" s="12" t="s">
        <v>430</v>
      </c>
      <c r="P197" s="14" t="s">
        <v>434</v>
      </c>
      <c r="Q197" s="17" t="s">
        <v>137</v>
      </c>
      <c r="R197" s="17" t="s">
        <v>146</v>
      </c>
    </row>
    <row r="198" spans="1:18" x14ac:dyDescent="0.3">
      <c r="A198" s="12" t="s">
        <v>1041</v>
      </c>
      <c r="B198" s="12" t="s">
        <v>20</v>
      </c>
      <c r="C198" s="12"/>
      <c r="D198" s="12" t="s">
        <v>193</v>
      </c>
      <c r="E198" s="12" t="s">
        <v>1042</v>
      </c>
      <c r="F198" s="12" t="s">
        <v>188</v>
      </c>
      <c r="G198" s="12" t="s">
        <v>395</v>
      </c>
      <c r="H198" s="12" t="s">
        <v>36</v>
      </c>
      <c r="I198" s="12" t="s">
        <v>26</v>
      </c>
      <c r="J198" s="13" t="s">
        <v>396</v>
      </c>
      <c r="K198" s="14" t="s">
        <v>1043</v>
      </c>
      <c r="L198" s="15">
        <v>0</v>
      </c>
      <c r="M198" s="15" t="s">
        <v>144</v>
      </c>
      <c r="N198" s="16">
        <v>42180</v>
      </c>
      <c r="O198" s="12" t="s">
        <v>1041</v>
      </c>
      <c r="P198" s="14" t="s">
        <v>1044</v>
      </c>
      <c r="Q198" s="17" t="s">
        <v>137</v>
      </c>
      <c r="R198" s="17" t="s">
        <v>146</v>
      </c>
    </row>
    <row r="199" spans="1:18" x14ac:dyDescent="0.3">
      <c r="A199" s="12" t="s">
        <v>475</v>
      </c>
      <c r="B199" s="12" t="s">
        <v>14</v>
      </c>
      <c r="C199" s="12"/>
      <c r="D199" s="12" t="s">
        <v>14</v>
      </c>
      <c r="E199" s="12" t="s">
        <v>1045</v>
      </c>
      <c r="F199" s="12"/>
      <c r="G199" s="12" t="s">
        <v>395</v>
      </c>
      <c r="H199" s="12" t="s">
        <v>36</v>
      </c>
      <c r="I199" s="12" t="s">
        <v>26</v>
      </c>
      <c r="J199" s="13" t="s">
        <v>396</v>
      </c>
      <c r="K199" s="14" t="s">
        <v>477</v>
      </c>
      <c r="L199" s="15">
        <v>0</v>
      </c>
      <c r="M199" s="15" t="s">
        <v>144</v>
      </c>
      <c r="N199" s="16">
        <v>45379</v>
      </c>
      <c r="O199" s="12" t="s">
        <v>475</v>
      </c>
      <c r="P199" s="14" t="s">
        <v>478</v>
      </c>
      <c r="Q199" s="17" t="s">
        <v>137</v>
      </c>
      <c r="R199" s="17" t="s">
        <v>146</v>
      </c>
    </row>
    <row r="200" spans="1:18" x14ac:dyDescent="0.3">
      <c r="A200" s="12" t="s">
        <v>199</v>
      </c>
      <c r="B200" s="12" t="s">
        <v>14</v>
      </c>
      <c r="C200" s="12"/>
      <c r="D200" s="12" t="s">
        <v>14</v>
      </c>
      <c r="E200" s="12" t="s">
        <v>1046</v>
      </c>
      <c r="F200" s="12" t="s">
        <v>447</v>
      </c>
      <c r="G200" s="12" t="s">
        <v>1047</v>
      </c>
      <c r="H200" s="12" t="s">
        <v>36</v>
      </c>
      <c r="I200" s="12" t="s">
        <v>26</v>
      </c>
      <c r="J200" s="13" t="s">
        <v>925</v>
      </c>
      <c r="K200" s="14" t="s">
        <v>1048</v>
      </c>
      <c r="L200" s="15">
        <v>3</v>
      </c>
      <c r="M200" s="15" t="s">
        <v>144</v>
      </c>
      <c r="N200" s="16">
        <v>46106</v>
      </c>
      <c r="O200" s="12" t="s">
        <v>331</v>
      </c>
      <c r="P200" s="14" t="s">
        <v>1049</v>
      </c>
      <c r="Q200" s="17" t="s">
        <v>137</v>
      </c>
      <c r="R200" s="17" t="s">
        <v>146</v>
      </c>
    </row>
    <row r="201" spans="1:18" x14ac:dyDescent="0.3">
      <c r="A201" s="12" t="s">
        <v>1050</v>
      </c>
      <c r="B201" s="12" t="s">
        <v>12</v>
      </c>
      <c r="C201" s="12"/>
      <c r="D201" s="12" t="s">
        <v>12</v>
      </c>
      <c r="E201" s="12" t="s">
        <v>1051</v>
      </c>
      <c r="F201" s="12"/>
      <c r="G201" s="12" t="s">
        <v>1052</v>
      </c>
      <c r="H201" s="12" t="s">
        <v>36</v>
      </c>
      <c r="I201" s="12" t="s">
        <v>26</v>
      </c>
      <c r="J201" s="13" t="s">
        <v>1053</v>
      </c>
      <c r="K201" s="14" t="s">
        <v>1054</v>
      </c>
      <c r="L201" s="15">
        <v>1</v>
      </c>
      <c r="M201" s="15" t="s">
        <v>144</v>
      </c>
      <c r="N201" s="16">
        <v>44563</v>
      </c>
      <c r="O201" s="12" t="s">
        <v>1050</v>
      </c>
      <c r="P201" s="14" t="s">
        <v>1055</v>
      </c>
      <c r="Q201" s="17" t="s">
        <v>137</v>
      </c>
      <c r="R201" s="17" t="s">
        <v>146</v>
      </c>
    </row>
    <row r="202" spans="1:18" x14ac:dyDescent="0.3">
      <c r="A202" s="12" t="s">
        <v>1056</v>
      </c>
      <c r="B202" s="12" t="s">
        <v>14</v>
      </c>
      <c r="C202" s="12"/>
      <c r="D202" s="12" t="s">
        <v>14</v>
      </c>
      <c r="E202" s="12" t="s">
        <v>1057</v>
      </c>
      <c r="F202" s="12"/>
      <c r="G202" s="12" t="s">
        <v>1058</v>
      </c>
      <c r="H202" s="12" t="s">
        <v>36</v>
      </c>
      <c r="I202" s="12" t="s">
        <v>26</v>
      </c>
      <c r="J202" s="13" t="s">
        <v>1059</v>
      </c>
      <c r="K202" s="14" t="s">
        <v>1060</v>
      </c>
      <c r="L202" s="15">
        <v>3</v>
      </c>
      <c r="M202" s="15" t="s">
        <v>144</v>
      </c>
      <c r="N202" s="16">
        <v>44642</v>
      </c>
      <c r="O202" s="12" t="s">
        <v>1056</v>
      </c>
      <c r="P202" s="14" t="s">
        <v>1061</v>
      </c>
      <c r="Q202" s="17" t="s">
        <v>137</v>
      </c>
      <c r="R202" s="17" t="s">
        <v>146</v>
      </c>
    </row>
    <row r="203" spans="1:18" x14ac:dyDescent="0.3">
      <c r="A203" s="12" t="s">
        <v>1062</v>
      </c>
      <c r="B203" s="12" t="s">
        <v>10</v>
      </c>
      <c r="C203" s="12"/>
      <c r="D203" s="12" t="s">
        <v>647</v>
      </c>
      <c r="E203" s="12" t="s">
        <v>1063</v>
      </c>
      <c r="F203" s="12" t="s">
        <v>940</v>
      </c>
      <c r="G203" s="12" t="s">
        <v>1058</v>
      </c>
      <c r="H203" s="12" t="s">
        <v>36</v>
      </c>
      <c r="I203" s="12" t="s">
        <v>26</v>
      </c>
      <c r="J203" s="13" t="s">
        <v>1064</v>
      </c>
      <c r="K203" s="14" t="s">
        <v>1065</v>
      </c>
      <c r="L203" s="15">
        <v>1</v>
      </c>
      <c r="M203" s="15" t="s">
        <v>220</v>
      </c>
      <c r="N203" s="16">
        <v>45716</v>
      </c>
      <c r="O203" s="12" t="s">
        <v>236</v>
      </c>
      <c r="P203" s="14" t="s">
        <v>1066</v>
      </c>
      <c r="Q203" s="17" t="s">
        <v>137</v>
      </c>
      <c r="R203" s="17" t="s">
        <v>146</v>
      </c>
    </row>
    <row r="204" spans="1:18" x14ac:dyDescent="0.3">
      <c r="A204" s="12" t="s">
        <v>1067</v>
      </c>
      <c r="B204" s="12" t="s">
        <v>14</v>
      </c>
      <c r="C204" s="12"/>
      <c r="D204" s="12" t="s">
        <v>14</v>
      </c>
      <c r="E204" s="12" t="s">
        <v>1068</v>
      </c>
      <c r="F204" s="12" t="s">
        <v>407</v>
      </c>
      <c r="G204" s="12" t="s">
        <v>1058</v>
      </c>
      <c r="H204" s="12" t="s">
        <v>36</v>
      </c>
      <c r="I204" s="12" t="s">
        <v>26</v>
      </c>
      <c r="J204" s="13" t="s">
        <v>1064</v>
      </c>
      <c r="K204" s="14" t="s">
        <v>1069</v>
      </c>
      <c r="L204" s="15">
        <v>0</v>
      </c>
      <c r="M204" s="15" t="s">
        <v>144</v>
      </c>
      <c r="N204" s="16">
        <v>46156</v>
      </c>
      <c r="O204" s="12" t="s">
        <v>1070</v>
      </c>
      <c r="P204" s="14" t="s">
        <v>1071</v>
      </c>
      <c r="Q204" s="17" t="s">
        <v>137</v>
      </c>
      <c r="R204" s="17" t="s">
        <v>146</v>
      </c>
    </row>
    <row r="205" spans="1:18" x14ac:dyDescent="0.3">
      <c r="A205" s="12" t="s">
        <v>1072</v>
      </c>
      <c r="B205" s="12" t="s">
        <v>12</v>
      </c>
      <c r="C205" s="12"/>
      <c r="D205" s="12" t="s">
        <v>12</v>
      </c>
      <c r="E205" s="12" t="s">
        <v>1073</v>
      </c>
      <c r="F205" s="12"/>
      <c r="G205" s="12" t="s">
        <v>1058</v>
      </c>
      <c r="H205" s="12" t="s">
        <v>36</v>
      </c>
      <c r="I205" s="12" t="s">
        <v>26</v>
      </c>
      <c r="J205" s="13" t="s">
        <v>1064</v>
      </c>
      <c r="K205" s="14" t="s">
        <v>1074</v>
      </c>
      <c r="L205" s="15">
        <v>7</v>
      </c>
      <c r="M205" s="15" t="s">
        <v>144</v>
      </c>
      <c r="N205" s="16">
        <v>44751</v>
      </c>
      <c r="O205" s="12" t="s">
        <v>1072</v>
      </c>
      <c r="P205" s="14" t="s">
        <v>1075</v>
      </c>
      <c r="Q205" s="17" t="s">
        <v>137</v>
      </c>
      <c r="R205" s="17" t="s">
        <v>146</v>
      </c>
    </row>
    <row r="206" spans="1:18" x14ac:dyDescent="0.3">
      <c r="A206" s="12" t="s">
        <v>1076</v>
      </c>
      <c r="B206" s="12" t="s">
        <v>12</v>
      </c>
      <c r="C206" s="12"/>
      <c r="D206" s="12" t="s">
        <v>12</v>
      </c>
      <c r="E206" s="12" t="s">
        <v>1077</v>
      </c>
      <c r="F206" s="12" t="s">
        <v>467</v>
      </c>
      <c r="G206" s="12" t="s">
        <v>1058</v>
      </c>
      <c r="H206" s="12" t="s">
        <v>36</v>
      </c>
      <c r="I206" s="12" t="s">
        <v>26</v>
      </c>
      <c r="J206" s="13" t="s">
        <v>1059</v>
      </c>
      <c r="K206" s="14" t="s">
        <v>1078</v>
      </c>
      <c r="L206" s="15">
        <v>1</v>
      </c>
      <c r="M206" s="15" t="s">
        <v>144</v>
      </c>
      <c r="N206" s="16">
        <v>44953</v>
      </c>
      <c r="O206" s="12" t="s">
        <v>1079</v>
      </c>
      <c r="P206" s="14" t="s">
        <v>1080</v>
      </c>
      <c r="Q206" s="17" t="s">
        <v>137</v>
      </c>
      <c r="R206" s="17" t="s">
        <v>146</v>
      </c>
    </row>
    <row r="207" spans="1:18" x14ac:dyDescent="0.3">
      <c r="A207" s="12" t="s">
        <v>1081</v>
      </c>
      <c r="B207" s="12" t="s">
        <v>12</v>
      </c>
      <c r="C207" s="12"/>
      <c r="D207" s="12" t="s">
        <v>12</v>
      </c>
      <c r="E207" s="12" t="s">
        <v>1082</v>
      </c>
      <c r="F207" s="12" t="s">
        <v>188</v>
      </c>
      <c r="G207" s="12" t="s">
        <v>1058</v>
      </c>
      <c r="H207" s="12" t="s">
        <v>36</v>
      </c>
      <c r="I207" s="12" t="s">
        <v>26</v>
      </c>
      <c r="J207" s="13" t="s">
        <v>1064</v>
      </c>
      <c r="K207" s="14" t="s">
        <v>1083</v>
      </c>
      <c r="L207" s="15">
        <v>1</v>
      </c>
      <c r="M207" s="15" t="s">
        <v>144</v>
      </c>
      <c r="N207" s="16">
        <v>44624</v>
      </c>
      <c r="O207" s="12" t="s">
        <v>1084</v>
      </c>
      <c r="P207" s="14" t="s">
        <v>1085</v>
      </c>
      <c r="Q207" s="17" t="s">
        <v>137</v>
      </c>
      <c r="R207" s="17" t="s">
        <v>146</v>
      </c>
    </row>
    <row r="208" spans="1:18" x14ac:dyDescent="0.3">
      <c r="A208" s="12" t="s">
        <v>1086</v>
      </c>
      <c r="B208" s="12" t="s">
        <v>12</v>
      </c>
      <c r="C208" s="12"/>
      <c r="D208" s="12" t="s">
        <v>12</v>
      </c>
      <c r="E208" s="12" t="s">
        <v>1087</v>
      </c>
      <c r="F208" s="12" t="s">
        <v>1088</v>
      </c>
      <c r="G208" s="12" t="s">
        <v>1058</v>
      </c>
      <c r="H208" s="12" t="s">
        <v>36</v>
      </c>
      <c r="I208" s="12" t="s">
        <v>26</v>
      </c>
      <c r="J208" s="13" t="s">
        <v>1064</v>
      </c>
      <c r="K208" s="14" t="s">
        <v>1089</v>
      </c>
      <c r="L208" s="15">
        <v>1</v>
      </c>
      <c r="M208" s="15" t="s">
        <v>144</v>
      </c>
      <c r="N208" s="16">
        <v>45222</v>
      </c>
      <c r="O208" s="12" t="s">
        <v>1086</v>
      </c>
      <c r="P208" s="14" t="s">
        <v>1090</v>
      </c>
      <c r="Q208" s="17" t="s">
        <v>137</v>
      </c>
      <c r="R208" s="17" t="s">
        <v>146</v>
      </c>
    </row>
    <row r="209" spans="1:18" x14ac:dyDescent="0.3">
      <c r="A209" s="12" t="s">
        <v>1091</v>
      </c>
      <c r="B209" s="12" t="s">
        <v>20</v>
      </c>
      <c r="C209" s="12"/>
      <c r="D209" s="12" t="s">
        <v>193</v>
      </c>
      <c r="E209" s="12" t="s">
        <v>1092</v>
      </c>
      <c r="F209" s="12" t="s">
        <v>1093</v>
      </c>
      <c r="G209" s="12" t="s">
        <v>1058</v>
      </c>
      <c r="H209" s="12" t="s">
        <v>36</v>
      </c>
      <c r="I209" s="12" t="s">
        <v>26</v>
      </c>
      <c r="J209" s="13" t="s">
        <v>1064</v>
      </c>
      <c r="K209" s="14" t="s">
        <v>1094</v>
      </c>
      <c r="L209" s="15">
        <v>0</v>
      </c>
      <c r="M209" s="15" t="s">
        <v>144</v>
      </c>
      <c r="N209" s="16">
        <v>44896</v>
      </c>
      <c r="O209" s="12" t="s">
        <v>1095</v>
      </c>
      <c r="P209" s="14" t="s">
        <v>1096</v>
      </c>
      <c r="Q209" s="17" t="s">
        <v>137</v>
      </c>
      <c r="R209" s="17" t="s">
        <v>146</v>
      </c>
    </row>
    <row r="210" spans="1:18" x14ac:dyDescent="0.3">
      <c r="A210" s="12" t="s">
        <v>1097</v>
      </c>
      <c r="B210" s="12" t="s">
        <v>14</v>
      </c>
      <c r="C210" s="12" t="s">
        <v>12</v>
      </c>
      <c r="D210" s="12" t="s">
        <v>180</v>
      </c>
      <c r="E210" s="12" t="s">
        <v>1098</v>
      </c>
      <c r="F210" s="12"/>
      <c r="G210" s="12" t="s">
        <v>1058</v>
      </c>
      <c r="H210" s="12" t="s">
        <v>36</v>
      </c>
      <c r="I210" s="12" t="s">
        <v>26</v>
      </c>
      <c r="J210" s="13" t="s">
        <v>1064</v>
      </c>
      <c r="K210" s="14" t="s">
        <v>1099</v>
      </c>
      <c r="L210" s="15">
        <v>1</v>
      </c>
      <c r="M210" s="15" t="s">
        <v>144</v>
      </c>
      <c r="N210" s="16">
        <v>45911</v>
      </c>
      <c r="O210" s="12" t="s">
        <v>1097</v>
      </c>
      <c r="P210" s="14" t="s">
        <v>1100</v>
      </c>
      <c r="Q210" s="17" t="s">
        <v>137</v>
      </c>
      <c r="R210" s="17" t="s">
        <v>146</v>
      </c>
    </row>
    <row r="211" spans="1:18" x14ac:dyDescent="0.3">
      <c r="A211" s="12" t="s">
        <v>1101</v>
      </c>
      <c r="B211" s="12" t="s">
        <v>18</v>
      </c>
      <c r="C211" s="12"/>
      <c r="D211" s="12" t="s">
        <v>223</v>
      </c>
      <c r="E211" s="12" t="s">
        <v>1092</v>
      </c>
      <c r="F211" s="12" t="s">
        <v>871</v>
      </c>
      <c r="G211" s="12" t="s">
        <v>1058</v>
      </c>
      <c r="H211" s="12" t="s">
        <v>36</v>
      </c>
      <c r="I211" s="12" t="s">
        <v>26</v>
      </c>
      <c r="J211" s="13" t="s">
        <v>1064</v>
      </c>
      <c r="K211" s="14" t="s">
        <v>1102</v>
      </c>
      <c r="L211" s="15">
        <v>0</v>
      </c>
      <c r="M211" s="15" t="s">
        <v>144</v>
      </c>
      <c r="N211" s="16">
        <v>44065</v>
      </c>
      <c r="O211" s="12" t="s">
        <v>1103</v>
      </c>
      <c r="P211" s="14" t="s">
        <v>1104</v>
      </c>
      <c r="Q211" s="17" t="s">
        <v>137</v>
      </c>
      <c r="R211" s="17" t="s">
        <v>146</v>
      </c>
    </row>
    <row r="212" spans="1:18" x14ac:dyDescent="0.3">
      <c r="A212" s="12" t="s">
        <v>1105</v>
      </c>
      <c r="B212" s="12" t="s">
        <v>20</v>
      </c>
      <c r="C212" s="12"/>
      <c r="D212" s="12" t="s">
        <v>193</v>
      </c>
      <c r="E212" s="12" t="s">
        <v>1106</v>
      </c>
      <c r="F212" s="12"/>
      <c r="G212" s="12" t="s">
        <v>1058</v>
      </c>
      <c r="H212" s="12" t="s">
        <v>36</v>
      </c>
      <c r="I212" s="12" t="s">
        <v>26</v>
      </c>
      <c r="J212" s="13" t="s">
        <v>1064</v>
      </c>
      <c r="K212" s="14" t="s">
        <v>1107</v>
      </c>
      <c r="L212" s="15">
        <v>0</v>
      </c>
      <c r="M212" s="15" t="s">
        <v>144</v>
      </c>
      <c r="N212" s="16">
        <v>46248</v>
      </c>
      <c r="O212" s="12" t="s">
        <v>160</v>
      </c>
      <c r="P212" s="14" t="s">
        <v>1108</v>
      </c>
      <c r="Q212" s="17" t="s">
        <v>137</v>
      </c>
      <c r="R212" s="17" t="s">
        <v>146</v>
      </c>
    </row>
    <row r="213" spans="1:18" x14ac:dyDescent="0.3">
      <c r="A213" s="12" t="s">
        <v>593</v>
      </c>
      <c r="B213" s="12" t="s">
        <v>12</v>
      </c>
      <c r="C213" s="12" t="s">
        <v>14</v>
      </c>
      <c r="D213" s="12" t="s">
        <v>180</v>
      </c>
      <c r="E213" s="12" t="s">
        <v>1109</v>
      </c>
      <c r="F213" s="12" t="s">
        <v>188</v>
      </c>
      <c r="G213" s="12" t="s">
        <v>1058</v>
      </c>
      <c r="H213" s="12" t="s">
        <v>36</v>
      </c>
      <c r="I213" s="12" t="s">
        <v>26</v>
      </c>
      <c r="J213" s="13" t="s">
        <v>1064</v>
      </c>
      <c r="K213" s="14" t="s">
        <v>597</v>
      </c>
      <c r="L213" s="15">
        <v>23</v>
      </c>
      <c r="M213" s="15" t="s">
        <v>144</v>
      </c>
      <c r="N213" s="16">
        <v>46161</v>
      </c>
      <c r="O213" s="12" t="s">
        <v>593</v>
      </c>
      <c r="P213" s="14" t="s">
        <v>598</v>
      </c>
      <c r="Q213" s="17" t="s">
        <v>137</v>
      </c>
      <c r="R213" s="17" t="s">
        <v>146</v>
      </c>
    </row>
    <row r="214" spans="1:18" x14ac:dyDescent="0.3">
      <c r="A214" s="12" t="s">
        <v>602</v>
      </c>
      <c r="B214" s="12" t="s">
        <v>14</v>
      </c>
      <c r="C214" s="12" t="s">
        <v>12</v>
      </c>
      <c r="D214" s="12" t="s">
        <v>180</v>
      </c>
      <c r="E214" s="12" t="s">
        <v>1109</v>
      </c>
      <c r="F214" s="12" t="s">
        <v>188</v>
      </c>
      <c r="G214" s="12" t="s">
        <v>1058</v>
      </c>
      <c r="H214" s="12" t="s">
        <v>36</v>
      </c>
      <c r="I214" s="12" t="s">
        <v>26</v>
      </c>
      <c r="J214" s="13" t="s">
        <v>1064</v>
      </c>
      <c r="K214" s="14" t="s">
        <v>597</v>
      </c>
      <c r="L214" s="15">
        <v>23</v>
      </c>
      <c r="M214" s="15" t="s">
        <v>144</v>
      </c>
      <c r="N214" s="16">
        <v>46148</v>
      </c>
      <c r="O214" s="12" t="s">
        <v>602</v>
      </c>
      <c r="P214" s="14" t="s">
        <v>603</v>
      </c>
      <c r="Q214" s="17" t="s">
        <v>137</v>
      </c>
      <c r="R214" s="17" t="s">
        <v>146</v>
      </c>
    </row>
    <row r="215" spans="1:18" x14ac:dyDescent="0.3">
      <c r="A215" s="12" t="s">
        <v>1110</v>
      </c>
      <c r="B215" s="12" t="s">
        <v>12</v>
      </c>
      <c r="C215" s="12"/>
      <c r="D215" s="12" t="s">
        <v>12</v>
      </c>
      <c r="E215" s="12" t="s">
        <v>1111</v>
      </c>
      <c r="F215" s="12"/>
      <c r="G215" s="12" t="s">
        <v>1058</v>
      </c>
      <c r="H215" s="12" t="s">
        <v>36</v>
      </c>
      <c r="I215" s="12" t="s">
        <v>26</v>
      </c>
      <c r="J215" s="13" t="s">
        <v>1059</v>
      </c>
      <c r="K215" s="14" t="s">
        <v>1112</v>
      </c>
      <c r="L215" s="15">
        <v>1</v>
      </c>
      <c r="M215" s="15" t="s">
        <v>144</v>
      </c>
      <c r="N215" s="16">
        <v>44601</v>
      </c>
      <c r="O215" s="12" t="s">
        <v>1110</v>
      </c>
      <c r="P215" s="14" t="s">
        <v>1113</v>
      </c>
      <c r="Q215" s="17" t="s">
        <v>137</v>
      </c>
      <c r="R215" s="17" t="s">
        <v>146</v>
      </c>
    </row>
    <row r="216" spans="1:18" x14ac:dyDescent="0.3">
      <c r="A216" s="12" t="s">
        <v>1114</v>
      </c>
      <c r="B216" s="12" t="s">
        <v>10</v>
      </c>
      <c r="C216" s="12"/>
      <c r="D216" s="12" t="s">
        <v>720</v>
      </c>
      <c r="E216" s="12" t="s">
        <v>1109</v>
      </c>
      <c r="F216" s="12" t="s">
        <v>832</v>
      </c>
      <c r="G216" s="12" t="s">
        <v>1058</v>
      </c>
      <c r="H216" s="12" t="s">
        <v>36</v>
      </c>
      <c r="I216" s="12" t="s">
        <v>26</v>
      </c>
      <c r="J216" s="13" t="s">
        <v>1064</v>
      </c>
      <c r="K216" s="14" t="s">
        <v>1115</v>
      </c>
      <c r="L216" s="15">
        <v>1</v>
      </c>
      <c r="M216" s="15" t="s">
        <v>144</v>
      </c>
      <c r="N216" s="16">
        <v>46141</v>
      </c>
      <c r="O216" s="12" t="s">
        <v>1116</v>
      </c>
      <c r="P216" s="14" t="s">
        <v>1117</v>
      </c>
      <c r="Q216" s="17" t="s">
        <v>137</v>
      </c>
      <c r="R216" s="17" t="s">
        <v>146</v>
      </c>
    </row>
    <row r="217" spans="1:18" x14ac:dyDescent="0.3">
      <c r="A217" s="12" t="s">
        <v>1118</v>
      </c>
      <c r="B217" s="12" t="s">
        <v>14</v>
      </c>
      <c r="C217" s="12"/>
      <c r="D217" s="12" t="s">
        <v>14</v>
      </c>
      <c r="E217" s="12" t="s">
        <v>1119</v>
      </c>
      <c r="F217" s="12" t="s">
        <v>520</v>
      </c>
      <c r="G217" s="12" t="s">
        <v>1058</v>
      </c>
      <c r="H217" s="12" t="s">
        <v>36</v>
      </c>
      <c r="I217" s="12" t="s">
        <v>26</v>
      </c>
      <c r="J217" s="13" t="s">
        <v>1064</v>
      </c>
      <c r="K217" s="14" t="s">
        <v>1120</v>
      </c>
      <c r="L217" s="15">
        <v>10</v>
      </c>
      <c r="M217" s="15" t="s">
        <v>144</v>
      </c>
      <c r="N217" s="16">
        <v>44784</v>
      </c>
      <c r="O217" s="12" t="s">
        <v>1121</v>
      </c>
      <c r="P217" s="14" t="s">
        <v>1122</v>
      </c>
      <c r="Q217" s="17" t="s">
        <v>137</v>
      </c>
      <c r="R217" s="17" t="s">
        <v>146</v>
      </c>
    </row>
    <row r="218" spans="1:18" x14ac:dyDescent="0.3">
      <c r="A218" s="12" t="s">
        <v>1123</v>
      </c>
      <c r="B218" s="12" t="s">
        <v>12</v>
      </c>
      <c r="C218" s="12"/>
      <c r="D218" s="12" t="s">
        <v>12</v>
      </c>
      <c r="E218" s="12" t="s">
        <v>1124</v>
      </c>
      <c r="F218" s="12" t="s">
        <v>447</v>
      </c>
      <c r="G218" s="12" t="s">
        <v>1058</v>
      </c>
      <c r="H218" s="12" t="s">
        <v>36</v>
      </c>
      <c r="I218" s="12" t="s">
        <v>26</v>
      </c>
      <c r="J218" s="13" t="s">
        <v>1064</v>
      </c>
      <c r="K218" s="14" t="s">
        <v>1125</v>
      </c>
      <c r="L218" s="15">
        <v>3</v>
      </c>
      <c r="M218" s="15" t="s">
        <v>144</v>
      </c>
      <c r="N218" s="16">
        <v>45397</v>
      </c>
      <c r="O218" s="12" t="s">
        <v>1126</v>
      </c>
      <c r="P218" s="14" t="s">
        <v>1127</v>
      </c>
      <c r="Q218" s="17" t="s">
        <v>137</v>
      </c>
      <c r="R218" s="17" t="s">
        <v>146</v>
      </c>
    </row>
    <row r="219" spans="1:18" x14ac:dyDescent="0.3">
      <c r="A219" s="12" t="s">
        <v>1128</v>
      </c>
      <c r="B219" s="12" t="s">
        <v>16</v>
      </c>
      <c r="C219" s="12"/>
      <c r="D219" s="12" t="s">
        <v>471</v>
      </c>
      <c r="E219" s="12" t="s">
        <v>1063</v>
      </c>
      <c r="F219" s="12" t="s">
        <v>712</v>
      </c>
      <c r="G219" s="12" t="s">
        <v>1058</v>
      </c>
      <c r="H219" s="12" t="s">
        <v>36</v>
      </c>
      <c r="I219" s="12" t="s">
        <v>26</v>
      </c>
      <c r="J219" s="13" t="s">
        <v>1064</v>
      </c>
      <c r="K219" s="14" t="s">
        <v>1129</v>
      </c>
      <c r="L219" s="15">
        <v>0</v>
      </c>
      <c r="M219" s="15" t="s">
        <v>144</v>
      </c>
      <c r="N219" s="16">
        <v>45931</v>
      </c>
      <c r="O219" s="12" t="s">
        <v>1130</v>
      </c>
      <c r="P219" s="14" t="s">
        <v>1131</v>
      </c>
      <c r="Q219" s="17" t="s">
        <v>137</v>
      </c>
      <c r="R219" s="17" t="s">
        <v>146</v>
      </c>
    </row>
    <row r="220" spans="1:18" x14ac:dyDescent="0.3">
      <c r="A220" s="12" t="s">
        <v>1132</v>
      </c>
      <c r="B220" s="12" t="s">
        <v>14</v>
      </c>
      <c r="C220" s="12"/>
      <c r="D220" s="12" t="s">
        <v>14</v>
      </c>
      <c r="E220" s="12" t="s">
        <v>1133</v>
      </c>
      <c r="F220" s="12"/>
      <c r="G220" s="12" t="s">
        <v>1058</v>
      </c>
      <c r="H220" s="12" t="s">
        <v>36</v>
      </c>
      <c r="I220" s="12" t="s">
        <v>26</v>
      </c>
      <c r="J220" s="13" t="s">
        <v>1059</v>
      </c>
      <c r="K220" s="14" t="s">
        <v>1134</v>
      </c>
      <c r="L220" s="15">
        <v>0</v>
      </c>
      <c r="M220" s="15" t="s">
        <v>144</v>
      </c>
      <c r="N220" s="16">
        <v>44634</v>
      </c>
      <c r="O220" s="12" t="s">
        <v>1132</v>
      </c>
      <c r="P220" s="14" t="s">
        <v>1135</v>
      </c>
      <c r="Q220" s="17" t="s">
        <v>137</v>
      </c>
      <c r="R220" s="17" t="s">
        <v>146</v>
      </c>
    </row>
    <row r="221" spans="1:18" x14ac:dyDescent="0.3">
      <c r="A221" s="12" t="s">
        <v>1136</v>
      </c>
      <c r="B221" s="12" t="s">
        <v>12</v>
      </c>
      <c r="C221" s="12"/>
      <c r="D221" s="12" t="s">
        <v>12</v>
      </c>
      <c r="E221" s="12" t="s">
        <v>1137</v>
      </c>
      <c r="F221" s="12"/>
      <c r="G221" s="12" t="s">
        <v>1058</v>
      </c>
      <c r="H221" s="12" t="s">
        <v>36</v>
      </c>
      <c r="I221" s="12" t="s">
        <v>26</v>
      </c>
      <c r="J221" s="13" t="s">
        <v>1064</v>
      </c>
      <c r="K221" s="14" t="s">
        <v>1138</v>
      </c>
      <c r="L221" s="15">
        <v>0</v>
      </c>
      <c r="M221" s="15" t="s">
        <v>144</v>
      </c>
      <c r="N221" s="16">
        <v>45399</v>
      </c>
      <c r="O221" s="12" t="s">
        <v>1136</v>
      </c>
      <c r="P221" s="14" t="s">
        <v>1139</v>
      </c>
      <c r="Q221" s="17" t="s">
        <v>137</v>
      </c>
      <c r="R221" s="17" t="s">
        <v>146</v>
      </c>
    </row>
    <row r="222" spans="1:18" x14ac:dyDescent="0.3">
      <c r="A222" s="12" t="s">
        <v>1140</v>
      </c>
      <c r="B222" s="12" t="s">
        <v>14</v>
      </c>
      <c r="C222" s="12"/>
      <c r="D222" s="12" t="s">
        <v>14</v>
      </c>
      <c r="E222" s="12" t="s">
        <v>1141</v>
      </c>
      <c r="F222" s="12" t="s">
        <v>345</v>
      </c>
      <c r="G222" s="12" t="s">
        <v>1058</v>
      </c>
      <c r="H222" s="12" t="s">
        <v>36</v>
      </c>
      <c r="I222" s="12" t="s">
        <v>26</v>
      </c>
      <c r="J222" s="13" t="s">
        <v>1059</v>
      </c>
      <c r="K222" s="14" t="s">
        <v>1142</v>
      </c>
      <c r="L222" s="15">
        <v>1</v>
      </c>
      <c r="M222" s="15" t="s">
        <v>144</v>
      </c>
      <c r="N222" s="16">
        <v>46126</v>
      </c>
      <c r="O222" s="12" t="s">
        <v>1140</v>
      </c>
      <c r="P222" s="14" t="s">
        <v>1143</v>
      </c>
      <c r="Q222" s="17" t="s">
        <v>137</v>
      </c>
      <c r="R222" s="17" t="s">
        <v>146</v>
      </c>
    </row>
    <row r="223" spans="1:18" x14ac:dyDescent="0.3">
      <c r="A223" s="12" t="s">
        <v>1144</v>
      </c>
      <c r="B223" s="12" t="s">
        <v>10</v>
      </c>
      <c r="C223" s="12"/>
      <c r="D223" s="12" t="s">
        <v>647</v>
      </c>
      <c r="E223" s="12" t="s">
        <v>1145</v>
      </c>
      <c r="F223" s="12" t="s">
        <v>1088</v>
      </c>
      <c r="G223" s="12" t="s">
        <v>1058</v>
      </c>
      <c r="H223" s="12" t="s">
        <v>36</v>
      </c>
      <c r="I223" s="12" t="s">
        <v>26</v>
      </c>
      <c r="J223" s="13" t="s">
        <v>1064</v>
      </c>
      <c r="K223" s="14" t="s">
        <v>294</v>
      </c>
      <c r="L223" s="15">
        <v>0</v>
      </c>
      <c r="M223" s="15" t="s">
        <v>220</v>
      </c>
      <c r="N223" s="16">
        <v>45145</v>
      </c>
      <c r="O223" s="12" t="s">
        <v>1144</v>
      </c>
      <c r="P223" s="14" t="s">
        <v>1146</v>
      </c>
      <c r="Q223" s="17" t="s">
        <v>137</v>
      </c>
      <c r="R223" s="17" t="s">
        <v>146</v>
      </c>
    </row>
    <row r="224" spans="1:18" x14ac:dyDescent="0.3">
      <c r="A224" s="12" t="s">
        <v>307</v>
      </c>
      <c r="B224" s="12" t="s">
        <v>14</v>
      </c>
      <c r="C224" s="12"/>
      <c r="D224" s="12" t="s">
        <v>14</v>
      </c>
      <c r="E224" s="12" t="s">
        <v>1145</v>
      </c>
      <c r="F224" s="12" t="s">
        <v>520</v>
      </c>
      <c r="G224" s="12" t="s">
        <v>1058</v>
      </c>
      <c r="H224" s="12" t="s">
        <v>36</v>
      </c>
      <c r="I224" s="12" t="s">
        <v>26</v>
      </c>
      <c r="J224" s="13" t="s">
        <v>1064</v>
      </c>
      <c r="K224" s="14" t="s">
        <v>1147</v>
      </c>
      <c r="L224" s="15">
        <v>10</v>
      </c>
      <c r="M224" s="15" t="s">
        <v>144</v>
      </c>
      <c r="N224" s="16">
        <v>46275</v>
      </c>
      <c r="O224" s="12" t="s">
        <v>307</v>
      </c>
      <c r="P224" s="14" t="s">
        <v>310</v>
      </c>
      <c r="Q224" s="17" t="s">
        <v>137</v>
      </c>
      <c r="R224" s="17" t="s">
        <v>146</v>
      </c>
    </row>
    <row r="225" spans="1:18" x14ac:dyDescent="0.3">
      <c r="A225" s="12" t="s">
        <v>1148</v>
      </c>
      <c r="B225" s="12" t="s">
        <v>12</v>
      </c>
      <c r="C225" s="12"/>
      <c r="D225" s="12" t="s">
        <v>12</v>
      </c>
      <c r="E225" s="12" t="s">
        <v>1149</v>
      </c>
      <c r="F225" s="12"/>
      <c r="G225" s="12" t="s">
        <v>1058</v>
      </c>
      <c r="H225" s="12" t="s">
        <v>36</v>
      </c>
      <c r="I225" s="12" t="s">
        <v>26</v>
      </c>
      <c r="J225" s="13" t="s">
        <v>1064</v>
      </c>
      <c r="K225" s="14" t="s">
        <v>1150</v>
      </c>
      <c r="L225" s="15">
        <v>6</v>
      </c>
      <c r="M225" s="15" t="s">
        <v>144</v>
      </c>
      <c r="N225" s="16">
        <v>45268</v>
      </c>
      <c r="O225" s="12" t="s">
        <v>1148</v>
      </c>
      <c r="P225" s="14" t="s">
        <v>1151</v>
      </c>
      <c r="Q225" s="17" t="s">
        <v>137</v>
      </c>
      <c r="R225" s="17" t="s">
        <v>146</v>
      </c>
    </row>
    <row r="226" spans="1:18" x14ac:dyDescent="0.3">
      <c r="A226" s="12" t="s">
        <v>1152</v>
      </c>
      <c r="B226" s="12" t="s">
        <v>12</v>
      </c>
      <c r="C226" s="12"/>
      <c r="D226" s="12" t="s">
        <v>12</v>
      </c>
      <c r="E226" s="12" t="s">
        <v>1068</v>
      </c>
      <c r="F226" s="12" t="s">
        <v>407</v>
      </c>
      <c r="G226" s="12" t="s">
        <v>1058</v>
      </c>
      <c r="H226" s="12" t="s">
        <v>36</v>
      </c>
      <c r="I226" s="12" t="s">
        <v>26</v>
      </c>
      <c r="J226" s="13" t="s">
        <v>1064</v>
      </c>
      <c r="K226" s="14" t="s">
        <v>1153</v>
      </c>
      <c r="L226" s="15">
        <v>2</v>
      </c>
      <c r="M226" s="15" t="s">
        <v>144</v>
      </c>
      <c r="N226" s="16">
        <v>45297</v>
      </c>
      <c r="O226" s="12" t="s">
        <v>1154</v>
      </c>
      <c r="P226" s="14" t="s">
        <v>1155</v>
      </c>
      <c r="Q226" s="17" t="s">
        <v>137</v>
      </c>
      <c r="R226" s="17" t="s">
        <v>146</v>
      </c>
    </row>
    <row r="227" spans="1:18" x14ac:dyDescent="0.3">
      <c r="A227" s="12" t="s">
        <v>1156</v>
      </c>
      <c r="B227" s="12" t="s">
        <v>14</v>
      </c>
      <c r="C227" s="12"/>
      <c r="D227" s="12" t="s">
        <v>14</v>
      </c>
      <c r="E227" s="12" t="s">
        <v>1157</v>
      </c>
      <c r="F227" s="12" t="s">
        <v>293</v>
      </c>
      <c r="G227" s="12" t="s">
        <v>1158</v>
      </c>
      <c r="H227" s="12" t="s">
        <v>36</v>
      </c>
      <c r="I227" s="12" t="s">
        <v>26</v>
      </c>
      <c r="J227" s="13" t="s">
        <v>1159</v>
      </c>
      <c r="K227" s="14" t="s">
        <v>1160</v>
      </c>
      <c r="L227" s="15">
        <v>0</v>
      </c>
      <c r="M227" s="15" t="s">
        <v>144</v>
      </c>
      <c r="N227" s="16">
        <v>45366</v>
      </c>
      <c r="O227" s="12" t="s">
        <v>1156</v>
      </c>
      <c r="P227" s="14" t="s">
        <v>1161</v>
      </c>
      <c r="Q227" s="17" t="s">
        <v>137</v>
      </c>
      <c r="R227" s="17" t="s">
        <v>146</v>
      </c>
    </row>
    <row r="228" spans="1:18" x14ac:dyDescent="0.3">
      <c r="A228" s="12" t="s">
        <v>998</v>
      </c>
      <c r="B228" s="12" t="s">
        <v>10</v>
      </c>
      <c r="C228" s="12"/>
      <c r="D228" s="12" t="s">
        <v>216</v>
      </c>
      <c r="E228" s="12" t="s">
        <v>1162</v>
      </c>
      <c r="F228" s="12" t="s">
        <v>1163</v>
      </c>
      <c r="G228" s="12" t="s">
        <v>1158</v>
      </c>
      <c r="H228" s="12" t="s">
        <v>36</v>
      </c>
      <c r="I228" s="12" t="s">
        <v>26</v>
      </c>
      <c r="J228" s="13" t="s">
        <v>941</v>
      </c>
      <c r="K228" s="14" t="s">
        <v>1002</v>
      </c>
      <c r="L228" s="15">
        <v>43</v>
      </c>
      <c r="M228" s="15" t="s">
        <v>220</v>
      </c>
      <c r="N228" s="16">
        <v>46042</v>
      </c>
      <c r="O228" s="12" t="s">
        <v>236</v>
      </c>
      <c r="P228" s="14" t="s">
        <v>1003</v>
      </c>
      <c r="Q228" s="17" t="s">
        <v>137</v>
      </c>
      <c r="R228" s="17" t="s">
        <v>146</v>
      </c>
    </row>
    <row r="229" spans="1:18" x14ac:dyDescent="0.3">
      <c r="A229" s="12" t="s">
        <v>1164</v>
      </c>
      <c r="B229" s="12" t="s">
        <v>12</v>
      </c>
      <c r="C229" s="12"/>
      <c r="D229" s="12" t="s">
        <v>12</v>
      </c>
      <c r="E229" s="12" t="s">
        <v>1165</v>
      </c>
      <c r="F229" s="12" t="s">
        <v>182</v>
      </c>
      <c r="G229" s="12" t="s">
        <v>1158</v>
      </c>
      <c r="H229" s="12" t="s">
        <v>36</v>
      </c>
      <c r="I229" s="12" t="s">
        <v>26</v>
      </c>
      <c r="J229" s="13" t="s">
        <v>941</v>
      </c>
      <c r="K229" s="14" t="s">
        <v>1166</v>
      </c>
      <c r="L229" s="15">
        <v>0</v>
      </c>
      <c r="M229" s="15" t="s">
        <v>144</v>
      </c>
      <c r="N229" s="16">
        <v>45749</v>
      </c>
      <c r="O229" s="12" t="s">
        <v>1164</v>
      </c>
      <c r="P229" s="14" t="s">
        <v>1167</v>
      </c>
      <c r="Q229" s="17" t="s">
        <v>137</v>
      </c>
      <c r="R229" s="17" t="s">
        <v>146</v>
      </c>
    </row>
    <row r="230" spans="1:18" x14ac:dyDescent="0.3">
      <c r="A230" s="12" t="s">
        <v>1168</v>
      </c>
      <c r="B230" s="12" t="s">
        <v>14</v>
      </c>
      <c r="C230" s="12"/>
      <c r="D230" s="12" t="s">
        <v>14</v>
      </c>
      <c r="E230" s="12" t="s">
        <v>1169</v>
      </c>
      <c r="F230" s="12" t="s">
        <v>188</v>
      </c>
      <c r="G230" s="12" t="s">
        <v>1158</v>
      </c>
      <c r="H230" s="12" t="s">
        <v>36</v>
      </c>
      <c r="I230" s="12" t="s">
        <v>26</v>
      </c>
      <c r="J230" s="13" t="s">
        <v>941</v>
      </c>
      <c r="K230" s="14" t="s">
        <v>1170</v>
      </c>
      <c r="L230" s="15">
        <v>1</v>
      </c>
      <c r="M230" s="15" t="s">
        <v>144</v>
      </c>
      <c r="N230" s="16">
        <v>46174</v>
      </c>
      <c r="O230" s="12" t="s">
        <v>1168</v>
      </c>
      <c r="P230" s="14" t="s">
        <v>1171</v>
      </c>
      <c r="Q230" s="17" t="s">
        <v>137</v>
      </c>
      <c r="R230" s="17" t="s">
        <v>146</v>
      </c>
    </row>
    <row r="231" spans="1:18" x14ac:dyDescent="0.3">
      <c r="A231" s="12" t="s">
        <v>1172</v>
      </c>
      <c r="B231" s="12" t="s">
        <v>12</v>
      </c>
      <c r="C231" s="12"/>
      <c r="D231" s="12" t="s">
        <v>12</v>
      </c>
      <c r="E231" s="12" t="s">
        <v>1165</v>
      </c>
      <c r="F231" s="12" t="s">
        <v>1039</v>
      </c>
      <c r="G231" s="12" t="s">
        <v>1158</v>
      </c>
      <c r="H231" s="12" t="s">
        <v>36</v>
      </c>
      <c r="I231" s="12" t="s">
        <v>26</v>
      </c>
      <c r="J231" s="13" t="s">
        <v>941</v>
      </c>
      <c r="K231" s="14" t="s">
        <v>1173</v>
      </c>
      <c r="L231" s="15">
        <v>0</v>
      </c>
      <c r="M231" s="15" t="s">
        <v>144</v>
      </c>
      <c r="N231" s="16">
        <v>46239</v>
      </c>
      <c r="O231" s="12" t="s">
        <v>1172</v>
      </c>
      <c r="P231" s="14" t="s">
        <v>1174</v>
      </c>
      <c r="Q231" s="17" t="s">
        <v>137</v>
      </c>
      <c r="R231" s="17" t="s">
        <v>146</v>
      </c>
    </row>
    <row r="232" spans="1:18" x14ac:dyDescent="0.3">
      <c r="A232" s="12" t="s">
        <v>1175</v>
      </c>
      <c r="B232" s="12" t="s">
        <v>14</v>
      </c>
      <c r="C232" s="12"/>
      <c r="D232" s="12" t="s">
        <v>14</v>
      </c>
      <c r="E232" s="12" t="s">
        <v>1176</v>
      </c>
      <c r="F232" s="12" t="s">
        <v>1177</v>
      </c>
      <c r="G232" s="12" t="s">
        <v>1158</v>
      </c>
      <c r="H232" s="12" t="s">
        <v>36</v>
      </c>
      <c r="I232" s="12" t="s">
        <v>26</v>
      </c>
      <c r="J232" s="13" t="s">
        <v>1178</v>
      </c>
      <c r="K232" s="14" t="s">
        <v>1179</v>
      </c>
      <c r="L232" s="15">
        <v>8</v>
      </c>
      <c r="M232" s="15" t="s">
        <v>144</v>
      </c>
      <c r="N232" s="16">
        <v>46059</v>
      </c>
      <c r="O232" s="12" t="s">
        <v>1175</v>
      </c>
      <c r="P232" s="14" t="s">
        <v>1180</v>
      </c>
      <c r="Q232" s="17" t="s">
        <v>137</v>
      </c>
      <c r="R232" s="17" t="s">
        <v>146</v>
      </c>
    </row>
    <row r="233" spans="1:18" x14ac:dyDescent="0.3">
      <c r="A233" s="12" t="s">
        <v>1181</v>
      </c>
      <c r="B233" s="12" t="s">
        <v>12</v>
      </c>
      <c r="C233" s="12"/>
      <c r="D233" s="12" t="s">
        <v>12</v>
      </c>
      <c r="E233" s="12" t="s">
        <v>1182</v>
      </c>
      <c r="F233" s="12" t="s">
        <v>631</v>
      </c>
      <c r="G233" s="12" t="s">
        <v>1158</v>
      </c>
      <c r="H233" s="12" t="s">
        <v>36</v>
      </c>
      <c r="I233" s="12" t="s">
        <v>26</v>
      </c>
      <c r="J233" s="13" t="s">
        <v>1178</v>
      </c>
      <c r="K233" s="14" t="s">
        <v>1183</v>
      </c>
      <c r="L233" s="15">
        <v>0</v>
      </c>
      <c r="M233" s="15" t="s">
        <v>144</v>
      </c>
      <c r="N233" s="16">
        <v>46030</v>
      </c>
      <c r="O233" s="12" t="s">
        <v>1181</v>
      </c>
      <c r="P233" s="14" t="s">
        <v>1184</v>
      </c>
      <c r="Q233" s="17" t="s">
        <v>137</v>
      </c>
      <c r="R233" s="17" t="s">
        <v>146</v>
      </c>
    </row>
    <row r="234" spans="1:18" x14ac:dyDescent="0.3">
      <c r="A234" s="12" t="s">
        <v>1185</v>
      </c>
      <c r="B234" s="12" t="s">
        <v>16</v>
      </c>
      <c r="C234" s="12"/>
      <c r="D234" s="12" t="s">
        <v>993</v>
      </c>
      <c r="E234" s="12" t="s">
        <v>1186</v>
      </c>
      <c r="F234" s="12"/>
      <c r="G234" s="12" t="s">
        <v>1158</v>
      </c>
      <c r="H234" s="12" t="s">
        <v>36</v>
      </c>
      <c r="I234" s="12" t="s">
        <v>26</v>
      </c>
      <c r="J234" s="13" t="s">
        <v>1178</v>
      </c>
      <c r="K234" s="14" t="s">
        <v>1187</v>
      </c>
      <c r="L234" s="15">
        <v>0</v>
      </c>
      <c r="M234" s="15" t="s">
        <v>144</v>
      </c>
      <c r="N234" s="16">
        <v>44763</v>
      </c>
      <c r="O234" s="12" t="s">
        <v>1185</v>
      </c>
      <c r="P234" s="14" t="s">
        <v>1188</v>
      </c>
      <c r="Q234" s="17" t="s">
        <v>137</v>
      </c>
      <c r="R234" s="17" t="s">
        <v>146</v>
      </c>
    </row>
    <row r="235" spans="1:18" x14ac:dyDescent="0.3">
      <c r="A235" s="12" t="s">
        <v>1189</v>
      </c>
      <c r="B235" s="12" t="s">
        <v>12</v>
      </c>
      <c r="C235" s="12"/>
      <c r="D235" s="12" t="s">
        <v>12</v>
      </c>
      <c r="E235" s="12" t="s">
        <v>1190</v>
      </c>
      <c r="F235" s="12" t="s">
        <v>1191</v>
      </c>
      <c r="G235" s="12" t="s">
        <v>1158</v>
      </c>
      <c r="H235" s="12" t="s">
        <v>36</v>
      </c>
      <c r="I235" s="12" t="s">
        <v>26</v>
      </c>
      <c r="J235" s="13" t="s">
        <v>1159</v>
      </c>
      <c r="K235" s="14" t="s">
        <v>1192</v>
      </c>
      <c r="L235" s="15">
        <v>3</v>
      </c>
      <c r="M235" s="15" t="s">
        <v>144</v>
      </c>
      <c r="N235" s="16">
        <v>45505</v>
      </c>
      <c r="O235" s="12" t="s">
        <v>1189</v>
      </c>
      <c r="P235" s="14" t="s">
        <v>1193</v>
      </c>
      <c r="Q235" s="17" t="s">
        <v>137</v>
      </c>
      <c r="R235" s="17" t="s">
        <v>146</v>
      </c>
    </row>
    <row r="236" spans="1:18" x14ac:dyDescent="0.3">
      <c r="A236" s="12" t="s">
        <v>1194</v>
      </c>
      <c r="B236" s="12" t="s">
        <v>12</v>
      </c>
      <c r="C236" s="12"/>
      <c r="D236" s="12" t="s">
        <v>12</v>
      </c>
      <c r="E236" s="12" t="s">
        <v>1195</v>
      </c>
      <c r="F236" s="12" t="s">
        <v>345</v>
      </c>
      <c r="G236" s="12" t="s">
        <v>1158</v>
      </c>
      <c r="H236" s="12" t="s">
        <v>36</v>
      </c>
      <c r="I236" s="12" t="s">
        <v>26</v>
      </c>
      <c r="J236" s="13" t="s">
        <v>941</v>
      </c>
      <c r="K236" s="14" t="s">
        <v>1196</v>
      </c>
      <c r="L236" s="15">
        <v>0</v>
      </c>
      <c r="M236" s="15" t="s">
        <v>144</v>
      </c>
      <c r="N236" s="16">
        <v>46120</v>
      </c>
      <c r="O236" s="12" t="s">
        <v>1194</v>
      </c>
      <c r="P236" s="14" t="s">
        <v>1197</v>
      </c>
      <c r="Q236" s="17" t="s">
        <v>137</v>
      </c>
      <c r="R236" s="17" t="s">
        <v>146</v>
      </c>
    </row>
    <row r="237" spans="1:18" x14ac:dyDescent="0.3">
      <c r="A237" s="12" t="s">
        <v>1198</v>
      </c>
      <c r="B237" s="12" t="s">
        <v>14</v>
      </c>
      <c r="C237" s="12"/>
      <c r="D237" s="12" t="s">
        <v>14</v>
      </c>
      <c r="E237" s="12" t="s">
        <v>1199</v>
      </c>
      <c r="F237" s="12"/>
      <c r="G237" s="12" t="s">
        <v>1158</v>
      </c>
      <c r="H237" s="12" t="s">
        <v>36</v>
      </c>
      <c r="I237" s="12" t="s">
        <v>26</v>
      </c>
      <c r="J237" s="13" t="s">
        <v>941</v>
      </c>
      <c r="K237" s="14" t="s">
        <v>1200</v>
      </c>
      <c r="L237" s="15">
        <v>0</v>
      </c>
      <c r="M237" s="15" t="s">
        <v>144</v>
      </c>
      <c r="N237" s="16">
        <v>45778</v>
      </c>
      <c r="O237" s="12" t="s">
        <v>1201</v>
      </c>
      <c r="P237" s="14" t="s">
        <v>1202</v>
      </c>
      <c r="Q237" s="17" t="s">
        <v>137</v>
      </c>
      <c r="R237" s="17" t="s">
        <v>146</v>
      </c>
    </row>
    <row r="238" spans="1:18" x14ac:dyDescent="0.3">
      <c r="A238" s="12" t="s">
        <v>1203</v>
      </c>
      <c r="B238" s="12" t="s">
        <v>12</v>
      </c>
      <c r="C238" s="12"/>
      <c r="D238" s="12" t="s">
        <v>12</v>
      </c>
      <c r="E238" s="12" t="s">
        <v>1176</v>
      </c>
      <c r="F238" s="12" t="s">
        <v>1204</v>
      </c>
      <c r="G238" s="12" t="s">
        <v>1158</v>
      </c>
      <c r="H238" s="12" t="s">
        <v>36</v>
      </c>
      <c r="I238" s="12" t="s">
        <v>26</v>
      </c>
      <c r="J238" s="13" t="s">
        <v>1178</v>
      </c>
      <c r="K238" s="14" t="s">
        <v>1205</v>
      </c>
      <c r="L238" s="15">
        <v>2</v>
      </c>
      <c r="M238" s="15" t="s">
        <v>144</v>
      </c>
      <c r="N238" s="16">
        <v>46118</v>
      </c>
      <c r="O238" s="12" t="s">
        <v>1203</v>
      </c>
      <c r="P238" s="14" t="s">
        <v>1206</v>
      </c>
      <c r="Q238" s="17" t="s">
        <v>137</v>
      </c>
      <c r="R238" s="17" t="s">
        <v>146</v>
      </c>
    </row>
    <row r="239" spans="1:18" x14ac:dyDescent="0.3">
      <c r="A239" s="12" t="s">
        <v>1207</v>
      </c>
      <c r="B239" s="12" t="s">
        <v>14</v>
      </c>
      <c r="C239" s="12"/>
      <c r="D239" s="12" t="s">
        <v>14</v>
      </c>
      <c r="E239" s="12" t="s">
        <v>1208</v>
      </c>
      <c r="F239" s="12"/>
      <c r="G239" s="12" t="s">
        <v>1158</v>
      </c>
      <c r="H239" s="12" t="s">
        <v>36</v>
      </c>
      <c r="I239" s="12" t="s">
        <v>26</v>
      </c>
      <c r="J239" s="13" t="s">
        <v>1178</v>
      </c>
      <c r="K239" s="14" t="s">
        <v>1209</v>
      </c>
      <c r="L239" s="15">
        <v>0</v>
      </c>
      <c r="M239" s="15" t="s">
        <v>144</v>
      </c>
      <c r="N239" s="16">
        <v>45643</v>
      </c>
      <c r="O239" s="12" t="s">
        <v>1207</v>
      </c>
      <c r="P239" s="14" t="s">
        <v>1210</v>
      </c>
      <c r="Q239" s="17" t="s">
        <v>137</v>
      </c>
      <c r="R239" s="17" t="s">
        <v>146</v>
      </c>
    </row>
    <row r="240" spans="1:18" x14ac:dyDescent="0.3">
      <c r="A240" s="12" t="s">
        <v>1211</v>
      </c>
      <c r="B240" s="12" t="s">
        <v>12</v>
      </c>
      <c r="C240" s="12"/>
      <c r="D240" s="12" t="s">
        <v>12</v>
      </c>
      <c r="E240" s="12" t="s">
        <v>1212</v>
      </c>
      <c r="F240" s="12" t="s">
        <v>188</v>
      </c>
      <c r="G240" s="12" t="s">
        <v>1158</v>
      </c>
      <c r="H240" s="12" t="s">
        <v>36</v>
      </c>
      <c r="I240" s="12" t="s">
        <v>26</v>
      </c>
      <c r="J240" s="13" t="s">
        <v>1178</v>
      </c>
      <c r="K240" s="14" t="s">
        <v>1213</v>
      </c>
      <c r="L240" s="15">
        <v>3</v>
      </c>
      <c r="M240" s="15" t="s">
        <v>144</v>
      </c>
      <c r="N240" s="16">
        <v>45335</v>
      </c>
      <c r="O240" s="12" t="s">
        <v>1211</v>
      </c>
      <c r="P240" s="14" t="s">
        <v>1214</v>
      </c>
      <c r="Q240" s="17" t="s">
        <v>137</v>
      </c>
      <c r="R240" s="17" t="s">
        <v>146</v>
      </c>
    </row>
    <row r="241" spans="1:18" x14ac:dyDescent="0.3">
      <c r="A241" s="12" t="s">
        <v>1215</v>
      </c>
      <c r="B241" s="12" t="s">
        <v>10</v>
      </c>
      <c r="C241" s="12"/>
      <c r="D241" s="12" t="s">
        <v>157</v>
      </c>
      <c r="E241" s="12" t="s">
        <v>1216</v>
      </c>
      <c r="F241" s="12" t="s">
        <v>218</v>
      </c>
      <c r="G241" s="12" t="s">
        <v>1158</v>
      </c>
      <c r="H241" s="12" t="s">
        <v>36</v>
      </c>
      <c r="I241" s="12" t="s">
        <v>26</v>
      </c>
      <c r="J241" s="13" t="s">
        <v>1217</v>
      </c>
      <c r="K241" s="14" t="s">
        <v>1218</v>
      </c>
      <c r="L241" s="15">
        <v>0</v>
      </c>
      <c r="M241" s="15" t="s">
        <v>144</v>
      </c>
      <c r="N241" s="16">
        <v>46128</v>
      </c>
      <c r="O241" s="12" t="s">
        <v>1219</v>
      </c>
      <c r="P241" s="14" t="s">
        <v>1220</v>
      </c>
      <c r="Q241" s="17" t="s">
        <v>137</v>
      </c>
      <c r="R241" s="17" t="s">
        <v>146</v>
      </c>
    </row>
    <row r="242" spans="1:18" x14ac:dyDescent="0.3">
      <c r="A242" s="12" t="s">
        <v>593</v>
      </c>
      <c r="B242" s="12" t="s">
        <v>12</v>
      </c>
      <c r="C242" s="12" t="s">
        <v>14</v>
      </c>
      <c r="D242" s="12" t="s">
        <v>180</v>
      </c>
      <c r="E242" s="12" t="s">
        <v>1221</v>
      </c>
      <c r="F242" s="12" t="s">
        <v>1222</v>
      </c>
      <c r="G242" s="12" t="s">
        <v>1158</v>
      </c>
      <c r="H242" s="12" t="s">
        <v>36</v>
      </c>
      <c r="I242" s="12" t="s">
        <v>26</v>
      </c>
      <c r="J242" s="13" t="s">
        <v>1178</v>
      </c>
      <c r="K242" s="14" t="s">
        <v>597</v>
      </c>
      <c r="L242" s="15">
        <v>27</v>
      </c>
      <c r="M242" s="15" t="s">
        <v>144</v>
      </c>
      <c r="N242" s="16">
        <v>46161</v>
      </c>
      <c r="O242" s="12" t="s">
        <v>593</v>
      </c>
      <c r="P242" s="14" t="s">
        <v>598</v>
      </c>
      <c r="Q242" s="17" t="s">
        <v>137</v>
      </c>
      <c r="R242" s="17" t="s">
        <v>146</v>
      </c>
    </row>
    <row r="243" spans="1:18" x14ac:dyDescent="0.3">
      <c r="A243" s="12" t="s">
        <v>1223</v>
      </c>
      <c r="B243" s="12" t="s">
        <v>12</v>
      </c>
      <c r="C243" s="12"/>
      <c r="D243" s="12" t="s">
        <v>12</v>
      </c>
      <c r="E243" s="12" t="s">
        <v>1224</v>
      </c>
      <c r="F243" s="12"/>
      <c r="G243" s="12" t="s">
        <v>1158</v>
      </c>
      <c r="H243" s="12" t="s">
        <v>36</v>
      </c>
      <c r="I243" s="12" t="s">
        <v>26</v>
      </c>
      <c r="J243" s="13" t="s">
        <v>1178</v>
      </c>
      <c r="K243" s="14" t="s">
        <v>1225</v>
      </c>
      <c r="L243" s="15">
        <v>1</v>
      </c>
      <c r="M243" s="15" t="s">
        <v>144</v>
      </c>
      <c r="N243" s="16">
        <v>45224</v>
      </c>
      <c r="O243" s="12" t="s">
        <v>1223</v>
      </c>
      <c r="P243" s="14" t="s">
        <v>1226</v>
      </c>
      <c r="Q243" s="17" t="s">
        <v>137</v>
      </c>
      <c r="R243" s="17" t="s">
        <v>146</v>
      </c>
    </row>
    <row r="244" spans="1:18" x14ac:dyDescent="0.3">
      <c r="A244" s="12" t="s">
        <v>1227</v>
      </c>
      <c r="B244" s="12" t="s">
        <v>10</v>
      </c>
      <c r="C244" s="12"/>
      <c r="D244" s="12" t="s">
        <v>157</v>
      </c>
      <c r="E244" s="12" t="s">
        <v>1228</v>
      </c>
      <c r="F244" s="12" t="s">
        <v>188</v>
      </c>
      <c r="G244" s="12" t="s">
        <v>1158</v>
      </c>
      <c r="H244" s="12" t="s">
        <v>36</v>
      </c>
      <c r="I244" s="12" t="s">
        <v>26</v>
      </c>
      <c r="J244" s="13" t="s">
        <v>941</v>
      </c>
      <c r="K244" s="14" t="s">
        <v>1229</v>
      </c>
      <c r="L244" s="15">
        <v>0</v>
      </c>
      <c r="M244" s="15" t="s">
        <v>144</v>
      </c>
      <c r="N244" s="16">
        <v>45236</v>
      </c>
      <c r="O244" s="12" t="s">
        <v>1230</v>
      </c>
      <c r="P244" s="14" t="s">
        <v>1231</v>
      </c>
      <c r="Q244" s="17" t="s">
        <v>137</v>
      </c>
      <c r="R244" s="17" t="s">
        <v>146</v>
      </c>
    </row>
    <row r="245" spans="1:18" x14ac:dyDescent="0.3">
      <c r="A245" s="12" t="s">
        <v>1232</v>
      </c>
      <c r="B245" s="12" t="s">
        <v>10</v>
      </c>
      <c r="C245" s="12"/>
      <c r="D245" s="12" t="s">
        <v>252</v>
      </c>
      <c r="E245" s="12" t="s">
        <v>1233</v>
      </c>
      <c r="F245" s="12" t="s">
        <v>940</v>
      </c>
      <c r="G245" s="12" t="s">
        <v>1158</v>
      </c>
      <c r="H245" s="12" t="s">
        <v>36</v>
      </c>
      <c r="I245" s="12" t="s">
        <v>26</v>
      </c>
      <c r="J245" s="13" t="s">
        <v>941</v>
      </c>
      <c r="K245" s="14" t="s">
        <v>1234</v>
      </c>
      <c r="L245" s="15">
        <v>1</v>
      </c>
      <c r="M245" s="15" t="s">
        <v>144</v>
      </c>
      <c r="N245" s="16">
        <v>45632</v>
      </c>
      <c r="O245" s="12" t="s">
        <v>1232</v>
      </c>
      <c r="P245" s="14" t="s">
        <v>1235</v>
      </c>
      <c r="Q245" s="17" t="s">
        <v>137</v>
      </c>
      <c r="R245" s="17" t="s">
        <v>146</v>
      </c>
    </row>
    <row r="246" spans="1:18" x14ac:dyDescent="0.3">
      <c r="A246" s="12" t="s">
        <v>1236</v>
      </c>
      <c r="B246" s="12" t="s">
        <v>10</v>
      </c>
      <c r="C246" s="12"/>
      <c r="D246" s="12" t="s">
        <v>647</v>
      </c>
      <c r="E246" s="12" t="s">
        <v>1237</v>
      </c>
      <c r="F246" s="12" t="s">
        <v>1238</v>
      </c>
      <c r="G246" s="12" t="s">
        <v>1158</v>
      </c>
      <c r="H246" s="12" t="s">
        <v>36</v>
      </c>
      <c r="I246" s="12" t="s">
        <v>26</v>
      </c>
      <c r="J246" s="13" t="s">
        <v>941</v>
      </c>
      <c r="K246" s="14" t="s">
        <v>1239</v>
      </c>
      <c r="L246" s="15">
        <v>0</v>
      </c>
      <c r="M246" s="15" t="s">
        <v>220</v>
      </c>
      <c r="N246" s="16">
        <v>46038</v>
      </c>
      <c r="O246" s="12" t="s">
        <v>1236</v>
      </c>
      <c r="P246" s="14" t="s">
        <v>1240</v>
      </c>
      <c r="Q246" s="17" t="s">
        <v>137</v>
      </c>
      <c r="R246" s="17" t="s">
        <v>146</v>
      </c>
    </row>
    <row r="247" spans="1:18" x14ac:dyDescent="0.3">
      <c r="A247" s="12" t="s">
        <v>1241</v>
      </c>
      <c r="B247" s="12" t="s">
        <v>12</v>
      </c>
      <c r="C247" s="12"/>
      <c r="D247" s="12" t="s">
        <v>12</v>
      </c>
      <c r="E247" s="12" t="s">
        <v>1242</v>
      </c>
      <c r="F247" s="12"/>
      <c r="G247" s="12" t="s">
        <v>1158</v>
      </c>
      <c r="H247" s="12" t="s">
        <v>36</v>
      </c>
      <c r="I247" s="12" t="s">
        <v>26</v>
      </c>
      <c r="J247" s="13" t="s">
        <v>941</v>
      </c>
      <c r="K247" s="14" t="s">
        <v>1243</v>
      </c>
      <c r="L247" s="15">
        <v>1</v>
      </c>
      <c r="M247" s="15" t="s">
        <v>144</v>
      </c>
      <c r="N247" s="16">
        <v>45343</v>
      </c>
      <c r="O247" s="12" t="s">
        <v>1241</v>
      </c>
      <c r="P247" s="14" t="s">
        <v>1244</v>
      </c>
      <c r="Q247" s="17" t="s">
        <v>137</v>
      </c>
      <c r="R247" s="17" t="s">
        <v>146</v>
      </c>
    </row>
    <row r="248" spans="1:18" x14ac:dyDescent="0.3">
      <c r="A248" s="12" t="s">
        <v>1245</v>
      </c>
      <c r="B248" s="12" t="s">
        <v>12</v>
      </c>
      <c r="C248" s="12"/>
      <c r="D248" s="12" t="s">
        <v>12</v>
      </c>
      <c r="E248" s="12" t="s">
        <v>1246</v>
      </c>
      <c r="F248" s="12" t="s">
        <v>1247</v>
      </c>
      <c r="G248" s="12" t="s">
        <v>1158</v>
      </c>
      <c r="H248" s="12" t="s">
        <v>36</v>
      </c>
      <c r="I248" s="12" t="s">
        <v>26</v>
      </c>
      <c r="J248" s="13" t="s">
        <v>941</v>
      </c>
      <c r="K248" s="14" t="s">
        <v>1248</v>
      </c>
      <c r="L248" s="15">
        <v>5</v>
      </c>
      <c r="M248" s="15" t="s">
        <v>144</v>
      </c>
      <c r="N248" s="16">
        <v>46010</v>
      </c>
      <c r="O248" s="12" t="s">
        <v>1245</v>
      </c>
      <c r="P248" s="14" t="s">
        <v>1249</v>
      </c>
      <c r="Q248" s="17" t="s">
        <v>137</v>
      </c>
      <c r="R248" s="17" t="s">
        <v>146</v>
      </c>
    </row>
    <row r="249" spans="1:18" x14ac:dyDescent="0.3">
      <c r="A249" s="12" t="s">
        <v>199</v>
      </c>
      <c r="B249" s="12" t="s">
        <v>14</v>
      </c>
      <c r="C249" s="12"/>
      <c r="D249" s="12" t="s">
        <v>14</v>
      </c>
      <c r="E249" s="12" t="s">
        <v>1250</v>
      </c>
      <c r="F249" s="12" t="s">
        <v>188</v>
      </c>
      <c r="G249" s="12" t="s">
        <v>1158</v>
      </c>
      <c r="H249" s="12" t="s">
        <v>36</v>
      </c>
      <c r="I249" s="12" t="s">
        <v>26</v>
      </c>
      <c r="J249" s="13" t="s">
        <v>1178</v>
      </c>
      <c r="K249" s="14" t="s">
        <v>1251</v>
      </c>
      <c r="L249" s="15">
        <v>8</v>
      </c>
      <c r="M249" s="15" t="s">
        <v>144</v>
      </c>
      <c r="N249" s="16">
        <v>45951</v>
      </c>
      <c r="O249" s="12" t="s">
        <v>331</v>
      </c>
      <c r="P249" s="14" t="s">
        <v>1049</v>
      </c>
      <c r="Q249" s="17" t="s">
        <v>137</v>
      </c>
      <c r="R249" s="17" t="s">
        <v>146</v>
      </c>
    </row>
    <row r="250" spans="1:18" x14ac:dyDescent="0.3">
      <c r="A250" s="12" t="s">
        <v>364</v>
      </c>
      <c r="B250" s="12" t="s">
        <v>10</v>
      </c>
      <c r="C250" s="12"/>
      <c r="D250" s="12" t="s">
        <v>157</v>
      </c>
      <c r="E250" s="12" t="s">
        <v>1252</v>
      </c>
      <c r="F250" s="12" t="s">
        <v>188</v>
      </c>
      <c r="G250" s="12" t="s">
        <v>1158</v>
      </c>
      <c r="H250" s="12" t="s">
        <v>36</v>
      </c>
      <c r="I250" s="12" t="s">
        <v>26</v>
      </c>
      <c r="J250" s="13" t="s">
        <v>1178</v>
      </c>
      <c r="K250" s="14" t="s">
        <v>368</v>
      </c>
      <c r="L250" s="15">
        <v>8</v>
      </c>
      <c r="M250" s="15" t="s">
        <v>144</v>
      </c>
      <c r="N250" s="16">
        <v>46253</v>
      </c>
      <c r="O250" s="12" t="s">
        <v>364</v>
      </c>
      <c r="P250" s="14" t="s">
        <v>369</v>
      </c>
      <c r="Q250" s="17" t="s">
        <v>137</v>
      </c>
      <c r="R250" s="17" t="s">
        <v>146</v>
      </c>
    </row>
    <row r="251" spans="1:18" x14ac:dyDescent="0.3">
      <c r="A251" s="12" t="s">
        <v>1253</v>
      </c>
      <c r="B251" s="12" t="s">
        <v>12</v>
      </c>
      <c r="C251" s="12"/>
      <c r="D251" s="12" t="s">
        <v>12</v>
      </c>
      <c r="E251" s="12" t="s">
        <v>1176</v>
      </c>
      <c r="F251" s="12" t="s">
        <v>1204</v>
      </c>
      <c r="G251" s="12" t="s">
        <v>1158</v>
      </c>
      <c r="H251" s="12" t="s">
        <v>36</v>
      </c>
      <c r="I251" s="12" t="s">
        <v>26</v>
      </c>
      <c r="J251" s="13" t="s">
        <v>1178</v>
      </c>
      <c r="K251" s="14" t="s">
        <v>1254</v>
      </c>
      <c r="L251" s="15">
        <v>2</v>
      </c>
      <c r="M251" s="15" t="s">
        <v>144</v>
      </c>
      <c r="N251" s="16">
        <v>46095</v>
      </c>
      <c r="O251" s="12" t="s">
        <v>1253</v>
      </c>
      <c r="P251" s="14" t="s">
        <v>1255</v>
      </c>
      <c r="Q251" s="17" t="s">
        <v>137</v>
      </c>
      <c r="R251" s="17" t="s">
        <v>146</v>
      </c>
    </row>
    <row r="252" spans="1:18" x14ac:dyDescent="0.3">
      <c r="A252" s="12" t="s">
        <v>1041</v>
      </c>
      <c r="B252" s="12" t="s">
        <v>20</v>
      </c>
      <c r="C252" s="12"/>
      <c r="D252" s="12" t="s">
        <v>193</v>
      </c>
      <c r="E252" s="12" t="s">
        <v>1224</v>
      </c>
      <c r="F252" s="12" t="s">
        <v>1256</v>
      </c>
      <c r="G252" s="12" t="s">
        <v>1158</v>
      </c>
      <c r="H252" s="12" t="s">
        <v>36</v>
      </c>
      <c r="I252" s="12" t="s">
        <v>26</v>
      </c>
      <c r="J252" s="13" t="s">
        <v>1178</v>
      </c>
      <c r="K252" s="14" t="s">
        <v>1257</v>
      </c>
      <c r="L252" s="15">
        <v>9</v>
      </c>
      <c r="M252" s="15" t="s">
        <v>144</v>
      </c>
      <c r="N252" s="16">
        <v>42180</v>
      </c>
      <c r="O252" s="12" t="s">
        <v>1041</v>
      </c>
      <c r="P252" s="14" t="s">
        <v>1258</v>
      </c>
      <c r="Q252" s="17" t="s">
        <v>137</v>
      </c>
      <c r="R252" s="17" t="s">
        <v>146</v>
      </c>
    </row>
    <row r="253" spans="1:18" x14ac:dyDescent="0.3">
      <c r="A253" s="12" t="s">
        <v>1259</v>
      </c>
      <c r="B253" s="12" t="s">
        <v>10</v>
      </c>
      <c r="C253" s="12"/>
      <c r="D253" s="12" t="s">
        <v>647</v>
      </c>
      <c r="E253" s="12" t="s">
        <v>1162</v>
      </c>
      <c r="F253" s="12" t="s">
        <v>366</v>
      </c>
      <c r="G253" s="12" t="s">
        <v>1158</v>
      </c>
      <c r="H253" s="12" t="s">
        <v>36</v>
      </c>
      <c r="I253" s="12" t="s">
        <v>26</v>
      </c>
      <c r="J253" s="13" t="s">
        <v>941</v>
      </c>
      <c r="K253" s="14" t="s">
        <v>1260</v>
      </c>
      <c r="L253" s="15">
        <v>33</v>
      </c>
      <c r="M253" s="15" t="s">
        <v>144</v>
      </c>
      <c r="N253" s="16">
        <v>46161</v>
      </c>
      <c r="O253" s="12" t="s">
        <v>1261</v>
      </c>
      <c r="P253" s="14" t="s">
        <v>1262</v>
      </c>
      <c r="Q253" s="17" t="s">
        <v>137</v>
      </c>
      <c r="R253" s="17" t="s">
        <v>146</v>
      </c>
    </row>
    <row r="254" spans="1:18" x14ac:dyDescent="0.3">
      <c r="A254" s="12" t="s">
        <v>1263</v>
      </c>
      <c r="B254" s="12" t="s">
        <v>10</v>
      </c>
      <c r="C254" s="12" t="s">
        <v>180</v>
      </c>
      <c r="D254" s="12" t="s">
        <v>283</v>
      </c>
      <c r="E254" s="12" t="s">
        <v>1264</v>
      </c>
      <c r="F254" s="12" t="s">
        <v>1265</v>
      </c>
      <c r="G254" s="12" t="s">
        <v>1158</v>
      </c>
      <c r="H254" s="12" t="s">
        <v>36</v>
      </c>
      <c r="I254" s="12" t="s">
        <v>26</v>
      </c>
      <c r="J254" s="13" t="s">
        <v>1178</v>
      </c>
      <c r="K254" s="14" t="s">
        <v>1266</v>
      </c>
      <c r="L254" s="15">
        <v>41</v>
      </c>
      <c r="M254" s="15" t="s">
        <v>144</v>
      </c>
      <c r="N254" s="16">
        <v>45911</v>
      </c>
      <c r="O254" s="12" t="s">
        <v>1263</v>
      </c>
      <c r="P254" s="14" t="s">
        <v>1267</v>
      </c>
      <c r="Q254" s="17" t="s">
        <v>137</v>
      </c>
      <c r="R254" s="17" t="s">
        <v>146</v>
      </c>
    </row>
    <row r="255" spans="1:18" x14ac:dyDescent="0.3">
      <c r="A255" s="12" t="s">
        <v>1268</v>
      </c>
      <c r="B255" s="12" t="s">
        <v>10</v>
      </c>
      <c r="C255" s="12"/>
      <c r="D255" s="12" t="s">
        <v>157</v>
      </c>
      <c r="E255" s="12" t="s">
        <v>1269</v>
      </c>
      <c r="F255" s="12" t="s">
        <v>1270</v>
      </c>
      <c r="G255" s="12" t="s">
        <v>1158</v>
      </c>
      <c r="H255" s="12" t="s">
        <v>36</v>
      </c>
      <c r="I255" s="12" t="s">
        <v>26</v>
      </c>
      <c r="J255" s="13" t="s">
        <v>1178</v>
      </c>
      <c r="K255" s="14" t="s">
        <v>1271</v>
      </c>
      <c r="L255" s="15">
        <v>0</v>
      </c>
      <c r="M255" s="15" t="s">
        <v>144</v>
      </c>
      <c r="N255" s="16">
        <v>44642</v>
      </c>
      <c r="O255" s="12" t="s">
        <v>1268</v>
      </c>
      <c r="P255" s="14" t="s">
        <v>1272</v>
      </c>
      <c r="Q255" s="17" t="s">
        <v>137</v>
      </c>
      <c r="R255" s="17" t="s">
        <v>146</v>
      </c>
    </row>
    <row r="256" spans="1:18" x14ac:dyDescent="0.3">
      <c r="A256" s="12" t="s">
        <v>1273</v>
      </c>
      <c r="B256" s="12" t="s">
        <v>12</v>
      </c>
      <c r="C256" s="12" t="s">
        <v>14</v>
      </c>
      <c r="D256" s="12" t="s">
        <v>180</v>
      </c>
      <c r="E256" s="12" t="s">
        <v>1274</v>
      </c>
      <c r="F256" s="12" t="s">
        <v>1275</v>
      </c>
      <c r="G256" s="12" t="s">
        <v>1158</v>
      </c>
      <c r="H256" s="12" t="s">
        <v>36</v>
      </c>
      <c r="I256" s="12" t="s">
        <v>26</v>
      </c>
      <c r="J256" s="13" t="s">
        <v>941</v>
      </c>
      <c r="K256" s="14" t="s">
        <v>1276</v>
      </c>
      <c r="L256" s="15">
        <v>0</v>
      </c>
      <c r="M256" s="15" t="s">
        <v>144</v>
      </c>
      <c r="N256" s="16">
        <v>44865</v>
      </c>
      <c r="O256" s="12" t="s">
        <v>1273</v>
      </c>
      <c r="P256" s="14" t="s">
        <v>1277</v>
      </c>
      <c r="Q256" s="17" t="s">
        <v>137</v>
      </c>
      <c r="R256" s="17" t="s">
        <v>146</v>
      </c>
    </row>
    <row r="257" spans="1:18" x14ac:dyDescent="0.3">
      <c r="A257" s="12" t="s">
        <v>1273</v>
      </c>
      <c r="B257" s="12" t="s">
        <v>14</v>
      </c>
      <c r="C257" s="12"/>
      <c r="D257" s="12" t="s">
        <v>14</v>
      </c>
      <c r="E257" s="12" t="s">
        <v>1278</v>
      </c>
      <c r="F257" s="12" t="s">
        <v>520</v>
      </c>
      <c r="G257" s="12" t="s">
        <v>1158</v>
      </c>
      <c r="H257" s="12" t="s">
        <v>36</v>
      </c>
      <c r="I257" s="12" t="s">
        <v>26</v>
      </c>
      <c r="J257" s="13" t="s">
        <v>1178</v>
      </c>
      <c r="K257" s="14" t="s">
        <v>1276</v>
      </c>
      <c r="L257" s="15">
        <v>0</v>
      </c>
      <c r="M257" s="15" t="s">
        <v>144</v>
      </c>
      <c r="N257" s="16">
        <v>45460</v>
      </c>
      <c r="O257" s="12" t="s">
        <v>1273</v>
      </c>
      <c r="P257" s="14" t="s">
        <v>1279</v>
      </c>
      <c r="Q257" s="17" t="s">
        <v>137</v>
      </c>
      <c r="R257" s="17" t="s">
        <v>146</v>
      </c>
    </row>
    <row r="258" spans="1:18" x14ac:dyDescent="0.3">
      <c r="A258" s="12" t="s">
        <v>1280</v>
      </c>
      <c r="B258" s="12" t="s">
        <v>12</v>
      </c>
      <c r="C258" s="12"/>
      <c r="D258" s="12" t="s">
        <v>12</v>
      </c>
      <c r="E258" s="12" t="s">
        <v>1281</v>
      </c>
      <c r="F258" s="12" t="s">
        <v>293</v>
      </c>
      <c r="G258" s="12" t="s">
        <v>1158</v>
      </c>
      <c r="H258" s="12" t="s">
        <v>36</v>
      </c>
      <c r="I258" s="12" t="s">
        <v>26</v>
      </c>
      <c r="J258" s="13" t="s">
        <v>1178</v>
      </c>
      <c r="K258" s="14" t="s">
        <v>1282</v>
      </c>
      <c r="L258" s="15">
        <v>2</v>
      </c>
      <c r="M258" s="15" t="s">
        <v>144</v>
      </c>
      <c r="N258" s="16">
        <v>46285</v>
      </c>
      <c r="O258" s="12" t="s">
        <v>1280</v>
      </c>
      <c r="P258" s="14" t="s">
        <v>1283</v>
      </c>
      <c r="Q258" s="17" t="s">
        <v>137</v>
      </c>
      <c r="R258" s="17" t="s">
        <v>146</v>
      </c>
    </row>
    <row r="259" spans="1:18" x14ac:dyDescent="0.3">
      <c r="A259" s="12" t="s">
        <v>652</v>
      </c>
      <c r="B259" s="12" t="s">
        <v>20</v>
      </c>
      <c r="C259" s="12"/>
      <c r="D259" s="12" t="s">
        <v>193</v>
      </c>
      <c r="E259" s="12" t="s">
        <v>1284</v>
      </c>
      <c r="F259" s="12" t="s">
        <v>1285</v>
      </c>
      <c r="G259" s="12" t="s">
        <v>1158</v>
      </c>
      <c r="H259" s="12" t="s">
        <v>36</v>
      </c>
      <c r="I259" s="12" t="s">
        <v>26</v>
      </c>
      <c r="J259" s="13" t="s">
        <v>1178</v>
      </c>
      <c r="K259" s="14" t="s">
        <v>1286</v>
      </c>
      <c r="L259" s="15">
        <v>1</v>
      </c>
      <c r="M259" s="15" t="s">
        <v>144</v>
      </c>
      <c r="N259" s="16">
        <v>44132</v>
      </c>
      <c r="O259" s="12" t="s">
        <v>299</v>
      </c>
      <c r="P259" s="14" t="s">
        <v>1287</v>
      </c>
      <c r="Q259" s="17" t="s">
        <v>137</v>
      </c>
      <c r="R259" s="17" t="s">
        <v>146</v>
      </c>
    </row>
    <row r="260" spans="1:18" x14ac:dyDescent="0.3">
      <c r="A260" s="12" t="s">
        <v>307</v>
      </c>
      <c r="B260" s="12" t="s">
        <v>14</v>
      </c>
      <c r="C260" s="12"/>
      <c r="D260" s="12" t="s">
        <v>14</v>
      </c>
      <c r="E260" s="12" t="s">
        <v>1288</v>
      </c>
      <c r="F260" s="12"/>
      <c r="G260" s="12" t="s">
        <v>1158</v>
      </c>
      <c r="H260" s="12" t="s">
        <v>36</v>
      </c>
      <c r="I260" s="12" t="s">
        <v>26</v>
      </c>
      <c r="J260" s="13" t="s">
        <v>941</v>
      </c>
      <c r="K260" s="14" t="s">
        <v>1289</v>
      </c>
      <c r="L260" s="15">
        <v>4</v>
      </c>
      <c r="M260" s="15" t="s">
        <v>144</v>
      </c>
      <c r="N260" s="16">
        <v>46275</v>
      </c>
      <c r="O260" s="12" t="s">
        <v>307</v>
      </c>
      <c r="P260" s="14" t="s">
        <v>310</v>
      </c>
      <c r="Q260" s="17" t="s">
        <v>137</v>
      </c>
      <c r="R260" s="17" t="s">
        <v>146</v>
      </c>
    </row>
    <row r="261" spans="1:18" x14ac:dyDescent="0.3">
      <c r="A261" s="12" t="s">
        <v>307</v>
      </c>
      <c r="B261" s="12" t="s">
        <v>14</v>
      </c>
      <c r="C261" s="12"/>
      <c r="D261" s="12" t="s">
        <v>14</v>
      </c>
      <c r="E261" s="12" t="s">
        <v>1290</v>
      </c>
      <c r="F261" s="12"/>
      <c r="G261" s="12" t="s">
        <v>1158</v>
      </c>
      <c r="H261" s="12" t="s">
        <v>36</v>
      </c>
      <c r="I261" s="12" t="s">
        <v>26</v>
      </c>
      <c r="J261" s="13" t="s">
        <v>1217</v>
      </c>
      <c r="K261" s="14" t="s">
        <v>1291</v>
      </c>
      <c r="L261" s="15">
        <v>4</v>
      </c>
      <c r="M261" s="15" t="s">
        <v>144</v>
      </c>
      <c r="N261" s="16">
        <v>46275</v>
      </c>
      <c r="O261" s="12" t="s">
        <v>307</v>
      </c>
      <c r="P261" s="14" t="s">
        <v>310</v>
      </c>
      <c r="Q261" s="17" t="s">
        <v>137</v>
      </c>
      <c r="R261" s="17" t="s">
        <v>146</v>
      </c>
    </row>
    <row r="262" spans="1:18" x14ac:dyDescent="0.3">
      <c r="A262" s="12" t="s">
        <v>1292</v>
      </c>
      <c r="B262" s="12" t="s">
        <v>12</v>
      </c>
      <c r="C262" s="12"/>
      <c r="D262" s="12" t="s">
        <v>12</v>
      </c>
      <c r="E262" s="12" t="s">
        <v>1182</v>
      </c>
      <c r="F262" s="12" t="s">
        <v>631</v>
      </c>
      <c r="G262" s="12" t="s">
        <v>1158</v>
      </c>
      <c r="H262" s="12" t="s">
        <v>36</v>
      </c>
      <c r="I262" s="12" t="s">
        <v>26</v>
      </c>
      <c r="J262" s="13" t="s">
        <v>1178</v>
      </c>
      <c r="K262" s="14" t="s">
        <v>1293</v>
      </c>
      <c r="L262" s="15">
        <v>0</v>
      </c>
      <c r="M262" s="15" t="s">
        <v>144</v>
      </c>
      <c r="N262" s="16">
        <v>44827</v>
      </c>
      <c r="O262" s="12" t="s">
        <v>1292</v>
      </c>
      <c r="P262" s="14" t="s">
        <v>1294</v>
      </c>
      <c r="Q262" s="17" t="s">
        <v>137</v>
      </c>
      <c r="R262" s="17" t="s">
        <v>146</v>
      </c>
    </row>
    <row r="263" spans="1:18" x14ac:dyDescent="0.3">
      <c r="A263" s="12" t="s">
        <v>1295</v>
      </c>
      <c r="B263" s="12" t="s">
        <v>18</v>
      </c>
      <c r="C263" s="12"/>
      <c r="D263" s="12" t="s">
        <v>613</v>
      </c>
      <c r="E263" s="12" t="s">
        <v>1290</v>
      </c>
      <c r="F263" s="12"/>
      <c r="G263" s="12" t="s">
        <v>1158</v>
      </c>
      <c r="H263" s="12" t="s">
        <v>36</v>
      </c>
      <c r="I263" s="12" t="s">
        <v>26</v>
      </c>
      <c r="J263" s="13" t="s">
        <v>1217</v>
      </c>
      <c r="K263" s="14" t="s">
        <v>1296</v>
      </c>
      <c r="L263" s="15">
        <v>0</v>
      </c>
      <c r="M263" s="15" t="s">
        <v>144</v>
      </c>
      <c r="N263" s="16">
        <v>39548</v>
      </c>
      <c r="O263" s="12" t="s">
        <v>1297</v>
      </c>
      <c r="P263" s="14" t="s">
        <v>1298</v>
      </c>
      <c r="Q263" s="17" t="s">
        <v>137</v>
      </c>
      <c r="R263" s="17" t="s">
        <v>146</v>
      </c>
    </row>
    <row r="264" spans="1:18" x14ac:dyDescent="0.3">
      <c r="A264" s="12" t="s">
        <v>1152</v>
      </c>
      <c r="B264" s="12" t="s">
        <v>12</v>
      </c>
      <c r="C264" s="12"/>
      <c r="D264" s="12" t="s">
        <v>12</v>
      </c>
      <c r="E264" s="12" t="s">
        <v>1299</v>
      </c>
      <c r="F264" s="12" t="s">
        <v>1039</v>
      </c>
      <c r="G264" s="12" t="s">
        <v>1158</v>
      </c>
      <c r="H264" s="12" t="s">
        <v>36</v>
      </c>
      <c r="I264" s="12" t="s">
        <v>26</v>
      </c>
      <c r="J264" s="13" t="s">
        <v>1178</v>
      </c>
      <c r="K264" s="14" t="s">
        <v>1153</v>
      </c>
      <c r="L264" s="15">
        <v>2</v>
      </c>
      <c r="M264" s="15" t="s">
        <v>144</v>
      </c>
      <c r="N264" s="16">
        <v>45297</v>
      </c>
      <c r="O264" s="12" t="s">
        <v>1154</v>
      </c>
      <c r="P264" s="14" t="s">
        <v>1155</v>
      </c>
      <c r="Q264" s="17" t="s">
        <v>137</v>
      </c>
      <c r="R264" s="17" t="s">
        <v>146</v>
      </c>
    </row>
    <row r="265" spans="1:18" x14ac:dyDescent="0.3">
      <c r="A265" s="12" t="s">
        <v>779</v>
      </c>
      <c r="B265" s="12" t="s">
        <v>12</v>
      </c>
      <c r="C265" s="12"/>
      <c r="D265" s="12" t="s">
        <v>12</v>
      </c>
      <c r="E265" s="12" t="s">
        <v>1300</v>
      </c>
      <c r="F265" s="12"/>
      <c r="G265" s="12" t="s">
        <v>1158</v>
      </c>
      <c r="H265" s="12" t="s">
        <v>36</v>
      </c>
      <c r="I265" s="12" t="s">
        <v>26</v>
      </c>
      <c r="J265" s="13" t="s">
        <v>1217</v>
      </c>
      <c r="K265" s="14" t="s">
        <v>781</v>
      </c>
      <c r="L265" s="15">
        <v>0</v>
      </c>
      <c r="M265" s="15" t="s">
        <v>144</v>
      </c>
      <c r="N265" s="16">
        <v>46053</v>
      </c>
      <c r="O265" s="12" t="s">
        <v>779</v>
      </c>
      <c r="P265" s="14" t="s">
        <v>782</v>
      </c>
      <c r="Q265" s="17" t="s">
        <v>137</v>
      </c>
      <c r="R265" s="17" t="s">
        <v>146</v>
      </c>
    </row>
    <row r="266" spans="1:18" x14ac:dyDescent="0.3">
      <c r="A266" s="12" t="s">
        <v>1301</v>
      </c>
      <c r="B266" s="12" t="s">
        <v>12</v>
      </c>
      <c r="C266" s="12"/>
      <c r="D266" s="12" t="s">
        <v>12</v>
      </c>
      <c r="E266" s="12" t="s">
        <v>1302</v>
      </c>
      <c r="F266" s="12"/>
      <c r="G266" s="12" t="s">
        <v>448</v>
      </c>
      <c r="H266" s="12" t="s">
        <v>36</v>
      </c>
      <c r="I266" s="12" t="s">
        <v>26</v>
      </c>
      <c r="J266" s="13" t="s">
        <v>449</v>
      </c>
      <c r="K266" s="14" t="s">
        <v>1303</v>
      </c>
      <c r="L266" s="15">
        <v>3</v>
      </c>
      <c r="M266" s="15" t="s">
        <v>144</v>
      </c>
      <c r="N266" s="16">
        <v>46058</v>
      </c>
      <c r="O266" s="12" t="s">
        <v>1301</v>
      </c>
      <c r="P266" s="14" t="s">
        <v>1304</v>
      </c>
      <c r="Q266" s="17" t="s">
        <v>137</v>
      </c>
      <c r="R266" s="17" t="s">
        <v>146</v>
      </c>
    </row>
    <row r="267" spans="1:18" x14ac:dyDescent="0.3">
      <c r="A267" s="12" t="s">
        <v>1305</v>
      </c>
      <c r="B267" s="12" t="s">
        <v>12</v>
      </c>
      <c r="C267" s="12"/>
      <c r="D267" s="12" t="s">
        <v>12</v>
      </c>
      <c r="E267" s="12" t="s">
        <v>1306</v>
      </c>
      <c r="F267" s="12" t="s">
        <v>188</v>
      </c>
      <c r="G267" s="12" t="s">
        <v>448</v>
      </c>
      <c r="H267" s="12" t="s">
        <v>36</v>
      </c>
      <c r="I267" s="12" t="s">
        <v>26</v>
      </c>
      <c r="J267" s="13" t="s">
        <v>449</v>
      </c>
      <c r="K267" s="14" t="s">
        <v>1307</v>
      </c>
      <c r="L267" s="15">
        <v>2</v>
      </c>
      <c r="M267" s="15" t="s">
        <v>144</v>
      </c>
      <c r="N267" s="16">
        <v>45218</v>
      </c>
      <c r="O267" s="12" t="s">
        <v>1305</v>
      </c>
      <c r="P267" s="14" t="s">
        <v>1308</v>
      </c>
      <c r="Q267" s="17" t="s">
        <v>137</v>
      </c>
      <c r="R267" s="17" t="s">
        <v>146</v>
      </c>
    </row>
    <row r="268" spans="1:18" x14ac:dyDescent="0.3">
      <c r="A268" s="12" t="s">
        <v>1309</v>
      </c>
      <c r="B268" s="12" t="s">
        <v>10</v>
      </c>
      <c r="C268" s="12"/>
      <c r="D268" s="12" t="s">
        <v>252</v>
      </c>
      <c r="E268" s="12" t="s">
        <v>1310</v>
      </c>
      <c r="F268" s="12" t="s">
        <v>1311</v>
      </c>
      <c r="G268" s="12" t="s">
        <v>448</v>
      </c>
      <c r="H268" s="12" t="s">
        <v>36</v>
      </c>
      <c r="I268" s="12" t="s">
        <v>26</v>
      </c>
      <c r="J268" s="13" t="s">
        <v>449</v>
      </c>
      <c r="K268" s="14" t="s">
        <v>1312</v>
      </c>
      <c r="L268" s="15">
        <v>0</v>
      </c>
      <c r="M268" s="15" t="s">
        <v>144</v>
      </c>
      <c r="N268" s="16">
        <v>45995</v>
      </c>
      <c r="O268" s="12" t="s">
        <v>1309</v>
      </c>
      <c r="P268" s="14" t="s">
        <v>1313</v>
      </c>
      <c r="Q268" s="17" t="s">
        <v>137</v>
      </c>
      <c r="R268" s="17" t="s">
        <v>146</v>
      </c>
    </row>
    <row r="269" spans="1:18" x14ac:dyDescent="0.3">
      <c r="A269" s="12" t="s">
        <v>1314</v>
      </c>
      <c r="B269" s="12" t="s">
        <v>12</v>
      </c>
      <c r="C269" s="12"/>
      <c r="D269" s="12" t="s">
        <v>12</v>
      </c>
      <c r="E269" s="12" t="s">
        <v>1315</v>
      </c>
      <c r="F269" s="12" t="s">
        <v>467</v>
      </c>
      <c r="G269" s="12" t="s">
        <v>1316</v>
      </c>
      <c r="H269" s="12" t="s">
        <v>36</v>
      </c>
      <c r="I269" s="12" t="s">
        <v>26</v>
      </c>
      <c r="J269" s="13" t="s">
        <v>1317</v>
      </c>
      <c r="K269" s="14" t="s">
        <v>1318</v>
      </c>
      <c r="L269" s="15">
        <v>4</v>
      </c>
      <c r="M269" s="15" t="s">
        <v>144</v>
      </c>
      <c r="N269" s="16">
        <v>45967</v>
      </c>
      <c r="O269" s="12" t="s">
        <v>1319</v>
      </c>
      <c r="P269" s="14" t="s">
        <v>1320</v>
      </c>
      <c r="Q269" s="17" t="s">
        <v>137</v>
      </c>
      <c r="R269" s="17" t="s">
        <v>146</v>
      </c>
    </row>
    <row r="270" spans="1:18" x14ac:dyDescent="0.3">
      <c r="A270" s="12" t="s">
        <v>1321</v>
      </c>
      <c r="B270" s="12" t="s">
        <v>14</v>
      </c>
      <c r="C270" s="12"/>
      <c r="D270" s="12" t="s">
        <v>14</v>
      </c>
      <c r="E270" s="12" t="s">
        <v>1322</v>
      </c>
      <c r="F270" s="12"/>
      <c r="G270" s="12" t="s">
        <v>1316</v>
      </c>
      <c r="H270" s="12" t="s">
        <v>36</v>
      </c>
      <c r="I270" s="12" t="s">
        <v>26</v>
      </c>
      <c r="J270" s="13" t="s">
        <v>1323</v>
      </c>
      <c r="K270" s="14" t="s">
        <v>1324</v>
      </c>
      <c r="L270" s="15">
        <v>1</v>
      </c>
      <c r="M270" s="15" t="s">
        <v>144</v>
      </c>
      <c r="N270" s="16">
        <v>46028</v>
      </c>
      <c r="O270" s="12" t="s">
        <v>1325</v>
      </c>
      <c r="P270" s="14" t="s">
        <v>1326</v>
      </c>
      <c r="Q270" s="17" t="s">
        <v>137</v>
      </c>
      <c r="R270" s="17" t="s">
        <v>146</v>
      </c>
    </row>
    <row r="271" spans="1:18" x14ac:dyDescent="0.3">
      <c r="A271" s="12" t="s">
        <v>1327</v>
      </c>
      <c r="B271" s="12" t="s">
        <v>18</v>
      </c>
      <c r="C271" s="12" t="s">
        <v>20</v>
      </c>
      <c r="D271" s="12" t="s">
        <v>1328</v>
      </c>
      <c r="E271" s="12" t="s">
        <v>1329</v>
      </c>
      <c r="F271" s="12" t="s">
        <v>1330</v>
      </c>
      <c r="G271" s="12" t="s">
        <v>1316</v>
      </c>
      <c r="H271" s="12" t="s">
        <v>36</v>
      </c>
      <c r="I271" s="12" t="s">
        <v>26</v>
      </c>
      <c r="J271" s="13" t="s">
        <v>1323</v>
      </c>
      <c r="K271" s="14" t="s">
        <v>1331</v>
      </c>
      <c r="L271" s="15">
        <v>1</v>
      </c>
      <c r="M271" s="15" t="s">
        <v>144</v>
      </c>
      <c r="N271" s="16">
        <v>44721</v>
      </c>
      <c r="O271" s="12" t="s">
        <v>1327</v>
      </c>
      <c r="P271" s="14" t="s">
        <v>1332</v>
      </c>
      <c r="Q271" s="17" t="s">
        <v>137</v>
      </c>
      <c r="R271" s="17" t="s">
        <v>146</v>
      </c>
    </row>
    <row r="272" spans="1:18" x14ac:dyDescent="0.3">
      <c r="A272" s="12" t="s">
        <v>1333</v>
      </c>
      <c r="B272" s="12" t="s">
        <v>12</v>
      </c>
      <c r="C272" s="12"/>
      <c r="D272" s="12" t="s">
        <v>12</v>
      </c>
      <c r="E272" s="12" t="s">
        <v>1334</v>
      </c>
      <c r="F272" s="12"/>
      <c r="G272" s="12" t="s">
        <v>1335</v>
      </c>
      <c r="H272" s="12" t="s">
        <v>36</v>
      </c>
      <c r="I272" s="12" t="s">
        <v>26</v>
      </c>
      <c r="J272" s="13" t="s">
        <v>1336</v>
      </c>
      <c r="K272" s="14" t="s">
        <v>1337</v>
      </c>
      <c r="L272" s="15">
        <v>1</v>
      </c>
      <c r="M272" s="15" t="s">
        <v>144</v>
      </c>
      <c r="N272" s="16">
        <v>44761</v>
      </c>
      <c r="O272" s="12" t="s">
        <v>1333</v>
      </c>
      <c r="P272" s="14" t="s">
        <v>1338</v>
      </c>
      <c r="Q272" s="17" t="s">
        <v>137</v>
      </c>
      <c r="R272" s="17" t="s">
        <v>146</v>
      </c>
    </row>
    <row r="273" spans="1:18" x14ac:dyDescent="0.3">
      <c r="A273" s="12" t="s">
        <v>1339</v>
      </c>
      <c r="B273" s="12" t="s">
        <v>12</v>
      </c>
      <c r="C273" s="12" t="s">
        <v>14</v>
      </c>
      <c r="D273" s="12" t="s">
        <v>180</v>
      </c>
      <c r="E273" s="12" t="s">
        <v>1340</v>
      </c>
      <c r="F273" s="12" t="s">
        <v>248</v>
      </c>
      <c r="G273" s="12" t="s">
        <v>1341</v>
      </c>
      <c r="H273" s="12" t="s">
        <v>36</v>
      </c>
      <c r="I273" s="12" t="s">
        <v>26</v>
      </c>
      <c r="J273" s="13" t="s">
        <v>1342</v>
      </c>
      <c r="K273" s="14" t="s">
        <v>1343</v>
      </c>
      <c r="L273" s="15">
        <v>18</v>
      </c>
      <c r="M273" s="15" t="s">
        <v>144</v>
      </c>
      <c r="N273" s="16">
        <v>45908</v>
      </c>
      <c r="O273" s="12" t="s">
        <v>1339</v>
      </c>
      <c r="P273" s="14" t="s">
        <v>1344</v>
      </c>
      <c r="Q273" s="17" t="s">
        <v>137</v>
      </c>
      <c r="R273" s="17" t="s">
        <v>146</v>
      </c>
    </row>
    <row r="274" spans="1:18" x14ac:dyDescent="0.3">
      <c r="A274" s="12" t="s">
        <v>1345</v>
      </c>
      <c r="B274" s="12" t="s">
        <v>12</v>
      </c>
      <c r="C274" s="12"/>
      <c r="D274" s="12" t="s">
        <v>12</v>
      </c>
      <c r="E274" s="12" t="s">
        <v>1346</v>
      </c>
      <c r="F274" s="12" t="s">
        <v>188</v>
      </c>
      <c r="G274" s="12" t="s">
        <v>1341</v>
      </c>
      <c r="H274" s="12" t="s">
        <v>36</v>
      </c>
      <c r="I274" s="12" t="s">
        <v>26</v>
      </c>
      <c r="J274" s="13" t="s">
        <v>1342</v>
      </c>
      <c r="K274" s="14" t="s">
        <v>1347</v>
      </c>
      <c r="L274" s="15">
        <v>2</v>
      </c>
      <c r="M274" s="15" t="s">
        <v>144</v>
      </c>
      <c r="N274" s="16">
        <v>46127</v>
      </c>
      <c r="O274" s="12" t="s">
        <v>1345</v>
      </c>
      <c r="P274" s="14" t="s">
        <v>1348</v>
      </c>
      <c r="Q274" s="17" t="s">
        <v>137</v>
      </c>
      <c r="R274" s="17" t="s">
        <v>146</v>
      </c>
    </row>
    <row r="275" spans="1:18" x14ac:dyDescent="0.3">
      <c r="A275" s="12" t="s">
        <v>1349</v>
      </c>
      <c r="B275" s="12" t="s">
        <v>10</v>
      </c>
      <c r="C275" s="12"/>
      <c r="D275" s="12" t="s">
        <v>440</v>
      </c>
      <c r="E275" s="12" t="s">
        <v>1350</v>
      </c>
      <c r="F275" s="12"/>
      <c r="G275" s="12" t="s">
        <v>1341</v>
      </c>
      <c r="H275" s="12" t="s">
        <v>36</v>
      </c>
      <c r="I275" s="12" t="s">
        <v>26</v>
      </c>
      <c r="J275" s="13" t="s">
        <v>1342</v>
      </c>
      <c r="K275" s="14" t="s">
        <v>1351</v>
      </c>
      <c r="L275" s="15">
        <v>0</v>
      </c>
      <c r="M275" s="15" t="s">
        <v>144</v>
      </c>
      <c r="N275" s="16">
        <v>45015</v>
      </c>
      <c r="O275" s="12" t="s">
        <v>1349</v>
      </c>
      <c r="P275" s="14" t="s">
        <v>1352</v>
      </c>
      <c r="Q275" s="17" t="s">
        <v>137</v>
      </c>
      <c r="R275" s="17" t="s">
        <v>146</v>
      </c>
    </row>
    <row r="276" spans="1:18" x14ac:dyDescent="0.3">
      <c r="A276" s="12" t="s">
        <v>1353</v>
      </c>
      <c r="B276" s="12" t="s">
        <v>12</v>
      </c>
      <c r="C276" s="12"/>
      <c r="D276" s="12" t="s">
        <v>12</v>
      </c>
      <c r="E276" s="12" t="s">
        <v>1354</v>
      </c>
      <c r="F276" s="12" t="s">
        <v>447</v>
      </c>
      <c r="G276" s="12" t="s">
        <v>1355</v>
      </c>
      <c r="H276" s="12" t="s">
        <v>36</v>
      </c>
      <c r="I276" s="12" t="s">
        <v>26</v>
      </c>
      <c r="J276" s="13" t="s">
        <v>1356</v>
      </c>
      <c r="K276" s="14" t="s">
        <v>1357</v>
      </c>
      <c r="L276" s="15">
        <v>5</v>
      </c>
      <c r="M276" s="15" t="s">
        <v>144</v>
      </c>
      <c r="N276" s="16">
        <v>45589</v>
      </c>
      <c r="O276" s="12" t="s">
        <v>1353</v>
      </c>
      <c r="P276" s="14" t="s">
        <v>1358</v>
      </c>
      <c r="Q276" s="17" t="s">
        <v>137</v>
      </c>
      <c r="R276" s="17" t="s">
        <v>146</v>
      </c>
    </row>
    <row r="277" spans="1:18" x14ac:dyDescent="0.3">
      <c r="A277" s="12" t="s">
        <v>1359</v>
      </c>
      <c r="B277" s="12" t="s">
        <v>10</v>
      </c>
      <c r="C277" s="12"/>
      <c r="D277" s="12" t="s">
        <v>647</v>
      </c>
      <c r="E277" s="12" t="s">
        <v>1360</v>
      </c>
      <c r="F277" s="12" t="s">
        <v>1361</v>
      </c>
      <c r="G277" s="12" t="s">
        <v>1362</v>
      </c>
      <c r="H277" s="12" t="s">
        <v>36</v>
      </c>
      <c r="I277" s="12" t="s">
        <v>26</v>
      </c>
      <c r="J277" s="13" t="s">
        <v>1363</v>
      </c>
      <c r="K277" s="14" t="s">
        <v>1364</v>
      </c>
      <c r="L277" s="15">
        <v>2</v>
      </c>
      <c r="M277" s="15" t="s">
        <v>144</v>
      </c>
      <c r="N277" s="16">
        <v>44794</v>
      </c>
      <c r="O277" s="12" t="s">
        <v>1359</v>
      </c>
      <c r="P277" s="14" t="s">
        <v>1365</v>
      </c>
      <c r="Q277" s="17" t="s">
        <v>137</v>
      </c>
      <c r="R277" s="17" t="s">
        <v>146</v>
      </c>
    </row>
    <row r="278" spans="1:18" x14ac:dyDescent="0.3">
      <c r="A278" s="12" t="s">
        <v>1366</v>
      </c>
      <c r="B278" s="12" t="s">
        <v>20</v>
      </c>
      <c r="C278" s="12"/>
      <c r="D278" s="12" t="s">
        <v>193</v>
      </c>
      <c r="E278" s="12" t="s">
        <v>1367</v>
      </c>
      <c r="F278" s="12"/>
      <c r="G278" s="12" t="s">
        <v>1362</v>
      </c>
      <c r="H278" s="12" t="s">
        <v>36</v>
      </c>
      <c r="I278" s="12" t="s">
        <v>26</v>
      </c>
      <c r="J278" s="13" t="s">
        <v>1363</v>
      </c>
      <c r="K278" s="14" t="s">
        <v>1368</v>
      </c>
      <c r="L278" s="15">
        <v>1</v>
      </c>
      <c r="M278" s="15" t="s">
        <v>144</v>
      </c>
      <c r="N278" s="16">
        <v>45231</v>
      </c>
      <c r="O278" s="12" t="s">
        <v>241</v>
      </c>
      <c r="P278" s="14" t="s">
        <v>242</v>
      </c>
      <c r="Q278" s="17" t="s">
        <v>137</v>
      </c>
      <c r="R278" s="17" t="s">
        <v>146</v>
      </c>
    </row>
    <row r="279" spans="1:18" x14ac:dyDescent="0.3">
      <c r="A279" s="12" t="s">
        <v>1369</v>
      </c>
      <c r="B279" s="12" t="s">
        <v>14</v>
      </c>
      <c r="C279" s="12"/>
      <c r="D279" s="12" t="s">
        <v>14</v>
      </c>
      <c r="E279" s="12" t="s">
        <v>1370</v>
      </c>
      <c r="F279" s="12" t="s">
        <v>188</v>
      </c>
      <c r="G279" s="12" t="s">
        <v>1362</v>
      </c>
      <c r="H279" s="12" t="s">
        <v>36</v>
      </c>
      <c r="I279" s="12" t="s">
        <v>26</v>
      </c>
      <c r="J279" s="13" t="s">
        <v>1363</v>
      </c>
      <c r="K279" s="14" t="s">
        <v>1371</v>
      </c>
      <c r="L279" s="15">
        <v>1</v>
      </c>
      <c r="M279" s="15" t="s">
        <v>144</v>
      </c>
      <c r="N279" s="16">
        <v>46196</v>
      </c>
      <c r="O279" s="12" t="s">
        <v>1369</v>
      </c>
      <c r="P279" s="14" t="s">
        <v>1372</v>
      </c>
      <c r="Q279" s="17" t="s">
        <v>137</v>
      </c>
      <c r="R279" s="17" t="s">
        <v>146</v>
      </c>
    </row>
    <row r="280" spans="1:18" x14ac:dyDescent="0.3">
      <c r="A280" s="12" t="s">
        <v>1373</v>
      </c>
      <c r="B280" s="12" t="s">
        <v>10</v>
      </c>
      <c r="C280" s="12" t="s">
        <v>14</v>
      </c>
      <c r="D280" s="12" t="s">
        <v>1374</v>
      </c>
      <c r="E280" s="12" t="s">
        <v>1375</v>
      </c>
      <c r="F280" s="12" t="s">
        <v>447</v>
      </c>
      <c r="G280" s="12" t="s">
        <v>1362</v>
      </c>
      <c r="H280" s="12" t="s">
        <v>36</v>
      </c>
      <c r="I280" s="12" t="s">
        <v>26</v>
      </c>
      <c r="J280" s="13" t="s">
        <v>1363</v>
      </c>
      <c r="K280" s="14" t="s">
        <v>1376</v>
      </c>
      <c r="L280" s="15">
        <v>7</v>
      </c>
      <c r="M280" s="15" t="s">
        <v>144</v>
      </c>
      <c r="N280" s="16">
        <v>46287</v>
      </c>
      <c r="O280" s="12" t="s">
        <v>1373</v>
      </c>
      <c r="P280" s="14" t="s">
        <v>1377</v>
      </c>
      <c r="Q280" s="17" t="s">
        <v>137</v>
      </c>
      <c r="R280" s="17" t="s">
        <v>146</v>
      </c>
    </row>
    <row r="281" spans="1:18" x14ac:dyDescent="0.3">
      <c r="A281" s="12" t="s">
        <v>1378</v>
      </c>
      <c r="B281" s="12" t="s">
        <v>12</v>
      </c>
      <c r="C281" s="12"/>
      <c r="D281" s="12" t="s">
        <v>12</v>
      </c>
      <c r="E281" s="12" t="s">
        <v>1379</v>
      </c>
      <c r="F281" s="12" t="s">
        <v>516</v>
      </c>
      <c r="G281" s="12" t="s">
        <v>1362</v>
      </c>
      <c r="H281" s="12" t="s">
        <v>36</v>
      </c>
      <c r="I281" s="12" t="s">
        <v>26</v>
      </c>
      <c r="J281" s="13" t="s">
        <v>1363</v>
      </c>
      <c r="K281" s="14" t="s">
        <v>1380</v>
      </c>
      <c r="L281" s="15">
        <v>2</v>
      </c>
      <c r="M281" s="15" t="s">
        <v>144</v>
      </c>
      <c r="N281" s="16">
        <v>45853</v>
      </c>
      <c r="O281" s="12" t="s">
        <v>1378</v>
      </c>
      <c r="P281" s="14" t="s">
        <v>1381</v>
      </c>
      <c r="Q281" s="17" t="s">
        <v>137</v>
      </c>
      <c r="R281" s="17" t="s">
        <v>146</v>
      </c>
    </row>
    <row r="282" spans="1:18" x14ac:dyDescent="0.3">
      <c r="A282" s="12" t="s">
        <v>1382</v>
      </c>
      <c r="B282" s="12" t="s">
        <v>10</v>
      </c>
      <c r="C282" s="12"/>
      <c r="D282" s="12" t="s">
        <v>157</v>
      </c>
      <c r="E282" s="12" t="s">
        <v>1375</v>
      </c>
      <c r="F282" s="12" t="s">
        <v>843</v>
      </c>
      <c r="G282" s="12" t="s">
        <v>1362</v>
      </c>
      <c r="H282" s="12" t="s">
        <v>36</v>
      </c>
      <c r="I282" s="12" t="s">
        <v>26</v>
      </c>
      <c r="J282" s="13" t="s">
        <v>1363</v>
      </c>
      <c r="K282" s="14" t="s">
        <v>1376</v>
      </c>
      <c r="L282" s="15">
        <v>5</v>
      </c>
      <c r="M282" s="15" t="s">
        <v>144</v>
      </c>
      <c r="N282" s="16">
        <v>46287</v>
      </c>
      <c r="O282" s="12" t="s">
        <v>1382</v>
      </c>
      <c r="P282" s="14" t="s">
        <v>1383</v>
      </c>
      <c r="Q282" s="17" t="s">
        <v>137</v>
      </c>
      <c r="R282" s="17" t="s">
        <v>146</v>
      </c>
    </row>
    <row r="283" spans="1:18" x14ac:dyDescent="0.3">
      <c r="A283" s="12" t="s">
        <v>1384</v>
      </c>
      <c r="B283" s="12" t="s">
        <v>14</v>
      </c>
      <c r="C283" s="12"/>
      <c r="D283" s="12" t="s">
        <v>14</v>
      </c>
      <c r="E283" s="12" t="s">
        <v>1385</v>
      </c>
      <c r="F283" s="12"/>
      <c r="G283" s="12" t="s">
        <v>1362</v>
      </c>
      <c r="H283" s="12" t="s">
        <v>36</v>
      </c>
      <c r="I283" s="12" t="s">
        <v>26</v>
      </c>
      <c r="J283" s="13" t="s">
        <v>1386</v>
      </c>
      <c r="K283" s="14" t="s">
        <v>1387</v>
      </c>
      <c r="L283" s="15">
        <v>0</v>
      </c>
      <c r="M283" s="15" t="s">
        <v>144</v>
      </c>
      <c r="N283" s="16">
        <v>46269</v>
      </c>
      <c r="O283" s="12" t="s">
        <v>1384</v>
      </c>
      <c r="P283" s="14" t="s">
        <v>1388</v>
      </c>
      <c r="Q283" s="17" t="s">
        <v>137</v>
      </c>
      <c r="R283" s="17" t="s">
        <v>146</v>
      </c>
    </row>
    <row r="284" spans="1:18" x14ac:dyDescent="0.3">
      <c r="A284" s="12" t="s">
        <v>199</v>
      </c>
      <c r="B284" s="12" t="s">
        <v>14</v>
      </c>
      <c r="C284" s="12"/>
      <c r="D284" s="12" t="s">
        <v>14</v>
      </c>
      <c r="E284" s="12" t="s">
        <v>1389</v>
      </c>
      <c r="F284" s="12"/>
      <c r="G284" s="12" t="s">
        <v>1362</v>
      </c>
      <c r="H284" s="12" t="s">
        <v>36</v>
      </c>
      <c r="I284" s="12" t="s">
        <v>26</v>
      </c>
      <c r="J284" s="13" t="s">
        <v>1386</v>
      </c>
      <c r="K284" s="14" t="s">
        <v>1390</v>
      </c>
      <c r="L284" s="15">
        <v>2</v>
      </c>
      <c r="M284" s="15" t="s">
        <v>144</v>
      </c>
      <c r="N284" s="16">
        <v>45926</v>
      </c>
      <c r="O284" s="12" t="s">
        <v>203</v>
      </c>
      <c r="P284" s="14" t="s">
        <v>1391</v>
      </c>
      <c r="Q284" s="17" t="s">
        <v>137</v>
      </c>
      <c r="R284" s="17" t="s">
        <v>146</v>
      </c>
    </row>
    <row r="285" spans="1:18" x14ac:dyDescent="0.3">
      <c r="A285" s="12" t="s">
        <v>205</v>
      </c>
      <c r="B285" s="12" t="s">
        <v>20</v>
      </c>
      <c r="C285" s="12"/>
      <c r="D285" s="12" t="s">
        <v>193</v>
      </c>
      <c r="E285" s="12" t="s">
        <v>1392</v>
      </c>
      <c r="F285" s="12" t="s">
        <v>285</v>
      </c>
      <c r="G285" s="12" t="s">
        <v>1362</v>
      </c>
      <c r="H285" s="12" t="s">
        <v>36</v>
      </c>
      <c r="I285" s="12" t="s">
        <v>26</v>
      </c>
      <c r="J285" s="13" t="s">
        <v>1386</v>
      </c>
      <c r="K285" s="14" t="s">
        <v>1393</v>
      </c>
      <c r="L285" s="15">
        <v>0</v>
      </c>
      <c r="M285" s="15" t="s">
        <v>144</v>
      </c>
      <c r="N285" s="16">
        <v>41849</v>
      </c>
      <c r="O285" s="12" t="s">
        <v>209</v>
      </c>
      <c r="P285" s="14" t="s">
        <v>1394</v>
      </c>
      <c r="Q285" s="17" t="s">
        <v>137</v>
      </c>
      <c r="R285" s="17" t="s">
        <v>146</v>
      </c>
    </row>
    <row r="286" spans="1:18" x14ac:dyDescent="0.3">
      <c r="A286" s="12" t="s">
        <v>1395</v>
      </c>
      <c r="B286" s="12" t="s">
        <v>12</v>
      </c>
      <c r="C286" s="12"/>
      <c r="D286" s="12" t="s">
        <v>12</v>
      </c>
      <c r="E286" s="12" t="s">
        <v>1360</v>
      </c>
      <c r="F286" s="12" t="s">
        <v>1270</v>
      </c>
      <c r="G286" s="12" t="s">
        <v>1362</v>
      </c>
      <c r="H286" s="12" t="s">
        <v>36</v>
      </c>
      <c r="I286" s="12" t="s">
        <v>26</v>
      </c>
      <c r="J286" s="13" t="s">
        <v>1363</v>
      </c>
      <c r="K286" s="14" t="s">
        <v>1396</v>
      </c>
      <c r="L286" s="15">
        <v>3</v>
      </c>
      <c r="M286" s="15" t="s">
        <v>144</v>
      </c>
      <c r="N286" s="16">
        <v>45679</v>
      </c>
      <c r="O286" s="12" t="s">
        <v>1397</v>
      </c>
      <c r="P286" s="14" t="s">
        <v>1398</v>
      </c>
      <c r="Q286" s="17" t="s">
        <v>137</v>
      </c>
      <c r="R286" s="17" t="s">
        <v>146</v>
      </c>
    </row>
    <row r="287" spans="1:18" x14ac:dyDescent="0.3">
      <c r="A287" s="12" t="s">
        <v>1399</v>
      </c>
      <c r="B287" s="12" t="s">
        <v>12</v>
      </c>
      <c r="C287" s="12"/>
      <c r="D287" s="12" t="s">
        <v>12</v>
      </c>
      <c r="E287" s="12" t="s">
        <v>1400</v>
      </c>
      <c r="F287" s="12"/>
      <c r="G287" s="12" t="s">
        <v>1362</v>
      </c>
      <c r="H287" s="12" t="s">
        <v>36</v>
      </c>
      <c r="I287" s="12" t="s">
        <v>26</v>
      </c>
      <c r="J287" s="13" t="s">
        <v>1363</v>
      </c>
      <c r="K287" s="14" t="s">
        <v>1401</v>
      </c>
      <c r="L287" s="15">
        <v>2</v>
      </c>
      <c r="M287" s="15" t="s">
        <v>144</v>
      </c>
      <c r="N287" s="16">
        <v>44763</v>
      </c>
      <c r="O287" s="12" t="s">
        <v>1399</v>
      </c>
      <c r="P287" s="14" t="s">
        <v>1402</v>
      </c>
      <c r="Q287" s="17" t="s">
        <v>137</v>
      </c>
      <c r="R287" s="17" t="s">
        <v>146</v>
      </c>
    </row>
    <row r="288" spans="1:18" x14ac:dyDescent="0.3">
      <c r="A288" s="12" t="s">
        <v>960</v>
      </c>
      <c r="B288" s="12" t="s">
        <v>14</v>
      </c>
      <c r="C288" s="12"/>
      <c r="D288" s="12" t="s">
        <v>14</v>
      </c>
      <c r="E288" s="12" t="s">
        <v>1403</v>
      </c>
      <c r="F288" s="12" t="s">
        <v>1039</v>
      </c>
      <c r="G288" s="12" t="s">
        <v>1362</v>
      </c>
      <c r="H288" s="12" t="s">
        <v>36</v>
      </c>
      <c r="I288" s="12" t="s">
        <v>26</v>
      </c>
      <c r="J288" s="13" t="s">
        <v>1363</v>
      </c>
      <c r="K288" s="14" t="s">
        <v>1404</v>
      </c>
      <c r="L288" s="15">
        <v>10</v>
      </c>
      <c r="M288" s="15" t="s">
        <v>144</v>
      </c>
      <c r="N288" s="16">
        <v>45609</v>
      </c>
      <c r="O288" s="12" t="s">
        <v>960</v>
      </c>
      <c r="P288" s="14" t="s">
        <v>962</v>
      </c>
      <c r="Q288" s="17" t="s">
        <v>137</v>
      </c>
      <c r="R288" s="17" t="s">
        <v>146</v>
      </c>
    </row>
    <row r="289" spans="1:18" x14ac:dyDescent="0.3">
      <c r="A289" s="12" t="s">
        <v>215</v>
      </c>
      <c r="B289" s="12" t="s">
        <v>10</v>
      </c>
      <c r="C289" s="12"/>
      <c r="D289" s="12" t="s">
        <v>647</v>
      </c>
      <c r="E289" s="12" t="s">
        <v>1405</v>
      </c>
      <c r="F289" s="12" t="s">
        <v>195</v>
      </c>
      <c r="G289" s="12" t="s">
        <v>1362</v>
      </c>
      <c r="H289" s="12" t="s">
        <v>36</v>
      </c>
      <c r="I289" s="12" t="s">
        <v>26</v>
      </c>
      <c r="J289" s="13" t="s">
        <v>1363</v>
      </c>
      <c r="K289" s="14" t="s">
        <v>294</v>
      </c>
      <c r="L289" s="15">
        <v>0</v>
      </c>
      <c r="M289" s="15" t="s">
        <v>220</v>
      </c>
      <c r="N289" s="16">
        <v>45195</v>
      </c>
      <c r="O289" s="12" t="s">
        <v>215</v>
      </c>
      <c r="P289" s="14" t="s">
        <v>1406</v>
      </c>
      <c r="Q289" s="17" t="s">
        <v>137</v>
      </c>
      <c r="R289" s="17" t="s">
        <v>146</v>
      </c>
    </row>
    <row r="290" spans="1:18" x14ac:dyDescent="0.3">
      <c r="A290" s="12" t="s">
        <v>475</v>
      </c>
      <c r="B290" s="12" t="s">
        <v>14</v>
      </c>
      <c r="C290" s="12"/>
      <c r="D290" s="12" t="s">
        <v>14</v>
      </c>
      <c r="E290" s="12" t="s">
        <v>1407</v>
      </c>
      <c r="F290" s="12"/>
      <c r="G290" s="12" t="s">
        <v>1362</v>
      </c>
      <c r="H290" s="12" t="s">
        <v>36</v>
      </c>
      <c r="I290" s="12" t="s">
        <v>26</v>
      </c>
      <c r="J290" s="13" t="s">
        <v>1363</v>
      </c>
      <c r="K290" s="14" t="s">
        <v>477</v>
      </c>
      <c r="L290" s="15">
        <v>0</v>
      </c>
      <c r="M290" s="15" t="s">
        <v>144</v>
      </c>
      <c r="N290" s="16">
        <v>45379</v>
      </c>
      <c r="O290" s="12" t="s">
        <v>475</v>
      </c>
      <c r="P290" s="14" t="s">
        <v>478</v>
      </c>
      <c r="Q290" s="17" t="s">
        <v>137</v>
      </c>
      <c r="R290" s="17" t="s">
        <v>146</v>
      </c>
    </row>
    <row r="291" spans="1:18" x14ac:dyDescent="0.3">
      <c r="A291" s="12" t="s">
        <v>1408</v>
      </c>
      <c r="B291" s="12" t="s">
        <v>20</v>
      </c>
      <c r="C291" s="12"/>
      <c r="D291" s="12" t="s">
        <v>193</v>
      </c>
      <c r="E291" s="12" t="s">
        <v>1409</v>
      </c>
      <c r="F291" s="12"/>
      <c r="G291" s="12" t="s">
        <v>1362</v>
      </c>
      <c r="H291" s="12" t="s">
        <v>36</v>
      </c>
      <c r="I291" s="12" t="s">
        <v>26</v>
      </c>
      <c r="J291" s="13" t="s">
        <v>1363</v>
      </c>
      <c r="K291" s="14" t="s">
        <v>1410</v>
      </c>
      <c r="L291" s="15">
        <v>0</v>
      </c>
      <c r="M291" s="15" t="s">
        <v>144</v>
      </c>
      <c r="N291" s="16">
        <v>44132</v>
      </c>
      <c r="O291" s="12" t="s">
        <v>299</v>
      </c>
      <c r="P291" s="14" t="s">
        <v>1411</v>
      </c>
      <c r="Q291" s="17" t="s">
        <v>137</v>
      </c>
      <c r="R291" s="17" t="s">
        <v>146</v>
      </c>
    </row>
    <row r="292" spans="1:18" x14ac:dyDescent="0.3">
      <c r="A292" s="12" t="s">
        <v>307</v>
      </c>
      <c r="B292" s="12" t="s">
        <v>14</v>
      </c>
      <c r="C292" s="12"/>
      <c r="D292" s="12" t="s">
        <v>14</v>
      </c>
      <c r="E292" s="12" t="s">
        <v>1360</v>
      </c>
      <c r="F292" s="12" t="s">
        <v>1163</v>
      </c>
      <c r="G292" s="12" t="s">
        <v>1362</v>
      </c>
      <c r="H292" s="12" t="s">
        <v>36</v>
      </c>
      <c r="I292" s="12" t="s">
        <v>26</v>
      </c>
      <c r="J292" s="13" t="s">
        <v>1363</v>
      </c>
      <c r="K292" s="14" t="s">
        <v>1412</v>
      </c>
      <c r="L292" s="15">
        <v>7</v>
      </c>
      <c r="M292" s="15" t="s">
        <v>144</v>
      </c>
      <c r="N292" s="16">
        <v>46275</v>
      </c>
      <c r="O292" s="12" t="s">
        <v>307</v>
      </c>
      <c r="P292" s="14" t="s">
        <v>310</v>
      </c>
      <c r="Q292" s="17" t="s">
        <v>137</v>
      </c>
      <c r="R292" s="17" t="s">
        <v>146</v>
      </c>
    </row>
    <row r="293" spans="1:18" x14ac:dyDescent="0.3">
      <c r="A293" s="12" t="s">
        <v>1413</v>
      </c>
      <c r="B293" s="12" t="s">
        <v>12</v>
      </c>
      <c r="C293" s="12"/>
      <c r="D293" s="12" t="s">
        <v>12</v>
      </c>
      <c r="E293" s="12" t="s">
        <v>1414</v>
      </c>
      <c r="F293" s="12" t="s">
        <v>843</v>
      </c>
      <c r="G293" s="12" t="s">
        <v>1362</v>
      </c>
      <c r="H293" s="12" t="s">
        <v>36</v>
      </c>
      <c r="I293" s="12" t="s">
        <v>26</v>
      </c>
      <c r="J293" s="13" t="s">
        <v>1386</v>
      </c>
      <c r="K293" s="14" t="s">
        <v>1415</v>
      </c>
      <c r="L293" s="15">
        <v>1</v>
      </c>
      <c r="M293" s="15" t="s">
        <v>144</v>
      </c>
      <c r="N293" s="16">
        <v>44629</v>
      </c>
      <c r="O293" s="12" t="s">
        <v>1413</v>
      </c>
      <c r="P293" s="14" t="s">
        <v>1416</v>
      </c>
      <c r="Q293" s="17" t="s">
        <v>137</v>
      </c>
      <c r="R293" s="17" t="s">
        <v>146</v>
      </c>
    </row>
    <row r="294" spans="1:18" x14ac:dyDescent="0.3">
      <c r="A294" s="12" t="s">
        <v>1417</v>
      </c>
      <c r="B294" s="12" t="s">
        <v>12</v>
      </c>
      <c r="C294" s="12"/>
      <c r="D294" s="12" t="s">
        <v>12</v>
      </c>
      <c r="E294" s="12" t="s">
        <v>1418</v>
      </c>
      <c r="F294" s="12"/>
      <c r="G294" s="12" t="s">
        <v>1362</v>
      </c>
      <c r="H294" s="12" t="s">
        <v>36</v>
      </c>
      <c r="I294" s="12" t="s">
        <v>26</v>
      </c>
      <c r="J294" s="13" t="s">
        <v>1363</v>
      </c>
      <c r="K294" s="14" t="s">
        <v>1419</v>
      </c>
      <c r="L294" s="15">
        <v>0</v>
      </c>
      <c r="M294" s="15" t="s">
        <v>144</v>
      </c>
      <c r="N294" s="16">
        <v>46220</v>
      </c>
      <c r="O294" s="12" t="s">
        <v>1417</v>
      </c>
      <c r="P294" s="14" t="s">
        <v>1420</v>
      </c>
      <c r="Q294" s="17" t="s">
        <v>137</v>
      </c>
      <c r="R294" s="17" t="s">
        <v>146</v>
      </c>
    </row>
    <row r="295" spans="1:18" x14ac:dyDescent="0.3">
      <c r="A295" s="12" t="s">
        <v>439</v>
      </c>
      <c r="B295" s="12" t="s">
        <v>10</v>
      </c>
      <c r="C295" s="12"/>
      <c r="D295" s="12" t="s">
        <v>252</v>
      </c>
      <c r="E295" s="12" t="s">
        <v>1367</v>
      </c>
      <c r="F295" s="12" t="s">
        <v>218</v>
      </c>
      <c r="G295" s="12" t="s">
        <v>1362</v>
      </c>
      <c r="H295" s="12" t="s">
        <v>36</v>
      </c>
      <c r="I295" s="12" t="s">
        <v>26</v>
      </c>
      <c r="J295" s="13" t="s">
        <v>1363</v>
      </c>
      <c r="K295" s="14" t="s">
        <v>442</v>
      </c>
      <c r="L295" s="15">
        <v>2</v>
      </c>
      <c r="M295" s="15" t="s">
        <v>144</v>
      </c>
      <c r="N295" s="16">
        <v>44984</v>
      </c>
      <c r="O295" s="12" t="s">
        <v>443</v>
      </c>
      <c r="P295" s="14" t="s">
        <v>1421</v>
      </c>
      <c r="Q295" s="17" t="s">
        <v>137</v>
      </c>
      <c r="R295" s="17" t="s">
        <v>146</v>
      </c>
    </row>
    <row r="296" spans="1:18" x14ac:dyDescent="0.3">
      <c r="A296" s="12" t="s">
        <v>1422</v>
      </c>
      <c r="B296" s="12" t="s">
        <v>12</v>
      </c>
      <c r="C296" s="12"/>
      <c r="D296" s="12" t="s">
        <v>12</v>
      </c>
      <c r="E296" s="12" t="s">
        <v>1423</v>
      </c>
      <c r="F296" s="12" t="s">
        <v>1163</v>
      </c>
      <c r="G296" s="12" t="s">
        <v>1362</v>
      </c>
      <c r="H296" s="12" t="s">
        <v>36</v>
      </c>
      <c r="I296" s="12" t="s">
        <v>26</v>
      </c>
      <c r="J296" s="13" t="s">
        <v>1363</v>
      </c>
      <c r="K296" s="14" t="s">
        <v>1424</v>
      </c>
      <c r="L296" s="15">
        <v>1</v>
      </c>
      <c r="M296" s="15" t="s">
        <v>144</v>
      </c>
      <c r="N296" s="16">
        <v>44690</v>
      </c>
      <c r="O296" s="12" t="s">
        <v>1422</v>
      </c>
      <c r="P296" s="14" t="s">
        <v>1425</v>
      </c>
      <c r="Q296" s="17" t="s">
        <v>137</v>
      </c>
      <c r="R296" s="17" t="s">
        <v>146</v>
      </c>
    </row>
    <row r="297" spans="1:18" x14ac:dyDescent="0.3">
      <c r="A297" s="12" t="s">
        <v>1426</v>
      </c>
      <c r="B297" s="12" t="s">
        <v>12</v>
      </c>
      <c r="C297" s="12"/>
      <c r="D297" s="12" t="s">
        <v>12</v>
      </c>
      <c r="E297" s="12" t="s">
        <v>1360</v>
      </c>
      <c r="F297" s="12" t="s">
        <v>1163</v>
      </c>
      <c r="G297" s="12" t="s">
        <v>1362</v>
      </c>
      <c r="H297" s="12" t="s">
        <v>36</v>
      </c>
      <c r="I297" s="12" t="s">
        <v>26</v>
      </c>
      <c r="J297" s="13" t="s">
        <v>1363</v>
      </c>
      <c r="K297" s="14" t="s">
        <v>1412</v>
      </c>
      <c r="L297" s="15">
        <v>3</v>
      </c>
      <c r="M297" s="15" t="s">
        <v>144</v>
      </c>
      <c r="N297" s="16">
        <v>45625</v>
      </c>
      <c r="O297" s="12" t="s">
        <v>1426</v>
      </c>
      <c r="P297" s="14" t="s">
        <v>1427</v>
      </c>
      <c r="Q297" s="17" t="s">
        <v>137</v>
      </c>
      <c r="R297" s="17" t="s">
        <v>146</v>
      </c>
    </row>
    <row r="298" spans="1:18" x14ac:dyDescent="0.3">
      <c r="A298" s="12" t="s">
        <v>1428</v>
      </c>
      <c r="B298" s="12" t="s">
        <v>12</v>
      </c>
      <c r="C298" s="12"/>
      <c r="D298" s="12" t="s">
        <v>12</v>
      </c>
      <c r="E298" s="12" t="s">
        <v>1429</v>
      </c>
      <c r="F298" s="12"/>
      <c r="G298" s="12" t="s">
        <v>1430</v>
      </c>
      <c r="H298" s="12" t="s">
        <v>36</v>
      </c>
      <c r="I298" s="12" t="s">
        <v>26</v>
      </c>
      <c r="J298" s="13" t="s">
        <v>1431</v>
      </c>
      <c r="K298" s="14" t="s">
        <v>1432</v>
      </c>
      <c r="L298" s="15">
        <v>1</v>
      </c>
      <c r="M298" s="15" t="s">
        <v>144</v>
      </c>
      <c r="N298" s="16">
        <v>44719</v>
      </c>
      <c r="O298" s="12" t="s">
        <v>1428</v>
      </c>
      <c r="P298" s="14" t="s">
        <v>1433</v>
      </c>
      <c r="Q298" s="17" t="s">
        <v>137</v>
      </c>
      <c r="R298" s="17" t="s">
        <v>146</v>
      </c>
    </row>
    <row r="299" spans="1:18" x14ac:dyDescent="0.3">
      <c r="A299" s="12" t="s">
        <v>1434</v>
      </c>
      <c r="B299" s="12" t="s">
        <v>10</v>
      </c>
      <c r="C299" s="12"/>
      <c r="D299" s="12" t="s">
        <v>440</v>
      </c>
      <c r="E299" s="12" t="s">
        <v>1435</v>
      </c>
      <c r="F299" s="12"/>
      <c r="G299" s="12" t="s">
        <v>367</v>
      </c>
      <c r="H299" s="12" t="s">
        <v>36</v>
      </c>
      <c r="I299" s="12" t="s">
        <v>26</v>
      </c>
      <c r="J299" s="13" t="s">
        <v>1436</v>
      </c>
      <c r="K299" s="14" t="s">
        <v>1437</v>
      </c>
      <c r="L299" s="15">
        <v>0</v>
      </c>
      <c r="M299" s="15" t="s">
        <v>144</v>
      </c>
      <c r="N299" s="16">
        <v>44599</v>
      </c>
      <c r="O299" s="12" t="s">
        <v>1434</v>
      </c>
      <c r="P299" s="14" t="s">
        <v>1438</v>
      </c>
      <c r="Q299" s="17" t="s">
        <v>137</v>
      </c>
      <c r="R299" s="17" t="s">
        <v>146</v>
      </c>
    </row>
    <row r="300" spans="1:18" x14ac:dyDescent="0.3">
      <c r="A300" s="12" t="s">
        <v>1439</v>
      </c>
      <c r="B300" s="12" t="s">
        <v>12</v>
      </c>
      <c r="C300" s="12"/>
      <c r="D300" s="12" t="s">
        <v>12</v>
      </c>
      <c r="E300" s="12" t="s">
        <v>1440</v>
      </c>
      <c r="F300" s="12" t="s">
        <v>1441</v>
      </c>
      <c r="G300" s="12" t="s">
        <v>367</v>
      </c>
      <c r="H300" s="12" t="s">
        <v>36</v>
      </c>
      <c r="I300" s="12" t="s">
        <v>26</v>
      </c>
      <c r="J300" s="13" t="s">
        <v>1442</v>
      </c>
      <c r="K300" s="14" t="s">
        <v>1443</v>
      </c>
      <c r="L300" s="15">
        <v>1</v>
      </c>
      <c r="M300" s="15" t="s">
        <v>144</v>
      </c>
      <c r="N300" s="16">
        <v>45065</v>
      </c>
      <c r="O300" s="12" t="s">
        <v>1439</v>
      </c>
      <c r="P300" s="14" t="s">
        <v>1444</v>
      </c>
      <c r="Q300" s="17" t="s">
        <v>137</v>
      </c>
      <c r="R300" s="17" t="s">
        <v>146</v>
      </c>
    </row>
    <row r="301" spans="1:18" x14ac:dyDescent="0.3">
      <c r="A301" s="12" t="s">
        <v>794</v>
      </c>
      <c r="B301" s="12" t="s">
        <v>10</v>
      </c>
      <c r="C301" s="12"/>
      <c r="D301" s="12" t="s">
        <v>230</v>
      </c>
      <c r="E301" s="12" t="s">
        <v>1445</v>
      </c>
      <c r="F301" s="12" t="s">
        <v>1446</v>
      </c>
      <c r="G301" s="12" t="s">
        <v>367</v>
      </c>
      <c r="H301" s="12" t="s">
        <v>36</v>
      </c>
      <c r="I301" s="12" t="s">
        <v>26</v>
      </c>
      <c r="J301" s="13" t="s">
        <v>1442</v>
      </c>
      <c r="K301" s="14" t="s">
        <v>1447</v>
      </c>
      <c r="L301" s="15">
        <v>8</v>
      </c>
      <c r="M301" s="15" t="s">
        <v>220</v>
      </c>
      <c r="N301" s="16">
        <v>46036</v>
      </c>
      <c r="O301" s="12" t="s">
        <v>236</v>
      </c>
      <c r="P301" s="14" t="s">
        <v>797</v>
      </c>
      <c r="Q301" s="17" t="s">
        <v>137</v>
      </c>
      <c r="R301" s="17" t="s">
        <v>146</v>
      </c>
    </row>
    <row r="302" spans="1:18" x14ac:dyDescent="0.3">
      <c r="A302" s="12" t="s">
        <v>998</v>
      </c>
      <c r="B302" s="12" t="s">
        <v>10</v>
      </c>
      <c r="C302" s="12"/>
      <c r="D302" s="12" t="s">
        <v>216</v>
      </c>
      <c r="E302" s="12" t="s">
        <v>1448</v>
      </c>
      <c r="F302" s="12" t="s">
        <v>940</v>
      </c>
      <c r="G302" s="12" t="s">
        <v>367</v>
      </c>
      <c r="H302" s="12" t="s">
        <v>36</v>
      </c>
      <c r="I302" s="12" t="s">
        <v>26</v>
      </c>
      <c r="J302" s="13" t="s">
        <v>1449</v>
      </c>
      <c r="K302" s="14" t="s">
        <v>1002</v>
      </c>
      <c r="L302" s="15">
        <v>2</v>
      </c>
      <c r="M302" s="15" t="s">
        <v>220</v>
      </c>
      <c r="N302" s="16">
        <v>46042</v>
      </c>
      <c r="O302" s="12" t="s">
        <v>236</v>
      </c>
      <c r="P302" s="14" t="s">
        <v>1003</v>
      </c>
      <c r="Q302" s="17" t="s">
        <v>137</v>
      </c>
      <c r="R302" s="17" t="s">
        <v>146</v>
      </c>
    </row>
    <row r="303" spans="1:18" x14ac:dyDescent="0.3">
      <c r="A303" s="12" t="s">
        <v>236</v>
      </c>
      <c r="B303" s="12" t="s">
        <v>10</v>
      </c>
      <c r="C303" s="12"/>
      <c r="D303" s="12" t="s">
        <v>252</v>
      </c>
      <c r="E303" s="12" t="s">
        <v>1450</v>
      </c>
      <c r="F303" s="12"/>
      <c r="G303" s="12" t="s">
        <v>367</v>
      </c>
      <c r="H303" s="12" t="s">
        <v>36</v>
      </c>
      <c r="I303" s="12" t="s">
        <v>26</v>
      </c>
      <c r="J303" s="13" t="s">
        <v>1449</v>
      </c>
      <c r="K303" s="14" t="s">
        <v>1451</v>
      </c>
      <c r="L303" s="15">
        <v>0</v>
      </c>
      <c r="M303" s="15" t="s">
        <v>220</v>
      </c>
      <c r="N303" s="16">
        <v>45712</v>
      </c>
      <c r="O303" s="12" t="s">
        <v>236</v>
      </c>
      <c r="P303" s="14" t="s">
        <v>1452</v>
      </c>
      <c r="Q303" s="17" t="s">
        <v>137</v>
      </c>
      <c r="R303" s="17" t="s">
        <v>146</v>
      </c>
    </row>
    <row r="304" spans="1:18" x14ac:dyDescent="0.3">
      <c r="A304" s="12" t="s">
        <v>1453</v>
      </c>
      <c r="B304" s="12" t="s">
        <v>14</v>
      </c>
      <c r="C304" s="12"/>
      <c r="D304" s="12" t="s">
        <v>14</v>
      </c>
      <c r="E304" s="12" t="s">
        <v>1454</v>
      </c>
      <c r="F304" s="12" t="s">
        <v>1455</v>
      </c>
      <c r="G304" s="12" t="s">
        <v>367</v>
      </c>
      <c r="H304" s="12" t="s">
        <v>36</v>
      </c>
      <c r="I304" s="12" t="s">
        <v>26</v>
      </c>
      <c r="J304" s="13" t="s">
        <v>1456</v>
      </c>
      <c r="K304" s="14" t="s">
        <v>1457</v>
      </c>
      <c r="L304" s="15">
        <v>0</v>
      </c>
      <c r="M304" s="15" t="s">
        <v>144</v>
      </c>
      <c r="N304" s="16">
        <v>46027</v>
      </c>
      <c r="O304" s="12" t="s">
        <v>1458</v>
      </c>
      <c r="P304" s="14" t="s">
        <v>1459</v>
      </c>
      <c r="Q304" s="17" t="s">
        <v>137</v>
      </c>
      <c r="R304" s="17" t="s">
        <v>146</v>
      </c>
    </row>
    <row r="305" spans="1:18" x14ac:dyDescent="0.3">
      <c r="A305" s="12" t="s">
        <v>1067</v>
      </c>
      <c r="B305" s="12" t="s">
        <v>14</v>
      </c>
      <c r="C305" s="12"/>
      <c r="D305" s="12" t="s">
        <v>14</v>
      </c>
      <c r="E305" s="12" t="s">
        <v>1460</v>
      </c>
      <c r="F305" s="12"/>
      <c r="G305" s="12" t="s">
        <v>367</v>
      </c>
      <c r="H305" s="12" t="s">
        <v>36</v>
      </c>
      <c r="I305" s="12" t="s">
        <v>26</v>
      </c>
      <c r="J305" s="13" t="s">
        <v>1217</v>
      </c>
      <c r="K305" s="14" t="s">
        <v>1069</v>
      </c>
      <c r="L305" s="15">
        <v>1</v>
      </c>
      <c r="M305" s="15" t="s">
        <v>144</v>
      </c>
      <c r="N305" s="16">
        <v>46156</v>
      </c>
      <c r="O305" s="12" t="s">
        <v>1070</v>
      </c>
      <c r="P305" s="14" t="s">
        <v>1071</v>
      </c>
      <c r="Q305" s="17" t="s">
        <v>137</v>
      </c>
      <c r="R305" s="17" t="s">
        <v>146</v>
      </c>
    </row>
    <row r="306" spans="1:18" x14ac:dyDescent="0.3">
      <c r="A306" s="12" t="s">
        <v>1461</v>
      </c>
      <c r="B306" s="12" t="s">
        <v>18</v>
      </c>
      <c r="C306" s="12"/>
      <c r="D306" s="12" t="s">
        <v>1462</v>
      </c>
      <c r="E306" s="12" t="s">
        <v>1463</v>
      </c>
      <c r="F306" s="12"/>
      <c r="G306" s="12" t="s">
        <v>367</v>
      </c>
      <c r="H306" s="12" t="s">
        <v>36</v>
      </c>
      <c r="I306" s="12" t="s">
        <v>26</v>
      </c>
      <c r="J306" s="13" t="s">
        <v>913</v>
      </c>
      <c r="K306" s="14" t="s">
        <v>1464</v>
      </c>
      <c r="L306" s="15">
        <v>0</v>
      </c>
      <c r="M306" s="15" t="s">
        <v>144</v>
      </c>
      <c r="N306" s="16">
        <v>46106</v>
      </c>
      <c r="O306" s="12" t="s">
        <v>1461</v>
      </c>
      <c r="P306" s="14" t="s">
        <v>1465</v>
      </c>
      <c r="Q306" s="17" t="s">
        <v>137</v>
      </c>
      <c r="R306" s="17" t="s">
        <v>146</v>
      </c>
    </row>
    <row r="307" spans="1:18" x14ac:dyDescent="0.3">
      <c r="A307" s="12" t="s">
        <v>1466</v>
      </c>
      <c r="B307" s="12" t="s">
        <v>10</v>
      </c>
      <c r="C307" s="12"/>
      <c r="D307" s="12" t="s">
        <v>157</v>
      </c>
      <c r="E307" s="12" t="s">
        <v>1467</v>
      </c>
      <c r="F307" s="12"/>
      <c r="G307" s="12" t="s">
        <v>367</v>
      </c>
      <c r="H307" s="12" t="s">
        <v>36</v>
      </c>
      <c r="I307" s="12" t="s">
        <v>26</v>
      </c>
      <c r="J307" s="13" t="s">
        <v>1449</v>
      </c>
      <c r="K307" s="14" t="s">
        <v>1468</v>
      </c>
      <c r="L307" s="15">
        <v>4</v>
      </c>
      <c r="M307" s="15" t="s">
        <v>220</v>
      </c>
      <c r="N307" s="16">
        <v>45679</v>
      </c>
      <c r="O307" s="12" t="s">
        <v>236</v>
      </c>
      <c r="P307" s="14" t="s">
        <v>1469</v>
      </c>
      <c r="Q307" s="17" t="s">
        <v>137</v>
      </c>
      <c r="R307" s="17" t="s">
        <v>146</v>
      </c>
    </row>
    <row r="308" spans="1:18" x14ac:dyDescent="0.3">
      <c r="A308" s="12" t="s">
        <v>1470</v>
      </c>
      <c r="B308" s="12" t="s">
        <v>12</v>
      </c>
      <c r="C308" s="12"/>
      <c r="D308" s="12" t="s">
        <v>12</v>
      </c>
      <c r="E308" s="12" t="s">
        <v>1471</v>
      </c>
      <c r="F308" s="12"/>
      <c r="G308" s="12" t="s">
        <v>367</v>
      </c>
      <c r="H308" s="12" t="s">
        <v>36</v>
      </c>
      <c r="I308" s="12" t="s">
        <v>26</v>
      </c>
      <c r="J308" s="13" t="s">
        <v>1472</v>
      </c>
      <c r="K308" s="14" t="s">
        <v>1473</v>
      </c>
      <c r="L308" s="15">
        <v>2</v>
      </c>
      <c r="M308" s="15" t="s">
        <v>144</v>
      </c>
      <c r="N308" s="16">
        <v>45524</v>
      </c>
      <c r="O308" s="12" t="s">
        <v>1474</v>
      </c>
      <c r="P308" s="14" t="s">
        <v>1475</v>
      </c>
      <c r="Q308" s="17" t="s">
        <v>137</v>
      </c>
      <c r="R308" s="17" t="s">
        <v>146</v>
      </c>
    </row>
    <row r="309" spans="1:18" x14ac:dyDescent="0.3">
      <c r="A309" s="12" t="s">
        <v>186</v>
      </c>
      <c r="B309" s="12" t="s">
        <v>14</v>
      </c>
      <c r="C309" s="12"/>
      <c r="D309" s="12" t="s">
        <v>14</v>
      </c>
      <c r="E309" s="12" t="s">
        <v>1476</v>
      </c>
      <c r="F309" s="12"/>
      <c r="G309" s="12" t="s">
        <v>367</v>
      </c>
      <c r="H309" s="12" t="s">
        <v>36</v>
      </c>
      <c r="I309" s="12" t="s">
        <v>26</v>
      </c>
      <c r="J309" s="13" t="s">
        <v>1477</v>
      </c>
      <c r="K309" s="14" t="s">
        <v>1478</v>
      </c>
      <c r="L309" s="15">
        <v>3</v>
      </c>
      <c r="M309" s="15" t="s">
        <v>144</v>
      </c>
      <c r="N309" s="16">
        <v>45827</v>
      </c>
      <c r="O309" s="12" t="s">
        <v>190</v>
      </c>
      <c r="P309" s="14" t="s">
        <v>1479</v>
      </c>
      <c r="Q309" s="17" t="s">
        <v>137</v>
      </c>
      <c r="R309" s="17" t="s">
        <v>146</v>
      </c>
    </row>
    <row r="310" spans="1:18" x14ac:dyDescent="0.3">
      <c r="A310" s="12" t="s">
        <v>1480</v>
      </c>
      <c r="B310" s="12" t="s">
        <v>12</v>
      </c>
      <c r="C310" s="12"/>
      <c r="D310" s="12" t="s">
        <v>12</v>
      </c>
      <c r="E310" s="12" t="s">
        <v>1481</v>
      </c>
      <c r="F310" s="12"/>
      <c r="G310" s="12" t="s">
        <v>367</v>
      </c>
      <c r="H310" s="12" t="s">
        <v>36</v>
      </c>
      <c r="I310" s="12" t="s">
        <v>26</v>
      </c>
      <c r="J310" s="13" t="s">
        <v>1482</v>
      </c>
      <c r="K310" s="14" t="s">
        <v>1483</v>
      </c>
      <c r="L310" s="15">
        <v>2</v>
      </c>
      <c r="M310" s="15" t="s">
        <v>144</v>
      </c>
      <c r="N310" s="16">
        <v>45915</v>
      </c>
      <c r="O310" s="12" t="s">
        <v>1484</v>
      </c>
      <c r="P310" s="14" t="s">
        <v>1485</v>
      </c>
      <c r="Q310" s="17" t="s">
        <v>137</v>
      </c>
      <c r="R310" s="17" t="s">
        <v>146</v>
      </c>
    </row>
    <row r="311" spans="1:18" x14ac:dyDescent="0.3">
      <c r="A311" s="12" t="s">
        <v>1486</v>
      </c>
      <c r="B311" s="12" t="s">
        <v>10</v>
      </c>
      <c r="C311" s="12"/>
      <c r="D311" s="12" t="s">
        <v>252</v>
      </c>
      <c r="E311" s="12" t="s">
        <v>1467</v>
      </c>
      <c r="F311" s="12" t="s">
        <v>1487</v>
      </c>
      <c r="G311" s="12" t="s">
        <v>367</v>
      </c>
      <c r="H311" s="12" t="s">
        <v>36</v>
      </c>
      <c r="I311" s="12" t="s">
        <v>26</v>
      </c>
      <c r="J311" s="13" t="s">
        <v>1449</v>
      </c>
      <c r="K311" s="14" t="s">
        <v>1468</v>
      </c>
      <c r="L311" s="15">
        <v>23</v>
      </c>
      <c r="M311" s="15" t="s">
        <v>220</v>
      </c>
      <c r="N311" s="16">
        <v>45673</v>
      </c>
      <c r="O311" s="12" t="s">
        <v>236</v>
      </c>
      <c r="P311" s="14" t="s">
        <v>1488</v>
      </c>
      <c r="Q311" s="17" t="s">
        <v>137</v>
      </c>
      <c r="R311" s="17" t="s">
        <v>146</v>
      </c>
    </row>
    <row r="312" spans="1:18" x14ac:dyDescent="0.3">
      <c r="A312" s="12" t="s">
        <v>1489</v>
      </c>
      <c r="B312" s="12" t="s">
        <v>12</v>
      </c>
      <c r="C312" s="12"/>
      <c r="D312" s="12" t="s">
        <v>12</v>
      </c>
      <c r="E312" s="12" t="s">
        <v>1490</v>
      </c>
      <c r="F312" s="12" t="s">
        <v>1491</v>
      </c>
      <c r="G312" s="12" t="s">
        <v>367</v>
      </c>
      <c r="H312" s="12" t="s">
        <v>36</v>
      </c>
      <c r="I312" s="12" t="s">
        <v>26</v>
      </c>
      <c r="J312" s="13" t="s">
        <v>1492</v>
      </c>
      <c r="K312" s="14" t="s">
        <v>1493</v>
      </c>
      <c r="L312" s="15">
        <v>2</v>
      </c>
      <c r="M312" s="15" t="s">
        <v>144</v>
      </c>
      <c r="N312" s="16">
        <v>45132</v>
      </c>
      <c r="O312" s="12" t="s">
        <v>1494</v>
      </c>
      <c r="P312" s="14" t="s">
        <v>1495</v>
      </c>
      <c r="Q312" s="17" t="s">
        <v>137</v>
      </c>
      <c r="R312" s="17" t="s">
        <v>146</v>
      </c>
    </row>
    <row r="313" spans="1:18" x14ac:dyDescent="0.3">
      <c r="A313" s="12" t="s">
        <v>1496</v>
      </c>
      <c r="B313" s="12" t="s">
        <v>12</v>
      </c>
      <c r="C313" s="12"/>
      <c r="D313" s="12" t="s">
        <v>12</v>
      </c>
      <c r="E313" s="12" t="s">
        <v>1497</v>
      </c>
      <c r="F313" s="12"/>
      <c r="G313" s="12" t="s">
        <v>367</v>
      </c>
      <c r="H313" s="12" t="s">
        <v>36</v>
      </c>
      <c r="I313" s="12" t="s">
        <v>26</v>
      </c>
      <c r="J313" s="13" t="s">
        <v>1498</v>
      </c>
      <c r="K313" s="14" t="s">
        <v>1499</v>
      </c>
      <c r="L313" s="15">
        <v>0</v>
      </c>
      <c r="M313" s="15" t="s">
        <v>144</v>
      </c>
      <c r="N313" s="16">
        <v>45554</v>
      </c>
      <c r="O313" s="12" t="s">
        <v>1496</v>
      </c>
      <c r="P313" s="14" t="s">
        <v>1500</v>
      </c>
      <c r="Q313" s="17" t="s">
        <v>137</v>
      </c>
      <c r="R313" s="17" t="s">
        <v>146</v>
      </c>
    </row>
    <row r="314" spans="1:18" x14ac:dyDescent="0.3">
      <c r="A314" s="12" t="s">
        <v>1501</v>
      </c>
      <c r="B314" s="12" t="s">
        <v>14</v>
      </c>
      <c r="C314" s="12"/>
      <c r="D314" s="12" t="s">
        <v>14</v>
      </c>
      <c r="E314" s="12" t="s">
        <v>1502</v>
      </c>
      <c r="F314" s="12"/>
      <c r="G314" s="12" t="s">
        <v>367</v>
      </c>
      <c r="H314" s="12" t="s">
        <v>36</v>
      </c>
      <c r="I314" s="12" t="s">
        <v>26</v>
      </c>
      <c r="J314" s="13" t="s">
        <v>1503</v>
      </c>
      <c r="K314" s="14" t="s">
        <v>1504</v>
      </c>
      <c r="L314" s="15">
        <v>130</v>
      </c>
      <c r="M314" s="15" t="s">
        <v>220</v>
      </c>
      <c r="N314" s="16">
        <v>45898</v>
      </c>
      <c r="O314" s="12" t="s">
        <v>1501</v>
      </c>
      <c r="P314" s="14" t="s">
        <v>1505</v>
      </c>
      <c r="Q314" s="17" t="s">
        <v>137</v>
      </c>
      <c r="R314" s="17" t="s">
        <v>146</v>
      </c>
    </row>
    <row r="315" spans="1:18" x14ac:dyDescent="0.3">
      <c r="A315" s="12" t="s">
        <v>1506</v>
      </c>
      <c r="B315" s="12" t="s">
        <v>12</v>
      </c>
      <c r="C315" s="12"/>
      <c r="D315" s="12" t="s">
        <v>12</v>
      </c>
      <c r="E315" s="12" t="s">
        <v>1507</v>
      </c>
      <c r="F315" s="12" t="s">
        <v>1508</v>
      </c>
      <c r="G315" s="12" t="s">
        <v>367</v>
      </c>
      <c r="H315" s="12" t="s">
        <v>36</v>
      </c>
      <c r="I315" s="12" t="s">
        <v>26</v>
      </c>
      <c r="J315" s="13" t="s">
        <v>1482</v>
      </c>
      <c r="K315" s="14" t="s">
        <v>1509</v>
      </c>
      <c r="L315" s="15">
        <v>2</v>
      </c>
      <c r="M315" s="15" t="s">
        <v>144</v>
      </c>
      <c r="N315" s="16">
        <v>45811</v>
      </c>
      <c r="O315" s="12" t="s">
        <v>1506</v>
      </c>
      <c r="P315" s="14" t="s">
        <v>1510</v>
      </c>
      <c r="Q315" s="17" t="s">
        <v>137</v>
      </c>
      <c r="R315" s="17" t="s">
        <v>146</v>
      </c>
    </row>
    <row r="316" spans="1:18" x14ac:dyDescent="0.3">
      <c r="A316" s="12" t="s">
        <v>1511</v>
      </c>
      <c r="B316" s="12" t="s">
        <v>18</v>
      </c>
      <c r="C316" s="12"/>
      <c r="D316" s="12" t="s">
        <v>967</v>
      </c>
      <c r="E316" s="12" t="s">
        <v>1512</v>
      </c>
      <c r="F316" s="12"/>
      <c r="G316" s="12" t="s">
        <v>367</v>
      </c>
      <c r="H316" s="12" t="s">
        <v>36</v>
      </c>
      <c r="I316" s="12" t="s">
        <v>26</v>
      </c>
      <c r="J316" s="13" t="s">
        <v>1442</v>
      </c>
      <c r="K316" s="14" t="s">
        <v>1513</v>
      </c>
      <c r="L316" s="15">
        <v>2</v>
      </c>
      <c r="M316" s="15" t="s">
        <v>144</v>
      </c>
      <c r="N316" s="16">
        <v>45639</v>
      </c>
      <c r="O316" s="12" t="s">
        <v>1514</v>
      </c>
      <c r="P316" s="14" t="s">
        <v>1515</v>
      </c>
      <c r="Q316" s="17" t="s">
        <v>137</v>
      </c>
      <c r="R316" s="17" t="s">
        <v>146</v>
      </c>
    </row>
    <row r="317" spans="1:18" x14ac:dyDescent="0.3">
      <c r="A317" s="12" t="s">
        <v>1516</v>
      </c>
      <c r="B317" s="12" t="s">
        <v>12</v>
      </c>
      <c r="C317" s="12"/>
      <c r="D317" s="12" t="s">
        <v>12</v>
      </c>
      <c r="E317" s="12" t="s">
        <v>1517</v>
      </c>
      <c r="F317" s="12"/>
      <c r="G317" s="12" t="s">
        <v>367</v>
      </c>
      <c r="H317" s="12" t="s">
        <v>36</v>
      </c>
      <c r="I317" s="12" t="s">
        <v>26</v>
      </c>
      <c r="J317" s="13" t="s">
        <v>1518</v>
      </c>
      <c r="K317" s="14" t="s">
        <v>1519</v>
      </c>
      <c r="L317" s="15">
        <v>1</v>
      </c>
      <c r="M317" s="15" t="s">
        <v>144</v>
      </c>
      <c r="N317" s="16">
        <v>45705</v>
      </c>
      <c r="O317" s="12" t="s">
        <v>1516</v>
      </c>
      <c r="P317" s="14" t="s">
        <v>1520</v>
      </c>
      <c r="Q317" s="17" t="s">
        <v>137</v>
      </c>
      <c r="R317" s="17" t="s">
        <v>146</v>
      </c>
    </row>
    <row r="318" spans="1:18" x14ac:dyDescent="0.3">
      <c r="A318" s="12" t="s">
        <v>1521</v>
      </c>
      <c r="B318" s="12" t="s">
        <v>12</v>
      </c>
      <c r="C318" s="12"/>
      <c r="D318" s="12" t="s">
        <v>12</v>
      </c>
      <c r="E318" s="12" t="s">
        <v>1522</v>
      </c>
      <c r="F318" s="12" t="s">
        <v>510</v>
      </c>
      <c r="G318" s="12" t="s">
        <v>367</v>
      </c>
      <c r="H318" s="12" t="s">
        <v>36</v>
      </c>
      <c r="I318" s="12" t="s">
        <v>26</v>
      </c>
      <c r="J318" s="13" t="s">
        <v>1482</v>
      </c>
      <c r="K318" s="14" t="s">
        <v>1523</v>
      </c>
      <c r="L318" s="15">
        <v>0</v>
      </c>
      <c r="M318" s="15" t="s">
        <v>144</v>
      </c>
      <c r="N318" s="16">
        <v>45407</v>
      </c>
      <c r="O318" s="12" t="s">
        <v>1521</v>
      </c>
      <c r="P318" s="14" t="s">
        <v>1524</v>
      </c>
      <c r="Q318" s="17" t="s">
        <v>137</v>
      </c>
      <c r="R318" s="17" t="s">
        <v>146</v>
      </c>
    </row>
    <row r="319" spans="1:18" x14ac:dyDescent="0.3">
      <c r="A319" s="12" t="s">
        <v>1525</v>
      </c>
      <c r="B319" s="12" t="s">
        <v>12</v>
      </c>
      <c r="C319" s="12"/>
      <c r="D319" s="12" t="s">
        <v>12</v>
      </c>
      <c r="E319" s="12" t="s">
        <v>1526</v>
      </c>
      <c r="F319" s="12" t="s">
        <v>1527</v>
      </c>
      <c r="G319" s="12" t="s">
        <v>367</v>
      </c>
      <c r="H319" s="12" t="s">
        <v>36</v>
      </c>
      <c r="I319" s="12" t="s">
        <v>26</v>
      </c>
      <c r="J319" s="13" t="s">
        <v>1482</v>
      </c>
      <c r="K319" s="14" t="s">
        <v>1528</v>
      </c>
      <c r="L319" s="15">
        <v>4</v>
      </c>
      <c r="M319" s="15" t="s">
        <v>144</v>
      </c>
      <c r="N319" s="16">
        <v>45877</v>
      </c>
      <c r="O319" s="12" t="s">
        <v>1529</v>
      </c>
      <c r="P319" s="14" t="s">
        <v>1530</v>
      </c>
      <c r="Q319" s="17" t="s">
        <v>137</v>
      </c>
      <c r="R319" s="17" t="s">
        <v>146</v>
      </c>
    </row>
    <row r="320" spans="1:18" x14ac:dyDescent="0.3">
      <c r="A320" s="12" t="s">
        <v>1531</v>
      </c>
      <c r="B320" s="12" t="s">
        <v>18</v>
      </c>
      <c r="C320" s="12"/>
      <c r="D320" s="12" t="s">
        <v>223</v>
      </c>
      <c r="E320" s="12" t="s">
        <v>1532</v>
      </c>
      <c r="F320" s="12" t="s">
        <v>1533</v>
      </c>
      <c r="G320" s="12" t="s">
        <v>367</v>
      </c>
      <c r="H320" s="12" t="s">
        <v>36</v>
      </c>
      <c r="I320" s="12" t="s">
        <v>26</v>
      </c>
      <c r="J320" s="13" t="s">
        <v>1534</v>
      </c>
      <c r="K320" s="14" t="s">
        <v>1535</v>
      </c>
      <c r="L320" s="15">
        <v>0</v>
      </c>
      <c r="M320" s="15" t="s">
        <v>144</v>
      </c>
      <c r="N320" s="16"/>
      <c r="O320" s="12" t="s">
        <v>1531</v>
      </c>
      <c r="P320" s="14"/>
      <c r="Q320" s="17" t="s">
        <v>137</v>
      </c>
      <c r="R320" s="15" t="s">
        <v>1536</v>
      </c>
    </row>
    <row r="321" spans="1:18" x14ac:dyDescent="0.3">
      <c r="A321" s="12" t="s">
        <v>1537</v>
      </c>
      <c r="B321" s="12" t="s">
        <v>10</v>
      </c>
      <c r="C321" s="12"/>
      <c r="D321" s="12" t="s">
        <v>157</v>
      </c>
      <c r="E321" s="12" t="s">
        <v>1538</v>
      </c>
      <c r="F321" s="12" t="s">
        <v>1222</v>
      </c>
      <c r="G321" s="12" t="s">
        <v>367</v>
      </c>
      <c r="H321" s="12" t="s">
        <v>36</v>
      </c>
      <c r="I321" s="12" t="s">
        <v>26</v>
      </c>
      <c r="J321" s="13" t="s">
        <v>1503</v>
      </c>
      <c r="K321" s="14" t="s">
        <v>513</v>
      </c>
      <c r="L321" s="15">
        <v>1</v>
      </c>
      <c r="M321" s="15" t="s">
        <v>144</v>
      </c>
      <c r="N321" s="16">
        <v>45701</v>
      </c>
      <c r="O321" s="12" t="s">
        <v>508</v>
      </c>
      <c r="P321" s="14" t="s">
        <v>1539</v>
      </c>
      <c r="Q321" s="17" t="s">
        <v>137</v>
      </c>
      <c r="R321" s="17" t="s">
        <v>146</v>
      </c>
    </row>
    <row r="322" spans="1:18" x14ac:dyDescent="0.3">
      <c r="A322" s="12" t="s">
        <v>1540</v>
      </c>
      <c r="B322" s="12" t="s">
        <v>12</v>
      </c>
      <c r="C322" s="12"/>
      <c r="D322" s="12" t="s">
        <v>12</v>
      </c>
      <c r="E322" s="12" t="s">
        <v>1541</v>
      </c>
      <c r="F322" s="12" t="s">
        <v>1542</v>
      </c>
      <c r="G322" s="12" t="s">
        <v>367</v>
      </c>
      <c r="H322" s="12" t="s">
        <v>36</v>
      </c>
      <c r="I322" s="12" t="s">
        <v>26</v>
      </c>
      <c r="J322" s="13" t="s">
        <v>1449</v>
      </c>
      <c r="K322" s="14" t="s">
        <v>1543</v>
      </c>
      <c r="L322" s="15">
        <v>1</v>
      </c>
      <c r="M322" s="15" t="s">
        <v>144</v>
      </c>
      <c r="N322" s="16">
        <v>45609</v>
      </c>
      <c r="O322" s="12" t="s">
        <v>1540</v>
      </c>
      <c r="P322" s="14" t="s">
        <v>1544</v>
      </c>
      <c r="Q322" s="17" t="s">
        <v>137</v>
      </c>
      <c r="R322" s="17" t="s">
        <v>146</v>
      </c>
    </row>
    <row r="323" spans="1:18" x14ac:dyDescent="0.3">
      <c r="A323" s="12" t="s">
        <v>1545</v>
      </c>
      <c r="B323" s="12" t="s">
        <v>14</v>
      </c>
      <c r="C323" s="12"/>
      <c r="D323" s="12" t="s">
        <v>14</v>
      </c>
      <c r="E323" s="12" t="s">
        <v>1546</v>
      </c>
      <c r="F323" s="12"/>
      <c r="G323" s="12" t="s">
        <v>367</v>
      </c>
      <c r="H323" s="12" t="s">
        <v>36</v>
      </c>
      <c r="I323" s="12" t="s">
        <v>26</v>
      </c>
      <c r="J323" s="13" t="s">
        <v>1547</v>
      </c>
      <c r="K323" s="14" t="s">
        <v>1548</v>
      </c>
      <c r="L323" s="15">
        <v>0</v>
      </c>
      <c r="M323" s="15" t="s">
        <v>144</v>
      </c>
      <c r="N323" s="16">
        <v>44606</v>
      </c>
      <c r="O323" s="12" t="s">
        <v>1545</v>
      </c>
      <c r="P323" s="14" t="s">
        <v>1549</v>
      </c>
      <c r="Q323" s="17" t="s">
        <v>137</v>
      </c>
      <c r="R323" s="17" t="s">
        <v>146</v>
      </c>
    </row>
    <row r="324" spans="1:18" x14ac:dyDescent="0.3">
      <c r="A324" s="12" t="s">
        <v>1550</v>
      </c>
      <c r="B324" s="12" t="s">
        <v>10</v>
      </c>
      <c r="C324" s="12"/>
      <c r="D324" s="12" t="s">
        <v>157</v>
      </c>
      <c r="E324" s="12" t="s">
        <v>1551</v>
      </c>
      <c r="F324" s="12" t="s">
        <v>447</v>
      </c>
      <c r="G324" s="12" t="s">
        <v>367</v>
      </c>
      <c r="H324" s="12" t="s">
        <v>36</v>
      </c>
      <c r="I324" s="12" t="s">
        <v>26</v>
      </c>
      <c r="J324" s="13" t="s">
        <v>1552</v>
      </c>
      <c r="K324" s="14" t="s">
        <v>1553</v>
      </c>
      <c r="L324" s="15">
        <v>1</v>
      </c>
      <c r="M324" s="15" t="s">
        <v>144</v>
      </c>
      <c r="N324" s="16">
        <v>44754</v>
      </c>
      <c r="O324" s="12" t="s">
        <v>1550</v>
      </c>
      <c r="P324" s="14" t="s">
        <v>1554</v>
      </c>
      <c r="Q324" s="17" t="s">
        <v>137</v>
      </c>
      <c r="R324" s="17" t="s">
        <v>146</v>
      </c>
    </row>
    <row r="325" spans="1:18" x14ac:dyDescent="0.3">
      <c r="A325" s="12" t="s">
        <v>1555</v>
      </c>
      <c r="B325" s="12" t="s">
        <v>14</v>
      </c>
      <c r="C325" s="12"/>
      <c r="D325" s="12" t="s">
        <v>14</v>
      </c>
      <c r="E325" s="12" t="s">
        <v>1556</v>
      </c>
      <c r="F325" s="12"/>
      <c r="G325" s="12" t="s">
        <v>367</v>
      </c>
      <c r="H325" s="12" t="s">
        <v>36</v>
      </c>
      <c r="I325" s="12" t="s">
        <v>26</v>
      </c>
      <c r="J325" s="13" t="s">
        <v>1557</v>
      </c>
      <c r="K325" s="14" t="s">
        <v>1558</v>
      </c>
      <c r="L325" s="15">
        <v>1</v>
      </c>
      <c r="M325" s="15" t="s">
        <v>144</v>
      </c>
      <c r="N325" s="16">
        <v>46021</v>
      </c>
      <c r="O325" s="12" t="s">
        <v>1555</v>
      </c>
      <c r="P325" s="14" t="s">
        <v>1559</v>
      </c>
      <c r="Q325" s="17" t="s">
        <v>137</v>
      </c>
      <c r="R325" s="17" t="s">
        <v>146</v>
      </c>
    </row>
    <row r="326" spans="1:18" x14ac:dyDescent="0.3">
      <c r="A326" s="12" t="s">
        <v>1560</v>
      </c>
      <c r="B326" s="12" t="s">
        <v>10</v>
      </c>
      <c r="C326" s="12"/>
      <c r="D326" s="12" t="s">
        <v>1561</v>
      </c>
      <c r="E326" s="12" t="s">
        <v>1562</v>
      </c>
      <c r="F326" s="12" t="s">
        <v>1563</v>
      </c>
      <c r="G326" s="12" t="s">
        <v>367</v>
      </c>
      <c r="H326" s="12" t="s">
        <v>36</v>
      </c>
      <c r="I326" s="12" t="s">
        <v>26</v>
      </c>
      <c r="J326" s="13" t="s">
        <v>1564</v>
      </c>
      <c r="K326" s="14" t="s">
        <v>1565</v>
      </c>
      <c r="L326" s="15">
        <v>0</v>
      </c>
      <c r="M326" s="15" t="s">
        <v>144</v>
      </c>
      <c r="N326" s="16">
        <v>46267</v>
      </c>
      <c r="O326" s="12" t="s">
        <v>1566</v>
      </c>
      <c r="P326" s="14" t="s">
        <v>1567</v>
      </c>
      <c r="Q326" s="17" t="s">
        <v>137</v>
      </c>
      <c r="R326" s="17" t="s">
        <v>146</v>
      </c>
    </row>
    <row r="327" spans="1:18" x14ac:dyDescent="0.3">
      <c r="A327" s="12" t="s">
        <v>1568</v>
      </c>
      <c r="B327" s="12" t="s">
        <v>10</v>
      </c>
      <c r="C327" s="12"/>
      <c r="D327" s="12" t="s">
        <v>230</v>
      </c>
      <c r="E327" s="12" t="s">
        <v>1445</v>
      </c>
      <c r="F327" s="12" t="s">
        <v>1569</v>
      </c>
      <c r="G327" s="12" t="s">
        <v>367</v>
      </c>
      <c r="H327" s="12" t="s">
        <v>36</v>
      </c>
      <c r="I327" s="12" t="s">
        <v>26</v>
      </c>
      <c r="J327" s="13" t="s">
        <v>1442</v>
      </c>
      <c r="K327" s="14" t="s">
        <v>235</v>
      </c>
      <c r="L327" s="15">
        <v>8</v>
      </c>
      <c r="M327" s="15" t="s">
        <v>220</v>
      </c>
      <c r="N327" s="16">
        <v>45713</v>
      </c>
      <c r="O327" s="12" t="s">
        <v>236</v>
      </c>
      <c r="P327" s="14" t="s">
        <v>1570</v>
      </c>
      <c r="Q327" s="17" t="s">
        <v>137</v>
      </c>
      <c r="R327" s="17" t="s">
        <v>146</v>
      </c>
    </row>
    <row r="328" spans="1:18" x14ac:dyDescent="0.3">
      <c r="A328" s="12" t="s">
        <v>1571</v>
      </c>
      <c r="B328" s="12" t="s">
        <v>12</v>
      </c>
      <c r="C328" s="12"/>
      <c r="D328" s="12" t="s">
        <v>12</v>
      </c>
      <c r="E328" s="12" t="s">
        <v>1572</v>
      </c>
      <c r="F328" s="12" t="s">
        <v>1573</v>
      </c>
      <c r="G328" s="12" t="s">
        <v>367</v>
      </c>
      <c r="H328" s="12" t="s">
        <v>36</v>
      </c>
      <c r="I328" s="12" t="s">
        <v>26</v>
      </c>
      <c r="J328" s="13" t="s">
        <v>1557</v>
      </c>
      <c r="K328" s="14" t="s">
        <v>1574</v>
      </c>
      <c r="L328" s="15">
        <v>7</v>
      </c>
      <c r="M328" s="15" t="s">
        <v>144</v>
      </c>
      <c r="N328" s="16">
        <v>46059</v>
      </c>
      <c r="O328" s="12" t="s">
        <v>1571</v>
      </c>
      <c r="P328" s="14" t="s">
        <v>1575</v>
      </c>
      <c r="Q328" s="17" t="s">
        <v>137</v>
      </c>
      <c r="R328" s="17" t="s">
        <v>146</v>
      </c>
    </row>
    <row r="329" spans="1:18" x14ac:dyDescent="0.3">
      <c r="A329" s="12" t="s">
        <v>364</v>
      </c>
      <c r="B329" s="12" t="s">
        <v>10</v>
      </c>
      <c r="C329" s="12"/>
      <c r="D329" s="12" t="s">
        <v>157</v>
      </c>
      <c r="E329" s="12" t="s">
        <v>1576</v>
      </c>
      <c r="F329" s="12"/>
      <c r="G329" s="12" t="s">
        <v>367</v>
      </c>
      <c r="H329" s="12" t="s">
        <v>36</v>
      </c>
      <c r="I329" s="12" t="s">
        <v>26</v>
      </c>
      <c r="J329" s="13" t="s">
        <v>1178</v>
      </c>
      <c r="K329" s="14" t="s">
        <v>368</v>
      </c>
      <c r="L329" s="15">
        <v>6</v>
      </c>
      <c r="M329" s="15" t="s">
        <v>144</v>
      </c>
      <c r="N329" s="16">
        <v>46253</v>
      </c>
      <c r="O329" s="12" t="s">
        <v>364</v>
      </c>
      <c r="P329" s="14" t="s">
        <v>369</v>
      </c>
      <c r="Q329" s="17" t="s">
        <v>137</v>
      </c>
      <c r="R329" s="17" t="s">
        <v>146</v>
      </c>
    </row>
    <row r="330" spans="1:18" x14ac:dyDescent="0.3">
      <c r="A330" s="12" t="s">
        <v>1577</v>
      </c>
      <c r="B330" s="12" t="s">
        <v>10</v>
      </c>
      <c r="C330" s="12"/>
      <c r="D330" s="12" t="s">
        <v>440</v>
      </c>
      <c r="E330" s="12" t="s">
        <v>1578</v>
      </c>
      <c r="F330" s="12" t="s">
        <v>1579</v>
      </c>
      <c r="G330" s="12" t="s">
        <v>367</v>
      </c>
      <c r="H330" s="12" t="s">
        <v>36</v>
      </c>
      <c r="I330" s="12" t="s">
        <v>26</v>
      </c>
      <c r="J330" s="13" t="s">
        <v>1492</v>
      </c>
      <c r="K330" s="14" t="s">
        <v>1580</v>
      </c>
      <c r="L330" s="15">
        <v>1</v>
      </c>
      <c r="M330" s="15" t="s">
        <v>144</v>
      </c>
      <c r="N330" s="16">
        <v>44763</v>
      </c>
      <c r="O330" s="12" t="s">
        <v>1577</v>
      </c>
      <c r="P330" s="14" t="s">
        <v>1581</v>
      </c>
      <c r="Q330" s="17" t="s">
        <v>137</v>
      </c>
      <c r="R330" s="17" t="s">
        <v>146</v>
      </c>
    </row>
    <row r="331" spans="1:18" x14ac:dyDescent="0.3">
      <c r="A331" s="12" t="s">
        <v>1582</v>
      </c>
      <c r="B331" s="12" t="s">
        <v>10</v>
      </c>
      <c r="C331" s="12"/>
      <c r="D331" s="12" t="s">
        <v>157</v>
      </c>
      <c r="E331" s="12" t="s">
        <v>1578</v>
      </c>
      <c r="F331" s="12" t="s">
        <v>1583</v>
      </c>
      <c r="G331" s="12" t="s">
        <v>367</v>
      </c>
      <c r="H331" s="12" t="s">
        <v>36</v>
      </c>
      <c r="I331" s="12" t="s">
        <v>26</v>
      </c>
      <c r="J331" s="13" t="s">
        <v>1492</v>
      </c>
      <c r="K331" s="14" t="s">
        <v>1584</v>
      </c>
      <c r="L331" s="15">
        <v>0</v>
      </c>
      <c r="M331" s="15" t="s">
        <v>144</v>
      </c>
      <c r="N331" s="16">
        <v>46158</v>
      </c>
      <c r="O331" s="12" t="s">
        <v>1582</v>
      </c>
      <c r="P331" s="14" t="s">
        <v>1585</v>
      </c>
      <c r="Q331" s="17" t="s">
        <v>137</v>
      </c>
      <c r="R331" s="17" t="s">
        <v>146</v>
      </c>
    </row>
    <row r="332" spans="1:18" x14ac:dyDescent="0.3">
      <c r="A332" s="12" t="s">
        <v>1586</v>
      </c>
      <c r="B332" s="12" t="s">
        <v>14</v>
      </c>
      <c r="C332" s="12"/>
      <c r="D332" s="12" t="s">
        <v>14</v>
      </c>
      <c r="E332" s="12" t="s">
        <v>1578</v>
      </c>
      <c r="F332" s="12" t="s">
        <v>1587</v>
      </c>
      <c r="G332" s="12" t="s">
        <v>367</v>
      </c>
      <c r="H332" s="12" t="s">
        <v>36</v>
      </c>
      <c r="I332" s="12" t="s">
        <v>26</v>
      </c>
      <c r="J332" s="13" t="s">
        <v>1492</v>
      </c>
      <c r="K332" s="14" t="s">
        <v>1588</v>
      </c>
      <c r="L332" s="15">
        <v>7</v>
      </c>
      <c r="M332" s="15" t="s">
        <v>144</v>
      </c>
      <c r="N332" s="16">
        <v>45616</v>
      </c>
      <c r="O332" s="12" t="s">
        <v>1586</v>
      </c>
      <c r="P332" s="14" t="s">
        <v>1589</v>
      </c>
      <c r="Q332" s="17" t="s">
        <v>137</v>
      </c>
      <c r="R332" s="17" t="s">
        <v>146</v>
      </c>
    </row>
    <row r="333" spans="1:18" x14ac:dyDescent="0.3">
      <c r="A333" s="12" t="s">
        <v>1590</v>
      </c>
      <c r="B333" s="12" t="s">
        <v>12</v>
      </c>
      <c r="C333" s="12"/>
      <c r="D333" s="12" t="s">
        <v>12</v>
      </c>
      <c r="E333" s="12" t="s">
        <v>1591</v>
      </c>
      <c r="F333" s="12" t="s">
        <v>1592</v>
      </c>
      <c r="G333" s="12" t="s">
        <v>367</v>
      </c>
      <c r="H333" s="12" t="s">
        <v>36</v>
      </c>
      <c r="I333" s="12" t="s">
        <v>26</v>
      </c>
      <c r="J333" s="13" t="s">
        <v>1557</v>
      </c>
      <c r="K333" s="14" t="s">
        <v>1593</v>
      </c>
      <c r="L333" s="15">
        <v>2</v>
      </c>
      <c r="M333" s="15" t="s">
        <v>144</v>
      </c>
      <c r="N333" s="16">
        <v>45504</v>
      </c>
      <c r="O333" s="12" t="s">
        <v>1590</v>
      </c>
      <c r="P333" s="14" t="s">
        <v>1594</v>
      </c>
      <c r="Q333" s="17" t="s">
        <v>137</v>
      </c>
      <c r="R333" s="17" t="s">
        <v>146</v>
      </c>
    </row>
    <row r="334" spans="1:18" x14ac:dyDescent="0.3">
      <c r="A334" s="12" t="s">
        <v>1595</v>
      </c>
      <c r="B334" s="12" t="s">
        <v>12</v>
      </c>
      <c r="C334" s="12"/>
      <c r="D334" s="12" t="s">
        <v>12</v>
      </c>
      <c r="E334" s="12" t="s">
        <v>1596</v>
      </c>
      <c r="F334" s="12"/>
      <c r="G334" s="12" t="s">
        <v>367</v>
      </c>
      <c r="H334" s="12" t="s">
        <v>36</v>
      </c>
      <c r="I334" s="12" t="s">
        <v>26</v>
      </c>
      <c r="J334" s="13" t="s">
        <v>1456</v>
      </c>
      <c r="K334" s="14" t="s">
        <v>1597</v>
      </c>
      <c r="L334" s="15">
        <v>0</v>
      </c>
      <c r="M334" s="15" t="s">
        <v>144</v>
      </c>
      <c r="N334" s="16">
        <v>46079</v>
      </c>
      <c r="O334" s="12" t="s">
        <v>1595</v>
      </c>
      <c r="P334" s="14" t="s">
        <v>1598</v>
      </c>
      <c r="Q334" s="17" t="s">
        <v>137</v>
      </c>
      <c r="R334" s="17" t="s">
        <v>146</v>
      </c>
    </row>
    <row r="335" spans="1:18" x14ac:dyDescent="0.3">
      <c r="A335" s="12" t="s">
        <v>1599</v>
      </c>
      <c r="B335" s="12" t="s">
        <v>14</v>
      </c>
      <c r="C335" s="12"/>
      <c r="D335" s="12" t="s">
        <v>14</v>
      </c>
      <c r="E335" s="12" t="s">
        <v>1600</v>
      </c>
      <c r="F335" s="12" t="s">
        <v>1601</v>
      </c>
      <c r="G335" s="12" t="s">
        <v>367</v>
      </c>
      <c r="H335" s="12" t="s">
        <v>36</v>
      </c>
      <c r="I335" s="12" t="s">
        <v>26</v>
      </c>
      <c r="J335" s="13" t="s">
        <v>1482</v>
      </c>
      <c r="K335" s="14" t="s">
        <v>1602</v>
      </c>
      <c r="L335" s="15">
        <v>0</v>
      </c>
      <c r="M335" s="15" t="s">
        <v>144</v>
      </c>
      <c r="N335" s="16">
        <v>45957</v>
      </c>
      <c r="O335" s="12" t="s">
        <v>1599</v>
      </c>
      <c r="P335" s="14" t="s">
        <v>1603</v>
      </c>
      <c r="Q335" s="17" t="s">
        <v>137</v>
      </c>
      <c r="R335" s="17" t="s">
        <v>146</v>
      </c>
    </row>
    <row r="336" spans="1:18" x14ac:dyDescent="0.3">
      <c r="A336" s="12" t="s">
        <v>1604</v>
      </c>
      <c r="B336" s="12" t="s">
        <v>12</v>
      </c>
      <c r="C336" s="12"/>
      <c r="D336" s="12" t="s">
        <v>12</v>
      </c>
      <c r="E336" s="12" t="s">
        <v>1605</v>
      </c>
      <c r="F336" s="12"/>
      <c r="G336" s="12" t="s">
        <v>367</v>
      </c>
      <c r="H336" s="12" t="s">
        <v>36</v>
      </c>
      <c r="I336" s="12" t="s">
        <v>26</v>
      </c>
      <c r="J336" s="13" t="s">
        <v>1606</v>
      </c>
      <c r="K336" s="14" t="s">
        <v>1607</v>
      </c>
      <c r="L336" s="15">
        <v>2</v>
      </c>
      <c r="M336" s="15" t="s">
        <v>144</v>
      </c>
      <c r="N336" s="16">
        <v>44740</v>
      </c>
      <c r="O336" s="12" t="s">
        <v>1604</v>
      </c>
      <c r="P336" s="14" t="s">
        <v>1608</v>
      </c>
      <c r="Q336" s="17" t="s">
        <v>137</v>
      </c>
      <c r="R336" s="17" t="s">
        <v>146</v>
      </c>
    </row>
    <row r="337" spans="1:18" x14ac:dyDescent="0.3">
      <c r="A337" s="12" t="s">
        <v>1604</v>
      </c>
      <c r="B337" s="12" t="s">
        <v>12</v>
      </c>
      <c r="C337" s="12"/>
      <c r="D337" s="12" t="s">
        <v>12</v>
      </c>
      <c r="E337" s="12" t="s">
        <v>1609</v>
      </c>
      <c r="F337" s="12"/>
      <c r="G337" s="12" t="s">
        <v>367</v>
      </c>
      <c r="H337" s="12" t="s">
        <v>36</v>
      </c>
      <c r="I337" s="12" t="s">
        <v>26</v>
      </c>
      <c r="J337" s="13" t="s">
        <v>1606</v>
      </c>
      <c r="K337" s="14" t="s">
        <v>1610</v>
      </c>
      <c r="L337" s="15">
        <v>1</v>
      </c>
      <c r="M337" s="15" t="s">
        <v>144</v>
      </c>
      <c r="N337" s="16">
        <v>44740</v>
      </c>
      <c r="O337" s="12" t="s">
        <v>1604</v>
      </c>
      <c r="P337" s="14" t="s">
        <v>1608</v>
      </c>
      <c r="Q337" s="17" t="s">
        <v>137</v>
      </c>
      <c r="R337" s="17" t="s">
        <v>146</v>
      </c>
    </row>
    <row r="338" spans="1:18" x14ac:dyDescent="0.3">
      <c r="A338" s="12" t="s">
        <v>1611</v>
      </c>
      <c r="B338" s="12" t="s">
        <v>12</v>
      </c>
      <c r="C338" s="12"/>
      <c r="D338" s="12" t="s">
        <v>12</v>
      </c>
      <c r="E338" s="12" t="s">
        <v>1612</v>
      </c>
      <c r="F338" s="12"/>
      <c r="G338" s="12" t="s">
        <v>367</v>
      </c>
      <c r="H338" s="12" t="s">
        <v>36</v>
      </c>
      <c r="I338" s="12" t="s">
        <v>26</v>
      </c>
      <c r="J338" s="13" t="s">
        <v>1482</v>
      </c>
      <c r="K338" s="14" t="s">
        <v>1613</v>
      </c>
      <c r="L338" s="15">
        <v>0</v>
      </c>
      <c r="M338" s="15" t="s">
        <v>144</v>
      </c>
      <c r="N338" s="16">
        <v>46240</v>
      </c>
      <c r="O338" s="12" t="s">
        <v>1611</v>
      </c>
      <c r="P338" s="14" t="s">
        <v>1614</v>
      </c>
      <c r="Q338" s="17" t="s">
        <v>137</v>
      </c>
      <c r="R338" s="17" t="s">
        <v>146</v>
      </c>
    </row>
    <row r="339" spans="1:18" x14ac:dyDescent="0.3">
      <c r="A339" s="12" t="s">
        <v>1615</v>
      </c>
      <c r="B339" s="12" t="s">
        <v>14</v>
      </c>
      <c r="C339" s="12"/>
      <c r="D339" s="12" t="s">
        <v>14</v>
      </c>
      <c r="E339" s="12" t="s">
        <v>1616</v>
      </c>
      <c r="F339" s="12"/>
      <c r="G339" s="12" t="s">
        <v>367</v>
      </c>
      <c r="H339" s="12" t="s">
        <v>36</v>
      </c>
      <c r="I339" s="12" t="s">
        <v>26</v>
      </c>
      <c r="J339" s="13" t="s">
        <v>1442</v>
      </c>
      <c r="K339" s="14" t="s">
        <v>1617</v>
      </c>
      <c r="L339" s="15">
        <v>1</v>
      </c>
      <c r="M339" s="15" t="s">
        <v>144</v>
      </c>
      <c r="N339" s="16">
        <v>44763</v>
      </c>
      <c r="O339" s="12" t="s">
        <v>1615</v>
      </c>
      <c r="P339" s="14" t="s">
        <v>1618</v>
      </c>
      <c r="Q339" s="17" t="s">
        <v>137</v>
      </c>
      <c r="R339" s="17" t="s">
        <v>146</v>
      </c>
    </row>
    <row r="340" spans="1:18" x14ac:dyDescent="0.3">
      <c r="A340" s="12" t="s">
        <v>1619</v>
      </c>
      <c r="B340" s="12" t="s">
        <v>14</v>
      </c>
      <c r="C340" s="12"/>
      <c r="D340" s="12" t="s">
        <v>14</v>
      </c>
      <c r="E340" s="12" t="s">
        <v>1556</v>
      </c>
      <c r="F340" s="12"/>
      <c r="G340" s="12" t="s">
        <v>367</v>
      </c>
      <c r="H340" s="12" t="s">
        <v>36</v>
      </c>
      <c r="I340" s="12" t="s">
        <v>26</v>
      </c>
      <c r="J340" s="13" t="s">
        <v>1557</v>
      </c>
      <c r="K340" s="14" t="s">
        <v>1620</v>
      </c>
      <c r="L340" s="15">
        <v>1</v>
      </c>
      <c r="M340" s="15" t="s">
        <v>144</v>
      </c>
      <c r="N340" s="16">
        <v>45194</v>
      </c>
      <c r="O340" s="12" t="s">
        <v>1619</v>
      </c>
      <c r="P340" s="14" t="s">
        <v>1621</v>
      </c>
      <c r="Q340" s="17" t="s">
        <v>137</v>
      </c>
      <c r="R340" s="17" t="s">
        <v>146</v>
      </c>
    </row>
    <row r="341" spans="1:18" x14ac:dyDescent="0.3">
      <c r="A341" s="12" t="s">
        <v>222</v>
      </c>
      <c r="B341" s="12" t="s">
        <v>18</v>
      </c>
      <c r="C341" s="12"/>
      <c r="D341" s="12" t="s">
        <v>1622</v>
      </c>
      <c r="E341" s="12" t="s">
        <v>1623</v>
      </c>
      <c r="F341" s="12" t="s">
        <v>843</v>
      </c>
      <c r="G341" s="12" t="s">
        <v>367</v>
      </c>
      <c r="H341" s="12" t="s">
        <v>36</v>
      </c>
      <c r="I341" s="12" t="s">
        <v>26</v>
      </c>
      <c r="J341" s="13" t="s">
        <v>1624</v>
      </c>
      <c r="K341" s="14" t="s">
        <v>656</v>
      </c>
      <c r="L341" s="15">
        <v>1</v>
      </c>
      <c r="M341" s="15" t="s">
        <v>144</v>
      </c>
      <c r="N341" s="16">
        <v>45545</v>
      </c>
      <c r="O341" s="12" t="s">
        <v>969</v>
      </c>
      <c r="P341" s="14" t="s">
        <v>970</v>
      </c>
      <c r="Q341" s="17" t="s">
        <v>137</v>
      </c>
      <c r="R341" s="17" t="s">
        <v>146</v>
      </c>
    </row>
    <row r="342" spans="1:18" x14ac:dyDescent="0.3">
      <c r="A342" s="12" t="s">
        <v>1625</v>
      </c>
      <c r="B342" s="12" t="s">
        <v>12</v>
      </c>
      <c r="C342" s="12"/>
      <c r="D342" s="12" t="s">
        <v>12</v>
      </c>
      <c r="E342" s="12" t="s">
        <v>1626</v>
      </c>
      <c r="F342" s="12"/>
      <c r="G342" s="12" t="s">
        <v>367</v>
      </c>
      <c r="H342" s="12" t="s">
        <v>36</v>
      </c>
      <c r="I342" s="12" t="s">
        <v>26</v>
      </c>
      <c r="J342" s="13" t="s">
        <v>1564</v>
      </c>
      <c r="K342" s="14" t="s">
        <v>1627</v>
      </c>
      <c r="L342" s="15">
        <v>1</v>
      </c>
      <c r="M342" s="15" t="s">
        <v>144</v>
      </c>
      <c r="N342" s="16">
        <v>45540</v>
      </c>
      <c r="O342" s="12" t="s">
        <v>1625</v>
      </c>
      <c r="P342" s="14" t="s">
        <v>1628</v>
      </c>
      <c r="Q342" s="17" t="s">
        <v>137</v>
      </c>
      <c r="R342" s="17" t="s">
        <v>146</v>
      </c>
    </row>
    <row r="343" spans="1:18" x14ac:dyDescent="0.3">
      <c r="A343" s="12" t="s">
        <v>715</v>
      </c>
      <c r="B343" s="12" t="s">
        <v>14</v>
      </c>
      <c r="C343" s="12"/>
      <c r="D343" s="12" t="s">
        <v>14</v>
      </c>
      <c r="E343" s="12" t="s">
        <v>1629</v>
      </c>
      <c r="F343" s="12"/>
      <c r="G343" s="12" t="s">
        <v>367</v>
      </c>
      <c r="H343" s="12" t="s">
        <v>36</v>
      </c>
      <c r="I343" s="12" t="s">
        <v>26</v>
      </c>
      <c r="J343" s="13" t="s">
        <v>1630</v>
      </c>
      <c r="K343" s="14" t="s">
        <v>717</v>
      </c>
      <c r="L343" s="15">
        <v>1</v>
      </c>
      <c r="M343" s="15" t="s">
        <v>144</v>
      </c>
      <c r="N343" s="16">
        <v>45295</v>
      </c>
      <c r="O343" s="12" t="s">
        <v>715</v>
      </c>
      <c r="P343" s="14" t="s">
        <v>718</v>
      </c>
      <c r="Q343" s="17" t="s">
        <v>137</v>
      </c>
      <c r="R343" s="17" t="s">
        <v>146</v>
      </c>
    </row>
    <row r="344" spans="1:18" x14ac:dyDescent="0.3">
      <c r="A344" s="12" t="s">
        <v>307</v>
      </c>
      <c r="B344" s="12" t="s">
        <v>14</v>
      </c>
      <c r="C344" s="12"/>
      <c r="D344" s="12" t="s">
        <v>14</v>
      </c>
      <c r="E344" s="12" t="s">
        <v>1631</v>
      </c>
      <c r="F344" s="12" t="s">
        <v>218</v>
      </c>
      <c r="G344" s="12" t="s">
        <v>367</v>
      </c>
      <c r="H344" s="12" t="s">
        <v>36</v>
      </c>
      <c r="I344" s="12" t="s">
        <v>26</v>
      </c>
      <c r="J344" s="13" t="s">
        <v>1557</v>
      </c>
      <c r="K344" s="14" t="s">
        <v>1632</v>
      </c>
      <c r="L344" s="15">
        <v>7</v>
      </c>
      <c r="M344" s="15" t="s">
        <v>144</v>
      </c>
      <c r="N344" s="16">
        <v>46275</v>
      </c>
      <c r="O344" s="12" t="s">
        <v>307</v>
      </c>
      <c r="P344" s="14" t="s">
        <v>310</v>
      </c>
      <c r="Q344" s="17" t="s">
        <v>137</v>
      </c>
      <c r="R344" s="17" t="s">
        <v>146</v>
      </c>
    </row>
    <row r="345" spans="1:18" x14ac:dyDescent="0.3">
      <c r="A345" s="12" t="s">
        <v>1633</v>
      </c>
      <c r="B345" s="12" t="s">
        <v>14</v>
      </c>
      <c r="C345" s="12"/>
      <c r="D345" s="12" t="s">
        <v>14</v>
      </c>
      <c r="E345" s="12" t="s">
        <v>1634</v>
      </c>
      <c r="F345" s="12" t="s">
        <v>1635</v>
      </c>
      <c r="G345" s="12" t="s">
        <v>367</v>
      </c>
      <c r="H345" s="12" t="s">
        <v>36</v>
      </c>
      <c r="I345" s="12" t="s">
        <v>26</v>
      </c>
      <c r="J345" s="13" t="s">
        <v>1472</v>
      </c>
      <c r="K345" s="14" t="s">
        <v>1636</v>
      </c>
      <c r="L345" s="15">
        <v>1</v>
      </c>
      <c r="M345" s="15" t="s">
        <v>144</v>
      </c>
      <c r="N345" s="16">
        <v>45806</v>
      </c>
      <c r="O345" s="12" t="s">
        <v>1637</v>
      </c>
      <c r="P345" s="14" t="s">
        <v>1638</v>
      </c>
      <c r="Q345" s="17" t="s">
        <v>137</v>
      </c>
      <c r="R345" s="17" t="s">
        <v>146</v>
      </c>
    </row>
    <row r="346" spans="1:18" x14ac:dyDescent="0.3">
      <c r="A346" s="12" t="s">
        <v>1639</v>
      </c>
      <c r="B346" s="12" t="s">
        <v>10</v>
      </c>
      <c r="C346" s="12"/>
      <c r="D346" s="12" t="s">
        <v>157</v>
      </c>
      <c r="E346" s="12" t="s">
        <v>1502</v>
      </c>
      <c r="F346" s="12"/>
      <c r="G346" s="12" t="s">
        <v>367</v>
      </c>
      <c r="H346" s="12" t="s">
        <v>36</v>
      </c>
      <c r="I346" s="12" t="s">
        <v>26</v>
      </c>
      <c r="J346" s="13" t="s">
        <v>1503</v>
      </c>
      <c r="K346" s="14" t="s">
        <v>1640</v>
      </c>
      <c r="L346" s="15">
        <v>5</v>
      </c>
      <c r="M346" s="15" t="s">
        <v>144</v>
      </c>
      <c r="N346" s="16">
        <v>45400</v>
      </c>
      <c r="O346" s="12" t="s">
        <v>1639</v>
      </c>
      <c r="P346" s="14" t="s">
        <v>1641</v>
      </c>
      <c r="Q346" s="17" t="s">
        <v>137</v>
      </c>
      <c r="R346" s="17" t="s">
        <v>146</v>
      </c>
    </row>
    <row r="347" spans="1:18" x14ac:dyDescent="0.3">
      <c r="A347" s="12" t="s">
        <v>1642</v>
      </c>
      <c r="B347" s="12" t="s">
        <v>20</v>
      </c>
      <c r="C347" s="12"/>
      <c r="D347" s="12" t="s">
        <v>193</v>
      </c>
      <c r="E347" s="12" t="s">
        <v>1643</v>
      </c>
      <c r="F347" s="12" t="s">
        <v>1644</v>
      </c>
      <c r="G347" s="12" t="s">
        <v>367</v>
      </c>
      <c r="H347" s="12" t="s">
        <v>36</v>
      </c>
      <c r="I347" s="12" t="s">
        <v>26</v>
      </c>
      <c r="J347" s="13" t="s">
        <v>1534</v>
      </c>
      <c r="K347" s="14" t="s">
        <v>1645</v>
      </c>
      <c r="L347" s="15">
        <v>24</v>
      </c>
      <c r="M347" s="15" t="s">
        <v>144</v>
      </c>
      <c r="N347" s="16">
        <v>42725</v>
      </c>
      <c r="O347" s="12" t="s">
        <v>1646</v>
      </c>
      <c r="P347" s="14" t="s">
        <v>1647</v>
      </c>
      <c r="Q347" s="17" t="s">
        <v>137</v>
      </c>
      <c r="R347" s="17" t="s">
        <v>146</v>
      </c>
    </row>
    <row r="348" spans="1:18" x14ac:dyDescent="0.3">
      <c r="A348" s="12" t="s">
        <v>1648</v>
      </c>
      <c r="B348" s="12" t="s">
        <v>18</v>
      </c>
      <c r="C348" s="12"/>
      <c r="D348" s="12" t="s">
        <v>1622</v>
      </c>
      <c r="E348" s="12" t="s">
        <v>1643</v>
      </c>
      <c r="F348" s="12" t="s">
        <v>1649</v>
      </c>
      <c r="G348" s="12" t="s">
        <v>367</v>
      </c>
      <c r="H348" s="12" t="s">
        <v>36</v>
      </c>
      <c r="I348" s="12" t="s">
        <v>26</v>
      </c>
      <c r="J348" s="13" t="s">
        <v>1534</v>
      </c>
      <c r="K348" s="14" t="s">
        <v>1650</v>
      </c>
      <c r="L348" s="15">
        <v>9</v>
      </c>
      <c r="M348" s="15" t="s">
        <v>144</v>
      </c>
      <c r="N348" s="16">
        <v>45467</v>
      </c>
      <c r="O348" s="12" t="s">
        <v>1646</v>
      </c>
      <c r="P348" s="14" t="s">
        <v>1651</v>
      </c>
      <c r="Q348" s="17" t="s">
        <v>137</v>
      </c>
      <c r="R348" s="17" t="s">
        <v>146</v>
      </c>
    </row>
    <row r="349" spans="1:18" x14ac:dyDescent="0.3">
      <c r="A349" s="12" t="s">
        <v>1652</v>
      </c>
      <c r="B349" s="12" t="s">
        <v>12</v>
      </c>
      <c r="C349" s="12"/>
      <c r="D349" s="12" t="s">
        <v>12</v>
      </c>
      <c r="E349" s="12" t="s">
        <v>1653</v>
      </c>
      <c r="F349" s="12" t="s">
        <v>188</v>
      </c>
      <c r="G349" s="12" t="s">
        <v>367</v>
      </c>
      <c r="H349" s="12" t="s">
        <v>36</v>
      </c>
      <c r="I349" s="12" t="s">
        <v>26</v>
      </c>
      <c r="J349" s="13" t="s">
        <v>1654</v>
      </c>
      <c r="K349" s="14" t="s">
        <v>1655</v>
      </c>
      <c r="L349" s="15">
        <v>1</v>
      </c>
      <c r="M349" s="15" t="s">
        <v>144</v>
      </c>
      <c r="N349" s="16">
        <v>45622</v>
      </c>
      <c r="O349" s="12" t="s">
        <v>1656</v>
      </c>
      <c r="P349" s="14" t="s">
        <v>1657</v>
      </c>
      <c r="Q349" s="17" t="s">
        <v>137</v>
      </c>
      <c r="R349" s="17" t="s">
        <v>146</v>
      </c>
    </row>
    <row r="350" spans="1:18" x14ac:dyDescent="0.3">
      <c r="A350" s="12" t="s">
        <v>1658</v>
      </c>
      <c r="B350" s="12" t="s">
        <v>12</v>
      </c>
      <c r="C350" s="12"/>
      <c r="D350" s="12" t="s">
        <v>12</v>
      </c>
      <c r="E350" s="12" t="s">
        <v>1659</v>
      </c>
      <c r="F350" s="12" t="s">
        <v>1660</v>
      </c>
      <c r="G350" s="12" t="s">
        <v>1661</v>
      </c>
      <c r="H350" s="12" t="s">
        <v>36</v>
      </c>
      <c r="I350" s="12" t="s">
        <v>26</v>
      </c>
      <c r="J350" s="13" t="s">
        <v>1662</v>
      </c>
      <c r="K350" s="14" t="s">
        <v>1663</v>
      </c>
      <c r="L350" s="15">
        <v>10</v>
      </c>
      <c r="M350" s="15" t="s">
        <v>144</v>
      </c>
      <c r="N350" s="16">
        <v>45779</v>
      </c>
      <c r="O350" s="12" t="s">
        <v>1658</v>
      </c>
      <c r="P350" s="14" t="s">
        <v>1664</v>
      </c>
      <c r="Q350" s="17" t="s">
        <v>137</v>
      </c>
      <c r="R350" s="17" t="s">
        <v>146</v>
      </c>
    </row>
    <row r="351" spans="1:18" x14ac:dyDescent="0.3">
      <c r="A351" s="12" t="s">
        <v>1665</v>
      </c>
      <c r="B351" s="12" t="s">
        <v>10</v>
      </c>
      <c r="C351" s="12"/>
      <c r="D351" s="12" t="s">
        <v>647</v>
      </c>
      <c r="E351" s="12" t="s">
        <v>1659</v>
      </c>
      <c r="F351" s="12" t="s">
        <v>1666</v>
      </c>
      <c r="G351" s="12" t="s">
        <v>1661</v>
      </c>
      <c r="H351" s="12" t="s">
        <v>36</v>
      </c>
      <c r="I351" s="12" t="s">
        <v>26</v>
      </c>
      <c r="J351" s="13" t="s">
        <v>1662</v>
      </c>
      <c r="K351" s="14" t="s">
        <v>1667</v>
      </c>
      <c r="L351" s="15">
        <v>1</v>
      </c>
      <c r="M351" s="15" t="s">
        <v>220</v>
      </c>
      <c r="N351" s="16">
        <v>46021</v>
      </c>
      <c r="O351" s="12" t="s">
        <v>1665</v>
      </c>
      <c r="P351" s="14" t="s">
        <v>1668</v>
      </c>
      <c r="Q351" s="17" t="s">
        <v>137</v>
      </c>
      <c r="R351" s="17" t="s">
        <v>146</v>
      </c>
    </row>
    <row r="352" spans="1:18" x14ac:dyDescent="0.3">
      <c r="A352" s="12" t="s">
        <v>1669</v>
      </c>
      <c r="B352" s="12" t="s">
        <v>20</v>
      </c>
      <c r="C352" s="12"/>
      <c r="D352" s="12" t="s">
        <v>193</v>
      </c>
      <c r="E352" s="12" t="s">
        <v>1670</v>
      </c>
      <c r="F352" s="12"/>
      <c r="G352" s="12" t="s">
        <v>1661</v>
      </c>
      <c r="H352" s="12" t="s">
        <v>36</v>
      </c>
      <c r="I352" s="12" t="s">
        <v>26</v>
      </c>
      <c r="J352" s="13" t="s">
        <v>1662</v>
      </c>
      <c r="K352" s="14" t="s">
        <v>1671</v>
      </c>
      <c r="L352" s="15">
        <v>3</v>
      </c>
      <c r="M352" s="15" t="s">
        <v>144</v>
      </c>
      <c r="N352" s="16">
        <v>45547</v>
      </c>
      <c r="O352" s="12" t="s">
        <v>1672</v>
      </c>
      <c r="P352" s="14" t="s">
        <v>1673</v>
      </c>
      <c r="Q352" s="17" t="s">
        <v>137</v>
      </c>
      <c r="R352" s="17" t="s">
        <v>146</v>
      </c>
    </row>
    <row r="353" spans="1:18" x14ac:dyDescent="0.3">
      <c r="A353" s="12" t="s">
        <v>1674</v>
      </c>
      <c r="B353" s="12" t="s">
        <v>12</v>
      </c>
      <c r="C353" s="12"/>
      <c r="D353" s="12" t="s">
        <v>12</v>
      </c>
      <c r="E353" s="12" t="s">
        <v>1675</v>
      </c>
      <c r="F353" s="12"/>
      <c r="G353" s="12" t="s">
        <v>1661</v>
      </c>
      <c r="H353" s="12" t="s">
        <v>36</v>
      </c>
      <c r="I353" s="12" t="s">
        <v>26</v>
      </c>
      <c r="J353" s="13" t="s">
        <v>1342</v>
      </c>
      <c r="K353" s="14" t="s">
        <v>1676</v>
      </c>
      <c r="L353" s="15">
        <v>0</v>
      </c>
      <c r="M353" s="15" t="s">
        <v>144</v>
      </c>
      <c r="N353" s="16">
        <v>45603</v>
      </c>
      <c r="O353" s="12" t="s">
        <v>1677</v>
      </c>
      <c r="P353" s="14" t="s">
        <v>1678</v>
      </c>
      <c r="Q353" s="17" t="s">
        <v>137</v>
      </c>
      <c r="R353" s="17" t="s">
        <v>146</v>
      </c>
    </row>
    <row r="354" spans="1:18" x14ac:dyDescent="0.3">
      <c r="A354" s="12" t="s">
        <v>1679</v>
      </c>
      <c r="B354" s="12" t="s">
        <v>10</v>
      </c>
      <c r="C354" s="12"/>
      <c r="D354" s="12" t="s">
        <v>157</v>
      </c>
      <c r="E354" s="12" t="s">
        <v>1680</v>
      </c>
      <c r="F354" s="12"/>
      <c r="G354" s="12" t="s">
        <v>1661</v>
      </c>
      <c r="H354" s="12" t="s">
        <v>36</v>
      </c>
      <c r="I354" s="12" t="s">
        <v>26</v>
      </c>
      <c r="J354" s="13" t="s">
        <v>1681</v>
      </c>
      <c r="K354" s="14" t="s">
        <v>1682</v>
      </c>
      <c r="L354" s="15">
        <v>0</v>
      </c>
      <c r="M354" s="15" t="s">
        <v>144</v>
      </c>
      <c r="N354" s="16">
        <v>45815</v>
      </c>
      <c r="O354" s="12" t="s">
        <v>1679</v>
      </c>
      <c r="P354" s="14" t="s">
        <v>1683</v>
      </c>
      <c r="Q354" s="17" t="s">
        <v>137</v>
      </c>
      <c r="R354" s="17" t="s">
        <v>146</v>
      </c>
    </row>
    <row r="355" spans="1:18" x14ac:dyDescent="0.3">
      <c r="A355" s="12" t="s">
        <v>199</v>
      </c>
      <c r="B355" s="12" t="s">
        <v>14</v>
      </c>
      <c r="C355" s="12"/>
      <c r="D355" s="12" t="s">
        <v>14</v>
      </c>
      <c r="E355" s="12" t="s">
        <v>1684</v>
      </c>
      <c r="F355" s="12" t="s">
        <v>447</v>
      </c>
      <c r="G355" s="12" t="s">
        <v>1661</v>
      </c>
      <c r="H355" s="12" t="s">
        <v>36</v>
      </c>
      <c r="I355" s="12" t="s">
        <v>26</v>
      </c>
      <c r="J355" s="13" t="s">
        <v>1662</v>
      </c>
      <c r="K355" s="14" t="s">
        <v>1685</v>
      </c>
      <c r="L355" s="15">
        <v>5</v>
      </c>
      <c r="M355" s="15" t="s">
        <v>144</v>
      </c>
      <c r="N355" s="16">
        <v>45589</v>
      </c>
      <c r="O355" s="12" t="s">
        <v>203</v>
      </c>
      <c r="P355" s="14" t="s">
        <v>1686</v>
      </c>
      <c r="Q355" s="17" t="s">
        <v>137</v>
      </c>
      <c r="R355" s="17" t="s">
        <v>146</v>
      </c>
    </row>
    <row r="356" spans="1:18" x14ac:dyDescent="0.3">
      <c r="A356" s="12" t="s">
        <v>1687</v>
      </c>
      <c r="B356" s="12" t="s">
        <v>12</v>
      </c>
      <c r="C356" s="12"/>
      <c r="D356" s="12" t="s">
        <v>12</v>
      </c>
      <c r="E356" s="12" t="s">
        <v>1688</v>
      </c>
      <c r="F356" s="12" t="s">
        <v>447</v>
      </c>
      <c r="G356" s="12" t="s">
        <v>1661</v>
      </c>
      <c r="H356" s="12" t="s">
        <v>36</v>
      </c>
      <c r="I356" s="12" t="s">
        <v>26</v>
      </c>
      <c r="J356" s="13" t="s">
        <v>1681</v>
      </c>
      <c r="K356" s="14" t="s">
        <v>1689</v>
      </c>
      <c r="L356" s="15">
        <v>1</v>
      </c>
      <c r="M356" s="15" t="s">
        <v>144</v>
      </c>
      <c r="N356" s="16">
        <v>45449</v>
      </c>
      <c r="O356" s="12" t="s">
        <v>1690</v>
      </c>
      <c r="P356" s="14" t="s">
        <v>1691</v>
      </c>
      <c r="Q356" s="17" t="s">
        <v>137</v>
      </c>
      <c r="R356" s="17" t="s">
        <v>146</v>
      </c>
    </row>
    <row r="357" spans="1:18" x14ac:dyDescent="0.3">
      <c r="A357" s="12" t="s">
        <v>1692</v>
      </c>
      <c r="B357" s="12" t="s">
        <v>14</v>
      </c>
      <c r="C357" s="12"/>
      <c r="D357" s="12" t="s">
        <v>14</v>
      </c>
      <c r="E357" s="12" t="s">
        <v>1693</v>
      </c>
      <c r="F357" s="12"/>
      <c r="G357" s="12" t="s">
        <v>1661</v>
      </c>
      <c r="H357" s="12" t="s">
        <v>36</v>
      </c>
      <c r="I357" s="12" t="s">
        <v>26</v>
      </c>
      <c r="J357" s="13" t="s">
        <v>1662</v>
      </c>
      <c r="K357" s="14" t="s">
        <v>1694</v>
      </c>
      <c r="L357" s="15">
        <v>3</v>
      </c>
      <c r="M357" s="15" t="s">
        <v>144</v>
      </c>
      <c r="N357" s="16">
        <v>44658</v>
      </c>
      <c r="O357" s="12" t="s">
        <v>1695</v>
      </c>
      <c r="P357" s="14" t="s">
        <v>1696</v>
      </c>
      <c r="Q357" s="17" t="s">
        <v>137</v>
      </c>
      <c r="R357" s="17" t="s">
        <v>146</v>
      </c>
    </row>
    <row r="358" spans="1:18" x14ac:dyDescent="0.3">
      <c r="A358" s="12" t="s">
        <v>215</v>
      </c>
      <c r="B358" s="12" t="s">
        <v>10</v>
      </c>
      <c r="C358" s="12" t="s">
        <v>14</v>
      </c>
      <c r="D358" s="12" t="s">
        <v>702</v>
      </c>
      <c r="E358" s="12" t="s">
        <v>1697</v>
      </c>
      <c r="F358" s="12" t="s">
        <v>1698</v>
      </c>
      <c r="G358" s="12" t="s">
        <v>1661</v>
      </c>
      <c r="H358" s="12" t="s">
        <v>36</v>
      </c>
      <c r="I358" s="12" t="s">
        <v>26</v>
      </c>
      <c r="J358" s="13" t="s">
        <v>1681</v>
      </c>
      <c r="K358" s="14" t="s">
        <v>294</v>
      </c>
      <c r="L358" s="15">
        <v>3</v>
      </c>
      <c r="M358" s="15" t="s">
        <v>220</v>
      </c>
      <c r="N358" s="16">
        <v>45818</v>
      </c>
      <c r="O358" s="12" t="s">
        <v>215</v>
      </c>
      <c r="P358" s="14" t="s">
        <v>1699</v>
      </c>
      <c r="Q358" s="17" t="s">
        <v>137</v>
      </c>
      <c r="R358" s="17" t="s">
        <v>146</v>
      </c>
    </row>
    <row r="359" spans="1:18" x14ac:dyDescent="0.3">
      <c r="A359" s="12" t="s">
        <v>1700</v>
      </c>
      <c r="B359" s="12" t="s">
        <v>12</v>
      </c>
      <c r="C359" s="12"/>
      <c r="D359" s="12" t="s">
        <v>12</v>
      </c>
      <c r="E359" s="12" t="s">
        <v>1701</v>
      </c>
      <c r="F359" s="12" t="s">
        <v>1702</v>
      </c>
      <c r="G359" s="12" t="s">
        <v>1661</v>
      </c>
      <c r="H359" s="12" t="s">
        <v>36</v>
      </c>
      <c r="I359" s="12" t="s">
        <v>26</v>
      </c>
      <c r="J359" s="13" t="s">
        <v>1342</v>
      </c>
      <c r="K359" s="14" t="s">
        <v>1703</v>
      </c>
      <c r="L359" s="15">
        <v>1</v>
      </c>
      <c r="M359" s="15" t="s">
        <v>144</v>
      </c>
      <c r="N359" s="16">
        <v>45247</v>
      </c>
      <c r="O359" s="12" t="s">
        <v>1700</v>
      </c>
      <c r="P359" s="14" t="s">
        <v>1704</v>
      </c>
      <c r="Q359" s="17" t="s">
        <v>137</v>
      </c>
      <c r="R359" s="17" t="s">
        <v>146</v>
      </c>
    </row>
    <row r="360" spans="1:18" x14ac:dyDescent="0.3">
      <c r="A360" s="12" t="s">
        <v>475</v>
      </c>
      <c r="B360" s="12" t="s">
        <v>14</v>
      </c>
      <c r="C360" s="12"/>
      <c r="D360" s="12" t="s">
        <v>14</v>
      </c>
      <c r="E360" s="12" t="s">
        <v>1705</v>
      </c>
      <c r="F360" s="12"/>
      <c r="G360" s="12" t="s">
        <v>1661</v>
      </c>
      <c r="H360" s="12" t="s">
        <v>36</v>
      </c>
      <c r="I360" s="12" t="s">
        <v>26</v>
      </c>
      <c r="J360" s="13" t="s">
        <v>1681</v>
      </c>
      <c r="K360" s="14" t="s">
        <v>477</v>
      </c>
      <c r="L360" s="15">
        <v>0</v>
      </c>
      <c r="M360" s="15" t="s">
        <v>144</v>
      </c>
      <c r="N360" s="16">
        <v>45379</v>
      </c>
      <c r="O360" s="12" t="s">
        <v>475</v>
      </c>
      <c r="P360" s="14" t="s">
        <v>478</v>
      </c>
      <c r="Q360" s="17" t="s">
        <v>137</v>
      </c>
      <c r="R360" s="17" t="s">
        <v>146</v>
      </c>
    </row>
    <row r="361" spans="1:18" x14ac:dyDescent="0.3">
      <c r="A361" s="12" t="s">
        <v>1706</v>
      </c>
      <c r="B361" s="12" t="s">
        <v>12</v>
      </c>
      <c r="C361" s="12"/>
      <c r="D361" s="12" t="s">
        <v>12</v>
      </c>
      <c r="E361" s="12" t="s">
        <v>1707</v>
      </c>
      <c r="F361" s="12" t="s">
        <v>1708</v>
      </c>
      <c r="G361" s="12" t="s">
        <v>1661</v>
      </c>
      <c r="H361" s="12" t="s">
        <v>36</v>
      </c>
      <c r="I361" s="12" t="s">
        <v>26</v>
      </c>
      <c r="J361" s="13" t="s">
        <v>1662</v>
      </c>
      <c r="K361" s="14" t="s">
        <v>1709</v>
      </c>
      <c r="L361" s="15">
        <v>6</v>
      </c>
      <c r="M361" s="15" t="s">
        <v>144</v>
      </c>
      <c r="N361" s="16">
        <v>45834</v>
      </c>
      <c r="O361" s="12" t="s">
        <v>1710</v>
      </c>
      <c r="P361" s="14" t="s">
        <v>1711</v>
      </c>
      <c r="Q361" s="17" t="s">
        <v>137</v>
      </c>
      <c r="R361" s="17" t="s">
        <v>146</v>
      </c>
    </row>
    <row r="362" spans="1:18" x14ac:dyDescent="0.3">
      <c r="A362" s="12" t="s">
        <v>222</v>
      </c>
      <c r="B362" s="12" t="s">
        <v>18</v>
      </c>
      <c r="C362" s="12"/>
      <c r="D362" s="12" t="s">
        <v>223</v>
      </c>
      <c r="E362" s="12" t="s">
        <v>1712</v>
      </c>
      <c r="F362" s="12"/>
      <c r="G362" s="12" t="s">
        <v>1661</v>
      </c>
      <c r="H362" s="12" t="s">
        <v>36</v>
      </c>
      <c r="I362" s="12" t="s">
        <v>26</v>
      </c>
      <c r="J362" s="13" t="s">
        <v>1662</v>
      </c>
      <c r="K362" s="14" t="s">
        <v>656</v>
      </c>
      <c r="L362" s="15">
        <v>0</v>
      </c>
      <c r="M362" s="15" t="s">
        <v>144</v>
      </c>
      <c r="N362" s="16">
        <v>46245</v>
      </c>
      <c r="O362" s="12" t="s">
        <v>227</v>
      </c>
      <c r="P362" s="14" t="s">
        <v>228</v>
      </c>
      <c r="Q362" s="17" t="s">
        <v>137</v>
      </c>
      <c r="R362" s="17" t="s">
        <v>146</v>
      </c>
    </row>
    <row r="363" spans="1:18" x14ac:dyDescent="0.3">
      <c r="A363" s="12" t="s">
        <v>1713</v>
      </c>
      <c r="B363" s="12" t="s">
        <v>12</v>
      </c>
      <c r="C363" s="12"/>
      <c r="D363" s="12" t="s">
        <v>12</v>
      </c>
      <c r="E363" s="12" t="s">
        <v>1714</v>
      </c>
      <c r="F363" s="12" t="s">
        <v>293</v>
      </c>
      <c r="G363" s="12" t="s">
        <v>1661</v>
      </c>
      <c r="H363" s="12" t="s">
        <v>36</v>
      </c>
      <c r="I363" s="12" t="s">
        <v>26</v>
      </c>
      <c r="J363" s="13" t="s">
        <v>1662</v>
      </c>
      <c r="K363" s="14" t="s">
        <v>1715</v>
      </c>
      <c r="L363" s="15">
        <v>1</v>
      </c>
      <c r="M363" s="15" t="s">
        <v>144</v>
      </c>
      <c r="N363" s="16">
        <v>45533</v>
      </c>
      <c r="O363" s="12" t="s">
        <v>1716</v>
      </c>
      <c r="P363" s="14" t="s">
        <v>1717</v>
      </c>
      <c r="Q363" s="17" t="s">
        <v>137</v>
      </c>
      <c r="R363" s="17" t="s">
        <v>146</v>
      </c>
    </row>
    <row r="364" spans="1:18" x14ac:dyDescent="0.3">
      <c r="A364" s="12" t="s">
        <v>1718</v>
      </c>
      <c r="B364" s="12" t="s">
        <v>14</v>
      </c>
      <c r="C364" s="12"/>
      <c r="D364" s="12" t="s">
        <v>14</v>
      </c>
      <c r="E364" s="12" t="s">
        <v>1719</v>
      </c>
      <c r="F364" s="12" t="s">
        <v>366</v>
      </c>
      <c r="G364" s="12" t="s">
        <v>1661</v>
      </c>
      <c r="H364" s="12" t="s">
        <v>36</v>
      </c>
      <c r="I364" s="12" t="s">
        <v>26</v>
      </c>
      <c r="J364" s="13" t="s">
        <v>1342</v>
      </c>
      <c r="K364" s="14" t="s">
        <v>1720</v>
      </c>
      <c r="L364" s="15">
        <v>6</v>
      </c>
      <c r="M364" s="15" t="s">
        <v>144</v>
      </c>
      <c r="N364" s="16">
        <v>45911</v>
      </c>
      <c r="O364" s="12" t="s">
        <v>1718</v>
      </c>
      <c r="P364" s="14" t="s">
        <v>1721</v>
      </c>
      <c r="Q364" s="17" t="s">
        <v>137</v>
      </c>
      <c r="R364" s="17" t="s">
        <v>146</v>
      </c>
    </row>
    <row r="365" spans="1:18" x14ac:dyDescent="0.3">
      <c r="A365" s="12" t="s">
        <v>307</v>
      </c>
      <c r="B365" s="12" t="s">
        <v>14</v>
      </c>
      <c r="C365" s="12"/>
      <c r="D365" s="12" t="s">
        <v>14</v>
      </c>
      <c r="E365" s="12" t="s">
        <v>1722</v>
      </c>
      <c r="F365" s="12" t="s">
        <v>195</v>
      </c>
      <c r="G365" s="12" t="s">
        <v>1661</v>
      </c>
      <c r="H365" s="12" t="s">
        <v>36</v>
      </c>
      <c r="I365" s="12" t="s">
        <v>26</v>
      </c>
      <c r="J365" s="13" t="s">
        <v>1342</v>
      </c>
      <c r="K365" s="14" t="s">
        <v>1289</v>
      </c>
      <c r="L365" s="15">
        <v>9</v>
      </c>
      <c r="M365" s="15" t="s">
        <v>144</v>
      </c>
      <c r="N365" s="16">
        <v>46275</v>
      </c>
      <c r="O365" s="12" t="s">
        <v>307</v>
      </c>
      <c r="P365" s="14" t="s">
        <v>310</v>
      </c>
      <c r="Q365" s="17" t="s">
        <v>137</v>
      </c>
      <c r="R365" s="17" t="s">
        <v>146</v>
      </c>
    </row>
    <row r="366" spans="1:18" x14ac:dyDescent="0.3">
      <c r="A366" s="12" t="s">
        <v>1723</v>
      </c>
      <c r="B366" s="12" t="s">
        <v>14</v>
      </c>
      <c r="C366" s="12"/>
      <c r="D366" s="12" t="s">
        <v>14</v>
      </c>
      <c r="E366" s="12" t="s">
        <v>1724</v>
      </c>
      <c r="F366" s="12"/>
      <c r="G366" s="12" t="s">
        <v>1661</v>
      </c>
      <c r="H366" s="12" t="s">
        <v>36</v>
      </c>
      <c r="I366" s="12" t="s">
        <v>26</v>
      </c>
      <c r="J366" s="13" t="s">
        <v>1662</v>
      </c>
      <c r="K366" s="14" t="s">
        <v>980</v>
      </c>
      <c r="L366" s="15">
        <v>12</v>
      </c>
      <c r="M366" s="15" t="s">
        <v>144</v>
      </c>
      <c r="N366" s="16">
        <v>44763</v>
      </c>
      <c r="O366" s="12" t="s">
        <v>1723</v>
      </c>
      <c r="P366" s="14" t="s">
        <v>1725</v>
      </c>
      <c r="Q366" s="17" t="s">
        <v>137</v>
      </c>
      <c r="R366" s="17" t="s">
        <v>146</v>
      </c>
    </row>
    <row r="367" spans="1:18" x14ac:dyDescent="0.3">
      <c r="A367" s="12" t="s">
        <v>1726</v>
      </c>
      <c r="B367" s="12" t="s">
        <v>20</v>
      </c>
      <c r="C367" s="12"/>
      <c r="D367" s="12" t="s">
        <v>193</v>
      </c>
      <c r="E367" s="12" t="s">
        <v>1727</v>
      </c>
      <c r="F367" s="12" t="s">
        <v>447</v>
      </c>
      <c r="G367" s="12" t="s">
        <v>1661</v>
      </c>
      <c r="H367" s="12" t="s">
        <v>36</v>
      </c>
      <c r="I367" s="12" t="s">
        <v>26</v>
      </c>
      <c r="J367" s="13" t="s">
        <v>1662</v>
      </c>
      <c r="K367" s="14" t="s">
        <v>1728</v>
      </c>
      <c r="L367" s="15">
        <v>0</v>
      </c>
      <c r="M367" s="15" t="s">
        <v>144</v>
      </c>
      <c r="N367" s="16">
        <v>45357</v>
      </c>
      <c r="O367" s="12" t="s">
        <v>1729</v>
      </c>
      <c r="P367" s="14" t="s">
        <v>1730</v>
      </c>
      <c r="Q367" s="17" t="s">
        <v>137</v>
      </c>
      <c r="R367" s="17" t="s">
        <v>146</v>
      </c>
    </row>
    <row r="368" spans="1:18" x14ac:dyDescent="0.3">
      <c r="A368" s="12" t="s">
        <v>1731</v>
      </c>
      <c r="B368" s="12" t="s">
        <v>12</v>
      </c>
      <c r="C368" s="12"/>
      <c r="D368" s="12" t="s">
        <v>12</v>
      </c>
      <c r="E368" s="12" t="s">
        <v>1732</v>
      </c>
      <c r="F368" s="12"/>
      <c r="G368" s="12" t="s">
        <v>1733</v>
      </c>
      <c r="H368" s="12" t="s">
        <v>36</v>
      </c>
      <c r="I368" s="12" t="s">
        <v>26</v>
      </c>
      <c r="J368" s="13" t="s">
        <v>1734</v>
      </c>
      <c r="K368" s="14" t="s">
        <v>1735</v>
      </c>
      <c r="L368" s="15">
        <v>1</v>
      </c>
      <c r="M368" s="15" t="s">
        <v>144</v>
      </c>
      <c r="N368" s="16">
        <v>44908</v>
      </c>
      <c r="O368" s="12" t="s">
        <v>1736</v>
      </c>
      <c r="P368" s="14" t="s">
        <v>1737</v>
      </c>
      <c r="Q368" s="17" t="s">
        <v>137</v>
      </c>
      <c r="R368" s="17" t="s">
        <v>146</v>
      </c>
    </row>
    <row r="369" spans="1:18" x14ac:dyDescent="0.3">
      <c r="A369" s="12" t="s">
        <v>1738</v>
      </c>
      <c r="B369" s="12" t="s">
        <v>12</v>
      </c>
      <c r="C369" s="12"/>
      <c r="D369" s="12" t="s">
        <v>12</v>
      </c>
      <c r="E369" s="12" t="s">
        <v>1739</v>
      </c>
      <c r="F369" s="12" t="s">
        <v>1740</v>
      </c>
      <c r="G369" s="12" t="s">
        <v>1741</v>
      </c>
      <c r="H369" s="12" t="s">
        <v>36</v>
      </c>
      <c r="I369" s="12" t="s">
        <v>26</v>
      </c>
      <c r="J369" s="13" t="s">
        <v>1742</v>
      </c>
      <c r="K369" s="14" t="s">
        <v>1743</v>
      </c>
      <c r="L369" s="15">
        <v>4</v>
      </c>
      <c r="M369" s="15" t="s">
        <v>144</v>
      </c>
      <c r="N369" s="16">
        <v>45103</v>
      </c>
      <c r="O369" s="12" t="s">
        <v>1738</v>
      </c>
      <c r="P369" s="14" t="s">
        <v>1744</v>
      </c>
      <c r="Q369" s="17" t="s">
        <v>137</v>
      </c>
      <c r="R369" s="17" t="s">
        <v>146</v>
      </c>
    </row>
    <row r="370" spans="1:18" x14ac:dyDescent="0.3">
      <c r="A370" s="12" t="s">
        <v>869</v>
      </c>
      <c r="B370" s="12" t="s">
        <v>12</v>
      </c>
      <c r="C370" s="12" t="s">
        <v>14</v>
      </c>
      <c r="D370" s="12" t="s">
        <v>180</v>
      </c>
      <c r="E370" s="12" t="s">
        <v>1745</v>
      </c>
      <c r="F370" s="12"/>
      <c r="G370" s="12" t="s">
        <v>1746</v>
      </c>
      <c r="H370" s="12" t="s">
        <v>36</v>
      </c>
      <c r="I370" s="12" t="s">
        <v>26</v>
      </c>
      <c r="J370" s="13" t="s">
        <v>1363</v>
      </c>
      <c r="K370" s="14" t="s">
        <v>1747</v>
      </c>
      <c r="L370" s="15">
        <v>3</v>
      </c>
      <c r="M370" s="15" t="s">
        <v>144</v>
      </c>
      <c r="N370" s="16">
        <v>46198</v>
      </c>
      <c r="O370" s="12" t="s">
        <v>869</v>
      </c>
      <c r="P370" s="14" t="s">
        <v>873</v>
      </c>
      <c r="Q370" s="17" t="s">
        <v>137</v>
      </c>
      <c r="R370" s="17" t="s">
        <v>146</v>
      </c>
    </row>
    <row r="371" spans="1:18" x14ac:dyDescent="0.3">
      <c r="A371" s="12" t="s">
        <v>1748</v>
      </c>
      <c r="B371" s="12" t="s">
        <v>12</v>
      </c>
      <c r="C371" s="12"/>
      <c r="D371" s="12" t="s">
        <v>12</v>
      </c>
      <c r="E371" s="12" t="s">
        <v>1749</v>
      </c>
      <c r="F371" s="12" t="s">
        <v>164</v>
      </c>
      <c r="G371" s="12" t="s">
        <v>1750</v>
      </c>
      <c r="H371" s="12" t="s">
        <v>36</v>
      </c>
      <c r="I371" s="12" t="s">
        <v>26</v>
      </c>
      <c r="J371" s="13" t="s">
        <v>1751</v>
      </c>
      <c r="K371" s="14" t="s">
        <v>1752</v>
      </c>
      <c r="L371" s="15">
        <v>4</v>
      </c>
      <c r="M371" s="15" t="s">
        <v>144</v>
      </c>
      <c r="N371" s="16">
        <v>45952</v>
      </c>
      <c r="O371" s="12" t="s">
        <v>1748</v>
      </c>
      <c r="P371" s="14" t="s">
        <v>1753</v>
      </c>
      <c r="Q371" s="17" t="s">
        <v>137</v>
      </c>
      <c r="R371" s="17" t="s">
        <v>146</v>
      </c>
    </row>
    <row r="372" spans="1:18" x14ac:dyDescent="0.3">
      <c r="A372" s="12" t="s">
        <v>794</v>
      </c>
      <c r="B372" s="12" t="s">
        <v>10</v>
      </c>
      <c r="C372" s="12"/>
      <c r="D372" s="12" t="s">
        <v>230</v>
      </c>
      <c r="E372" s="12" t="s">
        <v>1754</v>
      </c>
      <c r="F372" s="12" t="s">
        <v>1755</v>
      </c>
      <c r="G372" s="12" t="s">
        <v>1750</v>
      </c>
      <c r="H372" s="12" t="s">
        <v>36</v>
      </c>
      <c r="I372" s="12" t="s">
        <v>26</v>
      </c>
      <c r="J372" s="13" t="s">
        <v>1751</v>
      </c>
      <c r="K372" s="14" t="s">
        <v>235</v>
      </c>
      <c r="L372" s="15">
        <v>1</v>
      </c>
      <c r="M372" s="15" t="s">
        <v>220</v>
      </c>
      <c r="N372" s="16">
        <v>46036</v>
      </c>
      <c r="O372" s="12" t="s">
        <v>236</v>
      </c>
      <c r="P372" s="14" t="s">
        <v>797</v>
      </c>
      <c r="Q372" s="17" t="s">
        <v>137</v>
      </c>
      <c r="R372" s="17" t="s">
        <v>146</v>
      </c>
    </row>
    <row r="373" spans="1:18" x14ac:dyDescent="0.3">
      <c r="A373" s="12" t="s">
        <v>1756</v>
      </c>
      <c r="B373" s="12" t="s">
        <v>10</v>
      </c>
      <c r="C373" s="12"/>
      <c r="D373" s="12" t="s">
        <v>588</v>
      </c>
      <c r="E373" s="12" t="s">
        <v>1754</v>
      </c>
      <c r="F373" s="12" t="s">
        <v>218</v>
      </c>
      <c r="G373" s="12" t="s">
        <v>1750</v>
      </c>
      <c r="H373" s="12" t="s">
        <v>36</v>
      </c>
      <c r="I373" s="12" t="s">
        <v>26</v>
      </c>
      <c r="J373" s="13" t="s">
        <v>1751</v>
      </c>
      <c r="K373" s="14" t="s">
        <v>796</v>
      </c>
      <c r="L373" s="15">
        <v>1</v>
      </c>
      <c r="M373" s="15" t="s">
        <v>220</v>
      </c>
      <c r="N373" s="16">
        <v>45671</v>
      </c>
      <c r="O373" s="12" t="s">
        <v>236</v>
      </c>
      <c r="P373" s="14" t="s">
        <v>1757</v>
      </c>
      <c r="Q373" s="17" t="s">
        <v>137</v>
      </c>
      <c r="R373" s="17" t="s">
        <v>146</v>
      </c>
    </row>
    <row r="374" spans="1:18" x14ac:dyDescent="0.3">
      <c r="A374" s="12" t="s">
        <v>1758</v>
      </c>
      <c r="B374" s="12" t="s">
        <v>10</v>
      </c>
      <c r="C374" s="12"/>
      <c r="D374" s="12" t="s">
        <v>1759</v>
      </c>
      <c r="E374" s="12" t="s">
        <v>1754</v>
      </c>
      <c r="F374" s="12" t="s">
        <v>218</v>
      </c>
      <c r="G374" s="12" t="s">
        <v>1750</v>
      </c>
      <c r="H374" s="12" t="s">
        <v>36</v>
      </c>
      <c r="I374" s="12" t="s">
        <v>26</v>
      </c>
      <c r="J374" s="13" t="s">
        <v>1751</v>
      </c>
      <c r="K374" s="14" t="s">
        <v>1065</v>
      </c>
      <c r="L374" s="15">
        <v>2</v>
      </c>
      <c r="M374" s="15" t="s">
        <v>220</v>
      </c>
      <c r="N374" s="16">
        <v>45272</v>
      </c>
      <c r="O374" s="12" t="s">
        <v>236</v>
      </c>
      <c r="P374" s="14" t="s">
        <v>1760</v>
      </c>
      <c r="Q374" s="17" t="s">
        <v>137</v>
      </c>
      <c r="R374" s="17" t="s">
        <v>146</v>
      </c>
    </row>
    <row r="375" spans="1:18" x14ac:dyDescent="0.3">
      <c r="A375" s="12" t="s">
        <v>998</v>
      </c>
      <c r="B375" s="12" t="s">
        <v>10</v>
      </c>
      <c r="C375" s="12"/>
      <c r="D375" s="12" t="s">
        <v>216</v>
      </c>
      <c r="E375" s="12" t="s">
        <v>1761</v>
      </c>
      <c r="F375" s="12" t="s">
        <v>1762</v>
      </c>
      <c r="G375" s="12" t="s">
        <v>1750</v>
      </c>
      <c r="H375" s="12" t="s">
        <v>36</v>
      </c>
      <c r="I375" s="12" t="s">
        <v>26</v>
      </c>
      <c r="J375" s="13" t="s">
        <v>1751</v>
      </c>
      <c r="K375" s="14" t="s">
        <v>1763</v>
      </c>
      <c r="L375" s="15">
        <v>2</v>
      </c>
      <c r="M375" s="15" t="s">
        <v>220</v>
      </c>
      <c r="N375" s="16">
        <v>46042</v>
      </c>
      <c r="O375" s="12" t="s">
        <v>236</v>
      </c>
      <c r="P375" s="14" t="s">
        <v>1003</v>
      </c>
      <c r="Q375" s="17" t="s">
        <v>137</v>
      </c>
      <c r="R375" s="17" t="s">
        <v>146</v>
      </c>
    </row>
    <row r="376" spans="1:18" x14ac:dyDescent="0.3">
      <c r="A376" s="12" t="s">
        <v>1480</v>
      </c>
      <c r="B376" s="12" t="s">
        <v>12</v>
      </c>
      <c r="C376" s="12"/>
      <c r="D376" s="12" t="s">
        <v>12</v>
      </c>
      <c r="E376" s="12" t="s">
        <v>1764</v>
      </c>
      <c r="F376" s="12" t="s">
        <v>1765</v>
      </c>
      <c r="G376" s="12" t="s">
        <v>1750</v>
      </c>
      <c r="H376" s="12" t="s">
        <v>36</v>
      </c>
      <c r="I376" s="12" t="s">
        <v>26</v>
      </c>
      <c r="J376" s="13" t="s">
        <v>1751</v>
      </c>
      <c r="K376" s="14" t="s">
        <v>1766</v>
      </c>
      <c r="L376" s="15">
        <v>1</v>
      </c>
      <c r="M376" s="15" t="s">
        <v>144</v>
      </c>
      <c r="N376" s="16">
        <v>45730</v>
      </c>
      <c r="O376" s="12" t="s">
        <v>1767</v>
      </c>
      <c r="P376" s="14" t="s">
        <v>1768</v>
      </c>
      <c r="Q376" s="17" t="s">
        <v>137</v>
      </c>
      <c r="R376" s="17" t="s">
        <v>146</v>
      </c>
    </row>
    <row r="377" spans="1:18" x14ac:dyDescent="0.3">
      <c r="A377" s="12" t="s">
        <v>1769</v>
      </c>
      <c r="B377" s="12" t="s">
        <v>10</v>
      </c>
      <c r="C377" s="12"/>
      <c r="D377" s="12" t="s">
        <v>157</v>
      </c>
      <c r="E377" s="12" t="s">
        <v>1770</v>
      </c>
      <c r="F377" s="12"/>
      <c r="G377" s="12" t="s">
        <v>1750</v>
      </c>
      <c r="H377" s="12" t="s">
        <v>36</v>
      </c>
      <c r="I377" s="12" t="s">
        <v>26</v>
      </c>
      <c r="J377" s="13" t="s">
        <v>1751</v>
      </c>
      <c r="K377" s="14" t="s">
        <v>1771</v>
      </c>
      <c r="L377" s="15">
        <v>0</v>
      </c>
      <c r="M377" s="15" t="s">
        <v>144</v>
      </c>
      <c r="N377" s="16">
        <v>45337</v>
      </c>
      <c r="O377" s="12" t="s">
        <v>1772</v>
      </c>
      <c r="P377" s="14" t="s">
        <v>1773</v>
      </c>
      <c r="Q377" s="17" t="s">
        <v>137</v>
      </c>
      <c r="R377" s="17" t="s">
        <v>146</v>
      </c>
    </row>
    <row r="378" spans="1:18" x14ac:dyDescent="0.3">
      <c r="A378" s="12" t="s">
        <v>1774</v>
      </c>
      <c r="B378" s="12" t="s">
        <v>12</v>
      </c>
      <c r="C378" s="12"/>
      <c r="D378" s="12" t="s">
        <v>12</v>
      </c>
      <c r="E378" s="12" t="s">
        <v>1775</v>
      </c>
      <c r="F378" s="12"/>
      <c r="G378" s="12" t="s">
        <v>1750</v>
      </c>
      <c r="H378" s="12" t="s">
        <v>36</v>
      </c>
      <c r="I378" s="12" t="s">
        <v>26</v>
      </c>
      <c r="J378" s="13" t="s">
        <v>1552</v>
      </c>
      <c r="K378" s="14" t="s">
        <v>1776</v>
      </c>
      <c r="L378" s="15">
        <v>1</v>
      </c>
      <c r="M378" s="15" t="s">
        <v>144</v>
      </c>
      <c r="N378" s="16">
        <v>45482</v>
      </c>
      <c r="O378" s="12" t="s">
        <v>1774</v>
      </c>
      <c r="P378" s="14" t="s">
        <v>1777</v>
      </c>
      <c r="Q378" s="17" t="s">
        <v>137</v>
      </c>
      <c r="R378" s="17" t="s">
        <v>146</v>
      </c>
    </row>
    <row r="379" spans="1:18" x14ac:dyDescent="0.3">
      <c r="A379" s="12" t="s">
        <v>1778</v>
      </c>
      <c r="B379" s="12" t="s">
        <v>12</v>
      </c>
      <c r="C379" s="12" t="s">
        <v>14</v>
      </c>
      <c r="D379" s="12" t="s">
        <v>180</v>
      </c>
      <c r="E379" s="12" t="s">
        <v>1779</v>
      </c>
      <c r="F379" s="12" t="s">
        <v>188</v>
      </c>
      <c r="G379" s="12" t="s">
        <v>1750</v>
      </c>
      <c r="H379" s="12" t="s">
        <v>36</v>
      </c>
      <c r="I379" s="12" t="s">
        <v>26</v>
      </c>
      <c r="J379" s="13" t="s">
        <v>1780</v>
      </c>
      <c r="K379" s="14" t="s">
        <v>1781</v>
      </c>
      <c r="L379" s="15">
        <v>3</v>
      </c>
      <c r="M379" s="15" t="s">
        <v>144</v>
      </c>
      <c r="N379" s="16">
        <v>45797</v>
      </c>
      <c r="O379" s="12" t="s">
        <v>1782</v>
      </c>
      <c r="P379" s="14" t="s">
        <v>1783</v>
      </c>
      <c r="Q379" s="17" t="s">
        <v>137</v>
      </c>
      <c r="R379" s="17" t="s">
        <v>146</v>
      </c>
    </row>
    <row r="380" spans="1:18" x14ac:dyDescent="0.3">
      <c r="A380" s="12" t="s">
        <v>1784</v>
      </c>
      <c r="B380" s="12" t="s">
        <v>10</v>
      </c>
      <c r="C380" s="12"/>
      <c r="D380" s="12" t="s">
        <v>1561</v>
      </c>
      <c r="E380" s="12" t="s">
        <v>1785</v>
      </c>
      <c r="F380" s="12" t="s">
        <v>843</v>
      </c>
      <c r="G380" s="12" t="s">
        <v>1750</v>
      </c>
      <c r="H380" s="12" t="s">
        <v>36</v>
      </c>
      <c r="I380" s="12" t="s">
        <v>26</v>
      </c>
      <c r="J380" s="13" t="s">
        <v>1780</v>
      </c>
      <c r="K380" s="14" t="s">
        <v>1786</v>
      </c>
      <c r="L380" s="15">
        <v>2</v>
      </c>
      <c r="M380" s="15" t="s">
        <v>144</v>
      </c>
      <c r="N380" s="16">
        <v>46044</v>
      </c>
      <c r="O380" s="12" t="s">
        <v>1787</v>
      </c>
      <c r="P380" s="14" t="s">
        <v>1788</v>
      </c>
      <c r="Q380" s="17" t="s">
        <v>137</v>
      </c>
      <c r="R380" s="17" t="s">
        <v>146</v>
      </c>
    </row>
    <row r="381" spans="1:18" x14ac:dyDescent="0.3">
      <c r="A381" s="12" t="s">
        <v>1789</v>
      </c>
      <c r="B381" s="12" t="s">
        <v>14</v>
      </c>
      <c r="C381" s="12"/>
      <c r="D381" s="12" t="s">
        <v>14</v>
      </c>
      <c r="E381" s="12" t="s">
        <v>1790</v>
      </c>
      <c r="F381" s="12" t="s">
        <v>447</v>
      </c>
      <c r="G381" s="12" t="s">
        <v>1750</v>
      </c>
      <c r="H381" s="12" t="s">
        <v>36</v>
      </c>
      <c r="I381" s="12" t="s">
        <v>26</v>
      </c>
      <c r="J381" s="13" t="s">
        <v>1552</v>
      </c>
      <c r="K381" s="14" t="s">
        <v>1791</v>
      </c>
      <c r="L381" s="15">
        <v>2</v>
      </c>
      <c r="M381" s="15" t="s">
        <v>144</v>
      </c>
      <c r="N381" s="16">
        <v>45300</v>
      </c>
      <c r="O381" s="12" t="s">
        <v>1789</v>
      </c>
      <c r="P381" s="14" t="s">
        <v>1792</v>
      </c>
      <c r="Q381" s="17" t="s">
        <v>137</v>
      </c>
      <c r="R381" s="17" t="s">
        <v>146</v>
      </c>
    </row>
    <row r="382" spans="1:18" x14ac:dyDescent="0.3">
      <c r="A382" s="12" t="s">
        <v>612</v>
      </c>
      <c r="B382" s="12" t="s">
        <v>18</v>
      </c>
      <c r="C382" s="12"/>
      <c r="D382" s="12" t="s">
        <v>613</v>
      </c>
      <c r="E382" s="12" t="s">
        <v>1551</v>
      </c>
      <c r="F382" s="12" t="s">
        <v>447</v>
      </c>
      <c r="G382" s="12" t="s">
        <v>1750</v>
      </c>
      <c r="H382" s="12" t="s">
        <v>36</v>
      </c>
      <c r="I382" s="12" t="s">
        <v>26</v>
      </c>
      <c r="J382" s="13" t="s">
        <v>1552</v>
      </c>
      <c r="K382" s="14" t="s">
        <v>1793</v>
      </c>
      <c r="L382" s="15">
        <v>3</v>
      </c>
      <c r="M382" s="15" t="s">
        <v>144</v>
      </c>
      <c r="N382" s="16">
        <v>45490</v>
      </c>
      <c r="O382" s="12" t="s">
        <v>612</v>
      </c>
      <c r="P382" s="14" t="s">
        <v>1794</v>
      </c>
      <c r="Q382" s="17" t="s">
        <v>137</v>
      </c>
      <c r="R382" s="17" t="s">
        <v>146</v>
      </c>
    </row>
    <row r="383" spans="1:18" x14ac:dyDescent="0.3">
      <c r="A383" s="12" t="s">
        <v>1795</v>
      </c>
      <c r="B383" s="12" t="s">
        <v>20</v>
      </c>
      <c r="C383" s="12"/>
      <c r="D383" s="12" t="s">
        <v>193</v>
      </c>
      <c r="E383" s="12" t="s">
        <v>1796</v>
      </c>
      <c r="F383" s="12" t="s">
        <v>188</v>
      </c>
      <c r="G383" s="12" t="s">
        <v>1750</v>
      </c>
      <c r="H383" s="12" t="s">
        <v>36</v>
      </c>
      <c r="I383" s="12" t="s">
        <v>26</v>
      </c>
      <c r="J383" s="13" t="s">
        <v>1780</v>
      </c>
      <c r="K383" s="14" t="s">
        <v>1797</v>
      </c>
      <c r="L383" s="15">
        <v>0</v>
      </c>
      <c r="M383" s="15" t="s">
        <v>144</v>
      </c>
      <c r="N383" s="16">
        <v>44065</v>
      </c>
      <c r="O383" s="12" t="s">
        <v>1795</v>
      </c>
      <c r="P383" s="14" t="s">
        <v>1798</v>
      </c>
      <c r="Q383" s="17" t="s">
        <v>137</v>
      </c>
      <c r="R383" s="17" t="s">
        <v>146</v>
      </c>
    </row>
    <row r="384" spans="1:18" x14ac:dyDescent="0.3">
      <c r="A384" s="12" t="s">
        <v>1799</v>
      </c>
      <c r="B384" s="12" t="s">
        <v>14</v>
      </c>
      <c r="C384" s="12"/>
      <c r="D384" s="12" t="s">
        <v>14</v>
      </c>
      <c r="E384" s="12" t="s">
        <v>1800</v>
      </c>
      <c r="F384" s="12" t="s">
        <v>1801</v>
      </c>
      <c r="G384" s="12" t="s">
        <v>1750</v>
      </c>
      <c r="H384" s="12" t="s">
        <v>36</v>
      </c>
      <c r="I384" s="12" t="s">
        <v>26</v>
      </c>
      <c r="J384" s="13" t="s">
        <v>1751</v>
      </c>
      <c r="K384" s="14" t="s">
        <v>1802</v>
      </c>
      <c r="L384" s="15">
        <v>1</v>
      </c>
      <c r="M384" s="15" t="s">
        <v>144</v>
      </c>
      <c r="N384" s="16">
        <v>44875</v>
      </c>
      <c r="O384" s="12" t="s">
        <v>1799</v>
      </c>
      <c r="P384" s="14" t="s">
        <v>1803</v>
      </c>
      <c r="Q384" s="17" t="s">
        <v>137</v>
      </c>
      <c r="R384" s="17" t="s">
        <v>146</v>
      </c>
    </row>
    <row r="385" spans="1:18" x14ac:dyDescent="0.3">
      <c r="A385" s="12" t="s">
        <v>1804</v>
      </c>
      <c r="B385" s="12" t="s">
        <v>12</v>
      </c>
      <c r="C385" s="12"/>
      <c r="D385" s="12" t="s">
        <v>12</v>
      </c>
      <c r="E385" s="12" t="s">
        <v>1800</v>
      </c>
      <c r="F385" s="12" t="s">
        <v>1805</v>
      </c>
      <c r="G385" s="12" t="s">
        <v>1750</v>
      </c>
      <c r="H385" s="12" t="s">
        <v>36</v>
      </c>
      <c r="I385" s="12" t="s">
        <v>26</v>
      </c>
      <c r="J385" s="13" t="s">
        <v>1751</v>
      </c>
      <c r="K385" s="14" t="s">
        <v>1806</v>
      </c>
      <c r="L385" s="15">
        <v>1</v>
      </c>
      <c r="M385" s="15" t="s">
        <v>144</v>
      </c>
      <c r="N385" s="16">
        <v>45596</v>
      </c>
      <c r="O385" s="12" t="s">
        <v>1807</v>
      </c>
      <c r="P385" s="14" t="s">
        <v>1808</v>
      </c>
      <c r="Q385" s="17" t="s">
        <v>137</v>
      </c>
      <c r="R385" s="17" t="s">
        <v>146</v>
      </c>
    </row>
    <row r="386" spans="1:18" x14ac:dyDescent="0.3">
      <c r="A386" s="12" t="s">
        <v>199</v>
      </c>
      <c r="B386" s="12" t="s">
        <v>14</v>
      </c>
      <c r="C386" s="12"/>
      <c r="D386" s="12" t="s">
        <v>14</v>
      </c>
      <c r="E386" s="12" t="s">
        <v>1809</v>
      </c>
      <c r="F386" s="12" t="s">
        <v>516</v>
      </c>
      <c r="G386" s="12" t="s">
        <v>1750</v>
      </c>
      <c r="H386" s="12" t="s">
        <v>36</v>
      </c>
      <c r="I386" s="12" t="s">
        <v>26</v>
      </c>
      <c r="J386" s="13" t="s">
        <v>1552</v>
      </c>
      <c r="K386" s="14" t="s">
        <v>1810</v>
      </c>
      <c r="L386" s="15">
        <v>0</v>
      </c>
      <c r="M386" s="15" t="s">
        <v>144</v>
      </c>
      <c r="N386" s="16">
        <v>45593</v>
      </c>
      <c r="O386" s="12" t="s">
        <v>203</v>
      </c>
      <c r="P386" s="14" t="s">
        <v>1811</v>
      </c>
      <c r="Q386" s="17" t="s">
        <v>137</v>
      </c>
      <c r="R386" s="17" t="s">
        <v>146</v>
      </c>
    </row>
    <row r="387" spans="1:18" x14ac:dyDescent="0.3">
      <c r="A387" s="12" t="s">
        <v>1812</v>
      </c>
      <c r="B387" s="12" t="s">
        <v>12</v>
      </c>
      <c r="C387" s="12"/>
      <c r="D387" s="12" t="s">
        <v>12</v>
      </c>
      <c r="E387" s="12" t="s">
        <v>1813</v>
      </c>
      <c r="F387" s="12" t="s">
        <v>1814</v>
      </c>
      <c r="G387" s="12" t="s">
        <v>1750</v>
      </c>
      <c r="H387" s="12" t="s">
        <v>36</v>
      </c>
      <c r="I387" s="12" t="s">
        <v>26</v>
      </c>
      <c r="J387" s="13" t="s">
        <v>1751</v>
      </c>
      <c r="K387" s="14" t="s">
        <v>1815</v>
      </c>
      <c r="L387" s="15">
        <v>6</v>
      </c>
      <c r="M387" s="15" t="s">
        <v>144</v>
      </c>
      <c r="N387" s="16">
        <v>45589</v>
      </c>
      <c r="O387" s="12" t="s">
        <v>1812</v>
      </c>
      <c r="P387" s="14" t="s">
        <v>1816</v>
      </c>
      <c r="Q387" s="17" t="s">
        <v>137</v>
      </c>
      <c r="R387" s="17" t="s">
        <v>146</v>
      </c>
    </row>
    <row r="388" spans="1:18" x14ac:dyDescent="0.3">
      <c r="A388" s="12" t="s">
        <v>1586</v>
      </c>
      <c r="B388" s="12" t="s">
        <v>14</v>
      </c>
      <c r="C388" s="12"/>
      <c r="D388" s="12" t="s">
        <v>14</v>
      </c>
      <c r="E388" s="12" t="s">
        <v>1817</v>
      </c>
      <c r="F388" s="12"/>
      <c r="G388" s="12" t="s">
        <v>1750</v>
      </c>
      <c r="H388" s="12" t="s">
        <v>36</v>
      </c>
      <c r="I388" s="12" t="s">
        <v>26</v>
      </c>
      <c r="J388" s="13" t="s">
        <v>1780</v>
      </c>
      <c r="K388" s="14" t="s">
        <v>1818</v>
      </c>
      <c r="L388" s="15">
        <v>2</v>
      </c>
      <c r="M388" s="15" t="s">
        <v>144</v>
      </c>
      <c r="N388" s="16">
        <v>45616</v>
      </c>
      <c r="O388" s="12" t="s">
        <v>1586</v>
      </c>
      <c r="P388" s="14" t="s">
        <v>1589</v>
      </c>
      <c r="Q388" s="17" t="s">
        <v>137</v>
      </c>
      <c r="R388" s="17" t="s">
        <v>146</v>
      </c>
    </row>
    <row r="389" spans="1:18" x14ac:dyDescent="0.3">
      <c r="A389" s="12" t="s">
        <v>1144</v>
      </c>
      <c r="B389" s="12" t="s">
        <v>16</v>
      </c>
      <c r="C389" s="12"/>
      <c r="D389" s="12" t="s">
        <v>993</v>
      </c>
      <c r="E389" s="12" t="s">
        <v>1819</v>
      </c>
      <c r="F389" s="12"/>
      <c r="G389" s="12" t="s">
        <v>1750</v>
      </c>
      <c r="H389" s="12" t="s">
        <v>36</v>
      </c>
      <c r="I389" s="12" t="s">
        <v>26</v>
      </c>
      <c r="J389" s="13" t="s">
        <v>1820</v>
      </c>
      <c r="K389" s="14" t="s">
        <v>219</v>
      </c>
      <c r="L389" s="15">
        <v>0</v>
      </c>
      <c r="M389" s="15" t="s">
        <v>220</v>
      </c>
      <c r="N389" s="16">
        <v>45743</v>
      </c>
      <c r="O389" s="12" t="s">
        <v>1144</v>
      </c>
      <c r="P389" s="14" t="s">
        <v>1821</v>
      </c>
      <c r="Q389" s="17" t="s">
        <v>137</v>
      </c>
      <c r="R389" s="17" t="s">
        <v>146</v>
      </c>
    </row>
    <row r="390" spans="1:18" x14ac:dyDescent="0.3">
      <c r="A390" s="12" t="s">
        <v>1822</v>
      </c>
      <c r="B390" s="12" t="s">
        <v>14</v>
      </c>
      <c r="C390" s="12"/>
      <c r="D390" s="12" t="s">
        <v>14</v>
      </c>
      <c r="E390" s="12" t="s">
        <v>1823</v>
      </c>
      <c r="F390" s="12"/>
      <c r="G390" s="12" t="s">
        <v>1750</v>
      </c>
      <c r="H390" s="12" t="s">
        <v>36</v>
      </c>
      <c r="I390" s="12" t="s">
        <v>26</v>
      </c>
      <c r="J390" s="13" t="s">
        <v>1552</v>
      </c>
      <c r="K390" s="14" t="s">
        <v>1824</v>
      </c>
      <c r="L390" s="15">
        <v>3</v>
      </c>
      <c r="M390" s="15" t="s">
        <v>144</v>
      </c>
      <c r="N390" s="16">
        <v>45475</v>
      </c>
      <c r="O390" s="12" t="s">
        <v>1822</v>
      </c>
      <c r="P390" s="14" t="s">
        <v>1825</v>
      </c>
      <c r="Q390" s="17" t="s">
        <v>137</v>
      </c>
      <c r="R390" s="17" t="s">
        <v>146</v>
      </c>
    </row>
    <row r="391" spans="1:18" x14ac:dyDescent="0.3">
      <c r="A391" s="12" t="s">
        <v>307</v>
      </c>
      <c r="B391" s="12" t="s">
        <v>14</v>
      </c>
      <c r="C391" s="12"/>
      <c r="D391" s="12" t="s">
        <v>14</v>
      </c>
      <c r="E391" s="12" t="s">
        <v>1826</v>
      </c>
      <c r="F391" s="12"/>
      <c r="G391" s="12" t="s">
        <v>1750</v>
      </c>
      <c r="H391" s="12" t="s">
        <v>36</v>
      </c>
      <c r="I391" s="12" t="s">
        <v>26</v>
      </c>
      <c r="J391" s="13" t="s">
        <v>1552</v>
      </c>
      <c r="K391" s="14" t="s">
        <v>1827</v>
      </c>
      <c r="L391" s="15">
        <v>2</v>
      </c>
      <c r="M391" s="15" t="s">
        <v>144</v>
      </c>
      <c r="N391" s="16">
        <v>46275</v>
      </c>
      <c r="O391" s="12" t="s">
        <v>307</v>
      </c>
      <c r="P391" s="14" t="s">
        <v>310</v>
      </c>
      <c r="Q391" s="17" t="s">
        <v>137</v>
      </c>
      <c r="R391" s="17" t="s">
        <v>146</v>
      </c>
    </row>
    <row r="392" spans="1:18" x14ac:dyDescent="0.3">
      <c r="A392" s="12" t="s">
        <v>307</v>
      </c>
      <c r="B392" s="12" t="s">
        <v>14</v>
      </c>
      <c r="C392" s="12"/>
      <c r="D392" s="12" t="s">
        <v>14</v>
      </c>
      <c r="E392" s="12" t="s">
        <v>1828</v>
      </c>
      <c r="F392" s="12" t="s">
        <v>447</v>
      </c>
      <c r="G392" s="12" t="s">
        <v>1750</v>
      </c>
      <c r="H392" s="12" t="s">
        <v>36</v>
      </c>
      <c r="I392" s="12" t="s">
        <v>26</v>
      </c>
      <c r="J392" s="13" t="s">
        <v>1751</v>
      </c>
      <c r="K392" s="14" t="s">
        <v>1829</v>
      </c>
      <c r="L392" s="15">
        <v>8</v>
      </c>
      <c r="M392" s="15" t="s">
        <v>144</v>
      </c>
      <c r="N392" s="16">
        <v>46275</v>
      </c>
      <c r="O392" s="12" t="s">
        <v>307</v>
      </c>
      <c r="P392" s="14" t="s">
        <v>310</v>
      </c>
      <c r="Q392" s="17" t="s">
        <v>137</v>
      </c>
      <c r="R392" s="17" t="s">
        <v>146</v>
      </c>
    </row>
    <row r="393" spans="1:18" x14ac:dyDescent="0.3">
      <c r="A393" s="12" t="s">
        <v>1830</v>
      </c>
      <c r="B393" s="12" t="s">
        <v>12</v>
      </c>
      <c r="C393" s="12"/>
      <c r="D393" s="12" t="s">
        <v>12</v>
      </c>
      <c r="E393" s="12" t="s">
        <v>1790</v>
      </c>
      <c r="F393" s="12" t="s">
        <v>1831</v>
      </c>
      <c r="G393" s="12" t="s">
        <v>1750</v>
      </c>
      <c r="H393" s="12" t="s">
        <v>36</v>
      </c>
      <c r="I393" s="12" t="s">
        <v>26</v>
      </c>
      <c r="J393" s="13" t="s">
        <v>1552</v>
      </c>
      <c r="K393" s="14" t="s">
        <v>1832</v>
      </c>
      <c r="L393" s="15">
        <v>1</v>
      </c>
      <c r="M393" s="15" t="s">
        <v>144</v>
      </c>
      <c r="N393" s="16">
        <v>45300</v>
      </c>
      <c r="O393" s="12" t="s">
        <v>1830</v>
      </c>
      <c r="P393" s="14" t="s">
        <v>1833</v>
      </c>
      <c r="Q393" s="17" t="s">
        <v>137</v>
      </c>
      <c r="R393" s="17" t="s">
        <v>146</v>
      </c>
    </row>
    <row r="394" spans="1:18" x14ac:dyDescent="0.3">
      <c r="A394" s="12" t="s">
        <v>1834</v>
      </c>
      <c r="B394" s="12" t="s">
        <v>12</v>
      </c>
      <c r="C394" s="12"/>
      <c r="D394" s="12" t="s">
        <v>12</v>
      </c>
      <c r="E394" s="12" t="s">
        <v>1835</v>
      </c>
      <c r="F394" s="12"/>
      <c r="G394" s="12" t="s">
        <v>1836</v>
      </c>
      <c r="H394" s="12" t="s">
        <v>36</v>
      </c>
      <c r="I394" s="12" t="s">
        <v>26</v>
      </c>
      <c r="J394" s="13" t="s">
        <v>1837</v>
      </c>
      <c r="K394" s="14" t="s">
        <v>1838</v>
      </c>
      <c r="L394" s="15">
        <v>1</v>
      </c>
      <c r="M394" s="15" t="s">
        <v>144</v>
      </c>
      <c r="N394" s="16">
        <v>44776</v>
      </c>
      <c r="O394" s="12" t="s">
        <v>1839</v>
      </c>
      <c r="P394" s="14" t="s">
        <v>1840</v>
      </c>
      <c r="Q394" s="17" t="s">
        <v>137</v>
      </c>
      <c r="R394" s="17" t="s">
        <v>146</v>
      </c>
    </row>
    <row r="395" spans="1:18" x14ac:dyDescent="0.3">
      <c r="A395" s="12" t="s">
        <v>1841</v>
      </c>
      <c r="B395" s="12" t="s">
        <v>14</v>
      </c>
      <c r="C395" s="12"/>
      <c r="D395" s="12" t="s">
        <v>14</v>
      </c>
      <c r="E395" s="12" t="s">
        <v>1842</v>
      </c>
      <c r="F395" s="12"/>
      <c r="G395" s="12" t="s">
        <v>1836</v>
      </c>
      <c r="H395" s="12" t="s">
        <v>36</v>
      </c>
      <c r="I395" s="12" t="s">
        <v>26</v>
      </c>
      <c r="J395" s="13" t="s">
        <v>1837</v>
      </c>
      <c r="K395" s="14" t="s">
        <v>1843</v>
      </c>
      <c r="L395" s="15">
        <v>0</v>
      </c>
      <c r="M395" s="15" t="s">
        <v>144</v>
      </c>
      <c r="N395" s="16">
        <v>44865</v>
      </c>
      <c r="O395" s="12" t="s">
        <v>1844</v>
      </c>
      <c r="P395" s="14" t="s">
        <v>1845</v>
      </c>
      <c r="Q395" s="17" t="s">
        <v>137</v>
      </c>
      <c r="R395" s="17" t="s">
        <v>146</v>
      </c>
    </row>
    <row r="396" spans="1:18" x14ac:dyDescent="0.3">
      <c r="A396" s="12" t="s">
        <v>199</v>
      </c>
      <c r="B396" s="12" t="s">
        <v>14</v>
      </c>
      <c r="C396" s="12"/>
      <c r="D396" s="12" t="s">
        <v>14</v>
      </c>
      <c r="E396" s="12" t="s">
        <v>1846</v>
      </c>
      <c r="F396" s="12"/>
      <c r="G396" s="12" t="s">
        <v>1836</v>
      </c>
      <c r="H396" s="12" t="s">
        <v>36</v>
      </c>
      <c r="I396" s="12" t="s">
        <v>26</v>
      </c>
      <c r="J396" s="13" t="s">
        <v>1837</v>
      </c>
      <c r="K396" s="14" t="s">
        <v>1847</v>
      </c>
      <c r="L396" s="15">
        <v>4</v>
      </c>
      <c r="M396" s="15" t="s">
        <v>144</v>
      </c>
      <c r="N396" s="16">
        <v>45926</v>
      </c>
      <c r="O396" s="12" t="s">
        <v>203</v>
      </c>
      <c r="P396" s="14" t="s">
        <v>1848</v>
      </c>
      <c r="Q396" s="17" t="s">
        <v>137</v>
      </c>
      <c r="R396" s="17" t="s">
        <v>146</v>
      </c>
    </row>
    <row r="397" spans="1:18" x14ac:dyDescent="0.3">
      <c r="A397" s="12" t="s">
        <v>1849</v>
      </c>
      <c r="B397" s="12" t="s">
        <v>12</v>
      </c>
      <c r="C397" s="12"/>
      <c r="D397" s="12" t="s">
        <v>12</v>
      </c>
      <c r="E397" s="12" t="s">
        <v>1850</v>
      </c>
      <c r="F397" s="12" t="s">
        <v>520</v>
      </c>
      <c r="G397" s="12" t="s">
        <v>1836</v>
      </c>
      <c r="H397" s="12" t="s">
        <v>36</v>
      </c>
      <c r="I397" s="12" t="s">
        <v>26</v>
      </c>
      <c r="J397" s="13" t="s">
        <v>1837</v>
      </c>
      <c r="K397" s="14" t="s">
        <v>1851</v>
      </c>
      <c r="L397" s="15">
        <v>1</v>
      </c>
      <c r="M397" s="15" t="s">
        <v>144</v>
      </c>
      <c r="N397" s="16">
        <v>46111</v>
      </c>
      <c r="O397" s="12" t="s">
        <v>1849</v>
      </c>
      <c r="P397" s="14" t="s">
        <v>1852</v>
      </c>
      <c r="Q397" s="17" t="s">
        <v>137</v>
      </c>
      <c r="R397" s="17" t="s">
        <v>146</v>
      </c>
    </row>
    <row r="398" spans="1:18" x14ac:dyDescent="0.3">
      <c r="A398" s="12" t="s">
        <v>186</v>
      </c>
      <c r="B398" s="12" t="s">
        <v>14</v>
      </c>
      <c r="C398" s="12"/>
      <c r="D398" s="12" t="s">
        <v>14</v>
      </c>
      <c r="E398" s="12" t="s">
        <v>1853</v>
      </c>
      <c r="F398" s="12" t="s">
        <v>447</v>
      </c>
      <c r="G398" s="12" t="s">
        <v>1854</v>
      </c>
      <c r="H398" s="12" t="s">
        <v>36</v>
      </c>
      <c r="I398" s="12" t="s">
        <v>26</v>
      </c>
      <c r="J398" s="13" t="s">
        <v>1323</v>
      </c>
      <c r="K398" s="14" t="s">
        <v>1855</v>
      </c>
      <c r="L398" s="15">
        <v>10</v>
      </c>
      <c r="M398" s="15" t="s">
        <v>144</v>
      </c>
      <c r="N398" s="16">
        <v>45827</v>
      </c>
      <c r="O398" s="12" t="s">
        <v>190</v>
      </c>
      <c r="P398" s="14" t="s">
        <v>1856</v>
      </c>
      <c r="Q398" s="17" t="s">
        <v>137</v>
      </c>
      <c r="R398" s="17" t="s">
        <v>146</v>
      </c>
    </row>
    <row r="399" spans="1:18" x14ac:dyDescent="0.3">
      <c r="A399" s="12" t="s">
        <v>1857</v>
      </c>
      <c r="B399" s="12" t="s">
        <v>14</v>
      </c>
      <c r="C399" s="12"/>
      <c r="D399" s="12" t="s">
        <v>14</v>
      </c>
      <c r="E399" s="12" t="s">
        <v>1858</v>
      </c>
      <c r="F399" s="12"/>
      <c r="G399" s="12" t="s">
        <v>1854</v>
      </c>
      <c r="H399" s="12" t="s">
        <v>36</v>
      </c>
      <c r="I399" s="12" t="s">
        <v>26</v>
      </c>
      <c r="J399" s="13" t="s">
        <v>1323</v>
      </c>
      <c r="K399" s="14" t="s">
        <v>1859</v>
      </c>
      <c r="L399" s="15">
        <v>1</v>
      </c>
      <c r="M399" s="15" t="s">
        <v>144</v>
      </c>
      <c r="N399" s="16">
        <v>45334</v>
      </c>
      <c r="O399" s="12" t="s">
        <v>1857</v>
      </c>
      <c r="P399" s="14" t="s">
        <v>1860</v>
      </c>
      <c r="Q399" s="17" t="s">
        <v>137</v>
      </c>
      <c r="R399" s="17" t="s">
        <v>146</v>
      </c>
    </row>
    <row r="400" spans="1:18" x14ac:dyDescent="0.3">
      <c r="A400" s="12" t="s">
        <v>1861</v>
      </c>
      <c r="B400" s="12" t="s">
        <v>14</v>
      </c>
      <c r="C400" s="12"/>
      <c r="D400" s="12" t="s">
        <v>14</v>
      </c>
      <c r="E400" s="12" t="s">
        <v>1862</v>
      </c>
      <c r="F400" s="12"/>
      <c r="G400" s="12" t="s">
        <v>1863</v>
      </c>
      <c r="H400" s="12" t="s">
        <v>36</v>
      </c>
      <c r="I400" s="12" t="s">
        <v>26</v>
      </c>
      <c r="J400" s="13" t="s">
        <v>1864</v>
      </c>
      <c r="K400" s="14" t="s">
        <v>1865</v>
      </c>
      <c r="L400" s="15">
        <v>1</v>
      </c>
      <c r="M400" s="15" t="s">
        <v>144</v>
      </c>
      <c r="N400" s="16">
        <v>44854</v>
      </c>
      <c r="O400" s="12" t="s">
        <v>1866</v>
      </c>
      <c r="P400" s="14" t="s">
        <v>1867</v>
      </c>
      <c r="Q400" s="17" t="s">
        <v>137</v>
      </c>
      <c r="R400" s="17" t="s">
        <v>146</v>
      </c>
    </row>
    <row r="401" spans="1:18" x14ac:dyDescent="0.3">
      <c r="A401" s="12" t="s">
        <v>1868</v>
      </c>
      <c r="B401" s="12" t="s">
        <v>14</v>
      </c>
      <c r="C401" s="12"/>
      <c r="D401" s="12" t="s">
        <v>14</v>
      </c>
      <c r="E401" s="12" t="s">
        <v>1869</v>
      </c>
      <c r="F401" s="12" t="s">
        <v>188</v>
      </c>
      <c r="G401" s="12" t="s">
        <v>1863</v>
      </c>
      <c r="H401" s="12" t="s">
        <v>36</v>
      </c>
      <c r="I401" s="12" t="s">
        <v>26</v>
      </c>
      <c r="J401" s="13" t="s">
        <v>1864</v>
      </c>
      <c r="K401" s="14" t="s">
        <v>1870</v>
      </c>
      <c r="L401" s="15">
        <v>1</v>
      </c>
      <c r="M401" s="15" t="s">
        <v>144</v>
      </c>
      <c r="N401" s="16">
        <v>45986</v>
      </c>
      <c r="O401" s="12" t="s">
        <v>1868</v>
      </c>
      <c r="P401" s="14" t="s">
        <v>1871</v>
      </c>
      <c r="Q401" s="17" t="s">
        <v>137</v>
      </c>
      <c r="R401" s="17" t="s">
        <v>146</v>
      </c>
    </row>
    <row r="402" spans="1:18" x14ac:dyDescent="0.3">
      <c r="A402" s="12" t="s">
        <v>199</v>
      </c>
      <c r="B402" s="12" t="s">
        <v>14</v>
      </c>
      <c r="C402" s="12"/>
      <c r="D402" s="12" t="s">
        <v>14</v>
      </c>
      <c r="E402" s="12" t="s">
        <v>1872</v>
      </c>
      <c r="F402" s="12"/>
      <c r="G402" s="12" t="s">
        <v>1863</v>
      </c>
      <c r="H402" s="12" t="s">
        <v>36</v>
      </c>
      <c r="I402" s="12" t="s">
        <v>26</v>
      </c>
      <c r="J402" s="13" t="s">
        <v>1864</v>
      </c>
      <c r="K402" s="14" t="s">
        <v>1873</v>
      </c>
      <c r="L402" s="15">
        <v>8</v>
      </c>
      <c r="M402" s="15" t="s">
        <v>144</v>
      </c>
      <c r="N402" s="16">
        <v>45951</v>
      </c>
      <c r="O402" s="12" t="s">
        <v>331</v>
      </c>
      <c r="P402" s="14" t="s">
        <v>1874</v>
      </c>
      <c r="Q402" s="17" t="s">
        <v>137</v>
      </c>
      <c r="R402" s="17" t="s">
        <v>146</v>
      </c>
    </row>
    <row r="403" spans="1:18" x14ac:dyDescent="0.3">
      <c r="A403" s="12" t="s">
        <v>1875</v>
      </c>
      <c r="B403" s="12" t="s">
        <v>12</v>
      </c>
      <c r="C403" s="12"/>
      <c r="D403" s="12" t="s">
        <v>12</v>
      </c>
      <c r="E403" s="12" t="s">
        <v>1876</v>
      </c>
      <c r="F403" s="12" t="s">
        <v>372</v>
      </c>
      <c r="G403" s="12" t="s">
        <v>1863</v>
      </c>
      <c r="H403" s="12" t="s">
        <v>36</v>
      </c>
      <c r="I403" s="12" t="s">
        <v>26</v>
      </c>
      <c r="J403" s="13" t="s">
        <v>1864</v>
      </c>
      <c r="K403" s="14" t="s">
        <v>1877</v>
      </c>
      <c r="L403" s="15">
        <v>1</v>
      </c>
      <c r="M403" s="15" t="s">
        <v>144</v>
      </c>
      <c r="N403" s="16">
        <v>46057</v>
      </c>
      <c r="O403" s="12" t="s">
        <v>1875</v>
      </c>
      <c r="P403" s="14" t="s">
        <v>1878</v>
      </c>
      <c r="Q403" s="17" t="s">
        <v>137</v>
      </c>
      <c r="R403" s="17" t="s">
        <v>146</v>
      </c>
    </row>
    <row r="404" spans="1:18" x14ac:dyDescent="0.3">
      <c r="A404" s="12" t="s">
        <v>307</v>
      </c>
      <c r="B404" s="12" t="s">
        <v>14</v>
      </c>
      <c r="C404" s="12"/>
      <c r="D404" s="12" t="s">
        <v>14</v>
      </c>
      <c r="E404" s="12" t="s">
        <v>1879</v>
      </c>
      <c r="F404" s="12"/>
      <c r="G404" s="12" t="s">
        <v>1880</v>
      </c>
      <c r="H404" s="12" t="s">
        <v>36</v>
      </c>
      <c r="I404" s="12" t="s">
        <v>26</v>
      </c>
      <c r="J404" s="13" t="s">
        <v>449</v>
      </c>
      <c r="K404" s="14" t="s">
        <v>1881</v>
      </c>
      <c r="L404" s="15">
        <v>1</v>
      </c>
      <c r="M404" s="15" t="s">
        <v>144</v>
      </c>
      <c r="N404" s="16">
        <v>46275</v>
      </c>
      <c r="O404" s="12" t="s">
        <v>307</v>
      </c>
      <c r="P404" s="14" t="s">
        <v>310</v>
      </c>
      <c r="Q404" s="17" t="s">
        <v>137</v>
      </c>
      <c r="R404" s="17" t="s">
        <v>146</v>
      </c>
    </row>
    <row r="405" spans="1:18" x14ac:dyDescent="0.3">
      <c r="A405" s="12" t="s">
        <v>1882</v>
      </c>
      <c r="B405" s="12" t="s">
        <v>12</v>
      </c>
      <c r="C405" s="12" t="s">
        <v>14</v>
      </c>
      <c r="D405" s="12" t="s">
        <v>180</v>
      </c>
      <c r="E405" s="12" t="s">
        <v>1883</v>
      </c>
      <c r="F405" s="12" t="s">
        <v>188</v>
      </c>
      <c r="G405" s="12" t="s">
        <v>1884</v>
      </c>
      <c r="H405" s="12" t="s">
        <v>36</v>
      </c>
      <c r="I405" s="12" t="s">
        <v>26</v>
      </c>
      <c r="J405" s="13" t="s">
        <v>1624</v>
      </c>
      <c r="K405" s="14" t="s">
        <v>1885</v>
      </c>
      <c r="L405" s="15">
        <v>14</v>
      </c>
      <c r="M405" s="15" t="s">
        <v>144</v>
      </c>
      <c r="N405" s="16">
        <v>45911</v>
      </c>
      <c r="O405" s="12" t="s">
        <v>1882</v>
      </c>
      <c r="P405" s="14" t="s">
        <v>1886</v>
      </c>
      <c r="Q405" s="17" t="s">
        <v>137</v>
      </c>
      <c r="R405" s="17" t="s">
        <v>146</v>
      </c>
    </row>
    <row r="406" spans="1:18" x14ac:dyDescent="0.3">
      <c r="A406" s="12" t="s">
        <v>1887</v>
      </c>
      <c r="B406" s="12" t="s">
        <v>14</v>
      </c>
      <c r="C406" s="12" t="s">
        <v>10</v>
      </c>
      <c r="D406" s="12" t="s">
        <v>945</v>
      </c>
      <c r="E406" s="12" t="s">
        <v>1888</v>
      </c>
      <c r="F406" s="12" t="s">
        <v>454</v>
      </c>
      <c r="G406" s="12" t="s">
        <v>1884</v>
      </c>
      <c r="H406" s="12" t="s">
        <v>36</v>
      </c>
      <c r="I406" s="12" t="s">
        <v>26</v>
      </c>
      <c r="J406" s="13" t="s">
        <v>1624</v>
      </c>
      <c r="K406" s="14" t="s">
        <v>1889</v>
      </c>
      <c r="L406" s="15">
        <v>2</v>
      </c>
      <c r="M406" s="15" t="s">
        <v>144</v>
      </c>
      <c r="N406" s="16">
        <v>45475</v>
      </c>
      <c r="O406" s="12" t="s">
        <v>1887</v>
      </c>
      <c r="P406" s="14" t="s">
        <v>1890</v>
      </c>
      <c r="Q406" s="17" t="s">
        <v>137</v>
      </c>
      <c r="R406" s="17" t="s">
        <v>146</v>
      </c>
    </row>
    <row r="407" spans="1:18" x14ac:dyDescent="0.3">
      <c r="A407" s="12" t="s">
        <v>1891</v>
      </c>
      <c r="B407" s="12" t="s">
        <v>16</v>
      </c>
      <c r="C407" s="12"/>
      <c r="D407" s="12" t="s">
        <v>471</v>
      </c>
      <c r="E407" s="12" t="s">
        <v>1892</v>
      </c>
      <c r="F407" s="12" t="s">
        <v>940</v>
      </c>
      <c r="G407" s="12" t="s">
        <v>1884</v>
      </c>
      <c r="H407" s="12" t="s">
        <v>36</v>
      </c>
      <c r="I407" s="12" t="s">
        <v>26</v>
      </c>
      <c r="J407" s="13" t="s">
        <v>1624</v>
      </c>
      <c r="K407" s="14" t="s">
        <v>1893</v>
      </c>
      <c r="L407" s="15">
        <v>27</v>
      </c>
      <c r="M407" s="15" t="s">
        <v>144</v>
      </c>
      <c r="N407" s="16">
        <v>44763</v>
      </c>
      <c r="O407" s="12" t="s">
        <v>1894</v>
      </c>
      <c r="P407" s="14" t="s">
        <v>1895</v>
      </c>
      <c r="Q407" s="17" t="s">
        <v>137</v>
      </c>
      <c r="R407" s="17" t="s">
        <v>146</v>
      </c>
    </row>
    <row r="408" spans="1:18" x14ac:dyDescent="0.3">
      <c r="A408" s="12" t="s">
        <v>1896</v>
      </c>
      <c r="B408" s="12" t="s">
        <v>12</v>
      </c>
      <c r="C408" s="12"/>
      <c r="D408" s="12" t="s">
        <v>12</v>
      </c>
      <c r="E408" s="12" t="s">
        <v>1897</v>
      </c>
      <c r="F408" s="12" t="s">
        <v>1039</v>
      </c>
      <c r="G408" s="12" t="s">
        <v>1884</v>
      </c>
      <c r="H408" s="12" t="s">
        <v>36</v>
      </c>
      <c r="I408" s="12" t="s">
        <v>26</v>
      </c>
      <c r="J408" s="13" t="s">
        <v>1898</v>
      </c>
      <c r="K408" s="14" t="s">
        <v>1899</v>
      </c>
      <c r="L408" s="15">
        <v>1</v>
      </c>
      <c r="M408" s="15" t="s">
        <v>144</v>
      </c>
      <c r="N408" s="16">
        <v>44749</v>
      </c>
      <c r="O408" s="12" t="s">
        <v>1896</v>
      </c>
      <c r="P408" s="14" t="s">
        <v>1900</v>
      </c>
      <c r="Q408" s="17" t="s">
        <v>137</v>
      </c>
      <c r="R408" s="17" t="s">
        <v>146</v>
      </c>
    </row>
    <row r="409" spans="1:18" x14ac:dyDescent="0.3">
      <c r="A409" s="12" t="s">
        <v>1901</v>
      </c>
      <c r="B409" s="12" t="s">
        <v>12</v>
      </c>
      <c r="C409" s="12"/>
      <c r="D409" s="12" t="s">
        <v>12</v>
      </c>
      <c r="E409" s="12" t="s">
        <v>1902</v>
      </c>
      <c r="F409" s="12" t="s">
        <v>547</v>
      </c>
      <c r="G409" s="12" t="s">
        <v>1884</v>
      </c>
      <c r="H409" s="12" t="s">
        <v>36</v>
      </c>
      <c r="I409" s="12" t="s">
        <v>26</v>
      </c>
      <c r="J409" s="13" t="s">
        <v>1624</v>
      </c>
      <c r="K409" s="14" t="s">
        <v>1903</v>
      </c>
      <c r="L409" s="15">
        <v>1</v>
      </c>
      <c r="M409" s="15" t="s">
        <v>144</v>
      </c>
      <c r="N409" s="16">
        <v>45933</v>
      </c>
      <c r="O409" s="12" t="s">
        <v>1904</v>
      </c>
      <c r="P409" s="14" t="s">
        <v>1905</v>
      </c>
      <c r="Q409" s="17" t="s">
        <v>137</v>
      </c>
      <c r="R409" s="17" t="s">
        <v>146</v>
      </c>
    </row>
    <row r="410" spans="1:18" x14ac:dyDescent="0.3">
      <c r="A410" s="12" t="s">
        <v>1906</v>
      </c>
      <c r="B410" s="12" t="s">
        <v>12</v>
      </c>
      <c r="C410" s="12"/>
      <c r="D410" s="12" t="s">
        <v>12</v>
      </c>
      <c r="E410" s="12" t="s">
        <v>1907</v>
      </c>
      <c r="F410" s="12" t="s">
        <v>1908</v>
      </c>
      <c r="G410" s="12" t="s">
        <v>1884</v>
      </c>
      <c r="H410" s="12" t="s">
        <v>36</v>
      </c>
      <c r="I410" s="12" t="s">
        <v>26</v>
      </c>
      <c r="J410" s="13" t="s">
        <v>1624</v>
      </c>
      <c r="K410" s="14" t="s">
        <v>1909</v>
      </c>
      <c r="L410" s="15">
        <v>1</v>
      </c>
      <c r="M410" s="15" t="s">
        <v>144</v>
      </c>
      <c r="N410" s="16">
        <v>45265</v>
      </c>
      <c r="O410" s="12" t="s">
        <v>1906</v>
      </c>
      <c r="P410" s="14" t="s">
        <v>1910</v>
      </c>
      <c r="Q410" s="17" t="s">
        <v>137</v>
      </c>
      <c r="R410" s="17" t="s">
        <v>146</v>
      </c>
    </row>
    <row r="411" spans="1:18" x14ac:dyDescent="0.3">
      <c r="A411" s="12" t="s">
        <v>1911</v>
      </c>
      <c r="B411" s="12" t="s">
        <v>10</v>
      </c>
      <c r="C411" s="12"/>
      <c r="D411" s="12" t="s">
        <v>1561</v>
      </c>
      <c r="E411" s="12" t="s">
        <v>1912</v>
      </c>
      <c r="F411" s="12" t="s">
        <v>188</v>
      </c>
      <c r="G411" s="12" t="s">
        <v>1884</v>
      </c>
      <c r="H411" s="12" t="s">
        <v>36</v>
      </c>
      <c r="I411" s="12" t="s">
        <v>26</v>
      </c>
      <c r="J411" s="13" t="s">
        <v>1624</v>
      </c>
      <c r="K411" s="14" t="s">
        <v>1913</v>
      </c>
      <c r="L411" s="15">
        <v>0</v>
      </c>
      <c r="M411" s="15" t="s">
        <v>144</v>
      </c>
      <c r="N411" s="16">
        <v>46241</v>
      </c>
      <c r="O411" s="12" t="s">
        <v>1911</v>
      </c>
      <c r="P411" s="14" t="s">
        <v>1914</v>
      </c>
      <c r="Q411" s="17" t="s">
        <v>137</v>
      </c>
      <c r="R411" s="17" t="s">
        <v>146</v>
      </c>
    </row>
    <row r="412" spans="1:18" x14ac:dyDescent="0.3">
      <c r="A412" s="12" t="s">
        <v>1915</v>
      </c>
      <c r="B412" s="12" t="s">
        <v>20</v>
      </c>
      <c r="C412" s="12"/>
      <c r="D412" s="12" t="s">
        <v>193</v>
      </c>
      <c r="E412" s="12" t="s">
        <v>1916</v>
      </c>
      <c r="F412" s="12"/>
      <c r="G412" s="12" t="s">
        <v>1884</v>
      </c>
      <c r="H412" s="12" t="s">
        <v>36</v>
      </c>
      <c r="I412" s="12" t="s">
        <v>26</v>
      </c>
      <c r="J412" s="13" t="s">
        <v>1624</v>
      </c>
      <c r="K412" s="14" t="s">
        <v>1917</v>
      </c>
      <c r="L412" s="15">
        <v>0</v>
      </c>
      <c r="M412" s="15" t="s">
        <v>144</v>
      </c>
      <c r="N412" s="16">
        <v>46248</v>
      </c>
      <c r="O412" s="12" t="s">
        <v>160</v>
      </c>
      <c r="P412" s="14" t="s">
        <v>1918</v>
      </c>
      <c r="Q412" s="17" t="s">
        <v>137</v>
      </c>
      <c r="R412" s="17" t="s">
        <v>146</v>
      </c>
    </row>
    <row r="413" spans="1:18" x14ac:dyDescent="0.3">
      <c r="A413" s="12" t="s">
        <v>1919</v>
      </c>
      <c r="B413" s="12" t="s">
        <v>14</v>
      </c>
      <c r="C413" s="12"/>
      <c r="D413" s="12" t="s">
        <v>14</v>
      </c>
      <c r="E413" s="12" t="s">
        <v>1920</v>
      </c>
      <c r="F413" s="12"/>
      <c r="G413" s="12" t="s">
        <v>1884</v>
      </c>
      <c r="H413" s="12" t="s">
        <v>36</v>
      </c>
      <c r="I413" s="12" t="s">
        <v>26</v>
      </c>
      <c r="J413" s="13" t="s">
        <v>1624</v>
      </c>
      <c r="K413" s="14" t="s">
        <v>1921</v>
      </c>
      <c r="L413" s="15">
        <v>2</v>
      </c>
      <c r="M413" s="15" t="s">
        <v>144</v>
      </c>
      <c r="N413" s="16">
        <v>45918</v>
      </c>
      <c r="O413" s="12" t="s">
        <v>1922</v>
      </c>
      <c r="P413" s="14" t="s">
        <v>1923</v>
      </c>
      <c r="Q413" s="17" t="s">
        <v>137</v>
      </c>
      <c r="R413" s="17" t="s">
        <v>146</v>
      </c>
    </row>
    <row r="414" spans="1:18" x14ac:dyDescent="0.3">
      <c r="A414" s="12" t="s">
        <v>1924</v>
      </c>
      <c r="B414" s="12" t="s">
        <v>20</v>
      </c>
      <c r="C414" s="12"/>
      <c r="D414" s="12" t="s">
        <v>193</v>
      </c>
      <c r="E414" s="12" t="s">
        <v>1888</v>
      </c>
      <c r="F414" s="12" t="s">
        <v>1925</v>
      </c>
      <c r="G414" s="12" t="s">
        <v>1884</v>
      </c>
      <c r="H414" s="12" t="s">
        <v>36</v>
      </c>
      <c r="I414" s="12" t="s">
        <v>26</v>
      </c>
      <c r="J414" s="13" t="s">
        <v>1624</v>
      </c>
      <c r="K414" s="14" t="s">
        <v>1926</v>
      </c>
      <c r="L414" s="15">
        <v>0</v>
      </c>
      <c r="M414" s="15" t="s">
        <v>144</v>
      </c>
      <c r="N414" s="16">
        <v>41813</v>
      </c>
      <c r="O414" s="12" t="s">
        <v>1924</v>
      </c>
      <c r="P414" s="14" t="s">
        <v>1927</v>
      </c>
      <c r="Q414" s="17" t="s">
        <v>137</v>
      </c>
      <c r="R414" s="17" t="s">
        <v>146</v>
      </c>
    </row>
    <row r="415" spans="1:18" x14ac:dyDescent="0.3">
      <c r="A415" s="12" t="s">
        <v>199</v>
      </c>
      <c r="B415" s="12" t="s">
        <v>14</v>
      </c>
      <c r="C415" s="12"/>
      <c r="D415" s="12" t="s">
        <v>14</v>
      </c>
      <c r="E415" s="12" t="s">
        <v>1928</v>
      </c>
      <c r="F415" s="12" t="s">
        <v>188</v>
      </c>
      <c r="G415" s="12" t="s">
        <v>1884</v>
      </c>
      <c r="H415" s="12" t="s">
        <v>36</v>
      </c>
      <c r="I415" s="12" t="s">
        <v>26</v>
      </c>
      <c r="J415" s="13" t="s">
        <v>1624</v>
      </c>
      <c r="K415" s="14" t="s">
        <v>1929</v>
      </c>
      <c r="L415" s="15">
        <v>1</v>
      </c>
      <c r="M415" s="15" t="s">
        <v>144</v>
      </c>
      <c r="N415" s="16">
        <v>45951</v>
      </c>
      <c r="O415" s="12" t="s">
        <v>331</v>
      </c>
      <c r="P415" s="14" t="s">
        <v>1049</v>
      </c>
      <c r="Q415" s="17" t="s">
        <v>137</v>
      </c>
      <c r="R415" s="17" t="s">
        <v>146</v>
      </c>
    </row>
    <row r="416" spans="1:18" x14ac:dyDescent="0.3">
      <c r="A416" s="12" t="s">
        <v>1930</v>
      </c>
      <c r="B416" s="12" t="s">
        <v>12</v>
      </c>
      <c r="C416" s="12" t="s">
        <v>14</v>
      </c>
      <c r="D416" s="12" t="s">
        <v>180</v>
      </c>
      <c r="E416" s="12" t="s">
        <v>1883</v>
      </c>
      <c r="F416" s="12" t="s">
        <v>188</v>
      </c>
      <c r="G416" s="12" t="s">
        <v>1884</v>
      </c>
      <c r="H416" s="12" t="s">
        <v>36</v>
      </c>
      <c r="I416" s="12" t="s">
        <v>26</v>
      </c>
      <c r="J416" s="13" t="s">
        <v>1624</v>
      </c>
      <c r="K416" s="14" t="s">
        <v>1931</v>
      </c>
      <c r="L416" s="15">
        <v>14</v>
      </c>
      <c r="M416" s="15" t="s">
        <v>144</v>
      </c>
      <c r="N416" s="16">
        <v>46198</v>
      </c>
      <c r="O416" s="12" t="s">
        <v>869</v>
      </c>
      <c r="P416" s="14" t="s">
        <v>873</v>
      </c>
      <c r="Q416" s="17" t="s">
        <v>137</v>
      </c>
      <c r="R416" s="17" t="s">
        <v>146</v>
      </c>
    </row>
    <row r="417" spans="1:18" x14ac:dyDescent="0.3">
      <c r="A417" s="12" t="s">
        <v>1128</v>
      </c>
      <c r="B417" s="12" t="s">
        <v>16</v>
      </c>
      <c r="C417" s="12"/>
      <c r="D417" s="12" t="s">
        <v>471</v>
      </c>
      <c r="E417" s="12" t="s">
        <v>1892</v>
      </c>
      <c r="F417" s="12" t="s">
        <v>182</v>
      </c>
      <c r="G417" s="12" t="s">
        <v>1884</v>
      </c>
      <c r="H417" s="12" t="s">
        <v>36</v>
      </c>
      <c r="I417" s="12" t="s">
        <v>26</v>
      </c>
      <c r="J417" s="13" t="s">
        <v>1624</v>
      </c>
      <c r="K417" s="14" t="s">
        <v>1932</v>
      </c>
      <c r="L417" s="15">
        <v>27</v>
      </c>
      <c r="M417" s="15" t="s">
        <v>144</v>
      </c>
      <c r="N417" s="16">
        <v>46289</v>
      </c>
      <c r="O417" s="12" t="s">
        <v>1130</v>
      </c>
      <c r="P417" s="14" t="s">
        <v>1933</v>
      </c>
      <c r="Q417" s="17" t="s">
        <v>137</v>
      </c>
      <c r="R417" s="17" t="s">
        <v>146</v>
      </c>
    </row>
    <row r="418" spans="1:18" x14ac:dyDescent="0.3">
      <c r="A418" s="12" t="s">
        <v>1934</v>
      </c>
      <c r="B418" s="12" t="s">
        <v>12</v>
      </c>
      <c r="C418" s="12"/>
      <c r="D418" s="12" t="s">
        <v>12</v>
      </c>
      <c r="E418" s="12" t="s">
        <v>1888</v>
      </c>
      <c r="F418" s="12" t="s">
        <v>1935</v>
      </c>
      <c r="G418" s="12" t="s">
        <v>1884</v>
      </c>
      <c r="H418" s="12" t="s">
        <v>36</v>
      </c>
      <c r="I418" s="12" t="s">
        <v>26</v>
      </c>
      <c r="J418" s="13" t="s">
        <v>1624</v>
      </c>
      <c r="K418" s="14" t="s">
        <v>1936</v>
      </c>
      <c r="L418" s="15">
        <v>9</v>
      </c>
      <c r="M418" s="15" t="s">
        <v>144</v>
      </c>
      <c r="N418" s="16">
        <v>44869</v>
      </c>
      <c r="O418" s="12" t="s">
        <v>1937</v>
      </c>
      <c r="P418" s="14" t="s">
        <v>1938</v>
      </c>
      <c r="Q418" s="17" t="s">
        <v>137</v>
      </c>
      <c r="R418" s="17" t="s">
        <v>146</v>
      </c>
    </row>
    <row r="419" spans="1:18" x14ac:dyDescent="0.3">
      <c r="A419" s="12" t="s">
        <v>1939</v>
      </c>
      <c r="B419" s="12" t="s">
        <v>12</v>
      </c>
      <c r="C419" s="12"/>
      <c r="D419" s="12" t="s">
        <v>12</v>
      </c>
      <c r="E419" s="12" t="s">
        <v>1940</v>
      </c>
      <c r="F419" s="12" t="s">
        <v>1765</v>
      </c>
      <c r="G419" s="12" t="s">
        <v>1941</v>
      </c>
      <c r="H419" s="12" t="s">
        <v>36</v>
      </c>
      <c r="I419" s="12" t="s">
        <v>26</v>
      </c>
      <c r="J419" s="13" t="s">
        <v>1624</v>
      </c>
      <c r="K419" s="14" t="s">
        <v>1909</v>
      </c>
      <c r="L419" s="15">
        <v>1</v>
      </c>
      <c r="M419" s="15" t="s">
        <v>144</v>
      </c>
      <c r="N419" s="16">
        <v>45911</v>
      </c>
      <c r="O419" s="12" t="s">
        <v>1939</v>
      </c>
      <c r="P419" s="14" t="s">
        <v>1942</v>
      </c>
      <c r="Q419" s="17" t="s">
        <v>137</v>
      </c>
      <c r="R419" s="17" t="s">
        <v>146</v>
      </c>
    </row>
    <row r="420" spans="1:18" x14ac:dyDescent="0.3">
      <c r="A420" s="12" t="s">
        <v>1943</v>
      </c>
      <c r="B420" s="12" t="s">
        <v>12</v>
      </c>
      <c r="C420" s="12"/>
      <c r="D420" s="12" t="s">
        <v>12</v>
      </c>
      <c r="E420" s="12" t="s">
        <v>1944</v>
      </c>
      <c r="F420" s="12" t="s">
        <v>1945</v>
      </c>
      <c r="G420" s="12" t="s">
        <v>1946</v>
      </c>
      <c r="H420" s="12" t="s">
        <v>36</v>
      </c>
      <c r="I420" s="12" t="s">
        <v>26</v>
      </c>
      <c r="J420" s="13" t="s">
        <v>1947</v>
      </c>
      <c r="K420" s="14" t="s">
        <v>1948</v>
      </c>
      <c r="L420" s="15">
        <v>1</v>
      </c>
      <c r="M420" s="15" t="s">
        <v>144</v>
      </c>
      <c r="N420" s="16">
        <v>45512</v>
      </c>
      <c r="O420" s="12" t="s">
        <v>1943</v>
      </c>
      <c r="P420" s="14" t="s">
        <v>1949</v>
      </c>
      <c r="Q420" s="17" t="s">
        <v>137</v>
      </c>
      <c r="R420" s="17" t="s">
        <v>146</v>
      </c>
    </row>
    <row r="421" spans="1:18" x14ac:dyDescent="0.3">
      <c r="A421" s="12" t="s">
        <v>1041</v>
      </c>
      <c r="B421" s="12" t="s">
        <v>20</v>
      </c>
      <c r="C421" s="12"/>
      <c r="D421" s="12" t="s">
        <v>193</v>
      </c>
      <c r="E421" s="12" t="s">
        <v>1950</v>
      </c>
      <c r="F421" s="12" t="s">
        <v>1951</v>
      </c>
      <c r="G421" s="12" t="s">
        <v>1946</v>
      </c>
      <c r="H421" s="12" t="s">
        <v>36</v>
      </c>
      <c r="I421" s="12" t="s">
        <v>26</v>
      </c>
      <c r="J421" s="13" t="s">
        <v>1947</v>
      </c>
      <c r="K421" s="14" t="s">
        <v>1952</v>
      </c>
      <c r="L421" s="15">
        <v>0</v>
      </c>
      <c r="M421" s="15" t="s">
        <v>144</v>
      </c>
      <c r="N421" s="16">
        <v>42180</v>
      </c>
      <c r="O421" s="12" t="s">
        <v>1041</v>
      </c>
      <c r="P421" s="14" t="s">
        <v>1953</v>
      </c>
      <c r="Q421" s="17" t="s">
        <v>137</v>
      </c>
      <c r="R421" s="17" t="s">
        <v>146</v>
      </c>
    </row>
    <row r="422" spans="1:18" x14ac:dyDescent="0.3">
      <c r="A422" s="12" t="s">
        <v>1954</v>
      </c>
      <c r="B422" s="12" t="s">
        <v>14</v>
      </c>
      <c r="C422" s="12"/>
      <c r="D422" s="12" t="s">
        <v>14</v>
      </c>
      <c r="E422" s="12" t="s">
        <v>1955</v>
      </c>
      <c r="F422" s="12" t="s">
        <v>583</v>
      </c>
      <c r="G422" s="12" t="s">
        <v>1946</v>
      </c>
      <c r="H422" s="12" t="s">
        <v>36</v>
      </c>
      <c r="I422" s="12" t="s">
        <v>26</v>
      </c>
      <c r="J422" s="13" t="s">
        <v>1947</v>
      </c>
      <c r="K422" s="14" t="s">
        <v>1956</v>
      </c>
      <c r="L422" s="15">
        <v>2</v>
      </c>
      <c r="M422" s="15" t="s">
        <v>144</v>
      </c>
      <c r="N422" s="16">
        <v>44716</v>
      </c>
      <c r="O422" s="12" t="s">
        <v>1957</v>
      </c>
      <c r="P422" s="14" t="s">
        <v>1958</v>
      </c>
      <c r="Q422" s="17" t="s">
        <v>137</v>
      </c>
      <c r="R422" s="17" t="s">
        <v>146</v>
      </c>
    </row>
    <row r="423" spans="1:18" x14ac:dyDescent="0.3">
      <c r="A423" s="12" t="s">
        <v>1959</v>
      </c>
      <c r="B423" s="12" t="s">
        <v>12</v>
      </c>
      <c r="C423" s="12"/>
      <c r="D423" s="12" t="s">
        <v>12</v>
      </c>
      <c r="E423" s="12" t="s">
        <v>1960</v>
      </c>
      <c r="F423" s="12"/>
      <c r="G423" s="12" t="s">
        <v>1946</v>
      </c>
      <c r="H423" s="12" t="s">
        <v>36</v>
      </c>
      <c r="I423" s="12" t="s">
        <v>26</v>
      </c>
      <c r="J423" s="13" t="s">
        <v>1947</v>
      </c>
      <c r="K423" s="14" t="s">
        <v>1961</v>
      </c>
      <c r="L423" s="15">
        <v>0</v>
      </c>
      <c r="M423" s="15" t="s">
        <v>144</v>
      </c>
      <c r="N423" s="16">
        <v>45299</v>
      </c>
      <c r="O423" s="12" t="s">
        <v>1959</v>
      </c>
      <c r="P423" s="14" t="s">
        <v>1962</v>
      </c>
      <c r="Q423" s="17" t="s">
        <v>137</v>
      </c>
      <c r="R423" s="17" t="s">
        <v>146</v>
      </c>
    </row>
    <row r="424" spans="1:18" x14ac:dyDescent="0.3">
      <c r="A424" s="12" t="s">
        <v>1963</v>
      </c>
      <c r="B424" s="12" t="s">
        <v>10</v>
      </c>
      <c r="C424" s="12"/>
      <c r="D424" s="12" t="s">
        <v>647</v>
      </c>
      <c r="E424" s="12" t="s">
        <v>1964</v>
      </c>
      <c r="F424" s="12"/>
      <c r="G424" s="12" t="s">
        <v>1946</v>
      </c>
      <c r="H424" s="12" t="s">
        <v>36</v>
      </c>
      <c r="I424" s="12" t="s">
        <v>26</v>
      </c>
      <c r="J424" s="13" t="s">
        <v>1947</v>
      </c>
      <c r="K424" s="14" t="s">
        <v>1965</v>
      </c>
      <c r="L424" s="15">
        <v>0</v>
      </c>
      <c r="M424" s="15" t="s">
        <v>144</v>
      </c>
      <c r="N424" s="16">
        <v>46282</v>
      </c>
      <c r="O424" s="12" t="s">
        <v>1963</v>
      </c>
      <c r="P424" s="14" t="s">
        <v>1966</v>
      </c>
      <c r="Q424" s="17" t="s">
        <v>137</v>
      </c>
      <c r="R424" s="17" t="s">
        <v>146</v>
      </c>
    </row>
    <row r="425" spans="1:18" x14ac:dyDescent="0.3">
      <c r="A425" s="12" t="s">
        <v>1967</v>
      </c>
      <c r="B425" s="12" t="s">
        <v>20</v>
      </c>
      <c r="C425" s="12"/>
      <c r="D425" s="12" t="s">
        <v>193</v>
      </c>
      <c r="E425" s="12" t="s">
        <v>1968</v>
      </c>
      <c r="F425" s="12" t="s">
        <v>188</v>
      </c>
      <c r="G425" s="12" t="s">
        <v>1946</v>
      </c>
      <c r="H425" s="12" t="s">
        <v>36</v>
      </c>
      <c r="I425" s="12" t="s">
        <v>26</v>
      </c>
      <c r="J425" s="13" t="s">
        <v>1947</v>
      </c>
      <c r="K425" s="14" t="s">
        <v>1969</v>
      </c>
      <c r="L425" s="15">
        <v>0</v>
      </c>
      <c r="M425" s="15" t="s">
        <v>144</v>
      </c>
      <c r="N425" s="16">
        <v>44041</v>
      </c>
      <c r="O425" s="12" t="s">
        <v>1970</v>
      </c>
      <c r="P425" s="14" t="s">
        <v>1971</v>
      </c>
      <c r="Q425" s="17" t="s">
        <v>137</v>
      </c>
      <c r="R425" s="17" t="s">
        <v>146</v>
      </c>
    </row>
    <row r="426" spans="1:18" x14ac:dyDescent="0.3">
      <c r="A426" s="12" t="s">
        <v>1972</v>
      </c>
      <c r="B426" s="12" t="s">
        <v>12</v>
      </c>
      <c r="C426" s="12"/>
      <c r="D426" s="12" t="s">
        <v>12</v>
      </c>
      <c r="E426" s="12" t="s">
        <v>1973</v>
      </c>
      <c r="F426" s="12"/>
      <c r="G426" s="12" t="s">
        <v>1974</v>
      </c>
      <c r="H426" s="12" t="s">
        <v>66</v>
      </c>
      <c r="I426" s="12" t="s">
        <v>26</v>
      </c>
      <c r="J426" s="13" t="s">
        <v>1975</v>
      </c>
      <c r="K426" s="14" t="s">
        <v>1976</v>
      </c>
      <c r="L426" s="15">
        <v>7</v>
      </c>
      <c r="M426" s="15" t="s">
        <v>144</v>
      </c>
      <c r="N426" s="16">
        <v>45583</v>
      </c>
      <c r="O426" s="12" t="s">
        <v>1977</v>
      </c>
      <c r="P426" s="14" t="s">
        <v>1978</v>
      </c>
      <c r="Q426" s="17" t="s">
        <v>137</v>
      </c>
      <c r="R426" s="17" t="s">
        <v>146</v>
      </c>
    </row>
    <row r="427" spans="1:18" x14ac:dyDescent="0.3">
      <c r="A427" s="12" t="s">
        <v>205</v>
      </c>
      <c r="B427" s="12" t="s">
        <v>20</v>
      </c>
      <c r="C427" s="12"/>
      <c r="D427" s="12" t="s">
        <v>193</v>
      </c>
      <c r="E427" s="12" t="s">
        <v>1979</v>
      </c>
      <c r="F427" s="12" t="s">
        <v>520</v>
      </c>
      <c r="G427" s="12" t="s">
        <v>1974</v>
      </c>
      <c r="H427" s="12" t="s">
        <v>66</v>
      </c>
      <c r="I427" s="12" t="s">
        <v>26</v>
      </c>
      <c r="J427" s="13" t="s">
        <v>1975</v>
      </c>
      <c r="K427" s="14" t="s">
        <v>1980</v>
      </c>
      <c r="L427" s="15">
        <v>1</v>
      </c>
      <c r="M427" s="15" t="s">
        <v>144</v>
      </c>
      <c r="N427" s="16">
        <v>41849</v>
      </c>
      <c r="O427" s="12" t="s">
        <v>209</v>
      </c>
      <c r="P427" s="14" t="s">
        <v>1981</v>
      </c>
      <c r="Q427" s="17" t="s">
        <v>137</v>
      </c>
      <c r="R427" s="17" t="s">
        <v>146</v>
      </c>
    </row>
    <row r="428" spans="1:18" x14ac:dyDescent="0.3">
      <c r="A428" s="12" t="s">
        <v>1982</v>
      </c>
      <c r="B428" s="12" t="s">
        <v>10</v>
      </c>
      <c r="C428" s="12"/>
      <c r="D428" s="12" t="s">
        <v>252</v>
      </c>
      <c r="E428" s="12" t="s">
        <v>1983</v>
      </c>
      <c r="F428" s="12"/>
      <c r="G428" s="12" t="s">
        <v>1974</v>
      </c>
      <c r="H428" s="12" t="s">
        <v>66</v>
      </c>
      <c r="I428" s="12" t="s">
        <v>26</v>
      </c>
      <c r="J428" s="13" t="s">
        <v>1975</v>
      </c>
      <c r="K428" s="14" t="s">
        <v>1984</v>
      </c>
      <c r="L428" s="15">
        <v>1</v>
      </c>
      <c r="M428" s="15" t="s">
        <v>144</v>
      </c>
      <c r="N428" s="16">
        <v>45980</v>
      </c>
      <c r="O428" s="12" t="s">
        <v>1982</v>
      </c>
      <c r="P428" s="14" t="s">
        <v>1985</v>
      </c>
      <c r="Q428" s="17" t="s">
        <v>137</v>
      </c>
      <c r="R428" s="17" t="s">
        <v>146</v>
      </c>
    </row>
    <row r="429" spans="1:18" x14ac:dyDescent="0.3">
      <c r="A429" s="12" t="s">
        <v>1986</v>
      </c>
      <c r="B429" s="12" t="s">
        <v>12</v>
      </c>
      <c r="C429" s="12"/>
      <c r="D429" s="12" t="s">
        <v>12</v>
      </c>
      <c r="E429" s="12" t="s">
        <v>1987</v>
      </c>
      <c r="F429" s="12" t="s">
        <v>1988</v>
      </c>
      <c r="G429" s="12" t="s">
        <v>66</v>
      </c>
      <c r="H429" s="12" t="s">
        <v>66</v>
      </c>
      <c r="I429" s="12" t="s">
        <v>26</v>
      </c>
      <c r="J429" s="13" t="s">
        <v>1989</v>
      </c>
      <c r="K429" s="14" t="s">
        <v>1990</v>
      </c>
      <c r="L429" s="15">
        <v>2</v>
      </c>
      <c r="M429" s="15" t="s">
        <v>144</v>
      </c>
      <c r="N429" s="16">
        <v>46244</v>
      </c>
      <c r="O429" s="12" t="s">
        <v>1986</v>
      </c>
      <c r="P429" s="14" t="s">
        <v>1991</v>
      </c>
      <c r="Q429" s="17" t="s">
        <v>137</v>
      </c>
      <c r="R429" s="17" t="s">
        <v>146</v>
      </c>
    </row>
    <row r="430" spans="1:18" x14ac:dyDescent="0.3">
      <c r="A430" s="12" t="s">
        <v>1992</v>
      </c>
      <c r="B430" s="12" t="s">
        <v>20</v>
      </c>
      <c r="C430" s="12"/>
      <c r="D430" s="12" t="s">
        <v>193</v>
      </c>
      <c r="E430" s="12" t="s">
        <v>1993</v>
      </c>
      <c r="F430" s="12"/>
      <c r="G430" s="12" t="s">
        <v>1994</v>
      </c>
      <c r="H430" s="12" t="s">
        <v>37</v>
      </c>
      <c r="I430" s="12" t="s">
        <v>26</v>
      </c>
      <c r="J430" s="13" t="s">
        <v>1995</v>
      </c>
      <c r="K430" s="14" t="s">
        <v>1996</v>
      </c>
      <c r="L430" s="15">
        <v>0</v>
      </c>
      <c r="M430" s="15" t="s">
        <v>144</v>
      </c>
      <c r="N430" s="16">
        <v>45748</v>
      </c>
      <c r="O430" s="12" t="s">
        <v>1997</v>
      </c>
      <c r="P430" s="14" t="s">
        <v>1998</v>
      </c>
      <c r="Q430" s="17" t="s">
        <v>137</v>
      </c>
      <c r="R430" s="17" t="s">
        <v>146</v>
      </c>
    </row>
    <row r="431" spans="1:18" x14ac:dyDescent="0.3">
      <c r="A431" s="12" t="s">
        <v>1999</v>
      </c>
      <c r="B431" s="12" t="s">
        <v>12</v>
      </c>
      <c r="C431" s="12"/>
      <c r="D431" s="12" t="s">
        <v>12</v>
      </c>
      <c r="E431" s="12" t="s">
        <v>2000</v>
      </c>
      <c r="F431" s="12" t="s">
        <v>595</v>
      </c>
      <c r="G431" s="12" t="s">
        <v>1994</v>
      </c>
      <c r="H431" s="12" t="s">
        <v>37</v>
      </c>
      <c r="I431" s="12" t="s">
        <v>26</v>
      </c>
      <c r="J431" s="13" t="s">
        <v>2001</v>
      </c>
      <c r="K431" s="14" t="s">
        <v>2002</v>
      </c>
      <c r="L431" s="15">
        <v>1</v>
      </c>
      <c r="M431" s="15" t="s">
        <v>144</v>
      </c>
      <c r="N431" s="16">
        <v>46007</v>
      </c>
      <c r="O431" s="12" t="s">
        <v>1999</v>
      </c>
      <c r="P431" s="14" t="s">
        <v>2003</v>
      </c>
      <c r="Q431" s="17" t="s">
        <v>137</v>
      </c>
      <c r="R431" s="17" t="s">
        <v>146</v>
      </c>
    </row>
    <row r="432" spans="1:18" x14ac:dyDescent="0.3">
      <c r="A432" s="12" t="s">
        <v>2004</v>
      </c>
      <c r="B432" s="12" t="s">
        <v>12</v>
      </c>
      <c r="C432" s="12"/>
      <c r="D432" s="12" t="s">
        <v>12</v>
      </c>
      <c r="E432" s="12" t="s">
        <v>2005</v>
      </c>
      <c r="F432" s="12" t="s">
        <v>195</v>
      </c>
      <c r="G432" s="12" t="s">
        <v>2006</v>
      </c>
      <c r="H432" s="12" t="s">
        <v>37</v>
      </c>
      <c r="I432" s="12" t="s">
        <v>26</v>
      </c>
      <c r="J432" s="13" t="s">
        <v>2007</v>
      </c>
      <c r="K432" s="14" t="s">
        <v>2008</v>
      </c>
      <c r="L432" s="15">
        <v>2</v>
      </c>
      <c r="M432" s="15" t="s">
        <v>144</v>
      </c>
      <c r="N432" s="16">
        <v>45379</v>
      </c>
      <c r="O432" s="12" t="s">
        <v>2004</v>
      </c>
      <c r="P432" s="14" t="s">
        <v>2009</v>
      </c>
      <c r="Q432" s="17" t="s">
        <v>137</v>
      </c>
      <c r="R432" s="17" t="s">
        <v>146</v>
      </c>
    </row>
    <row r="433" spans="1:18" x14ac:dyDescent="0.3">
      <c r="A433" s="12" t="s">
        <v>2010</v>
      </c>
      <c r="B433" s="12" t="s">
        <v>12</v>
      </c>
      <c r="C433" s="12"/>
      <c r="D433" s="12" t="s">
        <v>12</v>
      </c>
      <c r="E433" s="12" t="s">
        <v>2011</v>
      </c>
      <c r="F433" s="12" t="s">
        <v>2012</v>
      </c>
      <c r="G433" s="12" t="s">
        <v>2006</v>
      </c>
      <c r="H433" s="12" t="s">
        <v>37</v>
      </c>
      <c r="I433" s="12" t="s">
        <v>26</v>
      </c>
      <c r="J433" s="13" t="s">
        <v>2007</v>
      </c>
      <c r="K433" s="14" t="s">
        <v>2013</v>
      </c>
      <c r="L433" s="15">
        <v>4</v>
      </c>
      <c r="M433" s="15" t="s">
        <v>144</v>
      </c>
      <c r="N433" s="16">
        <v>45998</v>
      </c>
      <c r="O433" s="12" t="s">
        <v>2010</v>
      </c>
      <c r="P433" s="14" t="s">
        <v>2014</v>
      </c>
      <c r="Q433" s="17" t="s">
        <v>137</v>
      </c>
      <c r="R433" s="17" t="s">
        <v>146</v>
      </c>
    </row>
    <row r="434" spans="1:18" x14ac:dyDescent="0.3">
      <c r="A434" s="12" t="s">
        <v>508</v>
      </c>
      <c r="B434" s="12" t="s">
        <v>10</v>
      </c>
      <c r="C434" s="12"/>
      <c r="D434" s="12" t="s">
        <v>1561</v>
      </c>
      <c r="E434" s="12" t="s">
        <v>2015</v>
      </c>
      <c r="F434" s="12" t="s">
        <v>447</v>
      </c>
      <c r="G434" s="12" t="s">
        <v>2006</v>
      </c>
      <c r="H434" s="12" t="s">
        <v>37</v>
      </c>
      <c r="I434" s="12" t="s">
        <v>26</v>
      </c>
      <c r="J434" s="13" t="s">
        <v>2007</v>
      </c>
      <c r="K434" s="14" t="s">
        <v>2016</v>
      </c>
      <c r="L434" s="15">
        <v>11</v>
      </c>
      <c r="M434" s="15" t="s">
        <v>144</v>
      </c>
      <c r="N434" s="16">
        <v>45701</v>
      </c>
      <c r="O434" s="12" t="s">
        <v>508</v>
      </c>
      <c r="P434" s="14" t="s">
        <v>2017</v>
      </c>
      <c r="Q434" s="17" t="s">
        <v>137</v>
      </c>
      <c r="R434" s="17" t="s">
        <v>146</v>
      </c>
    </row>
    <row r="435" spans="1:18" x14ac:dyDescent="0.3">
      <c r="A435" s="12" t="s">
        <v>2018</v>
      </c>
      <c r="B435" s="12" t="s">
        <v>12</v>
      </c>
      <c r="C435" s="12"/>
      <c r="D435" s="12" t="s">
        <v>12</v>
      </c>
      <c r="E435" s="12" t="s">
        <v>2019</v>
      </c>
      <c r="F435" s="12" t="s">
        <v>2020</v>
      </c>
      <c r="G435" s="12" t="s">
        <v>2006</v>
      </c>
      <c r="H435" s="12" t="s">
        <v>37</v>
      </c>
      <c r="I435" s="12" t="s">
        <v>26</v>
      </c>
      <c r="J435" s="13" t="s">
        <v>2007</v>
      </c>
      <c r="K435" s="14" t="s">
        <v>2021</v>
      </c>
      <c r="L435" s="15">
        <v>0</v>
      </c>
      <c r="M435" s="15" t="s">
        <v>144</v>
      </c>
      <c r="N435" s="16">
        <v>46262</v>
      </c>
      <c r="O435" s="12" t="s">
        <v>2018</v>
      </c>
      <c r="P435" s="14" t="s">
        <v>2022</v>
      </c>
      <c r="Q435" s="17" t="s">
        <v>137</v>
      </c>
      <c r="R435" s="17" t="s">
        <v>146</v>
      </c>
    </row>
    <row r="436" spans="1:18" x14ac:dyDescent="0.3">
      <c r="A436" s="12" t="s">
        <v>2023</v>
      </c>
      <c r="B436" s="12" t="s">
        <v>16</v>
      </c>
      <c r="C436" s="12"/>
      <c r="D436" s="12" t="s">
        <v>471</v>
      </c>
      <c r="E436" s="12" t="s">
        <v>2024</v>
      </c>
      <c r="F436" s="12" t="s">
        <v>359</v>
      </c>
      <c r="G436" s="12" t="s">
        <v>2006</v>
      </c>
      <c r="H436" s="12" t="s">
        <v>37</v>
      </c>
      <c r="I436" s="12" t="s">
        <v>26</v>
      </c>
      <c r="J436" s="13" t="s">
        <v>2007</v>
      </c>
      <c r="K436" s="14" t="s">
        <v>2025</v>
      </c>
      <c r="L436" s="15">
        <v>0</v>
      </c>
      <c r="M436" s="15" t="s">
        <v>144</v>
      </c>
      <c r="N436" s="16">
        <v>44594</v>
      </c>
      <c r="O436" s="12" t="s">
        <v>2023</v>
      </c>
      <c r="P436" s="14" t="s">
        <v>2026</v>
      </c>
      <c r="Q436" s="17" t="s">
        <v>137</v>
      </c>
      <c r="R436" s="17" t="s">
        <v>146</v>
      </c>
    </row>
    <row r="437" spans="1:18" x14ac:dyDescent="0.3">
      <c r="A437" s="12" t="s">
        <v>2027</v>
      </c>
      <c r="B437" s="12" t="s">
        <v>10</v>
      </c>
      <c r="C437" s="12" t="s">
        <v>180</v>
      </c>
      <c r="D437" s="12" t="s">
        <v>283</v>
      </c>
      <c r="E437" s="12" t="s">
        <v>2028</v>
      </c>
      <c r="F437" s="12" t="s">
        <v>547</v>
      </c>
      <c r="G437" s="12" t="s">
        <v>2006</v>
      </c>
      <c r="H437" s="12" t="s">
        <v>37</v>
      </c>
      <c r="I437" s="12" t="s">
        <v>26</v>
      </c>
      <c r="J437" s="13" t="s">
        <v>2007</v>
      </c>
      <c r="K437" s="14" t="s">
        <v>2029</v>
      </c>
      <c r="L437" s="15">
        <v>0</v>
      </c>
      <c r="M437" s="15" t="s">
        <v>144</v>
      </c>
      <c r="N437" s="16">
        <v>45911</v>
      </c>
      <c r="O437" s="12" t="s">
        <v>2027</v>
      </c>
      <c r="P437" s="14" t="s">
        <v>2030</v>
      </c>
      <c r="Q437" s="17" t="s">
        <v>137</v>
      </c>
      <c r="R437" s="17" t="s">
        <v>146</v>
      </c>
    </row>
    <row r="438" spans="1:18" x14ac:dyDescent="0.3">
      <c r="A438" s="12" t="s">
        <v>2031</v>
      </c>
      <c r="B438" s="12" t="s">
        <v>12</v>
      </c>
      <c r="C438" s="12"/>
      <c r="D438" s="12" t="s">
        <v>12</v>
      </c>
      <c r="E438" s="12" t="s">
        <v>2032</v>
      </c>
      <c r="F438" s="12"/>
      <c r="G438" s="12" t="s">
        <v>2006</v>
      </c>
      <c r="H438" s="12" t="s">
        <v>37</v>
      </c>
      <c r="I438" s="12" t="s">
        <v>26</v>
      </c>
      <c r="J438" s="13" t="s">
        <v>2007</v>
      </c>
      <c r="K438" s="14" t="s">
        <v>2033</v>
      </c>
      <c r="L438" s="15">
        <v>3</v>
      </c>
      <c r="M438" s="15" t="s">
        <v>144</v>
      </c>
      <c r="N438" s="16">
        <v>44945</v>
      </c>
      <c r="O438" s="12" t="s">
        <v>2031</v>
      </c>
      <c r="P438" s="14" t="s">
        <v>2034</v>
      </c>
      <c r="Q438" s="17" t="s">
        <v>137</v>
      </c>
      <c r="R438" s="17" t="s">
        <v>146</v>
      </c>
    </row>
    <row r="439" spans="1:18" x14ac:dyDescent="0.3">
      <c r="A439" s="12" t="s">
        <v>2035</v>
      </c>
      <c r="B439" s="12" t="s">
        <v>20</v>
      </c>
      <c r="C439" s="12"/>
      <c r="D439" s="12" t="s">
        <v>193</v>
      </c>
      <c r="E439" s="12" t="s">
        <v>2036</v>
      </c>
      <c r="F439" s="12" t="s">
        <v>871</v>
      </c>
      <c r="G439" s="12" t="s">
        <v>2006</v>
      </c>
      <c r="H439" s="12" t="s">
        <v>37</v>
      </c>
      <c r="I439" s="12" t="s">
        <v>26</v>
      </c>
      <c r="J439" s="13" t="s">
        <v>2007</v>
      </c>
      <c r="K439" s="14" t="s">
        <v>2037</v>
      </c>
      <c r="L439" s="15">
        <v>0</v>
      </c>
      <c r="M439" s="15" t="s">
        <v>144</v>
      </c>
      <c r="N439" s="16">
        <v>44065</v>
      </c>
      <c r="O439" s="12" t="s">
        <v>2035</v>
      </c>
      <c r="P439" s="14" t="s">
        <v>2038</v>
      </c>
      <c r="Q439" s="17" t="s">
        <v>137</v>
      </c>
      <c r="R439" s="17" t="s">
        <v>146</v>
      </c>
    </row>
    <row r="440" spans="1:18" x14ac:dyDescent="0.3">
      <c r="A440" s="12" t="s">
        <v>439</v>
      </c>
      <c r="B440" s="12" t="s">
        <v>10</v>
      </c>
      <c r="C440" s="12"/>
      <c r="D440" s="12" t="s">
        <v>440</v>
      </c>
      <c r="E440" s="12" t="s">
        <v>2039</v>
      </c>
      <c r="F440" s="12" t="s">
        <v>188</v>
      </c>
      <c r="G440" s="12" t="s">
        <v>2006</v>
      </c>
      <c r="H440" s="12" t="s">
        <v>37</v>
      </c>
      <c r="I440" s="12" t="s">
        <v>26</v>
      </c>
      <c r="J440" s="13" t="s">
        <v>2007</v>
      </c>
      <c r="K440" s="14" t="s">
        <v>442</v>
      </c>
      <c r="L440" s="15">
        <v>5</v>
      </c>
      <c r="M440" s="15" t="s">
        <v>144</v>
      </c>
      <c r="N440" s="16">
        <v>45020</v>
      </c>
      <c r="O440" s="12" t="s">
        <v>443</v>
      </c>
      <c r="P440" s="14" t="s">
        <v>2040</v>
      </c>
      <c r="Q440" s="17" t="s">
        <v>137</v>
      </c>
      <c r="R440" s="17" t="s">
        <v>146</v>
      </c>
    </row>
    <row r="441" spans="1:18" x14ac:dyDescent="0.3">
      <c r="A441" s="12" t="s">
        <v>779</v>
      </c>
      <c r="B441" s="12" t="s">
        <v>12</v>
      </c>
      <c r="C441" s="12"/>
      <c r="D441" s="12" t="s">
        <v>12</v>
      </c>
      <c r="E441" s="12" t="s">
        <v>2041</v>
      </c>
      <c r="F441" s="12" t="s">
        <v>2042</v>
      </c>
      <c r="G441" s="12" t="s">
        <v>2006</v>
      </c>
      <c r="H441" s="12" t="s">
        <v>37</v>
      </c>
      <c r="I441" s="12" t="s">
        <v>26</v>
      </c>
      <c r="J441" s="13" t="s">
        <v>2007</v>
      </c>
      <c r="K441" s="14" t="s">
        <v>781</v>
      </c>
      <c r="L441" s="15">
        <v>0</v>
      </c>
      <c r="M441" s="15" t="s">
        <v>144</v>
      </c>
      <c r="N441" s="16">
        <v>46053</v>
      </c>
      <c r="O441" s="12" t="s">
        <v>779</v>
      </c>
      <c r="P441" s="14" t="s">
        <v>782</v>
      </c>
      <c r="Q441" s="17" t="s">
        <v>137</v>
      </c>
      <c r="R441" s="17" t="s">
        <v>146</v>
      </c>
    </row>
    <row r="442" spans="1:18" x14ac:dyDescent="0.3">
      <c r="A442" s="12" t="s">
        <v>2043</v>
      </c>
      <c r="B442" s="12" t="s">
        <v>14</v>
      </c>
      <c r="C442" s="12"/>
      <c r="D442" s="12" t="s">
        <v>14</v>
      </c>
      <c r="E442" s="12" t="s">
        <v>2044</v>
      </c>
      <c r="F442" s="12" t="s">
        <v>366</v>
      </c>
      <c r="G442" s="12" t="s">
        <v>367</v>
      </c>
      <c r="H442" s="12" t="s">
        <v>37</v>
      </c>
      <c r="I442" s="12" t="s">
        <v>26</v>
      </c>
      <c r="J442" s="13" t="s">
        <v>2045</v>
      </c>
      <c r="K442" s="14" t="s">
        <v>2046</v>
      </c>
      <c r="L442" s="15">
        <v>3</v>
      </c>
      <c r="M442" s="15" t="s">
        <v>144</v>
      </c>
      <c r="N442" s="16">
        <v>44942</v>
      </c>
      <c r="O442" s="12" t="s">
        <v>508</v>
      </c>
      <c r="P442" s="14" t="s">
        <v>2047</v>
      </c>
      <c r="Q442" s="17" t="s">
        <v>137</v>
      </c>
      <c r="R442" s="17" t="s">
        <v>146</v>
      </c>
    </row>
    <row r="443" spans="1:18" x14ac:dyDescent="0.3">
      <c r="A443" s="12" t="s">
        <v>205</v>
      </c>
      <c r="B443" s="12" t="s">
        <v>20</v>
      </c>
      <c r="C443" s="12"/>
      <c r="D443" s="12" t="s">
        <v>193</v>
      </c>
      <c r="E443" s="12" t="s">
        <v>2048</v>
      </c>
      <c r="F443" s="12" t="s">
        <v>2049</v>
      </c>
      <c r="G443" s="12" t="s">
        <v>2050</v>
      </c>
      <c r="H443" s="12" t="s">
        <v>37</v>
      </c>
      <c r="I443" s="12" t="s">
        <v>26</v>
      </c>
      <c r="J443" s="13" t="s">
        <v>2045</v>
      </c>
      <c r="K443" s="14" t="s">
        <v>2051</v>
      </c>
      <c r="L443" s="15">
        <v>0</v>
      </c>
      <c r="M443" s="15" t="s">
        <v>144</v>
      </c>
      <c r="N443" s="16">
        <v>41849</v>
      </c>
      <c r="O443" s="12" t="s">
        <v>209</v>
      </c>
      <c r="P443" s="14" t="s">
        <v>2052</v>
      </c>
      <c r="Q443" s="17" t="s">
        <v>137</v>
      </c>
      <c r="R443" s="17" t="s">
        <v>146</v>
      </c>
    </row>
    <row r="444" spans="1:18" x14ac:dyDescent="0.3">
      <c r="A444" s="12" t="s">
        <v>2053</v>
      </c>
      <c r="B444" s="12" t="s">
        <v>20</v>
      </c>
      <c r="C444" s="12"/>
      <c r="D444" s="12" t="s">
        <v>193</v>
      </c>
      <c r="E444" s="12" t="s">
        <v>2054</v>
      </c>
      <c r="F444" s="12" t="s">
        <v>557</v>
      </c>
      <c r="G444" s="12" t="s">
        <v>2055</v>
      </c>
      <c r="H444" s="12" t="s">
        <v>37</v>
      </c>
      <c r="I444" s="12" t="s">
        <v>26</v>
      </c>
      <c r="J444" s="13" t="s">
        <v>2056</v>
      </c>
      <c r="K444" s="14" t="s">
        <v>2057</v>
      </c>
      <c r="L444" s="15">
        <v>2</v>
      </c>
      <c r="M444" s="15" t="s">
        <v>144</v>
      </c>
      <c r="N444" s="16">
        <v>43628</v>
      </c>
      <c r="O444" s="12" t="s">
        <v>2058</v>
      </c>
      <c r="P444" s="14" t="s">
        <v>2059</v>
      </c>
      <c r="Q444" s="17" t="s">
        <v>137</v>
      </c>
      <c r="R444" s="17" t="s">
        <v>146</v>
      </c>
    </row>
    <row r="445" spans="1:18" x14ac:dyDescent="0.3">
      <c r="A445" s="12" t="s">
        <v>2060</v>
      </c>
      <c r="B445" s="12" t="s">
        <v>10</v>
      </c>
      <c r="C445" s="12"/>
      <c r="D445" s="12" t="s">
        <v>880</v>
      </c>
      <c r="E445" s="12" t="s">
        <v>2061</v>
      </c>
      <c r="F445" s="12" t="s">
        <v>188</v>
      </c>
      <c r="G445" s="12" t="s">
        <v>2062</v>
      </c>
      <c r="H445" s="12" t="s">
        <v>37</v>
      </c>
      <c r="I445" s="12" t="s">
        <v>26</v>
      </c>
      <c r="J445" s="13" t="s">
        <v>2007</v>
      </c>
      <c r="K445" s="14" t="s">
        <v>883</v>
      </c>
      <c r="L445" s="15">
        <v>0</v>
      </c>
      <c r="M445" s="15" t="s">
        <v>144</v>
      </c>
      <c r="N445" s="16">
        <v>45944</v>
      </c>
      <c r="O445" s="12" t="s">
        <v>884</v>
      </c>
      <c r="P445" s="14" t="s">
        <v>2063</v>
      </c>
      <c r="Q445" s="17" t="s">
        <v>137</v>
      </c>
      <c r="R445" s="17" t="s">
        <v>146</v>
      </c>
    </row>
    <row r="446" spans="1:18" x14ac:dyDescent="0.3">
      <c r="A446" s="12" t="s">
        <v>2064</v>
      </c>
      <c r="B446" s="12" t="s">
        <v>14</v>
      </c>
      <c r="C446" s="12"/>
      <c r="D446" s="12" t="s">
        <v>14</v>
      </c>
      <c r="E446" s="12" t="s">
        <v>2061</v>
      </c>
      <c r="F446" s="12" t="s">
        <v>516</v>
      </c>
      <c r="G446" s="12" t="s">
        <v>2062</v>
      </c>
      <c r="H446" s="12" t="s">
        <v>37</v>
      </c>
      <c r="I446" s="12" t="s">
        <v>26</v>
      </c>
      <c r="J446" s="13" t="s">
        <v>2007</v>
      </c>
      <c r="K446" s="14" t="s">
        <v>2065</v>
      </c>
      <c r="L446" s="15">
        <v>1</v>
      </c>
      <c r="M446" s="15" t="s">
        <v>144</v>
      </c>
      <c r="N446" s="16">
        <v>45918</v>
      </c>
      <c r="O446" s="12" t="s">
        <v>2064</v>
      </c>
      <c r="P446" s="14" t="s">
        <v>2066</v>
      </c>
      <c r="Q446" s="17" t="s">
        <v>137</v>
      </c>
      <c r="R446" s="17" t="s">
        <v>146</v>
      </c>
    </row>
    <row r="447" spans="1:18" x14ac:dyDescent="0.3">
      <c r="A447" s="12" t="s">
        <v>2067</v>
      </c>
      <c r="B447" s="12" t="s">
        <v>12</v>
      </c>
      <c r="C447" s="12"/>
      <c r="D447" s="12" t="s">
        <v>12</v>
      </c>
      <c r="E447" s="12" t="s">
        <v>2068</v>
      </c>
      <c r="F447" s="12" t="s">
        <v>843</v>
      </c>
      <c r="G447" s="12" t="s">
        <v>2069</v>
      </c>
      <c r="H447" s="12" t="s">
        <v>37</v>
      </c>
      <c r="I447" s="12" t="s">
        <v>26</v>
      </c>
      <c r="J447" s="13" t="s">
        <v>2070</v>
      </c>
      <c r="K447" s="14" t="s">
        <v>2071</v>
      </c>
      <c r="L447" s="15">
        <v>0</v>
      </c>
      <c r="M447" s="15" t="s">
        <v>144</v>
      </c>
      <c r="N447" s="16">
        <v>46128</v>
      </c>
      <c r="O447" s="12" t="s">
        <v>2067</v>
      </c>
      <c r="P447" s="14" t="s">
        <v>2072</v>
      </c>
      <c r="Q447" s="17" t="s">
        <v>137</v>
      </c>
      <c r="R447" s="17" t="s">
        <v>146</v>
      </c>
    </row>
    <row r="448" spans="1:18" x14ac:dyDescent="0.3">
      <c r="A448" s="12" t="s">
        <v>2073</v>
      </c>
      <c r="B448" s="12" t="s">
        <v>10</v>
      </c>
      <c r="C448" s="12"/>
      <c r="D448" s="12" t="s">
        <v>1561</v>
      </c>
      <c r="E448" s="12" t="s">
        <v>2074</v>
      </c>
      <c r="F448" s="12" t="s">
        <v>188</v>
      </c>
      <c r="G448" s="12" t="s">
        <v>2069</v>
      </c>
      <c r="H448" s="12" t="s">
        <v>37</v>
      </c>
      <c r="I448" s="12" t="s">
        <v>26</v>
      </c>
      <c r="J448" s="13" t="s">
        <v>2070</v>
      </c>
      <c r="K448" s="14" t="s">
        <v>2075</v>
      </c>
      <c r="L448" s="15">
        <v>15</v>
      </c>
      <c r="M448" s="15" t="s">
        <v>144</v>
      </c>
      <c r="N448" s="16">
        <v>46118</v>
      </c>
      <c r="O448" s="12" t="s">
        <v>2073</v>
      </c>
      <c r="P448" s="14" t="s">
        <v>2076</v>
      </c>
      <c r="Q448" s="17" t="s">
        <v>137</v>
      </c>
      <c r="R448" s="17" t="s">
        <v>146</v>
      </c>
    </row>
    <row r="449" spans="1:18" x14ac:dyDescent="0.3">
      <c r="A449" s="12" t="s">
        <v>2077</v>
      </c>
      <c r="B449" s="12" t="s">
        <v>10</v>
      </c>
      <c r="C449" s="12"/>
      <c r="D449" s="12" t="s">
        <v>440</v>
      </c>
      <c r="E449" s="12" t="s">
        <v>2078</v>
      </c>
      <c r="F449" s="12" t="s">
        <v>1446</v>
      </c>
      <c r="G449" s="12" t="s">
        <v>2069</v>
      </c>
      <c r="H449" s="12" t="s">
        <v>37</v>
      </c>
      <c r="I449" s="12" t="s">
        <v>26</v>
      </c>
      <c r="J449" s="13" t="s">
        <v>2070</v>
      </c>
      <c r="K449" s="14" t="s">
        <v>2079</v>
      </c>
      <c r="L449" s="15">
        <v>1</v>
      </c>
      <c r="M449" s="15" t="s">
        <v>144</v>
      </c>
      <c r="N449" s="16">
        <v>45447</v>
      </c>
      <c r="O449" s="12" t="s">
        <v>2077</v>
      </c>
      <c r="P449" s="14" t="s">
        <v>2080</v>
      </c>
      <c r="Q449" s="17" t="s">
        <v>137</v>
      </c>
      <c r="R449" s="17" t="s">
        <v>146</v>
      </c>
    </row>
    <row r="450" spans="1:18" x14ac:dyDescent="0.3">
      <c r="A450" s="12" t="s">
        <v>199</v>
      </c>
      <c r="B450" s="12" t="s">
        <v>14</v>
      </c>
      <c r="C450" s="12"/>
      <c r="D450" s="12" t="s">
        <v>14</v>
      </c>
      <c r="E450" s="12" t="s">
        <v>2081</v>
      </c>
      <c r="F450" s="12"/>
      <c r="G450" s="12" t="s">
        <v>2069</v>
      </c>
      <c r="H450" s="12" t="s">
        <v>37</v>
      </c>
      <c r="I450" s="12" t="s">
        <v>26</v>
      </c>
      <c r="J450" s="13" t="s">
        <v>2070</v>
      </c>
      <c r="K450" s="14" t="s">
        <v>2082</v>
      </c>
      <c r="L450" s="15">
        <v>8</v>
      </c>
      <c r="M450" s="15" t="s">
        <v>144</v>
      </c>
      <c r="N450" s="16">
        <v>45951</v>
      </c>
      <c r="O450" s="12" t="s">
        <v>331</v>
      </c>
      <c r="P450" s="14" t="s">
        <v>1049</v>
      </c>
      <c r="Q450" s="17" t="s">
        <v>137</v>
      </c>
      <c r="R450" s="17" t="s">
        <v>146</v>
      </c>
    </row>
    <row r="451" spans="1:18" x14ac:dyDescent="0.3">
      <c r="A451" s="12" t="s">
        <v>2083</v>
      </c>
      <c r="B451" s="12" t="s">
        <v>12</v>
      </c>
      <c r="C451" s="12"/>
      <c r="D451" s="12" t="s">
        <v>12</v>
      </c>
      <c r="E451" s="12" t="s">
        <v>2084</v>
      </c>
      <c r="F451" s="12" t="s">
        <v>744</v>
      </c>
      <c r="G451" s="12" t="s">
        <v>2069</v>
      </c>
      <c r="H451" s="12" t="s">
        <v>37</v>
      </c>
      <c r="I451" s="12" t="s">
        <v>26</v>
      </c>
      <c r="J451" s="13" t="s">
        <v>2070</v>
      </c>
      <c r="K451" s="14" t="s">
        <v>2085</v>
      </c>
      <c r="L451" s="15">
        <v>0</v>
      </c>
      <c r="M451" s="15" t="s">
        <v>144</v>
      </c>
      <c r="N451" s="16">
        <v>45883</v>
      </c>
      <c r="O451" s="12" t="s">
        <v>2086</v>
      </c>
      <c r="P451" s="14" t="s">
        <v>2087</v>
      </c>
      <c r="Q451" s="17" t="s">
        <v>137</v>
      </c>
      <c r="R451" s="17" t="s">
        <v>146</v>
      </c>
    </row>
    <row r="452" spans="1:18" x14ac:dyDescent="0.3">
      <c r="A452" s="12" t="s">
        <v>2088</v>
      </c>
      <c r="B452" s="12" t="s">
        <v>20</v>
      </c>
      <c r="C452" s="12"/>
      <c r="D452" s="12" t="s">
        <v>193</v>
      </c>
      <c r="E452" s="12" t="s">
        <v>2089</v>
      </c>
      <c r="F452" s="12" t="s">
        <v>447</v>
      </c>
      <c r="G452" s="12" t="s">
        <v>2069</v>
      </c>
      <c r="H452" s="12" t="s">
        <v>37</v>
      </c>
      <c r="I452" s="12" t="s">
        <v>26</v>
      </c>
      <c r="J452" s="13" t="s">
        <v>2070</v>
      </c>
      <c r="K452" s="14" t="s">
        <v>2090</v>
      </c>
      <c r="L452" s="15">
        <v>0</v>
      </c>
      <c r="M452" s="15" t="s">
        <v>144</v>
      </c>
      <c r="N452" s="16">
        <v>44132</v>
      </c>
      <c r="O452" s="12" t="s">
        <v>299</v>
      </c>
      <c r="P452" s="14" t="s">
        <v>2091</v>
      </c>
      <c r="Q452" s="17" t="s">
        <v>137</v>
      </c>
      <c r="R452" s="17" t="s">
        <v>146</v>
      </c>
    </row>
    <row r="453" spans="1:18" x14ac:dyDescent="0.3">
      <c r="A453" s="12" t="s">
        <v>222</v>
      </c>
      <c r="B453" s="12" t="s">
        <v>18</v>
      </c>
      <c r="C453" s="12"/>
      <c r="D453" s="12" t="s">
        <v>2092</v>
      </c>
      <c r="E453" s="12" t="s">
        <v>2081</v>
      </c>
      <c r="F453" s="12" t="s">
        <v>447</v>
      </c>
      <c r="G453" s="12" t="s">
        <v>2069</v>
      </c>
      <c r="H453" s="12" t="s">
        <v>37</v>
      </c>
      <c r="I453" s="12" t="s">
        <v>26</v>
      </c>
      <c r="J453" s="13" t="s">
        <v>2070</v>
      </c>
      <c r="K453" s="14" t="s">
        <v>226</v>
      </c>
      <c r="L453" s="15">
        <v>1</v>
      </c>
      <c r="M453" s="15" t="s">
        <v>144</v>
      </c>
      <c r="N453" s="16">
        <v>46245</v>
      </c>
      <c r="O453" s="12" t="s">
        <v>227</v>
      </c>
      <c r="P453" s="14" t="s">
        <v>228</v>
      </c>
      <c r="Q453" s="17" t="s">
        <v>137</v>
      </c>
      <c r="R453" s="17" t="s">
        <v>146</v>
      </c>
    </row>
    <row r="454" spans="1:18" x14ac:dyDescent="0.3">
      <c r="A454" s="12" t="s">
        <v>562</v>
      </c>
      <c r="B454" s="12" t="s">
        <v>20</v>
      </c>
      <c r="C454" s="12"/>
      <c r="D454" s="12" t="s">
        <v>193</v>
      </c>
      <c r="E454" s="12" t="s">
        <v>2093</v>
      </c>
      <c r="F454" s="12"/>
      <c r="G454" s="12" t="s">
        <v>2069</v>
      </c>
      <c r="H454" s="12" t="s">
        <v>37</v>
      </c>
      <c r="I454" s="12" t="s">
        <v>26</v>
      </c>
      <c r="J454" s="13" t="s">
        <v>2070</v>
      </c>
      <c r="K454" s="14" t="s">
        <v>2094</v>
      </c>
      <c r="L454" s="15">
        <v>0</v>
      </c>
      <c r="M454" s="15" t="s">
        <v>144</v>
      </c>
      <c r="N454" s="16">
        <v>44065</v>
      </c>
      <c r="O454" s="12" t="s">
        <v>2095</v>
      </c>
      <c r="P454" s="14" t="s">
        <v>2096</v>
      </c>
      <c r="Q454" s="17" t="s">
        <v>137</v>
      </c>
      <c r="R454" s="17" t="s">
        <v>146</v>
      </c>
    </row>
    <row r="455" spans="1:18" x14ac:dyDescent="0.3">
      <c r="A455" s="12" t="s">
        <v>2097</v>
      </c>
      <c r="B455" s="12" t="s">
        <v>10</v>
      </c>
      <c r="C455" s="12"/>
      <c r="D455" s="12" t="s">
        <v>880</v>
      </c>
      <c r="E455" s="12" t="s">
        <v>2098</v>
      </c>
      <c r="F455" s="12"/>
      <c r="G455" s="12" t="s">
        <v>2099</v>
      </c>
      <c r="H455" s="12" t="s">
        <v>37</v>
      </c>
      <c r="I455" s="12" t="s">
        <v>26</v>
      </c>
      <c r="J455" s="13" t="s">
        <v>2001</v>
      </c>
      <c r="K455" s="14" t="s">
        <v>883</v>
      </c>
      <c r="L455" s="15">
        <v>0</v>
      </c>
      <c r="M455" s="15" t="s">
        <v>144</v>
      </c>
      <c r="N455" s="16">
        <v>45944</v>
      </c>
      <c r="O455" s="12" t="s">
        <v>884</v>
      </c>
      <c r="P455" s="14" t="s">
        <v>2100</v>
      </c>
      <c r="Q455" s="17" t="s">
        <v>137</v>
      </c>
      <c r="R455" s="17" t="s">
        <v>146</v>
      </c>
    </row>
    <row r="456" spans="1:18" x14ac:dyDescent="0.3">
      <c r="A456" s="12" t="s">
        <v>998</v>
      </c>
      <c r="B456" s="12" t="s">
        <v>10</v>
      </c>
      <c r="C456" s="12"/>
      <c r="D456" s="12" t="s">
        <v>216</v>
      </c>
      <c r="E456" s="12" t="s">
        <v>2101</v>
      </c>
      <c r="F456" s="12" t="s">
        <v>447</v>
      </c>
      <c r="G456" s="12" t="s">
        <v>876</v>
      </c>
      <c r="H456" s="12" t="s">
        <v>37</v>
      </c>
      <c r="I456" s="12" t="s">
        <v>26</v>
      </c>
      <c r="J456" s="13" t="s">
        <v>2102</v>
      </c>
      <c r="K456" s="14" t="s">
        <v>2103</v>
      </c>
      <c r="L456" s="15">
        <v>1</v>
      </c>
      <c r="M456" s="15" t="s">
        <v>220</v>
      </c>
      <c r="N456" s="16">
        <v>46042</v>
      </c>
      <c r="O456" s="12" t="s">
        <v>236</v>
      </c>
      <c r="P456" s="14" t="s">
        <v>1003</v>
      </c>
      <c r="Q456" s="17" t="s">
        <v>137</v>
      </c>
      <c r="R456" s="17" t="s">
        <v>146</v>
      </c>
    </row>
    <row r="457" spans="1:18" x14ac:dyDescent="0.3">
      <c r="A457" s="12" t="s">
        <v>998</v>
      </c>
      <c r="B457" s="12" t="s">
        <v>10</v>
      </c>
      <c r="C457" s="12"/>
      <c r="D457" s="12" t="s">
        <v>216</v>
      </c>
      <c r="E457" s="12" t="s">
        <v>2104</v>
      </c>
      <c r="F457" s="12" t="s">
        <v>583</v>
      </c>
      <c r="G457" s="12" t="s">
        <v>876</v>
      </c>
      <c r="H457" s="12" t="s">
        <v>37</v>
      </c>
      <c r="I457" s="12" t="s">
        <v>26</v>
      </c>
      <c r="J457" s="13" t="s">
        <v>2102</v>
      </c>
      <c r="K457" s="14" t="s">
        <v>1002</v>
      </c>
      <c r="L457" s="15">
        <v>0</v>
      </c>
      <c r="M457" s="15" t="s">
        <v>220</v>
      </c>
      <c r="N457" s="16">
        <v>46042</v>
      </c>
      <c r="O457" s="12" t="s">
        <v>236</v>
      </c>
      <c r="P457" s="14" t="s">
        <v>1003</v>
      </c>
      <c r="Q457" s="17" t="s">
        <v>137</v>
      </c>
      <c r="R457" s="17" t="s">
        <v>146</v>
      </c>
    </row>
    <row r="458" spans="1:18" x14ac:dyDescent="0.3">
      <c r="A458" s="12" t="s">
        <v>998</v>
      </c>
      <c r="B458" s="12" t="s">
        <v>10</v>
      </c>
      <c r="C458" s="12"/>
      <c r="D458" s="12" t="s">
        <v>216</v>
      </c>
      <c r="E458" s="12" t="s">
        <v>2105</v>
      </c>
      <c r="F458" s="12" t="s">
        <v>218</v>
      </c>
      <c r="G458" s="12" t="s">
        <v>876</v>
      </c>
      <c r="H458" s="12" t="s">
        <v>37</v>
      </c>
      <c r="I458" s="12" t="s">
        <v>26</v>
      </c>
      <c r="J458" s="13" t="s">
        <v>2102</v>
      </c>
      <c r="K458" s="14" t="s">
        <v>2106</v>
      </c>
      <c r="L458" s="15">
        <v>2</v>
      </c>
      <c r="M458" s="15" t="s">
        <v>220</v>
      </c>
      <c r="N458" s="16">
        <v>46042</v>
      </c>
      <c r="O458" s="12" t="s">
        <v>236</v>
      </c>
      <c r="P458" s="14" t="s">
        <v>1003</v>
      </c>
      <c r="Q458" s="17" t="s">
        <v>137</v>
      </c>
      <c r="R458" s="17" t="s">
        <v>146</v>
      </c>
    </row>
    <row r="459" spans="1:18" x14ac:dyDescent="0.3">
      <c r="A459" s="12" t="s">
        <v>2107</v>
      </c>
      <c r="B459" s="12" t="s">
        <v>12</v>
      </c>
      <c r="C459" s="12" t="s">
        <v>14</v>
      </c>
      <c r="D459" s="12" t="s">
        <v>180</v>
      </c>
      <c r="E459" s="12" t="s">
        <v>2108</v>
      </c>
      <c r="F459" s="12" t="s">
        <v>188</v>
      </c>
      <c r="G459" s="12" t="s">
        <v>876</v>
      </c>
      <c r="H459" s="12" t="s">
        <v>37</v>
      </c>
      <c r="I459" s="12" t="s">
        <v>26</v>
      </c>
      <c r="J459" s="13" t="s">
        <v>2109</v>
      </c>
      <c r="K459" s="14" t="s">
        <v>1225</v>
      </c>
      <c r="L459" s="15">
        <v>13</v>
      </c>
      <c r="M459" s="15" t="s">
        <v>144</v>
      </c>
      <c r="N459" s="16">
        <v>45665</v>
      </c>
      <c r="O459" s="12" t="s">
        <v>2107</v>
      </c>
      <c r="P459" s="14" t="s">
        <v>2110</v>
      </c>
      <c r="Q459" s="17" t="s">
        <v>137</v>
      </c>
      <c r="R459" s="17" t="s">
        <v>146</v>
      </c>
    </row>
    <row r="460" spans="1:18" x14ac:dyDescent="0.3">
      <c r="A460" s="12" t="s">
        <v>2111</v>
      </c>
      <c r="B460" s="12" t="s">
        <v>12</v>
      </c>
      <c r="C460" s="12"/>
      <c r="D460" s="12" t="s">
        <v>12</v>
      </c>
      <c r="E460" s="12" t="s">
        <v>2112</v>
      </c>
      <c r="F460" s="12"/>
      <c r="G460" s="12" t="s">
        <v>876</v>
      </c>
      <c r="H460" s="12" t="s">
        <v>37</v>
      </c>
      <c r="I460" s="12" t="s">
        <v>26</v>
      </c>
      <c r="J460" s="13" t="s">
        <v>2102</v>
      </c>
      <c r="K460" s="14" t="s">
        <v>2113</v>
      </c>
      <c r="L460" s="15">
        <v>1</v>
      </c>
      <c r="M460" s="15" t="s">
        <v>144</v>
      </c>
      <c r="N460" s="16">
        <v>44999</v>
      </c>
      <c r="O460" s="12" t="s">
        <v>2114</v>
      </c>
      <c r="P460" s="14" t="s">
        <v>2115</v>
      </c>
      <c r="Q460" s="17" t="s">
        <v>137</v>
      </c>
      <c r="R460" s="17" t="s">
        <v>146</v>
      </c>
    </row>
    <row r="461" spans="1:18" x14ac:dyDescent="0.3">
      <c r="A461" s="12" t="s">
        <v>2116</v>
      </c>
      <c r="B461" s="12" t="s">
        <v>14</v>
      </c>
      <c r="C461" s="12"/>
      <c r="D461" s="12" t="s">
        <v>14</v>
      </c>
      <c r="E461" s="12" t="s">
        <v>2117</v>
      </c>
      <c r="F461" s="12"/>
      <c r="G461" s="12" t="s">
        <v>876</v>
      </c>
      <c r="H461" s="12" t="s">
        <v>37</v>
      </c>
      <c r="I461" s="12" t="s">
        <v>26</v>
      </c>
      <c r="J461" s="13" t="s">
        <v>2118</v>
      </c>
      <c r="K461" s="14" t="s">
        <v>2119</v>
      </c>
      <c r="L461" s="15">
        <v>0</v>
      </c>
      <c r="M461" s="15" t="s">
        <v>144</v>
      </c>
      <c r="N461" s="16">
        <v>46279</v>
      </c>
      <c r="O461" s="12" t="s">
        <v>2116</v>
      </c>
      <c r="P461" s="14" t="s">
        <v>2120</v>
      </c>
      <c r="Q461" s="17" t="s">
        <v>137</v>
      </c>
      <c r="R461" s="17" t="s">
        <v>146</v>
      </c>
    </row>
    <row r="462" spans="1:18" x14ac:dyDescent="0.3">
      <c r="A462" s="12" t="s">
        <v>2121</v>
      </c>
      <c r="B462" s="12" t="s">
        <v>12</v>
      </c>
      <c r="C462" s="12"/>
      <c r="D462" s="12" t="s">
        <v>12</v>
      </c>
      <c r="E462" s="12" t="s">
        <v>2122</v>
      </c>
      <c r="F462" s="12" t="s">
        <v>843</v>
      </c>
      <c r="G462" s="12" t="s">
        <v>876</v>
      </c>
      <c r="H462" s="12" t="s">
        <v>37</v>
      </c>
      <c r="I462" s="12" t="s">
        <v>26</v>
      </c>
      <c r="J462" s="13" t="s">
        <v>2123</v>
      </c>
      <c r="K462" s="14" t="s">
        <v>2124</v>
      </c>
      <c r="L462" s="15">
        <v>1</v>
      </c>
      <c r="M462" s="15" t="s">
        <v>144</v>
      </c>
      <c r="N462" s="16">
        <v>44932</v>
      </c>
      <c r="O462" s="12" t="s">
        <v>2121</v>
      </c>
      <c r="P462" s="14" t="s">
        <v>2125</v>
      </c>
      <c r="Q462" s="17" t="s">
        <v>137</v>
      </c>
      <c r="R462" s="17" t="s">
        <v>146</v>
      </c>
    </row>
    <row r="463" spans="1:18" x14ac:dyDescent="0.3">
      <c r="A463" s="12" t="s">
        <v>2126</v>
      </c>
      <c r="B463" s="12" t="s">
        <v>12</v>
      </c>
      <c r="C463" s="12"/>
      <c r="D463" s="12" t="s">
        <v>12</v>
      </c>
      <c r="E463" s="12" t="s">
        <v>2127</v>
      </c>
      <c r="F463" s="12" t="s">
        <v>2128</v>
      </c>
      <c r="G463" s="12" t="s">
        <v>876</v>
      </c>
      <c r="H463" s="12" t="s">
        <v>37</v>
      </c>
      <c r="I463" s="12" t="s">
        <v>26</v>
      </c>
      <c r="J463" s="13" t="s">
        <v>2102</v>
      </c>
      <c r="K463" s="14" t="s">
        <v>2129</v>
      </c>
      <c r="L463" s="15">
        <v>2</v>
      </c>
      <c r="M463" s="15" t="s">
        <v>144</v>
      </c>
      <c r="N463" s="16">
        <v>44578</v>
      </c>
      <c r="O463" s="12" t="s">
        <v>2130</v>
      </c>
      <c r="P463" s="14" t="s">
        <v>2131</v>
      </c>
      <c r="Q463" s="17" t="s">
        <v>137</v>
      </c>
      <c r="R463" s="17" t="s">
        <v>146</v>
      </c>
    </row>
    <row r="464" spans="1:18" x14ac:dyDescent="0.3">
      <c r="A464" s="12" t="s">
        <v>2132</v>
      </c>
      <c r="B464" s="12" t="s">
        <v>12</v>
      </c>
      <c r="C464" s="12"/>
      <c r="D464" s="12" t="s">
        <v>12</v>
      </c>
      <c r="E464" s="12" t="s">
        <v>2127</v>
      </c>
      <c r="F464" s="12" t="s">
        <v>510</v>
      </c>
      <c r="G464" s="12" t="s">
        <v>876</v>
      </c>
      <c r="H464" s="12" t="s">
        <v>37</v>
      </c>
      <c r="I464" s="12" t="s">
        <v>26</v>
      </c>
      <c r="J464" s="13" t="s">
        <v>2102</v>
      </c>
      <c r="K464" s="14" t="s">
        <v>2133</v>
      </c>
      <c r="L464" s="15">
        <v>2</v>
      </c>
      <c r="M464" s="15" t="s">
        <v>144</v>
      </c>
      <c r="N464" s="16">
        <v>46226</v>
      </c>
      <c r="O464" s="12" t="s">
        <v>2132</v>
      </c>
      <c r="P464" s="14" t="s">
        <v>2134</v>
      </c>
      <c r="Q464" s="17" t="s">
        <v>137</v>
      </c>
      <c r="R464" s="17" t="s">
        <v>146</v>
      </c>
    </row>
    <row r="465" spans="1:18" x14ac:dyDescent="0.3">
      <c r="A465" s="12" t="s">
        <v>186</v>
      </c>
      <c r="B465" s="12" t="s">
        <v>14</v>
      </c>
      <c r="C465" s="12"/>
      <c r="D465" s="12" t="s">
        <v>14</v>
      </c>
      <c r="E465" s="12" t="s">
        <v>2135</v>
      </c>
      <c r="F465" s="12"/>
      <c r="G465" s="12" t="s">
        <v>876</v>
      </c>
      <c r="H465" s="12" t="s">
        <v>37</v>
      </c>
      <c r="I465" s="12" t="s">
        <v>26</v>
      </c>
      <c r="J465" s="13" t="s">
        <v>2118</v>
      </c>
      <c r="K465" s="14" t="s">
        <v>2136</v>
      </c>
      <c r="L465" s="15">
        <v>10</v>
      </c>
      <c r="M465" s="15" t="s">
        <v>144</v>
      </c>
      <c r="N465" s="16">
        <v>46211</v>
      </c>
      <c r="O465" s="12" t="s">
        <v>190</v>
      </c>
      <c r="P465" s="14" t="s">
        <v>2137</v>
      </c>
      <c r="Q465" s="17" t="s">
        <v>137</v>
      </c>
      <c r="R465" s="17" t="s">
        <v>146</v>
      </c>
    </row>
    <row r="466" spans="1:18" x14ac:dyDescent="0.3">
      <c r="A466" s="12" t="s">
        <v>1486</v>
      </c>
      <c r="B466" s="12" t="s">
        <v>10</v>
      </c>
      <c r="C466" s="12"/>
      <c r="D466" s="12" t="s">
        <v>252</v>
      </c>
      <c r="E466" s="12" t="s">
        <v>2138</v>
      </c>
      <c r="F466" s="12" t="s">
        <v>366</v>
      </c>
      <c r="G466" s="12" t="s">
        <v>876</v>
      </c>
      <c r="H466" s="12" t="s">
        <v>37</v>
      </c>
      <c r="I466" s="12" t="s">
        <v>26</v>
      </c>
      <c r="J466" s="13" t="s">
        <v>2102</v>
      </c>
      <c r="K466" s="14" t="s">
        <v>2139</v>
      </c>
      <c r="L466" s="15">
        <v>8</v>
      </c>
      <c r="M466" s="15" t="s">
        <v>220</v>
      </c>
      <c r="N466" s="16">
        <v>45714</v>
      </c>
      <c r="O466" s="12" t="s">
        <v>236</v>
      </c>
      <c r="P466" s="14" t="s">
        <v>2140</v>
      </c>
      <c r="Q466" s="17" t="s">
        <v>137</v>
      </c>
      <c r="R466" s="17" t="s">
        <v>146</v>
      </c>
    </row>
    <row r="467" spans="1:18" x14ac:dyDescent="0.3">
      <c r="A467" s="12" t="s">
        <v>2141</v>
      </c>
      <c r="B467" s="12" t="s">
        <v>16</v>
      </c>
      <c r="C467" s="12"/>
      <c r="D467" s="12" t="s">
        <v>2142</v>
      </c>
      <c r="E467" s="12" t="s">
        <v>2143</v>
      </c>
      <c r="F467" s="12" t="s">
        <v>467</v>
      </c>
      <c r="G467" s="12" t="s">
        <v>876</v>
      </c>
      <c r="H467" s="12" t="s">
        <v>37</v>
      </c>
      <c r="I467" s="12" t="s">
        <v>26</v>
      </c>
      <c r="J467" s="13" t="s">
        <v>2144</v>
      </c>
      <c r="K467" s="14" t="s">
        <v>2145</v>
      </c>
      <c r="L467" s="15">
        <v>0</v>
      </c>
      <c r="M467" s="15" t="s">
        <v>144</v>
      </c>
      <c r="N467" s="16">
        <v>46251</v>
      </c>
      <c r="O467" s="12" t="s">
        <v>2141</v>
      </c>
      <c r="P467" s="14" t="s">
        <v>2146</v>
      </c>
      <c r="Q467" s="17" t="s">
        <v>137</v>
      </c>
      <c r="R467" s="17" t="s">
        <v>146</v>
      </c>
    </row>
    <row r="468" spans="1:18" x14ac:dyDescent="0.3">
      <c r="A468" s="12" t="s">
        <v>2147</v>
      </c>
      <c r="B468" s="12" t="s">
        <v>14</v>
      </c>
      <c r="C468" s="12"/>
      <c r="D468" s="12" t="s">
        <v>14</v>
      </c>
      <c r="E468" s="12" t="s">
        <v>2148</v>
      </c>
      <c r="F468" s="12"/>
      <c r="G468" s="12" t="s">
        <v>876</v>
      </c>
      <c r="H468" s="12" t="s">
        <v>37</v>
      </c>
      <c r="I468" s="12" t="s">
        <v>26</v>
      </c>
      <c r="J468" s="13" t="s">
        <v>2149</v>
      </c>
      <c r="K468" s="14" t="s">
        <v>2150</v>
      </c>
      <c r="L468" s="15">
        <v>1</v>
      </c>
      <c r="M468" s="15" t="s">
        <v>144</v>
      </c>
      <c r="N468" s="16">
        <v>46122</v>
      </c>
      <c r="O468" s="12" t="s">
        <v>2147</v>
      </c>
      <c r="P468" s="14" t="s">
        <v>2151</v>
      </c>
      <c r="Q468" s="17" t="s">
        <v>137</v>
      </c>
      <c r="R468" s="17" t="s">
        <v>146</v>
      </c>
    </row>
    <row r="469" spans="1:18" x14ac:dyDescent="0.3">
      <c r="A469" s="12" t="s">
        <v>2152</v>
      </c>
      <c r="B469" s="12" t="s">
        <v>10</v>
      </c>
      <c r="C469" s="12"/>
      <c r="D469" s="12" t="s">
        <v>880</v>
      </c>
      <c r="E469" s="12" t="s">
        <v>2153</v>
      </c>
      <c r="F469" s="12"/>
      <c r="G469" s="12" t="s">
        <v>876</v>
      </c>
      <c r="H469" s="12" t="s">
        <v>37</v>
      </c>
      <c r="I469" s="12" t="s">
        <v>26</v>
      </c>
      <c r="J469" s="13" t="s">
        <v>2070</v>
      </c>
      <c r="K469" s="14" t="s">
        <v>883</v>
      </c>
      <c r="L469" s="15">
        <v>0</v>
      </c>
      <c r="M469" s="15" t="s">
        <v>144</v>
      </c>
      <c r="N469" s="16">
        <v>45944</v>
      </c>
      <c r="O469" s="12" t="s">
        <v>884</v>
      </c>
      <c r="P469" s="14" t="s">
        <v>2154</v>
      </c>
      <c r="Q469" s="17" t="s">
        <v>137</v>
      </c>
      <c r="R469" s="17" t="s">
        <v>146</v>
      </c>
    </row>
    <row r="470" spans="1:18" x14ac:dyDescent="0.3">
      <c r="A470" s="12" t="s">
        <v>2155</v>
      </c>
      <c r="B470" s="12" t="s">
        <v>10</v>
      </c>
      <c r="C470" s="12"/>
      <c r="D470" s="12" t="s">
        <v>880</v>
      </c>
      <c r="E470" s="12" t="s">
        <v>2156</v>
      </c>
      <c r="F470" s="12"/>
      <c r="G470" s="12" t="s">
        <v>876</v>
      </c>
      <c r="H470" s="12" t="s">
        <v>37</v>
      </c>
      <c r="I470" s="12" t="s">
        <v>26</v>
      </c>
      <c r="J470" s="13" t="s">
        <v>2157</v>
      </c>
      <c r="K470" s="14" t="s">
        <v>883</v>
      </c>
      <c r="L470" s="15">
        <v>0</v>
      </c>
      <c r="M470" s="15" t="s">
        <v>144</v>
      </c>
      <c r="N470" s="16">
        <v>45944</v>
      </c>
      <c r="O470" s="12" t="s">
        <v>884</v>
      </c>
      <c r="P470" s="14" t="s">
        <v>2158</v>
      </c>
      <c r="Q470" s="17" t="s">
        <v>137</v>
      </c>
      <c r="R470" s="17" t="s">
        <v>146</v>
      </c>
    </row>
    <row r="471" spans="1:18" x14ac:dyDescent="0.3">
      <c r="A471" s="12" t="s">
        <v>2159</v>
      </c>
      <c r="B471" s="12" t="s">
        <v>10</v>
      </c>
      <c r="C471" s="12"/>
      <c r="D471" s="12" t="s">
        <v>880</v>
      </c>
      <c r="E471" s="12" t="s">
        <v>2160</v>
      </c>
      <c r="F471" s="12"/>
      <c r="G471" s="12" t="s">
        <v>876</v>
      </c>
      <c r="H471" s="12" t="s">
        <v>37</v>
      </c>
      <c r="I471" s="12" t="s">
        <v>26</v>
      </c>
      <c r="J471" s="13" t="s">
        <v>2118</v>
      </c>
      <c r="K471" s="14" t="s">
        <v>2161</v>
      </c>
      <c r="L471" s="15">
        <v>0</v>
      </c>
      <c r="M471" s="15" t="s">
        <v>144</v>
      </c>
      <c r="N471" s="16">
        <v>45944</v>
      </c>
      <c r="O471" s="12" t="s">
        <v>884</v>
      </c>
      <c r="P471" s="14" t="s">
        <v>2162</v>
      </c>
      <c r="Q471" s="17" t="s">
        <v>137</v>
      </c>
      <c r="R471" s="17" t="s">
        <v>146</v>
      </c>
    </row>
    <row r="472" spans="1:18" x14ac:dyDescent="0.3">
      <c r="A472" s="12" t="s">
        <v>2163</v>
      </c>
      <c r="B472" s="12" t="s">
        <v>12</v>
      </c>
      <c r="C472" s="12"/>
      <c r="D472" s="12" t="s">
        <v>12</v>
      </c>
      <c r="E472" s="12" t="s">
        <v>2164</v>
      </c>
      <c r="F472" s="12"/>
      <c r="G472" s="12" t="s">
        <v>876</v>
      </c>
      <c r="H472" s="12" t="s">
        <v>37</v>
      </c>
      <c r="I472" s="12" t="s">
        <v>26</v>
      </c>
      <c r="J472" s="13" t="s">
        <v>2001</v>
      </c>
      <c r="K472" s="14" t="s">
        <v>2165</v>
      </c>
      <c r="L472" s="15">
        <v>1</v>
      </c>
      <c r="M472" s="15" t="s">
        <v>144</v>
      </c>
      <c r="N472" s="16">
        <v>45258</v>
      </c>
      <c r="O472" s="12" t="s">
        <v>2163</v>
      </c>
      <c r="P472" s="14" t="s">
        <v>2166</v>
      </c>
      <c r="Q472" s="17" t="s">
        <v>137</v>
      </c>
      <c r="R472" s="17" t="s">
        <v>146</v>
      </c>
    </row>
    <row r="473" spans="1:18" x14ac:dyDescent="0.3">
      <c r="A473" s="12" t="s">
        <v>884</v>
      </c>
      <c r="B473" s="12" t="s">
        <v>10</v>
      </c>
      <c r="C473" s="12"/>
      <c r="D473" s="12" t="s">
        <v>880</v>
      </c>
      <c r="E473" s="12" t="s">
        <v>2167</v>
      </c>
      <c r="F473" s="12" t="s">
        <v>2168</v>
      </c>
      <c r="G473" s="12" t="s">
        <v>876</v>
      </c>
      <c r="H473" s="12" t="s">
        <v>37</v>
      </c>
      <c r="I473" s="12" t="s">
        <v>26</v>
      </c>
      <c r="J473" s="13" t="s">
        <v>2123</v>
      </c>
      <c r="K473" s="14" t="s">
        <v>2169</v>
      </c>
      <c r="L473" s="15">
        <v>0</v>
      </c>
      <c r="M473" s="15" t="s">
        <v>144</v>
      </c>
      <c r="N473" s="16">
        <v>45944</v>
      </c>
      <c r="O473" s="12" t="s">
        <v>884</v>
      </c>
      <c r="P473" s="14" t="s">
        <v>2170</v>
      </c>
      <c r="Q473" s="17" t="s">
        <v>137</v>
      </c>
      <c r="R473" s="17" t="s">
        <v>146</v>
      </c>
    </row>
    <row r="474" spans="1:18" x14ac:dyDescent="0.3">
      <c r="A474" s="12" t="s">
        <v>2171</v>
      </c>
      <c r="B474" s="12" t="s">
        <v>20</v>
      </c>
      <c r="C474" s="12"/>
      <c r="D474" s="12" t="s">
        <v>193</v>
      </c>
      <c r="E474" s="12" t="s">
        <v>2172</v>
      </c>
      <c r="F474" s="12"/>
      <c r="G474" s="12" t="s">
        <v>876</v>
      </c>
      <c r="H474" s="12" t="s">
        <v>37</v>
      </c>
      <c r="I474" s="12" t="s">
        <v>26</v>
      </c>
      <c r="J474" s="13" t="s">
        <v>2109</v>
      </c>
      <c r="K474" s="14" t="s">
        <v>2173</v>
      </c>
      <c r="L474" s="15">
        <v>5</v>
      </c>
      <c r="M474" s="15" t="s">
        <v>144</v>
      </c>
      <c r="N474" s="16">
        <v>46248</v>
      </c>
      <c r="O474" s="12" t="s">
        <v>160</v>
      </c>
      <c r="P474" s="14" t="s">
        <v>2174</v>
      </c>
      <c r="Q474" s="17" t="s">
        <v>137</v>
      </c>
      <c r="R474" s="17" t="s">
        <v>146</v>
      </c>
    </row>
    <row r="475" spans="1:18" x14ac:dyDescent="0.3">
      <c r="A475" s="12" t="s">
        <v>2175</v>
      </c>
      <c r="B475" s="12" t="s">
        <v>18</v>
      </c>
      <c r="C475" s="12" t="s">
        <v>20</v>
      </c>
      <c r="D475" s="12" t="s">
        <v>2176</v>
      </c>
      <c r="E475" s="12" t="s">
        <v>2177</v>
      </c>
      <c r="F475" s="12"/>
      <c r="G475" s="12" t="s">
        <v>876</v>
      </c>
      <c r="H475" s="12" t="s">
        <v>37</v>
      </c>
      <c r="I475" s="12" t="s">
        <v>26</v>
      </c>
      <c r="J475" s="13" t="s">
        <v>2178</v>
      </c>
      <c r="K475" s="14" t="s">
        <v>2179</v>
      </c>
      <c r="L475" s="15">
        <v>0</v>
      </c>
      <c r="M475" s="15" t="s">
        <v>144</v>
      </c>
      <c r="N475" s="16">
        <v>46248</v>
      </c>
      <c r="O475" s="12" t="s">
        <v>160</v>
      </c>
      <c r="P475" s="14" t="s">
        <v>2180</v>
      </c>
      <c r="Q475" s="17" t="s">
        <v>137</v>
      </c>
      <c r="R475" s="17" t="s">
        <v>146</v>
      </c>
    </row>
    <row r="476" spans="1:18" x14ac:dyDescent="0.3">
      <c r="A476" s="12" t="s">
        <v>2181</v>
      </c>
      <c r="B476" s="12" t="s">
        <v>12</v>
      </c>
      <c r="C476" s="12"/>
      <c r="D476" s="12" t="s">
        <v>12</v>
      </c>
      <c r="E476" s="12" t="s">
        <v>2182</v>
      </c>
      <c r="F476" s="12" t="s">
        <v>2183</v>
      </c>
      <c r="G476" s="12" t="s">
        <v>876</v>
      </c>
      <c r="H476" s="12" t="s">
        <v>37</v>
      </c>
      <c r="I476" s="12" t="s">
        <v>26</v>
      </c>
      <c r="J476" s="13" t="s">
        <v>2184</v>
      </c>
      <c r="K476" s="14" t="s">
        <v>2185</v>
      </c>
      <c r="L476" s="15">
        <v>2</v>
      </c>
      <c r="M476" s="15" t="s">
        <v>144</v>
      </c>
      <c r="N476" s="16">
        <v>45911</v>
      </c>
      <c r="O476" s="12" t="s">
        <v>2186</v>
      </c>
      <c r="P476" s="14" t="s">
        <v>2187</v>
      </c>
      <c r="Q476" s="17" t="s">
        <v>137</v>
      </c>
      <c r="R476" s="17" t="s">
        <v>146</v>
      </c>
    </row>
    <row r="477" spans="1:18" x14ac:dyDescent="0.3">
      <c r="A477" s="12" t="s">
        <v>2188</v>
      </c>
      <c r="B477" s="12" t="s">
        <v>10</v>
      </c>
      <c r="C477" s="12" t="s">
        <v>14</v>
      </c>
      <c r="D477" s="12" t="s">
        <v>945</v>
      </c>
      <c r="E477" s="12" t="s">
        <v>2189</v>
      </c>
      <c r="F477" s="12" t="s">
        <v>195</v>
      </c>
      <c r="G477" s="12" t="s">
        <v>876</v>
      </c>
      <c r="H477" s="12" t="s">
        <v>37</v>
      </c>
      <c r="I477" s="12" t="s">
        <v>26</v>
      </c>
      <c r="J477" s="13" t="s">
        <v>2118</v>
      </c>
      <c r="K477" s="14" t="s">
        <v>2190</v>
      </c>
      <c r="L477" s="15">
        <v>9</v>
      </c>
      <c r="M477" s="15" t="s">
        <v>144</v>
      </c>
      <c r="N477" s="16">
        <v>44925</v>
      </c>
      <c r="O477" s="12" t="s">
        <v>2191</v>
      </c>
      <c r="P477" s="14" t="s">
        <v>2192</v>
      </c>
      <c r="Q477" s="17" t="s">
        <v>137</v>
      </c>
      <c r="R477" s="17" t="s">
        <v>146</v>
      </c>
    </row>
    <row r="478" spans="1:18" x14ac:dyDescent="0.3">
      <c r="A478" s="12" t="s">
        <v>593</v>
      </c>
      <c r="B478" s="12" t="s">
        <v>12</v>
      </c>
      <c r="C478" s="12" t="s">
        <v>14</v>
      </c>
      <c r="D478" s="12" t="s">
        <v>180</v>
      </c>
      <c r="E478" s="12" t="s">
        <v>2193</v>
      </c>
      <c r="F478" s="12" t="s">
        <v>2194</v>
      </c>
      <c r="G478" s="12" t="s">
        <v>876</v>
      </c>
      <c r="H478" s="12" t="s">
        <v>37</v>
      </c>
      <c r="I478" s="12" t="s">
        <v>26</v>
      </c>
      <c r="J478" s="13" t="s">
        <v>2195</v>
      </c>
      <c r="K478" s="14" t="s">
        <v>2196</v>
      </c>
      <c r="L478" s="15">
        <v>8</v>
      </c>
      <c r="M478" s="15" t="s">
        <v>144</v>
      </c>
      <c r="N478" s="16">
        <v>46161</v>
      </c>
      <c r="O478" s="12" t="s">
        <v>593</v>
      </c>
      <c r="P478" s="14" t="s">
        <v>598</v>
      </c>
      <c r="Q478" s="17" t="s">
        <v>137</v>
      </c>
      <c r="R478" s="17" t="s">
        <v>146</v>
      </c>
    </row>
    <row r="479" spans="1:18" x14ac:dyDescent="0.3">
      <c r="A479" s="12" t="s">
        <v>602</v>
      </c>
      <c r="B479" s="12" t="s">
        <v>14</v>
      </c>
      <c r="C479" s="12" t="s">
        <v>12</v>
      </c>
      <c r="D479" s="12" t="s">
        <v>180</v>
      </c>
      <c r="E479" s="12" t="s">
        <v>2193</v>
      </c>
      <c r="F479" s="12" t="s">
        <v>2194</v>
      </c>
      <c r="G479" s="12" t="s">
        <v>876</v>
      </c>
      <c r="H479" s="12" t="s">
        <v>37</v>
      </c>
      <c r="I479" s="12" t="s">
        <v>26</v>
      </c>
      <c r="J479" s="13" t="s">
        <v>2195</v>
      </c>
      <c r="K479" s="14" t="s">
        <v>597</v>
      </c>
      <c r="L479" s="15">
        <v>8</v>
      </c>
      <c r="M479" s="15" t="s">
        <v>144</v>
      </c>
      <c r="N479" s="16">
        <v>46148</v>
      </c>
      <c r="O479" s="12" t="s">
        <v>602</v>
      </c>
      <c r="P479" s="14" t="s">
        <v>603</v>
      </c>
      <c r="Q479" s="17" t="s">
        <v>137</v>
      </c>
      <c r="R479" s="17" t="s">
        <v>146</v>
      </c>
    </row>
    <row r="480" spans="1:18" x14ac:dyDescent="0.3">
      <c r="A480" s="12" t="s">
        <v>2197</v>
      </c>
      <c r="B480" s="12" t="s">
        <v>12</v>
      </c>
      <c r="C480" s="12"/>
      <c r="D480" s="12" t="s">
        <v>12</v>
      </c>
      <c r="E480" s="12" t="s">
        <v>2198</v>
      </c>
      <c r="F480" s="12"/>
      <c r="G480" s="12" t="s">
        <v>876</v>
      </c>
      <c r="H480" s="12" t="s">
        <v>37</v>
      </c>
      <c r="I480" s="12" t="s">
        <v>26</v>
      </c>
      <c r="J480" s="13" t="s">
        <v>2070</v>
      </c>
      <c r="K480" s="14" t="s">
        <v>2199</v>
      </c>
      <c r="L480" s="15">
        <v>2</v>
      </c>
      <c r="M480" s="15" t="s">
        <v>144</v>
      </c>
      <c r="N480" s="16">
        <v>45343</v>
      </c>
      <c r="O480" s="12" t="s">
        <v>2197</v>
      </c>
      <c r="P480" s="14" t="s">
        <v>2200</v>
      </c>
      <c r="Q480" s="17" t="s">
        <v>137</v>
      </c>
      <c r="R480" s="17" t="s">
        <v>146</v>
      </c>
    </row>
    <row r="481" spans="1:18" x14ac:dyDescent="0.3">
      <c r="A481" s="12" t="s">
        <v>2201</v>
      </c>
      <c r="B481" s="12" t="s">
        <v>10</v>
      </c>
      <c r="C481" s="12"/>
      <c r="D481" s="12" t="s">
        <v>230</v>
      </c>
      <c r="E481" s="12" t="s">
        <v>2105</v>
      </c>
      <c r="F481" s="12" t="s">
        <v>2202</v>
      </c>
      <c r="G481" s="12" t="s">
        <v>876</v>
      </c>
      <c r="H481" s="12" t="s">
        <v>37</v>
      </c>
      <c r="I481" s="12" t="s">
        <v>26</v>
      </c>
      <c r="J481" s="13" t="s">
        <v>2102</v>
      </c>
      <c r="K481" s="14" t="s">
        <v>2203</v>
      </c>
      <c r="L481" s="15">
        <v>2</v>
      </c>
      <c r="M481" s="15" t="s">
        <v>220</v>
      </c>
      <c r="N481" s="16">
        <v>45713</v>
      </c>
      <c r="O481" s="12" t="s">
        <v>236</v>
      </c>
      <c r="P481" s="14" t="s">
        <v>2204</v>
      </c>
      <c r="Q481" s="17" t="s">
        <v>137</v>
      </c>
      <c r="R481" s="17" t="s">
        <v>146</v>
      </c>
    </row>
    <row r="482" spans="1:18" x14ac:dyDescent="0.3">
      <c r="A482" s="12" t="s">
        <v>2205</v>
      </c>
      <c r="B482" s="12" t="s">
        <v>12</v>
      </c>
      <c r="C482" s="12"/>
      <c r="D482" s="12" t="s">
        <v>12</v>
      </c>
      <c r="E482" s="12" t="s">
        <v>2206</v>
      </c>
      <c r="F482" s="12"/>
      <c r="G482" s="12" t="s">
        <v>876</v>
      </c>
      <c r="H482" s="12" t="s">
        <v>37</v>
      </c>
      <c r="I482" s="12" t="s">
        <v>26</v>
      </c>
      <c r="J482" s="13" t="s">
        <v>2184</v>
      </c>
      <c r="K482" s="14" t="s">
        <v>2207</v>
      </c>
      <c r="L482" s="15">
        <v>2</v>
      </c>
      <c r="M482" s="15" t="s">
        <v>144</v>
      </c>
      <c r="N482" s="16">
        <v>45756</v>
      </c>
      <c r="O482" s="12" t="s">
        <v>2205</v>
      </c>
      <c r="P482" s="14" t="s">
        <v>2208</v>
      </c>
      <c r="Q482" s="17" t="s">
        <v>137</v>
      </c>
      <c r="R482" s="17" t="s">
        <v>146</v>
      </c>
    </row>
    <row r="483" spans="1:18" x14ac:dyDescent="0.3">
      <c r="A483" s="12" t="s">
        <v>2209</v>
      </c>
      <c r="B483" s="12" t="s">
        <v>18</v>
      </c>
      <c r="C483" s="12"/>
      <c r="D483" s="12" t="s">
        <v>613</v>
      </c>
      <c r="E483" s="12" t="s">
        <v>2193</v>
      </c>
      <c r="F483" s="12" t="s">
        <v>2194</v>
      </c>
      <c r="G483" s="12" t="s">
        <v>876</v>
      </c>
      <c r="H483" s="12" t="s">
        <v>37</v>
      </c>
      <c r="I483" s="12" t="s">
        <v>26</v>
      </c>
      <c r="J483" s="13" t="s">
        <v>2195</v>
      </c>
      <c r="K483" s="14" t="s">
        <v>2210</v>
      </c>
      <c r="L483" s="15">
        <v>4</v>
      </c>
      <c r="M483" s="15" t="s">
        <v>144</v>
      </c>
      <c r="N483" s="16">
        <v>41543</v>
      </c>
      <c r="O483" s="12" t="s">
        <v>2211</v>
      </c>
      <c r="P483" s="14" t="s">
        <v>2212</v>
      </c>
      <c r="Q483" s="17" t="s">
        <v>137</v>
      </c>
      <c r="R483" s="17" t="s">
        <v>146</v>
      </c>
    </row>
    <row r="484" spans="1:18" x14ac:dyDescent="0.3">
      <c r="A484" s="12" t="s">
        <v>612</v>
      </c>
      <c r="B484" s="12" t="s">
        <v>18</v>
      </c>
      <c r="C484" s="12"/>
      <c r="D484" s="12" t="s">
        <v>613</v>
      </c>
      <c r="E484" s="12" t="s">
        <v>2193</v>
      </c>
      <c r="F484" s="12" t="s">
        <v>2213</v>
      </c>
      <c r="G484" s="12" t="s">
        <v>876</v>
      </c>
      <c r="H484" s="12" t="s">
        <v>37</v>
      </c>
      <c r="I484" s="12" t="s">
        <v>26</v>
      </c>
      <c r="J484" s="13" t="s">
        <v>2195</v>
      </c>
      <c r="K484" s="14" t="s">
        <v>2214</v>
      </c>
      <c r="L484" s="15">
        <v>4</v>
      </c>
      <c r="M484" s="15" t="s">
        <v>144</v>
      </c>
      <c r="N484" s="16">
        <v>45490</v>
      </c>
      <c r="O484" s="12" t="s">
        <v>612</v>
      </c>
      <c r="P484" s="14" t="s">
        <v>2215</v>
      </c>
      <c r="Q484" s="17" t="s">
        <v>137</v>
      </c>
      <c r="R484" s="17" t="s">
        <v>146</v>
      </c>
    </row>
    <row r="485" spans="1:18" x14ac:dyDescent="0.3">
      <c r="A485" s="12" t="s">
        <v>2216</v>
      </c>
      <c r="B485" s="12" t="s">
        <v>14</v>
      </c>
      <c r="C485" s="12"/>
      <c r="D485" s="12" t="s">
        <v>14</v>
      </c>
      <c r="E485" s="12" t="s">
        <v>2217</v>
      </c>
      <c r="F485" s="12" t="s">
        <v>2218</v>
      </c>
      <c r="G485" s="12" t="s">
        <v>876</v>
      </c>
      <c r="H485" s="12" t="s">
        <v>37</v>
      </c>
      <c r="I485" s="12" t="s">
        <v>26</v>
      </c>
      <c r="J485" s="13" t="s">
        <v>2219</v>
      </c>
      <c r="K485" s="14" t="s">
        <v>2220</v>
      </c>
      <c r="L485" s="15">
        <v>7</v>
      </c>
      <c r="M485" s="15" t="s">
        <v>144</v>
      </c>
      <c r="N485" s="16">
        <v>46226</v>
      </c>
      <c r="O485" s="12" t="s">
        <v>2216</v>
      </c>
      <c r="P485" s="14" t="s">
        <v>2221</v>
      </c>
      <c r="Q485" s="17" t="s">
        <v>137</v>
      </c>
      <c r="R485" s="17" t="s">
        <v>146</v>
      </c>
    </row>
    <row r="486" spans="1:18" x14ac:dyDescent="0.3">
      <c r="A486" s="12" t="s">
        <v>2222</v>
      </c>
      <c r="B486" s="12" t="s">
        <v>12</v>
      </c>
      <c r="C486" s="12"/>
      <c r="D486" s="12" t="s">
        <v>12</v>
      </c>
      <c r="E486" s="12" t="s">
        <v>2223</v>
      </c>
      <c r="F486" s="12" t="s">
        <v>832</v>
      </c>
      <c r="G486" s="12" t="s">
        <v>876</v>
      </c>
      <c r="H486" s="12" t="s">
        <v>37</v>
      </c>
      <c r="I486" s="12" t="s">
        <v>26</v>
      </c>
      <c r="J486" s="13" t="s">
        <v>2195</v>
      </c>
      <c r="K486" s="14" t="s">
        <v>2224</v>
      </c>
      <c r="L486" s="15">
        <v>1</v>
      </c>
      <c r="M486" s="15" t="s">
        <v>144</v>
      </c>
      <c r="N486" s="16">
        <v>45951</v>
      </c>
      <c r="O486" s="12" t="s">
        <v>2222</v>
      </c>
      <c r="P486" s="14" t="s">
        <v>2225</v>
      </c>
      <c r="Q486" s="17" t="s">
        <v>137</v>
      </c>
      <c r="R486" s="17" t="s">
        <v>146</v>
      </c>
    </row>
    <row r="487" spans="1:18" x14ac:dyDescent="0.3">
      <c r="A487" s="12" t="s">
        <v>2226</v>
      </c>
      <c r="B487" s="12" t="s">
        <v>12</v>
      </c>
      <c r="C487" s="12"/>
      <c r="D487" s="12" t="s">
        <v>12</v>
      </c>
      <c r="E487" s="12" t="s">
        <v>2227</v>
      </c>
      <c r="F487" s="12"/>
      <c r="G487" s="12" t="s">
        <v>876</v>
      </c>
      <c r="H487" s="12" t="s">
        <v>37</v>
      </c>
      <c r="I487" s="12" t="s">
        <v>26</v>
      </c>
      <c r="J487" s="13" t="s">
        <v>1995</v>
      </c>
      <c r="K487" s="14" t="s">
        <v>2228</v>
      </c>
      <c r="L487" s="15">
        <v>1</v>
      </c>
      <c r="M487" s="15" t="s">
        <v>144</v>
      </c>
      <c r="N487" s="16">
        <v>45680</v>
      </c>
      <c r="O487" s="12" t="s">
        <v>2226</v>
      </c>
      <c r="P487" s="14" t="s">
        <v>2229</v>
      </c>
      <c r="Q487" s="17" t="s">
        <v>137</v>
      </c>
      <c r="R487" s="17" t="s">
        <v>146</v>
      </c>
    </row>
    <row r="488" spans="1:18" x14ac:dyDescent="0.3">
      <c r="A488" s="12" t="s">
        <v>199</v>
      </c>
      <c r="B488" s="12" t="s">
        <v>14</v>
      </c>
      <c r="C488" s="12"/>
      <c r="D488" s="12" t="s">
        <v>14</v>
      </c>
      <c r="E488" s="12" t="s">
        <v>2153</v>
      </c>
      <c r="F488" s="12"/>
      <c r="G488" s="12" t="s">
        <v>876</v>
      </c>
      <c r="H488" s="12" t="s">
        <v>37</v>
      </c>
      <c r="I488" s="12" t="s">
        <v>26</v>
      </c>
      <c r="J488" s="13" t="s">
        <v>2070</v>
      </c>
      <c r="K488" s="14" t="s">
        <v>2082</v>
      </c>
      <c r="L488" s="15">
        <v>0</v>
      </c>
      <c r="M488" s="15" t="s">
        <v>144</v>
      </c>
      <c r="N488" s="16">
        <v>45588</v>
      </c>
      <c r="O488" s="12" t="s">
        <v>203</v>
      </c>
      <c r="P488" s="14" t="s">
        <v>2230</v>
      </c>
      <c r="Q488" s="17" t="s">
        <v>137</v>
      </c>
      <c r="R488" s="17" t="s">
        <v>146</v>
      </c>
    </row>
    <row r="489" spans="1:18" x14ac:dyDescent="0.3">
      <c r="A489" s="12" t="s">
        <v>199</v>
      </c>
      <c r="B489" s="12" t="s">
        <v>14</v>
      </c>
      <c r="C489" s="12"/>
      <c r="D489" s="12" t="s">
        <v>14</v>
      </c>
      <c r="E489" s="12" t="s">
        <v>2231</v>
      </c>
      <c r="F489" s="12"/>
      <c r="G489" s="12" t="s">
        <v>876</v>
      </c>
      <c r="H489" s="12" t="s">
        <v>37</v>
      </c>
      <c r="I489" s="12" t="s">
        <v>26</v>
      </c>
      <c r="J489" s="13" t="s">
        <v>2157</v>
      </c>
      <c r="K489" s="14" t="s">
        <v>2232</v>
      </c>
      <c r="L489" s="15">
        <v>0</v>
      </c>
      <c r="M489" s="15" t="s">
        <v>144</v>
      </c>
      <c r="N489" s="16">
        <v>45926</v>
      </c>
      <c r="O489" s="12" t="s">
        <v>203</v>
      </c>
      <c r="P489" s="14" t="s">
        <v>2233</v>
      </c>
      <c r="Q489" s="17" t="s">
        <v>137</v>
      </c>
      <c r="R489" s="17" t="s">
        <v>146</v>
      </c>
    </row>
    <row r="490" spans="1:18" x14ac:dyDescent="0.3">
      <c r="A490" s="12" t="s">
        <v>2234</v>
      </c>
      <c r="B490" s="12" t="s">
        <v>12</v>
      </c>
      <c r="C490" s="12"/>
      <c r="D490" s="12" t="s">
        <v>12</v>
      </c>
      <c r="E490" s="12" t="s">
        <v>2235</v>
      </c>
      <c r="F490" s="12" t="s">
        <v>547</v>
      </c>
      <c r="G490" s="12" t="s">
        <v>876</v>
      </c>
      <c r="H490" s="12" t="s">
        <v>37</v>
      </c>
      <c r="I490" s="12" t="s">
        <v>26</v>
      </c>
      <c r="J490" s="13" t="s">
        <v>2157</v>
      </c>
      <c r="K490" s="14" t="s">
        <v>2236</v>
      </c>
      <c r="L490" s="15">
        <v>1</v>
      </c>
      <c r="M490" s="15" t="s">
        <v>144</v>
      </c>
      <c r="N490" s="16">
        <v>45765</v>
      </c>
      <c r="O490" s="12" t="s">
        <v>2234</v>
      </c>
      <c r="P490" s="14" t="s">
        <v>2237</v>
      </c>
      <c r="Q490" s="17" t="s">
        <v>137</v>
      </c>
      <c r="R490" s="17" t="s">
        <v>146</v>
      </c>
    </row>
    <row r="491" spans="1:18" x14ac:dyDescent="0.3">
      <c r="A491" s="12" t="s">
        <v>2238</v>
      </c>
      <c r="B491" s="12" t="s">
        <v>12</v>
      </c>
      <c r="C491" s="12"/>
      <c r="D491" s="12" t="s">
        <v>12</v>
      </c>
      <c r="E491" s="12" t="s">
        <v>2239</v>
      </c>
      <c r="F491" s="12"/>
      <c r="G491" s="12" t="s">
        <v>876</v>
      </c>
      <c r="H491" s="12" t="s">
        <v>37</v>
      </c>
      <c r="I491" s="12" t="s">
        <v>26</v>
      </c>
      <c r="J491" s="13" t="s">
        <v>2178</v>
      </c>
      <c r="K491" s="14" t="s">
        <v>2240</v>
      </c>
      <c r="L491" s="15">
        <v>0</v>
      </c>
      <c r="M491" s="15" t="s">
        <v>144</v>
      </c>
      <c r="N491" s="16">
        <v>44603</v>
      </c>
      <c r="O491" s="12" t="s">
        <v>2238</v>
      </c>
      <c r="P491" s="14" t="s">
        <v>2241</v>
      </c>
      <c r="Q491" s="17" t="s">
        <v>137</v>
      </c>
      <c r="R491" s="17" t="s">
        <v>146</v>
      </c>
    </row>
    <row r="492" spans="1:18" x14ac:dyDescent="0.3">
      <c r="A492" s="12" t="s">
        <v>2242</v>
      </c>
      <c r="B492" s="12" t="s">
        <v>12</v>
      </c>
      <c r="C492" s="12"/>
      <c r="D492" s="12" t="s">
        <v>12</v>
      </c>
      <c r="E492" s="12" t="s">
        <v>2243</v>
      </c>
      <c r="F492" s="12"/>
      <c r="G492" s="12" t="s">
        <v>876</v>
      </c>
      <c r="H492" s="12" t="s">
        <v>37</v>
      </c>
      <c r="I492" s="12" t="s">
        <v>26</v>
      </c>
      <c r="J492" s="13" t="s">
        <v>2184</v>
      </c>
      <c r="K492" s="14" t="s">
        <v>1593</v>
      </c>
      <c r="L492" s="15">
        <v>3</v>
      </c>
      <c r="M492" s="15" t="s">
        <v>144</v>
      </c>
      <c r="N492" s="16">
        <v>45236</v>
      </c>
      <c r="O492" s="12" t="s">
        <v>2242</v>
      </c>
      <c r="P492" s="14" t="s">
        <v>2244</v>
      </c>
      <c r="Q492" s="17" t="s">
        <v>137</v>
      </c>
      <c r="R492" s="17" t="s">
        <v>146</v>
      </c>
    </row>
    <row r="493" spans="1:18" x14ac:dyDescent="0.3">
      <c r="A493" s="12" t="s">
        <v>2245</v>
      </c>
      <c r="B493" s="12" t="s">
        <v>12</v>
      </c>
      <c r="C493" s="12"/>
      <c r="D493" s="12" t="s">
        <v>12</v>
      </c>
      <c r="E493" s="12" t="s">
        <v>2246</v>
      </c>
      <c r="F493" s="12"/>
      <c r="G493" s="12" t="s">
        <v>876</v>
      </c>
      <c r="H493" s="12" t="s">
        <v>37</v>
      </c>
      <c r="I493" s="12" t="s">
        <v>26</v>
      </c>
      <c r="J493" s="13" t="s">
        <v>2123</v>
      </c>
      <c r="K493" s="14" t="s">
        <v>2247</v>
      </c>
      <c r="L493" s="15">
        <v>2</v>
      </c>
      <c r="M493" s="15" t="s">
        <v>144</v>
      </c>
      <c r="N493" s="16">
        <v>45373</v>
      </c>
      <c r="O493" s="12" t="s">
        <v>2245</v>
      </c>
      <c r="P493" s="14" t="s">
        <v>2248</v>
      </c>
      <c r="Q493" s="17" t="s">
        <v>137</v>
      </c>
      <c r="R493" s="17" t="s">
        <v>146</v>
      </c>
    </row>
    <row r="494" spans="1:18" x14ac:dyDescent="0.3">
      <c r="A494" s="12" t="s">
        <v>2249</v>
      </c>
      <c r="B494" s="12" t="s">
        <v>12</v>
      </c>
      <c r="C494" s="12"/>
      <c r="D494" s="12" t="s">
        <v>12</v>
      </c>
      <c r="E494" s="12" t="s">
        <v>2250</v>
      </c>
      <c r="F494" s="12" t="s">
        <v>2251</v>
      </c>
      <c r="G494" s="12" t="s">
        <v>876</v>
      </c>
      <c r="H494" s="12" t="s">
        <v>37</v>
      </c>
      <c r="I494" s="12" t="s">
        <v>26</v>
      </c>
      <c r="J494" s="13" t="s">
        <v>2007</v>
      </c>
      <c r="K494" s="14" t="s">
        <v>2252</v>
      </c>
      <c r="L494" s="15">
        <v>0</v>
      </c>
      <c r="M494" s="15" t="s">
        <v>144</v>
      </c>
      <c r="N494" s="16">
        <v>45205</v>
      </c>
      <c r="O494" s="12" t="s">
        <v>2249</v>
      </c>
      <c r="P494" s="14" t="s">
        <v>2253</v>
      </c>
      <c r="Q494" s="17" t="s">
        <v>137</v>
      </c>
      <c r="R494" s="17" t="s">
        <v>146</v>
      </c>
    </row>
    <row r="495" spans="1:18" x14ac:dyDescent="0.3">
      <c r="A495" s="12" t="s">
        <v>2254</v>
      </c>
      <c r="B495" s="12" t="s">
        <v>12</v>
      </c>
      <c r="C495" s="12"/>
      <c r="D495" s="12" t="s">
        <v>12</v>
      </c>
      <c r="E495" s="12" t="s">
        <v>2127</v>
      </c>
      <c r="F495" s="12" t="s">
        <v>510</v>
      </c>
      <c r="G495" s="12" t="s">
        <v>876</v>
      </c>
      <c r="H495" s="12" t="s">
        <v>37</v>
      </c>
      <c r="I495" s="12" t="s">
        <v>26</v>
      </c>
      <c r="J495" s="13" t="s">
        <v>2102</v>
      </c>
      <c r="K495" s="14" t="s">
        <v>2255</v>
      </c>
      <c r="L495" s="15">
        <v>2</v>
      </c>
      <c r="M495" s="15" t="s">
        <v>144</v>
      </c>
      <c r="N495" s="16">
        <v>46042</v>
      </c>
      <c r="O495" s="12" t="s">
        <v>2254</v>
      </c>
      <c r="P495" s="14" t="s">
        <v>2256</v>
      </c>
      <c r="Q495" s="17" t="s">
        <v>137</v>
      </c>
      <c r="R495" s="17" t="s">
        <v>146</v>
      </c>
    </row>
    <row r="496" spans="1:18" x14ac:dyDescent="0.3">
      <c r="A496" s="12" t="s">
        <v>2257</v>
      </c>
      <c r="B496" s="12" t="s">
        <v>14</v>
      </c>
      <c r="C496" s="12"/>
      <c r="D496" s="12" t="s">
        <v>14</v>
      </c>
      <c r="E496" s="12" t="s">
        <v>2258</v>
      </c>
      <c r="F496" s="12"/>
      <c r="G496" s="12" t="s">
        <v>876</v>
      </c>
      <c r="H496" s="12" t="s">
        <v>37</v>
      </c>
      <c r="I496" s="12" t="s">
        <v>26</v>
      </c>
      <c r="J496" s="13" t="s">
        <v>2149</v>
      </c>
      <c r="K496" s="14" t="s">
        <v>2259</v>
      </c>
      <c r="L496" s="15">
        <v>0</v>
      </c>
      <c r="M496" s="15" t="s">
        <v>144</v>
      </c>
      <c r="N496" s="16">
        <v>45926</v>
      </c>
      <c r="O496" s="12" t="s">
        <v>2257</v>
      </c>
      <c r="P496" s="14" t="s">
        <v>2260</v>
      </c>
      <c r="Q496" s="17" t="s">
        <v>137</v>
      </c>
      <c r="R496" s="17" t="s">
        <v>146</v>
      </c>
    </row>
    <row r="497" spans="1:18" x14ac:dyDescent="0.3">
      <c r="A497" s="12" t="s">
        <v>960</v>
      </c>
      <c r="B497" s="12" t="s">
        <v>14</v>
      </c>
      <c r="C497" s="12"/>
      <c r="D497" s="12" t="s">
        <v>14</v>
      </c>
      <c r="E497" s="12" t="s">
        <v>2261</v>
      </c>
      <c r="F497" s="12" t="s">
        <v>2262</v>
      </c>
      <c r="G497" s="12" t="s">
        <v>876</v>
      </c>
      <c r="H497" s="12" t="s">
        <v>37</v>
      </c>
      <c r="I497" s="12" t="s">
        <v>26</v>
      </c>
      <c r="J497" s="13" t="s">
        <v>2118</v>
      </c>
      <c r="K497" s="14" t="s">
        <v>2263</v>
      </c>
      <c r="L497" s="15">
        <v>2</v>
      </c>
      <c r="M497" s="15" t="s">
        <v>144</v>
      </c>
      <c r="N497" s="16">
        <v>45609</v>
      </c>
      <c r="O497" s="12" t="s">
        <v>960</v>
      </c>
      <c r="P497" s="14" t="s">
        <v>962</v>
      </c>
      <c r="Q497" s="17" t="s">
        <v>137</v>
      </c>
      <c r="R497" s="17" t="s">
        <v>146</v>
      </c>
    </row>
    <row r="498" spans="1:18" x14ac:dyDescent="0.3">
      <c r="A498" s="12" t="s">
        <v>2264</v>
      </c>
      <c r="B498" s="12" t="s">
        <v>12</v>
      </c>
      <c r="C498" s="12"/>
      <c r="D498" s="12" t="s">
        <v>12</v>
      </c>
      <c r="E498" s="12" t="s">
        <v>2265</v>
      </c>
      <c r="F498" s="12"/>
      <c r="G498" s="12" t="s">
        <v>876</v>
      </c>
      <c r="H498" s="12" t="s">
        <v>37</v>
      </c>
      <c r="I498" s="12" t="s">
        <v>26</v>
      </c>
      <c r="J498" s="13" t="s">
        <v>2184</v>
      </c>
      <c r="K498" s="14" t="s">
        <v>2266</v>
      </c>
      <c r="L498" s="15">
        <v>1</v>
      </c>
      <c r="M498" s="15" t="s">
        <v>144</v>
      </c>
      <c r="N498" s="16">
        <v>44762</v>
      </c>
      <c r="O498" s="12" t="s">
        <v>2264</v>
      </c>
      <c r="P498" s="14" t="s">
        <v>2267</v>
      </c>
      <c r="Q498" s="17" t="s">
        <v>137</v>
      </c>
      <c r="R498" s="17" t="s">
        <v>146</v>
      </c>
    </row>
    <row r="499" spans="1:18" x14ac:dyDescent="0.3">
      <c r="A499" s="12" t="s">
        <v>2268</v>
      </c>
      <c r="B499" s="12" t="s">
        <v>20</v>
      </c>
      <c r="C499" s="12"/>
      <c r="D499" s="12" t="s">
        <v>193</v>
      </c>
      <c r="E499" s="12" t="s">
        <v>2193</v>
      </c>
      <c r="F499" s="12" t="s">
        <v>2269</v>
      </c>
      <c r="G499" s="12" t="s">
        <v>876</v>
      </c>
      <c r="H499" s="12" t="s">
        <v>37</v>
      </c>
      <c r="I499" s="12" t="s">
        <v>26</v>
      </c>
      <c r="J499" s="13" t="s">
        <v>2195</v>
      </c>
      <c r="K499" s="14" t="s">
        <v>2270</v>
      </c>
      <c r="L499" s="15">
        <v>3</v>
      </c>
      <c r="M499" s="15" t="s">
        <v>144</v>
      </c>
      <c r="N499" s="16">
        <v>44683</v>
      </c>
      <c r="O499" s="12" t="s">
        <v>2271</v>
      </c>
      <c r="P499" s="14" t="s">
        <v>2272</v>
      </c>
      <c r="Q499" s="17" t="s">
        <v>137</v>
      </c>
      <c r="R499" s="17" t="s">
        <v>146</v>
      </c>
    </row>
    <row r="500" spans="1:18" x14ac:dyDescent="0.3">
      <c r="A500" s="12" t="s">
        <v>2273</v>
      </c>
      <c r="B500" s="12" t="s">
        <v>12</v>
      </c>
      <c r="C500" s="12"/>
      <c r="D500" s="12" t="s">
        <v>12</v>
      </c>
      <c r="E500" s="12" t="s">
        <v>2274</v>
      </c>
      <c r="F500" s="12"/>
      <c r="G500" s="12" t="s">
        <v>876</v>
      </c>
      <c r="H500" s="12" t="s">
        <v>37</v>
      </c>
      <c r="I500" s="12" t="s">
        <v>26</v>
      </c>
      <c r="J500" s="13" t="s">
        <v>2184</v>
      </c>
      <c r="K500" s="14" t="s">
        <v>2275</v>
      </c>
      <c r="L500" s="15">
        <v>5</v>
      </c>
      <c r="M500" s="15" t="s">
        <v>144</v>
      </c>
      <c r="N500" s="16">
        <v>46268</v>
      </c>
      <c r="O500" s="12" t="s">
        <v>2273</v>
      </c>
      <c r="P500" s="14" t="s">
        <v>2276</v>
      </c>
      <c r="Q500" s="17" t="s">
        <v>137</v>
      </c>
      <c r="R500" s="17" t="s">
        <v>146</v>
      </c>
    </row>
    <row r="501" spans="1:18" x14ac:dyDescent="0.3">
      <c r="A501" s="12" t="s">
        <v>215</v>
      </c>
      <c r="B501" s="12" t="s">
        <v>14</v>
      </c>
      <c r="C501" s="12" t="s">
        <v>16</v>
      </c>
      <c r="D501" s="12" t="s">
        <v>2277</v>
      </c>
      <c r="E501" s="12" t="s">
        <v>2135</v>
      </c>
      <c r="F501" s="12"/>
      <c r="G501" s="12" t="s">
        <v>876</v>
      </c>
      <c r="H501" s="12" t="s">
        <v>37</v>
      </c>
      <c r="I501" s="12" t="s">
        <v>26</v>
      </c>
      <c r="J501" s="13" t="s">
        <v>2118</v>
      </c>
      <c r="K501" s="14" t="s">
        <v>2278</v>
      </c>
      <c r="L501" s="15">
        <v>10</v>
      </c>
      <c r="M501" s="15" t="s">
        <v>144</v>
      </c>
      <c r="N501" s="16">
        <v>45818</v>
      </c>
      <c r="O501" s="12" t="s">
        <v>215</v>
      </c>
      <c r="P501" s="14" t="s">
        <v>2279</v>
      </c>
      <c r="Q501" s="17" t="s">
        <v>137</v>
      </c>
      <c r="R501" s="17" t="s">
        <v>146</v>
      </c>
    </row>
    <row r="502" spans="1:18" x14ac:dyDescent="0.3">
      <c r="A502" s="12" t="s">
        <v>2280</v>
      </c>
      <c r="B502" s="12" t="s">
        <v>14</v>
      </c>
      <c r="C502" s="12"/>
      <c r="D502" s="12" t="s">
        <v>14</v>
      </c>
      <c r="E502" s="12" t="s">
        <v>2281</v>
      </c>
      <c r="F502" s="12" t="s">
        <v>293</v>
      </c>
      <c r="G502" s="12" t="s">
        <v>876</v>
      </c>
      <c r="H502" s="12" t="s">
        <v>37</v>
      </c>
      <c r="I502" s="12" t="s">
        <v>26</v>
      </c>
      <c r="J502" s="13" t="s">
        <v>2195</v>
      </c>
      <c r="K502" s="14" t="s">
        <v>2282</v>
      </c>
      <c r="L502" s="15">
        <v>1</v>
      </c>
      <c r="M502" s="15" t="s">
        <v>144</v>
      </c>
      <c r="N502" s="16">
        <v>45971</v>
      </c>
      <c r="O502" s="12" t="s">
        <v>2280</v>
      </c>
      <c r="P502" s="14" t="s">
        <v>2283</v>
      </c>
      <c r="Q502" s="17" t="s">
        <v>137</v>
      </c>
      <c r="R502" s="17" t="s">
        <v>146</v>
      </c>
    </row>
    <row r="503" spans="1:18" x14ac:dyDescent="0.3">
      <c r="A503" s="12" t="s">
        <v>2284</v>
      </c>
      <c r="B503" s="12" t="s">
        <v>12</v>
      </c>
      <c r="C503" s="12"/>
      <c r="D503" s="12" t="s">
        <v>12</v>
      </c>
      <c r="E503" s="12" t="s">
        <v>2285</v>
      </c>
      <c r="F503" s="12"/>
      <c r="G503" s="12" t="s">
        <v>876</v>
      </c>
      <c r="H503" s="12" t="s">
        <v>37</v>
      </c>
      <c r="I503" s="12" t="s">
        <v>26</v>
      </c>
      <c r="J503" s="13" t="s">
        <v>2184</v>
      </c>
      <c r="K503" s="14" t="s">
        <v>2286</v>
      </c>
      <c r="L503" s="15">
        <v>1</v>
      </c>
      <c r="M503" s="15" t="s">
        <v>144</v>
      </c>
      <c r="N503" s="16">
        <v>45021</v>
      </c>
      <c r="O503" s="12" t="s">
        <v>2284</v>
      </c>
      <c r="P503" s="14" t="s">
        <v>2287</v>
      </c>
      <c r="Q503" s="17" t="s">
        <v>137</v>
      </c>
      <c r="R503" s="17" t="s">
        <v>146</v>
      </c>
    </row>
    <row r="504" spans="1:18" x14ac:dyDescent="0.3">
      <c r="A504" s="12" t="s">
        <v>2288</v>
      </c>
      <c r="B504" s="12" t="s">
        <v>14</v>
      </c>
      <c r="C504" s="12"/>
      <c r="D504" s="12" t="s">
        <v>14</v>
      </c>
      <c r="E504" s="12" t="s">
        <v>2289</v>
      </c>
      <c r="F504" s="12" t="s">
        <v>940</v>
      </c>
      <c r="G504" s="12" t="s">
        <v>876</v>
      </c>
      <c r="H504" s="12" t="s">
        <v>37</v>
      </c>
      <c r="I504" s="12" t="s">
        <v>26</v>
      </c>
      <c r="J504" s="13" t="s">
        <v>2102</v>
      </c>
      <c r="K504" s="14" t="s">
        <v>2290</v>
      </c>
      <c r="L504" s="15">
        <v>2</v>
      </c>
      <c r="M504" s="15" t="s">
        <v>144</v>
      </c>
      <c r="N504" s="16">
        <v>45911</v>
      </c>
      <c r="O504" s="12" t="s">
        <v>2288</v>
      </c>
      <c r="P504" s="14" t="s">
        <v>2291</v>
      </c>
      <c r="Q504" s="17" t="s">
        <v>137</v>
      </c>
      <c r="R504" s="17" t="s">
        <v>146</v>
      </c>
    </row>
    <row r="505" spans="1:18" x14ac:dyDescent="0.3">
      <c r="A505" s="12" t="s">
        <v>307</v>
      </c>
      <c r="B505" s="12" t="s">
        <v>14</v>
      </c>
      <c r="C505" s="12"/>
      <c r="D505" s="12" t="s">
        <v>14</v>
      </c>
      <c r="E505" s="12" t="s">
        <v>2292</v>
      </c>
      <c r="F505" s="12" t="s">
        <v>188</v>
      </c>
      <c r="G505" s="12" t="s">
        <v>876</v>
      </c>
      <c r="H505" s="12" t="s">
        <v>37</v>
      </c>
      <c r="I505" s="12" t="s">
        <v>26</v>
      </c>
      <c r="J505" s="13" t="s">
        <v>2118</v>
      </c>
      <c r="K505" s="14" t="s">
        <v>1289</v>
      </c>
      <c r="L505" s="15">
        <v>17</v>
      </c>
      <c r="M505" s="15" t="s">
        <v>144</v>
      </c>
      <c r="N505" s="16">
        <v>46275</v>
      </c>
      <c r="O505" s="12" t="s">
        <v>307</v>
      </c>
      <c r="P505" s="14" t="s">
        <v>310</v>
      </c>
      <c r="Q505" s="17" t="s">
        <v>137</v>
      </c>
      <c r="R505" s="17" t="s">
        <v>146</v>
      </c>
    </row>
    <row r="506" spans="1:18" x14ac:dyDescent="0.3">
      <c r="A506" s="12" t="s">
        <v>307</v>
      </c>
      <c r="B506" s="12" t="s">
        <v>14</v>
      </c>
      <c r="C506" s="12"/>
      <c r="D506" s="12" t="s">
        <v>14</v>
      </c>
      <c r="E506" s="12" t="s">
        <v>2293</v>
      </c>
      <c r="F506" s="12" t="s">
        <v>2294</v>
      </c>
      <c r="G506" s="12" t="s">
        <v>876</v>
      </c>
      <c r="H506" s="12" t="s">
        <v>37</v>
      </c>
      <c r="I506" s="12" t="s">
        <v>26</v>
      </c>
      <c r="J506" s="13" t="s">
        <v>2102</v>
      </c>
      <c r="K506" s="14" t="s">
        <v>1289</v>
      </c>
      <c r="L506" s="15">
        <v>1</v>
      </c>
      <c r="M506" s="15" t="s">
        <v>144</v>
      </c>
      <c r="N506" s="16">
        <v>46275</v>
      </c>
      <c r="O506" s="12" t="s">
        <v>307</v>
      </c>
      <c r="P506" s="14" t="s">
        <v>310</v>
      </c>
      <c r="Q506" s="17" t="s">
        <v>137</v>
      </c>
      <c r="R506" s="17" t="s">
        <v>146</v>
      </c>
    </row>
    <row r="507" spans="1:18" x14ac:dyDescent="0.3">
      <c r="A507" s="12" t="s">
        <v>307</v>
      </c>
      <c r="B507" s="12" t="s">
        <v>14</v>
      </c>
      <c r="C507" s="12"/>
      <c r="D507" s="12" t="s">
        <v>14</v>
      </c>
      <c r="E507" s="12" t="s">
        <v>2295</v>
      </c>
      <c r="F507" s="12" t="s">
        <v>454</v>
      </c>
      <c r="G507" s="12" t="s">
        <v>876</v>
      </c>
      <c r="H507" s="12" t="s">
        <v>37</v>
      </c>
      <c r="I507" s="12" t="s">
        <v>26</v>
      </c>
      <c r="J507" s="13" t="s">
        <v>2102</v>
      </c>
      <c r="K507" s="14" t="s">
        <v>2296</v>
      </c>
      <c r="L507" s="15">
        <v>1</v>
      </c>
      <c r="M507" s="15" t="s">
        <v>144</v>
      </c>
      <c r="N507" s="16">
        <v>46275</v>
      </c>
      <c r="O507" s="12" t="s">
        <v>307</v>
      </c>
      <c r="P507" s="14" t="s">
        <v>310</v>
      </c>
      <c r="Q507" s="17" t="s">
        <v>137</v>
      </c>
      <c r="R507" s="17" t="s">
        <v>146</v>
      </c>
    </row>
    <row r="508" spans="1:18" x14ac:dyDescent="0.3">
      <c r="A508" s="12" t="s">
        <v>2297</v>
      </c>
      <c r="B508" s="12" t="s">
        <v>14</v>
      </c>
      <c r="C508" s="12"/>
      <c r="D508" s="12" t="s">
        <v>14</v>
      </c>
      <c r="E508" s="12" t="s">
        <v>2298</v>
      </c>
      <c r="F508" s="12"/>
      <c r="G508" s="12" t="s">
        <v>876</v>
      </c>
      <c r="H508" s="12" t="s">
        <v>37</v>
      </c>
      <c r="I508" s="12" t="s">
        <v>26</v>
      </c>
      <c r="J508" s="13" t="s">
        <v>2219</v>
      </c>
      <c r="K508" s="14" t="s">
        <v>974</v>
      </c>
      <c r="L508" s="15">
        <v>57</v>
      </c>
      <c r="M508" s="15" t="s">
        <v>144</v>
      </c>
      <c r="N508" s="16">
        <v>44904</v>
      </c>
      <c r="O508" s="12" t="s">
        <v>971</v>
      </c>
      <c r="P508" s="14" t="s">
        <v>2299</v>
      </c>
      <c r="Q508" s="17" t="s">
        <v>137</v>
      </c>
      <c r="R508" s="17" t="s">
        <v>146</v>
      </c>
    </row>
    <row r="509" spans="1:18" x14ac:dyDescent="0.3">
      <c r="A509" s="12" t="s">
        <v>2300</v>
      </c>
      <c r="B509" s="12" t="s">
        <v>12</v>
      </c>
      <c r="C509" s="12"/>
      <c r="D509" s="12" t="s">
        <v>12</v>
      </c>
      <c r="E509" s="12" t="s">
        <v>2301</v>
      </c>
      <c r="F509" s="12" t="s">
        <v>644</v>
      </c>
      <c r="G509" s="12" t="s">
        <v>876</v>
      </c>
      <c r="H509" s="12" t="s">
        <v>37</v>
      </c>
      <c r="I509" s="12" t="s">
        <v>26</v>
      </c>
      <c r="J509" s="13" t="s">
        <v>2302</v>
      </c>
      <c r="K509" s="14" t="s">
        <v>2303</v>
      </c>
      <c r="L509" s="15">
        <v>1</v>
      </c>
      <c r="M509" s="15" t="s">
        <v>144</v>
      </c>
      <c r="N509" s="16">
        <v>46220</v>
      </c>
      <c r="O509" s="12" t="s">
        <v>2300</v>
      </c>
      <c r="P509" s="14" t="s">
        <v>2304</v>
      </c>
      <c r="Q509" s="17" t="s">
        <v>137</v>
      </c>
      <c r="R509" s="17" t="s">
        <v>146</v>
      </c>
    </row>
    <row r="510" spans="1:18" x14ac:dyDescent="0.3">
      <c r="A510" s="12" t="s">
        <v>2305</v>
      </c>
      <c r="B510" s="12" t="s">
        <v>12</v>
      </c>
      <c r="C510" s="12"/>
      <c r="D510" s="12" t="s">
        <v>12</v>
      </c>
      <c r="E510" s="12" t="s">
        <v>2306</v>
      </c>
      <c r="F510" s="12" t="s">
        <v>2307</v>
      </c>
      <c r="G510" s="12" t="s">
        <v>876</v>
      </c>
      <c r="H510" s="12" t="s">
        <v>37</v>
      </c>
      <c r="I510" s="12" t="s">
        <v>26</v>
      </c>
      <c r="J510" s="13" t="s">
        <v>2118</v>
      </c>
      <c r="K510" s="14" t="s">
        <v>2308</v>
      </c>
      <c r="L510" s="15">
        <v>4</v>
      </c>
      <c r="M510" s="15" t="s">
        <v>144</v>
      </c>
      <c r="N510" s="16">
        <v>45394</v>
      </c>
      <c r="O510" s="12" t="s">
        <v>2305</v>
      </c>
      <c r="P510" s="14" t="s">
        <v>2309</v>
      </c>
      <c r="Q510" s="17" t="s">
        <v>137</v>
      </c>
      <c r="R510" s="17" t="s">
        <v>146</v>
      </c>
    </row>
    <row r="511" spans="1:18" x14ac:dyDescent="0.3">
      <c r="A511" s="12" t="s">
        <v>2310</v>
      </c>
      <c r="B511" s="12" t="s">
        <v>10</v>
      </c>
      <c r="C511" s="12"/>
      <c r="D511" s="12" t="s">
        <v>2311</v>
      </c>
      <c r="E511" s="12" t="s">
        <v>2138</v>
      </c>
      <c r="F511" s="12" t="s">
        <v>1222</v>
      </c>
      <c r="G511" s="12" t="s">
        <v>876</v>
      </c>
      <c r="H511" s="12" t="s">
        <v>37</v>
      </c>
      <c r="I511" s="12" t="s">
        <v>26</v>
      </c>
      <c r="J511" s="13" t="s">
        <v>2102</v>
      </c>
      <c r="K511" s="14" t="s">
        <v>2312</v>
      </c>
      <c r="L511" s="15">
        <v>11</v>
      </c>
      <c r="M511" s="15" t="s">
        <v>220</v>
      </c>
      <c r="N511" s="16">
        <v>45712</v>
      </c>
      <c r="O511" s="12" t="s">
        <v>236</v>
      </c>
      <c r="P511" s="14" t="s">
        <v>2313</v>
      </c>
      <c r="Q511" s="17" t="s">
        <v>137</v>
      </c>
      <c r="R511" s="17" t="s">
        <v>146</v>
      </c>
    </row>
    <row r="512" spans="1:18" x14ac:dyDescent="0.3">
      <c r="A512" s="12" t="s">
        <v>2314</v>
      </c>
      <c r="B512" s="12" t="s">
        <v>10</v>
      </c>
      <c r="C512" s="12"/>
      <c r="D512" s="12" t="s">
        <v>157</v>
      </c>
      <c r="E512" s="12" t="s">
        <v>2104</v>
      </c>
      <c r="F512" s="12" t="s">
        <v>188</v>
      </c>
      <c r="G512" s="12" t="s">
        <v>876</v>
      </c>
      <c r="H512" s="12" t="s">
        <v>37</v>
      </c>
      <c r="I512" s="12" t="s">
        <v>26</v>
      </c>
      <c r="J512" s="13" t="s">
        <v>2102</v>
      </c>
      <c r="K512" s="14" t="s">
        <v>2315</v>
      </c>
      <c r="L512" s="15">
        <v>3</v>
      </c>
      <c r="M512" s="15" t="s">
        <v>220</v>
      </c>
      <c r="N512" s="16">
        <v>46055</v>
      </c>
      <c r="O512" s="12" t="s">
        <v>236</v>
      </c>
      <c r="P512" s="14" t="s">
        <v>2316</v>
      </c>
      <c r="Q512" s="17" t="s">
        <v>137</v>
      </c>
      <c r="R512" s="17" t="s">
        <v>146</v>
      </c>
    </row>
    <row r="513" spans="1:18" x14ac:dyDescent="0.3">
      <c r="A513" s="12" t="s">
        <v>2317</v>
      </c>
      <c r="B513" s="12" t="s">
        <v>16</v>
      </c>
      <c r="C513" s="12"/>
      <c r="D513" s="12" t="s">
        <v>471</v>
      </c>
      <c r="E513" s="12" t="s">
        <v>2318</v>
      </c>
      <c r="F513" s="12" t="s">
        <v>2319</v>
      </c>
      <c r="G513" s="12" t="s">
        <v>876</v>
      </c>
      <c r="H513" s="12" t="s">
        <v>37</v>
      </c>
      <c r="I513" s="12" t="s">
        <v>26</v>
      </c>
      <c r="J513" s="13" t="s">
        <v>2118</v>
      </c>
      <c r="K513" s="14" t="s">
        <v>2320</v>
      </c>
      <c r="L513" s="15">
        <v>0</v>
      </c>
      <c r="M513" s="15" t="s">
        <v>144</v>
      </c>
      <c r="N513" s="16">
        <v>45315</v>
      </c>
      <c r="O513" s="12" t="s">
        <v>2317</v>
      </c>
      <c r="P513" s="14" t="s">
        <v>2321</v>
      </c>
      <c r="Q513" s="17" t="s">
        <v>137</v>
      </c>
      <c r="R513" s="17" t="s">
        <v>146</v>
      </c>
    </row>
    <row r="514" spans="1:18" x14ac:dyDescent="0.3">
      <c r="A514" s="12" t="s">
        <v>2322</v>
      </c>
      <c r="B514" s="12" t="s">
        <v>12</v>
      </c>
      <c r="C514" s="12"/>
      <c r="D514" s="12" t="s">
        <v>12</v>
      </c>
      <c r="E514" s="12" t="s">
        <v>2323</v>
      </c>
      <c r="F514" s="12"/>
      <c r="G514" s="12" t="s">
        <v>876</v>
      </c>
      <c r="H514" s="12" t="s">
        <v>37</v>
      </c>
      <c r="I514" s="12" t="s">
        <v>26</v>
      </c>
      <c r="J514" s="13" t="s">
        <v>2149</v>
      </c>
      <c r="K514" s="14" t="s">
        <v>2324</v>
      </c>
      <c r="L514" s="15">
        <v>1</v>
      </c>
      <c r="M514" s="15" t="s">
        <v>144</v>
      </c>
      <c r="N514" s="16">
        <v>45513</v>
      </c>
      <c r="O514" s="12" t="s">
        <v>2322</v>
      </c>
      <c r="P514" s="14" t="s">
        <v>2325</v>
      </c>
      <c r="Q514" s="17" t="s">
        <v>137</v>
      </c>
      <c r="R514" s="17" t="s">
        <v>146</v>
      </c>
    </row>
    <row r="515" spans="1:18" x14ac:dyDescent="0.3">
      <c r="A515" s="12" t="s">
        <v>2326</v>
      </c>
      <c r="B515" s="12" t="s">
        <v>12</v>
      </c>
      <c r="C515" s="12"/>
      <c r="D515" s="12" t="s">
        <v>12</v>
      </c>
      <c r="E515" s="12" t="s">
        <v>2327</v>
      </c>
      <c r="F515" s="12"/>
      <c r="G515" s="12" t="s">
        <v>876</v>
      </c>
      <c r="H515" s="12" t="s">
        <v>37</v>
      </c>
      <c r="I515" s="12" t="s">
        <v>26</v>
      </c>
      <c r="J515" s="13" t="s">
        <v>2149</v>
      </c>
      <c r="K515" s="14" t="s">
        <v>2328</v>
      </c>
      <c r="L515" s="15">
        <v>8</v>
      </c>
      <c r="M515" s="15" t="s">
        <v>144</v>
      </c>
      <c r="N515" s="16">
        <v>45644</v>
      </c>
      <c r="O515" s="12" t="s">
        <v>2329</v>
      </c>
      <c r="P515" s="14" t="s">
        <v>2330</v>
      </c>
      <c r="Q515" s="17" t="s">
        <v>137</v>
      </c>
      <c r="R515" s="17" t="s">
        <v>146</v>
      </c>
    </row>
    <row r="516" spans="1:18" x14ac:dyDescent="0.3">
      <c r="A516" s="12" t="s">
        <v>2331</v>
      </c>
      <c r="B516" s="12" t="s">
        <v>10</v>
      </c>
      <c r="C516" s="12"/>
      <c r="D516" s="12" t="s">
        <v>880</v>
      </c>
      <c r="E516" s="12" t="s">
        <v>2332</v>
      </c>
      <c r="F516" s="12" t="s">
        <v>952</v>
      </c>
      <c r="G516" s="12" t="s">
        <v>2333</v>
      </c>
      <c r="H516" s="12" t="s">
        <v>37</v>
      </c>
      <c r="I516" s="12" t="s">
        <v>26</v>
      </c>
      <c r="J516" s="13" t="s">
        <v>2334</v>
      </c>
      <c r="K516" s="14" t="s">
        <v>883</v>
      </c>
      <c r="L516" s="15">
        <v>0</v>
      </c>
      <c r="M516" s="15" t="s">
        <v>144</v>
      </c>
      <c r="N516" s="16">
        <v>45944</v>
      </c>
      <c r="O516" s="12" t="s">
        <v>884</v>
      </c>
      <c r="P516" s="14" t="s">
        <v>2335</v>
      </c>
      <c r="Q516" s="17" t="s">
        <v>137</v>
      </c>
      <c r="R516" s="17" t="s">
        <v>146</v>
      </c>
    </row>
    <row r="517" spans="1:18" x14ac:dyDescent="0.3">
      <c r="A517" s="12" t="s">
        <v>1369</v>
      </c>
      <c r="B517" s="12" t="s">
        <v>14</v>
      </c>
      <c r="C517" s="12"/>
      <c r="D517" s="12" t="s">
        <v>14</v>
      </c>
      <c r="E517" s="12" t="s">
        <v>2336</v>
      </c>
      <c r="F517" s="12" t="s">
        <v>218</v>
      </c>
      <c r="G517" s="12" t="s">
        <v>2333</v>
      </c>
      <c r="H517" s="12" t="s">
        <v>37</v>
      </c>
      <c r="I517" s="12" t="s">
        <v>26</v>
      </c>
      <c r="J517" s="13" t="s">
        <v>2334</v>
      </c>
      <c r="K517" s="14" t="s">
        <v>2337</v>
      </c>
      <c r="L517" s="15">
        <v>1</v>
      </c>
      <c r="M517" s="15" t="s">
        <v>144</v>
      </c>
      <c r="N517" s="16">
        <v>46196</v>
      </c>
      <c r="O517" s="12" t="s">
        <v>1369</v>
      </c>
      <c r="P517" s="14" t="s">
        <v>1372</v>
      </c>
      <c r="Q517" s="17" t="s">
        <v>137</v>
      </c>
      <c r="R517" s="17" t="s">
        <v>146</v>
      </c>
    </row>
    <row r="518" spans="1:18" x14ac:dyDescent="0.3">
      <c r="A518" s="12" t="s">
        <v>199</v>
      </c>
      <c r="B518" s="12" t="s">
        <v>14</v>
      </c>
      <c r="C518" s="12"/>
      <c r="D518" s="12" t="s">
        <v>14</v>
      </c>
      <c r="E518" s="12" t="s">
        <v>2338</v>
      </c>
      <c r="F518" s="12" t="s">
        <v>520</v>
      </c>
      <c r="G518" s="12" t="s">
        <v>2333</v>
      </c>
      <c r="H518" s="12" t="s">
        <v>37</v>
      </c>
      <c r="I518" s="12" t="s">
        <v>26</v>
      </c>
      <c r="J518" s="13" t="s">
        <v>2056</v>
      </c>
      <c r="K518" s="14" t="s">
        <v>2339</v>
      </c>
      <c r="L518" s="15">
        <v>2</v>
      </c>
      <c r="M518" s="15" t="s">
        <v>144</v>
      </c>
      <c r="N518" s="16">
        <v>45951</v>
      </c>
      <c r="O518" s="12" t="s">
        <v>331</v>
      </c>
      <c r="P518" s="14" t="s">
        <v>1049</v>
      </c>
      <c r="Q518" s="17" t="s">
        <v>137</v>
      </c>
      <c r="R518" s="17" t="s">
        <v>146</v>
      </c>
    </row>
    <row r="519" spans="1:18" x14ac:dyDescent="0.3">
      <c r="A519" s="12" t="s">
        <v>2340</v>
      </c>
      <c r="B519" s="12" t="s">
        <v>12</v>
      </c>
      <c r="C519" s="12"/>
      <c r="D519" s="12" t="s">
        <v>12</v>
      </c>
      <c r="E519" s="12" t="s">
        <v>2341</v>
      </c>
      <c r="F519" s="12"/>
      <c r="G519" s="12" t="s">
        <v>2333</v>
      </c>
      <c r="H519" s="12" t="s">
        <v>37</v>
      </c>
      <c r="I519" s="12" t="s">
        <v>26</v>
      </c>
      <c r="J519" s="13" t="s">
        <v>2334</v>
      </c>
      <c r="K519" s="14" t="s">
        <v>2342</v>
      </c>
      <c r="L519" s="15">
        <v>2</v>
      </c>
      <c r="M519" s="15" t="s">
        <v>144</v>
      </c>
      <c r="N519" s="16">
        <v>45748</v>
      </c>
      <c r="O519" s="12" t="s">
        <v>2340</v>
      </c>
      <c r="P519" s="14" t="s">
        <v>2343</v>
      </c>
      <c r="Q519" s="17" t="s">
        <v>137</v>
      </c>
      <c r="R519" s="17" t="s">
        <v>146</v>
      </c>
    </row>
    <row r="520" spans="1:18" x14ac:dyDescent="0.3">
      <c r="A520" s="12" t="s">
        <v>215</v>
      </c>
      <c r="B520" s="12" t="s">
        <v>10</v>
      </c>
      <c r="C520" s="12" t="s">
        <v>14</v>
      </c>
      <c r="D520" s="12" t="s">
        <v>702</v>
      </c>
      <c r="E520" s="12" t="s">
        <v>2344</v>
      </c>
      <c r="F520" s="12"/>
      <c r="G520" s="12" t="s">
        <v>2333</v>
      </c>
      <c r="H520" s="12" t="s">
        <v>37</v>
      </c>
      <c r="I520" s="12" t="s">
        <v>26</v>
      </c>
      <c r="J520" s="13" t="s">
        <v>2056</v>
      </c>
      <c r="K520" s="14" t="s">
        <v>294</v>
      </c>
      <c r="L520" s="15">
        <v>45</v>
      </c>
      <c r="M520" s="15" t="s">
        <v>220</v>
      </c>
      <c r="N520" s="16">
        <v>45867</v>
      </c>
      <c r="O520" s="12" t="s">
        <v>215</v>
      </c>
      <c r="P520" s="14" t="s">
        <v>2345</v>
      </c>
      <c r="Q520" s="17" t="s">
        <v>137</v>
      </c>
      <c r="R520" s="17" t="s">
        <v>146</v>
      </c>
    </row>
    <row r="521" spans="1:18" x14ac:dyDescent="0.3">
      <c r="A521" s="12" t="s">
        <v>2346</v>
      </c>
      <c r="B521" s="12" t="s">
        <v>12</v>
      </c>
      <c r="C521" s="12"/>
      <c r="D521" s="12" t="s">
        <v>12</v>
      </c>
      <c r="E521" s="12" t="s">
        <v>2347</v>
      </c>
      <c r="F521" s="12" t="s">
        <v>2348</v>
      </c>
      <c r="G521" s="12" t="s">
        <v>2349</v>
      </c>
      <c r="H521" s="12" t="s">
        <v>37</v>
      </c>
      <c r="I521" s="12" t="s">
        <v>26</v>
      </c>
      <c r="J521" s="13" t="s">
        <v>2334</v>
      </c>
      <c r="K521" s="14" t="s">
        <v>2350</v>
      </c>
      <c r="L521" s="15">
        <v>0</v>
      </c>
      <c r="M521" s="15" t="s">
        <v>144</v>
      </c>
      <c r="N521" s="16">
        <v>44998</v>
      </c>
      <c r="O521" s="12" t="s">
        <v>2346</v>
      </c>
      <c r="P521" s="14" t="s">
        <v>2351</v>
      </c>
      <c r="Q521" s="17" t="s">
        <v>137</v>
      </c>
      <c r="R521" s="17" t="s">
        <v>146</v>
      </c>
    </row>
    <row r="522" spans="1:18" x14ac:dyDescent="0.3">
      <c r="A522" s="12" t="s">
        <v>2352</v>
      </c>
      <c r="B522" s="12" t="s">
        <v>10</v>
      </c>
      <c r="C522" s="12"/>
      <c r="D522" s="12" t="s">
        <v>252</v>
      </c>
      <c r="E522" s="12" t="s">
        <v>2353</v>
      </c>
      <c r="F522" s="12"/>
      <c r="G522" s="12" t="s">
        <v>2349</v>
      </c>
      <c r="H522" s="12" t="s">
        <v>37</v>
      </c>
      <c r="I522" s="12" t="s">
        <v>26</v>
      </c>
      <c r="J522" s="13" t="s">
        <v>2334</v>
      </c>
      <c r="K522" s="14" t="s">
        <v>2354</v>
      </c>
      <c r="L522" s="15">
        <v>0</v>
      </c>
      <c r="M522" s="15" t="s">
        <v>144</v>
      </c>
      <c r="N522" s="16">
        <v>45909</v>
      </c>
      <c r="O522" s="12" t="s">
        <v>2355</v>
      </c>
      <c r="P522" s="14" t="s">
        <v>2356</v>
      </c>
      <c r="Q522" s="17" t="s">
        <v>137</v>
      </c>
      <c r="R522" s="17" t="s">
        <v>146</v>
      </c>
    </row>
    <row r="523" spans="1:18" x14ac:dyDescent="0.3">
      <c r="A523" s="12" t="s">
        <v>2357</v>
      </c>
      <c r="B523" s="12" t="s">
        <v>12</v>
      </c>
      <c r="C523" s="12"/>
      <c r="D523" s="12" t="s">
        <v>12</v>
      </c>
      <c r="E523" s="12" t="s">
        <v>2358</v>
      </c>
      <c r="F523" s="12" t="s">
        <v>467</v>
      </c>
      <c r="G523" s="12" t="s">
        <v>2349</v>
      </c>
      <c r="H523" s="12" t="s">
        <v>37</v>
      </c>
      <c r="I523" s="12" t="s">
        <v>26</v>
      </c>
      <c r="J523" s="13" t="s">
        <v>2334</v>
      </c>
      <c r="K523" s="14" t="s">
        <v>2359</v>
      </c>
      <c r="L523" s="15">
        <v>1</v>
      </c>
      <c r="M523" s="15" t="s">
        <v>144</v>
      </c>
      <c r="N523" s="16">
        <v>45733</v>
      </c>
      <c r="O523" s="12" t="s">
        <v>2357</v>
      </c>
      <c r="P523" s="14" t="s">
        <v>2360</v>
      </c>
      <c r="Q523" s="17" t="s">
        <v>137</v>
      </c>
      <c r="R523" s="17" t="s">
        <v>146</v>
      </c>
    </row>
    <row r="524" spans="1:18" x14ac:dyDescent="0.3">
      <c r="A524" s="12" t="s">
        <v>2361</v>
      </c>
      <c r="B524" s="12" t="s">
        <v>12</v>
      </c>
      <c r="C524" s="12"/>
      <c r="D524" s="12" t="s">
        <v>12</v>
      </c>
      <c r="E524" s="12" t="s">
        <v>2362</v>
      </c>
      <c r="F524" s="12"/>
      <c r="G524" s="12" t="s">
        <v>2349</v>
      </c>
      <c r="H524" s="12" t="s">
        <v>37</v>
      </c>
      <c r="I524" s="12" t="s">
        <v>26</v>
      </c>
      <c r="J524" s="13" t="s">
        <v>2334</v>
      </c>
      <c r="K524" s="14" t="s">
        <v>2363</v>
      </c>
      <c r="L524" s="15">
        <v>0</v>
      </c>
      <c r="M524" s="15" t="s">
        <v>144</v>
      </c>
      <c r="N524" s="16">
        <v>45483</v>
      </c>
      <c r="O524" s="12" t="s">
        <v>2364</v>
      </c>
      <c r="P524" s="14" t="s">
        <v>2365</v>
      </c>
      <c r="Q524" s="17" t="s">
        <v>137</v>
      </c>
      <c r="R524" s="17" t="s">
        <v>146</v>
      </c>
    </row>
    <row r="525" spans="1:18" x14ac:dyDescent="0.3">
      <c r="A525" s="12" t="s">
        <v>2366</v>
      </c>
      <c r="B525" s="12" t="s">
        <v>14</v>
      </c>
      <c r="C525" s="12"/>
      <c r="D525" s="12" t="s">
        <v>14</v>
      </c>
      <c r="E525" s="12" t="s">
        <v>2367</v>
      </c>
      <c r="F525" s="12" t="s">
        <v>195</v>
      </c>
      <c r="G525" s="12" t="s">
        <v>2349</v>
      </c>
      <c r="H525" s="12" t="s">
        <v>37</v>
      </c>
      <c r="I525" s="12" t="s">
        <v>26</v>
      </c>
      <c r="J525" s="13" t="s">
        <v>2056</v>
      </c>
      <c r="K525" s="14" t="s">
        <v>2368</v>
      </c>
      <c r="L525" s="15">
        <v>0</v>
      </c>
      <c r="M525" s="15" t="s">
        <v>144</v>
      </c>
      <c r="N525" s="16">
        <v>44788</v>
      </c>
      <c r="O525" s="12" t="s">
        <v>2366</v>
      </c>
      <c r="P525" s="14" t="s">
        <v>2369</v>
      </c>
      <c r="Q525" s="17" t="s">
        <v>137</v>
      </c>
      <c r="R525" s="17" t="s">
        <v>146</v>
      </c>
    </row>
    <row r="526" spans="1:18" x14ac:dyDescent="0.3">
      <c r="A526" s="12" t="s">
        <v>2370</v>
      </c>
      <c r="B526" s="12" t="s">
        <v>12</v>
      </c>
      <c r="C526" s="12"/>
      <c r="D526" s="12" t="s">
        <v>12</v>
      </c>
      <c r="E526" s="12" t="s">
        <v>2371</v>
      </c>
      <c r="F526" s="12" t="s">
        <v>2372</v>
      </c>
      <c r="G526" s="12" t="s">
        <v>2349</v>
      </c>
      <c r="H526" s="12" t="s">
        <v>37</v>
      </c>
      <c r="I526" s="12" t="s">
        <v>26</v>
      </c>
      <c r="J526" s="13" t="s">
        <v>2334</v>
      </c>
      <c r="K526" s="14" t="s">
        <v>2373</v>
      </c>
      <c r="L526" s="15">
        <v>1</v>
      </c>
      <c r="M526" s="15" t="s">
        <v>144</v>
      </c>
      <c r="N526" s="16">
        <v>44937</v>
      </c>
      <c r="O526" s="12" t="s">
        <v>2370</v>
      </c>
      <c r="P526" s="14" t="s">
        <v>2374</v>
      </c>
      <c r="Q526" s="17" t="s">
        <v>137</v>
      </c>
      <c r="R526" s="17" t="s">
        <v>146</v>
      </c>
    </row>
    <row r="527" spans="1:18" x14ac:dyDescent="0.3">
      <c r="A527" s="12" t="s">
        <v>2375</v>
      </c>
      <c r="B527" s="12" t="s">
        <v>14</v>
      </c>
      <c r="C527" s="12"/>
      <c r="D527" s="12" t="s">
        <v>14</v>
      </c>
      <c r="E527" s="12" t="s">
        <v>2376</v>
      </c>
      <c r="F527" s="12"/>
      <c r="G527" s="12" t="s">
        <v>2349</v>
      </c>
      <c r="H527" s="12" t="s">
        <v>37</v>
      </c>
      <c r="I527" s="12" t="s">
        <v>26</v>
      </c>
      <c r="J527" s="13" t="s">
        <v>2334</v>
      </c>
      <c r="K527" s="14" t="s">
        <v>2377</v>
      </c>
      <c r="L527" s="15">
        <v>2</v>
      </c>
      <c r="M527" s="15" t="s">
        <v>144</v>
      </c>
      <c r="N527" s="16">
        <v>45911</v>
      </c>
      <c r="O527" s="12" t="s">
        <v>2375</v>
      </c>
      <c r="P527" s="14" t="s">
        <v>2378</v>
      </c>
      <c r="Q527" s="17" t="s">
        <v>137</v>
      </c>
      <c r="R527" s="17" t="s">
        <v>146</v>
      </c>
    </row>
    <row r="528" spans="1:18" x14ac:dyDescent="0.3">
      <c r="A528" s="12" t="s">
        <v>2379</v>
      </c>
      <c r="B528" s="12" t="s">
        <v>12</v>
      </c>
      <c r="C528" s="12"/>
      <c r="D528" s="12" t="s">
        <v>12</v>
      </c>
      <c r="E528" s="12" t="s">
        <v>2380</v>
      </c>
      <c r="F528" s="12" t="s">
        <v>447</v>
      </c>
      <c r="G528" s="12" t="s">
        <v>2349</v>
      </c>
      <c r="H528" s="12" t="s">
        <v>37</v>
      </c>
      <c r="I528" s="12" t="s">
        <v>26</v>
      </c>
      <c r="J528" s="13" t="s">
        <v>2334</v>
      </c>
      <c r="K528" s="14" t="s">
        <v>2381</v>
      </c>
      <c r="L528" s="15">
        <v>2</v>
      </c>
      <c r="M528" s="15" t="s">
        <v>144</v>
      </c>
      <c r="N528" s="16">
        <v>44761</v>
      </c>
      <c r="O528" s="12" t="s">
        <v>2382</v>
      </c>
      <c r="P528" s="14" t="s">
        <v>2383</v>
      </c>
      <c r="Q528" s="17" t="s">
        <v>137</v>
      </c>
      <c r="R528" s="17" t="s">
        <v>146</v>
      </c>
    </row>
    <row r="529" spans="1:18" x14ac:dyDescent="0.3">
      <c r="A529" s="12" t="s">
        <v>2384</v>
      </c>
      <c r="B529" s="12" t="s">
        <v>12</v>
      </c>
      <c r="C529" s="12"/>
      <c r="D529" s="12" t="s">
        <v>12</v>
      </c>
      <c r="E529" s="12" t="s">
        <v>2385</v>
      </c>
      <c r="F529" s="12"/>
      <c r="G529" s="12" t="s">
        <v>2386</v>
      </c>
      <c r="H529" s="12" t="s">
        <v>47</v>
      </c>
      <c r="I529" s="12" t="s">
        <v>26</v>
      </c>
      <c r="J529" s="13" t="s">
        <v>2387</v>
      </c>
      <c r="K529" s="14" t="s">
        <v>2388</v>
      </c>
      <c r="L529" s="15">
        <v>1</v>
      </c>
      <c r="M529" s="15" t="s">
        <v>144</v>
      </c>
      <c r="N529" s="16">
        <v>46254</v>
      </c>
      <c r="O529" s="12" t="s">
        <v>2384</v>
      </c>
      <c r="P529" s="14" t="s">
        <v>2389</v>
      </c>
      <c r="Q529" s="17" t="s">
        <v>137</v>
      </c>
      <c r="R529" s="17" t="s">
        <v>146</v>
      </c>
    </row>
    <row r="530" spans="1:18" x14ac:dyDescent="0.3">
      <c r="A530" s="12" t="s">
        <v>2390</v>
      </c>
      <c r="B530" s="12" t="s">
        <v>12</v>
      </c>
      <c r="C530" s="12"/>
      <c r="D530" s="12" t="s">
        <v>12</v>
      </c>
      <c r="E530" s="12" t="s">
        <v>2391</v>
      </c>
      <c r="F530" s="12"/>
      <c r="G530" s="12" t="s">
        <v>2392</v>
      </c>
      <c r="H530" s="12" t="s">
        <v>47</v>
      </c>
      <c r="I530" s="12" t="s">
        <v>26</v>
      </c>
      <c r="J530" s="13" t="s">
        <v>2393</v>
      </c>
      <c r="K530" s="14" t="s">
        <v>2394</v>
      </c>
      <c r="L530" s="15">
        <v>0</v>
      </c>
      <c r="M530" s="15" t="s">
        <v>144</v>
      </c>
      <c r="N530" s="16">
        <v>44573</v>
      </c>
      <c r="O530" s="12" t="s">
        <v>2390</v>
      </c>
      <c r="P530" s="14" t="s">
        <v>2395</v>
      </c>
      <c r="Q530" s="17" t="s">
        <v>137</v>
      </c>
      <c r="R530" s="17" t="s">
        <v>146</v>
      </c>
    </row>
    <row r="531" spans="1:18" x14ac:dyDescent="0.3">
      <c r="A531" s="12" t="s">
        <v>2396</v>
      </c>
      <c r="B531" s="12" t="s">
        <v>12</v>
      </c>
      <c r="C531" s="12"/>
      <c r="D531" s="12" t="s">
        <v>12</v>
      </c>
      <c r="E531" s="12" t="s">
        <v>2397</v>
      </c>
      <c r="F531" s="12" t="s">
        <v>1191</v>
      </c>
      <c r="G531" s="12" t="s">
        <v>2398</v>
      </c>
      <c r="H531" s="12" t="s">
        <v>47</v>
      </c>
      <c r="I531" s="12" t="s">
        <v>26</v>
      </c>
      <c r="J531" s="13" t="s">
        <v>2399</v>
      </c>
      <c r="K531" s="14" t="s">
        <v>2400</v>
      </c>
      <c r="L531" s="15">
        <v>1</v>
      </c>
      <c r="M531" s="15" t="s">
        <v>144</v>
      </c>
      <c r="N531" s="16">
        <v>45043</v>
      </c>
      <c r="O531" s="12" t="s">
        <v>2396</v>
      </c>
      <c r="P531" s="14" t="s">
        <v>2401</v>
      </c>
      <c r="Q531" s="17" t="s">
        <v>137</v>
      </c>
      <c r="R531" s="17" t="s">
        <v>146</v>
      </c>
    </row>
    <row r="532" spans="1:18" x14ac:dyDescent="0.3">
      <c r="A532" s="12" t="s">
        <v>2402</v>
      </c>
      <c r="B532" s="12" t="s">
        <v>12</v>
      </c>
      <c r="C532" s="12"/>
      <c r="D532" s="12" t="s">
        <v>12</v>
      </c>
      <c r="E532" s="12" t="s">
        <v>2403</v>
      </c>
      <c r="F532" s="12"/>
      <c r="G532" s="12" t="s">
        <v>2398</v>
      </c>
      <c r="H532" s="12" t="s">
        <v>47</v>
      </c>
      <c r="I532" s="12" t="s">
        <v>26</v>
      </c>
      <c r="J532" s="13" t="s">
        <v>2399</v>
      </c>
      <c r="K532" s="14" t="s">
        <v>2404</v>
      </c>
      <c r="L532" s="15">
        <v>1</v>
      </c>
      <c r="M532" s="15" t="s">
        <v>144</v>
      </c>
      <c r="N532" s="16">
        <v>45671</v>
      </c>
      <c r="O532" s="12" t="s">
        <v>2402</v>
      </c>
      <c r="P532" s="14" t="s">
        <v>2405</v>
      </c>
      <c r="Q532" s="17" t="s">
        <v>137</v>
      </c>
      <c r="R532" s="17" t="s">
        <v>146</v>
      </c>
    </row>
    <row r="533" spans="1:18" x14ac:dyDescent="0.3">
      <c r="A533" s="12" t="s">
        <v>2406</v>
      </c>
      <c r="B533" s="12" t="s">
        <v>12</v>
      </c>
      <c r="C533" s="12"/>
      <c r="D533" s="12" t="s">
        <v>12</v>
      </c>
      <c r="E533" s="12" t="s">
        <v>2407</v>
      </c>
      <c r="F533" s="12" t="s">
        <v>447</v>
      </c>
      <c r="G533" s="12" t="s">
        <v>2398</v>
      </c>
      <c r="H533" s="12" t="s">
        <v>47</v>
      </c>
      <c r="I533" s="12" t="s">
        <v>26</v>
      </c>
      <c r="J533" s="13" t="s">
        <v>2399</v>
      </c>
      <c r="K533" s="14" t="s">
        <v>2408</v>
      </c>
      <c r="L533" s="15">
        <v>2</v>
      </c>
      <c r="M533" s="15" t="s">
        <v>144</v>
      </c>
      <c r="N533" s="16">
        <v>45457</v>
      </c>
      <c r="O533" s="12" t="s">
        <v>2406</v>
      </c>
      <c r="P533" s="14" t="s">
        <v>2409</v>
      </c>
      <c r="Q533" s="17" t="s">
        <v>137</v>
      </c>
      <c r="R533" s="17" t="s">
        <v>146</v>
      </c>
    </row>
    <row r="534" spans="1:18" x14ac:dyDescent="0.3">
      <c r="A534" s="12" t="s">
        <v>2410</v>
      </c>
      <c r="B534" s="12" t="s">
        <v>12</v>
      </c>
      <c r="C534" s="12"/>
      <c r="D534" s="12" t="s">
        <v>12</v>
      </c>
      <c r="E534" s="12" t="s">
        <v>2411</v>
      </c>
      <c r="F534" s="12"/>
      <c r="G534" s="12" t="s">
        <v>2398</v>
      </c>
      <c r="H534" s="12" t="s">
        <v>47</v>
      </c>
      <c r="I534" s="12" t="s">
        <v>26</v>
      </c>
      <c r="J534" s="13" t="s">
        <v>2399</v>
      </c>
      <c r="K534" s="14" t="s">
        <v>2412</v>
      </c>
      <c r="L534" s="15">
        <v>0</v>
      </c>
      <c r="M534" s="15" t="s">
        <v>144</v>
      </c>
      <c r="N534" s="16">
        <v>45688</v>
      </c>
      <c r="O534" s="12" t="s">
        <v>2413</v>
      </c>
      <c r="P534" s="14" t="s">
        <v>2414</v>
      </c>
      <c r="Q534" s="17" t="s">
        <v>137</v>
      </c>
      <c r="R534" s="17" t="s">
        <v>146</v>
      </c>
    </row>
    <row r="535" spans="1:18" x14ac:dyDescent="0.3">
      <c r="A535" s="12" t="s">
        <v>307</v>
      </c>
      <c r="B535" s="12" t="s">
        <v>14</v>
      </c>
      <c r="C535" s="12"/>
      <c r="D535" s="12" t="s">
        <v>14</v>
      </c>
      <c r="E535" s="12" t="s">
        <v>2415</v>
      </c>
      <c r="F535" s="12" t="s">
        <v>248</v>
      </c>
      <c r="G535" s="12" t="s">
        <v>2398</v>
      </c>
      <c r="H535" s="12" t="s">
        <v>47</v>
      </c>
      <c r="I535" s="12" t="s">
        <v>26</v>
      </c>
      <c r="J535" s="13" t="s">
        <v>2399</v>
      </c>
      <c r="K535" s="14" t="s">
        <v>1291</v>
      </c>
      <c r="L535" s="15">
        <v>1</v>
      </c>
      <c r="M535" s="15" t="s">
        <v>144</v>
      </c>
      <c r="N535" s="16">
        <v>46275</v>
      </c>
      <c r="O535" s="12" t="s">
        <v>307</v>
      </c>
      <c r="P535" s="14" t="s">
        <v>310</v>
      </c>
      <c r="Q535" s="17" t="s">
        <v>137</v>
      </c>
      <c r="R535" s="17" t="s">
        <v>146</v>
      </c>
    </row>
    <row r="536" spans="1:18" x14ac:dyDescent="0.3">
      <c r="A536" s="12" t="s">
        <v>2416</v>
      </c>
      <c r="B536" s="12" t="s">
        <v>20</v>
      </c>
      <c r="C536" s="12"/>
      <c r="D536" s="12" t="s">
        <v>193</v>
      </c>
      <c r="E536" s="12" t="s">
        <v>2417</v>
      </c>
      <c r="F536" s="12" t="s">
        <v>2418</v>
      </c>
      <c r="G536" s="12" t="s">
        <v>2419</v>
      </c>
      <c r="H536" s="12" t="s">
        <v>47</v>
      </c>
      <c r="I536" s="12" t="s">
        <v>26</v>
      </c>
      <c r="J536" s="13" t="s">
        <v>2420</v>
      </c>
      <c r="K536" s="14" t="s">
        <v>1094</v>
      </c>
      <c r="L536" s="15">
        <v>2</v>
      </c>
      <c r="M536" s="15" t="s">
        <v>144</v>
      </c>
      <c r="N536" s="16">
        <v>44896</v>
      </c>
      <c r="O536" s="12" t="s">
        <v>1095</v>
      </c>
      <c r="P536" s="14" t="s">
        <v>1096</v>
      </c>
      <c r="Q536" s="17" t="s">
        <v>137</v>
      </c>
      <c r="R536" s="17" t="s">
        <v>146</v>
      </c>
    </row>
    <row r="537" spans="1:18" x14ac:dyDescent="0.3">
      <c r="A537" s="12" t="s">
        <v>2402</v>
      </c>
      <c r="B537" s="12" t="s">
        <v>12</v>
      </c>
      <c r="C537" s="12"/>
      <c r="D537" s="12" t="s">
        <v>12</v>
      </c>
      <c r="E537" s="12" t="s">
        <v>2421</v>
      </c>
      <c r="F537" s="12" t="s">
        <v>832</v>
      </c>
      <c r="G537" s="12" t="s">
        <v>2419</v>
      </c>
      <c r="H537" s="12" t="s">
        <v>47</v>
      </c>
      <c r="I537" s="12" t="s">
        <v>26</v>
      </c>
      <c r="J537" s="13" t="s">
        <v>2420</v>
      </c>
      <c r="K537" s="14" t="s">
        <v>2404</v>
      </c>
      <c r="L537" s="15">
        <v>2</v>
      </c>
      <c r="M537" s="15" t="s">
        <v>144</v>
      </c>
      <c r="N537" s="16">
        <v>45671</v>
      </c>
      <c r="O537" s="12" t="s">
        <v>2402</v>
      </c>
      <c r="P537" s="14" t="s">
        <v>2405</v>
      </c>
      <c r="Q537" s="17" t="s">
        <v>137</v>
      </c>
      <c r="R537" s="17" t="s">
        <v>146</v>
      </c>
    </row>
    <row r="538" spans="1:18" x14ac:dyDescent="0.3">
      <c r="A538" s="12" t="s">
        <v>2422</v>
      </c>
      <c r="B538" s="12" t="s">
        <v>14</v>
      </c>
      <c r="C538" s="12"/>
      <c r="D538" s="12" t="s">
        <v>14</v>
      </c>
      <c r="E538" s="12" t="s">
        <v>2423</v>
      </c>
      <c r="F538" s="12"/>
      <c r="G538" s="12" t="s">
        <v>2419</v>
      </c>
      <c r="H538" s="12" t="s">
        <v>47</v>
      </c>
      <c r="I538" s="12" t="s">
        <v>26</v>
      </c>
      <c r="J538" s="13" t="s">
        <v>2420</v>
      </c>
      <c r="K538" s="14" t="s">
        <v>2424</v>
      </c>
      <c r="L538" s="15">
        <v>0</v>
      </c>
      <c r="M538" s="15" t="s">
        <v>144</v>
      </c>
      <c r="N538" s="16">
        <v>45894</v>
      </c>
      <c r="O538" s="12" t="s">
        <v>2425</v>
      </c>
      <c r="P538" s="14" t="s">
        <v>2426</v>
      </c>
      <c r="Q538" s="17" t="s">
        <v>137</v>
      </c>
      <c r="R538" s="17" t="s">
        <v>146</v>
      </c>
    </row>
    <row r="539" spans="1:18" x14ac:dyDescent="0.3">
      <c r="A539" s="12" t="s">
        <v>2427</v>
      </c>
      <c r="B539" s="12" t="s">
        <v>12</v>
      </c>
      <c r="C539" s="12"/>
      <c r="D539" s="12" t="s">
        <v>12</v>
      </c>
      <c r="E539" s="12" t="s">
        <v>2428</v>
      </c>
      <c r="F539" s="12" t="s">
        <v>2218</v>
      </c>
      <c r="G539" s="12" t="s">
        <v>2419</v>
      </c>
      <c r="H539" s="12" t="s">
        <v>47</v>
      </c>
      <c r="I539" s="12" t="s">
        <v>26</v>
      </c>
      <c r="J539" s="13" t="s">
        <v>2420</v>
      </c>
      <c r="K539" s="14" t="s">
        <v>2429</v>
      </c>
      <c r="L539" s="15">
        <v>0</v>
      </c>
      <c r="M539" s="15" t="s">
        <v>144</v>
      </c>
      <c r="N539" s="16">
        <v>44587</v>
      </c>
      <c r="O539" s="12" t="s">
        <v>2427</v>
      </c>
      <c r="P539" s="14" t="s">
        <v>2430</v>
      </c>
      <c r="Q539" s="17" t="s">
        <v>137</v>
      </c>
      <c r="R539" s="17" t="s">
        <v>146</v>
      </c>
    </row>
    <row r="540" spans="1:18" x14ac:dyDescent="0.3">
      <c r="A540" s="12" t="s">
        <v>2431</v>
      </c>
      <c r="B540" s="12" t="s">
        <v>18</v>
      </c>
      <c r="C540" s="12"/>
      <c r="D540" s="12" t="s">
        <v>223</v>
      </c>
      <c r="E540" s="12" t="s">
        <v>2432</v>
      </c>
      <c r="F540" s="12"/>
      <c r="G540" s="12" t="s">
        <v>2419</v>
      </c>
      <c r="H540" s="12" t="s">
        <v>47</v>
      </c>
      <c r="I540" s="12" t="s">
        <v>26</v>
      </c>
      <c r="J540" s="13" t="s">
        <v>2420</v>
      </c>
      <c r="K540" s="14" t="s">
        <v>2433</v>
      </c>
      <c r="L540" s="15">
        <v>0</v>
      </c>
      <c r="M540" s="15" t="s">
        <v>144</v>
      </c>
      <c r="N540" s="16"/>
      <c r="O540" s="12" t="s">
        <v>2431</v>
      </c>
      <c r="P540" s="14"/>
      <c r="Q540" s="17" t="s">
        <v>137</v>
      </c>
      <c r="R540" s="15" t="s">
        <v>1536</v>
      </c>
    </row>
    <row r="541" spans="1:18" x14ac:dyDescent="0.3">
      <c r="A541" s="12" t="s">
        <v>186</v>
      </c>
      <c r="B541" s="12" t="s">
        <v>14</v>
      </c>
      <c r="C541" s="12"/>
      <c r="D541" s="12" t="s">
        <v>14</v>
      </c>
      <c r="E541" s="12" t="s">
        <v>2434</v>
      </c>
      <c r="F541" s="12"/>
      <c r="G541" s="12" t="s">
        <v>2435</v>
      </c>
      <c r="H541" s="12" t="s">
        <v>47</v>
      </c>
      <c r="I541" s="12" t="s">
        <v>26</v>
      </c>
      <c r="J541" s="13" t="s">
        <v>2436</v>
      </c>
      <c r="K541" s="14" t="s">
        <v>2437</v>
      </c>
      <c r="L541" s="15">
        <v>1</v>
      </c>
      <c r="M541" s="15" t="s">
        <v>144</v>
      </c>
      <c r="N541" s="16">
        <v>46211</v>
      </c>
      <c r="O541" s="12" t="s">
        <v>190</v>
      </c>
      <c r="P541" s="14" t="s">
        <v>2438</v>
      </c>
      <c r="Q541" s="17" t="s">
        <v>137</v>
      </c>
      <c r="R541" s="17" t="s">
        <v>146</v>
      </c>
    </row>
    <row r="542" spans="1:18" x14ac:dyDescent="0.3">
      <c r="A542" s="12" t="s">
        <v>2439</v>
      </c>
      <c r="B542" s="12" t="s">
        <v>20</v>
      </c>
      <c r="C542" s="12"/>
      <c r="D542" s="12" t="s">
        <v>193</v>
      </c>
      <c r="E542" s="12" t="s">
        <v>2440</v>
      </c>
      <c r="F542" s="12"/>
      <c r="G542" s="12" t="s">
        <v>2435</v>
      </c>
      <c r="H542" s="12" t="s">
        <v>47</v>
      </c>
      <c r="I542" s="12" t="s">
        <v>26</v>
      </c>
      <c r="J542" s="13" t="s">
        <v>2436</v>
      </c>
      <c r="K542" s="14" t="s">
        <v>1094</v>
      </c>
      <c r="L542" s="15">
        <v>0</v>
      </c>
      <c r="M542" s="15" t="s">
        <v>144</v>
      </c>
      <c r="N542" s="16">
        <v>44896</v>
      </c>
      <c r="O542" s="12" t="s">
        <v>1095</v>
      </c>
      <c r="P542" s="14" t="s">
        <v>1096</v>
      </c>
      <c r="Q542" s="17" t="s">
        <v>137</v>
      </c>
      <c r="R542" s="17" t="s">
        <v>146</v>
      </c>
    </row>
    <row r="543" spans="1:18" x14ac:dyDescent="0.3">
      <c r="A543" s="12" t="s">
        <v>2441</v>
      </c>
      <c r="B543" s="12" t="s">
        <v>12</v>
      </c>
      <c r="C543" s="12"/>
      <c r="D543" s="12" t="s">
        <v>12</v>
      </c>
      <c r="E543" s="12" t="s">
        <v>2442</v>
      </c>
      <c r="F543" s="12"/>
      <c r="G543" s="12" t="s">
        <v>2435</v>
      </c>
      <c r="H543" s="12" t="s">
        <v>47</v>
      </c>
      <c r="I543" s="12" t="s">
        <v>26</v>
      </c>
      <c r="J543" s="13" t="s">
        <v>2436</v>
      </c>
      <c r="K543" s="14" t="s">
        <v>2443</v>
      </c>
      <c r="L543" s="15">
        <v>2</v>
      </c>
      <c r="M543" s="15" t="s">
        <v>144</v>
      </c>
      <c r="N543" s="16">
        <v>45770</v>
      </c>
      <c r="O543" s="12" t="s">
        <v>2441</v>
      </c>
      <c r="P543" s="14" t="s">
        <v>2444</v>
      </c>
      <c r="Q543" s="17" t="s">
        <v>137</v>
      </c>
      <c r="R543" s="17" t="s">
        <v>146</v>
      </c>
    </row>
    <row r="544" spans="1:18" x14ac:dyDescent="0.3">
      <c r="A544" s="12" t="s">
        <v>215</v>
      </c>
      <c r="B544" s="12" t="s">
        <v>10</v>
      </c>
      <c r="C544" s="12"/>
      <c r="D544" s="12" t="s">
        <v>647</v>
      </c>
      <c r="E544" s="12" t="s">
        <v>2434</v>
      </c>
      <c r="F544" s="12"/>
      <c r="G544" s="12" t="s">
        <v>2435</v>
      </c>
      <c r="H544" s="12" t="s">
        <v>47</v>
      </c>
      <c r="I544" s="12" t="s">
        <v>26</v>
      </c>
      <c r="J544" s="13" t="s">
        <v>2436</v>
      </c>
      <c r="K544" s="14" t="s">
        <v>219</v>
      </c>
      <c r="L544" s="15">
        <v>0</v>
      </c>
      <c r="M544" s="15" t="s">
        <v>144</v>
      </c>
      <c r="N544" s="16">
        <v>45818</v>
      </c>
      <c r="O544" s="12" t="s">
        <v>215</v>
      </c>
      <c r="P544" s="14" t="s">
        <v>2445</v>
      </c>
      <c r="Q544" s="17" t="s">
        <v>137</v>
      </c>
      <c r="R544" s="17" t="s">
        <v>146</v>
      </c>
    </row>
    <row r="545" spans="1:18" x14ac:dyDescent="0.3">
      <c r="A545" s="12" t="s">
        <v>222</v>
      </c>
      <c r="B545" s="12" t="s">
        <v>18</v>
      </c>
      <c r="C545" s="12"/>
      <c r="D545" s="12" t="s">
        <v>967</v>
      </c>
      <c r="E545" s="12" t="s">
        <v>2446</v>
      </c>
      <c r="F545" s="12"/>
      <c r="G545" s="12" t="s">
        <v>2435</v>
      </c>
      <c r="H545" s="12" t="s">
        <v>47</v>
      </c>
      <c r="I545" s="12" t="s">
        <v>26</v>
      </c>
      <c r="J545" s="13" t="s">
        <v>2436</v>
      </c>
      <c r="K545" s="14" t="s">
        <v>656</v>
      </c>
      <c r="L545" s="15">
        <v>1</v>
      </c>
      <c r="M545" s="15" t="s">
        <v>144</v>
      </c>
      <c r="N545" s="16">
        <v>45545</v>
      </c>
      <c r="O545" s="12" t="s">
        <v>969</v>
      </c>
      <c r="P545" s="14" t="s">
        <v>970</v>
      </c>
      <c r="Q545" s="17" t="s">
        <v>137</v>
      </c>
      <c r="R545" s="17" t="s">
        <v>146</v>
      </c>
    </row>
    <row r="546" spans="1:18" x14ac:dyDescent="0.3">
      <c r="A546" s="12" t="s">
        <v>2447</v>
      </c>
      <c r="B546" s="12" t="s">
        <v>14</v>
      </c>
      <c r="C546" s="12"/>
      <c r="D546" s="12" t="s">
        <v>14</v>
      </c>
      <c r="E546" s="12" t="s">
        <v>2448</v>
      </c>
      <c r="F546" s="12"/>
      <c r="G546" s="12" t="s">
        <v>71</v>
      </c>
      <c r="H546" s="12" t="s">
        <v>52</v>
      </c>
      <c r="I546" s="12" t="s">
        <v>26</v>
      </c>
      <c r="J546" s="13" t="s">
        <v>2449</v>
      </c>
      <c r="K546" s="14" t="s">
        <v>2450</v>
      </c>
      <c r="L546" s="15">
        <v>0</v>
      </c>
      <c r="M546" s="15" t="s">
        <v>144</v>
      </c>
      <c r="N546" s="16">
        <v>45832</v>
      </c>
      <c r="O546" s="12" t="s">
        <v>2447</v>
      </c>
      <c r="P546" s="14" t="s">
        <v>2451</v>
      </c>
      <c r="Q546" s="17" t="s">
        <v>137</v>
      </c>
      <c r="R546" s="17" t="s">
        <v>146</v>
      </c>
    </row>
    <row r="547" spans="1:18" x14ac:dyDescent="0.3">
      <c r="A547" s="12" t="s">
        <v>307</v>
      </c>
      <c r="B547" s="12" t="s">
        <v>14</v>
      </c>
      <c r="C547" s="12"/>
      <c r="D547" s="12" t="s">
        <v>14</v>
      </c>
      <c r="E547" s="12" t="s">
        <v>2452</v>
      </c>
      <c r="F547" s="12" t="s">
        <v>2453</v>
      </c>
      <c r="G547" s="12" t="s">
        <v>2454</v>
      </c>
      <c r="H547" s="12" t="s">
        <v>52</v>
      </c>
      <c r="I547" s="12" t="s">
        <v>26</v>
      </c>
      <c r="J547" s="13" t="s">
        <v>2455</v>
      </c>
      <c r="K547" s="14" t="s">
        <v>2456</v>
      </c>
      <c r="L547" s="15">
        <v>3</v>
      </c>
      <c r="M547" s="15" t="s">
        <v>144</v>
      </c>
      <c r="N547" s="16">
        <v>46275</v>
      </c>
      <c r="O547" s="12" t="s">
        <v>307</v>
      </c>
      <c r="P547" s="14" t="s">
        <v>310</v>
      </c>
      <c r="Q547" s="17" t="s">
        <v>137</v>
      </c>
      <c r="R547" s="17" t="s">
        <v>146</v>
      </c>
    </row>
    <row r="548" spans="1:18" x14ac:dyDescent="0.3">
      <c r="A548" s="12" t="s">
        <v>2457</v>
      </c>
      <c r="B548" s="12" t="s">
        <v>12</v>
      </c>
      <c r="C548" s="12"/>
      <c r="D548" s="12" t="s">
        <v>12</v>
      </c>
      <c r="E548" s="12" t="s">
        <v>2458</v>
      </c>
      <c r="F548" s="12"/>
      <c r="G548" s="12" t="s">
        <v>2454</v>
      </c>
      <c r="H548" s="12" t="s">
        <v>52</v>
      </c>
      <c r="I548" s="12" t="s">
        <v>26</v>
      </c>
      <c r="J548" s="13" t="s">
        <v>2455</v>
      </c>
      <c r="K548" s="14" t="s">
        <v>2459</v>
      </c>
      <c r="L548" s="15">
        <v>0</v>
      </c>
      <c r="M548" s="15" t="s">
        <v>144</v>
      </c>
      <c r="N548" s="16">
        <v>44763</v>
      </c>
      <c r="O548" s="12" t="s">
        <v>2457</v>
      </c>
      <c r="P548" s="14" t="s">
        <v>2460</v>
      </c>
      <c r="Q548" s="17" t="s">
        <v>137</v>
      </c>
      <c r="R548" s="17" t="s">
        <v>146</v>
      </c>
    </row>
    <row r="549" spans="1:18" x14ac:dyDescent="0.3">
      <c r="A549" s="12" t="s">
        <v>2461</v>
      </c>
      <c r="B549" s="12" t="s">
        <v>20</v>
      </c>
      <c r="C549" s="12"/>
      <c r="D549" s="12" t="s">
        <v>193</v>
      </c>
      <c r="E549" s="12" t="s">
        <v>2462</v>
      </c>
      <c r="F549" s="12"/>
      <c r="G549" s="12" t="s">
        <v>2463</v>
      </c>
      <c r="H549" s="12" t="s">
        <v>52</v>
      </c>
      <c r="I549" s="12" t="s">
        <v>26</v>
      </c>
      <c r="J549" s="13" t="s">
        <v>2464</v>
      </c>
      <c r="K549" s="14" t="s">
        <v>2465</v>
      </c>
      <c r="L549" s="15">
        <v>1</v>
      </c>
      <c r="M549" s="15" t="s">
        <v>144</v>
      </c>
      <c r="N549" s="16">
        <v>45231</v>
      </c>
      <c r="O549" s="12" t="s">
        <v>241</v>
      </c>
      <c r="P549" s="14" t="s">
        <v>242</v>
      </c>
      <c r="Q549" s="17" t="s">
        <v>137</v>
      </c>
      <c r="R549" s="17" t="s">
        <v>146</v>
      </c>
    </row>
    <row r="550" spans="1:18" x14ac:dyDescent="0.3">
      <c r="A550" s="12" t="s">
        <v>2466</v>
      </c>
      <c r="B550" s="12" t="s">
        <v>12</v>
      </c>
      <c r="C550" s="12"/>
      <c r="D550" s="12" t="s">
        <v>12</v>
      </c>
      <c r="E550" s="12" t="s">
        <v>2467</v>
      </c>
      <c r="F550" s="12" t="s">
        <v>372</v>
      </c>
      <c r="G550" s="12" t="s">
        <v>2463</v>
      </c>
      <c r="H550" s="12" t="s">
        <v>52</v>
      </c>
      <c r="I550" s="12" t="s">
        <v>26</v>
      </c>
      <c r="J550" s="13" t="s">
        <v>2464</v>
      </c>
      <c r="K550" s="14" t="s">
        <v>2468</v>
      </c>
      <c r="L550" s="15">
        <v>1</v>
      </c>
      <c r="M550" s="15" t="s">
        <v>144</v>
      </c>
      <c r="N550" s="16">
        <v>46036</v>
      </c>
      <c r="O550" s="12" t="s">
        <v>2469</v>
      </c>
      <c r="P550" s="14" t="s">
        <v>2470</v>
      </c>
      <c r="Q550" s="17" t="s">
        <v>137</v>
      </c>
      <c r="R550" s="17" t="s">
        <v>146</v>
      </c>
    </row>
    <row r="551" spans="1:18" x14ac:dyDescent="0.3">
      <c r="A551" s="12" t="s">
        <v>1778</v>
      </c>
      <c r="B551" s="12" t="s">
        <v>14</v>
      </c>
      <c r="C551" s="12"/>
      <c r="D551" s="12" t="s">
        <v>14</v>
      </c>
      <c r="E551" s="12" t="s">
        <v>2471</v>
      </c>
      <c r="F551" s="12" t="s">
        <v>1573</v>
      </c>
      <c r="G551" s="12" t="s">
        <v>2463</v>
      </c>
      <c r="H551" s="12" t="s">
        <v>52</v>
      </c>
      <c r="I551" s="12" t="s">
        <v>26</v>
      </c>
      <c r="J551" s="13" t="s">
        <v>2464</v>
      </c>
      <c r="K551" s="14" t="s">
        <v>2472</v>
      </c>
      <c r="L551" s="15">
        <v>5</v>
      </c>
      <c r="M551" s="15" t="s">
        <v>144</v>
      </c>
      <c r="N551" s="16">
        <v>45797</v>
      </c>
      <c r="O551" s="12" t="s">
        <v>2473</v>
      </c>
      <c r="P551" s="14" t="s">
        <v>2474</v>
      </c>
      <c r="Q551" s="17" t="s">
        <v>137</v>
      </c>
      <c r="R551" s="17" t="s">
        <v>146</v>
      </c>
    </row>
    <row r="552" spans="1:18" x14ac:dyDescent="0.3">
      <c r="A552" s="12" t="s">
        <v>2475</v>
      </c>
      <c r="B552" s="12" t="s">
        <v>12</v>
      </c>
      <c r="C552" s="12"/>
      <c r="D552" s="12" t="s">
        <v>12</v>
      </c>
      <c r="E552" s="12" t="s">
        <v>2476</v>
      </c>
      <c r="F552" s="12"/>
      <c r="G552" s="12" t="s">
        <v>2463</v>
      </c>
      <c r="H552" s="12" t="s">
        <v>52</v>
      </c>
      <c r="I552" s="12" t="s">
        <v>26</v>
      </c>
      <c r="J552" s="13" t="s">
        <v>2464</v>
      </c>
      <c r="K552" s="14" t="s">
        <v>2477</v>
      </c>
      <c r="L552" s="15">
        <v>3</v>
      </c>
      <c r="M552" s="15" t="s">
        <v>144</v>
      </c>
      <c r="N552" s="16">
        <v>46018</v>
      </c>
      <c r="O552" s="12" t="s">
        <v>2475</v>
      </c>
      <c r="P552" s="14" t="s">
        <v>2478</v>
      </c>
      <c r="Q552" s="17" t="s">
        <v>137</v>
      </c>
      <c r="R552" s="17" t="s">
        <v>146</v>
      </c>
    </row>
    <row r="553" spans="1:18" x14ac:dyDescent="0.3">
      <c r="A553" s="12" t="s">
        <v>199</v>
      </c>
      <c r="B553" s="12" t="s">
        <v>14</v>
      </c>
      <c r="C553" s="12"/>
      <c r="D553" s="12" t="s">
        <v>14</v>
      </c>
      <c r="E553" s="12" t="s">
        <v>2479</v>
      </c>
      <c r="F553" s="12" t="s">
        <v>372</v>
      </c>
      <c r="G553" s="12" t="s">
        <v>2463</v>
      </c>
      <c r="H553" s="12" t="s">
        <v>52</v>
      </c>
      <c r="I553" s="12" t="s">
        <v>26</v>
      </c>
      <c r="J553" s="13" t="s">
        <v>2464</v>
      </c>
      <c r="K553" s="14" t="s">
        <v>2480</v>
      </c>
      <c r="L553" s="15">
        <v>3</v>
      </c>
      <c r="M553" s="15" t="s">
        <v>144</v>
      </c>
      <c r="N553" s="16">
        <v>45589</v>
      </c>
      <c r="O553" s="12" t="s">
        <v>203</v>
      </c>
      <c r="P553" s="14" t="s">
        <v>2481</v>
      </c>
      <c r="Q553" s="17" t="s">
        <v>137</v>
      </c>
      <c r="R553" s="17" t="s">
        <v>146</v>
      </c>
    </row>
    <row r="554" spans="1:18" x14ac:dyDescent="0.3">
      <c r="A554" s="12" t="s">
        <v>2482</v>
      </c>
      <c r="B554" s="12" t="s">
        <v>12</v>
      </c>
      <c r="C554" s="12"/>
      <c r="D554" s="12" t="s">
        <v>12</v>
      </c>
      <c r="E554" s="12" t="s">
        <v>2483</v>
      </c>
      <c r="F554" s="12" t="s">
        <v>188</v>
      </c>
      <c r="G554" s="12" t="s">
        <v>2463</v>
      </c>
      <c r="H554" s="12" t="s">
        <v>52</v>
      </c>
      <c r="I554" s="12" t="s">
        <v>26</v>
      </c>
      <c r="J554" s="13" t="s">
        <v>2464</v>
      </c>
      <c r="K554" s="14" t="s">
        <v>2484</v>
      </c>
      <c r="L554" s="15">
        <v>1</v>
      </c>
      <c r="M554" s="15" t="s">
        <v>144</v>
      </c>
      <c r="N554" s="16">
        <v>45736</v>
      </c>
      <c r="O554" s="12" t="s">
        <v>2482</v>
      </c>
      <c r="P554" s="14" t="s">
        <v>2485</v>
      </c>
      <c r="Q554" s="17" t="s">
        <v>137</v>
      </c>
      <c r="R554" s="17" t="s">
        <v>146</v>
      </c>
    </row>
    <row r="555" spans="1:18" x14ac:dyDescent="0.3">
      <c r="A555" s="12" t="s">
        <v>215</v>
      </c>
      <c r="B555" s="12" t="s">
        <v>10</v>
      </c>
      <c r="C555" s="12"/>
      <c r="D555" s="12" t="s">
        <v>647</v>
      </c>
      <c r="E555" s="12" t="s">
        <v>2486</v>
      </c>
      <c r="F555" s="12" t="s">
        <v>188</v>
      </c>
      <c r="G555" s="12" t="s">
        <v>2463</v>
      </c>
      <c r="H555" s="12" t="s">
        <v>52</v>
      </c>
      <c r="I555" s="12" t="s">
        <v>26</v>
      </c>
      <c r="J555" s="13" t="s">
        <v>2464</v>
      </c>
      <c r="K555" s="14" t="s">
        <v>294</v>
      </c>
      <c r="L555" s="15">
        <v>0</v>
      </c>
      <c r="M555" s="15" t="s">
        <v>220</v>
      </c>
      <c r="N555" s="16">
        <v>45818</v>
      </c>
      <c r="O555" s="12" t="s">
        <v>215</v>
      </c>
      <c r="P555" s="14" t="s">
        <v>2487</v>
      </c>
      <c r="Q555" s="17" t="s">
        <v>137</v>
      </c>
      <c r="R555" s="17" t="s">
        <v>146</v>
      </c>
    </row>
    <row r="556" spans="1:18" x14ac:dyDescent="0.3">
      <c r="A556" s="12" t="s">
        <v>2457</v>
      </c>
      <c r="B556" s="12" t="s">
        <v>12</v>
      </c>
      <c r="C556" s="12"/>
      <c r="D556" s="12" t="s">
        <v>12</v>
      </c>
      <c r="E556" s="12" t="s">
        <v>2488</v>
      </c>
      <c r="F556" s="12"/>
      <c r="G556" s="12" t="s">
        <v>2463</v>
      </c>
      <c r="H556" s="12" t="s">
        <v>52</v>
      </c>
      <c r="I556" s="12" t="s">
        <v>26</v>
      </c>
      <c r="J556" s="13" t="s">
        <v>2464</v>
      </c>
      <c r="K556" s="14" t="s">
        <v>2489</v>
      </c>
      <c r="L556" s="15">
        <v>3</v>
      </c>
      <c r="M556" s="15" t="s">
        <v>144</v>
      </c>
      <c r="N556" s="16">
        <v>44763</v>
      </c>
      <c r="O556" s="12" t="s">
        <v>2457</v>
      </c>
      <c r="P556" s="14" t="s">
        <v>2460</v>
      </c>
      <c r="Q556" s="17" t="s">
        <v>137</v>
      </c>
      <c r="R556" s="17" t="s">
        <v>146</v>
      </c>
    </row>
    <row r="557" spans="1:18" x14ac:dyDescent="0.3">
      <c r="A557" s="12" t="s">
        <v>2490</v>
      </c>
      <c r="B557" s="12" t="s">
        <v>14</v>
      </c>
      <c r="C557" s="12"/>
      <c r="D557" s="12" t="s">
        <v>14</v>
      </c>
      <c r="E557" s="12" t="s">
        <v>2491</v>
      </c>
      <c r="F557" s="12"/>
      <c r="G557" s="12" t="s">
        <v>2492</v>
      </c>
      <c r="H557" s="12" t="s">
        <v>39</v>
      </c>
      <c r="I557" s="12" t="s">
        <v>26</v>
      </c>
      <c r="J557" s="13" t="s">
        <v>2493</v>
      </c>
      <c r="K557" s="14" t="s">
        <v>2494</v>
      </c>
      <c r="L557" s="15">
        <v>0</v>
      </c>
      <c r="M557" s="15" t="s">
        <v>144</v>
      </c>
      <c r="N557" s="16">
        <v>45488</v>
      </c>
      <c r="O557" s="12" t="s">
        <v>2490</v>
      </c>
      <c r="P557" s="14" t="s">
        <v>2495</v>
      </c>
      <c r="Q557" s="17" t="s">
        <v>137</v>
      </c>
      <c r="R557" s="17" t="s">
        <v>146</v>
      </c>
    </row>
    <row r="558" spans="1:18" x14ac:dyDescent="0.3">
      <c r="A558" s="12" t="s">
        <v>2496</v>
      </c>
      <c r="B558" s="12" t="s">
        <v>12</v>
      </c>
      <c r="C558" s="12"/>
      <c r="D558" s="12" t="s">
        <v>12</v>
      </c>
      <c r="E558" s="12" t="s">
        <v>2497</v>
      </c>
      <c r="F558" s="12" t="s">
        <v>188</v>
      </c>
      <c r="G558" s="12" t="s">
        <v>2492</v>
      </c>
      <c r="H558" s="12" t="s">
        <v>39</v>
      </c>
      <c r="I558" s="12" t="s">
        <v>26</v>
      </c>
      <c r="J558" s="13" t="s">
        <v>2493</v>
      </c>
      <c r="K558" s="14" t="s">
        <v>2498</v>
      </c>
      <c r="L558" s="15">
        <v>4</v>
      </c>
      <c r="M558" s="15" t="s">
        <v>144</v>
      </c>
      <c r="N558" s="16">
        <v>45693</v>
      </c>
      <c r="O558" s="12" t="s">
        <v>2499</v>
      </c>
      <c r="P558" s="14" t="s">
        <v>2500</v>
      </c>
      <c r="Q558" s="17" t="s">
        <v>137</v>
      </c>
      <c r="R558" s="17" t="s">
        <v>146</v>
      </c>
    </row>
    <row r="559" spans="1:18" x14ac:dyDescent="0.3">
      <c r="A559" s="12" t="s">
        <v>2501</v>
      </c>
      <c r="B559" s="12" t="s">
        <v>12</v>
      </c>
      <c r="C559" s="12"/>
      <c r="D559" s="12" t="s">
        <v>12</v>
      </c>
      <c r="E559" s="12" t="s">
        <v>2502</v>
      </c>
      <c r="F559" s="12" t="s">
        <v>359</v>
      </c>
      <c r="G559" s="12" t="s">
        <v>2492</v>
      </c>
      <c r="H559" s="12" t="s">
        <v>39</v>
      </c>
      <c r="I559" s="12" t="s">
        <v>26</v>
      </c>
      <c r="J559" s="13" t="s">
        <v>2493</v>
      </c>
      <c r="K559" s="14" t="s">
        <v>2503</v>
      </c>
      <c r="L559" s="15">
        <v>4</v>
      </c>
      <c r="M559" s="15" t="s">
        <v>144</v>
      </c>
      <c r="N559" s="16">
        <v>44993</v>
      </c>
      <c r="O559" s="12" t="s">
        <v>2501</v>
      </c>
      <c r="P559" s="14" t="s">
        <v>2504</v>
      </c>
      <c r="Q559" s="17" t="s">
        <v>137</v>
      </c>
      <c r="R559" s="17" t="s">
        <v>146</v>
      </c>
    </row>
    <row r="560" spans="1:18" x14ac:dyDescent="0.3">
      <c r="A560" s="12" t="s">
        <v>2505</v>
      </c>
      <c r="B560" s="12" t="s">
        <v>14</v>
      </c>
      <c r="C560" s="12"/>
      <c r="D560" s="12" t="s">
        <v>14</v>
      </c>
      <c r="E560" s="12" t="s">
        <v>2506</v>
      </c>
      <c r="F560" s="12" t="s">
        <v>372</v>
      </c>
      <c r="G560" s="12" t="s">
        <v>313</v>
      </c>
      <c r="H560" s="12" t="s">
        <v>39</v>
      </c>
      <c r="I560" s="12" t="s">
        <v>26</v>
      </c>
      <c r="J560" s="13" t="s">
        <v>314</v>
      </c>
      <c r="K560" s="14" t="s">
        <v>2507</v>
      </c>
      <c r="L560" s="15">
        <v>1</v>
      </c>
      <c r="M560" s="15" t="s">
        <v>144</v>
      </c>
      <c r="N560" s="16">
        <v>46132</v>
      </c>
      <c r="O560" s="12" t="s">
        <v>2508</v>
      </c>
      <c r="P560" s="14" t="s">
        <v>2509</v>
      </c>
      <c r="Q560" s="17" t="s">
        <v>137</v>
      </c>
      <c r="R560" s="17" t="s">
        <v>146</v>
      </c>
    </row>
    <row r="561" spans="1:18" x14ac:dyDescent="0.3">
      <c r="A561" s="12" t="s">
        <v>2510</v>
      </c>
      <c r="B561" s="12" t="s">
        <v>18</v>
      </c>
      <c r="C561" s="12"/>
      <c r="D561" s="12" t="s">
        <v>223</v>
      </c>
      <c r="E561" s="12" t="s">
        <v>2511</v>
      </c>
      <c r="F561" s="12" t="s">
        <v>516</v>
      </c>
      <c r="G561" s="12" t="s">
        <v>313</v>
      </c>
      <c r="H561" s="12" t="s">
        <v>39</v>
      </c>
      <c r="I561" s="12" t="s">
        <v>26</v>
      </c>
      <c r="J561" s="13" t="s">
        <v>314</v>
      </c>
      <c r="K561" s="14" t="s">
        <v>2512</v>
      </c>
      <c r="L561" s="15">
        <v>0</v>
      </c>
      <c r="M561" s="15" t="s">
        <v>144</v>
      </c>
      <c r="N561" s="16">
        <v>45295</v>
      </c>
      <c r="O561" s="12" t="s">
        <v>2513</v>
      </c>
      <c r="P561" s="14" t="s">
        <v>2514</v>
      </c>
      <c r="Q561" s="17" t="s">
        <v>137</v>
      </c>
      <c r="R561" s="17" t="s">
        <v>146</v>
      </c>
    </row>
    <row r="562" spans="1:18" x14ac:dyDescent="0.3">
      <c r="A562" s="12" t="s">
        <v>2515</v>
      </c>
      <c r="B562" s="12" t="s">
        <v>10</v>
      </c>
      <c r="C562" s="12"/>
      <c r="D562" s="12" t="s">
        <v>880</v>
      </c>
      <c r="E562" s="12" t="s">
        <v>2516</v>
      </c>
      <c r="F562" s="12"/>
      <c r="G562" s="12" t="s">
        <v>2517</v>
      </c>
      <c r="H562" s="12" t="s">
        <v>39</v>
      </c>
      <c r="I562" s="12" t="s">
        <v>26</v>
      </c>
      <c r="J562" s="13" t="s">
        <v>2518</v>
      </c>
      <c r="K562" s="14" t="s">
        <v>883</v>
      </c>
      <c r="L562" s="15">
        <v>0</v>
      </c>
      <c r="M562" s="15" t="s">
        <v>144</v>
      </c>
      <c r="N562" s="16">
        <v>45944</v>
      </c>
      <c r="O562" s="12" t="s">
        <v>884</v>
      </c>
      <c r="P562" s="14" t="s">
        <v>2519</v>
      </c>
      <c r="Q562" s="17" t="s">
        <v>137</v>
      </c>
      <c r="R562" s="17" t="s">
        <v>146</v>
      </c>
    </row>
    <row r="563" spans="1:18" x14ac:dyDescent="0.3">
      <c r="A563" s="12" t="s">
        <v>2520</v>
      </c>
      <c r="B563" s="12" t="s">
        <v>12</v>
      </c>
      <c r="C563" s="12"/>
      <c r="D563" s="12" t="s">
        <v>12</v>
      </c>
      <c r="E563" s="12" t="s">
        <v>2521</v>
      </c>
      <c r="F563" s="12"/>
      <c r="G563" s="12" t="s">
        <v>2517</v>
      </c>
      <c r="H563" s="12" t="s">
        <v>39</v>
      </c>
      <c r="I563" s="12" t="s">
        <v>26</v>
      </c>
      <c r="J563" s="13" t="s">
        <v>2518</v>
      </c>
      <c r="K563" s="14" t="s">
        <v>2522</v>
      </c>
      <c r="L563" s="15">
        <v>3</v>
      </c>
      <c r="M563" s="15" t="s">
        <v>144</v>
      </c>
      <c r="N563" s="16">
        <v>46268</v>
      </c>
      <c r="O563" s="12" t="s">
        <v>2523</v>
      </c>
      <c r="P563" s="14" t="s">
        <v>2524</v>
      </c>
      <c r="Q563" s="17" t="s">
        <v>137</v>
      </c>
      <c r="R563" s="17" t="s">
        <v>146</v>
      </c>
    </row>
    <row r="564" spans="1:18" x14ac:dyDescent="0.3">
      <c r="A564" s="12" t="s">
        <v>2525</v>
      </c>
      <c r="B564" s="12" t="s">
        <v>20</v>
      </c>
      <c r="C564" s="12"/>
      <c r="D564" s="12" t="s">
        <v>193</v>
      </c>
      <c r="E564" s="12" t="s">
        <v>2526</v>
      </c>
      <c r="F564" s="12"/>
      <c r="G564" s="12" t="s">
        <v>2527</v>
      </c>
      <c r="H564" s="12" t="s">
        <v>39</v>
      </c>
      <c r="I564" s="12" t="s">
        <v>26</v>
      </c>
      <c r="J564" s="13" t="s">
        <v>2528</v>
      </c>
      <c r="K564" s="14" t="s">
        <v>2529</v>
      </c>
      <c r="L564" s="15">
        <v>2</v>
      </c>
      <c r="M564" s="15" t="s">
        <v>144</v>
      </c>
      <c r="N564" s="16">
        <v>46248</v>
      </c>
      <c r="O564" s="12" t="s">
        <v>160</v>
      </c>
      <c r="P564" s="14" t="s">
        <v>2530</v>
      </c>
      <c r="Q564" s="17" t="s">
        <v>137</v>
      </c>
      <c r="R564" s="17" t="s">
        <v>146</v>
      </c>
    </row>
    <row r="565" spans="1:18" x14ac:dyDescent="0.3">
      <c r="A565" s="12" t="s">
        <v>2531</v>
      </c>
      <c r="B565" s="12" t="s">
        <v>18</v>
      </c>
      <c r="C565" s="12"/>
      <c r="D565" s="12" t="s">
        <v>1622</v>
      </c>
      <c r="E565" s="12" t="s">
        <v>2526</v>
      </c>
      <c r="F565" s="12" t="s">
        <v>447</v>
      </c>
      <c r="G565" s="12" t="s">
        <v>2527</v>
      </c>
      <c r="H565" s="12" t="s">
        <v>39</v>
      </c>
      <c r="I565" s="12" t="s">
        <v>26</v>
      </c>
      <c r="J565" s="13" t="s">
        <v>2528</v>
      </c>
      <c r="K565" s="14" t="s">
        <v>2532</v>
      </c>
      <c r="L565" s="15">
        <v>0</v>
      </c>
      <c r="M565" s="15" t="s">
        <v>144</v>
      </c>
      <c r="N565" s="16">
        <v>46240</v>
      </c>
      <c r="O565" s="12" t="s">
        <v>160</v>
      </c>
      <c r="P565" s="14" t="s">
        <v>2533</v>
      </c>
      <c r="Q565" s="17" t="s">
        <v>137</v>
      </c>
      <c r="R565" s="17" t="s">
        <v>146</v>
      </c>
    </row>
    <row r="566" spans="1:18" x14ac:dyDescent="0.3">
      <c r="A566" s="12" t="s">
        <v>2534</v>
      </c>
      <c r="B566" s="12" t="s">
        <v>14</v>
      </c>
      <c r="C566" s="12"/>
      <c r="D566" s="12" t="s">
        <v>14</v>
      </c>
      <c r="E566" s="12" t="s">
        <v>2535</v>
      </c>
      <c r="F566" s="12"/>
      <c r="G566" s="12" t="s">
        <v>2527</v>
      </c>
      <c r="H566" s="12" t="s">
        <v>39</v>
      </c>
      <c r="I566" s="12" t="s">
        <v>26</v>
      </c>
      <c r="J566" s="13" t="s">
        <v>2528</v>
      </c>
      <c r="K566" s="14" t="s">
        <v>2536</v>
      </c>
      <c r="L566" s="15">
        <v>1</v>
      </c>
      <c r="M566" s="15" t="s">
        <v>144</v>
      </c>
      <c r="N566" s="16">
        <v>45902</v>
      </c>
      <c r="O566" s="12" t="s">
        <v>2534</v>
      </c>
      <c r="P566" s="14" t="s">
        <v>2537</v>
      </c>
      <c r="Q566" s="17" t="s">
        <v>137</v>
      </c>
      <c r="R566" s="17" t="s">
        <v>146</v>
      </c>
    </row>
    <row r="567" spans="1:18" x14ac:dyDescent="0.3">
      <c r="A567" s="12" t="s">
        <v>2538</v>
      </c>
      <c r="B567" s="12" t="s">
        <v>14</v>
      </c>
      <c r="C567" s="12"/>
      <c r="D567" s="12" t="s">
        <v>14</v>
      </c>
      <c r="E567" s="12" t="s">
        <v>2539</v>
      </c>
      <c r="F567" s="12"/>
      <c r="G567" s="12" t="s">
        <v>2527</v>
      </c>
      <c r="H567" s="12" t="s">
        <v>39</v>
      </c>
      <c r="I567" s="12" t="s">
        <v>26</v>
      </c>
      <c r="J567" s="13" t="s">
        <v>2528</v>
      </c>
      <c r="K567" s="14" t="s">
        <v>2540</v>
      </c>
      <c r="L567" s="15">
        <v>2</v>
      </c>
      <c r="M567" s="15" t="s">
        <v>144</v>
      </c>
      <c r="N567" s="16">
        <v>45891</v>
      </c>
      <c r="O567" s="12" t="s">
        <v>2538</v>
      </c>
      <c r="P567" s="14" t="s">
        <v>2541</v>
      </c>
      <c r="Q567" s="17" t="s">
        <v>137</v>
      </c>
      <c r="R567" s="17" t="s">
        <v>146</v>
      </c>
    </row>
    <row r="568" spans="1:18" x14ac:dyDescent="0.3">
      <c r="A568" s="12" t="s">
        <v>2542</v>
      </c>
      <c r="B568" s="12" t="s">
        <v>12</v>
      </c>
      <c r="C568" s="12"/>
      <c r="D568" s="12" t="s">
        <v>12</v>
      </c>
      <c r="E568" s="12" t="s">
        <v>2543</v>
      </c>
      <c r="F568" s="12"/>
      <c r="G568" s="12" t="s">
        <v>2544</v>
      </c>
      <c r="H568" s="12" t="s">
        <v>39</v>
      </c>
      <c r="I568" s="12" t="s">
        <v>26</v>
      </c>
      <c r="J568" s="13" t="s">
        <v>2545</v>
      </c>
      <c r="K568" s="14" t="s">
        <v>2546</v>
      </c>
      <c r="L568" s="15">
        <v>1</v>
      </c>
      <c r="M568" s="15" t="s">
        <v>144</v>
      </c>
      <c r="N568" s="16">
        <v>45655</v>
      </c>
      <c r="O568" s="12" t="s">
        <v>2542</v>
      </c>
      <c r="P568" s="14" t="s">
        <v>2547</v>
      </c>
      <c r="Q568" s="17" t="s">
        <v>137</v>
      </c>
      <c r="R568" s="17" t="s">
        <v>146</v>
      </c>
    </row>
    <row r="569" spans="1:18" x14ac:dyDescent="0.3">
      <c r="A569" s="12" t="s">
        <v>2548</v>
      </c>
      <c r="B569" s="12" t="s">
        <v>14</v>
      </c>
      <c r="C569" s="12"/>
      <c r="D569" s="12" t="s">
        <v>14</v>
      </c>
      <c r="E569" s="12" t="s">
        <v>2549</v>
      </c>
      <c r="F569" s="12"/>
      <c r="G569" s="12" t="s">
        <v>2544</v>
      </c>
      <c r="H569" s="12" t="s">
        <v>39</v>
      </c>
      <c r="I569" s="12" t="s">
        <v>26</v>
      </c>
      <c r="J569" s="13" t="s">
        <v>2545</v>
      </c>
      <c r="K569" s="14" t="s">
        <v>2550</v>
      </c>
      <c r="L569" s="15">
        <v>6</v>
      </c>
      <c r="M569" s="15" t="s">
        <v>144</v>
      </c>
      <c r="N569" s="16">
        <v>44830</v>
      </c>
      <c r="O569" s="12" t="s">
        <v>2551</v>
      </c>
      <c r="P569" s="14" t="s">
        <v>2552</v>
      </c>
      <c r="Q569" s="17" t="s">
        <v>137</v>
      </c>
      <c r="R569" s="17" t="s">
        <v>146</v>
      </c>
    </row>
    <row r="570" spans="1:18" x14ac:dyDescent="0.3">
      <c r="A570" s="12" t="s">
        <v>2553</v>
      </c>
      <c r="B570" s="12" t="s">
        <v>12</v>
      </c>
      <c r="C570" s="12"/>
      <c r="D570" s="12" t="s">
        <v>12</v>
      </c>
      <c r="E570" s="12" t="s">
        <v>2554</v>
      </c>
      <c r="F570" s="12"/>
      <c r="G570" s="12" t="s">
        <v>2544</v>
      </c>
      <c r="H570" s="12" t="s">
        <v>39</v>
      </c>
      <c r="I570" s="12" t="s">
        <v>26</v>
      </c>
      <c r="J570" s="13" t="s">
        <v>2545</v>
      </c>
      <c r="K570" s="14" t="s">
        <v>2555</v>
      </c>
      <c r="L570" s="15">
        <v>0</v>
      </c>
      <c r="M570" s="15" t="s">
        <v>144</v>
      </c>
      <c r="N570" s="16">
        <v>44775</v>
      </c>
      <c r="O570" s="12" t="s">
        <v>2553</v>
      </c>
      <c r="P570" s="14" t="s">
        <v>2556</v>
      </c>
      <c r="Q570" s="17" t="s">
        <v>137</v>
      </c>
      <c r="R570" s="17" t="s">
        <v>146</v>
      </c>
    </row>
    <row r="571" spans="1:18" x14ac:dyDescent="0.3">
      <c r="A571" s="12" t="s">
        <v>502</v>
      </c>
      <c r="B571" s="12" t="s">
        <v>12</v>
      </c>
      <c r="C571" s="12"/>
      <c r="D571" s="12" t="s">
        <v>12</v>
      </c>
      <c r="E571" s="12" t="s">
        <v>2557</v>
      </c>
      <c r="F571" s="12" t="s">
        <v>2558</v>
      </c>
      <c r="G571" s="12" t="s">
        <v>2559</v>
      </c>
      <c r="H571" s="12" t="s">
        <v>39</v>
      </c>
      <c r="I571" s="12" t="s">
        <v>26</v>
      </c>
      <c r="J571" s="13" t="s">
        <v>2560</v>
      </c>
      <c r="K571" s="14" t="s">
        <v>2561</v>
      </c>
      <c r="L571" s="15">
        <v>1</v>
      </c>
      <c r="M571" s="15" t="s">
        <v>144</v>
      </c>
      <c r="N571" s="16">
        <v>45464</v>
      </c>
      <c r="O571" s="12" t="s">
        <v>502</v>
      </c>
      <c r="P571" s="14" t="s">
        <v>507</v>
      </c>
      <c r="Q571" s="17" t="s">
        <v>137</v>
      </c>
      <c r="R571" s="17" t="s">
        <v>146</v>
      </c>
    </row>
    <row r="572" spans="1:18" x14ac:dyDescent="0.3">
      <c r="A572" s="12" t="s">
        <v>2562</v>
      </c>
      <c r="B572" s="12" t="s">
        <v>12</v>
      </c>
      <c r="C572" s="12"/>
      <c r="D572" s="12" t="s">
        <v>12</v>
      </c>
      <c r="E572" s="12" t="s">
        <v>2563</v>
      </c>
      <c r="F572" s="12"/>
      <c r="G572" s="12" t="s">
        <v>2564</v>
      </c>
      <c r="H572" s="12" t="s">
        <v>39</v>
      </c>
      <c r="I572" s="12" t="s">
        <v>26</v>
      </c>
      <c r="J572" s="13" t="s">
        <v>2565</v>
      </c>
      <c r="K572" s="14" t="s">
        <v>2566</v>
      </c>
      <c r="L572" s="15">
        <v>0</v>
      </c>
      <c r="M572" s="15" t="s">
        <v>144</v>
      </c>
      <c r="N572" s="16">
        <v>45105</v>
      </c>
      <c r="O572" s="12" t="s">
        <v>2567</v>
      </c>
      <c r="P572" s="14" t="s">
        <v>2568</v>
      </c>
      <c r="Q572" s="17" t="s">
        <v>137</v>
      </c>
      <c r="R572" s="17" t="s">
        <v>146</v>
      </c>
    </row>
    <row r="573" spans="1:18" x14ac:dyDescent="0.3">
      <c r="A573" s="12" t="s">
        <v>2569</v>
      </c>
      <c r="B573" s="12" t="s">
        <v>12</v>
      </c>
      <c r="C573" s="12"/>
      <c r="D573" s="12" t="s">
        <v>12</v>
      </c>
      <c r="E573" s="12" t="s">
        <v>2570</v>
      </c>
      <c r="F573" s="12"/>
      <c r="G573" s="12" t="s">
        <v>2564</v>
      </c>
      <c r="H573" s="12" t="s">
        <v>39</v>
      </c>
      <c r="I573" s="12" t="s">
        <v>26</v>
      </c>
      <c r="J573" s="13" t="s">
        <v>2565</v>
      </c>
      <c r="K573" s="14" t="s">
        <v>2571</v>
      </c>
      <c r="L573" s="15">
        <v>1</v>
      </c>
      <c r="M573" s="15" t="s">
        <v>144</v>
      </c>
      <c r="N573" s="16">
        <v>45412</v>
      </c>
      <c r="O573" s="12" t="s">
        <v>2572</v>
      </c>
      <c r="P573" s="14" t="s">
        <v>2573</v>
      </c>
      <c r="Q573" s="17" t="s">
        <v>137</v>
      </c>
      <c r="R573" s="17" t="s">
        <v>146</v>
      </c>
    </row>
    <row r="574" spans="1:18" x14ac:dyDescent="0.3">
      <c r="A574" s="12" t="s">
        <v>978</v>
      </c>
      <c r="B574" s="12" t="s">
        <v>14</v>
      </c>
      <c r="C574" s="12"/>
      <c r="D574" s="12" t="s">
        <v>14</v>
      </c>
      <c r="E574" s="12" t="s">
        <v>2574</v>
      </c>
      <c r="F574" s="12" t="s">
        <v>164</v>
      </c>
      <c r="G574" s="12" t="s">
        <v>2564</v>
      </c>
      <c r="H574" s="12" t="s">
        <v>39</v>
      </c>
      <c r="I574" s="12" t="s">
        <v>26</v>
      </c>
      <c r="J574" s="13" t="s">
        <v>2565</v>
      </c>
      <c r="K574" s="14" t="s">
        <v>2575</v>
      </c>
      <c r="L574" s="15">
        <v>0</v>
      </c>
      <c r="M574" s="15" t="s">
        <v>144</v>
      </c>
      <c r="N574" s="16">
        <v>44687</v>
      </c>
      <c r="O574" s="12" t="s">
        <v>978</v>
      </c>
      <c r="P574" s="14" t="s">
        <v>981</v>
      </c>
      <c r="Q574" s="17" t="s">
        <v>137</v>
      </c>
      <c r="R574" s="17" t="s">
        <v>146</v>
      </c>
    </row>
    <row r="575" spans="1:18" x14ac:dyDescent="0.3">
      <c r="A575" s="12" t="s">
        <v>2576</v>
      </c>
      <c r="B575" s="12" t="s">
        <v>14</v>
      </c>
      <c r="C575" s="12"/>
      <c r="D575" s="12" t="s">
        <v>14</v>
      </c>
      <c r="E575" s="12" t="s">
        <v>2577</v>
      </c>
      <c r="F575" s="12" t="s">
        <v>359</v>
      </c>
      <c r="G575" s="12" t="s">
        <v>876</v>
      </c>
      <c r="H575" s="12" t="s">
        <v>39</v>
      </c>
      <c r="I575" s="12" t="s">
        <v>26</v>
      </c>
      <c r="J575" s="13" t="s">
        <v>2578</v>
      </c>
      <c r="K575" s="14" t="s">
        <v>2579</v>
      </c>
      <c r="L575" s="15">
        <v>1</v>
      </c>
      <c r="M575" s="15" t="s">
        <v>144</v>
      </c>
      <c r="N575" s="16">
        <v>46198</v>
      </c>
      <c r="O575" s="12" t="s">
        <v>2576</v>
      </c>
      <c r="P575" s="14" t="s">
        <v>2580</v>
      </c>
      <c r="Q575" s="17" t="s">
        <v>137</v>
      </c>
      <c r="R575" s="17" t="s">
        <v>146</v>
      </c>
    </row>
    <row r="576" spans="1:18" x14ac:dyDescent="0.3">
      <c r="A576" s="12" t="s">
        <v>2581</v>
      </c>
      <c r="B576" s="12" t="s">
        <v>12</v>
      </c>
      <c r="C576" s="12"/>
      <c r="D576" s="12" t="s">
        <v>12</v>
      </c>
      <c r="E576" s="12" t="s">
        <v>2582</v>
      </c>
      <c r="F576" s="12"/>
      <c r="G576" s="12" t="s">
        <v>2583</v>
      </c>
      <c r="H576" s="12" t="s">
        <v>39</v>
      </c>
      <c r="I576" s="12" t="s">
        <v>26</v>
      </c>
      <c r="J576" s="13" t="s">
        <v>2584</v>
      </c>
      <c r="K576" s="14" t="s">
        <v>2585</v>
      </c>
      <c r="L576" s="15">
        <v>1</v>
      </c>
      <c r="M576" s="15" t="s">
        <v>144</v>
      </c>
      <c r="N576" s="16">
        <v>46272</v>
      </c>
      <c r="O576" s="12" t="s">
        <v>2586</v>
      </c>
      <c r="P576" s="14" t="s">
        <v>2587</v>
      </c>
      <c r="Q576" s="17" t="s">
        <v>137</v>
      </c>
      <c r="R576" s="17" t="s">
        <v>146</v>
      </c>
    </row>
    <row r="577" spans="1:18" x14ac:dyDescent="0.3">
      <c r="A577" s="12" t="s">
        <v>2588</v>
      </c>
      <c r="B577" s="12" t="s">
        <v>18</v>
      </c>
      <c r="C577" s="12"/>
      <c r="D577" s="12" t="s">
        <v>223</v>
      </c>
      <c r="E577" s="12" t="s">
        <v>2589</v>
      </c>
      <c r="F577" s="12" t="s">
        <v>188</v>
      </c>
      <c r="G577" s="12" t="s">
        <v>2590</v>
      </c>
      <c r="H577" s="12" t="s">
        <v>39</v>
      </c>
      <c r="I577" s="12" t="s">
        <v>26</v>
      </c>
      <c r="J577" s="13" t="s">
        <v>2591</v>
      </c>
      <c r="K577" s="14" t="s">
        <v>2592</v>
      </c>
      <c r="L577" s="15">
        <v>0</v>
      </c>
      <c r="M577" s="15" t="s">
        <v>144</v>
      </c>
      <c r="N577" s="16">
        <v>44992</v>
      </c>
      <c r="O577" s="12" t="s">
        <v>2593</v>
      </c>
      <c r="P577" s="14" t="s">
        <v>2594</v>
      </c>
      <c r="Q577" s="17" t="s">
        <v>137</v>
      </c>
      <c r="R577" s="17" t="s">
        <v>146</v>
      </c>
    </row>
    <row r="578" spans="1:18" x14ac:dyDescent="0.3">
      <c r="A578" s="12" t="s">
        <v>2595</v>
      </c>
      <c r="B578" s="12" t="s">
        <v>12</v>
      </c>
      <c r="C578" s="12"/>
      <c r="D578" s="12" t="s">
        <v>12</v>
      </c>
      <c r="E578" s="12" t="s">
        <v>2596</v>
      </c>
      <c r="F578" s="12" t="s">
        <v>2597</v>
      </c>
      <c r="G578" s="12" t="s">
        <v>2590</v>
      </c>
      <c r="H578" s="12" t="s">
        <v>39</v>
      </c>
      <c r="I578" s="12" t="s">
        <v>26</v>
      </c>
      <c r="J578" s="13" t="s">
        <v>2591</v>
      </c>
      <c r="K578" s="14" t="s">
        <v>2598</v>
      </c>
      <c r="L578" s="15">
        <v>2</v>
      </c>
      <c r="M578" s="15" t="s">
        <v>144</v>
      </c>
      <c r="N578" s="16">
        <v>45700</v>
      </c>
      <c r="O578" s="12" t="s">
        <v>2595</v>
      </c>
      <c r="P578" s="14" t="s">
        <v>2599</v>
      </c>
      <c r="Q578" s="17" t="s">
        <v>137</v>
      </c>
      <c r="R578" s="17" t="s">
        <v>146</v>
      </c>
    </row>
    <row r="579" spans="1:18" x14ac:dyDescent="0.3">
      <c r="A579" s="12" t="s">
        <v>2600</v>
      </c>
      <c r="B579" s="12" t="s">
        <v>14</v>
      </c>
      <c r="C579" s="12"/>
      <c r="D579" s="12" t="s">
        <v>14</v>
      </c>
      <c r="E579" s="12" t="s">
        <v>2601</v>
      </c>
      <c r="F579" s="12"/>
      <c r="G579" s="12" t="s">
        <v>2590</v>
      </c>
      <c r="H579" s="12" t="s">
        <v>39</v>
      </c>
      <c r="I579" s="12" t="s">
        <v>26</v>
      </c>
      <c r="J579" s="13" t="s">
        <v>2591</v>
      </c>
      <c r="K579" s="14" t="s">
        <v>2602</v>
      </c>
      <c r="L579" s="15">
        <v>0</v>
      </c>
      <c r="M579" s="15" t="s">
        <v>144</v>
      </c>
      <c r="N579" s="16">
        <v>45859</v>
      </c>
      <c r="O579" s="12" t="s">
        <v>2600</v>
      </c>
      <c r="P579" s="14" t="s">
        <v>2603</v>
      </c>
      <c r="Q579" s="17" t="s">
        <v>137</v>
      </c>
      <c r="R579" s="17" t="s">
        <v>146</v>
      </c>
    </row>
    <row r="580" spans="1:18" x14ac:dyDescent="0.3">
      <c r="A580" s="12" t="s">
        <v>2604</v>
      </c>
      <c r="B580" s="12" t="s">
        <v>14</v>
      </c>
      <c r="C580" s="12"/>
      <c r="D580" s="12" t="s">
        <v>14</v>
      </c>
      <c r="E580" s="12" t="s">
        <v>2605</v>
      </c>
      <c r="F580" s="12"/>
      <c r="G580" s="12" t="s">
        <v>2590</v>
      </c>
      <c r="H580" s="12" t="s">
        <v>39</v>
      </c>
      <c r="I580" s="12" t="s">
        <v>26</v>
      </c>
      <c r="J580" s="13" t="s">
        <v>2591</v>
      </c>
      <c r="K580" s="14" t="s">
        <v>2606</v>
      </c>
      <c r="L580" s="15">
        <v>0</v>
      </c>
      <c r="M580" s="15" t="s">
        <v>144</v>
      </c>
      <c r="N580" s="16">
        <v>45021</v>
      </c>
      <c r="O580" s="12" t="s">
        <v>2604</v>
      </c>
      <c r="P580" s="14" t="s">
        <v>2607</v>
      </c>
      <c r="Q580" s="17" t="s">
        <v>137</v>
      </c>
      <c r="R580" s="17" t="s">
        <v>146</v>
      </c>
    </row>
    <row r="581" spans="1:18" x14ac:dyDescent="0.3">
      <c r="A581" s="12" t="s">
        <v>2608</v>
      </c>
      <c r="B581" s="12" t="s">
        <v>12</v>
      </c>
      <c r="C581" s="12"/>
      <c r="D581" s="12" t="s">
        <v>12</v>
      </c>
      <c r="E581" s="12" t="s">
        <v>2609</v>
      </c>
      <c r="F581" s="12" t="s">
        <v>843</v>
      </c>
      <c r="G581" s="12" t="s">
        <v>2590</v>
      </c>
      <c r="H581" s="12" t="s">
        <v>39</v>
      </c>
      <c r="I581" s="12" t="s">
        <v>26</v>
      </c>
      <c r="J581" s="13" t="s">
        <v>2591</v>
      </c>
      <c r="K581" s="14" t="s">
        <v>2610</v>
      </c>
      <c r="L581" s="15">
        <v>2</v>
      </c>
      <c r="M581" s="15" t="s">
        <v>144</v>
      </c>
      <c r="N581" s="16">
        <v>46001</v>
      </c>
      <c r="O581" s="12" t="s">
        <v>2608</v>
      </c>
      <c r="P581" s="14" t="s">
        <v>2611</v>
      </c>
      <c r="Q581" s="17" t="s">
        <v>137</v>
      </c>
      <c r="R581" s="17" t="s">
        <v>146</v>
      </c>
    </row>
    <row r="582" spans="1:18" x14ac:dyDescent="0.3">
      <c r="A582" s="12" t="s">
        <v>2612</v>
      </c>
      <c r="B582" s="12" t="s">
        <v>12</v>
      </c>
      <c r="C582" s="12"/>
      <c r="D582" s="12" t="s">
        <v>12</v>
      </c>
      <c r="E582" s="12" t="s">
        <v>2613</v>
      </c>
      <c r="F582" s="12"/>
      <c r="G582" s="12" t="s">
        <v>2590</v>
      </c>
      <c r="H582" s="12" t="s">
        <v>39</v>
      </c>
      <c r="I582" s="12" t="s">
        <v>26</v>
      </c>
      <c r="J582" s="13" t="s">
        <v>2591</v>
      </c>
      <c r="K582" s="14" t="s">
        <v>2614</v>
      </c>
      <c r="L582" s="15">
        <v>1</v>
      </c>
      <c r="M582" s="15" t="s">
        <v>144</v>
      </c>
      <c r="N582" s="16">
        <v>46101</v>
      </c>
      <c r="O582" s="12" t="s">
        <v>2612</v>
      </c>
      <c r="P582" s="14" t="s">
        <v>2615</v>
      </c>
      <c r="Q582" s="17" t="s">
        <v>137</v>
      </c>
      <c r="R582" s="17" t="s">
        <v>146</v>
      </c>
    </row>
    <row r="583" spans="1:18" x14ac:dyDescent="0.3">
      <c r="A583" s="12" t="s">
        <v>2616</v>
      </c>
      <c r="B583" s="12" t="s">
        <v>12</v>
      </c>
      <c r="C583" s="12"/>
      <c r="D583" s="12" t="s">
        <v>12</v>
      </c>
      <c r="E583" s="12" t="s">
        <v>2617</v>
      </c>
      <c r="F583" s="12" t="s">
        <v>2618</v>
      </c>
      <c r="G583" s="12" t="s">
        <v>2590</v>
      </c>
      <c r="H583" s="12" t="s">
        <v>39</v>
      </c>
      <c r="I583" s="12" t="s">
        <v>26</v>
      </c>
      <c r="J583" s="13" t="s">
        <v>2591</v>
      </c>
      <c r="K583" s="14" t="s">
        <v>2619</v>
      </c>
      <c r="L583" s="15">
        <v>0</v>
      </c>
      <c r="M583" s="15" t="s">
        <v>144</v>
      </c>
      <c r="N583" s="16">
        <v>45974</v>
      </c>
      <c r="O583" s="12" t="s">
        <v>2616</v>
      </c>
      <c r="P583" s="14" t="s">
        <v>2620</v>
      </c>
      <c r="Q583" s="17" t="s">
        <v>137</v>
      </c>
      <c r="R583" s="17" t="s">
        <v>146</v>
      </c>
    </row>
    <row r="584" spans="1:18" x14ac:dyDescent="0.3">
      <c r="A584" s="12" t="s">
        <v>2621</v>
      </c>
      <c r="B584" s="12" t="s">
        <v>12</v>
      </c>
      <c r="C584" s="12"/>
      <c r="D584" s="12" t="s">
        <v>12</v>
      </c>
      <c r="E584" s="12" t="s">
        <v>2622</v>
      </c>
      <c r="F584" s="12"/>
      <c r="G584" s="12" t="s">
        <v>2590</v>
      </c>
      <c r="H584" s="12" t="s">
        <v>39</v>
      </c>
      <c r="I584" s="12" t="s">
        <v>26</v>
      </c>
      <c r="J584" s="13" t="s">
        <v>2591</v>
      </c>
      <c r="K584" s="14" t="s">
        <v>2623</v>
      </c>
      <c r="L584" s="15">
        <v>0</v>
      </c>
      <c r="M584" s="15" t="s">
        <v>144</v>
      </c>
      <c r="N584" s="16">
        <v>45399</v>
      </c>
      <c r="O584" s="12" t="s">
        <v>2621</v>
      </c>
      <c r="P584" s="14" t="s">
        <v>2624</v>
      </c>
      <c r="Q584" s="17" t="s">
        <v>137</v>
      </c>
      <c r="R584" s="17" t="s">
        <v>146</v>
      </c>
    </row>
    <row r="585" spans="1:18" x14ac:dyDescent="0.3">
      <c r="A585" s="12" t="s">
        <v>2625</v>
      </c>
      <c r="B585" s="12" t="s">
        <v>20</v>
      </c>
      <c r="C585" s="12"/>
      <c r="D585" s="12" t="s">
        <v>193</v>
      </c>
      <c r="E585" s="12" t="s">
        <v>2589</v>
      </c>
      <c r="F585" s="12" t="s">
        <v>389</v>
      </c>
      <c r="G585" s="12" t="s">
        <v>2590</v>
      </c>
      <c r="H585" s="12" t="s">
        <v>39</v>
      </c>
      <c r="I585" s="12" t="s">
        <v>26</v>
      </c>
      <c r="J585" s="13" t="s">
        <v>2591</v>
      </c>
      <c r="K585" s="14" t="s">
        <v>2626</v>
      </c>
      <c r="L585" s="15">
        <v>2</v>
      </c>
      <c r="M585" s="15" t="s">
        <v>144</v>
      </c>
      <c r="N585" s="16">
        <v>44065</v>
      </c>
      <c r="O585" s="12" t="s">
        <v>2627</v>
      </c>
      <c r="P585" s="14" t="s">
        <v>2628</v>
      </c>
      <c r="Q585" s="17" t="s">
        <v>137</v>
      </c>
      <c r="R585" s="17" t="s">
        <v>146</v>
      </c>
    </row>
    <row r="586" spans="1:18" x14ac:dyDescent="0.3">
      <c r="A586" s="12" t="s">
        <v>2629</v>
      </c>
      <c r="B586" s="12" t="s">
        <v>20</v>
      </c>
      <c r="C586" s="12"/>
      <c r="D586" s="12" t="s">
        <v>193</v>
      </c>
      <c r="E586" s="12" t="s">
        <v>2630</v>
      </c>
      <c r="F586" s="12" t="s">
        <v>225</v>
      </c>
      <c r="G586" s="12" t="s">
        <v>2590</v>
      </c>
      <c r="H586" s="12" t="s">
        <v>39</v>
      </c>
      <c r="I586" s="12" t="s">
        <v>26</v>
      </c>
      <c r="J586" s="13" t="s">
        <v>2591</v>
      </c>
      <c r="K586" s="14" t="s">
        <v>2631</v>
      </c>
      <c r="L586" s="15">
        <v>0</v>
      </c>
      <c r="M586" s="15" t="s">
        <v>144</v>
      </c>
      <c r="N586" s="16">
        <v>40471</v>
      </c>
      <c r="O586" s="12" t="s">
        <v>2632</v>
      </c>
      <c r="P586" s="14" t="s">
        <v>2633</v>
      </c>
      <c r="Q586" s="17" t="s">
        <v>137</v>
      </c>
      <c r="R586" s="17" t="s">
        <v>146</v>
      </c>
    </row>
    <row r="587" spans="1:18" x14ac:dyDescent="0.3">
      <c r="A587" s="12" t="s">
        <v>2634</v>
      </c>
      <c r="B587" s="12" t="s">
        <v>10</v>
      </c>
      <c r="C587" s="12"/>
      <c r="D587" s="12" t="s">
        <v>157</v>
      </c>
      <c r="E587" s="12" t="s">
        <v>2635</v>
      </c>
      <c r="F587" s="12" t="s">
        <v>843</v>
      </c>
      <c r="G587" s="12" t="s">
        <v>2636</v>
      </c>
      <c r="H587" s="12" t="s">
        <v>39</v>
      </c>
      <c r="I587" s="12" t="s">
        <v>26</v>
      </c>
      <c r="J587" s="13" t="s">
        <v>2578</v>
      </c>
      <c r="K587" s="14" t="s">
        <v>2637</v>
      </c>
      <c r="L587" s="15">
        <v>0</v>
      </c>
      <c r="M587" s="15" t="s">
        <v>144</v>
      </c>
      <c r="N587" s="16">
        <v>45855</v>
      </c>
      <c r="O587" s="12" t="s">
        <v>2634</v>
      </c>
      <c r="P587" s="14" t="s">
        <v>2638</v>
      </c>
      <c r="Q587" s="17" t="s">
        <v>137</v>
      </c>
      <c r="R587" s="17" t="s">
        <v>146</v>
      </c>
    </row>
    <row r="588" spans="1:18" x14ac:dyDescent="0.3">
      <c r="A588" s="12" t="s">
        <v>2639</v>
      </c>
      <c r="B588" s="12" t="s">
        <v>12</v>
      </c>
      <c r="C588" s="12"/>
      <c r="D588" s="12" t="s">
        <v>12</v>
      </c>
      <c r="E588" s="12" t="s">
        <v>2640</v>
      </c>
      <c r="F588" s="12"/>
      <c r="G588" s="12" t="s">
        <v>2636</v>
      </c>
      <c r="H588" s="12" t="s">
        <v>39</v>
      </c>
      <c r="I588" s="12" t="s">
        <v>26</v>
      </c>
      <c r="J588" s="13" t="s">
        <v>2578</v>
      </c>
      <c r="K588" s="14" t="s">
        <v>2641</v>
      </c>
      <c r="L588" s="15">
        <v>0</v>
      </c>
      <c r="M588" s="15" t="s">
        <v>144</v>
      </c>
      <c r="N588" s="16">
        <v>45691</v>
      </c>
      <c r="O588" s="12" t="s">
        <v>2639</v>
      </c>
      <c r="P588" s="14" t="s">
        <v>2642</v>
      </c>
      <c r="Q588" s="17" t="s">
        <v>137</v>
      </c>
      <c r="R588" s="17" t="s">
        <v>146</v>
      </c>
    </row>
    <row r="589" spans="1:18" x14ac:dyDescent="0.3">
      <c r="A589" s="12" t="s">
        <v>2643</v>
      </c>
      <c r="B589" s="12" t="s">
        <v>14</v>
      </c>
      <c r="C589" s="12"/>
      <c r="D589" s="12" t="s">
        <v>14</v>
      </c>
      <c r="E589" s="12" t="s">
        <v>2644</v>
      </c>
      <c r="F589" s="12" t="s">
        <v>225</v>
      </c>
      <c r="G589" s="12" t="s">
        <v>2636</v>
      </c>
      <c r="H589" s="12" t="s">
        <v>39</v>
      </c>
      <c r="I589" s="12" t="s">
        <v>26</v>
      </c>
      <c r="J589" s="13" t="s">
        <v>2578</v>
      </c>
      <c r="K589" s="14" t="s">
        <v>2645</v>
      </c>
      <c r="L589" s="15">
        <v>1</v>
      </c>
      <c r="M589" s="15" t="s">
        <v>144</v>
      </c>
      <c r="N589" s="16">
        <v>45649</v>
      </c>
      <c r="O589" s="12" t="s">
        <v>2643</v>
      </c>
      <c r="P589" s="14" t="s">
        <v>2646</v>
      </c>
      <c r="Q589" s="17" t="s">
        <v>137</v>
      </c>
      <c r="R589" s="17" t="s">
        <v>146</v>
      </c>
    </row>
    <row r="590" spans="1:18" x14ac:dyDescent="0.3">
      <c r="A590" s="12" t="s">
        <v>2643</v>
      </c>
      <c r="B590" s="12" t="s">
        <v>14</v>
      </c>
      <c r="C590" s="12"/>
      <c r="D590" s="12" t="s">
        <v>14</v>
      </c>
      <c r="E590" s="12" t="s">
        <v>2647</v>
      </c>
      <c r="F590" s="12" t="s">
        <v>2648</v>
      </c>
      <c r="G590" s="12" t="s">
        <v>2636</v>
      </c>
      <c r="H590" s="12" t="s">
        <v>39</v>
      </c>
      <c r="I590" s="12" t="s">
        <v>26</v>
      </c>
      <c r="J590" s="13" t="s">
        <v>2649</v>
      </c>
      <c r="K590" s="14" t="s">
        <v>2650</v>
      </c>
      <c r="L590" s="15">
        <v>0</v>
      </c>
      <c r="M590" s="15" t="s">
        <v>144</v>
      </c>
      <c r="N590" s="16">
        <v>45649</v>
      </c>
      <c r="O590" s="12" t="s">
        <v>2643</v>
      </c>
      <c r="P590" s="14" t="s">
        <v>2646</v>
      </c>
      <c r="Q590" s="17" t="s">
        <v>137</v>
      </c>
      <c r="R590" s="17" t="s">
        <v>146</v>
      </c>
    </row>
    <row r="591" spans="1:18" x14ac:dyDescent="0.3">
      <c r="A591" s="12" t="s">
        <v>2643</v>
      </c>
      <c r="B591" s="12" t="s">
        <v>14</v>
      </c>
      <c r="C591" s="12"/>
      <c r="D591" s="12" t="s">
        <v>14</v>
      </c>
      <c r="E591" s="12" t="s">
        <v>2651</v>
      </c>
      <c r="F591" s="12" t="s">
        <v>2652</v>
      </c>
      <c r="G591" s="12" t="s">
        <v>2636</v>
      </c>
      <c r="H591" s="12" t="s">
        <v>39</v>
      </c>
      <c r="I591" s="12" t="s">
        <v>26</v>
      </c>
      <c r="J591" s="13" t="s">
        <v>2649</v>
      </c>
      <c r="K591" s="14" t="s">
        <v>2650</v>
      </c>
      <c r="L591" s="15">
        <v>0</v>
      </c>
      <c r="M591" s="15" t="s">
        <v>144</v>
      </c>
      <c r="N591" s="16">
        <v>45649</v>
      </c>
      <c r="O591" s="12" t="s">
        <v>2643</v>
      </c>
      <c r="P591" s="14" t="s">
        <v>2646</v>
      </c>
      <c r="Q591" s="17" t="s">
        <v>137</v>
      </c>
      <c r="R591" s="17" t="s">
        <v>146</v>
      </c>
    </row>
    <row r="592" spans="1:18" x14ac:dyDescent="0.3">
      <c r="A592" s="12" t="s">
        <v>2653</v>
      </c>
      <c r="B592" s="12" t="s">
        <v>12</v>
      </c>
      <c r="C592" s="12"/>
      <c r="D592" s="12" t="s">
        <v>12</v>
      </c>
      <c r="E592" s="12" t="s">
        <v>2654</v>
      </c>
      <c r="F592" s="12" t="s">
        <v>2655</v>
      </c>
      <c r="G592" s="12" t="s">
        <v>2636</v>
      </c>
      <c r="H592" s="12" t="s">
        <v>39</v>
      </c>
      <c r="I592" s="12" t="s">
        <v>26</v>
      </c>
      <c r="J592" s="13" t="s">
        <v>2578</v>
      </c>
      <c r="K592" s="14" t="s">
        <v>2656</v>
      </c>
      <c r="L592" s="15">
        <v>2</v>
      </c>
      <c r="M592" s="15" t="s">
        <v>144</v>
      </c>
      <c r="N592" s="16">
        <v>45946</v>
      </c>
      <c r="O592" s="12" t="s">
        <v>2653</v>
      </c>
      <c r="P592" s="14" t="s">
        <v>2657</v>
      </c>
      <c r="Q592" s="17" t="s">
        <v>137</v>
      </c>
      <c r="R592" s="17" t="s">
        <v>146</v>
      </c>
    </row>
    <row r="593" spans="1:18" x14ac:dyDescent="0.3">
      <c r="A593" s="12" t="s">
        <v>2658</v>
      </c>
      <c r="B593" s="12" t="s">
        <v>12</v>
      </c>
      <c r="C593" s="12"/>
      <c r="D593" s="12" t="s">
        <v>12</v>
      </c>
      <c r="E593" s="12" t="s">
        <v>2644</v>
      </c>
      <c r="F593" s="12" t="s">
        <v>188</v>
      </c>
      <c r="G593" s="12" t="s">
        <v>2636</v>
      </c>
      <c r="H593" s="12" t="s">
        <v>39</v>
      </c>
      <c r="I593" s="12" t="s">
        <v>26</v>
      </c>
      <c r="J593" s="13" t="s">
        <v>2578</v>
      </c>
      <c r="K593" s="14" t="s">
        <v>2659</v>
      </c>
      <c r="L593" s="15">
        <v>6</v>
      </c>
      <c r="M593" s="15" t="s">
        <v>144</v>
      </c>
      <c r="N593" s="16">
        <v>45960</v>
      </c>
      <c r="O593" s="12" t="s">
        <v>2660</v>
      </c>
      <c r="P593" s="14" t="s">
        <v>2661</v>
      </c>
      <c r="Q593" s="17" t="s">
        <v>137</v>
      </c>
      <c r="R593" s="17" t="s">
        <v>146</v>
      </c>
    </row>
    <row r="594" spans="1:18" x14ac:dyDescent="0.3">
      <c r="A594" s="12" t="s">
        <v>2662</v>
      </c>
      <c r="B594" s="12" t="s">
        <v>10</v>
      </c>
      <c r="C594" s="12"/>
      <c r="D594" s="12" t="s">
        <v>880</v>
      </c>
      <c r="E594" s="12" t="s">
        <v>2663</v>
      </c>
      <c r="F594" s="12"/>
      <c r="G594" s="12" t="s">
        <v>2636</v>
      </c>
      <c r="H594" s="12" t="s">
        <v>39</v>
      </c>
      <c r="I594" s="12" t="s">
        <v>26</v>
      </c>
      <c r="J594" s="13" t="s">
        <v>2578</v>
      </c>
      <c r="K594" s="14" t="s">
        <v>883</v>
      </c>
      <c r="L594" s="15">
        <v>1</v>
      </c>
      <c r="M594" s="15" t="s">
        <v>144</v>
      </c>
      <c r="N594" s="16">
        <v>45944</v>
      </c>
      <c r="O594" s="12" t="s">
        <v>884</v>
      </c>
      <c r="P594" s="14" t="s">
        <v>2664</v>
      </c>
      <c r="Q594" s="17" t="s">
        <v>137</v>
      </c>
      <c r="R594" s="17" t="s">
        <v>146</v>
      </c>
    </row>
    <row r="595" spans="1:18" x14ac:dyDescent="0.3">
      <c r="A595" s="12" t="s">
        <v>508</v>
      </c>
      <c r="B595" s="12" t="s">
        <v>10</v>
      </c>
      <c r="C595" s="12"/>
      <c r="D595" s="12" t="s">
        <v>252</v>
      </c>
      <c r="E595" s="12" t="s">
        <v>2665</v>
      </c>
      <c r="F595" s="12" t="s">
        <v>225</v>
      </c>
      <c r="G595" s="12" t="s">
        <v>2636</v>
      </c>
      <c r="H595" s="12" t="s">
        <v>39</v>
      </c>
      <c r="I595" s="12" t="s">
        <v>26</v>
      </c>
      <c r="J595" s="13" t="s">
        <v>2578</v>
      </c>
      <c r="K595" s="14" t="s">
        <v>2666</v>
      </c>
      <c r="L595" s="15">
        <v>0</v>
      </c>
      <c r="M595" s="15" t="s">
        <v>144</v>
      </c>
      <c r="N595" s="16">
        <v>45701</v>
      </c>
      <c r="O595" s="12" t="s">
        <v>508</v>
      </c>
      <c r="P595" s="14" t="s">
        <v>2667</v>
      </c>
      <c r="Q595" s="17" t="s">
        <v>137</v>
      </c>
      <c r="R595" s="17" t="s">
        <v>146</v>
      </c>
    </row>
    <row r="596" spans="1:18" x14ac:dyDescent="0.3">
      <c r="A596" s="12" t="s">
        <v>2668</v>
      </c>
      <c r="B596" s="12" t="s">
        <v>12</v>
      </c>
      <c r="C596" s="12"/>
      <c r="D596" s="12" t="s">
        <v>12</v>
      </c>
      <c r="E596" s="12" t="s">
        <v>2669</v>
      </c>
      <c r="F596" s="12" t="s">
        <v>2670</v>
      </c>
      <c r="G596" s="12" t="s">
        <v>2636</v>
      </c>
      <c r="H596" s="12" t="s">
        <v>39</v>
      </c>
      <c r="I596" s="12" t="s">
        <v>26</v>
      </c>
      <c r="J596" s="13" t="s">
        <v>2578</v>
      </c>
      <c r="K596" s="14" t="s">
        <v>2671</v>
      </c>
      <c r="L596" s="15">
        <v>1</v>
      </c>
      <c r="M596" s="15" t="s">
        <v>144</v>
      </c>
      <c r="N596" s="16">
        <v>45735</v>
      </c>
      <c r="O596" s="12" t="s">
        <v>2668</v>
      </c>
      <c r="P596" s="14" t="s">
        <v>2672</v>
      </c>
      <c r="Q596" s="17" t="s">
        <v>137</v>
      </c>
      <c r="R596" s="17" t="s">
        <v>146</v>
      </c>
    </row>
    <row r="597" spans="1:18" x14ac:dyDescent="0.3">
      <c r="A597" s="12" t="s">
        <v>2673</v>
      </c>
      <c r="B597" s="12" t="s">
        <v>14</v>
      </c>
      <c r="C597" s="12"/>
      <c r="D597" s="12" t="s">
        <v>14</v>
      </c>
      <c r="E597" s="12" t="s">
        <v>2674</v>
      </c>
      <c r="F597" s="12" t="s">
        <v>1039</v>
      </c>
      <c r="G597" s="12" t="s">
        <v>2636</v>
      </c>
      <c r="H597" s="12" t="s">
        <v>39</v>
      </c>
      <c r="I597" s="12" t="s">
        <v>26</v>
      </c>
      <c r="J597" s="13" t="s">
        <v>2578</v>
      </c>
      <c r="K597" s="14" t="s">
        <v>2675</v>
      </c>
      <c r="L597" s="15">
        <v>2</v>
      </c>
      <c r="M597" s="15" t="s">
        <v>144</v>
      </c>
      <c r="N597" s="16">
        <v>45778</v>
      </c>
      <c r="O597" s="12" t="s">
        <v>1201</v>
      </c>
      <c r="P597" s="14" t="s">
        <v>1202</v>
      </c>
      <c r="Q597" s="17" t="s">
        <v>137</v>
      </c>
      <c r="R597" s="17" t="s">
        <v>146</v>
      </c>
    </row>
    <row r="598" spans="1:18" x14ac:dyDescent="0.3">
      <c r="A598" s="12" t="s">
        <v>1784</v>
      </c>
      <c r="B598" s="12" t="s">
        <v>10</v>
      </c>
      <c r="C598" s="12"/>
      <c r="D598" s="12" t="s">
        <v>1561</v>
      </c>
      <c r="E598" s="12" t="s">
        <v>2676</v>
      </c>
      <c r="F598" s="12" t="s">
        <v>516</v>
      </c>
      <c r="G598" s="12" t="s">
        <v>2636</v>
      </c>
      <c r="H598" s="12" t="s">
        <v>39</v>
      </c>
      <c r="I598" s="12" t="s">
        <v>26</v>
      </c>
      <c r="J598" s="13" t="s">
        <v>2578</v>
      </c>
      <c r="K598" s="14" t="s">
        <v>2677</v>
      </c>
      <c r="L598" s="15">
        <v>0</v>
      </c>
      <c r="M598" s="15" t="s">
        <v>144</v>
      </c>
      <c r="N598" s="16">
        <v>46044</v>
      </c>
      <c r="O598" s="12" t="s">
        <v>1787</v>
      </c>
      <c r="P598" s="14" t="s">
        <v>1788</v>
      </c>
      <c r="Q598" s="17" t="s">
        <v>137</v>
      </c>
      <c r="R598" s="17" t="s">
        <v>146</v>
      </c>
    </row>
    <row r="599" spans="1:18" x14ac:dyDescent="0.3">
      <c r="A599" s="12" t="s">
        <v>2678</v>
      </c>
      <c r="B599" s="12" t="s">
        <v>12</v>
      </c>
      <c r="C599" s="12"/>
      <c r="D599" s="12" t="s">
        <v>12</v>
      </c>
      <c r="E599" s="12" t="s">
        <v>2679</v>
      </c>
      <c r="F599" s="12" t="s">
        <v>248</v>
      </c>
      <c r="G599" s="12" t="s">
        <v>2636</v>
      </c>
      <c r="H599" s="12" t="s">
        <v>39</v>
      </c>
      <c r="I599" s="12" t="s">
        <v>26</v>
      </c>
      <c r="J599" s="13" t="s">
        <v>2578</v>
      </c>
      <c r="K599" s="14" t="s">
        <v>2680</v>
      </c>
      <c r="L599" s="15">
        <v>0</v>
      </c>
      <c r="M599" s="15" t="s">
        <v>144</v>
      </c>
      <c r="N599" s="16">
        <v>44868</v>
      </c>
      <c r="O599" s="12" t="s">
        <v>2678</v>
      </c>
      <c r="P599" s="14" t="s">
        <v>2681</v>
      </c>
      <c r="Q599" s="17" t="s">
        <v>137</v>
      </c>
      <c r="R599" s="17" t="s">
        <v>146</v>
      </c>
    </row>
    <row r="600" spans="1:18" x14ac:dyDescent="0.3">
      <c r="A600" s="12" t="s">
        <v>2682</v>
      </c>
      <c r="B600" s="12" t="s">
        <v>10</v>
      </c>
      <c r="C600" s="12"/>
      <c r="D600" s="12" t="s">
        <v>650</v>
      </c>
      <c r="E600" s="12" t="s">
        <v>2683</v>
      </c>
      <c r="F600" s="12"/>
      <c r="G600" s="12" t="s">
        <v>2636</v>
      </c>
      <c r="H600" s="12" t="s">
        <v>39</v>
      </c>
      <c r="I600" s="12" t="s">
        <v>26</v>
      </c>
      <c r="J600" s="13" t="s">
        <v>2578</v>
      </c>
      <c r="K600" s="14" t="s">
        <v>2684</v>
      </c>
      <c r="L600" s="15">
        <v>1</v>
      </c>
      <c r="M600" s="15" t="s">
        <v>220</v>
      </c>
      <c r="N600" s="16">
        <v>45749</v>
      </c>
      <c r="O600" s="12" t="s">
        <v>2682</v>
      </c>
      <c r="P600" s="14" t="s">
        <v>2685</v>
      </c>
      <c r="Q600" s="17" t="s">
        <v>137</v>
      </c>
      <c r="R600" s="17" t="s">
        <v>146</v>
      </c>
    </row>
    <row r="601" spans="1:18" x14ac:dyDescent="0.3">
      <c r="A601" s="12" t="s">
        <v>2686</v>
      </c>
      <c r="B601" s="12" t="s">
        <v>14</v>
      </c>
      <c r="C601" s="12"/>
      <c r="D601" s="12" t="s">
        <v>14</v>
      </c>
      <c r="E601" s="12" t="s">
        <v>2687</v>
      </c>
      <c r="F601" s="12" t="s">
        <v>2688</v>
      </c>
      <c r="G601" s="12" t="s">
        <v>2636</v>
      </c>
      <c r="H601" s="12" t="s">
        <v>39</v>
      </c>
      <c r="I601" s="12" t="s">
        <v>26</v>
      </c>
      <c r="J601" s="13" t="s">
        <v>2578</v>
      </c>
      <c r="K601" s="14" t="s">
        <v>2689</v>
      </c>
      <c r="L601" s="15">
        <v>0</v>
      </c>
      <c r="M601" s="15" t="s">
        <v>144</v>
      </c>
      <c r="N601" s="16">
        <v>46085</v>
      </c>
      <c r="O601" s="12" t="s">
        <v>2686</v>
      </c>
      <c r="P601" s="14" t="s">
        <v>2690</v>
      </c>
      <c r="Q601" s="17" t="s">
        <v>137</v>
      </c>
      <c r="R601" s="17" t="s">
        <v>146</v>
      </c>
    </row>
    <row r="602" spans="1:18" x14ac:dyDescent="0.3">
      <c r="A602" s="12" t="s">
        <v>612</v>
      </c>
      <c r="B602" s="12" t="s">
        <v>18</v>
      </c>
      <c r="C602" s="12"/>
      <c r="D602" s="12" t="s">
        <v>1622</v>
      </c>
      <c r="E602" s="12" t="s">
        <v>2691</v>
      </c>
      <c r="F602" s="12" t="s">
        <v>188</v>
      </c>
      <c r="G602" s="12" t="s">
        <v>2636</v>
      </c>
      <c r="H602" s="12" t="s">
        <v>39</v>
      </c>
      <c r="I602" s="12" t="s">
        <v>26</v>
      </c>
      <c r="J602" s="13" t="s">
        <v>2578</v>
      </c>
      <c r="K602" s="14" t="s">
        <v>2214</v>
      </c>
      <c r="L602" s="15">
        <v>0</v>
      </c>
      <c r="M602" s="15" t="s">
        <v>144</v>
      </c>
      <c r="N602" s="16">
        <v>46252</v>
      </c>
      <c r="O602" s="12" t="s">
        <v>612</v>
      </c>
      <c r="P602" s="14" t="s">
        <v>2692</v>
      </c>
      <c r="Q602" s="17" t="s">
        <v>137</v>
      </c>
      <c r="R602" s="17" t="s">
        <v>146</v>
      </c>
    </row>
    <row r="603" spans="1:18" x14ac:dyDescent="0.3">
      <c r="A603" s="12" t="s">
        <v>364</v>
      </c>
      <c r="B603" s="12" t="s">
        <v>10</v>
      </c>
      <c r="C603" s="12"/>
      <c r="D603" s="12" t="s">
        <v>157</v>
      </c>
      <c r="E603" s="12" t="s">
        <v>2693</v>
      </c>
      <c r="F603" s="12" t="s">
        <v>389</v>
      </c>
      <c r="G603" s="12" t="s">
        <v>2636</v>
      </c>
      <c r="H603" s="12" t="s">
        <v>39</v>
      </c>
      <c r="I603" s="12" t="s">
        <v>26</v>
      </c>
      <c r="J603" s="13" t="s">
        <v>2578</v>
      </c>
      <c r="K603" s="14" t="s">
        <v>368</v>
      </c>
      <c r="L603" s="15">
        <v>2</v>
      </c>
      <c r="M603" s="15" t="s">
        <v>144</v>
      </c>
      <c r="N603" s="16">
        <v>46253</v>
      </c>
      <c r="O603" s="12" t="s">
        <v>364</v>
      </c>
      <c r="P603" s="14" t="s">
        <v>369</v>
      </c>
      <c r="Q603" s="17" t="s">
        <v>137</v>
      </c>
      <c r="R603" s="17" t="s">
        <v>146</v>
      </c>
    </row>
    <row r="604" spans="1:18" x14ac:dyDescent="0.3">
      <c r="A604" s="12" t="s">
        <v>2694</v>
      </c>
      <c r="B604" s="12" t="s">
        <v>12</v>
      </c>
      <c r="C604" s="12"/>
      <c r="D604" s="12" t="s">
        <v>12</v>
      </c>
      <c r="E604" s="12" t="s">
        <v>2695</v>
      </c>
      <c r="F604" s="12" t="s">
        <v>2696</v>
      </c>
      <c r="G604" s="12" t="s">
        <v>2636</v>
      </c>
      <c r="H604" s="12" t="s">
        <v>39</v>
      </c>
      <c r="I604" s="12" t="s">
        <v>26</v>
      </c>
      <c r="J604" s="13" t="s">
        <v>2578</v>
      </c>
      <c r="K604" s="14" t="s">
        <v>2697</v>
      </c>
      <c r="L604" s="15">
        <v>2</v>
      </c>
      <c r="M604" s="15" t="s">
        <v>144</v>
      </c>
      <c r="N604" s="16">
        <v>45622</v>
      </c>
      <c r="O604" s="12" t="s">
        <v>2694</v>
      </c>
      <c r="P604" s="14" t="s">
        <v>2698</v>
      </c>
      <c r="Q604" s="17" t="s">
        <v>137</v>
      </c>
      <c r="R604" s="17" t="s">
        <v>146</v>
      </c>
    </row>
    <row r="605" spans="1:18" x14ac:dyDescent="0.3">
      <c r="A605" s="12" t="s">
        <v>2699</v>
      </c>
      <c r="B605" s="12" t="s">
        <v>10</v>
      </c>
      <c r="C605" s="12"/>
      <c r="D605" s="12" t="s">
        <v>2700</v>
      </c>
      <c r="E605" s="12" t="s">
        <v>2701</v>
      </c>
      <c r="F605" s="12" t="s">
        <v>188</v>
      </c>
      <c r="G605" s="12" t="s">
        <v>2636</v>
      </c>
      <c r="H605" s="12" t="s">
        <v>39</v>
      </c>
      <c r="I605" s="12" t="s">
        <v>26</v>
      </c>
      <c r="J605" s="13" t="s">
        <v>2578</v>
      </c>
      <c r="K605" s="14" t="s">
        <v>2702</v>
      </c>
      <c r="L605" s="15">
        <v>2</v>
      </c>
      <c r="M605" s="15" t="s">
        <v>144</v>
      </c>
      <c r="N605" s="16">
        <v>46108</v>
      </c>
      <c r="O605" s="12" t="s">
        <v>2699</v>
      </c>
      <c r="P605" s="14" t="s">
        <v>2703</v>
      </c>
      <c r="Q605" s="17" t="s">
        <v>137</v>
      </c>
      <c r="R605" s="17" t="s">
        <v>146</v>
      </c>
    </row>
    <row r="606" spans="1:18" x14ac:dyDescent="0.3">
      <c r="A606" s="12" t="s">
        <v>1144</v>
      </c>
      <c r="B606" s="12" t="s">
        <v>10</v>
      </c>
      <c r="C606" s="12"/>
      <c r="D606" s="12" t="s">
        <v>216</v>
      </c>
      <c r="E606" s="12" t="s">
        <v>2704</v>
      </c>
      <c r="F606" s="12" t="s">
        <v>447</v>
      </c>
      <c r="G606" s="12" t="s">
        <v>2636</v>
      </c>
      <c r="H606" s="12" t="s">
        <v>39</v>
      </c>
      <c r="I606" s="12" t="s">
        <v>26</v>
      </c>
      <c r="J606" s="13" t="s">
        <v>2649</v>
      </c>
      <c r="K606" s="14" t="s">
        <v>294</v>
      </c>
      <c r="L606" s="15">
        <v>2</v>
      </c>
      <c r="M606" s="15" t="s">
        <v>220</v>
      </c>
      <c r="N606" s="16">
        <v>44839</v>
      </c>
      <c r="O606" s="12" t="s">
        <v>1144</v>
      </c>
      <c r="P606" s="14" t="s">
        <v>2705</v>
      </c>
      <c r="Q606" s="17" t="s">
        <v>137</v>
      </c>
      <c r="R606" s="17" t="s">
        <v>146</v>
      </c>
    </row>
    <row r="607" spans="1:18" x14ac:dyDescent="0.3">
      <c r="A607" s="12" t="s">
        <v>215</v>
      </c>
      <c r="B607" s="12" t="s">
        <v>10</v>
      </c>
      <c r="C607" s="12" t="s">
        <v>14</v>
      </c>
      <c r="D607" s="12" t="s">
        <v>702</v>
      </c>
      <c r="E607" s="12" t="s">
        <v>2706</v>
      </c>
      <c r="F607" s="12" t="s">
        <v>447</v>
      </c>
      <c r="G607" s="12" t="s">
        <v>2636</v>
      </c>
      <c r="H607" s="12" t="s">
        <v>39</v>
      </c>
      <c r="I607" s="12" t="s">
        <v>26</v>
      </c>
      <c r="J607" s="13" t="s">
        <v>2578</v>
      </c>
      <c r="K607" s="14" t="s">
        <v>2707</v>
      </c>
      <c r="L607" s="15">
        <v>4</v>
      </c>
      <c r="M607" s="15" t="s">
        <v>220</v>
      </c>
      <c r="N607" s="16">
        <v>45818</v>
      </c>
      <c r="O607" s="12" t="s">
        <v>215</v>
      </c>
      <c r="P607" s="14" t="s">
        <v>2708</v>
      </c>
      <c r="Q607" s="17" t="s">
        <v>137</v>
      </c>
      <c r="R607" s="17" t="s">
        <v>146</v>
      </c>
    </row>
    <row r="608" spans="1:18" x14ac:dyDescent="0.3">
      <c r="A608" s="12" t="s">
        <v>2709</v>
      </c>
      <c r="B608" s="12" t="s">
        <v>20</v>
      </c>
      <c r="C608" s="12"/>
      <c r="D608" s="12" t="s">
        <v>193</v>
      </c>
      <c r="E608" s="12" t="s">
        <v>2710</v>
      </c>
      <c r="F608" s="12" t="s">
        <v>2711</v>
      </c>
      <c r="G608" s="12" t="s">
        <v>2636</v>
      </c>
      <c r="H608" s="12" t="s">
        <v>39</v>
      </c>
      <c r="I608" s="12" t="s">
        <v>26</v>
      </c>
      <c r="J608" s="13" t="s">
        <v>2578</v>
      </c>
      <c r="K608" s="14" t="s">
        <v>2712</v>
      </c>
      <c r="L608" s="15">
        <v>0</v>
      </c>
      <c r="M608" s="15" t="s">
        <v>144</v>
      </c>
      <c r="N608" s="16">
        <v>43858</v>
      </c>
      <c r="O608" s="12" t="s">
        <v>299</v>
      </c>
      <c r="P608" s="14" t="s">
        <v>2713</v>
      </c>
      <c r="Q608" s="17" t="s">
        <v>137</v>
      </c>
      <c r="R608" s="17" t="s">
        <v>146</v>
      </c>
    </row>
    <row r="609" spans="1:18" x14ac:dyDescent="0.3">
      <c r="A609" s="12" t="s">
        <v>222</v>
      </c>
      <c r="B609" s="12" t="s">
        <v>18</v>
      </c>
      <c r="C609" s="12"/>
      <c r="D609" s="12" t="s">
        <v>223</v>
      </c>
      <c r="E609" s="12" t="s">
        <v>2714</v>
      </c>
      <c r="F609" s="12"/>
      <c r="G609" s="12" t="s">
        <v>2636</v>
      </c>
      <c r="H609" s="12" t="s">
        <v>39</v>
      </c>
      <c r="I609" s="12" t="s">
        <v>26</v>
      </c>
      <c r="J609" s="13" t="s">
        <v>2578</v>
      </c>
      <c r="K609" s="14" t="s">
        <v>226</v>
      </c>
      <c r="L609" s="15">
        <v>0</v>
      </c>
      <c r="M609" s="15" t="s">
        <v>144</v>
      </c>
      <c r="N609" s="16">
        <v>46245</v>
      </c>
      <c r="O609" s="12" t="s">
        <v>227</v>
      </c>
      <c r="P609" s="14" t="s">
        <v>228</v>
      </c>
      <c r="Q609" s="17" t="s">
        <v>137</v>
      </c>
      <c r="R609" s="17" t="s">
        <v>146</v>
      </c>
    </row>
    <row r="610" spans="1:18" x14ac:dyDescent="0.3">
      <c r="A610" s="12" t="s">
        <v>2629</v>
      </c>
      <c r="B610" s="12" t="s">
        <v>20</v>
      </c>
      <c r="C610" s="12"/>
      <c r="D610" s="12" t="s">
        <v>193</v>
      </c>
      <c r="E610" s="12" t="s">
        <v>2715</v>
      </c>
      <c r="F610" s="12" t="s">
        <v>995</v>
      </c>
      <c r="G610" s="12" t="s">
        <v>2636</v>
      </c>
      <c r="H610" s="12" t="s">
        <v>39</v>
      </c>
      <c r="I610" s="12" t="s">
        <v>26</v>
      </c>
      <c r="J610" s="13" t="s">
        <v>2578</v>
      </c>
      <c r="K610" s="14" t="s">
        <v>2716</v>
      </c>
      <c r="L610" s="15">
        <v>2</v>
      </c>
      <c r="M610" s="15" t="s">
        <v>144</v>
      </c>
      <c r="N610" s="16">
        <v>44827</v>
      </c>
      <c r="O610" s="12" t="s">
        <v>2629</v>
      </c>
      <c r="P610" s="14" t="s">
        <v>2717</v>
      </c>
      <c r="Q610" s="17" t="s">
        <v>137</v>
      </c>
      <c r="R610" s="17" t="s">
        <v>146</v>
      </c>
    </row>
    <row r="611" spans="1:18" x14ac:dyDescent="0.3">
      <c r="A611" s="12" t="s">
        <v>2718</v>
      </c>
      <c r="B611" s="12" t="s">
        <v>12</v>
      </c>
      <c r="C611" s="12"/>
      <c r="D611" s="12" t="s">
        <v>12</v>
      </c>
      <c r="E611" s="12" t="s">
        <v>2644</v>
      </c>
      <c r="F611" s="12" t="s">
        <v>712</v>
      </c>
      <c r="G611" s="12" t="s">
        <v>2636</v>
      </c>
      <c r="H611" s="12" t="s">
        <v>39</v>
      </c>
      <c r="I611" s="12" t="s">
        <v>26</v>
      </c>
      <c r="J611" s="13" t="s">
        <v>2578</v>
      </c>
      <c r="K611" s="14" t="s">
        <v>2719</v>
      </c>
      <c r="L611" s="15">
        <v>6</v>
      </c>
      <c r="M611" s="15" t="s">
        <v>144</v>
      </c>
      <c r="N611" s="16">
        <v>44834</v>
      </c>
      <c r="O611" s="12" t="s">
        <v>2720</v>
      </c>
      <c r="P611" s="14" t="s">
        <v>2721</v>
      </c>
      <c r="Q611" s="17" t="s">
        <v>137</v>
      </c>
      <c r="R611" s="17" t="s">
        <v>146</v>
      </c>
    </row>
    <row r="612" spans="1:18" x14ac:dyDescent="0.3">
      <c r="A612" s="12" t="s">
        <v>307</v>
      </c>
      <c r="B612" s="12" t="s">
        <v>14</v>
      </c>
      <c r="C612" s="12"/>
      <c r="D612" s="12" t="s">
        <v>14</v>
      </c>
      <c r="E612" s="12" t="s">
        <v>2722</v>
      </c>
      <c r="F612" s="12"/>
      <c r="G612" s="12" t="s">
        <v>2636</v>
      </c>
      <c r="H612" s="12" t="s">
        <v>39</v>
      </c>
      <c r="I612" s="12" t="s">
        <v>26</v>
      </c>
      <c r="J612" s="13" t="s">
        <v>2578</v>
      </c>
      <c r="K612" s="14" t="s">
        <v>2723</v>
      </c>
      <c r="L612" s="15">
        <v>5</v>
      </c>
      <c r="M612" s="15" t="s">
        <v>144</v>
      </c>
      <c r="N612" s="16">
        <v>46275</v>
      </c>
      <c r="O612" s="12" t="s">
        <v>307</v>
      </c>
      <c r="P612" s="14" t="s">
        <v>310</v>
      </c>
      <c r="Q612" s="17" t="s">
        <v>137</v>
      </c>
      <c r="R612" s="17" t="s">
        <v>146</v>
      </c>
    </row>
    <row r="613" spans="1:18" x14ac:dyDescent="0.3">
      <c r="A613" s="12" t="s">
        <v>2724</v>
      </c>
      <c r="B613" s="12" t="s">
        <v>20</v>
      </c>
      <c r="C613" s="12"/>
      <c r="D613" s="12" t="s">
        <v>193</v>
      </c>
      <c r="E613" s="12" t="s">
        <v>2691</v>
      </c>
      <c r="F613" s="12" t="s">
        <v>188</v>
      </c>
      <c r="G613" s="12" t="s">
        <v>2636</v>
      </c>
      <c r="H613" s="12" t="s">
        <v>39</v>
      </c>
      <c r="I613" s="12" t="s">
        <v>26</v>
      </c>
      <c r="J613" s="13" t="s">
        <v>2578</v>
      </c>
      <c r="K613" s="14" t="s">
        <v>2725</v>
      </c>
      <c r="L613" s="15">
        <v>4</v>
      </c>
      <c r="M613" s="15" t="s">
        <v>144</v>
      </c>
      <c r="N613" s="16">
        <v>42837</v>
      </c>
      <c r="O613" s="12" t="s">
        <v>2726</v>
      </c>
      <c r="P613" s="14" t="s">
        <v>2727</v>
      </c>
      <c r="Q613" s="17" t="s">
        <v>137</v>
      </c>
      <c r="R613" s="17" t="s">
        <v>146</v>
      </c>
    </row>
    <row r="614" spans="1:18" x14ac:dyDescent="0.3">
      <c r="A614" s="12" t="s">
        <v>2728</v>
      </c>
      <c r="B614" s="12" t="s">
        <v>12</v>
      </c>
      <c r="C614" s="12"/>
      <c r="D614" s="12" t="s">
        <v>12</v>
      </c>
      <c r="E614" s="12" t="s">
        <v>2729</v>
      </c>
      <c r="F614" s="12" t="s">
        <v>447</v>
      </c>
      <c r="G614" s="12" t="s">
        <v>2636</v>
      </c>
      <c r="H614" s="12" t="s">
        <v>39</v>
      </c>
      <c r="I614" s="12" t="s">
        <v>26</v>
      </c>
      <c r="J614" s="13" t="s">
        <v>2578</v>
      </c>
      <c r="K614" s="14" t="s">
        <v>2730</v>
      </c>
      <c r="L614" s="15">
        <v>2</v>
      </c>
      <c r="M614" s="15" t="s">
        <v>144</v>
      </c>
      <c r="N614" s="16">
        <v>44763</v>
      </c>
      <c r="O614" s="12" t="s">
        <v>2728</v>
      </c>
      <c r="P614" s="14" t="s">
        <v>2731</v>
      </c>
      <c r="Q614" s="17" t="s">
        <v>137</v>
      </c>
      <c r="R614" s="17" t="s">
        <v>146</v>
      </c>
    </row>
    <row r="615" spans="1:18" x14ac:dyDescent="0.3">
      <c r="A615" s="12" t="s">
        <v>2732</v>
      </c>
      <c r="B615" s="12" t="s">
        <v>12</v>
      </c>
      <c r="C615" s="12"/>
      <c r="D615" s="12" t="s">
        <v>12</v>
      </c>
      <c r="E615" s="12" t="s">
        <v>2733</v>
      </c>
      <c r="F615" s="12" t="s">
        <v>467</v>
      </c>
      <c r="G615" s="12" t="s">
        <v>2636</v>
      </c>
      <c r="H615" s="12" t="s">
        <v>39</v>
      </c>
      <c r="I615" s="12" t="s">
        <v>26</v>
      </c>
      <c r="J615" s="13" t="s">
        <v>2578</v>
      </c>
      <c r="K615" s="14" t="s">
        <v>2734</v>
      </c>
      <c r="L615" s="15">
        <v>1</v>
      </c>
      <c r="M615" s="15" t="s">
        <v>144</v>
      </c>
      <c r="N615" s="16">
        <v>45658</v>
      </c>
      <c r="O615" s="12" t="s">
        <v>2732</v>
      </c>
      <c r="P615" s="14" t="s">
        <v>2735</v>
      </c>
      <c r="Q615" s="17" t="s">
        <v>137</v>
      </c>
      <c r="R615" s="17" t="s">
        <v>146</v>
      </c>
    </row>
    <row r="616" spans="1:18" x14ac:dyDescent="0.3">
      <c r="A616" s="12" t="s">
        <v>2736</v>
      </c>
      <c r="B616" s="12" t="s">
        <v>12</v>
      </c>
      <c r="C616" s="12"/>
      <c r="D616" s="12" t="s">
        <v>12</v>
      </c>
      <c r="E616" s="12" t="s">
        <v>2737</v>
      </c>
      <c r="F616" s="12" t="s">
        <v>940</v>
      </c>
      <c r="G616" s="12" t="s">
        <v>2636</v>
      </c>
      <c r="H616" s="12" t="s">
        <v>39</v>
      </c>
      <c r="I616" s="12" t="s">
        <v>26</v>
      </c>
      <c r="J616" s="13" t="s">
        <v>2649</v>
      </c>
      <c r="K616" s="14" t="s">
        <v>2738</v>
      </c>
      <c r="L616" s="15">
        <v>9</v>
      </c>
      <c r="M616" s="15" t="s">
        <v>144</v>
      </c>
      <c r="N616" s="16">
        <v>45904</v>
      </c>
      <c r="O616" s="12" t="s">
        <v>2736</v>
      </c>
      <c r="P616" s="14" t="s">
        <v>2739</v>
      </c>
      <c r="Q616" s="17" t="s">
        <v>137</v>
      </c>
      <c r="R616" s="17" t="s">
        <v>146</v>
      </c>
    </row>
    <row r="617" spans="1:18" x14ac:dyDescent="0.3">
      <c r="A617" s="12" t="s">
        <v>2740</v>
      </c>
      <c r="B617" s="12" t="s">
        <v>12</v>
      </c>
      <c r="C617" s="12"/>
      <c r="D617" s="12" t="s">
        <v>12</v>
      </c>
      <c r="E617" s="12" t="s">
        <v>2741</v>
      </c>
      <c r="F617" s="12" t="s">
        <v>188</v>
      </c>
      <c r="G617" s="12" t="s">
        <v>2636</v>
      </c>
      <c r="H617" s="12" t="s">
        <v>39</v>
      </c>
      <c r="I617" s="12" t="s">
        <v>26</v>
      </c>
      <c r="J617" s="13" t="s">
        <v>2578</v>
      </c>
      <c r="K617" s="14" t="s">
        <v>2742</v>
      </c>
      <c r="L617" s="15">
        <v>5</v>
      </c>
      <c r="M617" s="15" t="s">
        <v>144</v>
      </c>
      <c r="N617" s="16">
        <v>45167</v>
      </c>
      <c r="O617" s="12" t="s">
        <v>2743</v>
      </c>
      <c r="P617" s="14" t="s">
        <v>2744</v>
      </c>
      <c r="Q617" s="17" t="s">
        <v>137</v>
      </c>
      <c r="R617" s="17" t="s">
        <v>146</v>
      </c>
    </row>
    <row r="618" spans="1:18" x14ac:dyDescent="0.3">
      <c r="A618" s="12" t="s">
        <v>2745</v>
      </c>
      <c r="B618" s="12" t="s">
        <v>14</v>
      </c>
      <c r="C618" s="12"/>
      <c r="D618" s="12" t="s">
        <v>14</v>
      </c>
      <c r="E618" s="12" t="s">
        <v>2746</v>
      </c>
      <c r="F618" s="12"/>
      <c r="G618" s="12" t="s">
        <v>2747</v>
      </c>
      <c r="H618" s="12" t="s">
        <v>43</v>
      </c>
      <c r="I618" s="12" t="s">
        <v>26</v>
      </c>
      <c r="J618" s="13" t="s">
        <v>2748</v>
      </c>
      <c r="K618" s="14" t="s">
        <v>2749</v>
      </c>
      <c r="L618" s="15">
        <v>1</v>
      </c>
      <c r="M618" s="15" t="s">
        <v>144</v>
      </c>
      <c r="N618" s="16">
        <v>45714</v>
      </c>
      <c r="O618" s="12" t="s">
        <v>2745</v>
      </c>
      <c r="P618" s="14" t="s">
        <v>2750</v>
      </c>
      <c r="Q618" s="17" t="s">
        <v>137</v>
      </c>
      <c r="R618" s="17" t="s">
        <v>146</v>
      </c>
    </row>
    <row r="619" spans="1:18" x14ac:dyDescent="0.3">
      <c r="A619" s="12" t="s">
        <v>2751</v>
      </c>
      <c r="B619" s="12" t="s">
        <v>14</v>
      </c>
      <c r="C619" s="12"/>
      <c r="D619" s="12" t="s">
        <v>14</v>
      </c>
      <c r="E619" s="12" t="s">
        <v>2752</v>
      </c>
      <c r="F619" s="12" t="s">
        <v>372</v>
      </c>
      <c r="G619" s="12" t="s">
        <v>2747</v>
      </c>
      <c r="H619" s="12" t="s">
        <v>43</v>
      </c>
      <c r="I619" s="12" t="s">
        <v>26</v>
      </c>
      <c r="J619" s="13" t="s">
        <v>2748</v>
      </c>
      <c r="K619" s="14" t="s">
        <v>2753</v>
      </c>
      <c r="L619" s="15">
        <v>1</v>
      </c>
      <c r="M619" s="15" t="s">
        <v>144</v>
      </c>
      <c r="N619" s="16">
        <v>46190</v>
      </c>
      <c r="O619" s="12" t="s">
        <v>2754</v>
      </c>
      <c r="P619" s="14" t="s">
        <v>2755</v>
      </c>
      <c r="Q619" s="17" t="s">
        <v>137</v>
      </c>
      <c r="R619" s="17" t="s">
        <v>146</v>
      </c>
    </row>
    <row r="620" spans="1:18" x14ac:dyDescent="0.3">
      <c r="A620" s="12" t="s">
        <v>475</v>
      </c>
      <c r="B620" s="12" t="s">
        <v>14</v>
      </c>
      <c r="C620" s="12"/>
      <c r="D620" s="12" t="s">
        <v>14</v>
      </c>
      <c r="E620" s="12" t="s">
        <v>2752</v>
      </c>
      <c r="F620" s="12" t="s">
        <v>547</v>
      </c>
      <c r="G620" s="12" t="s">
        <v>2747</v>
      </c>
      <c r="H620" s="12" t="s">
        <v>43</v>
      </c>
      <c r="I620" s="12" t="s">
        <v>26</v>
      </c>
      <c r="J620" s="13" t="s">
        <v>2748</v>
      </c>
      <c r="K620" s="14" t="s">
        <v>477</v>
      </c>
      <c r="L620" s="15">
        <v>1</v>
      </c>
      <c r="M620" s="15" t="s">
        <v>144</v>
      </c>
      <c r="N620" s="16">
        <v>45379</v>
      </c>
      <c r="O620" s="12" t="s">
        <v>475</v>
      </c>
      <c r="P620" s="14" t="s">
        <v>478</v>
      </c>
      <c r="Q620" s="17" t="s">
        <v>137</v>
      </c>
      <c r="R620" s="17" t="s">
        <v>146</v>
      </c>
    </row>
    <row r="621" spans="1:18" x14ac:dyDescent="0.3">
      <c r="A621" s="12" t="s">
        <v>2756</v>
      </c>
      <c r="B621" s="12" t="s">
        <v>12</v>
      </c>
      <c r="C621" s="12"/>
      <c r="D621" s="12" t="s">
        <v>12</v>
      </c>
      <c r="E621" s="12" t="s">
        <v>2757</v>
      </c>
      <c r="F621" s="12"/>
      <c r="G621" s="12" t="s">
        <v>2758</v>
      </c>
      <c r="H621" s="12" t="s">
        <v>43</v>
      </c>
      <c r="I621" s="12" t="s">
        <v>26</v>
      </c>
      <c r="J621" s="13" t="s">
        <v>2759</v>
      </c>
      <c r="K621" s="14" t="s">
        <v>2760</v>
      </c>
      <c r="L621" s="15">
        <v>1</v>
      </c>
      <c r="M621" s="15" t="s">
        <v>144</v>
      </c>
      <c r="N621" s="16">
        <v>46041</v>
      </c>
      <c r="O621" s="12" t="s">
        <v>2756</v>
      </c>
      <c r="P621" s="14" t="s">
        <v>2761</v>
      </c>
      <c r="Q621" s="17" t="s">
        <v>137</v>
      </c>
      <c r="R621" s="17" t="s">
        <v>146</v>
      </c>
    </row>
    <row r="622" spans="1:18" x14ac:dyDescent="0.3">
      <c r="A622" s="12" t="s">
        <v>2762</v>
      </c>
      <c r="B622" s="12" t="s">
        <v>14</v>
      </c>
      <c r="C622" s="12"/>
      <c r="D622" s="12" t="s">
        <v>14</v>
      </c>
      <c r="E622" s="12" t="s">
        <v>2763</v>
      </c>
      <c r="F622" s="12"/>
      <c r="G622" s="12" t="s">
        <v>2758</v>
      </c>
      <c r="H622" s="12" t="s">
        <v>43</v>
      </c>
      <c r="I622" s="12" t="s">
        <v>26</v>
      </c>
      <c r="J622" s="13" t="s">
        <v>2759</v>
      </c>
      <c r="K622" s="14" t="s">
        <v>2764</v>
      </c>
      <c r="L622" s="15">
        <v>0</v>
      </c>
      <c r="M622" s="15" t="s">
        <v>144</v>
      </c>
      <c r="N622" s="16">
        <v>45625</v>
      </c>
      <c r="O622" s="12" t="s">
        <v>2762</v>
      </c>
      <c r="P622" s="14" t="s">
        <v>2765</v>
      </c>
      <c r="Q622" s="17" t="s">
        <v>137</v>
      </c>
      <c r="R622" s="17" t="s">
        <v>146</v>
      </c>
    </row>
    <row r="623" spans="1:18" x14ac:dyDescent="0.3">
      <c r="A623" s="12" t="s">
        <v>2766</v>
      </c>
      <c r="B623" s="12" t="s">
        <v>10</v>
      </c>
      <c r="C623" s="12"/>
      <c r="D623" s="12" t="s">
        <v>647</v>
      </c>
      <c r="E623" s="12" t="s">
        <v>2767</v>
      </c>
      <c r="F623" s="12"/>
      <c r="G623" s="12" t="s">
        <v>2768</v>
      </c>
      <c r="H623" s="12" t="s">
        <v>43</v>
      </c>
      <c r="I623" s="12" t="s">
        <v>26</v>
      </c>
      <c r="J623" s="13" t="s">
        <v>2769</v>
      </c>
      <c r="K623" s="14" t="s">
        <v>2770</v>
      </c>
      <c r="L623" s="15">
        <v>3</v>
      </c>
      <c r="M623" s="15" t="s">
        <v>220</v>
      </c>
      <c r="N623" s="16">
        <v>45678</v>
      </c>
      <c r="O623" s="12" t="s">
        <v>236</v>
      </c>
      <c r="P623" s="14" t="s">
        <v>2771</v>
      </c>
      <c r="Q623" s="17" t="s">
        <v>137</v>
      </c>
      <c r="R623" s="17" t="s">
        <v>146</v>
      </c>
    </row>
    <row r="624" spans="1:18" x14ac:dyDescent="0.3">
      <c r="A624" s="12" t="s">
        <v>1366</v>
      </c>
      <c r="B624" s="12" t="s">
        <v>20</v>
      </c>
      <c r="C624" s="12"/>
      <c r="D624" s="12" t="s">
        <v>193</v>
      </c>
      <c r="E624" s="12" t="s">
        <v>2772</v>
      </c>
      <c r="F624" s="12"/>
      <c r="G624" s="12" t="s">
        <v>2768</v>
      </c>
      <c r="H624" s="12" t="s">
        <v>43</v>
      </c>
      <c r="I624" s="12" t="s">
        <v>26</v>
      </c>
      <c r="J624" s="13" t="s">
        <v>2769</v>
      </c>
      <c r="K624" s="14" t="s">
        <v>2773</v>
      </c>
      <c r="L624" s="15">
        <v>1</v>
      </c>
      <c r="M624" s="15" t="s">
        <v>144</v>
      </c>
      <c r="N624" s="16">
        <v>45231</v>
      </c>
      <c r="O624" s="12" t="s">
        <v>241</v>
      </c>
      <c r="P624" s="14" t="s">
        <v>242</v>
      </c>
      <c r="Q624" s="17" t="s">
        <v>137</v>
      </c>
      <c r="R624" s="17" t="s">
        <v>146</v>
      </c>
    </row>
    <row r="625" spans="1:18" x14ac:dyDescent="0.3">
      <c r="A625" s="12" t="s">
        <v>2774</v>
      </c>
      <c r="B625" s="12" t="s">
        <v>12</v>
      </c>
      <c r="C625" s="12"/>
      <c r="D625" s="12" t="s">
        <v>12</v>
      </c>
      <c r="E625" s="12" t="s">
        <v>2775</v>
      </c>
      <c r="F625" s="12"/>
      <c r="G625" s="12" t="s">
        <v>2768</v>
      </c>
      <c r="H625" s="12" t="s">
        <v>43</v>
      </c>
      <c r="I625" s="12" t="s">
        <v>26</v>
      </c>
      <c r="J625" s="13" t="s">
        <v>2769</v>
      </c>
      <c r="K625" s="14" t="s">
        <v>2776</v>
      </c>
      <c r="L625" s="15">
        <v>0</v>
      </c>
      <c r="M625" s="15" t="s">
        <v>144</v>
      </c>
      <c r="N625" s="16">
        <v>45749</v>
      </c>
      <c r="O625" s="12" t="s">
        <v>2774</v>
      </c>
      <c r="P625" s="14" t="s">
        <v>2777</v>
      </c>
      <c r="Q625" s="17" t="s">
        <v>137</v>
      </c>
      <c r="R625" s="17" t="s">
        <v>146</v>
      </c>
    </row>
    <row r="626" spans="1:18" x14ac:dyDescent="0.3">
      <c r="A626" s="12" t="s">
        <v>2778</v>
      </c>
      <c r="B626" s="12" t="s">
        <v>12</v>
      </c>
      <c r="C626" s="12"/>
      <c r="D626" s="12" t="s">
        <v>12</v>
      </c>
      <c r="E626" s="12" t="s">
        <v>2779</v>
      </c>
      <c r="F626" s="12" t="s">
        <v>467</v>
      </c>
      <c r="G626" s="12" t="s">
        <v>2768</v>
      </c>
      <c r="H626" s="12" t="s">
        <v>43</v>
      </c>
      <c r="I626" s="12" t="s">
        <v>26</v>
      </c>
      <c r="J626" s="13" t="s">
        <v>2769</v>
      </c>
      <c r="K626" s="14" t="s">
        <v>2780</v>
      </c>
      <c r="L626" s="15">
        <v>1</v>
      </c>
      <c r="M626" s="15" t="s">
        <v>144</v>
      </c>
      <c r="N626" s="16">
        <v>45296</v>
      </c>
      <c r="O626" s="12" t="s">
        <v>2778</v>
      </c>
      <c r="P626" s="14" t="s">
        <v>2781</v>
      </c>
      <c r="Q626" s="17" t="s">
        <v>137</v>
      </c>
      <c r="R626" s="17" t="s">
        <v>146</v>
      </c>
    </row>
    <row r="627" spans="1:18" x14ac:dyDescent="0.3">
      <c r="A627" s="12" t="s">
        <v>2782</v>
      </c>
      <c r="B627" s="12" t="s">
        <v>18</v>
      </c>
      <c r="C627" s="12"/>
      <c r="D627" s="12" t="s">
        <v>223</v>
      </c>
      <c r="E627" s="12" t="s">
        <v>2783</v>
      </c>
      <c r="F627" s="12" t="s">
        <v>1542</v>
      </c>
      <c r="G627" s="12" t="s">
        <v>2768</v>
      </c>
      <c r="H627" s="12" t="s">
        <v>43</v>
      </c>
      <c r="I627" s="12" t="s">
        <v>26</v>
      </c>
      <c r="J627" s="13" t="s">
        <v>2769</v>
      </c>
      <c r="K627" s="14" t="s">
        <v>2784</v>
      </c>
      <c r="L627" s="15">
        <v>0</v>
      </c>
      <c r="M627" s="15" t="s">
        <v>144</v>
      </c>
      <c r="N627" s="16">
        <v>39729</v>
      </c>
      <c r="O627" s="12" t="s">
        <v>2785</v>
      </c>
      <c r="P627" s="14" t="s">
        <v>2786</v>
      </c>
      <c r="Q627" s="17" t="s">
        <v>137</v>
      </c>
      <c r="R627" s="17" t="s">
        <v>146</v>
      </c>
    </row>
    <row r="628" spans="1:18" x14ac:dyDescent="0.3">
      <c r="A628" s="12" t="s">
        <v>2787</v>
      </c>
      <c r="B628" s="12" t="s">
        <v>12</v>
      </c>
      <c r="C628" s="12"/>
      <c r="D628" s="12" t="s">
        <v>12</v>
      </c>
      <c r="E628" s="12" t="s">
        <v>2788</v>
      </c>
      <c r="F628" s="12" t="s">
        <v>547</v>
      </c>
      <c r="G628" s="12" t="s">
        <v>2768</v>
      </c>
      <c r="H628" s="12" t="s">
        <v>43</v>
      </c>
      <c r="I628" s="12" t="s">
        <v>26</v>
      </c>
      <c r="J628" s="13" t="s">
        <v>2769</v>
      </c>
      <c r="K628" s="14" t="s">
        <v>2789</v>
      </c>
      <c r="L628" s="15">
        <v>2</v>
      </c>
      <c r="M628" s="15" t="s">
        <v>144</v>
      </c>
      <c r="N628" s="16">
        <v>45841</v>
      </c>
      <c r="O628" s="12" t="s">
        <v>2790</v>
      </c>
      <c r="P628" s="14" t="s">
        <v>2791</v>
      </c>
      <c r="Q628" s="17" t="s">
        <v>137</v>
      </c>
      <c r="R628" s="17" t="s">
        <v>146</v>
      </c>
    </row>
    <row r="629" spans="1:18" x14ac:dyDescent="0.3">
      <c r="A629" s="12" t="s">
        <v>2792</v>
      </c>
      <c r="B629" s="12" t="s">
        <v>12</v>
      </c>
      <c r="C629" s="12"/>
      <c r="D629" s="12" t="s">
        <v>12</v>
      </c>
      <c r="E629" s="12" t="s">
        <v>2793</v>
      </c>
      <c r="F629" s="12"/>
      <c r="G629" s="12" t="s">
        <v>2768</v>
      </c>
      <c r="H629" s="12" t="s">
        <v>43</v>
      </c>
      <c r="I629" s="12" t="s">
        <v>26</v>
      </c>
      <c r="J629" s="13" t="s">
        <v>2769</v>
      </c>
      <c r="K629" s="14" t="s">
        <v>2794</v>
      </c>
      <c r="L629" s="15">
        <v>1</v>
      </c>
      <c r="M629" s="15" t="s">
        <v>144</v>
      </c>
      <c r="N629" s="16">
        <v>44957</v>
      </c>
      <c r="O629" s="12" t="s">
        <v>2795</v>
      </c>
      <c r="P629" s="14" t="s">
        <v>2796</v>
      </c>
      <c r="Q629" s="17" t="s">
        <v>137</v>
      </c>
      <c r="R629" s="17" t="s">
        <v>146</v>
      </c>
    </row>
    <row r="630" spans="1:18" x14ac:dyDescent="0.3">
      <c r="A630" s="12" t="s">
        <v>2797</v>
      </c>
      <c r="B630" s="12" t="s">
        <v>12</v>
      </c>
      <c r="C630" s="12"/>
      <c r="D630" s="12" t="s">
        <v>12</v>
      </c>
      <c r="E630" s="12" t="s">
        <v>2779</v>
      </c>
      <c r="F630" s="12" t="s">
        <v>454</v>
      </c>
      <c r="G630" s="12" t="s">
        <v>2768</v>
      </c>
      <c r="H630" s="12" t="s">
        <v>43</v>
      </c>
      <c r="I630" s="12" t="s">
        <v>26</v>
      </c>
      <c r="J630" s="13" t="s">
        <v>2769</v>
      </c>
      <c r="K630" s="14" t="s">
        <v>2798</v>
      </c>
      <c r="L630" s="15">
        <v>1</v>
      </c>
      <c r="M630" s="15" t="s">
        <v>144</v>
      </c>
      <c r="N630" s="16">
        <v>46233</v>
      </c>
      <c r="O630" s="12" t="s">
        <v>2797</v>
      </c>
      <c r="P630" s="14" t="s">
        <v>2799</v>
      </c>
      <c r="Q630" s="17" t="s">
        <v>137</v>
      </c>
      <c r="R630" s="17" t="s">
        <v>146</v>
      </c>
    </row>
    <row r="631" spans="1:18" x14ac:dyDescent="0.3">
      <c r="A631" s="12" t="s">
        <v>199</v>
      </c>
      <c r="B631" s="12" t="s">
        <v>14</v>
      </c>
      <c r="C631" s="12"/>
      <c r="D631" s="12" t="s">
        <v>14</v>
      </c>
      <c r="E631" s="12" t="s">
        <v>2800</v>
      </c>
      <c r="F631" s="12" t="s">
        <v>188</v>
      </c>
      <c r="G631" s="12" t="s">
        <v>2768</v>
      </c>
      <c r="H631" s="12" t="s">
        <v>43</v>
      </c>
      <c r="I631" s="12" t="s">
        <v>26</v>
      </c>
      <c r="J631" s="13" t="s">
        <v>2769</v>
      </c>
      <c r="K631" s="14" t="s">
        <v>2801</v>
      </c>
      <c r="L631" s="15">
        <v>6</v>
      </c>
      <c r="M631" s="15" t="s">
        <v>144</v>
      </c>
      <c r="N631" s="16">
        <v>45589</v>
      </c>
      <c r="O631" s="12" t="s">
        <v>203</v>
      </c>
      <c r="P631" s="14" t="s">
        <v>2802</v>
      </c>
      <c r="Q631" s="17" t="s">
        <v>137</v>
      </c>
      <c r="R631" s="17" t="s">
        <v>146</v>
      </c>
    </row>
    <row r="632" spans="1:18" x14ac:dyDescent="0.3">
      <c r="A632" s="12" t="s">
        <v>2803</v>
      </c>
      <c r="B632" s="12" t="s">
        <v>12</v>
      </c>
      <c r="C632" s="12"/>
      <c r="D632" s="12" t="s">
        <v>12</v>
      </c>
      <c r="E632" s="12" t="s">
        <v>2804</v>
      </c>
      <c r="F632" s="12"/>
      <c r="G632" s="12" t="s">
        <v>2768</v>
      </c>
      <c r="H632" s="12" t="s">
        <v>43</v>
      </c>
      <c r="I632" s="12" t="s">
        <v>26</v>
      </c>
      <c r="J632" s="13" t="s">
        <v>2769</v>
      </c>
      <c r="K632" s="14" t="s">
        <v>2805</v>
      </c>
      <c r="L632" s="15">
        <v>3</v>
      </c>
      <c r="M632" s="15" t="s">
        <v>144</v>
      </c>
      <c r="N632" s="16">
        <v>45742</v>
      </c>
      <c r="O632" s="12" t="s">
        <v>2803</v>
      </c>
      <c r="P632" s="14" t="s">
        <v>2806</v>
      </c>
      <c r="Q632" s="17" t="s">
        <v>137</v>
      </c>
      <c r="R632" s="17" t="s">
        <v>146</v>
      </c>
    </row>
    <row r="633" spans="1:18" x14ac:dyDescent="0.3">
      <c r="A633" s="12" t="s">
        <v>2807</v>
      </c>
      <c r="B633" s="12" t="s">
        <v>12</v>
      </c>
      <c r="C633" s="12"/>
      <c r="D633" s="12" t="s">
        <v>12</v>
      </c>
      <c r="E633" s="12" t="s">
        <v>2808</v>
      </c>
      <c r="F633" s="12"/>
      <c r="G633" s="12" t="s">
        <v>2809</v>
      </c>
      <c r="H633" s="12" t="s">
        <v>43</v>
      </c>
      <c r="I633" s="12" t="s">
        <v>26</v>
      </c>
      <c r="J633" s="13" t="s">
        <v>2810</v>
      </c>
      <c r="K633" s="14" t="s">
        <v>2811</v>
      </c>
      <c r="L633" s="15">
        <v>1</v>
      </c>
      <c r="M633" s="15" t="s">
        <v>144</v>
      </c>
      <c r="N633" s="16">
        <v>45742</v>
      </c>
      <c r="O633" s="12" t="s">
        <v>2812</v>
      </c>
      <c r="P633" s="14" t="s">
        <v>2813</v>
      </c>
      <c r="Q633" s="17" t="s">
        <v>137</v>
      </c>
      <c r="R633" s="17" t="s">
        <v>146</v>
      </c>
    </row>
    <row r="634" spans="1:18" x14ac:dyDescent="0.3">
      <c r="A634" s="12" t="s">
        <v>2814</v>
      </c>
      <c r="B634" s="12" t="s">
        <v>12</v>
      </c>
      <c r="C634" s="12"/>
      <c r="D634" s="12" t="s">
        <v>12</v>
      </c>
      <c r="E634" s="12" t="s">
        <v>2815</v>
      </c>
      <c r="F634" s="12"/>
      <c r="G634" s="12" t="s">
        <v>2809</v>
      </c>
      <c r="H634" s="12" t="s">
        <v>43</v>
      </c>
      <c r="I634" s="12" t="s">
        <v>26</v>
      </c>
      <c r="J634" s="13" t="s">
        <v>2810</v>
      </c>
      <c r="K634" s="14" t="s">
        <v>2816</v>
      </c>
      <c r="L634" s="15">
        <v>2</v>
      </c>
      <c r="M634" s="15" t="s">
        <v>144</v>
      </c>
      <c r="N634" s="16">
        <v>46141</v>
      </c>
      <c r="O634" s="12" t="s">
        <v>2814</v>
      </c>
      <c r="P634" s="14" t="s">
        <v>2817</v>
      </c>
      <c r="Q634" s="17" t="s">
        <v>137</v>
      </c>
      <c r="R634" s="17" t="s">
        <v>146</v>
      </c>
    </row>
    <row r="635" spans="1:18" x14ac:dyDescent="0.3">
      <c r="A635" s="12" t="s">
        <v>2818</v>
      </c>
      <c r="B635" s="12" t="s">
        <v>12</v>
      </c>
      <c r="C635" s="12"/>
      <c r="D635" s="12" t="s">
        <v>12</v>
      </c>
      <c r="E635" s="12" t="s">
        <v>2819</v>
      </c>
      <c r="F635" s="12" t="s">
        <v>2820</v>
      </c>
      <c r="G635" s="12" t="s">
        <v>2821</v>
      </c>
      <c r="H635" s="12" t="s">
        <v>43</v>
      </c>
      <c r="I635" s="12" t="s">
        <v>26</v>
      </c>
      <c r="J635" s="13" t="s">
        <v>2822</v>
      </c>
      <c r="K635" s="14" t="s">
        <v>2823</v>
      </c>
      <c r="L635" s="15">
        <v>0</v>
      </c>
      <c r="M635" s="15" t="s">
        <v>144</v>
      </c>
      <c r="N635" s="16">
        <v>45209</v>
      </c>
      <c r="O635" s="12" t="s">
        <v>2818</v>
      </c>
      <c r="P635" s="14" t="s">
        <v>2824</v>
      </c>
      <c r="Q635" s="17" t="s">
        <v>137</v>
      </c>
      <c r="R635" s="17" t="s">
        <v>146</v>
      </c>
    </row>
    <row r="636" spans="1:18" x14ac:dyDescent="0.3">
      <c r="A636" s="12" t="s">
        <v>238</v>
      </c>
      <c r="B636" s="12" t="s">
        <v>20</v>
      </c>
      <c r="C636" s="12"/>
      <c r="D636" s="12" t="s">
        <v>193</v>
      </c>
      <c r="E636" s="12" t="s">
        <v>2825</v>
      </c>
      <c r="F636" s="12"/>
      <c r="G636" s="12" t="s">
        <v>2826</v>
      </c>
      <c r="H636" s="12" t="s">
        <v>43</v>
      </c>
      <c r="I636" s="12" t="s">
        <v>26</v>
      </c>
      <c r="J636" s="13" t="s">
        <v>2827</v>
      </c>
      <c r="K636" s="14" t="s">
        <v>2828</v>
      </c>
      <c r="L636" s="15">
        <v>1</v>
      </c>
      <c r="M636" s="15" t="s">
        <v>144</v>
      </c>
      <c r="N636" s="16">
        <v>45231</v>
      </c>
      <c r="O636" s="12" t="s">
        <v>241</v>
      </c>
      <c r="P636" s="14" t="s">
        <v>242</v>
      </c>
      <c r="Q636" s="17" t="s">
        <v>137</v>
      </c>
      <c r="R636" s="17" t="s">
        <v>146</v>
      </c>
    </row>
    <row r="637" spans="1:18" x14ac:dyDescent="0.3">
      <c r="A637" s="12" t="s">
        <v>2829</v>
      </c>
      <c r="B637" s="12" t="s">
        <v>12</v>
      </c>
      <c r="C637" s="12"/>
      <c r="D637" s="12" t="s">
        <v>12</v>
      </c>
      <c r="E637" s="12" t="s">
        <v>2830</v>
      </c>
      <c r="F637" s="12"/>
      <c r="G637" s="12" t="s">
        <v>2826</v>
      </c>
      <c r="H637" s="12" t="s">
        <v>43</v>
      </c>
      <c r="I637" s="12" t="s">
        <v>26</v>
      </c>
      <c r="J637" s="13" t="s">
        <v>2827</v>
      </c>
      <c r="K637" s="14" t="s">
        <v>2831</v>
      </c>
      <c r="L637" s="15">
        <v>1</v>
      </c>
      <c r="M637" s="15" t="s">
        <v>144</v>
      </c>
      <c r="N637" s="16">
        <v>44735</v>
      </c>
      <c r="O637" s="12" t="s">
        <v>2829</v>
      </c>
      <c r="P637" s="14" t="s">
        <v>2832</v>
      </c>
      <c r="Q637" s="17" t="s">
        <v>137</v>
      </c>
      <c r="R637" s="17" t="s">
        <v>146</v>
      </c>
    </row>
    <row r="638" spans="1:18" x14ac:dyDescent="0.3">
      <c r="A638" s="12" t="s">
        <v>475</v>
      </c>
      <c r="B638" s="12" t="s">
        <v>14</v>
      </c>
      <c r="C638" s="12"/>
      <c r="D638" s="12" t="s">
        <v>14</v>
      </c>
      <c r="E638" s="12" t="s">
        <v>2833</v>
      </c>
      <c r="F638" s="12"/>
      <c r="G638" s="12" t="s">
        <v>2826</v>
      </c>
      <c r="H638" s="12" t="s">
        <v>43</v>
      </c>
      <c r="I638" s="12" t="s">
        <v>26</v>
      </c>
      <c r="J638" s="13" t="s">
        <v>2827</v>
      </c>
      <c r="K638" s="14" t="s">
        <v>477</v>
      </c>
      <c r="L638" s="15">
        <v>0</v>
      </c>
      <c r="M638" s="15" t="s">
        <v>144</v>
      </c>
      <c r="N638" s="16">
        <v>45379</v>
      </c>
      <c r="O638" s="12" t="s">
        <v>475</v>
      </c>
      <c r="P638" s="14" t="s">
        <v>478</v>
      </c>
      <c r="Q638" s="17" t="s">
        <v>137</v>
      </c>
      <c r="R638" s="17" t="s">
        <v>146</v>
      </c>
    </row>
    <row r="639" spans="1:18" x14ac:dyDescent="0.3">
      <c r="A639" s="12" t="s">
        <v>307</v>
      </c>
      <c r="B639" s="12" t="s">
        <v>14</v>
      </c>
      <c r="C639" s="12"/>
      <c r="D639" s="12" t="s">
        <v>14</v>
      </c>
      <c r="E639" s="12" t="s">
        <v>2834</v>
      </c>
      <c r="F639" s="12"/>
      <c r="G639" s="12" t="s">
        <v>2826</v>
      </c>
      <c r="H639" s="12" t="s">
        <v>43</v>
      </c>
      <c r="I639" s="12" t="s">
        <v>26</v>
      </c>
      <c r="J639" s="13" t="s">
        <v>2827</v>
      </c>
      <c r="K639" s="14" t="s">
        <v>2456</v>
      </c>
      <c r="L639" s="15">
        <v>0</v>
      </c>
      <c r="M639" s="15" t="s">
        <v>144</v>
      </c>
      <c r="N639" s="16">
        <v>46275</v>
      </c>
      <c r="O639" s="12" t="s">
        <v>307</v>
      </c>
      <c r="P639" s="14" t="s">
        <v>310</v>
      </c>
      <c r="Q639" s="17" t="s">
        <v>137</v>
      </c>
      <c r="R639" s="17" t="s">
        <v>146</v>
      </c>
    </row>
    <row r="640" spans="1:18" x14ac:dyDescent="0.3">
      <c r="A640" s="12" t="s">
        <v>2835</v>
      </c>
      <c r="B640" s="12" t="s">
        <v>18</v>
      </c>
      <c r="C640" s="12"/>
      <c r="D640" s="12" t="s">
        <v>223</v>
      </c>
      <c r="E640" s="12" t="s">
        <v>2836</v>
      </c>
      <c r="F640" s="12" t="s">
        <v>467</v>
      </c>
      <c r="G640" s="12" t="s">
        <v>2837</v>
      </c>
      <c r="H640" s="12" t="s">
        <v>43</v>
      </c>
      <c r="I640" s="12" t="s">
        <v>26</v>
      </c>
      <c r="J640" s="13" t="s">
        <v>2464</v>
      </c>
      <c r="K640" s="14" t="s">
        <v>2838</v>
      </c>
      <c r="L640" s="15">
        <v>0</v>
      </c>
      <c r="M640" s="15" t="s">
        <v>144</v>
      </c>
      <c r="N640" s="16">
        <v>45483</v>
      </c>
      <c r="O640" s="12" t="s">
        <v>2839</v>
      </c>
      <c r="P640" s="14" t="s">
        <v>2840</v>
      </c>
      <c r="Q640" s="17" t="s">
        <v>137</v>
      </c>
      <c r="R640" s="17" t="s">
        <v>146</v>
      </c>
    </row>
    <row r="641" spans="1:18" x14ac:dyDescent="0.3">
      <c r="A641" s="12" t="s">
        <v>2841</v>
      </c>
      <c r="B641" s="12" t="s">
        <v>12</v>
      </c>
      <c r="C641" s="12"/>
      <c r="D641" s="12" t="s">
        <v>12</v>
      </c>
      <c r="E641" s="12" t="s">
        <v>2842</v>
      </c>
      <c r="F641" s="12" t="s">
        <v>1270</v>
      </c>
      <c r="G641" s="12" t="s">
        <v>2837</v>
      </c>
      <c r="H641" s="12" t="s">
        <v>43</v>
      </c>
      <c r="I641" s="12" t="s">
        <v>26</v>
      </c>
      <c r="J641" s="13" t="s">
        <v>2464</v>
      </c>
      <c r="K641" s="14" t="s">
        <v>2843</v>
      </c>
      <c r="L641" s="15">
        <v>0</v>
      </c>
      <c r="M641" s="15" t="s">
        <v>144</v>
      </c>
      <c r="N641" s="16">
        <v>44992</v>
      </c>
      <c r="O641" s="12" t="s">
        <v>2844</v>
      </c>
      <c r="P641" s="14" t="s">
        <v>2845</v>
      </c>
      <c r="Q641" s="17" t="s">
        <v>137</v>
      </c>
      <c r="R641" s="17" t="s">
        <v>146</v>
      </c>
    </row>
    <row r="642" spans="1:18" x14ac:dyDescent="0.3">
      <c r="A642" s="12" t="s">
        <v>307</v>
      </c>
      <c r="B642" s="12" t="s">
        <v>14</v>
      </c>
      <c r="C642" s="12"/>
      <c r="D642" s="12" t="s">
        <v>14</v>
      </c>
      <c r="E642" s="12" t="s">
        <v>2846</v>
      </c>
      <c r="F642" s="12" t="s">
        <v>467</v>
      </c>
      <c r="G642" s="12" t="s">
        <v>2847</v>
      </c>
      <c r="H642" s="12" t="s">
        <v>43</v>
      </c>
      <c r="I642" s="12" t="s">
        <v>26</v>
      </c>
      <c r="J642" s="13" t="s">
        <v>2848</v>
      </c>
      <c r="K642" s="14" t="s">
        <v>2849</v>
      </c>
      <c r="L642" s="15">
        <v>5</v>
      </c>
      <c r="M642" s="15" t="s">
        <v>144</v>
      </c>
      <c r="N642" s="16">
        <v>46275</v>
      </c>
      <c r="O642" s="12" t="s">
        <v>307</v>
      </c>
      <c r="P642" s="14" t="s">
        <v>310</v>
      </c>
      <c r="Q642" s="17" t="s">
        <v>137</v>
      </c>
      <c r="R642" s="17" t="s">
        <v>146</v>
      </c>
    </row>
    <row r="643" spans="1:18" x14ac:dyDescent="0.3">
      <c r="A643" s="12" t="s">
        <v>2850</v>
      </c>
      <c r="B643" s="12" t="s">
        <v>12</v>
      </c>
      <c r="C643" s="12"/>
      <c r="D643" s="12" t="s">
        <v>12</v>
      </c>
      <c r="E643" s="12" t="s">
        <v>2851</v>
      </c>
      <c r="F643" s="12" t="s">
        <v>258</v>
      </c>
      <c r="G643" s="12" t="s">
        <v>2852</v>
      </c>
      <c r="H643" s="12" t="s">
        <v>80</v>
      </c>
      <c r="I643" s="12" t="s">
        <v>27</v>
      </c>
      <c r="J643" s="13" t="s">
        <v>2853</v>
      </c>
      <c r="K643" s="14" t="s">
        <v>2854</v>
      </c>
      <c r="L643" s="15">
        <v>0</v>
      </c>
      <c r="M643" s="15" t="s">
        <v>144</v>
      </c>
      <c r="N643" s="16">
        <v>44763</v>
      </c>
      <c r="O643" s="12" t="s">
        <v>2855</v>
      </c>
      <c r="P643" s="14" t="s">
        <v>2856</v>
      </c>
      <c r="Q643" s="17" t="s">
        <v>137</v>
      </c>
      <c r="R643" s="17" t="s">
        <v>146</v>
      </c>
    </row>
    <row r="644" spans="1:18" x14ac:dyDescent="0.3">
      <c r="A644" s="12" t="s">
        <v>2857</v>
      </c>
      <c r="B644" s="12" t="s">
        <v>14</v>
      </c>
      <c r="C644" s="12"/>
      <c r="D644" s="12" t="s">
        <v>14</v>
      </c>
      <c r="E644" s="12" t="s">
        <v>2858</v>
      </c>
      <c r="F644" s="12"/>
      <c r="G644" s="12" t="s">
        <v>2852</v>
      </c>
      <c r="H644" s="12" t="s">
        <v>80</v>
      </c>
      <c r="I644" s="12" t="s">
        <v>27</v>
      </c>
      <c r="J644" s="13" t="s">
        <v>2853</v>
      </c>
      <c r="K644" s="14" t="s">
        <v>2859</v>
      </c>
      <c r="L644" s="15">
        <v>0</v>
      </c>
      <c r="M644" s="15" t="s">
        <v>144</v>
      </c>
      <c r="N644" s="16">
        <v>46183</v>
      </c>
      <c r="O644" s="12" t="s">
        <v>2860</v>
      </c>
      <c r="P644" s="14" t="s">
        <v>2861</v>
      </c>
      <c r="Q644" s="17" t="s">
        <v>137</v>
      </c>
      <c r="R644" s="17" t="s">
        <v>146</v>
      </c>
    </row>
    <row r="645" spans="1:18" x14ac:dyDescent="0.3">
      <c r="A645" s="12" t="s">
        <v>2862</v>
      </c>
      <c r="B645" s="12" t="s">
        <v>12</v>
      </c>
      <c r="C645" s="12"/>
      <c r="D645" s="12" t="s">
        <v>12</v>
      </c>
      <c r="E645" s="12" t="s">
        <v>2863</v>
      </c>
      <c r="F645" s="12" t="s">
        <v>467</v>
      </c>
      <c r="G645" s="12" t="s">
        <v>2864</v>
      </c>
      <c r="H645" s="12" t="s">
        <v>97</v>
      </c>
      <c r="I645" s="12" t="s">
        <v>27</v>
      </c>
      <c r="J645" s="13" t="s">
        <v>2865</v>
      </c>
      <c r="K645" s="14" t="s">
        <v>2866</v>
      </c>
      <c r="L645" s="15">
        <v>1</v>
      </c>
      <c r="M645" s="15" t="s">
        <v>144</v>
      </c>
      <c r="N645" s="16">
        <v>46258</v>
      </c>
      <c r="O645" s="12" t="s">
        <v>2862</v>
      </c>
      <c r="P645" s="14" t="s">
        <v>2867</v>
      </c>
      <c r="Q645" s="17" t="s">
        <v>137</v>
      </c>
      <c r="R645" s="17" t="s">
        <v>146</v>
      </c>
    </row>
    <row r="646" spans="1:18" x14ac:dyDescent="0.3">
      <c r="A646" s="12" t="s">
        <v>2868</v>
      </c>
      <c r="B646" s="12" t="s">
        <v>12</v>
      </c>
      <c r="C646" s="12"/>
      <c r="D646" s="12" t="s">
        <v>12</v>
      </c>
      <c r="E646" s="12" t="s">
        <v>2869</v>
      </c>
      <c r="F646" s="12"/>
      <c r="G646" s="12" t="s">
        <v>2870</v>
      </c>
      <c r="H646" s="12" t="s">
        <v>58</v>
      </c>
      <c r="I646" s="12" t="s">
        <v>27</v>
      </c>
      <c r="J646" s="13" t="s">
        <v>2871</v>
      </c>
      <c r="K646" s="14" t="s">
        <v>2872</v>
      </c>
      <c r="L646" s="15">
        <v>0</v>
      </c>
      <c r="M646" s="15" t="s">
        <v>144</v>
      </c>
      <c r="N646" s="16">
        <v>44892</v>
      </c>
      <c r="O646" s="12" t="s">
        <v>2873</v>
      </c>
      <c r="P646" s="14" t="s">
        <v>2874</v>
      </c>
      <c r="Q646" s="17" t="s">
        <v>137</v>
      </c>
      <c r="R646" s="17" t="s">
        <v>146</v>
      </c>
    </row>
    <row r="647" spans="1:18" x14ac:dyDescent="0.3">
      <c r="A647" s="12" t="s">
        <v>2868</v>
      </c>
      <c r="B647" s="12" t="s">
        <v>12</v>
      </c>
      <c r="C647" s="12"/>
      <c r="D647" s="12" t="s">
        <v>12</v>
      </c>
      <c r="E647" s="12" t="s">
        <v>2875</v>
      </c>
      <c r="F647" s="12"/>
      <c r="G647" s="12" t="s">
        <v>2870</v>
      </c>
      <c r="H647" s="12" t="s">
        <v>58</v>
      </c>
      <c r="I647" s="12" t="s">
        <v>27</v>
      </c>
      <c r="J647" s="13" t="s">
        <v>2871</v>
      </c>
      <c r="K647" s="14" t="s">
        <v>2876</v>
      </c>
      <c r="L647" s="15">
        <v>0</v>
      </c>
      <c r="M647" s="15" t="s">
        <v>144</v>
      </c>
      <c r="N647" s="16">
        <v>44892</v>
      </c>
      <c r="O647" s="12" t="s">
        <v>2873</v>
      </c>
      <c r="P647" s="14" t="s">
        <v>2874</v>
      </c>
      <c r="Q647" s="17" t="s">
        <v>137</v>
      </c>
      <c r="R647" s="17" t="s">
        <v>146</v>
      </c>
    </row>
    <row r="648" spans="1:18" x14ac:dyDescent="0.3">
      <c r="A648" s="12" t="s">
        <v>2877</v>
      </c>
      <c r="B648" s="12" t="s">
        <v>12</v>
      </c>
      <c r="C648" s="12"/>
      <c r="D648" s="12" t="s">
        <v>12</v>
      </c>
      <c r="E648" s="12" t="s">
        <v>2869</v>
      </c>
      <c r="F648" s="12"/>
      <c r="G648" s="12" t="s">
        <v>2870</v>
      </c>
      <c r="H648" s="12" t="s">
        <v>58</v>
      </c>
      <c r="I648" s="12" t="s">
        <v>27</v>
      </c>
      <c r="J648" s="13" t="s">
        <v>2871</v>
      </c>
      <c r="K648" s="14" t="s">
        <v>2872</v>
      </c>
      <c r="L648" s="15">
        <v>0</v>
      </c>
      <c r="M648" s="15" t="s">
        <v>144</v>
      </c>
      <c r="N648" s="16">
        <v>44739</v>
      </c>
      <c r="O648" s="12" t="s">
        <v>2873</v>
      </c>
      <c r="P648" s="14" t="s">
        <v>2878</v>
      </c>
      <c r="Q648" s="17" t="s">
        <v>137</v>
      </c>
      <c r="R648" s="17" t="s">
        <v>146</v>
      </c>
    </row>
    <row r="649" spans="1:18" x14ac:dyDescent="0.3">
      <c r="A649" s="12" t="s">
        <v>2879</v>
      </c>
      <c r="B649" s="12" t="s">
        <v>12</v>
      </c>
      <c r="C649" s="12" t="s">
        <v>14</v>
      </c>
      <c r="D649" s="12" t="s">
        <v>180</v>
      </c>
      <c r="E649" s="12" t="s">
        <v>2880</v>
      </c>
      <c r="F649" s="12" t="s">
        <v>372</v>
      </c>
      <c r="G649" s="12" t="s">
        <v>2870</v>
      </c>
      <c r="H649" s="12" t="s">
        <v>58</v>
      </c>
      <c r="I649" s="12" t="s">
        <v>27</v>
      </c>
      <c r="J649" s="13" t="s">
        <v>2871</v>
      </c>
      <c r="K649" s="14" t="s">
        <v>2881</v>
      </c>
      <c r="L649" s="15">
        <v>1</v>
      </c>
      <c r="M649" s="15" t="s">
        <v>144</v>
      </c>
      <c r="N649" s="16">
        <v>45810</v>
      </c>
      <c r="O649" s="12" t="s">
        <v>2879</v>
      </c>
      <c r="P649" s="14" t="s">
        <v>2882</v>
      </c>
      <c r="Q649" s="17" t="s">
        <v>137</v>
      </c>
      <c r="R649" s="17" t="s">
        <v>146</v>
      </c>
    </row>
    <row r="650" spans="1:18" x14ac:dyDescent="0.3">
      <c r="A650" s="12" t="s">
        <v>2879</v>
      </c>
      <c r="B650" s="12" t="s">
        <v>12</v>
      </c>
      <c r="C650" s="12" t="s">
        <v>14</v>
      </c>
      <c r="D650" s="12" t="s">
        <v>180</v>
      </c>
      <c r="E650" s="12" t="s">
        <v>2883</v>
      </c>
      <c r="F650" s="12" t="s">
        <v>2884</v>
      </c>
      <c r="G650" s="12" t="s">
        <v>2870</v>
      </c>
      <c r="H650" s="12" t="s">
        <v>58</v>
      </c>
      <c r="I650" s="12" t="s">
        <v>27</v>
      </c>
      <c r="J650" s="13" t="s">
        <v>2871</v>
      </c>
      <c r="K650" s="14" t="s">
        <v>2881</v>
      </c>
      <c r="L650" s="15">
        <v>1</v>
      </c>
      <c r="M650" s="15" t="s">
        <v>144</v>
      </c>
      <c r="N650" s="16">
        <v>45810</v>
      </c>
      <c r="O650" s="12" t="s">
        <v>2879</v>
      </c>
      <c r="P650" s="14" t="s">
        <v>2882</v>
      </c>
      <c r="Q650" s="17" t="s">
        <v>137</v>
      </c>
      <c r="R650" s="17" t="s">
        <v>146</v>
      </c>
    </row>
    <row r="651" spans="1:18" x14ac:dyDescent="0.3">
      <c r="A651" s="12" t="s">
        <v>2885</v>
      </c>
      <c r="B651" s="12" t="s">
        <v>14</v>
      </c>
      <c r="C651" s="12"/>
      <c r="D651" s="12" t="s">
        <v>14</v>
      </c>
      <c r="E651" s="12" t="s">
        <v>2886</v>
      </c>
      <c r="F651" s="12"/>
      <c r="G651" s="12" t="s">
        <v>2887</v>
      </c>
      <c r="H651" s="12" t="s">
        <v>58</v>
      </c>
      <c r="I651" s="12" t="s">
        <v>27</v>
      </c>
      <c r="J651" s="13" t="s">
        <v>2888</v>
      </c>
      <c r="K651" s="14" t="s">
        <v>2889</v>
      </c>
      <c r="L651" s="15">
        <v>1</v>
      </c>
      <c r="M651" s="15" t="s">
        <v>144</v>
      </c>
      <c r="N651" s="16">
        <v>46175</v>
      </c>
      <c r="O651" s="12" t="s">
        <v>2885</v>
      </c>
      <c r="P651" s="14" t="s">
        <v>2890</v>
      </c>
      <c r="Q651" s="17" t="s">
        <v>137</v>
      </c>
      <c r="R651" s="17" t="s">
        <v>146</v>
      </c>
    </row>
    <row r="652" spans="1:18" x14ac:dyDescent="0.3">
      <c r="A652" s="12" t="s">
        <v>2891</v>
      </c>
      <c r="B652" s="12" t="s">
        <v>12</v>
      </c>
      <c r="C652" s="12"/>
      <c r="D652" s="12" t="s">
        <v>12</v>
      </c>
      <c r="E652" s="12" t="s">
        <v>2892</v>
      </c>
      <c r="F652" s="12" t="s">
        <v>467</v>
      </c>
      <c r="G652" s="12" t="s">
        <v>2887</v>
      </c>
      <c r="H652" s="12" t="s">
        <v>58</v>
      </c>
      <c r="I652" s="12" t="s">
        <v>27</v>
      </c>
      <c r="J652" s="13" t="s">
        <v>2888</v>
      </c>
      <c r="K652" s="14" t="s">
        <v>2893</v>
      </c>
      <c r="L652" s="15">
        <v>1</v>
      </c>
      <c r="M652" s="15" t="s">
        <v>144</v>
      </c>
      <c r="N652" s="16">
        <v>45762</v>
      </c>
      <c r="O652" s="12" t="s">
        <v>2891</v>
      </c>
      <c r="P652" s="14" t="s">
        <v>2894</v>
      </c>
      <c r="Q652" s="17" t="s">
        <v>137</v>
      </c>
      <c r="R652" s="17" t="s">
        <v>146</v>
      </c>
    </row>
    <row r="653" spans="1:18" x14ac:dyDescent="0.3">
      <c r="A653" s="12" t="s">
        <v>2895</v>
      </c>
      <c r="B653" s="12" t="s">
        <v>12</v>
      </c>
      <c r="C653" s="12"/>
      <c r="D653" s="12" t="s">
        <v>12</v>
      </c>
      <c r="E653" s="12" t="s">
        <v>2896</v>
      </c>
      <c r="F653" s="12"/>
      <c r="G653" s="12" t="s">
        <v>2897</v>
      </c>
      <c r="H653" s="12" t="s">
        <v>77</v>
      </c>
      <c r="I653" s="12" t="s">
        <v>27</v>
      </c>
      <c r="J653" s="13" t="s">
        <v>2898</v>
      </c>
      <c r="K653" s="14" t="s">
        <v>2899</v>
      </c>
      <c r="L653" s="15">
        <v>3</v>
      </c>
      <c r="M653" s="15" t="s">
        <v>144</v>
      </c>
      <c r="N653" s="16">
        <v>45565</v>
      </c>
      <c r="O653" s="12" t="s">
        <v>2895</v>
      </c>
      <c r="P653" s="14" t="s">
        <v>2900</v>
      </c>
      <c r="Q653" s="17" t="s">
        <v>137</v>
      </c>
      <c r="R653" s="17" t="s">
        <v>146</v>
      </c>
    </row>
    <row r="654" spans="1:18" x14ac:dyDescent="0.3">
      <c r="A654" s="12" t="s">
        <v>2895</v>
      </c>
      <c r="B654" s="12" t="s">
        <v>12</v>
      </c>
      <c r="C654" s="12"/>
      <c r="D654" s="12" t="s">
        <v>12</v>
      </c>
      <c r="E654" s="12" t="s">
        <v>2901</v>
      </c>
      <c r="F654" s="12"/>
      <c r="G654" s="12" t="s">
        <v>2897</v>
      </c>
      <c r="H654" s="12" t="s">
        <v>77</v>
      </c>
      <c r="I654" s="12" t="s">
        <v>27</v>
      </c>
      <c r="J654" s="13" t="s">
        <v>2898</v>
      </c>
      <c r="K654" s="14" t="s">
        <v>2899</v>
      </c>
      <c r="L654" s="15">
        <v>2</v>
      </c>
      <c r="M654" s="15" t="s">
        <v>144</v>
      </c>
      <c r="N654" s="16">
        <v>45565</v>
      </c>
      <c r="O654" s="12" t="s">
        <v>2895</v>
      </c>
      <c r="P654" s="14" t="s">
        <v>2900</v>
      </c>
      <c r="Q654" s="17" t="s">
        <v>137</v>
      </c>
      <c r="R654" s="17" t="s">
        <v>146</v>
      </c>
    </row>
    <row r="655" spans="1:18" x14ac:dyDescent="0.3">
      <c r="A655" s="12" t="s">
        <v>2902</v>
      </c>
      <c r="B655" s="12" t="s">
        <v>12</v>
      </c>
      <c r="C655" s="12"/>
      <c r="D655" s="12" t="s">
        <v>12</v>
      </c>
      <c r="E655" s="12" t="s">
        <v>2903</v>
      </c>
      <c r="F655" s="12" t="s">
        <v>2904</v>
      </c>
      <c r="G655" s="12" t="s">
        <v>2897</v>
      </c>
      <c r="H655" s="12" t="s">
        <v>77</v>
      </c>
      <c r="I655" s="12" t="s">
        <v>27</v>
      </c>
      <c r="J655" s="13" t="s">
        <v>2898</v>
      </c>
      <c r="K655" s="14" t="s">
        <v>2905</v>
      </c>
      <c r="L655" s="15">
        <v>4</v>
      </c>
      <c r="M655" s="15" t="s">
        <v>144</v>
      </c>
      <c r="N655" s="16">
        <v>45819</v>
      </c>
      <c r="O655" s="12" t="s">
        <v>2906</v>
      </c>
      <c r="P655" s="14" t="s">
        <v>2907</v>
      </c>
      <c r="Q655" s="17" t="s">
        <v>137</v>
      </c>
      <c r="R655" s="17" t="s">
        <v>146</v>
      </c>
    </row>
    <row r="656" spans="1:18" x14ac:dyDescent="0.3">
      <c r="A656" s="12" t="s">
        <v>2908</v>
      </c>
      <c r="B656" s="12" t="s">
        <v>12</v>
      </c>
      <c r="C656" s="12"/>
      <c r="D656" s="12" t="s">
        <v>12</v>
      </c>
      <c r="E656" s="12" t="s">
        <v>2909</v>
      </c>
      <c r="F656" s="12"/>
      <c r="G656" s="12" t="s">
        <v>2910</v>
      </c>
      <c r="H656" s="12" t="s">
        <v>85</v>
      </c>
      <c r="I656" s="12" t="s">
        <v>27</v>
      </c>
      <c r="J656" s="13" t="s">
        <v>2911</v>
      </c>
      <c r="K656" s="14" t="s">
        <v>2912</v>
      </c>
      <c r="L656" s="15">
        <v>3</v>
      </c>
      <c r="M656" s="15" t="s">
        <v>144</v>
      </c>
      <c r="N656" s="16">
        <v>45856</v>
      </c>
      <c r="O656" s="12" t="s">
        <v>2913</v>
      </c>
      <c r="P656" s="14" t="s">
        <v>2914</v>
      </c>
      <c r="Q656" s="17" t="s">
        <v>137</v>
      </c>
      <c r="R656" s="17" t="s">
        <v>146</v>
      </c>
    </row>
    <row r="657" spans="1:18" x14ac:dyDescent="0.3">
      <c r="A657" s="12" t="s">
        <v>2915</v>
      </c>
      <c r="B657" s="12" t="s">
        <v>12</v>
      </c>
      <c r="C657" s="12"/>
      <c r="D657" s="12" t="s">
        <v>12</v>
      </c>
      <c r="E657" s="12" t="s">
        <v>2916</v>
      </c>
      <c r="F657" s="12" t="s">
        <v>1542</v>
      </c>
      <c r="G657" s="12" t="s">
        <v>2917</v>
      </c>
      <c r="H657" s="12" t="s">
        <v>85</v>
      </c>
      <c r="I657" s="12" t="s">
        <v>27</v>
      </c>
      <c r="J657" s="13" t="s">
        <v>2918</v>
      </c>
      <c r="K657" s="14" t="s">
        <v>2919</v>
      </c>
      <c r="L657" s="15">
        <v>0</v>
      </c>
      <c r="M657" s="15" t="s">
        <v>144</v>
      </c>
      <c r="N657" s="16">
        <v>45790</v>
      </c>
      <c r="O657" s="12" t="s">
        <v>2915</v>
      </c>
      <c r="P657" s="14" t="s">
        <v>2920</v>
      </c>
      <c r="Q657" s="17" t="s">
        <v>137</v>
      </c>
      <c r="R657" s="17" t="s">
        <v>146</v>
      </c>
    </row>
    <row r="658" spans="1:18" x14ac:dyDescent="0.3">
      <c r="A658" s="12" t="s">
        <v>199</v>
      </c>
      <c r="B658" s="12" t="s">
        <v>14</v>
      </c>
      <c r="C658" s="12"/>
      <c r="D658" s="12" t="s">
        <v>14</v>
      </c>
      <c r="E658" s="12" t="s">
        <v>2921</v>
      </c>
      <c r="F658" s="12"/>
      <c r="G658" s="12" t="s">
        <v>94</v>
      </c>
      <c r="H658" s="12" t="s">
        <v>44</v>
      </c>
      <c r="I658" s="12" t="s">
        <v>27</v>
      </c>
      <c r="J658" s="13" t="s">
        <v>2922</v>
      </c>
      <c r="K658" s="14" t="s">
        <v>2923</v>
      </c>
      <c r="L658" s="15">
        <v>2</v>
      </c>
      <c r="M658" s="15" t="s">
        <v>144</v>
      </c>
      <c r="N658" s="16">
        <v>46106</v>
      </c>
      <c r="O658" s="12" t="s">
        <v>203</v>
      </c>
      <c r="P658" s="14" t="s">
        <v>2924</v>
      </c>
      <c r="Q658" s="17" t="s">
        <v>137</v>
      </c>
      <c r="R658" s="17" t="s">
        <v>146</v>
      </c>
    </row>
    <row r="659" spans="1:18" x14ac:dyDescent="0.3">
      <c r="A659" s="12" t="s">
        <v>199</v>
      </c>
      <c r="B659" s="12" t="s">
        <v>14</v>
      </c>
      <c r="C659" s="12"/>
      <c r="D659" s="12" t="s">
        <v>14</v>
      </c>
      <c r="E659" s="12" t="s">
        <v>2925</v>
      </c>
      <c r="F659" s="12" t="s">
        <v>1988</v>
      </c>
      <c r="G659" s="12" t="s">
        <v>2926</v>
      </c>
      <c r="H659" s="12" t="s">
        <v>44</v>
      </c>
      <c r="I659" s="12" t="s">
        <v>27</v>
      </c>
      <c r="J659" s="13" t="s">
        <v>2927</v>
      </c>
      <c r="K659" s="14" t="s">
        <v>2801</v>
      </c>
      <c r="L659" s="15">
        <v>5</v>
      </c>
      <c r="M659" s="15" t="s">
        <v>144</v>
      </c>
      <c r="N659" s="16">
        <v>45589</v>
      </c>
      <c r="O659" s="12" t="s">
        <v>203</v>
      </c>
      <c r="P659" s="14" t="s">
        <v>2928</v>
      </c>
      <c r="Q659" s="17" t="s">
        <v>137</v>
      </c>
      <c r="R659" s="17" t="s">
        <v>146</v>
      </c>
    </row>
    <row r="660" spans="1:18" x14ac:dyDescent="0.3">
      <c r="A660" s="12" t="s">
        <v>2929</v>
      </c>
      <c r="B660" s="12" t="s">
        <v>12</v>
      </c>
      <c r="C660" s="12"/>
      <c r="D660" s="12" t="s">
        <v>12</v>
      </c>
      <c r="E660" s="12" t="s">
        <v>2930</v>
      </c>
      <c r="F660" s="12"/>
      <c r="G660" s="12" t="s">
        <v>2931</v>
      </c>
      <c r="H660" s="12" t="s">
        <v>44</v>
      </c>
      <c r="I660" s="12" t="s">
        <v>27</v>
      </c>
      <c r="J660" s="13" t="s">
        <v>2932</v>
      </c>
      <c r="K660" s="14" t="s">
        <v>2933</v>
      </c>
      <c r="L660" s="15">
        <v>2</v>
      </c>
      <c r="M660" s="15" t="s">
        <v>144</v>
      </c>
      <c r="N660" s="16">
        <v>45260</v>
      </c>
      <c r="O660" s="12" t="s">
        <v>2929</v>
      </c>
      <c r="P660" s="14" t="s">
        <v>2934</v>
      </c>
      <c r="Q660" s="17" t="s">
        <v>137</v>
      </c>
      <c r="R660" s="17" t="s">
        <v>146</v>
      </c>
    </row>
    <row r="661" spans="1:18" x14ac:dyDescent="0.3">
      <c r="A661" s="12" t="s">
        <v>2935</v>
      </c>
      <c r="B661" s="12" t="s">
        <v>10</v>
      </c>
      <c r="C661" s="12"/>
      <c r="D661" s="12" t="s">
        <v>157</v>
      </c>
      <c r="E661" s="12" t="s">
        <v>2936</v>
      </c>
      <c r="F661" s="12" t="s">
        <v>1569</v>
      </c>
      <c r="G661" s="12" t="s">
        <v>2937</v>
      </c>
      <c r="H661" s="12" t="s">
        <v>44</v>
      </c>
      <c r="I661" s="12" t="s">
        <v>27</v>
      </c>
      <c r="J661" s="13" t="s">
        <v>2938</v>
      </c>
      <c r="K661" s="14" t="s">
        <v>2939</v>
      </c>
      <c r="L661" s="15">
        <v>0</v>
      </c>
      <c r="M661" s="15" t="s">
        <v>144</v>
      </c>
      <c r="N661" s="16">
        <v>45911</v>
      </c>
      <c r="O661" s="12" t="s">
        <v>2940</v>
      </c>
      <c r="P661" s="14" t="s">
        <v>2941</v>
      </c>
      <c r="Q661" s="17" t="s">
        <v>137</v>
      </c>
      <c r="R661" s="17" t="s">
        <v>146</v>
      </c>
    </row>
    <row r="662" spans="1:18" x14ac:dyDescent="0.3">
      <c r="A662" s="12" t="s">
        <v>2942</v>
      </c>
      <c r="B662" s="12" t="s">
        <v>10</v>
      </c>
      <c r="C662" s="12"/>
      <c r="D662" s="12" t="s">
        <v>157</v>
      </c>
      <c r="E662" s="12" t="s">
        <v>2943</v>
      </c>
      <c r="F662" s="12"/>
      <c r="G662" s="12" t="s">
        <v>2937</v>
      </c>
      <c r="H662" s="12" t="s">
        <v>44</v>
      </c>
      <c r="I662" s="12" t="s">
        <v>27</v>
      </c>
      <c r="J662" s="13" t="s">
        <v>2944</v>
      </c>
      <c r="K662" s="14" t="s">
        <v>2945</v>
      </c>
      <c r="L662" s="15">
        <v>0</v>
      </c>
      <c r="M662" s="15" t="s">
        <v>144</v>
      </c>
      <c r="N662" s="16">
        <v>46065</v>
      </c>
      <c r="O662" s="12" t="s">
        <v>2942</v>
      </c>
      <c r="P662" s="14" t="s">
        <v>2946</v>
      </c>
      <c r="Q662" s="17" t="s">
        <v>137</v>
      </c>
      <c r="R662" s="17" t="s">
        <v>146</v>
      </c>
    </row>
    <row r="663" spans="1:18" x14ac:dyDescent="0.3">
      <c r="A663" s="12" t="s">
        <v>2947</v>
      </c>
      <c r="B663" s="12" t="s">
        <v>20</v>
      </c>
      <c r="C663" s="12"/>
      <c r="D663" s="12" t="s">
        <v>193</v>
      </c>
      <c r="E663" s="12" t="s">
        <v>2948</v>
      </c>
      <c r="F663" s="12" t="s">
        <v>1191</v>
      </c>
      <c r="G663" s="12" t="s">
        <v>2937</v>
      </c>
      <c r="H663" s="12" t="s">
        <v>44</v>
      </c>
      <c r="I663" s="12" t="s">
        <v>27</v>
      </c>
      <c r="J663" s="13" t="s">
        <v>2938</v>
      </c>
      <c r="K663" s="14" t="s">
        <v>2949</v>
      </c>
      <c r="L663" s="15">
        <v>1</v>
      </c>
      <c r="M663" s="15" t="s">
        <v>144</v>
      </c>
      <c r="N663" s="16">
        <v>44065</v>
      </c>
      <c r="O663" s="12" t="s">
        <v>2950</v>
      </c>
      <c r="P663" s="14" t="s">
        <v>2951</v>
      </c>
      <c r="Q663" s="17" t="s">
        <v>137</v>
      </c>
      <c r="R663" s="17" t="s">
        <v>146</v>
      </c>
    </row>
    <row r="664" spans="1:18" x14ac:dyDescent="0.3">
      <c r="A664" s="12" t="s">
        <v>2952</v>
      </c>
      <c r="B664" s="12" t="s">
        <v>14</v>
      </c>
      <c r="C664" s="12"/>
      <c r="D664" s="12" t="s">
        <v>14</v>
      </c>
      <c r="E664" s="12" t="s">
        <v>2953</v>
      </c>
      <c r="F664" s="12"/>
      <c r="G664" s="12" t="s">
        <v>2937</v>
      </c>
      <c r="H664" s="12" t="s">
        <v>44</v>
      </c>
      <c r="I664" s="12" t="s">
        <v>27</v>
      </c>
      <c r="J664" s="13" t="s">
        <v>2938</v>
      </c>
      <c r="K664" s="14" t="s">
        <v>2954</v>
      </c>
      <c r="L664" s="15">
        <v>0</v>
      </c>
      <c r="M664" s="15" t="s">
        <v>144</v>
      </c>
      <c r="N664" s="16">
        <v>45386</v>
      </c>
      <c r="O664" s="12" t="s">
        <v>2952</v>
      </c>
      <c r="P664" s="14" t="s">
        <v>2955</v>
      </c>
      <c r="Q664" s="17" t="s">
        <v>137</v>
      </c>
      <c r="R664" s="17" t="s">
        <v>146</v>
      </c>
    </row>
    <row r="665" spans="1:18" x14ac:dyDescent="0.3">
      <c r="A665" s="12" t="s">
        <v>199</v>
      </c>
      <c r="B665" s="12" t="s">
        <v>14</v>
      </c>
      <c r="C665" s="12"/>
      <c r="D665" s="12" t="s">
        <v>14</v>
      </c>
      <c r="E665" s="12" t="s">
        <v>2956</v>
      </c>
      <c r="F665" s="12" t="s">
        <v>2957</v>
      </c>
      <c r="G665" s="12" t="s">
        <v>2937</v>
      </c>
      <c r="H665" s="12" t="s">
        <v>44</v>
      </c>
      <c r="I665" s="12" t="s">
        <v>27</v>
      </c>
      <c r="J665" s="13" t="s">
        <v>2938</v>
      </c>
      <c r="K665" s="14" t="s">
        <v>2958</v>
      </c>
      <c r="L665" s="15">
        <v>4</v>
      </c>
      <c r="M665" s="15" t="s">
        <v>144</v>
      </c>
      <c r="N665" s="16">
        <v>45951</v>
      </c>
      <c r="O665" s="12" t="s">
        <v>331</v>
      </c>
      <c r="P665" s="14" t="s">
        <v>2959</v>
      </c>
      <c r="Q665" s="17" t="s">
        <v>137</v>
      </c>
      <c r="R665" s="17" t="s">
        <v>146</v>
      </c>
    </row>
    <row r="666" spans="1:18" x14ac:dyDescent="0.3">
      <c r="A666" s="12" t="s">
        <v>2960</v>
      </c>
      <c r="B666" s="12" t="s">
        <v>12</v>
      </c>
      <c r="C666" s="12" t="s">
        <v>14</v>
      </c>
      <c r="D666" s="12" t="s">
        <v>180</v>
      </c>
      <c r="E666" s="12" t="s">
        <v>2956</v>
      </c>
      <c r="F666" s="12" t="s">
        <v>2961</v>
      </c>
      <c r="G666" s="12" t="s">
        <v>2937</v>
      </c>
      <c r="H666" s="12" t="s">
        <v>44</v>
      </c>
      <c r="I666" s="12" t="s">
        <v>27</v>
      </c>
      <c r="J666" s="13" t="s">
        <v>2938</v>
      </c>
      <c r="K666" s="14" t="s">
        <v>2962</v>
      </c>
      <c r="L666" s="15">
        <v>5</v>
      </c>
      <c r="M666" s="15" t="s">
        <v>144</v>
      </c>
      <c r="N666" s="16">
        <v>46097</v>
      </c>
      <c r="O666" s="12" t="s">
        <v>2963</v>
      </c>
      <c r="P666" s="14" t="s">
        <v>2964</v>
      </c>
      <c r="Q666" s="17" t="s">
        <v>137</v>
      </c>
      <c r="R666" s="17" t="s">
        <v>146</v>
      </c>
    </row>
    <row r="667" spans="1:18" x14ac:dyDescent="0.3">
      <c r="A667" s="12" t="s">
        <v>2965</v>
      </c>
      <c r="B667" s="12" t="s">
        <v>12</v>
      </c>
      <c r="C667" s="12"/>
      <c r="D667" s="12" t="s">
        <v>12</v>
      </c>
      <c r="E667" s="12" t="s">
        <v>2966</v>
      </c>
      <c r="F667" s="12"/>
      <c r="G667" s="12" t="s">
        <v>2967</v>
      </c>
      <c r="H667" s="12" t="s">
        <v>44</v>
      </c>
      <c r="I667" s="12" t="s">
        <v>27</v>
      </c>
      <c r="J667" s="13" t="s">
        <v>2968</v>
      </c>
      <c r="K667" s="14" t="s">
        <v>2969</v>
      </c>
      <c r="L667" s="15">
        <v>6</v>
      </c>
      <c r="M667" s="15" t="s">
        <v>144</v>
      </c>
      <c r="N667" s="16">
        <v>45701</v>
      </c>
      <c r="O667" s="12" t="s">
        <v>2965</v>
      </c>
      <c r="P667" s="14" t="s">
        <v>2970</v>
      </c>
      <c r="Q667" s="17" t="s">
        <v>137</v>
      </c>
      <c r="R667" s="17" t="s">
        <v>146</v>
      </c>
    </row>
    <row r="668" spans="1:18" x14ac:dyDescent="0.3">
      <c r="A668" s="12" t="s">
        <v>2971</v>
      </c>
      <c r="B668" s="12" t="s">
        <v>12</v>
      </c>
      <c r="C668" s="12"/>
      <c r="D668" s="12" t="s">
        <v>12</v>
      </c>
      <c r="E668" s="12" t="s">
        <v>2972</v>
      </c>
      <c r="F668" s="12"/>
      <c r="G668" s="12" t="s">
        <v>2973</v>
      </c>
      <c r="H668" s="12" t="s">
        <v>44</v>
      </c>
      <c r="I668" s="12" t="s">
        <v>27</v>
      </c>
      <c r="J668" s="13" t="s">
        <v>2974</v>
      </c>
      <c r="K668" s="14" t="s">
        <v>2975</v>
      </c>
      <c r="L668" s="15">
        <v>1</v>
      </c>
      <c r="M668" s="15" t="s">
        <v>144</v>
      </c>
      <c r="N668" s="16">
        <v>45818</v>
      </c>
      <c r="O668" s="12" t="s">
        <v>2976</v>
      </c>
      <c r="P668" s="14" t="s">
        <v>2977</v>
      </c>
      <c r="Q668" s="17" t="s">
        <v>137</v>
      </c>
      <c r="R668" s="17" t="s">
        <v>146</v>
      </c>
    </row>
    <row r="669" spans="1:18" x14ac:dyDescent="0.3">
      <c r="A669" s="12" t="s">
        <v>2978</v>
      </c>
      <c r="B669" s="12" t="s">
        <v>20</v>
      </c>
      <c r="C669" s="12"/>
      <c r="D669" s="12" t="s">
        <v>193</v>
      </c>
      <c r="E669" s="12" t="s">
        <v>2979</v>
      </c>
      <c r="F669" s="12" t="s">
        <v>188</v>
      </c>
      <c r="G669" s="12" t="s">
        <v>2973</v>
      </c>
      <c r="H669" s="12" t="s">
        <v>44</v>
      </c>
      <c r="I669" s="12" t="s">
        <v>27</v>
      </c>
      <c r="J669" s="13" t="s">
        <v>2980</v>
      </c>
      <c r="K669" s="14" t="s">
        <v>2981</v>
      </c>
      <c r="L669" s="15">
        <v>11</v>
      </c>
      <c r="M669" s="15" t="s">
        <v>144</v>
      </c>
      <c r="N669" s="16">
        <v>44065</v>
      </c>
      <c r="O669" s="12" t="s">
        <v>2982</v>
      </c>
      <c r="P669" s="14" t="s">
        <v>2983</v>
      </c>
      <c r="Q669" s="17" t="s">
        <v>137</v>
      </c>
      <c r="R669" s="17" t="s">
        <v>146</v>
      </c>
    </row>
    <row r="670" spans="1:18" x14ac:dyDescent="0.3">
      <c r="A670" s="12" t="s">
        <v>2984</v>
      </c>
      <c r="B670" s="12" t="s">
        <v>14</v>
      </c>
      <c r="C670" s="12"/>
      <c r="D670" s="12" t="s">
        <v>14</v>
      </c>
      <c r="E670" s="12" t="s">
        <v>2985</v>
      </c>
      <c r="F670" s="12" t="s">
        <v>2986</v>
      </c>
      <c r="G670" s="12" t="s">
        <v>2973</v>
      </c>
      <c r="H670" s="12" t="s">
        <v>44</v>
      </c>
      <c r="I670" s="12" t="s">
        <v>27</v>
      </c>
      <c r="J670" s="13" t="s">
        <v>2974</v>
      </c>
      <c r="K670" s="14" t="s">
        <v>2987</v>
      </c>
      <c r="L670" s="15">
        <v>0</v>
      </c>
      <c r="M670" s="15" t="s">
        <v>144</v>
      </c>
      <c r="N670" s="16">
        <v>45963</v>
      </c>
      <c r="O670" s="12" t="s">
        <v>2984</v>
      </c>
      <c r="P670" s="14" t="s">
        <v>2988</v>
      </c>
      <c r="Q670" s="17" t="s">
        <v>137</v>
      </c>
      <c r="R670" s="17" t="s">
        <v>146</v>
      </c>
    </row>
    <row r="671" spans="1:18" x14ac:dyDescent="0.3">
      <c r="A671" s="12" t="s">
        <v>2989</v>
      </c>
      <c r="B671" s="12" t="s">
        <v>14</v>
      </c>
      <c r="C671" s="12"/>
      <c r="D671" s="12" t="s">
        <v>14</v>
      </c>
      <c r="E671" s="12" t="s">
        <v>2990</v>
      </c>
      <c r="F671" s="12"/>
      <c r="G671" s="12" t="s">
        <v>2973</v>
      </c>
      <c r="H671" s="12" t="s">
        <v>44</v>
      </c>
      <c r="I671" s="12" t="s">
        <v>27</v>
      </c>
      <c r="J671" s="13" t="s">
        <v>2974</v>
      </c>
      <c r="K671" s="14" t="s">
        <v>2991</v>
      </c>
      <c r="L671" s="15">
        <v>0</v>
      </c>
      <c r="M671" s="15" t="s">
        <v>144</v>
      </c>
      <c r="N671" s="16">
        <v>45528</v>
      </c>
      <c r="O671" s="12" t="s">
        <v>2992</v>
      </c>
      <c r="P671" s="14" t="s">
        <v>2993</v>
      </c>
      <c r="Q671" s="17" t="s">
        <v>137</v>
      </c>
      <c r="R671" s="17" t="s">
        <v>146</v>
      </c>
    </row>
    <row r="672" spans="1:18" x14ac:dyDescent="0.3">
      <c r="A672" s="12" t="s">
        <v>2994</v>
      </c>
      <c r="B672" s="12" t="s">
        <v>12</v>
      </c>
      <c r="C672" s="12"/>
      <c r="D672" s="12" t="s">
        <v>12</v>
      </c>
      <c r="E672" s="12" t="s">
        <v>2995</v>
      </c>
      <c r="F672" s="12" t="s">
        <v>516</v>
      </c>
      <c r="G672" s="12" t="s">
        <v>2973</v>
      </c>
      <c r="H672" s="12" t="s">
        <v>44</v>
      </c>
      <c r="I672" s="12" t="s">
        <v>27</v>
      </c>
      <c r="J672" s="13" t="s">
        <v>2974</v>
      </c>
      <c r="K672" s="14" t="s">
        <v>2996</v>
      </c>
      <c r="L672" s="15">
        <v>5</v>
      </c>
      <c r="M672" s="15" t="s">
        <v>144</v>
      </c>
      <c r="N672" s="16">
        <v>45049</v>
      </c>
      <c r="O672" s="12" t="s">
        <v>2994</v>
      </c>
      <c r="P672" s="14" t="s">
        <v>2997</v>
      </c>
      <c r="Q672" s="17" t="s">
        <v>137</v>
      </c>
      <c r="R672" s="17" t="s">
        <v>146</v>
      </c>
    </row>
    <row r="673" spans="1:18" x14ac:dyDescent="0.3">
      <c r="A673" s="12" t="s">
        <v>2998</v>
      </c>
      <c r="B673" s="12" t="s">
        <v>14</v>
      </c>
      <c r="C673" s="12"/>
      <c r="D673" s="12" t="s">
        <v>14</v>
      </c>
      <c r="E673" s="12" t="s">
        <v>2999</v>
      </c>
      <c r="F673" s="12"/>
      <c r="G673" s="12" t="s">
        <v>2973</v>
      </c>
      <c r="H673" s="12" t="s">
        <v>44</v>
      </c>
      <c r="I673" s="12" t="s">
        <v>27</v>
      </c>
      <c r="J673" s="13" t="s">
        <v>2980</v>
      </c>
      <c r="K673" s="14" t="s">
        <v>3000</v>
      </c>
      <c r="L673" s="15">
        <v>0</v>
      </c>
      <c r="M673" s="15" t="s">
        <v>144</v>
      </c>
      <c r="N673" s="16">
        <v>45307</v>
      </c>
      <c r="O673" s="12" t="s">
        <v>2998</v>
      </c>
      <c r="P673" s="14" t="s">
        <v>3001</v>
      </c>
      <c r="Q673" s="17" t="s">
        <v>137</v>
      </c>
      <c r="R673" s="17" t="s">
        <v>146</v>
      </c>
    </row>
    <row r="674" spans="1:18" x14ac:dyDescent="0.3">
      <c r="A674" s="12" t="s">
        <v>3002</v>
      </c>
      <c r="B674" s="12" t="s">
        <v>14</v>
      </c>
      <c r="C674" s="12"/>
      <c r="D674" s="12" t="s">
        <v>14</v>
      </c>
      <c r="E674" s="12" t="s">
        <v>3003</v>
      </c>
      <c r="F674" s="12" t="s">
        <v>3004</v>
      </c>
      <c r="G674" s="12" t="s">
        <v>2973</v>
      </c>
      <c r="H674" s="12" t="s">
        <v>44</v>
      </c>
      <c r="I674" s="12" t="s">
        <v>27</v>
      </c>
      <c r="J674" s="13" t="s">
        <v>2980</v>
      </c>
      <c r="K674" s="14" t="s">
        <v>3005</v>
      </c>
      <c r="L674" s="15">
        <v>2</v>
      </c>
      <c r="M674" s="15" t="s">
        <v>144</v>
      </c>
      <c r="N674" s="16">
        <v>44712</v>
      </c>
      <c r="O674" s="12" t="s">
        <v>3002</v>
      </c>
      <c r="P674" s="14" t="s">
        <v>3006</v>
      </c>
      <c r="Q674" s="17" t="s">
        <v>137</v>
      </c>
      <c r="R674" s="17" t="s">
        <v>146</v>
      </c>
    </row>
    <row r="675" spans="1:18" x14ac:dyDescent="0.3">
      <c r="A675" s="12" t="s">
        <v>3007</v>
      </c>
      <c r="B675" s="12" t="s">
        <v>18</v>
      </c>
      <c r="C675" s="12"/>
      <c r="D675" s="12" t="s">
        <v>1622</v>
      </c>
      <c r="E675" s="12" t="s">
        <v>3008</v>
      </c>
      <c r="F675" s="12"/>
      <c r="G675" s="12" t="s">
        <v>2973</v>
      </c>
      <c r="H675" s="12" t="s">
        <v>44</v>
      </c>
      <c r="I675" s="12" t="s">
        <v>27</v>
      </c>
      <c r="J675" s="13" t="s">
        <v>2974</v>
      </c>
      <c r="K675" s="14" t="s">
        <v>3009</v>
      </c>
      <c r="L675" s="15">
        <v>1</v>
      </c>
      <c r="M675" s="15" t="s">
        <v>144</v>
      </c>
      <c r="N675" s="16">
        <v>45490</v>
      </c>
      <c r="O675" s="12" t="s">
        <v>612</v>
      </c>
      <c r="P675" s="14" t="s">
        <v>3010</v>
      </c>
      <c r="Q675" s="17" t="s">
        <v>137</v>
      </c>
      <c r="R675" s="17" t="s">
        <v>146</v>
      </c>
    </row>
    <row r="676" spans="1:18" x14ac:dyDescent="0.3">
      <c r="A676" s="12" t="s">
        <v>3011</v>
      </c>
      <c r="B676" s="12" t="s">
        <v>12</v>
      </c>
      <c r="C676" s="12"/>
      <c r="D676" s="12" t="s">
        <v>12</v>
      </c>
      <c r="E676" s="12" t="s">
        <v>3012</v>
      </c>
      <c r="F676" s="12" t="s">
        <v>164</v>
      </c>
      <c r="G676" s="12" t="s">
        <v>2973</v>
      </c>
      <c r="H676" s="12" t="s">
        <v>44</v>
      </c>
      <c r="I676" s="12" t="s">
        <v>27</v>
      </c>
      <c r="J676" s="13" t="s">
        <v>2980</v>
      </c>
      <c r="K676" s="14" t="s">
        <v>3013</v>
      </c>
      <c r="L676" s="15">
        <v>1</v>
      </c>
      <c r="M676" s="15" t="s">
        <v>144</v>
      </c>
      <c r="N676" s="16">
        <v>44841</v>
      </c>
      <c r="O676" s="12" t="s">
        <v>3011</v>
      </c>
      <c r="P676" s="14" t="s">
        <v>3014</v>
      </c>
      <c r="Q676" s="17" t="s">
        <v>137</v>
      </c>
      <c r="R676" s="17" t="s">
        <v>146</v>
      </c>
    </row>
    <row r="677" spans="1:18" x14ac:dyDescent="0.3">
      <c r="A677" s="12" t="s">
        <v>3015</v>
      </c>
      <c r="B677" s="12" t="s">
        <v>12</v>
      </c>
      <c r="C677" s="12"/>
      <c r="D677" s="12" t="s">
        <v>12</v>
      </c>
      <c r="E677" s="12" t="s">
        <v>3016</v>
      </c>
      <c r="F677" s="12"/>
      <c r="G677" s="12" t="s">
        <v>3017</v>
      </c>
      <c r="H677" s="12" t="s">
        <v>44</v>
      </c>
      <c r="I677" s="12" t="s">
        <v>27</v>
      </c>
      <c r="J677" s="13" t="s">
        <v>3018</v>
      </c>
      <c r="K677" s="14" t="s">
        <v>3019</v>
      </c>
      <c r="L677" s="15">
        <v>1</v>
      </c>
      <c r="M677" s="15" t="s">
        <v>144</v>
      </c>
      <c r="N677" s="16">
        <v>45425</v>
      </c>
      <c r="O677" s="12" t="s">
        <v>3015</v>
      </c>
      <c r="P677" s="14" t="s">
        <v>3020</v>
      </c>
      <c r="Q677" s="17" t="s">
        <v>137</v>
      </c>
      <c r="R677" s="17" t="s">
        <v>146</v>
      </c>
    </row>
    <row r="678" spans="1:18" x14ac:dyDescent="0.3">
      <c r="A678" s="12" t="s">
        <v>3021</v>
      </c>
      <c r="B678" s="12" t="s">
        <v>12</v>
      </c>
      <c r="C678" s="12"/>
      <c r="D678" s="12" t="s">
        <v>12</v>
      </c>
      <c r="E678" s="12" t="s">
        <v>3022</v>
      </c>
      <c r="F678" s="12"/>
      <c r="G678" s="12" t="s">
        <v>3023</v>
      </c>
      <c r="H678" s="12" t="s">
        <v>44</v>
      </c>
      <c r="I678" s="12" t="s">
        <v>27</v>
      </c>
      <c r="J678" s="13" t="s">
        <v>3024</v>
      </c>
      <c r="K678" s="14" t="s">
        <v>3025</v>
      </c>
      <c r="L678" s="15">
        <v>1</v>
      </c>
      <c r="M678" s="15" t="s">
        <v>144</v>
      </c>
      <c r="N678" s="16">
        <v>44837</v>
      </c>
      <c r="O678" s="12" t="s">
        <v>3021</v>
      </c>
      <c r="P678" s="14" t="s">
        <v>3026</v>
      </c>
      <c r="Q678" s="17" t="s">
        <v>137</v>
      </c>
      <c r="R678" s="17" t="s">
        <v>146</v>
      </c>
    </row>
    <row r="679" spans="1:18" x14ac:dyDescent="0.3">
      <c r="A679" s="12" t="s">
        <v>3027</v>
      </c>
      <c r="B679" s="12" t="s">
        <v>14</v>
      </c>
      <c r="C679" s="12"/>
      <c r="D679" s="12" t="s">
        <v>14</v>
      </c>
      <c r="E679" s="12" t="s">
        <v>3028</v>
      </c>
      <c r="F679" s="12"/>
      <c r="G679" s="12" t="s">
        <v>104</v>
      </c>
      <c r="H679" s="12" t="s">
        <v>104</v>
      </c>
      <c r="I679" s="12" t="s">
        <v>27</v>
      </c>
      <c r="J679" s="13" t="s">
        <v>3029</v>
      </c>
      <c r="K679" s="14" t="s">
        <v>3030</v>
      </c>
      <c r="L679" s="15">
        <v>0</v>
      </c>
      <c r="M679" s="15" t="s">
        <v>144</v>
      </c>
      <c r="N679" s="16">
        <v>44609</v>
      </c>
      <c r="O679" s="12" t="s">
        <v>3027</v>
      </c>
      <c r="P679" s="14" t="s">
        <v>3031</v>
      </c>
      <c r="Q679" s="17" t="s">
        <v>137</v>
      </c>
      <c r="R679" s="17" t="s">
        <v>146</v>
      </c>
    </row>
    <row r="680" spans="1:18" x14ac:dyDescent="0.3">
      <c r="A680" s="12" t="s">
        <v>3032</v>
      </c>
      <c r="B680" s="12" t="s">
        <v>12</v>
      </c>
      <c r="C680" s="12"/>
      <c r="D680" s="12" t="s">
        <v>12</v>
      </c>
      <c r="E680" s="12" t="s">
        <v>3033</v>
      </c>
      <c r="F680" s="12"/>
      <c r="G680" s="12" t="s">
        <v>3034</v>
      </c>
      <c r="H680" s="12" t="s">
        <v>91</v>
      </c>
      <c r="I680" s="12" t="s">
        <v>28</v>
      </c>
      <c r="J680" s="13" t="s">
        <v>3035</v>
      </c>
      <c r="K680" s="14" t="s">
        <v>3036</v>
      </c>
      <c r="L680" s="15">
        <v>1</v>
      </c>
      <c r="M680" s="15" t="s">
        <v>144</v>
      </c>
      <c r="N680" s="16">
        <v>45964</v>
      </c>
      <c r="O680" s="12" t="s">
        <v>3037</v>
      </c>
      <c r="P680" s="14" t="s">
        <v>3038</v>
      </c>
      <c r="Q680" s="17" t="s">
        <v>137</v>
      </c>
      <c r="R680" s="17" t="s">
        <v>146</v>
      </c>
    </row>
    <row r="681" spans="1:18" x14ac:dyDescent="0.3">
      <c r="A681" s="12" t="s">
        <v>3039</v>
      </c>
      <c r="B681" s="12" t="s">
        <v>14</v>
      </c>
      <c r="C681" s="12"/>
      <c r="D681" s="12" t="s">
        <v>14</v>
      </c>
      <c r="E681" s="12" t="s">
        <v>3040</v>
      </c>
      <c r="F681" s="12"/>
      <c r="G681" s="12" t="s">
        <v>3041</v>
      </c>
      <c r="H681" s="12" t="s">
        <v>71</v>
      </c>
      <c r="I681" s="12" t="s">
        <v>28</v>
      </c>
      <c r="J681" s="13" t="s">
        <v>3042</v>
      </c>
      <c r="K681" s="14" t="s">
        <v>3043</v>
      </c>
      <c r="L681" s="15">
        <v>3</v>
      </c>
      <c r="M681" s="15" t="s">
        <v>144</v>
      </c>
      <c r="N681" s="16">
        <v>45911</v>
      </c>
      <c r="O681" s="12" t="s">
        <v>3044</v>
      </c>
      <c r="P681" s="14" t="s">
        <v>3045</v>
      </c>
      <c r="Q681" s="17" t="s">
        <v>137</v>
      </c>
      <c r="R681" s="17" t="s">
        <v>146</v>
      </c>
    </row>
    <row r="682" spans="1:18" x14ac:dyDescent="0.3">
      <c r="A682" s="12" t="s">
        <v>3046</v>
      </c>
      <c r="B682" s="12" t="s">
        <v>12</v>
      </c>
      <c r="C682" s="12"/>
      <c r="D682" s="12" t="s">
        <v>12</v>
      </c>
      <c r="E682" s="12" t="s">
        <v>3047</v>
      </c>
      <c r="F682" s="12"/>
      <c r="G682" s="12" t="s">
        <v>3041</v>
      </c>
      <c r="H682" s="12" t="s">
        <v>71</v>
      </c>
      <c r="I682" s="12" t="s">
        <v>28</v>
      </c>
      <c r="J682" s="13" t="s">
        <v>3042</v>
      </c>
      <c r="K682" s="14" t="s">
        <v>3048</v>
      </c>
      <c r="L682" s="15">
        <v>2</v>
      </c>
      <c r="M682" s="15" t="s">
        <v>144</v>
      </c>
      <c r="N682" s="16">
        <v>44925</v>
      </c>
      <c r="O682" s="12" t="s">
        <v>3046</v>
      </c>
      <c r="P682" s="14" t="s">
        <v>3049</v>
      </c>
      <c r="Q682" s="17" t="s">
        <v>137</v>
      </c>
      <c r="R682" s="17" t="s">
        <v>146</v>
      </c>
    </row>
    <row r="683" spans="1:18" x14ac:dyDescent="0.3">
      <c r="A683" s="12" t="s">
        <v>307</v>
      </c>
      <c r="B683" s="12" t="s">
        <v>14</v>
      </c>
      <c r="C683" s="12"/>
      <c r="D683" s="12" t="s">
        <v>14</v>
      </c>
      <c r="E683" s="12" t="s">
        <v>3050</v>
      </c>
      <c r="F683" s="12"/>
      <c r="G683" s="12" t="s">
        <v>3041</v>
      </c>
      <c r="H683" s="12" t="s">
        <v>71</v>
      </c>
      <c r="I683" s="12" t="s">
        <v>28</v>
      </c>
      <c r="J683" s="13" t="s">
        <v>3042</v>
      </c>
      <c r="K683" s="14" t="s">
        <v>3051</v>
      </c>
      <c r="L683" s="15">
        <v>2</v>
      </c>
      <c r="M683" s="15" t="s">
        <v>144</v>
      </c>
      <c r="N683" s="16">
        <v>46275</v>
      </c>
      <c r="O683" s="12" t="s">
        <v>307</v>
      </c>
      <c r="P683" s="14" t="s">
        <v>310</v>
      </c>
      <c r="Q683" s="17" t="s">
        <v>137</v>
      </c>
      <c r="R683" s="17" t="s">
        <v>146</v>
      </c>
    </row>
    <row r="684" spans="1:18" x14ac:dyDescent="0.3">
      <c r="A684" s="12" t="s">
        <v>3052</v>
      </c>
      <c r="B684" s="12" t="s">
        <v>12</v>
      </c>
      <c r="C684" s="12"/>
      <c r="D684" s="12" t="s">
        <v>12</v>
      </c>
      <c r="E684" s="12" t="s">
        <v>3053</v>
      </c>
      <c r="F684" s="12"/>
      <c r="G684" s="12" t="s">
        <v>3054</v>
      </c>
      <c r="H684" s="12" t="s">
        <v>49</v>
      </c>
      <c r="I684" s="12" t="s">
        <v>28</v>
      </c>
      <c r="J684" s="13" t="s">
        <v>3055</v>
      </c>
      <c r="K684" s="14" t="s">
        <v>3056</v>
      </c>
      <c r="L684" s="15">
        <v>3</v>
      </c>
      <c r="M684" s="15" t="s">
        <v>144</v>
      </c>
      <c r="N684" s="16">
        <v>44763</v>
      </c>
      <c r="O684" s="12" t="s">
        <v>3052</v>
      </c>
      <c r="P684" s="14" t="s">
        <v>3057</v>
      </c>
      <c r="Q684" s="17" t="s">
        <v>137</v>
      </c>
      <c r="R684" s="17" t="s">
        <v>146</v>
      </c>
    </row>
    <row r="685" spans="1:18" x14ac:dyDescent="0.3">
      <c r="A685" s="12" t="s">
        <v>3058</v>
      </c>
      <c r="B685" s="12" t="s">
        <v>14</v>
      </c>
      <c r="C685" s="12"/>
      <c r="D685" s="12" t="s">
        <v>14</v>
      </c>
      <c r="E685" s="12" t="s">
        <v>3059</v>
      </c>
      <c r="F685" s="12"/>
      <c r="G685" s="12" t="s">
        <v>3054</v>
      </c>
      <c r="H685" s="12" t="s">
        <v>49</v>
      </c>
      <c r="I685" s="12" t="s">
        <v>28</v>
      </c>
      <c r="J685" s="13" t="s">
        <v>3055</v>
      </c>
      <c r="K685" s="14" t="s">
        <v>3060</v>
      </c>
      <c r="L685" s="15">
        <v>24</v>
      </c>
      <c r="M685" s="15" t="s">
        <v>144</v>
      </c>
      <c r="N685" s="16">
        <v>45989</v>
      </c>
      <c r="O685" s="12" t="s">
        <v>3058</v>
      </c>
      <c r="P685" s="14" t="s">
        <v>3061</v>
      </c>
      <c r="Q685" s="17" t="s">
        <v>137</v>
      </c>
      <c r="R685" s="17" t="s">
        <v>146</v>
      </c>
    </row>
    <row r="686" spans="1:18" x14ac:dyDescent="0.3">
      <c r="A686" s="12" t="s">
        <v>3062</v>
      </c>
      <c r="B686" s="12" t="s">
        <v>12</v>
      </c>
      <c r="C686" s="12"/>
      <c r="D686" s="12" t="s">
        <v>12</v>
      </c>
      <c r="E686" s="12" t="s">
        <v>3063</v>
      </c>
      <c r="F686" s="12"/>
      <c r="G686" s="12" t="s">
        <v>3054</v>
      </c>
      <c r="H686" s="12" t="s">
        <v>49</v>
      </c>
      <c r="I686" s="12" t="s">
        <v>28</v>
      </c>
      <c r="J686" s="13" t="s">
        <v>3055</v>
      </c>
      <c r="K686" s="14" t="s">
        <v>3064</v>
      </c>
      <c r="L686" s="15">
        <v>2</v>
      </c>
      <c r="M686" s="15" t="s">
        <v>144</v>
      </c>
      <c r="N686" s="16">
        <v>46118</v>
      </c>
      <c r="O686" s="12" t="s">
        <v>3065</v>
      </c>
      <c r="P686" s="14" t="s">
        <v>3066</v>
      </c>
      <c r="Q686" s="17" t="s">
        <v>137</v>
      </c>
      <c r="R686" s="17" t="s">
        <v>146</v>
      </c>
    </row>
    <row r="687" spans="1:18" x14ac:dyDescent="0.3">
      <c r="A687" s="12" t="s">
        <v>3067</v>
      </c>
      <c r="B687" s="12" t="s">
        <v>12</v>
      </c>
      <c r="C687" s="12"/>
      <c r="D687" s="12" t="s">
        <v>12</v>
      </c>
      <c r="E687" s="12" t="s">
        <v>3068</v>
      </c>
      <c r="F687" s="12" t="s">
        <v>2012</v>
      </c>
      <c r="G687" s="12" t="s">
        <v>3054</v>
      </c>
      <c r="H687" s="12" t="s">
        <v>49</v>
      </c>
      <c r="I687" s="12" t="s">
        <v>28</v>
      </c>
      <c r="J687" s="13" t="s">
        <v>3055</v>
      </c>
      <c r="K687" s="14" t="s">
        <v>3069</v>
      </c>
      <c r="L687" s="15">
        <v>1</v>
      </c>
      <c r="M687" s="15" t="s">
        <v>144</v>
      </c>
      <c r="N687" s="16">
        <v>46010</v>
      </c>
      <c r="O687" s="12" t="s">
        <v>3067</v>
      </c>
      <c r="P687" s="14" t="s">
        <v>3070</v>
      </c>
      <c r="Q687" s="17" t="s">
        <v>137</v>
      </c>
      <c r="R687" s="17" t="s">
        <v>146</v>
      </c>
    </row>
    <row r="688" spans="1:18" x14ac:dyDescent="0.3">
      <c r="A688" s="12" t="s">
        <v>3071</v>
      </c>
      <c r="B688" s="12" t="s">
        <v>12</v>
      </c>
      <c r="C688" s="12"/>
      <c r="D688" s="12" t="s">
        <v>12</v>
      </c>
      <c r="E688" s="12" t="s">
        <v>3072</v>
      </c>
      <c r="F688" s="12"/>
      <c r="G688" s="12" t="s">
        <v>3054</v>
      </c>
      <c r="H688" s="12" t="s">
        <v>49</v>
      </c>
      <c r="I688" s="12" t="s">
        <v>28</v>
      </c>
      <c r="J688" s="13" t="s">
        <v>3055</v>
      </c>
      <c r="K688" s="14" t="s">
        <v>3073</v>
      </c>
      <c r="L688" s="15">
        <v>0</v>
      </c>
      <c r="M688" s="15" t="s">
        <v>144</v>
      </c>
      <c r="N688" s="16">
        <v>45243</v>
      </c>
      <c r="O688" s="12" t="s">
        <v>3071</v>
      </c>
      <c r="P688" s="14" t="s">
        <v>3074</v>
      </c>
      <c r="Q688" s="17" t="s">
        <v>137</v>
      </c>
      <c r="R688" s="17" t="s">
        <v>146</v>
      </c>
    </row>
    <row r="689" spans="1:18" x14ac:dyDescent="0.3">
      <c r="A689" s="12" t="s">
        <v>3075</v>
      </c>
      <c r="B689" s="12" t="s">
        <v>12</v>
      </c>
      <c r="C689" s="12"/>
      <c r="D689" s="12" t="s">
        <v>12</v>
      </c>
      <c r="E689" s="12" t="s">
        <v>3076</v>
      </c>
      <c r="F689" s="12" t="s">
        <v>372</v>
      </c>
      <c r="G689" s="12" t="s">
        <v>3054</v>
      </c>
      <c r="H689" s="12" t="s">
        <v>49</v>
      </c>
      <c r="I689" s="12" t="s">
        <v>28</v>
      </c>
      <c r="J689" s="13" t="s">
        <v>3055</v>
      </c>
      <c r="K689" s="14" t="s">
        <v>3077</v>
      </c>
      <c r="L689" s="15">
        <v>1</v>
      </c>
      <c r="M689" s="15" t="s">
        <v>144</v>
      </c>
      <c r="N689" s="16">
        <v>46042</v>
      </c>
      <c r="O689" s="12" t="s">
        <v>3075</v>
      </c>
      <c r="P689" s="14" t="s">
        <v>3078</v>
      </c>
      <c r="Q689" s="17" t="s">
        <v>137</v>
      </c>
      <c r="R689" s="17" t="s">
        <v>146</v>
      </c>
    </row>
    <row r="690" spans="1:18" x14ac:dyDescent="0.3">
      <c r="A690" s="12" t="s">
        <v>3079</v>
      </c>
      <c r="B690" s="12" t="s">
        <v>12</v>
      </c>
      <c r="C690" s="12"/>
      <c r="D690" s="12" t="s">
        <v>12</v>
      </c>
      <c r="E690" s="12" t="s">
        <v>3080</v>
      </c>
      <c r="F690" s="12" t="s">
        <v>3081</v>
      </c>
      <c r="G690" s="12" t="s">
        <v>3054</v>
      </c>
      <c r="H690" s="12" t="s">
        <v>49</v>
      </c>
      <c r="I690" s="12" t="s">
        <v>28</v>
      </c>
      <c r="J690" s="13" t="s">
        <v>3055</v>
      </c>
      <c r="K690" s="14" t="s">
        <v>3082</v>
      </c>
      <c r="L690" s="15">
        <v>2</v>
      </c>
      <c r="M690" s="15" t="s">
        <v>144</v>
      </c>
      <c r="N690" s="16">
        <v>45806</v>
      </c>
      <c r="O690" s="12" t="s">
        <v>3079</v>
      </c>
      <c r="P690" s="14" t="s">
        <v>3083</v>
      </c>
      <c r="Q690" s="17" t="s">
        <v>137</v>
      </c>
      <c r="R690" s="17" t="s">
        <v>146</v>
      </c>
    </row>
    <row r="691" spans="1:18" x14ac:dyDescent="0.3">
      <c r="A691" s="12" t="s">
        <v>3084</v>
      </c>
      <c r="B691" s="12" t="s">
        <v>14</v>
      </c>
      <c r="C691" s="12"/>
      <c r="D691" s="12" t="s">
        <v>14</v>
      </c>
      <c r="E691" s="12" t="s">
        <v>3085</v>
      </c>
      <c r="F691" s="12"/>
      <c r="G691" s="12" t="s">
        <v>3054</v>
      </c>
      <c r="H691" s="12" t="s">
        <v>49</v>
      </c>
      <c r="I691" s="12" t="s">
        <v>28</v>
      </c>
      <c r="J691" s="13" t="s">
        <v>3055</v>
      </c>
      <c r="K691" s="14" t="s">
        <v>3086</v>
      </c>
      <c r="L691" s="15">
        <v>0</v>
      </c>
      <c r="M691" s="15" t="s">
        <v>144</v>
      </c>
      <c r="N691" s="16">
        <v>46209</v>
      </c>
      <c r="O691" s="12" t="s">
        <v>3084</v>
      </c>
      <c r="P691" s="14" t="s">
        <v>3087</v>
      </c>
      <c r="Q691" s="17" t="s">
        <v>137</v>
      </c>
      <c r="R691" s="17" t="s">
        <v>146</v>
      </c>
    </row>
    <row r="692" spans="1:18" x14ac:dyDescent="0.3">
      <c r="A692" s="12" t="s">
        <v>3088</v>
      </c>
      <c r="B692" s="12" t="s">
        <v>10</v>
      </c>
      <c r="C692" s="12"/>
      <c r="D692" s="12" t="s">
        <v>252</v>
      </c>
      <c r="E692" s="12" t="s">
        <v>3089</v>
      </c>
      <c r="F692" s="12"/>
      <c r="G692" s="12" t="s">
        <v>3054</v>
      </c>
      <c r="H692" s="12" t="s">
        <v>49</v>
      </c>
      <c r="I692" s="12" t="s">
        <v>28</v>
      </c>
      <c r="J692" s="13" t="s">
        <v>3055</v>
      </c>
      <c r="K692" s="14" t="s">
        <v>3090</v>
      </c>
      <c r="L692" s="15">
        <v>0</v>
      </c>
      <c r="M692" s="15" t="s">
        <v>144</v>
      </c>
      <c r="N692" s="16">
        <v>45257</v>
      </c>
      <c r="O692" s="12" t="s">
        <v>3091</v>
      </c>
      <c r="P692" s="14" t="s">
        <v>3092</v>
      </c>
      <c r="Q692" s="17" t="s">
        <v>137</v>
      </c>
      <c r="R692" s="17" t="s">
        <v>146</v>
      </c>
    </row>
    <row r="693" spans="1:18" x14ac:dyDescent="0.3">
      <c r="A693" s="12" t="s">
        <v>3093</v>
      </c>
      <c r="B693" s="12" t="s">
        <v>10</v>
      </c>
      <c r="C693" s="12"/>
      <c r="D693" s="12" t="s">
        <v>647</v>
      </c>
      <c r="E693" s="12" t="s">
        <v>3094</v>
      </c>
      <c r="F693" s="12"/>
      <c r="G693" s="12" t="s">
        <v>3054</v>
      </c>
      <c r="H693" s="12" t="s">
        <v>49</v>
      </c>
      <c r="I693" s="12" t="s">
        <v>28</v>
      </c>
      <c r="J693" s="13" t="s">
        <v>3055</v>
      </c>
      <c r="K693" s="14" t="s">
        <v>3095</v>
      </c>
      <c r="L693" s="15">
        <v>1</v>
      </c>
      <c r="M693" s="15" t="s">
        <v>144</v>
      </c>
      <c r="N693" s="16">
        <v>45257</v>
      </c>
      <c r="O693" s="12" t="s">
        <v>3096</v>
      </c>
      <c r="P693" s="14" t="s">
        <v>3097</v>
      </c>
      <c r="Q693" s="17" t="s">
        <v>137</v>
      </c>
      <c r="R693" s="17" t="s">
        <v>146</v>
      </c>
    </row>
    <row r="694" spans="1:18" x14ac:dyDescent="0.3">
      <c r="A694" s="12" t="s">
        <v>3098</v>
      </c>
      <c r="B694" s="12" t="s">
        <v>10</v>
      </c>
      <c r="C694" s="12"/>
      <c r="D694" s="12" t="s">
        <v>647</v>
      </c>
      <c r="E694" s="12" t="s">
        <v>3094</v>
      </c>
      <c r="F694" s="12"/>
      <c r="G694" s="12" t="s">
        <v>3054</v>
      </c>
      <c r="H694" s="12" t="s">
        <v>49</v>
      </c>
      <c r="I694" s="12" t="s">
        <v>28</v>
      </c>
      <c r="J694" s="13" t="s">
        <v>3055</v>
      </c>
      <c r="K694" s="14" t="s">
        <v>3095</v>
      </c>
      <c r="L694" s="15">
        <v>1</v>
      </c>
      <c r="M694" s="15" t="s">
        <v>220</v>
      </c>
      <c r="N694" s="16">
        <v>46150</v>
      </c>
      <c r="O694" s="12" t="s">
        <v>3099</v>
      </c>
      <c r="P694" s="14" t="s">
        <v>3100</v>
      </c>
      <c r="Q694" s="17" t="s">
        <v>137</v>
      </c>
      <c r="R694" s="17" t="s">
        <v>146</v>
      </c>
    </row>
    <row r="695" spans="1:18" x14ac:dyDescent="0.3">
      <c r="A695" s="12" t="s">
        <v>3101</v>
      </c>
      <c r="B695" s="12" t="s">
        <v>12</v>
      </c>
      <c r="C695" s="12"/>
      <c r="D695" s="12" t="s">
        <v>12</v>
      </c>
      <c r="E695" s="12" t="s">
        <v>3102</v>
      </c>
      <c r="F695" s="12"/>
      <c r="G695" s="12" t="s">
        <v>3103</v>
      </c>
      <c r="H695" s="12" t="s">
        <v>49</v>
      </c>
      <c r="I695" s="12" t="s">
        <v>28</v>
      </c>
      <c r="J695" s="13" t="s">
        <v>3104</v>
      </c>
      <c r="K695" s="14" t="s">
        <v>3105</v>
      </c>
      <c r="L695" s="15">
        <v>1</v>
      </c>
      <c r="M695" s="15" t="s">
        <v>144</v>
      </c>
      <c r="N695" s="16">
        <v>45309</v>
      </c>
      <c r="O695" s="12" t="s">
        <v>3101</v>
      </c>
      <c r="P695" s="14" t="s">
        <v>3106</v>
      </c>
      <c r="Q695" s="17" t="s">
        <v>137</v>
      </c>
      <c r="R695" s="17" t="s">
        <v>146</v>
      </c>
    </row>
    <row r="696" spans="1:18" x14ac:dyDescent="0.3">
      <c r="A696" s="12" t="s">
        <v>3107</v>
      </c>
      <c r="B696" s="12" t="s">
        <v>12</v>
      </c>
      <c r="C696" s="12"/>
      <c r="D696" s="12" t="s">
        <v>12</v>
      </c>
      <c r="E696" s="12" t="s">
        <v>3108</v>
      </c>
      <c r="F696" s="12"/>
      <c r="G696" s="12" t="s">
        <v>3109</v>
      </c>
      <c r="H696" s="12" t="s">
        <v>60</v>
      </c>
      <c r="I696" s="12" t="s">
        <v>28</v>
      </c>
      <c r="J696" s="13" t="s">
        <v>3110</v>
      </c>
      <c r="K696" s="14" t="s">
        <v>3111</v>
      </c>
      <c r="L696" s="15">
        <v>5</v>
      </c>
      <c r="M696" s="15" t="s">
        <v>144</v>
      </c>
      <c r="N696" s="16">
        <v>45580</v>
      </c>
      <c r="O696" s="12" t="s">
        <v>3112</v>
      </c>
      <c r="P696" s="14" t="s">
        <v>3113</v>
      </c>
      <c r="Q696" s="17" t="s">
        <v>137</v>
      </c>
      <c r="R696" s="17" t="s">
        <v>146</v>
      </c>
    </row>
    <row r="697" spans="1:18" x14ac:dyDescent="0.3">
      <c r="A697" s="12" t="s">
        <v>3114</v>
      </c>
      <c r="B697" s="12" t="s">
        <v>14</v>
      </c>
      <c r="C697" s="12"/>
      <c r="D697" s="12" t="s">
        <v>14</v>
      </c>
      <c r="E697" s="12" t="s">
        <v>3115</v>
      </c>
      <c r="F697" s="12"/>
      <c r="G697" s="12" t="s">
        <v>3109</v>
      </c>
      <c r="H697" s="12" t="s">
        <v>60</v>
      </c>
      <c r="I697" s="12" t="s">
        <v>28</v>
      </c>
      <c r="J697" s="13" t="s">
        <v>3110</v>
      </c>
      <c r="K697" s="14" t="s">
        <v>3116</v>
      </c>
      <c r="L697" s="15">
        <v>1</v>
      </c>
      <c r="M697" s="15" t="s">
        <v>144</v>
      </c>
      <c r="N697" s="16">
        <v>46258</v>
      </c>
      <c r="O697" s="12" t="s">
        <v>3114</v>
      </c>
      <c r="P697" s="14" t="s">
        <v>3117</v>
      </c>
      <c r="Q697" s="17" t="s">
        <v>137</v>
      </c>
      <c r="R697" s="17" t="s">
        <v>146</v>
      </c>
    </row>
    <row r="698" spans="1:18" x14ac:dyDescent="0.3">
      <c r="A698" s="12" t="s">
        <v>307</v>
      </c>
      <c r="B698" s="12" t="s">
        <v>14</v>
      </c>
      <c r="C698" s="12"/>
      <c r="D698" s="12" t="s">
        <v>14</v>
      </c>
      <c r="E698" s="12" t="s">
        <v>3118</v>
      </c>
      <c r="F698" s="12"/>
      <c r="G698" s="12" t="s">
        <v>3119</v>
      </c>
      <c r="H698" s="12" t="s">
        <v>60</v>
      </c>
      <c r="I698" s="12" t="s">
        <v>28</v>
      </c>
      <c r="J698" s="13" t="s">
        <v>3120</v>
      </c>
      <c r="K698" s="14" t="s">
        <v>3121</v>
      </c>
      <c r="L698" s="15">
        <v>1</v>
      </c>
      <c r="M698" s="15" t="s">
        <v>144</v>
      </c>
      <c r="N698" s="16">
        <v>46275</v>
      </c>
      <c r="O698" s="12" t="s">
        <v>307</v>
      </c>
      <c r="P698" s="14" t="s">
        <v>310</v>
      </c>
      <c r="Q698" s="17" t="s">
        <v>137</v>
      </c>
      <c r="R698" s="17" t="s">
        <v>146</v>
      </c>
    </row>
    <row r="699" spans="1:18" x14ac:dyDescent="0.3">
      <c r="A699" s="12" t="s">
        <v>307</v>
      </c>
      <c r="B699" s="12" t="s">
        <v>14</v>
      </c>
      <c r="C699" s="12"/>
      <c r="D699" s="12" t="s">
        <v>14</v>
      </c>
      <c r="E699" s="12" t="s">
        <v>3122</v>
      </c>
      <c r="F699" s="12" t="s">
        <v>248</v>
      </c>
      <c r="G699" s="12" t="s">
        <v>3119</v>
      </c>
      <c r="H699" s="12" t="s">
        <v>60</v>
      </c>
      <c r="I699" s="12" t="s">
        <v>28</v>
      </c>
      <c r="J699" s="13" t="s">
        <v>3120</v>
      </c>
      <c r="K699" s="14" t="s">
        <v>3121</v>
      </c>
      <c r="L699" s="15">
        <v>1</v>
      </c>
      <c r="M699" s="15" t="s">
        <v>144</v>
      </c>
      <c r="N699" s="16">
        <v>46275</v>
      </c>
      <c r="O699" s="12" t="s">
        <v>307</v>
      </c>
      <c r="P699" s="14" t="s">
        <v>310</v>
      </c>
      <c r="Q699" s="17" t="s">
        <v>137</v>
      </c>
      <c r="R699" s="17" t="s">
        <v>146</v>
      </c>
    </row>
    <row r="700" spans="1:18" x14ac:dyDescent="0.3">
      <c r="A700" s="12" t="s">
        <v>2915</v>
      </c>
      <c r="B700" s="12" t="s">
        <v>12</v>
      </c>
      <c r="C700" s="12"/>
      <c r="D700" s="12" t="s">
        <v>12</v>
      </c>
      <c r="E700" s="12" t="s">
        <v>3123</v>
      </c>
      <c r="F700" s="12"/>
      <c r="G700" s="12" t="s">
        <v>3124</v>
      </c>
      <c r="H700" s="12" t="s">
        <v>60</v>
      </c>
      <c r="I700" s="12" t="s">
        <v>28</v>
      </c>
      <c r="J700" s="13" t="s">
        <v>3125</v>
      </c>
      <c r="K700" s="14" t="s">
        <v>3126</v>
      </c>
      <c r="L700" s="15">
        <v>0</v>
      </c>
      <c r="M700" s="15" t="s">
        <v>144</v>
      </c>
      <c r="N700" s="16">
        <v>45790</v>
      </c>
      <c r="O700" s="12" t="s">
        <v>2915</v>
      </c>
      <c r="P700" s="14" t="s">
        <v>3127</v>
      </c>
      <c r="Q700" s="17" t="s">
        <v>137</v>
      </c>
      <c r="R700" s="17" t="s">
        <v>146</v>
      </c>
    </row>
    <row r="701" spans="1:18" x14ac:dyDescent="0.3">
      <c r="A701" s="12" t="s">
        <v>307</v>
      </c>
      <c r="B701" s="12" t="s">
        <v>14</v>
      </c>
      <c r="C701" s="12"/>
      <c r="D701" s="12" t="s">
        <v>14</v>
      </c>
      <c r="E701" s="12" t="s">
        <v>3128</v>
      </c>
      <c r="F701" s="12" t="s">
        <v>467</v>
      </c>
      <c r="G701" s="12" t="s">
        <v>3124</v>
      </c>
      <c r="H701" s="12" t="s">
        <v>60</v>
      </c>
      <c r="I701" s="12" t="s">
        <v>28</v>
      </c>
      <c r="J701" s="13" t="s">
        <v>3125</v>
      </c>
      <c r="K701" s="14" t="s">
        <v>3129</v>
      </c>
      <c r="L701" s="15">
        <v>5</v>
      </c>
      <c r="M701" s="15" t="s">
        <v>144</v>
      </c>
      <c r="N701" s="16">
        <v>46275</v>
      </c>
      <c r="O701" s="12" t="s">
        <v>307</v>
      </c>
      <c r="P701" s="14" t="s">
        <v>310</v>
      </c>
      <c r="Q701" s="17" t="s">
        <v>137</v>
      </c>
      <c r="R701" s="17" t="s">
        <v>146</v>
      </c>
    </row>
    <row r="702" spans="1:18" x14ac:dyDescent="0.3">
      <c r="A702" s="12" t="s">
        <v>3130</v>
      </c>
      <c r="B702" s="12" t="s">
        <v>12</v>
      </c>
      <c r="C702" s="12"/>
      <c r="D702" s="12" t="s">
        <v>12</v>
      </c>
      <c r="E702" s="12" t="s">
        <v>3131</v>
      </c>
      <c r="F702" s="12"/>
      <c r="G702" s="12" t="s">
        <v>3132</v>
      </c>
      <c r="H702" s="12" t="s">
        <v>93</v>
      </c>
      <c r="I702" s="12" t="s">
        <v>28</v>
      </c>
      <c r="J702" s="13" t="s">
        <v>3133</v>
      </c>
      <c r="K702" s="14" t="s">
        <v>3134</v>
      </c>
      <c r="L702" s="15">
        <v>1</v>
      </c>
      <c r="M702" s="15" t="s">
        <v>144</v>
      </c>
      <c r="N702" s="16">
        <v>44763</v>
      </c>
      <c r="O702" s="12" t="s">
        <v>3130</v>
      </c>
      <c r="P702" s="14" t="s">
        <v>3135</v>
      </c>
      <c r="Q702" s="17" t="s">
        <v>137</v>
      </c>
      <c r="R702" s="17" t="s">
        <v>146</v>
      </c>
    </row>
    <row r="703" spans="1:18" x14ac:dyDescent="0.3">
      <c r="A703" s="12" t="s">
        <v>3136</v>
      </c>
      <c r="B703" s="12" t="s">
        <v>12</v>
      </c>
      <c r="C703" s="12"/>
      <c r="D703" s="12" t="s">
        <v>12</v>
      </c>
      <c r="E703" s="12" t="s">
        <v>3137</v>
      </c>
      <c r="F703" s="12"/>
      <c r="G703" s="12" t="s">
        <v>3138</v>
      </c>
      <c r="H703" s="12" t="s">
        <v>94</v>
      </c>
      <c r="I703" s="12" t="s">
        <v>28</v>
      </c>
      <c r="J703" s="13" t="s">
        <v>3139</v>
      </c>
      <c r="K703" s="14" t="s">
        <v>3140</v>
      </c>
      <c r="L703" s="15">
        <v>1</v>
      </c>
      <c r="M703" s="15" t="s">
        <v>144</v>
      </c>
      <c r="N703" s="16">
        <v>46129</v>
      </c>
      <c r="O703" s="12" t="s">
        <v>3136</v>
      </c>
      <c r="P703" s="14" t="s">
        <v>3141</v>
      </c>
      <c r="Q703" s="17" t="s">
        <v>137</v>
      </c>
      <c r="R703" s="17" t="s">
        <v>146</v>
      </c>
    </row>
    <row r="704" spans="1:18" x14ac:dyDescent="0.3">
      <c r="A704" s="12" t="s">
        <v>3142</v>
      </c>
      <c r="B704" s="12" t="s">
        <v>14</v>
      </c>
      <c r="C704" s="12"/>
      <c r="D704" s="12" t="s">
        <v>14</v>
      </c>
      <c r="E704" s="12" t="s">
        <v>3143</v>
      </c>
      <c r="F704" s="12" t="s">
        <v>1270</v>
      </c>
      <c r="G704" s="12" t="s">
        <v>3144</v>
      </c>
      <c r="H704" s="12" t="s">
        <v>54</v>
      </c>
      <c r="I704" s="12" t="s">
        <v>28</v>
      </c>
      <c r="J704" s="13" t="s">
        <v>3145</v>
      </c>
      <c r="K704" s="14" t="s">
        <v>3146</v>
      </c>
      <c r="L704" s="15">
        <v>3</v>
      </c>
      <c r="M704" s="15" t="s">
        <v>220</v>
      </c>
      <c r="N704" s="16">
        <v>44697</v>
      </c>
      <c r="O704" s="12" t="s">
        <v>3142</v>
      </c>
      <c r="P704" s="14" t="s">
        <v>3147</v>
      </c>
      <c r="Q704" s="17" t="s">
        <v>137</v>
      </c>
      <c r="R704" s="17" t="s">
        <v>146</v>
      </c>
    </row>
    <row r="705" spans="1:18" x14ac:dyDescent="0.3">
      <c r="A705" s="12" t="s">
        <v>3148</v>
      </c>
      <c r="B705" s="12" t="s">
        <v>12</v>
      </c>
      <c r="C705" s="12"/>
      <c r="D705" s="12" t="s">
        <v>12</v>
      </c>
      <c r="E705" s="12" t="s">
        <v>3149</v>
      </c>
      <c r="F705" s="12" t="s">
        <v>467</v>
      </c>
      <c r="G705" s="12" t="s">
        <v>3144</v>
      </c>
      <c r="H705" s="12" t="s">
        <v>54</v>
      </c>
      <c r="I705" s="12" t="s">
        <v>28</v>
      </c>
      <c r="J705" s="13" t="s">
        <v>3145</v>
      </c>
      <c r="K705" s="14" t="s">
        <v>3150</v>
      </c>
      <c r="L705" s="15">
        <v>0</v>
      </c>
      <c r="M705" s="15" t="s">
        <v>144</v>
      </c>
      <c r="N705" s="16">
        <v>46052</v>
      </c>
      <c r="O705" s="12" t="s">
        <v>3151</v>
      </c>
      <c r="P705" s="14" t="s">
        <v>3152</v>
      </c>
      <c r="Q705" s="17" t="s">
        <v>137</v>
      </c>
      <c r="R705" s="17" t="s">
        <v>146</v>
      </c>
    </row>
    <row r="706" spans="1:18" x14ac:dyDescent="0.3">
      <c r="A706" s="12" t="s">
        <v>3153</v>
      </c>
      <c r="B706" s="12" t="s">
        <v>12</v>
      </c>
      <c r="C706" s="12"/>
      <c r="D706" s="12" t="s">
        <v>12</v>
      </c>
      <c r="E706" s="12" t="s">
        <v>3154</v>
      </c>
      <c r="F706" s="12" t="s">
        <v>164</v>
      </c>
      <c r="G706" s="12" t="s">
        <v>3144</v>
      </c>
      <c r="H706" s="12" t="s">
        <v>54</v>
      </c>
      <c r="I706" s="12" t="s">
        <v>28</v>
      </c>
      <c r="J706" s="13" t="s">
        <v>3145</v>
      </c>
      <c r="K706" s="14" t="s">
        <v>3155</v>
      </c>
      <c r="L706" s="15">
        <v>0</v>
      </c>
      <c r="M706" s="15" t="s">
        <v>144</v>
      </c>
      <c r="N706" s="16">
        <v>44763</v>
      </c>
      <c r="O706" s="12" t="s">
        <v>3153</v>
      </c>
      <c r="P706" s="14" t="s">
        <v>3156</v>
      </c>
      <c r="Q706" s="17" t="s">
        <v>137</v>
      </c>
      <c r="R706" s="17" t="s">
        <v>146</v>
      </c>
    </row>
    <row r="707" spans="1:18" x14ac:dyDescent="0.3">
      <c r="A707" s="12" t="s">
        <v>3157</v>
      </c>
      <c r="B707" s="12" t="s">
        <v>12</v>
      </c>
      <c r="C707" s="12"/>
      <c r="D707" s="12" t="s">
        <v>12</v>
      </c>
      <c r="E707" s="12" t="s">
        <v>3158</v>
      </c>
      <c r="F707" s="12"/>
      <c r="G707" s="12" t="s">
        <v>3159</v>
      </c>
      <c r="H707" s="12" t="s">
        <v>54</v>
      </c>
      <c r="I707" s="12" t="s">
        <v>28</v>
      </c>
      <c r="J707" s="13" t="s">
        <v>3160</v>
      </c>
      <c r="K707" s="14" t="s">
        <v>3161</v>
      </c>
      <c r="L707" s="15">
        <v>4</v>
      </c>
      <c r="M707" s="15" t="s">
        <v>144</v>
      </c>
      <c r="N707" s="16">
        <v>45405</v>
      </c>
      <c r="O707" s="12" t="s">
        <v>3162</v>
      </c>
      <c r="P707" s="14" t="s">
        <v>3163</v>
      </c>
      <c r="Q707" s="17" t="s">
        <v>137</v>
      </c>
      <c r="R707" s="17" t="s">
        <v>146</v>
      </c>
    </row>
    <row r="708" spans="1:18" x14ac:dyDescent="0.3">
      <c r="A708" s="12" t="s">
        <v>3164</v>
      </c>
      <c r="B708" s="12" t="s">
        <v>20</v>
      </c>
      <c r="C708" s="12"/>
      <c r="D708" s="12" t="s">
        <v>193</v>
      </c>
      <c r="E708" s="12" t="s">
        <v>3165</v>
      </c>
      <c r="F708" s="12" t="s">
        <v>319</v>
      </c>
      <c r="G708" s="12" t="s">
        <v>3159</v>
      </c>
      <c r="H708" s="12" t="s">
        <v>54</v>
      </c>
      <c r="I708" s="12" t="s">
        <v>28</v>
      </c>
      <c r="J708" s="13" t="s">
        <v>3160</v>
      </c>
      <c r="K708" s="14" t="s">
        <v>3166</v>
      </c>
      <c r="L708" s="15">
        <v>4</v>
      </c>
      <c r="M708" s="15" t="s">
        <v>144</v>
      </c>
      <c r="N708" s="16">
        <v>39455</v>
      </c>
      <c r="O708" s="12" t="s">
        <v>3164</v>
      </c>
      <c r="P708" s="14" t="s">
        <v>3167</v>
      </c>
      <c r="Q708" s="17" t="s">
        <v>137</v>
      </c>
      <c r="R708" s="17" t="s">
        <v>146</v>
      </c>
    </row>
    <row r="709" spans="1:18" x14ac:dyDescent="0.3">
      <c r="A709" s="12" t="s">
        <v>3168</v>
      </c>
      <c r="B709" s="12" t="s">
        <v>12</v>
      </c>
      <c r="C709" s="12"/>
      <c r="D709" s="12" t="s">
        <v>12</v>
      </c>
      <c r="E709" s="12" t="s">
        <v>3169</v>
      </c>
      <c r="F709" s="12"/>
      <c r="G709" s="12" t="s">
        <v>3159</v>
      </c>
      <c r="H709" s="12" t="s">
        <v>54</v>
      </c>
      <c r="I709" s="12" t="s">
        <v>28</v>
      </c>
      <c r="J709" s="13" t="s">
        <v>3160</v>
      </c>
      <c r="K709" s="14" t="s">
        <v>3170</v>
      </c>
      <c r="L709" s="15">
        <v>1</v>
      </c>
      <c r="M709" s="15" t="s">
        <v>144</v>
      </c>
      <c r="N709" s="16">
        <v>45596</v>
      </c>
      <c r="O709" s="12" t="s">
        <v>3171</v>
      </c>
      <c r="P709" s="14" t="s">
        <v>3172</v>
      </c>
      <c r="Q709" s="17" t="s">
        <v>137</v>
      </c>
      <c r="R709" s="17" t="s">
        <v>146</v>
      </c>
    </row>
    <row r="710" spans="1:18" x14ac:dyDescent="0.3">
      <c r="A710" s="12" t="s">
        <v>3173</v>
      </c>
      <c r="B710" s="12" t="s">
        <v>12</v>
      </c>
      <c r="C710" s="12"/>
      <c r="D710" s="12" t="s">
        <v>12</v>
      </c>
      <c r="E710" s="12" t="s">
        <v>3174</v>
      </c>
      <c r="F710" s="12" t="s">
        <v>1542</v>
      </c>
      <c r="G710" s="12" t="s">
        <v>3175</v>
      </c>
      <c r="H710" s="12" t="s">
        <v>54</v>
      </c>
      <c r="I710" s="12" t="s">
        <v>28</v>
      </c>
      <c r="J710" s="13" t="s">
        <v>3176</v>
      </c>
      <c r="K710" s="14" t="s">
        <v>3177</v>
      </c>
      <c r="L710" s="15">
        <v>0</v>
      </c>
      <c r="M710" s="15" t="s">
        <v>144</v>
      </c>
      <c r="N710" s="16">
        <v>44656</v>
      </c>
      <c r="O710" s="12" t="s">
        <v>3173</v>
      </c>
      <c r="P710" s="14" t="s">
        <v>3178</v>
      </c>
      <c r="Q710" s="17" t="s">
        <v>137</v>
      </c>
      <c r="R710" s="17" t="s">
        <v>146</v>
      </c>
    </row>
    <row r="711" spans="1:18" x14ac:dyDescent="0.3">
      <c r="A711" s="12" t="s">
        <v>3179</v>
      </c>
      <c r="B711" s="12" t="s">
        <v>14</v>
      </c>
      <c r="C711" s="12"/>
      <c r="D711" s="12" t="s">
        <v>14</v>
      </c>
      <c r="E711" s="12" t="s">
        <v>3180</v>
      </c>
      <c r="F711" s="12"/>
      <c r="G711" s="12" t="s">
        <v>3181</v>
      </c>
      <c r="H711" s="12" t="s">
        <v>54</v>
      </c>
      <c r="I711" s="12" t="s">
        <v>28</v>
      </c>
      <c r="J711" s="13" t="s">
        <v>3182</v>
      </c>
      <c r="K711" s="14" t="s">
        <v>3183</v>
      </c>
      <c r="L711" s="15">
        <v>1</v>
      </c>
      <c r="M711" s="15" t="s">
        <v>144</v>
      </c>
      <c r="N711" s="16">
        <v>46105</v>
      </c>
      <c r="O711" s="12" t="s">
        <v>3179</v>
      </c>
      <c r="P711" s="14" t="s">
        <v>3184</v>
      </c>
      <c r="Q711" s="17" t="s">
        <v>137</v>
      </c>
      <c r="R711" s="17" t="s">
        <v>146</v>
      </c>
    </row>
    <row r="712" spans="1:18" x14ac:dyDescent="0.3">
      <c r="A712" s="12" t="s">
        <v>3185</v>
      </c>
      <c r="B712" s="12" t="s">
        <v>14</v>
      </c>
      <c r="C712" s="12"/>
      <c r="D712" s="12" t="s">
        <v>14</v>
      </c>
      <c r="E712" s="12" t="s">
        <v>3186</v>
      </c>
      <c r="F712" s="12"/>
      <c r="G712" s="12" t="s">
        <v>3187</v>
      </c>
      <c r="H712" s="12" t="s">
        <v>64</v>
      </c>
      <c r="I712" s="12" t="s">
        <v>28</v>
      </c>
      <c r="J712" s="13" t="s">
        <v>3188</v>
      </c>
      <c r="K712" s="14" t="s">
        <v>3189</v>
      </c>
      <c r="L712" s="15">
        <v>2</v>
      </c>
      <c r="M712" s="15" t="s">
        <v>144</v>
      </c>
      <c r="N712" s="16">
        <v>45352</v>
      </c>
      <c r="O712" s="12" t="s">
        <v>3190</v>
      </c>
      <c r="P712" s="14" t="s">
        <v>3191</v>
      </c>
      <c r="Q712" s="17" t="s">
        <v>137</v>
      </c>
      <c r="R712" s="17" t="s">
        <v>146</v>
      </c>
    </row>
    <row r="713" spans="1:18" x14ac:dyDescent="0.3">
      <c r="A713" s="12" t="s">
        <v>3192</v>
      </c>
      <c r="B713" s="12" t="s">
        <v>12</v>
      </c>
      <c r="C713" s="12"/>
      <c r="D713" s="12" t="s">
        <v>12</v>
      </c>
      <c r="E713" s="12" t="s">
        <v>3193</v>
      </c>
      <c r="F713" s="12"/>
      <c r="G713" s="12" t="s">
        <v>3187</v>
      </c>
      <c r="H713" s="12" t="s">
        <v>64</v>
      </c>
      <c r="I713" s="12" t="s">
        <v>28</v>
      </c>
      <c r="J713" s="13" t="s">
        <v>3188</v>
      </c>
      <c r="K713" s="14" t="s">
        <v>3194</v>
      </c>
      <c r="L713" s="15">
        <v>1</v>
      </c>
      <c r="M713" s="15" t="s">
        <v>144</v>
      </c>
      <c r="N713" s="16">
        <v>44810</v>
      </c>
      <c r="O713" s="12" t="s">
        <v>3192</v>
      </c>
      <c r="P713" s="14" t="s">
        <v>3195</v>
      </c>
      <c r="Q713" s="17" t="s">
        <v>137</v>
      </c>
      <c r="R713" s="17" t="s">
        <v>146</v>
      </c>
    </row>
    <row r="714" spans="1:18" x14ac:dyDescent="0.3">
      <c r="A714" s="12" t="s">
        <v>3196</v>
      </c>
      <c r="B714" s="12" t="s">
        <v>12</v>
      </c>
      <c r="C714" s="12"/>
      <c r="D714" s="12" t="s">
        <v>12</v>
      </c>
      <c r="E714" s="12" t="s">
        <v>3197</v>
      </c>
      <c r="F714" s="12"/>
      <c r="G714" s="12" t="s">
        <v>3187</v>
      </c>
      <c r="H714" s="12" t="s">
        <v>64</v>
      </c>
      <c r="I714" s="12" t="s">
        <v>28</v>
      </c>
      <c r="J714" s="13" t="s">
        <v>3188</v>
      </c>
      <c r="K714" s="14" t="s">
        <v>3198</v>
      </c>
      <c r="L714" s="15">
        <v>1</v>
      </c>
      <c r="M714" s="15" t="s">
        <v>144</v>
      </c>
      <c r="N714" s="16">
        <v>45518</v>
      </c>
      <c r="O714" s="12" t="s">
        <v>3196</v>
      </c>
      <c r="P714" s="14" t="s">
        <v>3199</v>
      </c>
      <c r="Q714" s="17" t="s">
        <v>137</v>
      </c>
      <c r="R714" s="17" t="s">
        <v>146</v>
      </c>
    </row>
    <row r="715" spans="1:18" x14ac:dyDescent="0.3">
      <c r="A715" s="12" t="s">
        <v>3200</v>
      </c>
      <c r="B715" s="12" t="s">
        <v>12</v>
      </c>
      <c r="C715" s="12"/>
      <c r="D715" s="12" t="s">
        <v>12</v>
      </c>
      <c r="E715" s="12" t="s">
        <v>3201</v>
      </c>
      <c r="F715" s="12"/>
      <c r="G715" s="12" t="s">
        <v>3187</v>
      </c>
      <c r="H715" s="12" t="s">
        <v>64</v>
      </c>
      <c r="I715" s="12" t="s">
        <v>28</v>
      </c>
      <c r="J715" s="13" t="s">
        <v>3188</v>
      </c>
      <c r="K715" s="14" t="s">
        <v>3202</v>
      </c>
      <c r="L715" s="15">
        <v>0</v>
      </c>
      <c r="M715" s="15" t="s">
        <v>144</v>
      </c>
      <c r="N715" s="16">
        <v>45127</v>
      </c>
      <c r="O715" s="12" t="s">
        <v>3200</v>
      </c>
      <c r="P715" s="14" t="s">
        <v>3203</v>
      </c>
      <c r="Q715" s="17" t="s">
        <v>137</v>
      </c>
      <c r="R715" s="17" t="s">
        <v>146</v>
      </c>
    </row>
    <row r="716" spans="1:18" x14ac:dyDescent="0.3">
      <c r="A716" s="12" t="s">
        <v>3200</v>
      </c>
      <c r="B716" s="12" t="s">
        <v>12</v>
      </c>
      <c r="C716" s="12"/>
      <c r="D716" s="12" t="s">
        <v>12</v>
      </c>
      <c r="E716" s="12" t="s">
        <v>3204</v>
      </c>
      <c r="F716" s="12"/>
      <c r="G716" s="12" t="s">
        <v>3187</v>
      </c>
      <c r="H716" s="12" t="s">
        <v>64</v>
      </c>
      <c r="I716" s="12" t="s">
        <v>28</v>
      </c>
      <c r="J716" s="13" t="s">
        <v>3188</v>
      </c>
      <c r="K716" s="14" t="s">
        <v>3205</v>
      </c>
      <c r="L716" s="15">
        <v>0</v>
      </c>
      <c r="M716" s="15" t="s">
        <v>144</v>
      </c>
      <c r="N716" s="16">
        <v>45127</v>
      </c>
      <c r="O716" s="12" t="s">
        <v>3200</v>
      </c>
      <c r="P716" s="14" t="s">
        <v>3203</v>
      </c>
      <c r="Q716" s="17" t="s">
        <v>137</v>
      </c>
      <c r="R716" s="17" t="s">
        <v>146</v>
      </c>
    </row>
    <row r="717" spans="1:18" x14ac:dyDescent="0.3">
      <c r="A717" s="12" t="s">
        <v>3206</v>
      </c>
      <c r="B717" s="12" t="s">
        <v>12</v>
      </c>
      <c r="C717" s="12"/>
      <c r="D717" s="12" t="s">
        <v>12</v>
      </c>
      <c r="E717" s="12" t="s">
        <v>3207</v>
      </c>
      <c r="F717" s="12"/>
      <c r="G717" s="12" t="s">
        <v>3208</v>
      </c>
      <c r="H717" s="12" t="s">
        <v>51</v>
      </c>
      <c r="I717" s="12" t="s">
        <v>28</v>
      </c>
      <c r="J717" s="13" t="s">
        <v>3209</v>
      </c>
      <c r="K717" s="14" t="s">
        <v>3210</v>
      </c>
      <c r="L717" s="15">
        <v>1</v>
      </c>
      <c r="M717" s="15" t="s">
        <v>144</v>
      </c>
      <c r="N717" s="16">
        <v>44972</v>
      </c>
      <c r="O717" s="12" t="s">
        <v>3206</v>
      </c>
      <c r="P717" s="14" t="s">
        <v>3211</v>
      </c>
      <c r="Q717" s="17" t="s">
        <v>137</v>
      </c>
      <c r="R717" s="17" t="s">
        <v>146</v>
      </c>
    </row>
    <row r="718" spans="1:18" x14ac:dyDescent="0.3">
      <c r="A718" s="12" t="s">
        <v>3212</v>
      </c>
      <c r="B718" s="12" t="s">
        <v>12</v>
      </c>
      <c r="C718" s="12"/>
      <c r="D718" s="12" t="s">
        <v>12</v>
      </c>
      <c r="E718" s="12" t="s">
        <v>3213</v>
      </c>
      <c r="F718" s="12" t="s">
        <v>366</v>
      </c>
      <c r="G718" s="12" t="s">
        <v>3214</v>
      </c>
      <c r="H718" s="12" t="s">
        <v>51</v>
      </c>
      <c r="I718" s="12" t="s">
        <v>28</v>
      </c>
      <c r="J718" s="13" t="s">
        <v>3215</v>
      </c>
      <c r="K718" s="14" t="s">
        <v>3216</v>
      </c>
      <c r="L718" s="15">
        <v>0</v>
      </c>
      <c r="M718" s="15" t="s">
        <v>144</v>
      </c>
      <c r="N718" s="16">
        <v>46028</v>
      </c>
      <c r="O718" s="12" t="s">
        <v>3212</v>
      </c>
      <c r="P718" s="14" t="s">
        <v>3217</v>
      </c>
      <c r="Q718" s="17" t="s">
        <v>137</v>
      </c>
      <c r="R718" s="17" t="s">
        <v>146</v>
      </c>
    </row>
    <row r="719" spans="1:18" x14ac:dyDescent="0.3">
      <c r="A719" s="12" t="s">
        <v>3218</v>
      </c>
      <c r="B719" s="12" t="s">
        <v>12</v>
      </c>
      <c r="C719" s="12"/>
      <c r="D719" s="12" t="s">
        <v>12</v>
      </c>
      <c r="E719" s="12" t="s">
        <v>3219</v>
      </c>
      <c r="F719" s="12" t="s">
        <v>3220</v>
      </c>
      <c r="G719" s="12" t="s">
        <v>3214</v>
      </c>
      <c r="H719" s="12" t="s">
        <v>51</v>
      </c>
      <c r="I719" s="12" t="s">
        <v>28</v>
      </c>
      <c r="J719" s="13" t="s">
        <v>3215</v>
      </c>
      <c r="K719" s="14" t="s">
        <v>3221</v>
      </c>
      <c r="L719" s="15">
        <v>0</v>
      </c>
      <c r="M719" s="15" t="s">
        <v>144</v>
      </c>
      <c r="N719" s="16">
        <v>44615</v>
      </c>
      <c r="O719" s="12" t="s">
        <v>3222</v>
      </c>
      <c r="P719" s="14" t="s">
        <v>3223</v>
      </c>
      <c r="Q719" s="17" t="s">
        <v>137</v>
      </c>
      <c r="R719" s="17" t="s">
        <v>146</v>
      </c>
    </row>
    <row r="720" spans="1:18" x14ac:dyDescent="0.3">
      <c r="A720" s="12" t="s">
        <v>3224</v>
      </c>
      <c r="B720" s="12" t="s">
        <v>20</v>
      </c>
      <c r="C720" s="12"/>
      <c r="D720" s="12" t="s">
        <v>193</v>
      </c>
      <c r="E720" s="12" t="s">
        <v>3225</v>
      </c>
      <c r="F720" s="12"/>
      <c r="G720" s="12" t="s">
        <v>3214</v>
      </c>
      <c r="H720" s="12" t="s">
        <v>51</v>
      </c>
      <c r="I720" s="12" t="s">
        <v>28</v>
      </c>
      <c r="J720" s="13" t="s">
        <v>3215</v>
      </c>
      <c r="K720" s="14" t="s">
        <v>3226</v>
      </c>
      <c r="L720" s="15">
        <v>0</v>
      </c>
      <c r="M720" s="15" t="s">
        <v>144</v>
      </c>
      <c r="N720" s="16">
        <v>45694</v>
      </c>
      <c r="O720" s="12" t="s">
        <v>3227</v>
      </c>
      <c r="P720" s="14" t="s">
        <v>3228</v>
      </c>
      <c r="Q720" s="17" t="s">
        <v>137</v>
      </c>
      <c r="R720" s="17" t="s">
        <v>146</v>
      </c>
    </row>
    <row r="721" spans="1:18" x14ac:dyDescent="0.3">
      <c r="A721" s="12" t="s">
        <v>3229</v>
      </c>
      <c r="B721" s="12" t="s">
        <v>14</v>
      </c>
      <c r="C721" s="12"/>
      <c r="D721" s="12" t="s">
        <v>14</v>
      </c>
      <c r="E721" s="12" t="s">
        <v>3230</v>
      </c>
      <c r="F721" s="12"/>
      <c r="G721" s="12" t="s">
        <v>3214</v>
      </c>
      <c r="H721" s="12" t="s">
        <v>51</v>
      </c>
      <c r="I721" s="12" t="s">
        <v>28</v>
      </c>
      <c r="J721" s="13" t="s">
        <v>3215</v>
      </c>
      <c r="K721" s="14" t="s">
        <v>3231</v>
      </c>
      <c r="L721" s="15">
        <v>0</v>
      </c>
      <c r="M721" s="15" t="s">
        <v>144</v>
      </c>
      <c r="N721" s="16">
        <v>45621</v>
      </c>
      <c r="O721" s="12" t="s">
        <v>3229</v>
      </c>
      <c r="P721" s="14" t="s">
        <v>3232</v>
      </c>
      <c r="Q721" s="17" t="s">
        <v>137</v>
      </c>
      <c r="R721" s="17" t="s">
        <v>146</v>
      </c>
    </row>
    <row r="722" spans="1:18" x14ac:dyDescent="0.3">
      <c r="A722" s="12" t="s">
        <v>3233</v>
      </c>
      <c r="B722" s="12" t="s">
        <v>12</v>
      </c>
      <c r="C722" s="12"/>
      <c r="D722" s="12" t="s">
        <v>12</v>
      </c>
      <c r="E722" s="12" t="s">
        <v>3234</v>
      </c>
      <c r="F722" s="12" t="s">
        <v>366</v>
      </c>
      <c r="G722" s="12" t="s">
        <v>3214</v>
      </c>
      <c r="H722" s="12" t="s">
        <v>51</v>
      </c>
      <c r="I722" s="12" t="s">
        <v>28</v>
      </c>
      <c r="J722" s="13" t="s">
        <v>3215</v>
      </c>
      <c r="K722" s="14" t="s">
        <v>3235</v>
      </c>
      <c r="L722" s="15">
        <v>2</v>
      </c>
      <c r="M722" s="15" t="s">
        <v>144</v>
      </c>
      <c r="N722" s="16">
        <v>45532</v>
      </c>
      <c r="O722" s="12" t="s">
        <v>3233</v>
      </c>
      <c r="P722" s="14" t="s">
        <v>3236</v>
      </c>
      <c r="Q722" s="17" t="s">
        <v>137</v>
      </c>
      <c r="R722" s="17" t="s">
        <v>146</v>
      </c>
    </row>
    <row r="723" spans="1:18" x14ac:dyDescent="0.3">
      <c r="A723" s="12" t="s">
        <v>3237</v>
      </c>
      <c r="B723" s="12" t="s">
        <v>12</v>
      </c>
      <c r="C723" s="12"/>
      <c r="D723" s="12" t="s">
        <v>12</v>
      </c>
      <c r="E723" s="12" t="s">
        <v>3238</v>
      </c>
      <c r="F723" s="12" t="s">
        <v>345</v>
      </c>
      <c r="G723" s="12" t="s">
        <v>3214</v>
      </c>
      <c r="H723" s="12" t="s">
        <v>51</v>
      </c>
      <c r="I723" s="12" t="s">
        <v>28</v>
      </c>
      <c r="J723" s="13" t="s">
        <v>3215</v>
      </c>
      <c r="K723" s="14" t="s">
        <v>3239</v>
      </c>
      <c r="L723" s="15">
        <v>1</v>
      </c>
      <c r="M723" s="15" t="s">
        <v>144</v>
      </c>
      <c r="N723" s="16">
        <v>45714</v>
      </c>
      <c r="O723" s="12" t="s">
        <v>3240</v>
      </c>
      <c r="P723" s="14" t="s">
        <v>3241</v>
      </c>
      <c r="Q723" s="17" t="s">
        <v>137</v>
      </c>
      <c r="R723" s="17" t="s">
        <v>146</v>
      </c>
    </row>
    <row r="724" spans="1:18" x14ac:dyDescent="0.3">
      <c r="A724" s="12" t="s">
        <v>3242</v>
      </c>
      <c r="B724" s="12" t="s">
        <v>12</v>
      </c>
      <c r="C724" s="12"/>
      <c r="D724" s="12" t="s">
        <v>12</v>
      </c>
      <c r="E724" s="12" t="s">
        <v>3238</v>
      </c>
      <c r="F724" s="12" t="s">
        <v>345</v>
      </c>
      <c r="G724" s="12" t="s">
        <v>3214</v>
      </c>
      <c r="H724" s="12" t="s">
        <v>51</v>
      </c>
      <c r="I724" s="12" t="s">
        <v>28</v>
      </c>
      <c r="J724" s="13" t="s">
        <v>3215</v>
      </c>
      <c r="K724" s="14" t="s">
        <v>3239</v>
      </c>
      <c r="L724" s="15">
        <v>1</v>
      </c>
      <c r="M724" s="15" t="s">
        <v>144</v>
      </c>
      <c r="N724" s="16">
        <v>46182</v>
      </c>
      <c r="O724" s="12" t="s">
        <v>3242</v>
      </c>
      <c r="P724" s="14" t="s">
        <v>3243</v>
      </c>
      <c r="Q724" s="17" t="s">
        <v>137</v>
      </c>
      <c r="R724" s="17" t="s">
        <v>146</v>
      </c>
    </row>
    <row r="725" spans="1:18" x14ac:dyDescent="0.3">
      <c r="A725" s="12" t="s">
        <v>3244</v>
      </c>
      <c r="B725" s="12" t="s">
        <v>12</v>
      </c>
      <c r="C725" s="12"/>
      <c r="D725" s="12" t="s">
        <v>12</v>
      </c>
      <c r="E725" s="12" t="s">
        <v>3245</v>
      </c>
      <c r="F725" s="12" t="s">
        <v>520</v>
      </c>
      <c r="G725" s="12" t="s">
        <v>3214</v>
      </c>
      <c r="H725" s="12" t="s">
        <v>51</v>
      </c>
      <c r="I725" s="12" t="s">
        <v>28</v>
      </c>
      <c r="J725" s="13" t="s">
        <v>3215</v>
      </c>
      <c r="K725" s="14" t="s">
        <v>3246</v>
      </c>
      <c r="L725" s="15">
        <v>2</v>
      </c>
      <c r="M725" s="15" t="s">
        <v>144</v>
      </c>
      <c r="N725" s="16">
        <v>44705</v>
      </c>
      <c r="O725" s="12" t="s">
        <v>3244</v>
      </c>
      <c r="P725" s="14" t="s">
        <v>3247</v>
      </c>
      <c r="Q725" s="17" t="s">
        <v>137</v>
      </c>
      <c r="R725" s="17" t="s">
        <v>146</v>
      </c>
    </row>
    <row r="726" spans="1:18" x14ac:dyDescent="0.3">
      <c r="A726" s="12" t="s">
        <v>3248</v>
      </c>
      <c r="B726" s="12" t="s">
        <v>12</v>
      </c>
      <c r="C726" s="12"/>
      <c r="D726" s="12" t="s">
        <v>12</v>
      </c>
      <c r="E726" s="12" t="s">
        <v>3249</v>
      </c>
      <c r="F726" s="12" t="s">
        <v>3250</v>
      </c>
      <c r="G726" s="12" t="s">
        <v>3214</v>
      </c>
      <c r="H726" s="12" t="s">
        <v>51</v>
      </c>
      <c r="I726" s="12" t="s">
        <v>28</v>
      </c>
      <c r="J726" s="13" t="s">
        <v>3215</v>
      </c>
      <c r="K726" s="14" t="s">
        <v>3251</v>
      </c>
      <c r="L726" s="15">
        <v>0</v>
      </c>
      <c r="M726" s="15" t="s">
        <v>144</v>
      </c>
      <c r="N726" s="16">
        <v>45145</v>
      </c>
      <c r="O726" s="12" t="s">
        <v>3248</v>
      </c>
      <c r="P726" s="14" t="s">
        <v>3252</v>
      </c>
      <c r="Q726" s="17" t="s">
        <v>137</v>
      </c>
      <c r="R726" s="17" t="s">
        <v>146</v>
      </c>
    </row>
    <row r="727" spans="1:18" x14ac:dyDescent="0.3">
      <c r="A727" s="12" t="s">
        <v>307</v>
      </c>
      <c r="B727" s="12" t="s">
        <v>14</v>
      </c>
      <c r="C727" s="12"/>
      <c r="D727" s="12" t="s">
        <v>14</v>
      </c>
      <c r="E727" s="12" t="s">
        <v>3253</v>
      </c>
      <c r="F727" s="12"/>
      <c r="G727" s="12" t="s">
        <v>3214</v>
      </c>
      <c r="H727" s="12" t="s">
        <v>51</v>
      </c>
      <c r="I727" s="12" t="s">
        <v>28</v>
      </c>
      <c r="J727" s="13" t="s">
        <v>3215</v>
      </c>
      <c r="K727" s="14" t="s">
        <v>3254</v>
      </c>
      <c r="L727" s="15">
        <v>4</v>
      </c>
      <c r="M727" s="15" t="s">
        <v>144</v>
      </c>
      <c r="N727" s="16">
        <v>46275</v>
      </c>
      <c r="O727" s="12" t="s">
        <v>307</v>
      </c>
      <c r="P727" s="14" t="s">
        <v>310</v>
      </c>
      <c r="Q727" s="17" t="s">
        <v>137</v>
      </c>
      <c r="R727" s="17" t="s">
        <v>146</v>
      </c>
    </row>
    <row r="728" spans="1:18" x14ac:dyDescent="0.3">
      <c r="A728" s="12" t="s">
        <v>3255</v>
      </c>
      <c r="B728" s="12" t="s">
        <v>14</v>
      </c>
      <c r="C728" s="12"/>
      <c r="D728" s="12" t="s">
        <v>14</v>
      </c>
      <c r="E728" s="12" t="s">
        <v>3256</v>
      </c>
      <c r="F728" s="12"/>
      <c r="G728" s="12" t="s">
        <v>3257</v>
      </c>
      <c r="H728" s="12" t="s">
        <v>41</v>
      </c>
      <c r="I728" s="12" t="s">
        <v>28</v>
      </c>
      <c r="J728" s="13" t="s">
        <v>3258</v>
      </c>
      <c r="K728" s="14" t="s">
        <v>3259</v>
      </c>
      <c r="L728" s="15">
        <v>1</v>
      </c>
      <c r="M728" s="15" t="s">
        <v>144</v>
      </c>
      <c r="N728" s="16">
        <v>44700</v>
      </c>
      <c r="O728" s="12" t="s">
        <v>3255</v>
      </c>
      <c r="P728" s="14" t="s">
        <v>3260</v>
      </c>
      <c r="Q728" s="17" t="s">
        <v>137</v>
      </c>
      <c r="R728" s="17" t="s">
        <v>146</v>
      </c>
    </row>
    <row r="729" spans="1:18" x14ac:dyDescent="0.3">
      <c r="A729" s="12" t="s">
        <v>3261</v>
      </c>
      <c r="B729" s="12" t="s">
        <v>14</v>
      </c>
      <c r="C729" s="12"/>
      <c r="D729" s="12" t="s">
        <v>14</v>
      </c>
      <c r="E729" s="12" t="s">
        <v>3262</v>
      </c>
      <c r="F729" s="12"/>
      <c r="G729" s="12" t="s">
        <v>3263</v>
      </c>
      <c r="H729" s="12" t="s">
        <v>41</v>
      </c>
      <c r="I729" s="12" t="s">
        <v>28</v>
      </c>
      <c r="J729" s="13" t="s">
        <v>3264</v>
      </c>
      <c r="K729" s="14" t="s">
        <v>3265</v>
      </c>
      <c r="L729" s="15">
        <v>0</v>
      </c>
      <c r="M729" s="15" t="s">
        <v>144</v>
      </c>
      <c r="N729" s="16">
        <v>45484</v>
      </c>
      <c r="O729" s="12" t="s">
        <v>3261</v>
      </c>
      <c r="P729" s="14" t="s">
        <v>3266</v>
      </c>
      <c r="Q729" s="17" t="s">
        <v>137</v>
      </c>
      <c r="R729" s="17" t="s">
        <v>146</v>
      </c>
    </row>
    <row r="730" spans="1:18" x14ac:dyDescent="0.3">
      <c r="A730" s="12" t="s">
        <v>3267</v>
      </c>
      <c r="B730" s="12" t="s">
        <v>10</v>
      </c>
      <c r="C730" s="12"/>
      <c r="D730" s="12" t="s">
        <v>157</v>
      </c>
      <c r="E730" s="12" t="s">
        <v>3268</v>
      </c>
      <c r="F730" s="12"/>
      <c r="G730" s="12" t="s">
        <v>3269</v>
      </c>
      <c r="H730" s="12" t="s">
        <v>41</v>
      </c>
      <c r="I730" s="12" t="s">
        <v>28</v>
      </c>
      <c r="J730" s="13" t="s">
        <v>3270</v>
      </c>
      <c r="K730" s="14" t="s">
        <v>3271</v>
      </c>
      <c r="L730" s="15">
        <v>0</v>
      </c>
      <c r="M730" s="15" t="s">
        <v>220</v>
      </c>
      <c r="N730" s="16">
        <v>46092</v>
      </c>
      <c r="O730" s="12" t="s">
        <v>3272</v>
      </c>
      <c r="P730" s="14" t="s">
        <v>3273</v>
      </c>
      <c r="Q730" s="17" t="s">
        <v>137</v>
      </c>
      <c r="R730" s="17" t="s">
        <v>146</v>
      </c>
    </row>
    <row r="731" spans="1:18" x14ac:dyDescent="0.3">
      <c r="A731" s="12" t="s">
        <v>3274</v>
      </c>
      <c r="B731" s="12" t="s">
        <v>10</v>
      </c>
      <c r="C731" s="12"/>
      <c r="D731" s="12" t="s">
        <v>216</v>
      </c>
      <c r="E731" s="12" t="s">
        <v>3268</v>
      </c>
      <c r="F731" s="12"/>
      <c r="G731" s="12" t="s">
        <v>3269</v>
      </c>
      <c r="H731" s="12" t="s">
        <v>41</v>
      </c>
      <c r="I731" s="12" t="s">
        <v>28</v>
      </c>
      <c r="J731" s="13" t="s">
        <v>3270</v>
      </c>
      <c r="K731" s="14" t="s">
        <v>3275</v>
      </c>
      <c r="L731" s="15">
        <v>0</v>
      </c>
      <c r="M731" s="15" t="s">
        <v>220</v>
      </c>
      <c r="N731" s="16">
        <v>46246</v>
      </c>
      <c r="O731" s="12" t="s">
        <v>3272</v>
      </c>
      <c r="P731" s="14" t="s">
        <v>3276</v>
      </c>
      <c r="Q731" s="17" t="s">
        <v>137</v>
      </c>
      <c r="R731" s="17" t="s">
        <v>146</v>
      </c>
    </row>
    <row r="732" spans="1:18" x14ac:dyDescent="0.3">
      <c r="A732" s="12" t="s">
        <v>3277</v>
      </c>
      <c r="B732" s="12" t="s">
        <v>10</v>
      </c>
      <c r="C732" s="12"/>
      <c r="D732" s="12" t="s">
        <v>1561</v>
      </c>
      <c r="E732" s="12" t="s">
        <v>3268</v>
      </c>
      <c r="F732" s="12"/>
      <c r="G732" s="12" t="s">
        <v>3269</v>
      </c>
      <c r="H732" s="12" t="s">
        <v>41</v>
      </c>
      <c r="I732" s="12" t="s">
        <v>28</v>
      </c>
      <c r="J732" s="13" t="s">
        <v>3270</v>
      </c>
      <c r="K732" s="14" t="s">
        <v>3278</v>
      </c>
      <c r="L732" s="15">
        <v>0</v>
      </c>
      <c r="M732" s="15" t="s">
        <v>220</v>
      </c>
      <c r="N732" s="16">
        <v>46092</v>
      </c>
      <c r="O732" s="12" t="s">
        <v>3272</v>
      </c>
      <c r="P732" s="14" t="s">
        <v>3279</v>
      </c>
      <c r="Q732" s="17" t="s">
        <v>137</v>
      </c>
      <c r="R732" s="17" t="s">
        <v>146</v>
      </c>
    </row>
    <row r="733" spans="1:18" x14ac:dyDescent="0.3">
      <c r="A733" s="12" t="s">
        <v>3280</v>
      </c>
      <c r="B733" s="12" t="s">
        <v>10</v>
      </c>
      <c r="C733" s="12"/>
      <c r="D733" s="12" t="s">
        <v>230</v>
      </c>
      <c r="E733" s="12" t="s">
        <v>3268</v>
      </c>
      <c r="F733" s="12"/>
      <c r="G733" s="12" t="s">
        <v>3269</v>
      </c>
      <c r="H733" s="12" t="s">
        <v>41</v>
      </c>
      <c r="I733" s="12" t="s">
        <v>28</v>
      </c>
      <c r="J733" s="13" t="s">
        <v>3270</v>
      </c>
      <c r="K733" s="14" t="s">
        <v>3281</v>
      </c>
      <c r="L733" s="15">
        <v>0</v>
      </c>
      <c r="M733" s="15" t="s">
        <v>220</v>
      </c>
      <c r="N733" s="16">
        <v>46092</v>
      </c>
      <c r="O733" s="12" t="s">
        <v>3272</v>
      </c>
      <c r="P733" s="14" t="s">
        <v>3282</v>
      </c>
      <c r="Q733" s="17" t="s">
        <v>137</v>
      </c>
      <c r="R733" s="17" t="s">
        <v>146</v>
      </c>
    </row>
    <row r="734" spans="1:18" x14ac:dyDescent="0.3">
      <c r="A734" s="12" t="s">
        <v>3283</v>
      </c>
      <c r="B734" s="12" t="s">
        <v>10</v>
      </c>
      <c r="C734" s="12"/>
      <c r="D734" s="12" t="s">
        <v>252</v>
      </c>
      <c r="E734" s="12" t="s">
        <v>3268</v>
      </c>
      <c r="F734" s="12"/>
      <c r="G734" s="12" t="s">
        <v>3269</v>
      </c>
      <c r="H734" s="12" t="s">
        <v>41</v>
      </c>
      <c r="I734" s="12" t="s">
        <v>28</v>
      </c>
      <c r="J734" s="13" t="s">
        <v>3270</v>
      </c>
      <c r="K734" s="14" t="s">
        <v>3284</v>
      </c>
      <c r="L734" s="15">
        <v>0</v>
      </c>
      <c r="M734" s="15" t="s">
        <v>220</v>
      </c>
      <c r="N734" s="16">
        <v>46092</v>
      </c>
      <c r="O734" s="12" t="s">
        <v>3272</v>
      </c>
      <c r="P734" s="14" t="s">
        <v>3285</v>
      </c>
      <c r="Q734" s="17" t="s">
        <v>137</v>
      </c>
      <c r="R734" s="17" t="s">
        <v>146</v>
      </c>
    </row>
    <row r="735" spans="1:18" x14ac:dyDescent="0.3">
      <c r="A735" s="12" t="s">
        <v>3286</v>
      </c>
      <c r="B735" s="12" t="s">
        <v>14</v>
      </c>
      <c r="C735" s="12"/>
      <c r="D735" s="12" t="s">
        <v>14</v>
      </c>
      <c r="E735" s="12" t="s">
        <v>3287</v>
      </c>
      <c r="F735" s="12"/>
      <c r="G735" s="12" t="s">
        <v>3269</v>
      </c>
      <c r="H735" s="12" t="s">
        <v>41</v>
      </c>
      <c r="I735" s="12" t="s">
        <v>28</v>
      </c>
      <c r="J735" s="13" t="s">
        <v>3288</v>
      </c>
      <c r="K735" s="14" t="s">
        <v>3289</v>
      </c>
      <c r="L735" s="15">
        <v>7</v>
      </c>
      <c r="M735" s="15" t="s">
        <v>144</v>
      </c>
      <c r="N735" s="16">
        <v>45475</v>
      </c>
      <c r="O735" s="12" t="s">
        <v>3286</v>
      </c>
      <c r="P735" s="14" t="s">
        <v>3290</v>
      </c>
      <c r="Q735" s="17" t="s">
        <v>137</v>
      </c>
      <c r="R735" s="17" t="s">
        <v>146</v>
      </c>
    </row>
    <row r="736" spans="1:18" x14ac:dyDescent="0.3">
      <c r="A736" s="12" t="s">
        <v>3224</v>
      </c>
      <c r="B736" s="12" t="s">
        <v>20</v>
      </c>
      <c r="C736" s="12"/>
      <c r="D736" s="12" t="s">
        <v>193</v>
      </c>
      <c r="E736" s="12" t="s">
        <v>3291</v>
      </c>
      <c r="F736" s="12" t="s">
        <v>389</v>
      </c>
      <c r="G736" s="12" t="s">
        <v>3269</v>
      </c>
      <c r="H736" s="12" t="s">
        <v>41</v>
      </c>
      <c r="I736" s="12" t="s">
        <v>28</v>
      </c>
      <c r="J736" s="13" t="s">
        <v>3270</v>
      </c>
      <c r="K736" s="14" t="s">
        <v>3292</v>
      </c>
      <c r="L736" s="15">
        <v>6</v>
      </c>
      <c r="M736" s="15" t="s">
        <v>144</v>
      </c>
      <c r="N736" s="16">
        <v>45694</v>
      </c>
      <c r="O736" s="12" t="s">
        <v>3227</v>
      </c>
      <c r="P736" s="14" t="s">
        <v>3293</v>
      </c>
      <c r="Q736" s="17" t="s">
        <v>137</v>
      </c>
      <c r="R736" s="17" t="s">
        <v>146</v>
      </c>
    </row>
    <row r="737" spans="1:18" x14ac:dyDescent="0.3">
      <c r="A737" s="12" t="s">
        <v>3294</v>
      </c>
      <c r="B737" s="12" t="s">
        <v>12</v>
      </c>
      <c r="C737" s="12" t="s">
        <v>14</v>
      </c>
      <c r="D737" s="12" t="s">
        <v>180</v>
      </c>
      <c r="E737" s="12" t="s">
        <v>3295</v>
      </c>
      <c r="F737" s="12"/>
      <c r="G737" s="12" t="s">
        <v>3269</v>
      </c>
      <c r="H737" s="12" t="s">
        <v>41</v>
      </c>
      <c r="I737" s="12" t="s">
        <v>28</v>
      </c>
      <c r="J737" s="13" t="s">
        <v>3296</v>
      </c>
      <c r="K737" s="14" t="s">
        <v>3297</v>
      </c>
      <c r="L737" s="15">
        <v>4</v>
      </c>
      <c r="M737" s="15" t="s">
        <v>144</v>
      </c>
      <c r="N737" s="16">
        <v>46238</v>
      </c>
      <c r="O737" s="12" t="s">
        <v>3294</v>
      </c>
      <c r="P737" s="14" t="s">
        <v>3298</v>
      </c>
      <c r="Q737" s="17" t="s">
        <v>137</v>
      </c>
      <c r="R737" s="17" t="s">
        <v>146</v>
      </c>
    </row>
    <row r="738" spans="1:18" x14ac:dyDescent="0.3">
      <c r="A738" s="12" t="s">
        <v>3299</v>
      </c>
      <c r="B738" s="12" t="s">
        <v>12</v>
      </c>
      <c r="C738" s="12"/>
      <c r="D738" s="12" t="s">
        <v>12</v>
      </c>
      <c r="E738" s="12" t="s">
        <v>3295</v>
      </c>
      <c r="F738" s="12"/>
      <c r="G738" s="12" t="s">
        <v>3269</v>
      </c>
      <c r="H738" s="12" t="s">
        <v>41</v>
      </c>
      <c r="I738" s="12" t="s">
        <v>28</v>
      </c>
      <c r="J738" s="13" t="s">
        <v>3296</v>
      </c>
      <c r="K738" s="14" t="s">
        <v>3300</v>
      </c>
      <c r="L738" s="15">
        <v>4</v>
      </c>
      <c r="M738" s="15" t="s">
        <v>144</v>
      </c>
      <c r="N738" s="16">
        <v>45015</v>
      </c>
      <c r="O738" s="12" t="s">
        <v>3299</v>
      </c>
      <c r="P738" s="14" t="s">
        <v>3301</v>
      </c>
      <c r="Q738" s="17" t="s">
        <v>137</v>
      </c>
      <c r="R738" s="17" t="s">
        <v>146</v>
      </c>
    </row>
    <row r="739" spans="1:18" x14ac:dyDescent="0.3">
      <c r="A739" s="12" t="s">
        <v>3302</v>
      </c>
      <c r="B739" s="12" t="s">
        <v>14</v>
      </c>
      <c r="C739" s="12"/>
      <c r="D739" s="12" t="s">
        <v>14</v>
      </c>
      <c r="E739" s="12" t="s">
        <v>3303</v>
      </c>
      <c r="F739" s="12"/>
      <c r="G739" s="12" t="s">
        <v>3269</v>
      </c>
      <c r="H739" s="12" t="s">
        <v>41</v>
      </c>
      <c r="I739" s="12" t="s">
        <v>28</v>
      </c>
      <c r="J739" s="13" t="s">
        <v>3304</v>
      </c>
      <c r="K739" s="14" t="s">
        <v>3305</v>
      </c>
      <c r="L739" s="15">
        <v>0</v>
      </c>
      <c r="M739" s="15" t="s">
        <v>144</v>
      </c>
      <c r="N739" s="16">
        <v>45542</v>
      </c>
      <c r="O739" s="12" t="s">
        <v>3302</v>
      </c>
      <c r="P739" s="14" t="s">
        <v>3306</v>
      </c>
      <c r="Q739" s="17" t="s">
        <v>137</v>
      </c>
      <c r="R739" s="17" t="s">
        <v>146</v>
      </c>
    </row>
    <row r="740" spans="1:18" x14ac:dyDescent="0.3">
      <c r="A740" s="12" t="s">
        <v>3307</v>
      </c>
      <c r="B740" s="12" t="s">
        <v>12</v>
      </c>
      <c r="C740" s="12"/>
      <c r="D740" s="12" t="s">
        <v>12</v>
      </c>
      <c r="E740" s="12" t="s">
        <v>3308</v>
      </c>
      <c r="F740" s="12"/>
      <c r="G740" s="12" t="s">
        <v>3269</v>
      </c>
      <c r="H740" s="12" t="s">
        <v>41</v>
      </c>
      <c r="I740" s="12" t="s">
        <v>28</v>
      </c>
      <c r="J740" s="13" t="s">
        <v>3309</v>
      </c>
      <c r="K740" s="14" t="s">
        <v>3310</v>
      </c>
      <c r="L740" s="15">
        <v>1</v>
      </c>
      <c r="M740" s="15" t="s">
        <v>144</v>
      </c>
      <c r="N740" s="16">
        <v>45463</v>
      </c>
      <c r="O740" s="12" t="s">
        <v>3307</v>
      </c>
      <c r="P740" s="14" t="s">
        <v>3311</v>
      </c>
      <c r="Q740" s="17" t="s">
        <v>137</v>
      </c>
      <c r="R740" s="17" t="s">
        <v>146</v>
      </c>
    </row>
    <row r="741" spans="1:18" x14ac:dyDescent="0.3">
      <c r="A741" s="12" t="s">
        <v>3312</v>
      </c>
      <c r="B741" s="12" t="s">
        <v>12</v>
      </c>
      <c r="C741" s="12"/>
      <c r="D741" s="12" t="s">
        <v>12</v>
      </c>
      <c r="E741" s="12" t="s">
        <v>3313</v>
      </c>
      <c r="F741" s="12"/>
      <c r="G741" s="12" t="s">
        <v>3269</v>
      </c>
      <c r="H741" s="12" t="s">
        <v>41</v>
      </c>
      <c r="I741" s="12" t="s">
        <v>28</v>
      </c>
      <c r="J741" s="13" t="s">
        <v>3314</v>
      </c>
      <c r="K741" s="14" t="s">
        <v>3315</v>
      </c>
      <c r="L741" s="15">
        <v>0</v>
      </c>
      <c r="M741" s="15" t="s">
        <v>144</v>
      </c>
      <c r="N741" s="16">
        <v>44648</v>
      </c>
      <c r="O741" s="12" t="s">
        <v>3312</v>
      </c>
      <c r="P741" s="14" t="s">
        <v>3316</v>
      </c>
      <c r="Q741" s="17" t="s">
        <v>137</v>
      </c>
      <c r="R741" s="17" t="s">
        <v>146</v>
      </c>
    </row>
    <row r="742" spans="1:18" x14ac:dyDescent="0.3">
      <c r="A742" s="12" t="s">
        <v>3312</v>
      </c>
      <c r="B742" s="12" t="s">
        <v>12</v>
      </c>
      <c r="C742" s="12"/>
      <c r="D742" s="12" t="s">
        <v>12</v>
      </c>
      <c r="E742" s="12" t="s">
        <v>3317</v>
      </c>
      <c r="F742" s="12"/>
      <c r="G742" s="12" t="s">
        <v>3269</v>
      </c>
      <c r="H742" s="12" t="s">
        <v>41</v>
      </c>
      <c r="I742" s="12" t="s">
        <v>28</v>
      </c>
      <c r="J742" s="13" t="s">
        <v>3314</v>
      </c>
      <c r="K742" s="14" t="s">
        <v>3315</v>
      </c>
      <c r="L742" s="15">
        <v>1</v>
      </c>
      <c r="M742" s="15" t="s">
        <v>144</v>
      </c>
      <c r="N742" s="16">
        <v>44648</v>
      </c>
      <c r="O742" s="12" t="s">
        <v>3312</v>
      </c>
      <c r="P742" s="14" t="s">
        <v>3316</v>
      </c>
      <c r="Q742" s="17" t="s">
        <v>137</v>
      </c>
      <c r="R742" s="17" t="s">
        <v>146</v>
      </c>
    </row>
    <row r="743" spans="1:18" x14ac:dyDescent="0.3">
      <c r="A743" s="12" t="s">
        <v>3318</v>
      </c>
      <c r="B743" s="12" t="s">
        <v>14</v>
      </c>
      <c r="C743" s="12"/>
      <c r="D743" s="12" t="s">
        <v>14</v>
      </c>
      <c r="E743" s="12" t="s">
        <v>3319</v>
      </c>
      <c r="F743" s="12"/>
      <c r="G743" s="12" t="s">
        <v>3269</v>
      </c>
      <c r="H743" s="12" t="s">
        <v>41</v>
      </c>
      <c r="I743" s="12" t="s">
        <v>28</v>
      </c>
      <c r="J743" s="13" t="s">
        <v>3320</v>
      </c>
      <c r="K743" s="14" t="s">
        <v>3321</v>
      </c>
      <c r="L743" s="15">
        <v>0</v>
      </c>
      <c r="M743" s="15" t="s">
        <v>144</v>
      </c>
      <c r="N743" s="16">
        <v>46231</v>
      </c>
      <c r="O743" s="12" t="s">
        <v>3318</v>
      </c>
      <c r="P743" s="14" t="s">
        <v>3322</v>
      </c>
      <c r="Q743" s="17" t="s">
        <v>137</v>
      </c>
      <c r="R743" s="17" t="s">
        <v>146</v>
      </c>
    </row>
    <row r="744" spans="1:18" x14ac:dyDescent="0.3">
      <c r="A744" s="12" t="s">
        <v>3323</v>
      </c>
      <c r="B744" s="12" t="s">
        <v>12</v>
      </c>
      <c r="C744" s="12"/>
      <c r="D744" s="12" t="s">
        <v>12</v>
      </c>
      <c r="E744" s="12" t="s">
        <v>3324</v>
      </c>
      <c r="F744" s="12"/>
      <c r="G744" s="12" t="s">
        <v>3269</v>
      </c>
      <c r="H744" s="12" t="s">
        <v>41</v>
      </c>
      <c r="I744" s="12" t="s">
        <v>28</v>
      </c>
      <c r="J744" s="13" t="s">
        <v>3288</v>
      </c>
      <c r="K744" s="14" t="s">
        <v>3325</v>
      </c>
      <c r="L744" s="15">
        <v>1</v>
      </c>
      <c r="M744" s="15" t="s">
        <v>144</v>
      </c>
      <c r="N744" s="16">
        <v>45056</v>
      </c>
      <c r="O744" s="12" t="s">
        <v>3326</v>
      </c>
      <c r="P744" s="14" t="s">
        <v>3327</v>
      </c>
      <c r="Q744" s="17" t="s">
        <v>137</v>
      </c>
      <c r="R744" s="17" t="s">
        <v>146</v>
      </c>
    </row>
    <row r="745" spans="1:18" x14ac:dyDescent="0.3">
      <c r="A745" s="12" t="s">
        <v>869</v>
      </c>
      <c r="B745" s="12" t="s">
        <v>12</v>
      </c>
      <c r="C745" s="12" t="s">
        <v>14</v>
      </c>
      <c r="D745" s="12" t="s">
        <v>180</v>
      </c>
      <c r="E745" s="12" t="s">
        <v>3328</v>
      </c>
      <c r="F745" s="12" t="s">
        <v>447</v>
      </c>
      <c r="G745" s="12" t="s">
        <v>3269</v>
      </c>
      <c r="H745" s="12" t="s">
        <v>41</v>
      </c>
      <c r="I745" s="12" t="s">
        <v>28</v>
      </c>
      <c r="J745" s="13" t="s">
        <v>3288</v>
      </c>
      <c r="K745" s="14" t="s">
        <v>3329</v>
      </c>
      <c r="L745" s="15">
        <v>4</v>
      </c>
      <c r="M745" s="15" t="s">
        <v>144</v>
      </c>
      <c r="N745" s="16">
        <v>46198</v>
      </c>
      <c r="O745" s="12" t="s">
        <v>869</v>
      </c>
      <c r="P745" s="14" t="s">
        <v>873</v>
      </c>
      <c r="Q745" s="17" t="s">
        <v>137</v>
      </c>
      <c r="R745" s="17" t="s">
        <v>146</v>
      </c>
    </row>
    <row r="746" spans="1:18" x14ac:dyDescent="0.3">
      <c r="A746" s="12" t="s">
        <v>3330</v>
      </c>
      <c r="B746" s="12" t="s">
        <v>14</v>
      </c>
      <c r="C746" s="12"/>
      <c r="D746" s="12" t="s">
        <v>14</v>
      </c>
      <c r="E746" s="12" t="s">
        <v>3331</v>
      </c>
      <c r="F746" s="12"/>
      <c r="G746" s="12" t="s">
        <v>3269</v>
      </c>
      <c r="H746" s="12" t="s">
        <v>41</v>
      </c>
      <c r="I746" s="12" t="s">
        <v>28</v>
      </c>
      <c r="J746" s="13" t="s">
        <v>3309</v>
      </c>
      <c r="K746" s="14" t="s">
        <v>3332</v>
      </c>
      <c r="L746" s="15">
        <v>0</v>
      </c>
      <c r="M746" s="15" t="s">
        <v>144</v>
      </c>
      <c r="N746" s="16">
        <v>45096</v>
      </c>
      <c r="O746" s="12" t="s">
        <v>3330</v>
      </c>
      <c r="P746" s="14" t="s">
        <v>3333</v>
      </c>
      <c r="Q746" s="17" t="s">
        <v>137</v>
      </c>
      <c r="R746" s="17" t="s">
        <v>146</v>
      </c>
    </row>
    <row r="747" spans="1:18" x14ac:dyDescent="0.3">
      <c r="A747" s="12" t="s">
        <v>3334</v>
      </c>
      <c r="B747" s="12" t="s">
        <v>20</v>
      </c>
      <c r="C747" s="12"/>
      <c r="D747" s="12" t="s">
        <v>193</v>
      </c>
      <c r="E747" s="12" t="s">
        <v>3335</v>
      </c>
      <c r="F747" s="12"/>
      <c r="G747" s="12" t="s">
        <v>3269</v>
      </c>
      <c r="H747" s="12" t="s">
        <v>41</v>
      </c>
      <c r="I747" s="12" t="s">
        <v>28</v>
      </c>
      <c r="J747" s="13" t="s">
        <v>3288</v>
      </c>
      <c r="K747" s="14" t="s">
        <v>3336</v>
      </c>
      <c r="L747" s="15">
        <v>6</v>
      </c>
      <c r="M747" s="15" t="s">
        <v>144</v>
      </c>
      <c r="N747" s="16">
        <v>39512</v>
      </c>
      <c r="O747" s="12" t="s">
        <v>3337</v>
      </c>
      <c r="P747" s="14" t="s">
        <v>3338</v>
      </c>
      <c r="Q747" s="17" t="s">
        <v>137</v>
      </c>
      <c r="R747" s="17" t="s">
        <v>146</v>
      </c>
    </row>
    <row r="748" spans="1:18" x14ac:dyDescent="0.3">
      <c r="A748" s="12" t="s">
        <v>3339</v>
      </c>
      <c r="B748" s="12" t="s">
        <v>10</v>
      </c>
      <c r="C748" s="12"/>
      <c r="D748" s="12" t="s">
        <v>252</v>
      </c>
      <c r="E748" s="12" t="s">
        <v>3340</v>
      </c>
      <c r="F748" s="12"/>
      <c r="G748" s="12" t="s">
        <v>3269</v>
      </c>
      <c r="H748" s="12" t="s">
        <v>41</v>
      </c>
      <c r="I748" s="12" t="s">
        <v>28</v>
      </c>
      <c r="J748" s="13" t="s">
        <v>3296</v>
      </c>
      <c r="K748" s="14" t="s">
        <v>3341</v>
      </c>
      <c r="L748" s="15">
        <v>0</v>
      </c>
      <c r="M748" s="15" t="s">
        <v>144</v>
      </c>
      <c r="N748" s="16">
        <v>45572</v>
      </c>
      <c r="O748" s="12" t="s">
        <v>3339</v>
      </c>
      <c r="P748" s="14" t="s">
        <v>3342</v>
      </c>
      <c r="Q748" s="17" t="s">
        <v>137</v>
      </c>
      <c r="R748" s="17" t="s">
        <v>146</v>
      </c>
    </row>
    <row r="749" spans="1:18" x14ac:dyDescent="0.3">
      <c r="A749" s="12" t="s">
        <v>3343</v>
      </c>
      <c r="B749" s="12" t="s">
        <v>10</v>
      </c>
      <c r="C749" s="12"/>
      <c r="D749" s="12" t="s">
        <v>1561</v>
      </c>
      <c r="E749" s="12" t="s">
        <v>3344</v>
      </c>
      <c r="F749" s="12"/>
      <c r="G749" s="12" t="s">
        <v>3269</v>
      </c>
      <c r="H749" s="12" t="s">
        <v>41</v>
      </c>
      <c r="I749" s="12" t="s">
        <v>28</v>
      </c>
      <c r="J749" s="13" t="s">
        <v>3270</v>
      </c>
      <c r="K749" s="14" t="s">
        <v>3345</v>
      </c>
      <c r="L749" s="15">
        <v>0</v>
      </c>
      <c r="M749" s="15" t="s">
        <v>144</v>
      </c>
      <c r="N749" s="16">
        <v>46126</v>
      </c>
      <c r="O749" s="12" t="s">
        <v>3343</v>
      </c>
      <c r="P749" s="14" t="s">
        <v>3346</v>
      </c>
      <c r="Q749" s="17" t="s">
        <v>137</v>
      </c>
      <c r="R749" s="17" t="s">
        <v>146</v>
      </c>
    </row>
    <row r="750" spans="1:18" x14ac:dyDescent="0.3">
      <c r="A750" s="12" t="s">
        <v>307</v>
      </c>
      <c r="B750" s="12" t="s">
        <v>14</v>
      </c>
      <c r="C750" s="12"/>
      <c r="D750" s="12" t="s">
        <v>14</v>
      </c>
      <c r="E750" s="12" t="s">
        <v>3347</v>
      </c>
      <c r="F750" s="12"/>
      <c r="G750" s="12" t="s">
        <v>3269</v>
      </c>
      <c r="H750" s="12" t="s">
        <v>41</v>
      </c>
      <c r="I750" s="12" t="s">
        <v>28</v>
      </c>
      <c r="J750" s="13" t="s">
        <v>3304</v>
      </c>
      <c r="K750" s="14" t="s">
        <v>3348</v>
      </c>
      <c r="L750" s="15">
        <v>2</v>
      </c>
      <c r="M750" s="15" t="s">
        <v>144</v>
      </c>
      <c r="N750" s="16">
        <v>46275</v>
      </c>
      <c r="O750" s="12" t="s">
        <v>307</v>
      </c>
      <c r="P750" s="14" t="s">
        <v>310</v>
      </c>
      <c r="Q750" s="17" t="s">
        <v>137</v>
      </c>
      <c r="R750" s="17" t="s">
        <v>146</v>
      </c>
    </row>
    <row r="751" spans="1:18" x14ac:dyDescent="0.3">
      <c r="A751" s="12" t="s">
        <v>307</v>
      </c>
      <c r="B751" s="12" t="s">
        <v>14</v>
      </c>
      <c r="C751" s="12"/>
      <c r="D751" s="12" t="s">
        <v>14</v>
      </c>
      <c r="E751" s="12" t="s">
        <v>3349</v>
      </c>
      <c r="F751" s="12" t="s">
        <v>2012</v>
      </c>
      <c r="G751" s="12" t="s">
        <v>3269</v>
      </c>
      <c r="H751" s="12" t="s">
        <v>41</v>
      </c>
      <c r="I751" s="12" t="s">
        <v>28</v>
      </c>
      <c r="J751" s="13" t="s">
        <v>3288</v>
      </c>
      <c r="K751" s="14" t="s">
        <v>3350</v>
      </c>
      <c r="L751" s="15">
        <v>6</v>
      </c>
      <c r="M751" s="15" t="s">
        <v>144</v>
      </c>
      <c r="N751" s="16">
        <v>46275</v>
      </c>
      <c r="O751" s="12" t="s">
        <v>307</v>
      </c>
      <c r="P751" s="14" t="s">
        <v>310</v>
      </c>
      <c r="Q751" s="17" t="s">
        <v>137</v>
      </c>
      <c r="R751" s="17" t="s">
        <v>146</v>
      </c>
    </row>
    <row r="752" spans="1:18" x14ac:dyDescent="0.3">
      <c r="A752" s="12" t="s">
        <v>307</v>
      </c>
      <c r="B752" s="12" t="s">
        <v>14</v>
      </c>
      <c r="C752" s="12"/>
      <c r="D752" s="12" t="s">
        <v>14</v>
      </c>
      <c r="E752" s="12" t="s">
        <v>3351</v>
      </c>
      <c r="F752" s="12" t="s">
        <v>947</v>
      </c>
      <c r="G752" s="12" t="s">
        <v>3269</v>
      </c>
      <c r="H752" s="12" t="s">
        <v>41</v>
      </c>
      <c r="I752" s="12" t="s">
        <v>28</v>
      </c>
      <c r="J752" s="13" t="s">
        <v>3352</v>
      </c>
      <c r="K752" s="14" t="s">
        <v>3350</v>
      </c>
      <c r="L752" s="15">
        <v>12</v>
      </c>
      <c r="M752" s="15" t="s">
        <v>144</v>
      </c>
      <c r="N752" s="16">
        <v>46275</v>
      </c>
      <c r="O752" s="12" t="s">
        <v>307</v>
      </c>
      <c r="P752" s="14" t="s">
        <v>310</v>
      </c>
      <c r="Q752" s="17" t="s">
        <v>137</v>
      </c>
      <c r="R752" s="17" t="s">
        <v>146</v>
      </c>
    </row>
    <row r="753" spans="1:18" x14ac:dyDescent="0.3">
      <c r="A753" s="12" t="s">
        <v>307</v>
      </c>
      <c r="B753" s="12" t="s">
        <v>14</v>
      </c>
      <c r="C753" s="12"/>
      <c r="D753" s="12" t="s">
        <v>14</v>
      </c>
      <c r="E753" s="12" t="s">
        <v>3353</v>
      </c>
      <c r="F753" s="12"/>
      <c r="G753" s="12" t="s">
        <v>3269</v>
      </c>
      <c r="H753" s="12" t="s">
        <v>41</v>
      </c>
      <c r="I753" s="12" t="s">
        <v>28</v>
      </c>
      <c r="J753" s="13" t="s">
        <v>3288</v>
      </c>
      <c r="K753" s="14" t="s">
        <v>3354</v>
      </c>
      <c r="L753" s="15">
        <v>13</v>
      </c>
      <c r="M753" s="15" t="s">
        <v>144</v>
      </c>
      <c r="N753" s="16">
        <v>46275</v>
      </c>
      <c r="O753" s="12" t="s">
        <v>307</v>
      </c>
      <c r="P753" s="14" t="s">
        <v>310</v>
      </c>
      <c r="Q753" s="17" t="s">
        <v>137</v>
      </c>
      <c r="R753" s="17" t="s">
        <v>146</v>
      </c>
    </row>
    <row r="754" spans="1:18" x14ac:dyDescent="0.3">
      <c r="A754" s="12" t="s">
        <v>307</v>
      </c>
      <c r="B754" s="12" t="s">
        <v>14</v>
      </c>
      <c r="C754" s="12"/>
      <c r="D754" s="12" t="s">
        <v>14</v>
      </c>
      <c r="E754" s="12" t="s">
        <v>3355</v>
      </c>
      <c r="F754" s="12"/>
      <c r="G754" s="12" t="s">
        <v>3356</v>
      </c>
      <c r="H754" s="12" t="s">
        <v>41</v>
      </c>
      <c r="I754" s="12" t="s">
        <v>28</v>
      </c>
      <c r="J754" s="13" t="s">
        <v>3357</v>
      </c>
      <c r="K754" s="14" t="s">
        <v>3358</v>
      </c>
      <c r="L754" s="15">
        <v>1</v>
      </c>
      <c r="M754" s="15" t="s">
        <v>144</v>
      </c>
      <c r="N754" s="16">
        <v>46275</v>
      </c>
      <c r="O754" s="12" t="s">
        <v>307</v>
      </c>
      <c r="P754" s="14" t="s">
        <v>310</v>
      </c>
      <c r="Q754" s="17" t="s">
        <v>137</v>
      </c>
      <c r="R754" s="17" t="s">
        <v>146</v>
      </c>
    </row>
    <row r="755" spans="1:18" x14ac:dyDescent="0.3">
      <c r="A755" s="12" t="s">
        <v>3359</v>
      </c>
      <c r="B755" s="12" t="s">
        <v>12</v>
      </c>
      <c r="C755" s="12"/>
      <c r="D755" s="12" t="s">
        <v>12</v>
      </c>
      <c r="E755" s="12" t="s">
        <v>3360</v>
      </c>
      <c r="F755" s="12" t="s">
        <v>467</v>
      </c>
      <c r="G755" s="12" t="s">
        <v>3361</v>
      </c>
      <c r="H755" s="12" t="s">
        <v>41</v>
      </c>
      <c r="I755" s="12" t="s">
        <v>28</v>
      </c>
      <c r="J755" s="13" t="s">
        <v>3288</v>
      </c>
      <c r="K755" s="14" t="s">
        <v>3362</v>
      </c>
      <c r="L755" s="15">
        <v>1</v>
      </c>
      <c r="M755" s="15" t="s">
        <v>144</v>
      </c>
      <c r="N755" s="16">
        <v>45922</v>
      </c>
      <c r="O755" s="12" t="s">
        <v>3359</v>
      </c>
      <c r="P755" s="14" t="s">
        <v>3363</v>
      </c>
      <c r="Q755" s="17" t="s">
        <v>137</v>
      </c>
      <c r="R755" s="17" t="s">
        <v>146</v>
      </c>
    </row>
    <row r="756" spans="1:18" x14ac:dyDescent="0.3">
      <c r="A756" s="12" t="s">
        <v>307</v>
      </c>
      <c r="B756" s="12" t="s">
        <v>14</v>
      </c>
      <c r="C756" s="12"/>
      <c r="D756" s="12" t="s">
        <v>14</v>
      </c>
      <c r="E756" s="12" t="s">
        <v>3360</v>
      </c>
      <c r="F756" s="12" t="s">
        <v>467</v>
      </c>
      <c r="G756" s="12" t="s">
        <v>3361</v>
      </c>
      <c r="H756" s="12" t="s">
        <v>41</v>
      </c>
      <c r="I756" s="12" t="s">
        <v>28</v>
      </c>
      <c r="J756" s="13" t="s">
        <v>3288</v>
      </c>
      <c r="K756" s="14" t="s">
        <v>3362</v>
      </c>
      <c r="L756" s="15">
        <v>10</v>
      </c>
      <c r="M756" s="15" t="s">
        <v>144</v>
      </c>
      <c r="N756" s="16">
        <v>46275</v>
      </c>
      <c r="O756" s="12" t="s">
        <v>307</v>
      </c>
      <c r="P756" s="14" t="s">
        <v>310</v>
      </c>
      <c r="Q756" s="17" t="s">
        <v>137</v>
      </c>
      <c r="R756" s="17" t="s">
        <v>146</v>
      </c>
    </row>
    <row r="757" spans="1:18" x14ac:dyDescent="0.3">
      <c r="A757" s="12" t="s">
        <v>3364</v>
      </c>
      <c r="B757" s="12" t="s">
        <v>12</v>
      </c>
      <c r="C757" s="12"/>
      <c r="D757" s="12" t="s">
        <v>12</v>
      </c>
      <c r="E757" s="12" t="s">
        <v>3365</v>
      </c>
      <c r="F757" s="12" t="s">
        <v>3366</v>
      </c>
      <c r="G757" s="12" t="s">
        <v>3361</v>
      </c>
      <c r="H757" s="12" t="s">
        <v>41</v>
      </c>
      <c r="I757" s="12" t="s">
        <v>28</v>
      </c>
      <c r="J757" s="13" t="s">
        <v>3288</v>
      </c>
      <c r="K757" s="14" t="s">
        <v>3367</v>
      </c>
      <c r="L757" s="15">
        <v>2</v>
      </c>
      <c r="M757" s="15" t="s">
        <v>144</v>
      </c>
      <c r="N757" s="16">
        <v>45021</v>
      </c>
      <c r="O757" s="12" t="s">
        <v>3364</v>
      </c>
      <c r="P757" s="14" t="s">
        <v>3368</v>
      </c>
      <c r="Q757" s="17" t="s">
        <v>137</v>
      </c>
      <c r="R757" s="17" t="s">
        <v>146</v>
      </c>
    </row>
    <row r="758" spans="1:18" x14ac:dyDescent="0.3">
      <c r="A758" s="12" t="s">
        <v>3337</v>
      </c>
      <c r="B758" s="12" t="s">
        <v>20</v>
      </c>
      <c r="C758" s="12"/>
      <c r="D758" s="12" t="s">
        <v>193</v>
      </c>
      <c r="E758" s="12" t="s">
        <v>3369</v>
      </c>
      <c r="F758" s="12" t="s">
        <v>3370</v>
      </c>
      <c r="G758" s="12" t="s">
        <v>3371</v>
      </c>
      <c r="H758" s="12" t="s">
        <v>41</v>
      </c>
      <c r="I758" s="12" t="s">
        <v>28</v>
      </c>
      <c r="J758" s="13" t="s">
        <v>3372</v>
      </c>
      <c r="K758" s="14" t="s">
        <v>3373</v>
      </c>
      <c r="L758" s="15">
        <v>1</v>
      </c>
      <c r="M758" s="15" t="s">
        <v>144</v>
      </c>
      <c r="N758" s="16">
        <v>39512</v>
      </c>
      <c r="O758" s="12" t="s">
        <v>3337</v>
      </c>
      <c r="P758" s="14" t="s">
        <v>3374</v>
      </c>
      <c r="Q758" s="17" t="s">
        <v>137</v>
      </c>
      <c r="R758" s="17" t="s">
        <v>146</v>
      </c>
    </row>
    <row r="759" spans="1:18" x14ac:dyDescent="0.3">
      <c r="A759" s="12" t="s">
        <v>3375</v>
      </c>
      <c r="B759" s="12" t="s">
        <v>14</v>
      </c>
      <c r="C759" s="12"/>
      <c r="D759" s="12" t="s">
        <v>14</v>
      </c>
      <c r="E759" s="12" t="s">
        <v>3376</v>
      </c>
      <c r="F759" s="12"/>
      <c r="G759" s="12" t="s">
        <v>3371</v>
      </c>
      <c r="H759" s="12" t="s">
        <v>41</v>
      </c>
      <c r="I759" s="12" t="s">
        <v>28</v>
      </c>
      <c r="J759" s="13" t="s">
        <v>3372</v>
      </c>
      <c r="K759" s="14" t="s">
        <v>3377</v>
      </c>
      <c r="L759" s="15">
        <v>0</v>
      </c>
      <c r="M759" s="15" t="s">
        <v>144</v>
      </c>
      <c r="N759" s="16">
        <v>45454</v>
      </c>
      <c r="O759" s="12" t="s">
        <v>3375</v>
      </c>
      <c r="P759" s="14" t="s">
        <v>3378</v>
      </c>
      <c r="Q759" s="17" t="s">
        <v>137</v>
      </c>
      <c r="R759" s="17" t="s">
        <v>146</v>
      </c>
    </row>
    <row r="760" spans="1:18" x14ac:dyDescent="0.3">
      <c r="A760" s="12" t="s">
        <v>307</v>
      </c>
      <c r="B760" s="12" t="s">
        <v>14</v>
      </c>
      <c r="C760" s="12"/>
      <c r="D760" s="12" t="s">
        <v>14</v>
      </c>
      <c r="E760" s="12" t="s">
        <v>3379</v>
      </c>
      <c r="F760" s="12"/>
      <c r="G760" s="12" t="s">
        <v>3380</v>
      </c>
      <c r="H760" s="12" t="s">
        <v>41</v>
      </c>
      <c r="I760" s="12" t="s">
        <v>28</v>
      </c>
      <c r="J760" s="13" t="s">
        <v>3381</v>
      </c>
      <c r="K760" s="14" t="s">
        <v>3358</v>
      </c>
      <c r="L760" s="15">
        <v>2</v>
      </c>
      <c r="M760" s="15" t="s">
        <v>144</v>
      </c>
      <c r="N760" s="16">
        <v>46275</v>
      </c>
      <c r="O760" s="12" t="s">
        <v>307</v>
      </c>
      <c r="P760" s="14" t="s">
        <v>310</v>
      </c>
      <c r="Q760" s="17" t="s">
        <v>137</v>
      </c>
      <c r="R760" s="17" t="s">
        <v>146</v>
      </c>
    </row>
    <row r="761" spans="1:18" x14ac:dyDescent="0.3">
      <c r="A761" s="12" t="s">
        <v>3224</v>
      </c>
      <c r="B761" s="12" t="s">
        <v>20</v>
      </c>
      <c r="C761" s="12"/>
      <c r="D761" s="12" t="s">
        <v>193</v>
      </c>
      <c r="E761" s="12" t="s">
        <v>3382</v>
      </c>
      <c r="F761" s="12" t="s">
        <v>248</v>
      </c>
      <c r="G761" s="12" t="s">
        <v>3383</v>
      </c>
      <c r="H761" s="12" t="s">
        <v>41</v>
      </c>
      <c r="I761" s="12" t="s">
        <v>28</v>
      </c>
      <c r="J761" s="13" t="s">
        <v>3384</v>
      </c>
      <c r="K761" s="14" t="s">
        <v>3385</v>
      </c>
      <c r="L761" s="15">
        <v>0</v>
      </c>
      <c r="M761" s="15" t="s">
        <v>144</v>
      </c>
      <c r="N761" s="16">
        <v>45694</v>
      </c>
      <c r="O761" s="12" t="s">
        <v>3227</v>
      </c>
      <c r="P761" s="14" t="s">
        <v>3386</v>
      </c>
      <c r="Q761" s="17" t="s">
        <v>137</v>
      </c>
      <c r="R761" s="17" t="s">
        <v>146</v>
      </c>
    </row>
    <row r="762" spans="1:18" x14ac:dyDescent="0.3">
      <c r="A762" s="12" t="s">
        <v>3387</v>
      </c>
      <c r="B762" s="12" t="s">
        <v>12</v>
      </c>
      <c r="C762" s="12"/>
      <c r="D762" s="12" t="s">
        <v>12</v>
      </c>
      <c r="E762" s="12" t="s">
        <v>3388</v>
      </c>
      <c r="F762" s="12"/>
      <c r="G762" s="12" t="s">
        <v>3389</v>
      </c>
      <c r="H762" s="12" t="s">
        <v>95</v>
      </c>
      <c r="I762" s="12" t="s">
        <v>29</v>
      </c>
      <c r="J762" s="13" t="s">
        <v>3390</v>
      </c>
      <c r="K762" s="14" t="s">
        <v>3391</v>
      </c>
      <c r="L762" s="15">
        <v>0</v>
      </c>
      <c r="M762" s="15" t="s">
        <v>144</v>
      </c>
      <c r="N762" s="16">
        <v>46141</v>
      </c>
      <c r="O762" s="12" t="s">
        <v>3387</v>
      </c>
      <c r="P762" s="14" t="s">
        <v>3392</v>
      </c>
      <c r="Q762" s="17" t="s">
        <v>137</v>
      </c>
      <c r="R762" s="17" t="s">
        <v>146</v>
      </c>
    </row>
    <row r="763" spans="1:18" x14ac:dyDescent="0.3">
      <c r="A763" s="12" t="s">
        <v>3393</v>
      </c>
      <c r="B763" s="12" t="s">
        <v>14</v>
      </c>
      <c r="C763" s="12"/>
      <c r="D763" s="12" t="s">
        <v>14</v>
      </c>
      <c r="E763" s="12" t="s">
        <v>3394</v>
      </c>
      <c r="F763" s="12"/>
      <c r="G763" s="12" t="s">
        <v>3395</v>
      </c>
      <c r="H763" s="12" t="s">
        <v>96</v>
      </c>
      <c r="I763" s="12" t="s">
        <v>29</v>
      </c>
      <c r="J763" s="13" t="s">
        <v>3396</v>
      </c>
      <c r="K763" s="14" t="s">
        <v>3397</v>
      </c>
      <c r="L763" s="15">
        <v>0</v>
      </c>
      <c r="M763" s="15" t="s">
        <v>144</v>
      </c>
      <c r="N763" s="16">
        <v>46132</v>
      </c>
      <c r="O763" s="12" t="s">
        <v>3393</v>
      </c>
      <c r="P763" s="14" t="s">
        <v>3398</v>
      </c>
      <c r="Q763" s="17" t="s">
        <v>137</v>
      </c>
      <c r="R763" s="17" t="s">
        <v>146</v>
      </c>
    </row>
    <row r="764" spans="1:18" x14ac:dyDescent="0.3">
      <c r="A764" s="12" t="s">
        <v>3399</v>
      </c>
      <c r="B764" s="12" t="s">
        <v>12</v>
      </c>
      <c r="C764" s="12" t="s">
        <v>14</v>
      </c>
      <c r="D764" s="12" t="s">
        <v>180</v>
      </c>
      <c r="E764" s="12" t="s">
        <v>3400</v>
      </c>
      <c r="F764" s="12"/>
      <c r="G764" s="12" t="s">
        <v>3401</v>
      </c>
      <c r="H764" s="12" t="s">
        <v>70</v>
      </c>
      <c r="I764" s="12" t="s">
        <v>29</v>
      </c>
      <c r="J764" s="13" t="s">
        <v>3402</v>
      </c>
      <c r="K764" s="14" t="s">
        <v>3403</v>
      </c>
      <c r="L764" s="15">
        <v>4</v>
      </c>
      <c r="M764" s="15" t="s">
        <v>144</v>
      </c>
      <c r="N764" s="16">
        <v>45911</v>
      </c>
      <c r="O764" s="12" t="s">
        <v>3044</v>
      </c>
      <c r="P764" s="14" t="s">
        <v>3404</v>
      </c>
      <c r="Q764" s="17" t="s">
        <v>137</v>
      </c>
      <c r="R764" s="17" t="s">
        <v>146</v>
      </c>
    </row>
    <row r="765" spans="1:18" x14ac:dyDescent="0.3">
      <c r="A765" s="12" t="s">
        <v>3405</v>
      </c>
      <c r="B765" s="12" t="s">
        <v>10</v>
      </c>
      <c r="C765" s="12"/>
      <c r="D765" s="12" t="s">
        <v>252</v>
      </c>
      <c r="E765" s="12" t="s">
        <v>3406</v>
      </c>
      <c r="F765" s="12"/>
      <c r="G765" s="12" t="s">
        <v>3401</v>
      </c>
      <c r="H765" s="12" t="s">
        <v>70</v>
      </c>
      <c r="I765" s="12" t="s">
        <v>29</v>
      </c>
      <c r="J765" s="13" t="s">
        <v>3402</v>
      </c>
      <c r="K765" s="14" t="s">
        <v>3407</v>
      </c>
      <c r="L765" s="15">
        <v>2</v>
      </c>
      <c r="M765" s="15" t="s">
        <v>144</v>
      </c>
      <c r="N765" s="16">
        <v>45544</v>
      </c>
      <c r="O765" s="12" t="s">
        <v>3405</v>
      </c>
      <c r="P765" s="14" t="s">
        <v>3408</v>
      </c>
      <c r="Q765" s="17" t="s">
        <v>137</v>
      </c>
      <c r="R765" s="17" t="s">
        <v>146</v>
      </c>
    </row>
    <row r="766" spans="1:18" x14ac:dyDescent="0.3">
      <c r="A766" s="12" t="s">
        <v>3409</v>
      </c>
      <c r="B766" s="12" t="s">
        <v>14</v>
      </c>
      <c r="C766" s="12"/>
      <c r="D766" s="12" t="s">
        <v>14</v>
      </c>
      <c r="E766" s="12" t="s">
        <v>3410</v>
      </c>
      <c r="F766" s="12"/>
      <c r="G766" s="12" t="s">
        <v>3401</v>
      </c>
      <c r="H766" s="12" t="s">
        <v>70</v>
      </c>
      <c r="I766" s="12" t="s">
        <v>29</v>
      </c>
      <c r="J766" s="13" t="s">
        <v>3402</v>
      </c>
      <c r="K766" s="14" t="s">
        <v>3411</v>
      </c>
      <c r="L766" s="15">
        <v>1</v>
      </c>
      <c r="M766" s="15" t="s">
        <v>144</v>
      </c>
      <c r="N766" s="16">
        <v>45683</v>
      </c>
      <c r="O766" s="12" t="s">
        <v>3409</v>
      </c>
      <c r="P766" s="14" t="s">
        <v>3412</v>
      </c>
      <c r="Q766" s="17" t="s">
        <v>137</v>
      </c>
      <c r="R766" s="17" t="s">
        <v>146</v>
      </c>
    </row>
    <row r="767" spans="1:18" x14ac:dyDescent="0.3">
      <c r="A767" s="12" t="s">
        <v>3413</v>
      </c>
      <c r="B767" s="12" t="s">
        <v>10</v>
      </c>
      <c r="C767" s="12" t="s">
        <v>12</v>
      </c>
      <c r="D767" s="12" t="s">
        <v>3414</v>
      </c>
      <c r="E767" s="12" t="s">
        <v>3415</v>
      </c>
      <c r="F767" s="12"/>
      <c r="G767" s="12" t="s">
        <v>3401</v>
      </c>
      <c r="H767" s="12" t="s">
        <v>70</v>
      </c>
      <c r="I767" s="12" t="s">
        <v>29</v>
      </c>
      <c r="J767" s="13" t="s">
        <v>3402</v>
      </c>
      <c r="K767" s="14" t="s">
        <v>3403</v>
      </c>
      <c r="L767" s="15">
        <v>2</v>
      </c>
      <c r="M767" s="15" t="s">
        <v>220</v>
      </c>
      <c r="N767" s="16">
        <v>46308</v>
      </c>
      <c r="O767" s="12" t="s">
        <v>3416</v>
      </c>
      <c r="P767" s="14" t="s">
        <v>3417</v>
      </c>
      <c r="Q767" s="17" t="s">
        <v>137</v>
      </c>
      <c r="R767" s="17" t="s">
        <v>146</v>
      </c>
    </row>
    <row r="768" spans="1:18" x14ac:dyDescent="0.3">
      <c r="A768" s="12" t="s">
        <v>3418</v>
      </c>
      <c r="B768" s="12" t="s">
        <v>12</v>
      </c>
      <c r="C768" s="12"/>
      <c r="D768" s="12" t="s">
        <v>12</v>
      </c>
      <c r="E768" s="12" t="s">
        <v>3419</v>
      </c>
      <c r="F768" s="12"/>
      <c r="G768" s="12" t="s">
        <v>3420</v>
      </c>
      <c r="H768" s="12" t="s">
        <v>59</v>
      </c>
      <c r="I768" s="12" t="s">
        <v>29</v>
      </c>
      <c r="J768" s="13" t="s">
        <v>3421</v>
      </c>
      <c r="K768" s="14" t="s">
        <v>3422</v>
      </c>
      <c r="L768" s="15">
        <v>2</v>
      </c>
      <c r="M768" s="15" t="s">
        <v>144</v>
      </c>
      <c r="N768" s="16">
        <v>45335</v>
      </c>
      <c r="O768" s="12" t="s">
        <v>3418</v>
      </c>
      <c r="P768" s="14" t="s">
        <v>3423</v>
      </c>
      <c r="Q768" s="17" t="s">
        <v>137</v>
      </c>
      <c r="R768" s="17" t="s">
        <v>146</v>
      </c>
    </row>
    <row r="769" spans="1:18" x14ac:dyDescent="0.3">
      <c r="A769" s="12" t="s">
        <v>3424</v>
      </c>
      <c r="B769" s="12" t="s">
        <v>12</v>
      </c>
      <c r="C769" s="12" t="s">
        <v>14</v>
      </c>
      <c r="D769" s="12" t="s">
        <v>180</v>
      </c>
      <c r="E769" s="12" t="s">
        <v>3425</v>
      </c>
      <c r="F769" s="12"/>
      <c r="G769" s="12" t="s">
        <v>3420</v>
      </c>
      <c r="H769" s="12" t="s">
        <v>59</v>
      </c>
      <c r="I769" s="12" t="s">
        <v>29</v>
      </c>
      <c r="J769" s="13" t="s">
        <v>3421</v>
      </c>
      <c r="K769" s="14" t="s">
        <v>3426</v>
      </c>
      <c r="L769" s="15">
        <v>3</v>
      </c>
      <c r="M769" s="15" t="s">
        <v>144</v>
      </c>
      <c r="N769" s="16">
        <v>46149</v>
      </c>
      <c r="O769" s="12" t="s">
        <v>3424</v>
      </c>
      <c r="P769" s="14" t="s">
        <v>3427</v>
      </c>
      <c r="Q769" s="17" t="s">
        <v>137</v>
      </c>
      <c r="R769" s="17" t="s">
        <v>146</v>
      </c>
    </row>
    <row r="770" spans="1:18" x14ac:dyDescent="0.3">
      <c r="A770" s="12" t="s">
        <v>3428</v>
      </c>
      <c r="B770" s="12" t="s">
        <v>14</v>
      </c>
      <c r="C770" s="12"/>
      <c r="D770" s="12" t="s">
        <v>14</v>
      </c>
      <c r="E770" s="12" t="s">
        <v>3429</v>
      </c>
      <c r="F770" s="12"/>
      <c r="G770" s="12" t="s">
        <v>3430</v>
      </c>
      <c r="H770" s="12" t="s">
        <v>59</v>
      </c>
      <c r="I770" s="12" t="s">
        <v>29</v>
      </c>
      <c r="J770" s="13" t="s">
        <v>3431</v>
      </c>
      <c r="K770" s="14" t="s">
        <v>3432</v>
      </c>
      <c r="L770" s="15">
        <v>3</v>
      </c>
      <c r="M770" s="15" t="s">
        <v>144</v>
      </c>
      <c r="N770" s="16">
        <v>46041</v>
      </c>
      <c r="O770" s="12" t="s">
        <v>3433</v>
      </c>
      <c r="P770" s="14" t="s">
        <v>3434</v>
      </c>
      <c r="Q770" s="17" t="s">
        <v>137</v>
      </c>
      <c r="R770" s="17" t="s">
        <v>146</v>
      </c>
    </row>
    <row r="771" spans="1:18" x14ac:dyDescent="0.3">
      <c r="A771" s="12" t="s">
        <v>3435</v>
      </c>
      <c r="B771" s="12" t="s">
        <v>12</v>
      </c>
      <c r="C771" s="12"/>
      <c r="D771" s="12" t="s">
        <v>12</v>
      </c>
      <c r="E771" s="12" t="s">
        <v>3436</v>
      </c>
      <c r="F771" s="12"/>
      <c r="G771" s="12" t="s">
        <v>3430</v>
      </c>
      <c r="H771" s="12" t="s">
        <v>59</v>
      </c>
      <c r="I771" s="12" t="s">
        <v>29</v>
      </c>
      <c r="J771" s="13" t="s">
        <v>3431</v>
      </c>
      <c r="K771" s="14" t="s">
        <v>3437</v>
      </c>
      <c r="L771" s="15">
        <v>0</v>
      </c>
      <c r="M771" s="15" t="s">
        <v>144</v>
      </c>
      <c r="N771" s="16">
        <v>46204</v>
      </c>
      <c r="O771" s="12" t="s">
        <v>3435</v>
      </c>
      <c r="P771" s="14" t="s">
        <v>3438</v>
      </c>
      <c r="Q771" s="17" t="s">
        <v>137</v>
      </c>
      <c r="R771" s="17" t="s">
        <v>146</v>
      </c>
    </row>
    <row r="772" spans="1:18" x14ac:dyDescent="0.3">
      <c r="A772" s="12" t="s">
        <v>3435</v>
      </c>
      <c r="B772" s="12" t="s">
        <v>12</v>
      </c>
      <c r="C772" s="12"/>
      <c r="D772" s="12" t="s">
        <v>12</v>
      </c>
      <c r="E772" s="12" t="s">
        <v>3439</v>
      </c>
      <c r="F772" s="12"/>
      <c r="G772" s="12" t="s">
        <v>3430</v>
      </c>
      <c r="H772" s="12" t="s">
        <v>59</v>
      </c>
      <c r="I772" s="12" t="s">
        <v>29</v>
      </c>
      <c r="J772" s="13" t="s">
        <v>3431</v>
      </c>
      <c r="K772" s="14" t="s">
        <v>3437</v>
      </c>
      <c r="L772" s="15">
        <v>0</v>
      </c>
      <c r="M772" s="15" t="s">
        <v>144</v>
      </c>
      <c r="N772" s="16">
        <v>46204</v>
      </c>
      <c r="O772" s="12" t="s">
        <v>3435</v>
      </c>
      <c r="P772" s="14" t="s">
        <v>3438</v>
      </c>
      <c r="Q772" s="17" t="s">
        <v>137</v>
      </c>
      <c r="R772" s="17" t="s">
        <v>146</v>
      </c>
    </row>
    <row r="773" spans="1:18" x14ac:dyDescent="0.3">
      <c r="A773" s="12" t="s">
        <v>3440</v>
      </c>
      <c r="B773" s="12" t="s">
        <v>14</v>
      </c>
      <c r="C773" s="12"/>
      <c r="D773" s="12" t="s">
        <v>14</v>
      </c>
      <c r="E773" s="12" t="s">
        <v>3441</v>
      </c>
      <c r="F773" s="12"/>
      <c r="G773" s="12" t="s">
        <v>3442</v>
      </c>
      <c r="H773" s="12" t="s">
        <v>59</v>
      </c>
      <c r="I773" s="12" t="s">
        <v>29</v>
      </c>
      <c r="J773" s="13" t="s">
        <v>3443</v>
      </c>
      <c r="K773" s="14" t="s">
        <v>3444</v>
      </c>
      <c r="L773" s="15">
        <v>0</v>
      </c>
      <c r="M773" s="15" t="s">
        <v>144</v>
      </c>
      <c r="N773" s="16">
        <v>45818</v>
      </c>
      <c r="O773" s="12" t="s">
        <v>3445</v>
      </c>
      <c r="P773" s="14" t="s">
        <v>3446</v>
      </c>
      <c r="Q773" s="17" t="s">
        <v>137</v>
      </c>
      <c r="R773" s="17" t="s">
        <v>146</v>
      </c>
    </row>
    <row r="774" spans="1:18" x14ac:dyDescent="0.3">
      <c r="A774" s="12" t="s">
        <v>3440</v>
      </c>
      <c r="B774" s="12" t="s">
        <v>14</v>
      </c>
      <c r="C774" s="12"/>
      <c r="D774" s="12" t="s">
        <v>14</v>
      </c>
      <c r="E774" s="12" t="s">
        <v>3447</v>
      </c>
      <c r="F774" s="12"/>
      <c r="G774" s="12" t="s">
        <v>3442</v>
      </c>
      <c r="H774" s="12" t="s">
        <v>59</v>
      </c>
      <c r="I774" s="12" t="s">
        <v>29</v>
      </c>
      <c r="J774" s="13" t="s">
        <v>3443</v>
      </c>
      <c r="K774" s="14" t="s">
        <v>3448</v>
      </c>
      <c r="L774" s="15">
        <v>0</v>
      </c>
      <c r="M774" s="15" t="s">
        <v>144</v>
      </c>
      <c r="N774" s="16">
        <v>45818</v>
      </c>
      <c r="O774" s="12" t="s">
        <v>3445</v>
      </c>
      <c r="P774" s="14" t="s">
        <v>3446</v>
      </c>
      <c r="Q774" s="17" t="s">
        <v>137</v>
      </c>
      <c r="R774" s="17" t="s">
        <v>146</v>
      </c>
    </row>
    <row r="775" spans="1:18" x14ac:dyDescent="0.3">
      <c r="A775" s="12" t="s">
        <v>3449</v>
      </c>
      <c r="B775" s="12" t="s">
        <v>12</v>
      </c>
      <c r="C775" s="12"/>
      <c r="D775" s="12" t="s">
        <v>12</v>
      </c>
      <c r="E775" s="12" t="s">
        <v>3450</v>
      </c>
      <c r="F775" s="12"/>
      <c r="G775" s="12" t="s">
        <v>87</v>
      </c>
      <c r="H775" s="12" t="s">
        <v>87</v>
      </c>
      <c r="I775" s="12" t="s">
        <v>29</v>
      </c>
      <c r="J775" s="13" t="s">
        <v>3451</v>
      </c>
      <c r="K775" s="14" t="s">
        <v>3452</v>
      </c>
      <c r="L775" s="15">
        <v>1</v>
      </c>
      <c r="M775" s="15" t="s">
        <v>144</v>
      </c>
      <c r="N775" s="16">
        <v>46286</v>
      </c>
      <c r="O775" s="12" t="s">
        <v>3453</v>
      </c>
      <c r="P775" s="14" t="s">
        <v>3454</v>
      </c>
      <c r="Q775" s="17" t="s">
        <v>137</v>
      </c>
      <c r="R775" s="17" t="s">
        <v>146</v>
      </c>
    </row>
    <row r="776" spans="1:18" x14ac:dyDescent="0.3">
      <c r="A776" s="12" t="s">
        <v>3455</v>
      </c>
      <c r="B776" s="12" t="s">
        <v>14</v>
      </c>
      <c r="C776" s="12"/>
      <c r="D776" s="12" t="s">
        <v>14</v>
      </c>
      <c r="E776" s="12" t="s">
        <v>3456</v>
      </c>
      <c r="F776" s="12"/>
      <c r="G776" s="12" t="s">
        <v>3457</v>
      </c>
      <c r="H776" s="12" t="s">
        <v>87</v>
      </c>
      <c r="I776" s="12" t="s">
        <v>29</v>
      </c>
      <c r="J776" s="13" t="s">
        <v>3458</v>
      </c>
      <c r="K776" s="14" t="s">
        <v>3459</v>
      </c>
      <c r="L776" s="15">
        <v>1</v>
      </c>
      <c r="M776" s="15" t="s">
        <v>144</v>
      </c>
      <c r="N776" s="16">
        <v>44998</v>
      </c>
      <c r="O776" s="12" t="s">
        <v>3460</v>
      </c>
      <c r="P776" s="14" t="s">
        <v>3461</v>
      </c>
      <c r="Q776" s="17" t="s">
        <v>137</v>
      </c>
      <c r="R776" s="17" t="s">
        <v>146</v>
      </c>
    </row>
    <row r="777" spans="1:18" x14ac:dyDescent="0.3">
      <c r="A777" s="12" t="s">
        <v>3462</v>
      </c>
      <c r="B777" s="12" t="s">
        <v>14</v>
      </c>
      <c r="C777" s="12"/>
      <c r="D777" s="12" t="s">
        <v>14</v>
      </c>
      <c r="E777" s="12" t="s">
        <v>3463</v>
      </c>
      <c r="F777" s="12"/>
      <c r="G777" s="12" t="s">
        <v>3464</v>
      </c>
      <c r="H777" s="12" t="s">
        <v>53</v>
      </c>
      <c r="I777" s="12" t="s">
        <v>30</v>
      </c>
      <c r="J777" s="13" t="s">
        <v>3465</v>
      </c>
      <c r="K777" s="14" t="s">
        <v>3466</v>
      </c>
      <c r="L777" s="15">
        <v>2</v>
      </c>
      <c r="M777" s="15" t="s">
        <v>144</v>
      </c>
      <c r="N777" s="16">
        <v>46189</v>
      </c>
      <c r="O777" s="12" t="s">
        <v>3462</v>
      </c>
      <c r="P777" s="14" t="s">
        <v>3467</v>
      </c>
      <c r="Q777" s="17" t="s">
        <v>137</v>
      </c>
      <c r="R777" s="17" t="s">
        <v>146</v>
      </c>
    </row>
    <row r="778" spans="1:18" x14ac:dyDescent="0.3">
      <c r="A778" s="12" t="s">
        <v>3468</v>
      </c>
      <c r="B778" s="12" t="s">
        <v>12</v>
      </c>
      <c r="C778" s="12"/>
      <c r="D778" s="12" t="s">
        <v>12</v>
      </c>
      <c r="E778" s="12" t="s">
        <v>3469</v>
      </c>
      <c r="F778" s="12"/>
      <c r="G778" s="12" t="s">
        <v>3464</v>
      </c>
      <c r="H778" s="12" t="s">
        <v>53</v>
      </c>
      <c r="I778" s="12" t="s">
        <v>30</v>
      </c>
      <c r="J778" s="13" t="s">
        <v>3465</v>
      </c>
      <c r="K778" s="14" t="s">
        <v>3470</v>
      </c>
      <c r="L778" s="15">
        <v>1</v>
      </c>
      <c r="M778" s="15" t="s">
        <v>144</v>
      </c>
      <c r="N778" s="16">
        <v>45002</v>
      </c>
      <c r="O778" s="12" t="s">
        <v>3468</v>
      </c>
      <c r="P778" s="14" t="s">
        <v>3471</v>
      </c>
      <c r="Q778" s="17" t="s">
        <v>137</v>
      </c>
      <c r="R778" s="17" t="s">
        <v>146</v>
      </c>
    </row>
    <row r="779" spans="1:18" x14ac:dyDescent="0.3">
      <c r="A779" s="12" t="s">
        <v>3472</v>
      </c>
      <c r="B779" s="12" t="s">
        <v>12</v>
      </c>
      <c r="C779" s="12"/>
      <c r="D779" s="12" t="s">
        <v>12</v>
      </c>
      <c r="E779" s="12" t="s">
        <v>3473</v>
      </c>
      <c r="F779" s="12"/>
      <c r="G779" s="12" t="s">
        <v>3474</v>
      </c>
      <c r="H779" s="12" t="s">
        <v>53</v>
      </c>
      <c r="I779" s="12" t="s">
        <v>30</v>
      </c>
      <c r="J779" s="13" t="s">
        <v>3475</v>
      </c>
      <c r="K779" s="14" t="s">
        <v>3476</v>
      </c>
      <c r="L779" s="15">
        <v>1</v>
      </c>
      <c r="M779" s="15" t="s">
        <v>144</v>
      </c>
      <c r="N779" s="16">
        <v>46231</v>
      </c>
      <c r="O779" s="12" t="s">
        <v>3472</v>
      </c>
      <c r="P779" s="14" t="s">
        <v>3477</v>
      </c>
      <c r="Q779" s="17" t="s">
        <v>137</v>
      </c>
      <c r="R779" s="17" t="s">
        <v>146</v>
      </c>
    </row>
    <row r="780" spans="1:18" x14ac:dyDescent="0.3">
      <c r="A780" s="12" t="s">
        <v>3478</v>
      </c>
      <c r="B780" s="12" t="s">
        <v>14</v>
      </c>
      <c r="C780" s="12"/>
      <c r="D780" s="12" t="s">
        <v>14</v>
      </c>
      <c r="E780" s="12" t="s">
        <v>3479</v>
      </c>
      <c r="F780" s="12" t="s">
        <v>3480</v>
      </c>
      <c r="G780" s="12" t="s">
        <v>3474</v>
      </c>
      <c r="H780" s="12" t="s">
        <v>53</v>
      </c>
      <c r="I780" s="12" t="s">
        <v>30</v>
      </c>
      <c r="J780" s="13" t="s">
        <v>3475</v>
      </c>
      <c r="K780" s="14" t="s">
        <v>3481</v>
      </c>
      <c r="L780" s="15">
        <v>0</v>
      </c>
      <c r="M780" s="15" t="s">
        <v>144</v>
      </c>
      <c r="N780" s="16">
        <v>46009</v>
      </c>
      <c r="O780" s="12" t="s">
        <v>3478</v>
      </c>
      <c r="P780" s="14" t="s">
        <v>3482</v>
      </c>
      <c r="Q780" s="17" t="s">
        <v>137</v>
      </c>
      <c r="R780" s="17" t="s">
        <v>146</v>
      </c>
    </row>
    <row r="781" spans="1:18" x14ac:dyDescent="0.3">
      <c r="A781" s="12" t="s">
        <v>3483</v>
      </c>
      <c r="B781" s="12" t="s">
        <v>12</v>
      </c>
      <c r="C781" s="12" t="s">
        <v>14</v>
      </c>
      <c r="D781" s="12" t="s">
        <v>180</v>
      </c>
      <c r="E781" s="12" t="s">
        <v>3484</v>
      </c>
      <c r="F781" s="12" t="s">
        <v>3485</v>
      </c>
      <c r="G781" s="12" t="s">
        <v>3474</v>
      </c>
      <c r="H781" s="12" t="s">
        <v>53</v>
      </c>
      <c r="I781" s="12" t="s">
        <v>30</v>
      </c>
      <c r="J781" s="13" t="s">
        <v>3475</v>
      </c>
      <c r="K781" s="14" t="s">
        <v>3486</v>
      </c>
      <c r="L781" s="15">
        <v>4</v>
      </c>
      <c r="M781" s="15" t="s">
        <v>144</v>
      </c>
      <c r="N781" s="16">
        <v>46092</v>
      </c>
      <c r="O781" s="12" t="s">
        <v>3487</v>
      </c>
      <c r="P781" s="14" t="s">
        <v>3488</v>
      </c>
      <c r="Q781" s="17" t="s">
        <v>137</v>
      </c>
      <c r="R781" s="17" t="s">
        <v>146</v>
      </c>
    </row>
    <row r="782" spans="1:18" x14ac:dyDescent="0.3">
      <c r="A782" s="12" t="s">
        <v>3489</v>
      </c>
      <c r="B782" s="12" t="s">
        <v>12</v>
      </c>
      <c r="C782" s="12"/>
      <c r="D782" s="12" t="s">
        <v>12</v>
      </c>
      <c r="E782" s="12" t="s">
        <v>3473</v>
      </c>
      <c r="F782" s="12"/>
      <c r="G782" s="12" t="s">
        <v>3474</v>
      </c>
      <c r="H782" s="12" t="s">
        <v>53</v>
      </c>
      <c r="I782" s="12" t="s">
        <v>30</v>
      </c>
      <c r="J782" s="13" t="s">
        <v>3475</v>
      </c>
      <c r="K782" s="14" t="s">
        <v>3490</v>
      </c>
      <c r="L782" s="15">
        <v>1</v>
      </c>
      <c r="M782" s="15" t="s">
        <v>144</v>
      </c>
      <c r="N782" s="16">
        <v>45966</v>
      </c>
      <c r="O782" s="12" t="s">
        <v>3489</v>
      </c>
      <c r="P782" s="14" t="s">
        <v>3491</v>
      </c>
      <c r="Q782" s="17" t="s">
        <v>137</v>
      </c>
      <c r="R782" s="17" t="s">
        <v>146</v>
      </c>
    </row>
    <row r="783" spans="1:18" x14ac:dyDescent="0.3">
      <c r="A783" s="12" t="s">
        <v>3492</v>
      </c>
      <c r="B783" s="12" t="s">
        <v>14</v>
      </c>
      <c r="C783" s="12"/>
      <c r="D783" s="12" t="s">
        <v>14</v>
      </c>
      <c r="E783" s="12" t="s">
        <v>3493</v>
      </c>
      <c r="F783" s="12" t="s">
        <v>3485</v>
      </c>
      <c r="G783" s="12" t="s">
        <v>3474</v>
      </c>
      <c r="H783" s="12" t="s">
        <v>53</v>
      </c>
      <c r="I783" s="12" t="s">
        <v>30</v>
      </c>
      <c r="J783" s="13" t="s">
        <v>3475</v>
      </c>
      <c r="K783" s="14" t="s">
        <v>3494</v>
      </c>
      <c r="L783" s="15">
        <v>1</v>
      </c>
      <c r="M783" s="15" t="s">
        <v>144</v>
      </c>
      <c r="N783" s="16">
        <v>46255</v>
      </c>
      <c r="O783" s="12" t="s">
        <v>3495</v>
      </c>
      <c r="P783" s="14" t="s">
        <v>3496</v>
      </c>
      <c r="Q783" s="17" t="s">
        <v>137</v>
      </c>
      <c r="R783" s="17" t="s">
        <v>146</v>
      </c>
    </row>
    <row r="784" spans="1:18" x14ac:dyDescent="0.3">
      <c r="A784" s="12" t="s">
        <v>3492</v>
      </c>
      <c r="B784" s="12" t="s">
        <v>14</v>
      </c>
      <c r="C784" s="12"/>
      <c r="D784" s="12" t="s">
        <v>14</v>
      </c>
      <c r="E784" s="12" t="s">
        <v>3497</v>
      </c>
      <c r="F784" s="12"/>
      <c r="G784" s="12" t="s">
        <v>3474</v>
      </c>
      <c r="H784" s="12" t="s">
        <v>53</v>
      </c>
      <c r="I784" s="12" t="s">
        <v>30</v>
      </c>
      <c r="J784" s="13" t="s">
        <v>3475</v>
      </c>
      <c r="K784" s="14" t="s">
        <v>3486</v>
      </c>
      <c r="L784" s="15">
        <v>0</v>
      </c>
      <c r="M784" s="15" t="s">
        <v>144</v>
      </c>
      <c r="N784" s="16">
        <v>46255</v>
      </c>
      <c r="O784" s="12" t="s">
        <v>3495</v>
      </c>
      <c r="P784" s="14" t="s">
        <v>3496</v>
      </c>
      <c r="Q784" s="17" t="s">
        <v>137</v>
      </c>
      <c r="R784" s="17" t="s">
        <v>146</v>
      </c>
    </row>
    <row r="785" spans="1:18" x14ac:dyDescent="0.3">
      <c r="A785" s="12" t="s">
        <v>3498</v>
      </c>
      <c r="B785" s="12" t="s">
        <v>14</v>
      </c>
      <c r="C785" s="12"/>
      <c r="D785" s="12" t="s">
        <v>14</v>
      </c>
      <c r="E785" s="12" t="s">
        <v>3499</v>
      </c>
      <c r="F785" s="12"/>
      <c r="G785" s="12" t="s">
        <v>3474</v>
      </c>
      <c r="H785" s="12" t="s">
        <v>53</v>
      </c>
      <c r="I785" s="12" t="s">
        <v>30</v>
      </c>
      <c r="J785" s="13" t="s">
        <v>3475</v>
      </c>
      <c r="K785" s="14" t="s">
        <v>3500</v>
      </c>
      <c r="L785" s="15">
        <v>0</v>
      </c>
      <c r="M785" s="15" t="s">
        <v>144</v>
      </c>
      <c r="N785" s="16">
        <v>45898</v>
      </c>
      <c r="O785" s="12" t="s">
        <v>3501</v>
      </c>
      <c r="P785" s="14" t="s">
        <v>3502</v>
      </c>
      <c r="Q785" s="17" t="s">
        <v>137</v>
      </c>
      <c r="R785" s="17" t="s">
        <v>146</v>
      </c>
    </row>
    <row r="786" spans="1:18" x14ac:dyDescent="0.3">
      <c r="A786" s="12" t="s">
        <v>3503</v>
      </c>
      <c r="B786" s="12" t="s">
        <v>12</v>
      </c>
      <c r="C786" s="12"/>
      <c r="D786" s="12" t="s">
        <v>12</v>
      </c>
      <c r="E786" s="12" t="s">
        <v>3504</v>
      </c>
      <c r="F786" s="12" t="s">
        <v>1698</v>
      </c>
      <c r="G786" s="12" t="s">
        <v>3505</v>
      </c>
      <c r="H786" s="12" t="s">
        <v>45</v>
      </c>
      <c r="I786" s="12" t="s">
        <v>30</v>
      </c>
      <c r="J786" s="13" t="s">
        <v>2944</v>
      </c>
      <c r="K786" s="14" t="s">
        <v>3506</v>
      </c>
      <c r="L786" s="15">
        <v>3</v>
      </c>
      <c r="M786" s="15" t="s">
        <v>144</v>
      </c>
      <c r="N786" s="16">
        <v>45796</v>
      </c>
      <c r="O786" s="12" t="s">
        <v>3503</v>
      </c>
      <c r="P786" s="14" t="s">
        <v>3507</v>
      </c>
      <c r="Q786" s="17" t="s">
        <v>137</v>
      </c>
      <c r="R786" s="17" t="s">
        <v>146</v>
      </c>
    </row>
    <row r="787" spans="1:18" x14ac:dyDescent="0.3">
      <c r="A787" s="12" t="s">
        <v>3508</v>
      </c>
      <c r="B787" s="12" t="s">
        <v>14</v>
      </c>
      <c r="C787" s="12"/>
      <c r="D787" s="12" t="s">
        <v>14</v>
      </c>
      <c r="E787" s="12" t="s">
        <v>3509</v>
      </c>
      <c r="F787" s="12" t="s">
        <v>447</v>
      </c>
      <c r="G787" s="12" t="s">
        <v>3505</v>
      </c>
      <c r="H787" s="12" t="s">
        <v>45</v>
      </c>
      <c r="I787" s="12" t="s">
        <v>30</v>
      </c>
      <c r="J787" s="13" t="s">
        <v>2944</v>
      </c>
      <c r="K787" s="14" t="s">
        <v>3510</v>
      </c>
      <c r="L787" s="15">
        <v>1</v>
      </c>
      <c r="M787" s="15" t="s">
        <v>144</v>
      </c>
      <c r="N787" s="16">
        <v>45891</v>
      </c>
      <c r="O787" s="12" t="s">
        <v>3508</v>
      </c>
      <c r="P787" s="14" t="s">
        <v>3511</v>
      </c>
      <c r="Q787" s="17" t="s">
        <v>137</v>
      </c>
      <c r="R787" s="17" t="s">
        <v>146</v>
      </c>
    </row>
    <row r="788" spans="1:18" x14ac:dyDescent="0.3">
      <c r="A788" s="12" t="s">
        <v>3512</v>
      </c>
      <c r="B788" s="12" t="s">
        <v>14</v>
      </c>
      <c r="C788" s="12"/>
      <c r="D788" s="12" t="s">
        <v>14</v>
      </c>
      <c r="E788" s="12" t="s">
        <v>3513</v>
      </c>
      <c r="F788" s="12"/>
      <c r="G788" s="12" t="s">
        <v>3505</v>
      </c>
      <c r="H788" s="12" t="s">
        <v>45</v>
      </c>
      <c r="I788" s="12" t="s">
        <v>30</v>
      </c>
      <c r="J788" s="13" t="s">
        <v>2944</v>
      </c>
      <c r="K788" s="14" t="s">
        <v>3514</v>
      </c>
      <c r="L788" s="15">
        <v>13</v>
      </c>
      <c r="M788" s="15" t="s">
        <v>144</v>
      </c>
      <c r="N788" s="16">
        <v>45937</v>
      </c>
      <c r="O788" s="12" t="s">
        <v>3512</v>
      </c>
      <c r="P788" s="14" t="s">
        <v>3515</v>
      </c>
      <c r="Q788" s="17" t="s">
        <v>137</v>
      </c>
      <c r="R788" s="17" t="s">
        <v>146</v>
      </c>
    </row>
    <row r="789" spans="1:18" x14ac:dyDescent="0.3">
      <c r="A789" s="12" t="s">
        <v>3516</v>
      </c>
      <c r="B789" s="12" t="s">
        <v>14</v>
      </c>
      <c r="C789" s="12"/>
      <c r="D789" s="12" t="s">
        <v>14</v>
      </c>
      <c r="E789" s="12" t="s">
        <v>3517</v>
      </c>
      <c r="F789" s="12"/>
      <c r="G789" s="12" t="s">
        <v>3505</v>
      </c>
      <c r="H789" s="12" t="s">
        <v>45</v>
      </c>
      <c r="I789" s="12" t="s">
        <v>30</v>
      </c>
      <c r="J789" s="13" t="s">
        <v>2944</v>
      </c>
      <c r="K789" s="14" t="s">
        <v>3518</v>
      </c>
      <c r="L789" s="15">
        <v>5</v>
      </c>
      <c r="M789" s="15" t="s">
        <v>144</v>
      </c>
      <c r="N789" s="16">
        <v>44680</v>
      </c>
      <c r="O789" s="12" t="s">
        <v>3516</v>
      </c>
      <c r="P789" s="14" t="s">
        <v>3519</v>
      </c>
      <c r="Q789" s="17" t="s">
        <v>137</v>
      </c>
      <c r="R789" s="17" t="s">
        <v>146</v>
      </c>
    </row>
    <row r="790" spans="1:18" x14ac:dyDescent="0.3">
      <c r="A790" s="12" t="s">
        <v>2942</v>
      </c>
      <c r="B790" s="12" t="s">
        <v>10</v>
      </c>
      <c r="C790" s="12"/>
      <c r="D790" s="12" t="s">
        <v>157</v>
      </c>
      <c r="E790" s="12" t="s">
        <v>3520</v>
      </c>
      <c r="F790" s="12"/>
      <c r="G790" s="12" t="s">
        <v>3505</v>
      </c>
      <c r="H790" s="12" t="s">
        <v>45</v>
      </c>
      <c r="I790" s="12" t="s">
        <v>30</v>
      </c>
      <c r="J790" s="13" t="s">
        <v>2944</v>
      </c>
      <c r="K790" s="14" t="s">
        <v>3521</v>
      </c>
      <c r="L790" s="15">
        <v>2</v>
      </c>
      <c r="M790" s="15" t="s">
        <v>144</v>
      </c>
      <c r="N790" s="16">
        <v>46065</v>
      </c>
      <c r="O790" s="12" t="s">
        <v>2942</v>
      </c>
      <c r="P790" s="14" t="s">
        <v>3522</v>
      </c>
      <c r="Q790" s="17" t="s">
        <v>137</v>
      </c>
      <c r="R790" s="17" t="s">
        <v>146</v>
      </c>
    </row>
    <row r="791" spans="1:18" x14ac:dyDescent="0.3">
      <c r="A791" s="12" t="s">
        <v>3523</v>
      </c>
      <c r="B791" s="12" t="s">
        <v>10</v>
      </c>
      <c r="C791" s="12"/>
      <c r="D791" s="12" t="s">
        <v>3524</v>
      </c>
      <c r="E791" s="12" t="s">
        <v>3513</v>
      </c>
      <c r="F791" s="12" t="s">
        <v>516</v>
      </c>
      <c r="G791" s="12" t="s">
        <v>3505</v>
      </c>
      <c r="H791" s="12" t="s">
        <v>45</v>
      </c>
      <c r="I791" s="12" t="s">
        <v>30</v>
      </c>
      <c r="J791" s="13" t="s">
        <v>2944</v>
      </c>
      <c r="K791" s="14" t="s">
        <v>3525</v>
      </c>
      <c r="L791" s="15">
        <v>14</v>
      </c>
      <c r="M791" s="15" t="s">
        <v>220</v>
      </c>
      <c r="N791" s="16">
        <v>45937</v>
      </c>
      <c r="O791" s="12" t="s">
        <v>3512</v>
      </c>
      <c r="P791" s="14" t="s">
        <v>3526</v>
      </c>
      <c r="Q791" s="17" t="s">
        <v>137</v>
      </c>
      <c r="R791" s="17" t="s">
        <v>146</v>
      </c>
    </row>
    <row r="792" spans="1:18" x14ac:dyDescent="0.3">
      <c r="A792" s="12" t="s">
        <v>587</v>
      </c>
      <c r="B792" s="12" t="s">
        <v>10</v>
      </c>
      <c r="C792" s="12"/>
      <c r="D792" s="12" t="s">
        <v>588</v>
      </c>
      <c r="E792" s="12" t="s">
        <v>3527</v>
      </c>
      <c r="F792" s="12"/>
      <c r="G792" s="12" t="s">
        <v>3505</v>
      </c>
      <c r="H792" s="12" t="s">
        <v>45</v>
      </c>
      <c r="I792" s="12" t="s">
        <v>30</v>
      </c>
      <c r="J792" s="13" t="s">
        <v>2944</v>
      </c>
      <c r="K792" s="14" t="s">
        <v>3528</v>
      </c>
      <c r="L792" s="15">
        <v>1</v>
      </c>
      <c r="M792" s="15" t="s">
        <v>144</v>
      </c>
      <c r="N792" s="16">
        <v>45176</v>
      </c>
      <c r="O792" s="12" t="s">
        <v>591</v>
      </c>
      <c r="P792" s="14" t="s">
        <v>592</v>
      </c>
      <c r="Q792" s="17" t="s">
        <v>137</v>
      </c>
      <c r="R792" s="17" t="s">
        <v>146</v>
      </c>
    </row>
    <row r="793" spans="1:18" x14ac:dyDescent="0.3">
      <c r="A793" s="12" t="s">
        <v>3529</v>
      </c>
      <c r="B793" s="12" t="s">
        <v>12</v>
      </c>
      <c r="C793" s="12"/>
      <c r="D793" s="12" t="s">
        <v>12</v>
      </c>
      <c r="E793" s="12" t="s">
        <v>3530</v>
      </c>
      <c r="F793" s="12" t="s">
        <v>164</v>
      </c>
      <c r="G793" s="12" t="s">
        <v>3505</v>
      </c>
      <c r="H793" s="12" t="s">
        <v>45</v>
      </c>
      <c r="I793" s="12" t="s">
        <v>30</v>
      </c>
      <c r="J793" s="13" t="s">
        <v>2944</v>
      </c>
      <c r="K793" s="14" t="s">
        <v>3531</v>
      </c>
      <c r="L793" s="15">
        <v>1</v>
      </c>
      <c r="M793" s="15" t="s">
        <v>144</v>
      </c>
      <c r="N793" s="16">
        <v>44581</v>
      </c>
      <c r="O793" s="12" t="s">
        <v>3529</v>
      </c>
      <c r="P793" s="14" t="s">
        <v>3532</v>
      </c>
      <c r="Q793" s="17" t="s">
        <v>137</v>
      </c>
      <c r="R793" s="17" t="s">
        <v>146</v>
      </c>
    </row>
    <row r="794" spans="1:18" x14ac:dyDescent="0.3">
      <c r="A794" s="12" t="s">
        <v>3533</v>
      </c>
      <c r="B794" s="12" t="s">
        <v>12</v>
      </c>
      <c r="C794" s="12"/>
      <c r="D794" s="12" t="s">
        <v>12</v>
      </c>
      <c r="E794" s="12" t="s">
        <v>3534</v>
      </c>
      <c r="F794" s="12" t="s">
        <v>188</v>
      </c>
      <c r="G794" s="12" t="s">
        <v>3505</v>
      </c>
      <c r="H794" s="12" t="s">
        <v>45</v>
      </c>
      <c r="I794" s="12" t="s">
        <v>30</v>
      </c>
      <c r="J794" s="13" t="s">
        <v>2944</v>
      </c>
      <c r="K794" s="14" t="s">
        <v>3535</v>
      </c>
      <c r="L794" s="15">
        <v>0</v>
      </c>
      <c r="M794" s="15" t="s">
        <v>144</v>
      </c>
      <c r="N794" s="16">
        <v>44763</v>
      </c>
      <c r="O794" s="12" t="s">
        <v>3536</v>
      </c>
      <c r="P794" s="14" t="s">
        <v>3537</v>
      </c>
      <c r="Q794" s="17" t="s">
        <v>137</v>
      </c>
      <c r="R794" s="17" t="s">
        <v>146</v>
      </c>
    </row>
    <row r="795" spans="1:18" x14ac:dyDescent="0.3">
      <c r="A795" s="12" t="s">
        <v>3538</v>
      </c>
      <c r="B795" s="12" t="s">
        <v>16</v>
      </c>
      <c r="C795" s="12"/>
      <c r="D795" s="12" t="s">
        <v>471</v>
      </c>
      <c r="E795" s="12" t="s">
        <v>3513</v>
      </c>
      <c r="F795" s="12"/>
      <c r="G795" s="12" t="s">
        <v>3505</v>
      </c>
      <c r="H795" s="12" t="s">
        <v>45</v>
      </c>
      <c r="I795" s="12" t="s">
        <v>30</v>
      </c>
      <c r="J795" s="13" t="s">
        <v>2944</v>
      </c>
      <c r="K795" s="14" t="s">
        <v>3539</v>
      </c>
      <c r="L795" s="15">
        <v>2</v>
      </c>
      <c r="M795" s="15" t="s">
        <v>144</v>
      </c>
      <c r="N795" s="16">
        <v>46106</v>
      </c>
      <c r="O795" s="12" t="s">
        <v>3538</v>
      </c>
      <c r="P795" s="14" t="s">
        <v>3540</v>
      </c>
      <c r="Q795" s="17" t="s">
        <v>137</v>
      </c>
      <c r="R795" s="17" t="s">
        <v>146</v>
      </c>
    </row>
    <row r="796" spans="1:18" x14ac:dyDescent="0.3">
      <c r="A796" s="12" t="s">
        <v>3541</v>
      </c>
      <c r="B796" s="12" t="s">
        <v>10</v>
      </c>
      <c r="C796" s="12"/>
      <c r="D796" s="12" t="s">
        <v>230</v>
      </c>
      <c r="E796" s="12" t="s">
        <v>3513</v>
      </c>
      <c r="F796" s="12"/>
      <c r="G796" s="12" t="s">
        <v>3505</v>
      </c>
      <c r="H796" s="12" t="s">
        <v>45</v>
      </c>
      <c r="I796" s="12" t="s">
        <v>30</v>
      </c>
      <c r="J796" s="13" t="s">
        <v>2944</v>
      </c>
      <c r="K796" s="14" t="s">
        <v>3539</v>
      </c>
      <c r="L796" s="15">
        <v>1</v>
      </c>
      <c r="M796" s="15" t="s">
        <v>144</v>
      </c>
      <c r="N796" s="16">
        <v>46106</v>
      </c>
      <c r="O796" s="12" t="s">
        <v>3542</v>
      </c>
      <c r="P796" s="14" t="s">
        <v>3543</v>
      </c>
      <c r="Q796" s="17" t="s">
        <v>137</v>
      </c>
      <c r="R796" s="17" t="s">
        <v>146</v>
      </c>
    </row>
    <row r="797" spans="1:18" x14ac:dyDescent="0.3">
      <c r="A797" s="12" t="s">
        <v>3544</v>
      </c>
      <c r="B797" s="12" t="s">
        <v>14</v>
      </c>
      <c r="C797" s="12"/>
      <c r="D797" s="12" t="s">
        <v>14</v>
      </c>
      <c r="E797" s="12" t="s">
        <v>3545</v>
      </c>
      <c r="F797" s="12" t="s">
        <v>1256</v>
      </c>
      <c r="G797" s="12" t="s">
        <v>3505</v>
      </c>
      <c r="H797" s="12" t="s">
        <v>45</v>
      </c>
      <c r="I797" s="12" t="s">
        <v>30</v>
      </c>
      <c r="J797" s="13" t="s">
        <v>2944</v>
      </c>
      <c r="K797" s="14" t="s">
        <v>3546</v>
      </c>
      <c r="L797" s="15">
        <v>0</v>
      </c>
      <c r="M797" s="15" t="s">
        <v>144</v>
      </c>
      <c r="N797" s="16">
        <v>45124</v>
      </c>
      <c r="O797" s="12" t="s">
        <v>3547</v>
      </c>
      <c r="P797" s="14" t="s">
        <v>3548</v>
      </c>
      <c r="Q797" s="17" t="s">
        <v>137</v>
      </c>
      <c r="R797" s="17" t="s">
        <v>146</v>
      </c>
    </row>
    <row r="798" spans="1:18" x14ac:dyDescent="0.3">
      <c r="A798" s="12" t="s">
        <v>3549</v>
      </c>
      <c r="B798" s="12" t="s">
        <v>20</v>
      </c>
      <c r="C798" s="12"/>
      <c r="D798" s="12" t="s">
        <v>193</v>
      </c>
      <c r="E798" s="12" t="s">
        <v>3550</v>
      </c>
      <c r="F798" s="12"/>
      <c r="G798" s="12" t="s">
        <v>3505</v>
      </c>
      <c r="H798" s="12" t="s">
        <v>45</v>
      </c>
      <c r="I798" s="12" t="s">
        <v>30</v>
      </c>
      <c r="J798" s="13" t="s">
        <v>2944</v>
      </c>
      <c r="K798" s="14" t="s">
        <v>3551</v>
      </c>
      <c r="L798" s="15">
        <v>1</v>
      </c>
      <c r="M798" s="15" t="s">
        <v>144</v>
      </c>
      <c r="N798" s="16">
        <v>44998</v>
      </c>
      <c r="O798" s="12" t="s">
        <v>3549</v>
      </c>
      <c r="P798" s="14" t="s">
        <v>3552</v>
      </c>
      <c r="Q798" s="17" t="s">
        <v>137</v>
      </c>
      <c r="R798" s="17" t="s">
        <v>146</v>
      </c>
    </row>
    <row r="799" spans="1:18" x14ac:dyDescent="0.3">
      <c r="A799" s="12" t="s">
        <v>3553</v>
      </c>
      <c r="B799" s="12" t="s">
        <v>12</v>
      </c>
      <c r="C799" s="12"/>
      <c r="D799" s="12" t="s">
        <v>12</v>
      </c>
      <c r="E799" s="12" t="s">
        <v>3554</v>
      </c>
      <c r="F799" s="12" t="s">
        <v>3555</v>
      </c>
      <c r="G799" s="12" t="s">
        <v>3505</v>
      </c>
      <c r="H799" s="12" t="s">
        <v>45</v>
      </c>
      <c r="I799" s="12" t="s">
        <v>30</v>
      </c>
      <c r="J799" s="13" t="s">
        <v>2944</v>
      </c>
      <c r="K799" s="14" t="s">
        <v>3556</v>
      </c>
      <c r="L799" s="15">
        <v>1</v>
      </c>
      <c r="M799" s="15" t="s">
        <v>144</v>
      </c>
      <c r="N799" s="16">
        <v>45335</v>
      </c>
      <c r="O799" s="12" t="s">
        <v>3553</v>
      </c>
      <c r="P799" s="14" t="s">
        <v>3557</v>
      </c>
      <c r="Q799" s="17" t="s">
        <v>137</v>
      </c>
      <c r="R799" s="17" t="s">
        <v>146</v>
      </c>
    </row>
    <row r="800" spans="1:18" x14ac:dyDescent="0.3">
      <c r="A800" s="12" t="s">
        <v>591</v>
      </c>
      <c r="B800" s="12" t="s">
        <v>10</v>
      </c>
      <c r="C800" s="12"/>
      <c r="D800" s="12" t="s">
        <v>650</v>
      </c>
      <c r="E800" s="12" t="s">
        <v>3558</v>
      </c>
      <c r="F800" s="12"/>
      <c r="G800" s="12" t="s">
        <v>3505</v>
      </c>
      <c r="H800" s="12" t="s">
        <v>45</v>
      </c>
      <c r="I800" s="12" t="s">
        <v>30</v>
      </c>
      <c r="J800" s="13" t="s">
        <v>2944</v>
      </c>
      <c r="K800" s="14" t="s">
        <v>590</v>
      </c>
      <c r="L800" s="15">
        <v>2</v>
      </c>
      <c r="M800" s="15" t="s">
        <v>144</v>
      </c>
      <c r="N800" s="16">
        <v>46087</v>
      </c>
      <c r="O800" s="12" t="s">
        <v>591</v>
      </c>
      <c r="P800" s="14" t="s">
        <v>651</v>
      </c>
      <c r="Q800" s="17" t="s">
        <v>137</v>
      </c>
      <c r="R800" s="17" t="s">
        <v>146</v>
      </c>
    </row>
    <row r="801" spans="1:18" x14ac:dyDescent="0.3">
      <c r="A801" s="12" t="s">
        <v>3559</v>
      </c>
      <c r="B801" s="12" t="s">
        <v>14</v>
      </c>
      <c r="C801" s="12"/>
      <c r="D801" s="12" t="s">
        <v>14</v>
      </c>
      <c r="E801" s="12" t="s">
        <v>3545</v>
      </c>
      <c r="F801" s="12"/>
      <c r="G801" s="12" t="s">
        <v>3505</v>
      </c>
      <c r="H801" s="12" t="s">
        <v>45</v>
      </c>
      <c r="I801" s="12" t="s">
        <v>30</v>
      </c>
      <c r="J801" s="13" t="s">
        <v>2944</v>
      </c>
      <c r="K801" s="14" t="s">
        <v>3560</v>
      </c>
      <c r="L801" s="15">
        <v>0</v>
      </c>
      <c r="M801" s="15" t="s">
        <v>144</v>
      </c>
      <c r="N801" s="16">
        <v>44674</v>
      </c>
      <c r="O801" s="12" t="s">
        <v>3559</v>
      </c>
      <c r="P801" s="14" t="s">
        <v>3561</v>
      </c>
      <c r="Q801" s="17" t="s">
        <v>137</v>
      </c>
      <c r="R801" s="17" t="s">
        <v>146</v>
      </c>
    </row>
    <row r="802" spans="1:18" x14ac:dyDescent="0.3">
      <c r="A802" s="12" t="s">
        <v>3562</v>
      </c>
      <c r="B802" s="12" t="s">
        <v>14</v>
      </c>
      <c r="C802" s="12"/>
      <c r="D802" s="12" t="s">
        <v>14</v>
      </c>
      <c r="E802" s="12" t="s">
        <v>3563</v>
      </c>
      <c r="F802" s="12" t="s">
        <v>467</v>
      </c>
      <c r="G802" s="12" t="s">
        <v>3505</v>
      </c>
      <c r="H802" s="12" t="s">
        <v>45</v>
      </c>
      <c r="I802" s="12" t="s">
        <v>30</v>
      </c>
      <c r="J802" s="13" t="s">
        <v>2944</v>
      </c>
      <c r="K802" s="14" t="s">
        <v>3564</v>
      </c>
      <c r="L802" s="15">
        <v>0</v>
      </c>
      <c r="M802" s="15" t="s">
        <v>144</v>
      </c>
      <c r="N802" s="16">
        <v>44761</v>
      </c>
      <c r="O802" s="12" t="s">
        <v>3562</v>
      </c>
      <c r="P802" s="14" t="s">
        <v>3565</v>
      </c>
      <c r="Q802" s="17" t="s">
        <v>137</v>
      </c>
      <c r="R802" s="17" t="s">
        <v>146</v>
      </c>
    </row>
    <row r="803" spans="1:18" x14ac:dyDescent="0.3">
      <c r="A803" s="12" t="s">
        <v>978</v>
      </c>
      <c r="B803" s="12" t="s">
        <v>14</v>
      </c>
      <c r="C803" s="12"/>
      <c r="D803" s="12" t="s">
        <v>14</v>
      </c>
      <c r="E803" s="12" t="s">
        <v>3566</v>
      </c>
      <c r="F803" s="12"/>
      <c r="G803" s="12" t="s">
        <v>3505</v>
      </c>
      <c r="H803" s="12" t="s">
        <v>45</v>
      </c>
      <c r="I803" s="12" t="s">
        <v>30</v>
      </c>
      <c r="J803" s="13" t="s">
        <v>2944</v>
      </c>
      <c r="K803" s="14" t="s">
        <v>3567</v>
      </c>
      <c r="L803" s="15">
        <v>1</v>
      </c>
      <c r="M803" s="15" t="s">
        <v>144</v>
      </c>
      <c r="N803" s="16">
        <v>44687</v>
      </c>
      <c r="O803" s="12" t="s">
        <v>978</v>
      </c>
      <c r="P803" s="14" t="s">
        <v>981</v>
      </c>
      <c r="Q803" s="17" t="s">
        <v>137</v>
      </c>
      <c r="R803" s="17" t="s">
        <v>146</v>
      </c>
    </row>
    <row r="804" spans="1:18" x14ac:dyDescent="0.3">
      <c r="A804" s="12" t="s">
        <v>3568</v>
      </c>
      <c r="B804" s="12" t="s">
        <v>12</v>
      </c>
      <c r="C804" s="12"/>
      <c r="D804" s="12" t="s">
        <v>12</v>
      </c>
      <c r="E804" s="12" t="s">
        <v>3569</v>
      </c>
      <c r="F804" s="12" t="s">
        <v>188</v>
      </c>
      <c r="G804" s="12" t="s">
        <v>3505</v>
      </c>
      <c r="H804" s="12" t="s">
        <v>45</v>
      </c>
      <c r="I804" s="12" t="s">
        <v>30</v>
      </c>
      <c r="J804" s="13" t="s">
        <v>2944</v>
      </c>
      <c r="K804" s="14" t="s">
        <v>3535</v>
      </c>
      <c r="L804" s="15">
        <v>0</v>
      </c>
      <c r="M804" s="15" t="s">
        <v>144</v>
      </c>
      <c r="N804" s="16">
        <v>44763</v>
      </c>
      <c r="O804" s="12" t="s">
        <v>3568</v>
      </c>
      <c r="P804" s="14" t="s">
        <v>3570</v>
      </c>
      <c r="Q804" s="17" t="s">
        <v>137</v>
      </c>
      <c r="R804" s="17" t="s">
        <v>146</v>
      </c>
    </row>
    <row r="805" spans="1:18" x14ac:dyDescent="0.3">
      <c r="A805" s="12" t="s">
        <v>3571</v>
      </c>
      <c r="B805" s="12" t="s">
        <v>12</v>
      </c>
      <c r="C805" s="12"/>
      <c r="D805" s="12" t="s">
        <v>12</v>
      </c>
      <c r="E805" s="12" t="s">
        <v>3572</v>
      </c>
      <c r="F805" s="12"/>
      <c r="G805" s="12" t="s">
        <v>3573</v>
      </c>
      <c r="H805" s="12" t="s">
        <v>45</v>
      </c>
      <c r="I805" s="12" t="s">
        <v>30</v>
      </c>
      <c r="J805" s="13" t="s">
        <v>3574</v>
      </c>
      <c r="K805" s="14" t="s">
        <v>3575</v>
      </c>
      <c r="L805" s="15">
        <v>0</v>
      </c>
      <c r="M805" s="15" t="s">
        <v>144</v>
      </c>
      <c r="N805" s="16">
        <v>45526</v>
      </c>
      <c r="O805" s="12" t="s">
        <v>3571</v>
      </c>
      <c r="P805" s="14" t="s">
        <v>3576</v>
      </c>
      <c r="Q805" s="17" t="s">
        <v>137</v>
      </c>
      <c r="R805" s="17" t="s">
        <v>146</v>
      </c>
    </row>
    <row r="806" spans="1:18" x14ac:dyDescent="0.3">
      <c r="A806" s="12" t="s">
        <v>3577</v>
      </c>
      <c r="B806" s="12" t="s">
        <v>14</v>
      </c>
      <c r="C806" s="12"/>
      <c r="D806" s="12" t="s">
        <v>14</v>
      </c>
      <c r="E806" s="12" t="s">
        <v>3578</v>
      </c>
      <c r="F806" s="12"/>
      <c r="G806" s="12" t="s">
        <v>3579</v>
      </c>
      <c r="H806" s="12" t="s">
        <v>48</v>
      </c>
      <c r="I806" s="12" t="s">
        <v>30</v>
      </c>
      <c r="J806" s="13" t="s">
        <v>3580</v>
      </c>
      <c r="K806" s="14" t="s">
        <v>3581</v>
      </c>
      <c r="L806" s="15">
        <v>2</v>
      </c>
      <c r="M806" s="15" t="s">
        <v>144</v>
      </c>
      <c r="N806" s="16">
        <v>45945</v>
      </c>
      <c r="O806" s="12" t="s">
        <v>3582</v>
      </c>
      <c r="P806" s="14" t="s">
        <v>3583</v>
      </c>
      <c r="Q806" s="17" t="s">
        <v>137</v>
      </c>
      <c r="R806" s="17" t="s">
        <v>146</v>
      </c>
    </row>
    <row r="807" spans="1:18" x14ac:dyDescent="0.3">
      <c r="A807" s="12" t="s">
        <v>3584</v>
      </c>
      <c r="B807" s="12" t="s">
        <v>12</v>
      </c>
      <c r="C807" s="12"/>
      <c r="D807" s="12" t="s">
        <v>12</v>
      </c>
      <c r="E807" s="12" t="s">
        <v>3585</v>
      </c>
      <c r="F807" s="12"/>
      <c r="G807" s="12" t="s">
        <v>3586</v>
      </c>
      <c r="H807" s="12" t="s">
        <v>48</v>
      </c>
      <c r="I807" s="12" t="s">
        <v>30</v>
      </c>
      <c r="J807" s="13" t="s">
        <v>3587</v>
      </c>
      <c r="K807" s="14" t="s">
        <v>3588</v>
      </c>
      <c r="L807" s="15">
        <v>1</v>
      </c>
      <c r="M807" s="15" t="s">
        <v>144</v>
      </c>
      <c r="N807" s="16">
        <v>44802</v>
      </c>
      <c r="O807" s="12" t="s">
        <v>3584</v>
      </c>
      <c r="P807" s="14" t="s">
        <v>3589</v>
      </c>
      <c r="Q807" s="17" t="s">
        <v>137</v>
      </c>
      <c r="R807" s="17" t="s">
        <v>146</v>
      </c>
    </row>
    <row r="808" spans="1:18" x14ac:dyDescent="0.3">
      <c r="A808" s="12" t="s">
        <v>3590</v>
      </c>
      <c r="B808" s="12" t="s">
        <v>12</v>
      </c>
      <c r="C808" s="12"/>
      <c r="D808" s="12" t="s">
        <v>12</v>
      </c>
      <c r="E808" s="12" t="s">
        <v>3591</v>
      </c>
      <c r="F808" s="12"/>
      <c r="G808" s="12" t="s">
        <v>3586</v>
      </c>
      <c r="H808" s="12" t="s">
        <v>48</v>
      </c>
      <c r="I808" s="12" t="s">
        <v>30</v>
      </c>
      <c r="J808" s="13" t="s">
        <v>3587</v>
      </c>
      <c r="K808" s="14" t="s">
        <v>3592</v>
      </c>
      <c r="L808" s="15">
        <v>0</v>
      </c>
      <c r="M808" s="15" t="s">
        <v>144</v>
      </c>
      <c r="N808" s="16">
        <v>44614</v>
      </c>
      <c r="O808" s="12" t="s">
        <v>3593</v>
      </c>
      <c r="P808" s="14" t="s">
        <v>3594</v>
      </c>
      <c r="Q808" s="17" t="s">
        <v>137</v>
      </c>
      <c r="R808" s="17" t="s">
        <v>146</v>
      </c>
    </row>
    <row r="809" spans="1:18" x14ac:dyDescent="0.3">
      <c r="A809" s="12" t="s">
        <v>3523</v>
      </c>
      <c r="B809" s="12" t="s">
        <v>10</v>
      </c>
      <c r="C809" s="12"/>
      <c r="D809" s="12" t="s">
        <v>3524</v>
      </c>
      <c r="E809" s="12" t="s">
        <v>3595</v>
      </c>
      <c r="F809" s="12" t="s">
        <v>389</v>
      </c>
      <c r="G809" s="12" t="s">
        <v>3586</v>
      </c>
      <c r="H809" s="12" t="s">
        <v>48</v>
      </c>
      <c r="I809" s="12" t="s">
        <v>30</v>
      </c>
      <c r="J809" s="13" t="s">
        <v>3587</v>
      </c>
      <c r="K809" s="14" t="s">
        <v>3525</v>
      </c>
      <c r="L809" s="15">
        <v>2</v>
      </c>
      <c r="M809" s="15" t="s">
        <v>144</v>
      </c>
      <c r="N809" s="16">
        <v>45937</v>
      </c>
      <c r="O809" s="12" t="s">
        <v>3512</v>
      </c>
      <c r="P809" s="14" t="s">
        <v>3526</v>
      </c>
      <c r="Q809" s="17" t="s">
        <v>137</v>
      </c>
      <c r="R809" s="17" t="s">
        <v>146</v>
      </c>
    </row>
    <row r="810" spans="1:18" x14ac:dyDescent="0.3">
      <c r="A810" s="12" t="s">
        <v>3596</v>
      </c>
      <c r="B810" s="12" t="s">
        <v>12</v>
      </c>
      <c r="C810" s="12"/>
      <c r="D810" s="12" t="s">
        <v>12</v>
      </c>
      <c r="E810" s="12" t="s">
        <v>3585</v>
      </c>
      <c r="F810" s="12"/>
      <c r="G810" s="12" t="s">
        <v>3586</v>
      </c>
      <c r="H810" s="12" t="s">
        <v>48</v>
      </c>
      <c r="I810" s="12" t="s">
        <v>30</v>
      </c>
      <c r="J810" s="13" t="s">
        <v>3587</v>
      </c>
      <c r="K810" s="14" t="s">
        <v>3588</v>
      </c>
      <c r="L810" s="15">
        <v>1</v>
      </c>
      <c r="M810" s="15" t="s">
        <v>144</v>
      </c>
      <c r="N810" s="16">
        <v>46210</v>
      </c>
      <c r="O810" s="12" t="s">
        <v>3596</v>
      </c>
      <c r="P810" s="14" t="s">
        <v>3597</v>
      </c>
      <c r="Q810" s="17" t="s">
        <v>137</v>
      </c>
      <c r="R810" s="17" t="s">
        <v>146</v>
      </c>
    </row>
    <row r="811" spans="1:18" x14ac:dyDescent="0.3">
      <c r="A811" s="12" t="s">
        <v>3598</v>
      </c>
      <c r="B811" s="12" t="s">
        <v>12</v>
      </c>
      <c r="C811" s="12"/>
      <c r="D811" s="12" t="s">
        <v>12</v>
      </c>
      <c r="E811" s="12" t="s">
        <v>3599</v>
      </c>
      <c r="F811" s="12"/>
      <c r="G811" s="12" t="s">
        <v>3586</v>
      </c>
      <c r="H811" s="12" t="s">
        <v>48</v>
      </c>
      <c r="I811" s="12" t="s">
        <v>30</v>
      </c>
      <c r="J811" s="13" t="s">
        <v>3587</v>
      </c>
      <c r="K811" s="14" t="s">
        <v>3600</v>
      </c>
      <c r="L811" s="15">
        <v>1</v>
      </c>
      <c r="M811" s="15" t="s">
        <v>144</v>
      </c>
      <c r="N811" s="16">
        <v>46218</v>
      </c>
      <c r="O811" s="12" t="s">
        <v>3598</v>
      </c>
      <c r="P811" s="14" t="s">
        <v>3601</v>
      </c>
      <c r="Q811" s="17" t="s">
        <v>137</v>
      </c>
      <c r="R811" s="17" t="s">
        <v>146</v>
      </c>
    </row>
    <row r="812" spans="1:18" x14ac:dyDescent="0.3">
      <c r="A812" s="12" t="s">
        <v>3602</v>
      </c>
      <c r="B812" s="12" t="s">
        <v>18</v>
      </c>
      <c r="C812" s="12"/>
      <c r="D812" s="12" t="s">
        <v>223</v>
      </c>
      <c r="E812" s="12" t="s">
        <v>3603</v>
      </c>
      <c r="F812" s="12"/>
      <c r="G812" s="12" t="s">
        <v>3586</v>
      </c>
      <c r="H812" s="12" t="s">
        <v>48</v>
      </c>
      <c r="I812" s="12" t="s">
        <v>30</v>
      </c>
      <c r="J812" s="13" t="s">
        <v>3587</v>
      </c>
      <c r="K812" s="14" t="s">
        <v>3604</v>
      </c>
      <c r="L812" s="15">
        <v>0</v>
      </c>
      <c r="M812" s="15" t="s">
        <v>144</v>
      </c>
      <c r="N812" s="16">
        <v>45257</v>
      </c>
      <c r="O812" s="12" t="s">
        <v>3605</v>
      </c>
      <c r="P812" s="14" t="s">
        <v>3606</v>
      </c>
      <c r="Q812" s="17" t="s">
        <v>137</v>
      </c>
      <c r="R812" s="17" t="s">
        <v>146</v>
      </c>
    </row>
    <row r="813" spans="1:18" x14ac:dyDescent="0.3">
      <c r="A813" s="12" t="s">
        <v>3549</v>
      </c>
      <c r="B813" s="12" t="s">
        <v>20</v>
      </c>
      <c r="C813" s="12"/>
      <c r="D813" s="12" t="s">
        <v>193</v>
      </c>
      <c r="E813" s="12" t="s">
        <v>3607</v>
      </c>
      <c r="F813" s="12"/>
      <c r="G813" s="12" t="s">
        <v>3586</v>
      </c>
      <c r="H813" s="12" t="s">
        <v>48</v>
      </c>
      <c r="I813" s="12" t="s">
        <v>30</v>
      </c>
      <c r="J813" s="13" t="s">
        <v>3587</v>
      </c>
      <c r="K813" s="14" t="s">
        <v>3551</v>
      </c>
      <c r="L813" s="15">
        <v>0</v>
      </c>
      <c r="M813" s="15" t="s">
        <v>144</v>
      </c>
      <c r="N813" s="16">
        <v>44998</v>
      </c>
      <c r="O813" s="12" t="s">
        <v>3549</v>
      </c>
      <c r="P813" s="14" t="s">
        <v>3552</v>
      </c>
      <c r="Q813" s="17" t="s">
        <v>137</v>
      </c>
      <c r="R813" s="17" t="s">
        <v>146</v>
      </c>
    </row>
    <row r="814" spans="1:18" x14ac:dyDescent="0.3">
      <c r="A814" s="12" t="s">
        <v>3608</v>
      </c>
      <c r="B814" s="12" t="s">
        <v>12</v>
      </c>
      <c r="C814" s="12"/>
      <c r="D814" s="12" t="s">
        <v>12</v>
      </c>
      <c r="E814" s="12" t="s">
        <v>3609</v>
      </c>
      <c r="F814" s="12"/>
      <c r="G814" s="12" t="s">
        <v>3586</v>
      </c>
      <c r="H814" s="12" t="s">
        <v>48</v>
      </c>
      <c r="I814" s="12" t="s">
        <v>30</v>
      </c>
      <c r="J814" s="13" t="s">
        <v>3587</v>
      </c>
      <c r="K814" s="14" t="s">
        <v>3610</v>
      </c>
      <c r="L814" s="15">
        <v>1</v>
      </c>
      <c r="M814" s="15" t="s">
        <v>144</v>
      </c>
      <c r="N814" s="16">
        <v>45699</v>
      </c>
      <c r="O814" s="12" t="s">
        <v>3608</v>
      </c>
      <c r="P814" s="14" t="s">
        <v>3611</v>
      </c>
      <c r="Q814" s="17" t="s">
        <v>137</v>
      </c>
      <c r="R814" s="17" t="s">
        <v>146</v>
      </c>
    </row>
    <row r="815" spans="1:18" x14ac:dyDescent="0.3">
      <c r="A815" s="12" t="s">
        <v>3577</v>
      </c>
      <c r="B815" s="12" t="s">
        <v>14</v>
      </c>
      <c r="C815" s="12"/>
      <c r="D815" s="12" t="s">
        <v>14</v>
      </c>
      <c r="E815" s="12" t="s">
        <v>3612</v>
      </c>
      <c r="F815" s="12"/>
      <c r="G815" s="12" t="s">
        <v>3613</v>
      </c>
      <c r="H815" s="12" t="s">
        <v>48</v>
      </c>
      <c r="I815" s="12" t="s">
        <v>30</v>
      </c>
      <c r="J815" s="13" t="s">
        <v>3614</v>
      </c>
      <c r="K815" s="14" t="s">
        <v>3615</v>
      </c>
      <c r="L815" s="15">
        <v>0</v>
      </c>
      <c r="M815" s="15" t="s">
        <v>144</v>
      </c>
      <c r="N815" s="16">
        <v>45945</v>
      </c>
      <c r="O815" s="12" t="s">
        <v>3582</v>
      </c>
      <c r="P815" s="14" t="s">
        <v>3583</v>
      </c>
      <c r="Q815" s="17" t="s">
        <v>137</v>
      </c>
      <c r="R815" s="17" t="s">
        <v>146</v>
      </c>
    </row>
    <row r="816" spans="1:18" x14ac:dyDescent="0.3">
      <c r="A816" s="12" t="s">
        <v>3462</v>
      </c>
      <c r="B816" s="12" t="s">
        <v>14</v>
      </c>
      <c r="C816" s="12"/>
      <c r="D816" s="12" t="s">
        <v>14</v>
      </c>
      <c r="E816" s="12" t="s">
        <v>3616</v>
      </c>
      <c r="F816" s="12"/>
      <c r="G816" s="12" t="s">
        <v>3617</v>
      </c>
      <c r="H816" s="12" t="s">
        <v>48</v>
      </c>
      <c r="I816" s="12" t="s">
        <v>30</v>
      </c>
      <c r="J816" s="13" t="s">
        <v>3618</v>
      </c>
      <c r="K816" s="14" t="s">
        <v>3619</v>
      </c>
      <c r="L816" s="15">
        <v>2</v>
      </c>
      <c r="M816" s="15" t="s">
        <v>144</v>
      </c>
      <c r="N816" s="16">
        <v>46189</v>
      </c>
      <c r="O816" s="12" t="s">
        <v>3462</v>
      </c>
      <c r="P816" s="14" t="s">
        <v>3467</v>
      </c>
      <c r="Q816" s="17" t="s">
        <v>137</v>
      </c>
      <c r="R816" s="17" t="s">
        <v>146</v>
      </c>
    </row>
    <row r="817" spans="1:18" x14ac:dyDescent="0.3">
      <c r="A817" s="12" t="s">
        <v>3620</v>
      </c>
      <c r="B817" s="12" t="s">
        <v>14</v>
      </c>
      <c r="C817" s="12"/>
      <c r="D817" s="12" t="s">
        <v>14</v>
      </c>
      <c r="E817" s="12" t="s">
        <v>3621</v>
      </c>
      <c r="F817" s="12"/>
      <c r="G817" s="12" t="s">
        <v>3622</v>
      </c>
      <c r="H817" s="12" t="s">
        <v>48</v>
      </c>
      <c r="I817" s="12" t="s">
        <v>30</v>
      </c>
      <c r="J817" s="13" t="s">
        <v>3623</v>
      </c>
      <c r="K817" s="14" t="s">
        <v>3624</v>
      </c>
      <c r="L817" s="15">
        <v>0</v>
      </c>
      <c r="M817" s="15" t="s">
        <v>144</v>
      </c>
      <c r="N817" s="16">
        <v>45862</v>
      </c>
      <c r="O817" s="12" t="s">
        <v>3620</v>
      </c>
      <c r="P817" s="14" t="s">
        <v>3625</v>
      </c>
      <c r="Q817" s="17" t="s">
        <v>137</v>
      </c>
      <c r="R817" s="17" t="s">
        <v>146</v>
      </c>
    </row>
    <row r="818" spans="1:18" x14ac:dyDescent="0.3">
      <c r="A818" s="12" t="s">
        <v>3549</v>
      </c>
      <c r="B818" s="12" t="s">
        <v>20</v>
      </c>
      <c r="C818" s="12"/>
      <c r="D818" s="12" t="s">
        <v>193</v>
      </c>
      <c r="E818" s="12" t="s">
        <v>3626</v>
      </c>
      <c r="F818" s="12"/>
      <c r="G818" s="12" t="s">
        <v>3622</v>
      </c>
      <c r="H818" s="12" t="s">
        <v>48</v>
      </c>
      <c r="I818" s="12" t="s">
        <v>30</v>
      </c>
      <c r="J818" s="13" t="s">
        <v>3623</v>
      </c>
      <c r="K818" s="14" t="s">
        <v>3551</v>
      </c>
      <c r="L818" s="15">
        <v>0</v>
      </c>
      <c r="M818" s="15" t="s">
        <v>144</v>
      </c>
      <c r="N818" s="16">
        <v>44998</v>
      </c>
      <c r="O818" s="12" t="s">
        <v>3549</v>
      </c>
      <c r="P818" s="14" t="s">
        <v>3552</v>
      </c>
      <c r="Q818" s="17" t="s">
        <v>137</v>
      </c>
      <c r="R818" s="17" t="s">
        <v>146</v>
      </c>
    </row>
    <row r="819" spans="1:18" x14ac:dyDescent="0.3">
      <c r="A819" s="12" t="s">
        <v>3529</v>
      </c>
      <c r="B819" s="12" t="s">
        <v>12</v>
      </c>
      <c r="C819" s="12"/>
      <c r="D819" s="12" t="s">
        <v>12</v>
      </c>
      <c r="E819" s="12" t="s">
        <v>3627</v>
      </c>
      <c r="F819" s="12"/>
      <c r="G819" s="12" t="s">
        <v>3628</v>
      </c>
      <c r="H819" s="12" t="s">
        <v>100</v>
      </c>
      <c r="I819" s="12" t="s">
        <v>30</v>
      </c>
      <c r="J819" s="13" t="s">
        <v>3629</v>
      </c>
      <c r="K819" s="14" t="s">
        <v>3630</v>
      </c>
      <c r="L819" s="15">
        <v>3</v>
      </c>
      <c r="M819" s="15" t="s">
        <v>144</v>
      </c>
      <c r="N819" s="16">
        <v>44581</v>
      </c>
      <c r="O819" s="12" t="s">
        <v>3529</v>
      </c>
      <c r="P819" s="14" t="s">
        <v>3532</v>
      </c>
      <c r="Q819" s="17" t="s">
        <v>137</v>
      </c>
      <c r="R819" s="17" t="s">
        <v>146</v>
      </c>
    </row>
    <row r="820" spans="1:18" x14ac:dyDescent="0.3">
      <c r="A820" s="12" t="s">
        <v>3631</v>
      </c>
      <c r="B820" s="12" t="s">
        <v>12</v>
      </c>
      <c r="C820" s="12"/>
      <c r="D820" s="12" t="s">
        <v>12</v>
      </c>
      <c r="E820" s="12" t="s">
        <v>3632</v>
      </c>
      <c r="F820" s="12"/>
      <c r="G820" s="12" t="s">
        <v>3633</v>
      </c>
      <c r="H820" s="12" t="s">
        <v>88</v>
      </c>
      <c r="I820" s="12" t="s">
        <v>30</v>
      </c>
      <c r="J820" s="13" t="s">
        <v>3634</v>
      </c>
      <c r="K820" s="14" t="s">
        <v>3635</v>
      </c>
      <c r="L820" s="15">
        <v>2</v>
      </c>
      <c r="M820" s="15" t="s">
        <v>144</v>
      </c>
      <c r="N820" s="16">
        <v>44938</v>
      </c>
      <c r="O820" s="12" t="s">
        <v>3636</v>
      </c>
      <c r="P820" s="14" t="s">
        <v>3637</v>
      </c>
      <c r="Q820" s="17" t="s">
        <v>137</v>
      </c>
      <c r="R820" s="17" t="s">
        <v>146</v>
      </c>
    </row>
    <row r="821" spans="1:18" x14ac:dyDescent="0.3">
      <c r="A821" s="12" t="s">
        <v>3638</v>
      </c>
      <c r="B821" s="12" t="s">
        <v>12</v>
      </c>
      <c r="C821" s="12"/>
      <c r="D821" s="12" t="s">
        <v>12</v>
      </c>
      <c r="E821" s="12" t="s">
        <v>3632</v>
      </c>
      <c r="F821" s="12"/>
      <c r="G821" s="12" t="s">
        <v>3633</v>
      </c>
      <c r="H821" s="12" t="s">
        <v>88</v>
      </c>
      <c r="I821" s="12" t="s">
        <v>30</v>
      </c>
      <c r="J821" s="13" t="s">
        <v>3634</v>
      </c>
      <c r="K821" s="14" t="s">
        <v>3635</v>
      </c>
      <c r="L821" s="15">
        <v>2</v>
      </c>
      <c r="M821" s="15" t="s">
        <v>144</v>
      </c>
      <c r="N821" s="16">
        <v>46136</v>
      </c>
      <c r="O821" s="12" t="s">
        <v>3639</v>
      </c>
      <c r="P821" s="14" t="s">
        <v>3640</v>
      </c>
      <c r="Q821" s="17" t="s">
        <v>137</v>
      </c>
      <c r="R821" s="17" t="s">
        <v>146</v>
      </c>
    </row>
    <row r="822" spans="1:18" x14ac:dyDescent="0.3">
      <c r="A822" s="12" t="s">
        <v>3641</v>
      </c>
      <c r="B822" s="12" t="s">
        <v>12</v>
      </c>
      <c r="C822" s="12"/>
      <c r="D822" s="12" t="s">
        <v>12</v>
      </c>
      <c r="E822" s="12" t="s">
        <v>3642</v>
      </c>
      <c r="F822" s="12"/>
      <c r="G822" s="12" t="s">
        <v>3643</v>
      </c>
      <c r="H822" s="12" t="s">
        <v>50</v>
      </c>
      <c r="I822" s="12" t="s">
        <v>31</v>
      </c>
      <c r="J822" s="13" t="s">
        <v>3644</v>
      </c>
      <c r="K822" s="14" t="s">
        <v>3645</v>
      </c>
      <c r="L822" s="15">
        <v>2</v>
      </c>
      <c r="M822" s="15" t="s">
        <v>144</v>
      </c>
      <c r="N822" s="16">
        <v>46237</v>
      </c>
      <c r="O822" s="12" t="s">
        <v>3641</v>
      </c>
      <c r="P822" s="14" t="s">
        <v>3646</v>
      </c>
      <c r="Q822" s="17" t="s">
        <v>137</v>
      </c>
      <c r="R822" s="17" t="s">
        <v>146</v>
      </c>
    </row>
    <row r="823" spans="1:18" x14ac:dyDescent="0.3">
      <c r="A823" s="12" t="s">
        <v>3647</v>
      </c>
      <c r="B823" s="12" t="s">
        <v>12</v>
      </c>
      <c r="C823" s="12"/>
      <c r="D823" s="12" t="s">
        <v>12</v>
      </c>
      <c r="E823" s="12" t="s">
        <v>3648</v>
      </c>
      <c r="F823" s="12" t="s">
        <v>188</v>
      </c>
      <c r="G823" s="12" t="s">
        <v>3649</v>
      </c>
      <c r="H823" s="12" t="s">
        <v>50</v>
      </c>
      <c r="I823" s="12" t="s">
        <v>31</v>
      </c>
      <c r="J823" s="13" t="s">
        <v>3650</v>
      </c>
      <c r="K823" s="14" t="s">
        <v>3651</v>
      </c>
      <c r="L823" s="15">
        <v>0</v>
      </c>
      <c r="M823" s="15" t="s">
        <v>144</v>
      </c>
      <c r="N823" s="16">
        <v>46267</v>
      </c>
      <c r="O823" s="12" t="s">
        <v>3647</v>
      </c>
      <c r="P823" s="14" t="s">
        <v>3652</v>
      </c>
      <c r="Q823" s="17" t="s">
        <v>137</v>
      </c>
      <c r="R823" s="17" t="s">
        <v>146</v>
      </c>
    </row>
    <row r="824" spans="1:18" x14ac:dyDescent="0.3">
      <c r="A824" s="12" t="s">
        <v>3653</v>
      </c>
      <c r="B824" s="12" t="s">
        <v>12</v>
      </c>
      <c r="C824" s="12"/>
      <c r="D824" s="12" t="s">
        <v>12</v>
      </c>
      <c r="E824" s="12" t="s">
        <v>3654</v>
      </c>
      <c r="F824" s="12" t="s">
        <v>3655</v>
      </c>
      <c r="G824" s="12" t="s">
        <v>3649</v>
      </c>
      <c r="H824" s="12" t="s">
        <v>50</v>
      </c>
      <c r="I824" s="12" t="s">
        <v>31</v>
      </c>
      <c r="J824" s="13" t="s">
        <v>3650</v>
      </c>
      <c r="K824" s="14" t="s">
        <v>3656</v>
      </c>
      <c r="L824" s="15">
        <v>1</v>
      </c>
      <c r="M824" s="15" t="s">
        <v>144</v>
      </c>
      <c r="N824" s="16">
        <v>45372</v>
      </c>
      <c r="O824" s="12" t="s">
        <v>3657</v>
      </c>
      <c r="P824" s="14" t="s">
        <v>3658</v>
      </c>
      <c r="Q824" s="17" t="s">
        <v>137</v>
      </c>
      <c r="R824" s="17" t="s">
        <v>146</v>
      </c>
    </row>
    <row r="825" spans="1:18" x14ac:dyDescent="0.3">
      <c r="A825" s="12" t="s">
        <v>3659</v>
      </c>
      <c r="B825" s="12" t="s">
        <v>18</v>
      </c>
      <c r="C825" s="12"/>
      <c r="D825" s="12" t="s">
        <v>223</v>
      </c>
      <c r="E825" s="12" t="s">
        <v>3660</v>
      </c>
      <c r="F825" s="12"/>
      <c r="G825" s="12" t="s">
        <v>3649</v>
      </c>
      <c r="H825" s="12" t="s">
        <v>50</v>
      </c>
      <c r="I825" s="12" t="s">
        <v>31</v>
      </c>
      <c r="J825" s="13" t="s">
        <v>3650</v>
      </c>
      <c r="K825" s="14" t="s">
        <v>3661</v>
      </c>
      <c r="L825" s="15">
        <v>0</v>
      </c>
      <c r="M825" s="15" t="s">
        <v>144</v>
      </c>
      <c r="N825" s="16">
        <v>44916</v>
      </c>
      <c r="O825" s="12" t="s">
        <v>3662</v>
      </c>
      <c r="P825" s="14" t="s">
        <v>3663</v>
      </c>
      <c r="Q825" s="17" t="s">
        <v>137</v>
      </c>
      <c r="R825" s="17" t="s">
        <v>146</v>
      </c>
    </row>
    <row r="826" spans="1:18" x14ac:dyDescent="0.3">
      <c r="A826" s="12" t="s">
        <v>3664</v>
      </c>
      <c r="B826" s="12" t="s">
        <v>12</v>
      </c>
      <c r="C826" s="12"/>
      <c r="D826" s="12" t="s">
        <v>12</v>
      </c>
      <c r="E826" s="12" t="s">
        <v>3665</v>
      </c>
      <c r="F826" s="12" t="s">
        <v>359</v>
      </c>
      <c r="G826" s="12" t="s">
        <v>3649</v>
      </c>
      <c r="H826" s="12" t="s">
        <v>50</v>
      </c>
      <c r="I826" s="12" t="s">
        <v>31</v>
      </c>
      <c r="J826" s="13" t="s">
        <v>3650</v>
      </c>
      <c r="K826" s="14" t="s">
        <v>3666</v>
      </c>
      <c r="L826" s="15">
        <v>1</v>
      </c>
      <c r="M826" s="15" t="s">
        <v>144</v>
      </c>
      <c r="N826" s="16">
        <v>45702</v>
      </c>
      <c r="O826" s="12" t="s">
        <v>3664</v>
      </c>
      <c r="P826" s="14" t="s">
        <v>3667</v>
      </c>
      <c r="Q826" s="17" t="s">
        <v>137</v>
      </c>
      <c r="R826" s="17" t="s">
        <v>146</v>
      </c>
    </row>
    <row r="827" spans="1:18" x14ac:dyDescent="0.3">
      <c r="A827" s="12" t="s">
        <v>3668</v>
      </c>
      <c r="B827" s="12" t="s">
        <v>12</v>
      </c>
      <c r="C827" s="12"/>
      <c r="D827" s="12" t="s">
        <v>12</v>
      </c>
      <c r="E827" s="12" t="s">
        <v>3669</v>
      </c>
      <c r="F827" s="12" t="s">
        <v>516</v>
      </c>
      <c r="G827" s="12" t="s">
        <v>3649</v>
      </c>
      <c r="H827" s="12" t="s">
        <v>50</v>
      </c>
      <c r="I827" s="12" t="s">
        <v>31</v>
      </c>
      <c r="J827" s="13" t="s">
        <v>3650</v>
      </c>
      <c r="K827" s="14" t="s">
        <v>3670</v>
      </c>
      <c r="L827" s="15">
        <v>3</v>
      </c>
      <c r="M827" s="15" t="s">
        <v>144</v>
      </c>
      <c r="N827" s="16">
        <v>44739</v>
      </c>
      <c r="O827" s="12" t="s">
        <v>3671</v>
      </c>
      <c r="P827" s="14" t="s">
        <v>3672</v>
      </c>
      <c r="Q827" s="17" t="s">
        <v>137</v>
      </c>
      <c r="R827" s="17" t="s">
        <v>146</v>
      </c>
    </row>
    <row r="828" spans="1:18" x14ac:dyDescent="0.3">
      <c r="A828" s="12" t="s">
        <v>3673</v>
      </c>
      <c r="B828" s="12" t="s">
        <v>10</v>
      </c>
      <c r="C828" s="12" t="s">
        <v>16</v>
      </c>
      <c r="D828" s="12" t="s">
        <v>3674</v>
      </c>
      <c r="E828" s="12" t="s">
        <v>3675</v>
      </c>
      <c r="F828" s="12"/>
      <c r="G828" s="12" t="s">
        <v>3649</v>
      </c>
      <c r="H828" s="12" t="s">
        <v>50</v>
      </c>
      <c r="I828" s="12" t="s">
        <v>31</v>
      </c>
      <c r="J828" s="13" t="s">
        <v>3650</v>
      </c>
      <c r="K828" s="14" t="s">
        <v>3676</v>
      </c>
      <c r="L828" s="15">
        <v>5</v>
      </c>
      <c r="M828" s="15" t="s">
        <v>144</v>
      </c>
      <c r="N828" s="16">
        <v>46038</v>
      </c>
      <c r="O828" s="12" t="s">
        <v>3673</v>
      </c>
      <c r="P828" s="14" t="s">
        <v>3677</v>
      </c>
      <c r="Q828" s="17" t="s">
        <v>137</v>
      </c>
      <c r="R828" s="17" t="s">
        <v>146</v>
      </c>
    </row>
    <row r="829" spans="1:18" x14ac:dyDescent="0.3">
      <c r="A829" s="12" t="s">
        <v>3678</v>
      </c>
      <c r="B829" s="12" t="s">
        <v>12</v>
      </c>
      <c r="C829" s="12"/>
      <c r="D829" s="12" t="s">
        <v>12</v>
      </c>
      <c r="E829" s="12" t="s">
        <v>3679</v>
      </c>
      <c r="F829" s="12" t="s">
        <v>1805</v>
      </c>
      <c r="G829" s="12" t="s">
        <v>3649</v>
      </c>
      <c r="H829" s="12" t="s">
        <v>50</v>
      </c>
      <c r="I829" s="12" t="s">
        <v>31</v>
      </c>
      <c r="J829" s="13" t="s">
        <v>3650</v>
      </c>
      <c r="K829" s="14" t="s">
        <v>3680</v>
      </c>
      <c r="L829" s="15">
        <v>1</v>
      </c>
      <c r="M829" s="15" t="s">
        <v>144</v>
      </c>
      <c r="N829" s="16">
        <v>45911</v>
      </c>
      <c r="O829" s="12" t="s">
        <v>3681</v>
      </c>
      <c r="P829" s="14" t="s">
        <v>3682</v>
      </c>
      <c r="Q829" s="17" t="s">
        <v>137</v>
      </c>
      <c r="R829" s="17" t="s">
        <v>146</v>
      </c>
    </row>
    <row r="830" spans="1:18" x14ac:dyDescent="0.3">
      <c r="A830" s="12" t="s">
        <v>3683</v>
      </c>
      <c r="B830" s="12" t="s">
        <v>10</v>
      </c>
      <c r="C830" s="12"/>
      <c r="D830" s="12" t="s">
        <v>647</v>
      </c>
      <c r="E830" s="12" t="s">
        <v>3684</v>
      </c>
      <c r="F830" s="12"/>
      <c r="G830" s="12" t="s">
        <v>3649</v>
      </c>
      <c r="H830" s="12" t="s">
        <v>50</v>
      </c>
      <c r="I830" s="12" t="s">
        <v>31</v>
      </c>
      <c r="J830" s="13" t="s">
        <v>3650</v>
      </c>
      <c r="K830" s="14" t="s">
        <v>3685</v>
      </c>
      <c r="L830" s="15">
        <v>14</v>
      </c>
      <c r="M830" s="15" t="s">
        <v>220</v>
      </c>
      <c r="N830" s="16">
        <v>45195</v>
      </c>
      <c r="O830" s="12" t="s">
        <v>3683</v>
      </c>
      <c r="P830" s="14" t="s">
        <v>3686</v>
      </c>
      <c r="Q830" s="17" t="s">
        <v>137</v>
      </c>
      <c r="R830" s="17" t="s">
        <v>146</v>
      </c>
    </row>
    <row r="831" spans="1:18" x14ac:dyDescent="0.3">
      <c r="A831" s="12" t="s">
        <v>3687</v>
      </c>
      <c r="B831" s="12" t="s">
        <v>20</v>
      </c>
      <c r="C831" s="12"/>
      <c r="D831" s="12" t="s">
        <v>193</v>
      </c>
      <c r="E831" s="12" t="s">
        <v>3688</v>
      </c>
      <c r="F831" s="12"/>
      <c r="G831" s="12" t="s">
        <v>3649</v>
      </c>
      <c r="H831" s="12" t="s">
        <v>50</v>
      </c>
      <c r="I831" s="12" t="s">
        <v>31</v>
      </c>
      <c r="J831" s="13" t="s">
        <v>3650</v>
      </c>
      <c r="K831" s="14" t="s">
        <v>3689</v>
      </c>
      <c r="L831" s="15">
        <v>1</v>
      </c>
      <c r="M831" s="15" t="s">
        <v>144</v>
      </c>
      <c r="N831" s="16">
        <v>46295</v>
      </c>
      <c r="O831" s="12" t="s">
        <v>3687</v>
      </c>
      <c r="P831" s="14" t="s">
        <v>3690</v>
      </c>
      <c r="Q831" s="17" t="s">
        <v>137</v>
      </c>
      <c r="R831" s="17" t="s">
        <v>146</v>
      </c>
    </row>
    <row r="832" spans="1:18" x14ac:dyDescent="0.3">
      <c r="A832" s="12" t="s">
        <v>3691</v>
      </c>
      <c r="B832" s="12" t="s">
        <v>12</v>
      </c>
      <c r="C832" s="12"/>
      <c r="D832" s="12" t="s">
        <v>12</v>
      </c>
      <c r="E832" s="12" t="s">
        <v>3669</v>
      </c>
      <c r="F832" s="12" t="s">
        <v>516</v>
      </c>
      <c r="G832" s="12" t="s">
        <v>3649</v>
      </c>
      <c r="H832" s="12" t="s">
        <v>50</v>
      </c>
      <c r="I832" s="12" t="s">
        <v>31</v>
      </c>
      <c r="J832" s="13" t="s">
        <v>3650</v>
      </c>
      <c r="K832" s="14" t="s">
        <v>3670</v>
      </c>
      <c r="L832" s="15">
        <v>3</v>
      </c>
      <c r="M832" s="15" t="s">
        <v>144</v>
      </c>
      <c r="N832" s="16">
        <v>45951</v>
      </c>
      <c r="O832" s="12" t="s">
        <v>3691</v>
      </c>
      <c r="P832" s="14" t="s">
        <v>3692</v>
      </c>
      <c r="Q832" s="17" t="s">
        <v>137</v>
      </c>
      <c r="R832" s="17" t="s">
        <v>146</v>
      </c>
    </row>
    <row r="833" spans="1:18" x14ac:dyDescent="0.3">
      <c r="A833" s="12" t="s">
        <v>3691</v>
      </c>
      <c r="B833" s="12" t="s">
        <v>12</v>
      </c>
      <c r="C833" s="12"/>
      <c r="D833" s="12" t="s">
        <v>12</v>
      </c>
      <c r="E833" s="12" t="s">
        <v>3693</v>
      </c>
      <c r="F833" s="12"/>
      <c r="G833" s="12" t="s">
        <v>3694</v>
      </c>
      <c r="H833" s="12" t="s">
        <v>50</v>
      </c>
      <c r="I833" s="12" t="s">
        <v>31</v>
      </c>
      <c r="J833" s="13" t="s">
        <v>3695</v>
      </c>
      <c r="K833" s="14" t="s">
        <v>3696</v>
      </c>
      <c r="L833" s="15">
        <v>2</v>
      </c>
      <c r="M833" s="15" t="s">
        <v>144</v>
      </c>
      <c r="N833" s="16">
        <v>45951</v>
      </c>
      <c r="O833" s="12" t="s">
        <v>3691</v>
      </c>
      <c r="P833" s="14" t="s">
        <v>3692</v>
      </c>
      <c r="Q833" s="17" t="s">
        <v>137</v>
      </c>
      <c r="R833" s="17" t="s">
        <v>146</v>
      </c>
    </row>
    <row r="834" spans="1:18" x14ac:dyDescent="0.3">
      <c r="A834" s="12" t="s">
        <v>3697</v>
      </c>
      <c r="B834" s="12" t="s">
        <v>12</v>
      </c>
      <c r="C834" s="12"/>
      <c r="D834" s="12" t="s">
        <v>12</v>
      </c>
      <c r="E834" s="12" t="s">
        <v>3698</v>
      </c>
      <c r="F834" s="12"/>
      <c r="G834" s="12" t="s">
        <v>3699</v>
      </c>
      <c r="H834" s="12" t="s">
        <v>72</v>
      </c>
      <c r="I834" s="12" t="s">
        <v>31</v>
      </c>
      <c r="J834" s="13" t="s">
        <v>3700</v>
      </c>
      <c r="K834" s="14" t="s">
        <v>3701</v>
      </c>
      <c r="L834" s="15">
        <v>2</v>
      </c>
      <c r="M834" s="15" t="s">
        <v>144</v>
      </c>
      <c r="N834" s="16">
        <v>45215</v>
      </c>
      <c r="O834" s="12" t="s">
        <v>3697</v>
      </c>
      <c r="P834" s="14" t="s">
        <v>3702</v>
      </c>
      <c r="Q834" s="17" t="s">
        <v>137</v>
      </c>
      <c r="R834" s="17" t="s">
        <v>146</v>
      </c>
    </row>
    <row r="835" spans="1:18" x14ac:dyDescent="0.3">
      <c r="A835" s="12" t="s">
        <v>3703</v>
      </c>
      <c r="B835" s="12" t="s">
        <v>12</v>
      </c>
      <c r="C835" s="12"/>
      <c r="D835" s="12" t="s">
        <v>12</v>
      </c>
      <c r="E835" s="12" t="s">
        <v>3704</v>
      </c>
      <c r="F835" s="12"/>
      <c r="G835" s="12" t="s">
        <v>3699</v>
      </c>
      <c r="H835" s="12" t="s">
        <v>72</v>
      </c>
      <c r="I835" s="12" t="s">
        <v>31</v>
      </c>
      <c r="J835" s="13" t="s">
        <v>3700</v>
      </c>
      <c r="K835" s="14" t="s">
        <v>3705</v>
      </c>
      <c r="L835" s="15">
        <v>1</v>
      </c>
      <c r="M835" s="15" t="s">
        <v>144</v>
      </c>
      <c r="N835" s="16">
        <v>45390</v>
      </c>
      <c r="O835" s="12" t="s">
        <v>3706</v>
      </c>
      <c r="P835" s="14" t="s">
        <v>3707</v>
      </c>
      <c r="Q835" s="17" t="s">
        <v>137</v>
      </c>
      <c r="R835" s="17" t="s">
        <v>146</v>
      </c>
    </row>
    <row r="836" spans="1:18" x14ac:dyDescent="0.3">
      <c r="A836" s="12" t="s">
        <v>3708</v>
      </c>
      <c r="B836" s="12" t="s">
        <v>10</v>
      </c>
      <c r="C836" s="12"/>
      <c r="D836" s="12" t="s">
        <v>252</v>
      </c>
      <c r="E836" s="12" t="s">
        <v>3709</v>
      </c>
      <c r="F836" s="12"/>
      <c r="G836" s="12" t="s">
        <v>3699</v>
      </c>
      <c r="H836" s="12" t="s">
        <v>72</v>
      </c>
      <c r="I836" s="12" t="s">
        <v>31</v>
      </c>
      <c r="J836" s="13" t="s">
        <v>3700</v>
      </c>
      <c r="K836" s="14" t="s">
        <v>3710</v>
      </c>
      <c r="L836" s="15">
        <v>1</v>
      </c>
      <c r="M836" s="15" t="s">
        <v>220</v>
      </c>
      <c r="N836" s="16">
        <v>45713</v>
      </c>
      <c r="O836" s="12" t="s">
        <v>236</v>
      </c>
      <c r="P836" s="14" t="s">
        <v>3711</v>
      </c>
      <c r="Q836" s="17" t="s">
        <v>137</v>
      </c>
      <c r="R836" s="17" t="s">
        <v>146</v>
      </c>
    </row>
    <row r="837" spans="1:18" x14ac:dyDescent="0.3">
      <c r="A837" s="12" t="s">
        <v>3712</v>
      </c>
      <c r="B837" s="12" t="s">
        <v>12</v>
      </c>
      <c r="C837" s="12"/>
      <c r="D837" s="12" t="s">
        <v>12</v>
      </c>
      <c r="E837" s="12" t="s">
        <v>3713</v>
      </c>
      <c r="F837" s="12"/>
      <c r="G837" s="12" t="s">
        <v>3714</v>
      </c>
      <c r="H837" s="12" t="s">
        <v>74</v>
      </c>
      <c r="I837" s="12" t="s">
        <v>31</v>
      </c>
      <c r="J837" s="13" t="s">
        <v>3715</v>
      </c>
      <c r="K837" s="14" t="s">
        <v>3716</v>
      </c>
      <c r="L837" s="15">
        <v>1</v>
      </c>
      <c r="M837" s="15" t="s">
        <v>144</v>
      </c>
      <c r="N837" s="16">
        <v>45182</v>
      </c>
      <c r="O837" s="12" t="s">
        <v>3717</v>
      </c>
      <c r="P837" s="14" t="s">
        <v>3718</v>
      </c>
      <c r="Q837" s="17" t="s">
        <v>137</v>
      </c>
      <c r="R837" s="17" t="s">
        <v>146</v>
      </c>
    </row>
    <row r="838" spans="1:18" x14ac:dyDescent="0.3">
      <c r="A838" s="12" t="s">
        <v>3719</v>
      </c>
      <c r="B838" s="12" t="s">
        <v>10</v>
      </c>
      <c r="C838" s="12"/>
      <c r="D838" s="12" t="s">
        <v>216</v>
      </c>
      <c r="E838" s="12" t="s">
        <v>3720</v>
      </c>
      <c r="F838" s="12"/>
      <c r="G838" s="12" t="s">
        <v>3721</v>
      </c>
      <c r="H838" s="12" t="s">
        <v>74</v>
      </c>
      <c r="I838" s="12" t="s">
        <v>31</v>
      </c>
      <c r="J838" s="13" t="s">
        <v>3722</v>
      </c>
      <c r="K838" s="14" t="s">
        <v>3723</v>
      </c>
      <c r="L838" s="15">
        <v>0</v>
      </c>
      <c r="M838" s="15" t="s">
        <v>144</v>
      </c>
      <c r="N838" s="16">
        <v>45681</v>
      </c>
      <c r="O838" s="12" t="s">
        <v>3719</v>
      </c>
      <c r="P838" s="14" t="s">
        <v>3724</v>
      </c>
      <c r="Q838" s="17" t="s">
        <v>137</v>
      </c>
      <c r="R838" s="17" t="s">
        <v>146</v>
      </c>
    </row>
    <row r="839" spans="1:18" x14ac:dyDescent="0.3">
      <c r="A839" s="12" t="s">
        <v>3719</v>
      </c>
      <c r="B839" s="12" t="s">
        <v>10</v>
      </c>
      <c r="C839" s="12"/>
      <c r="D839" s="12" t="s">
        <v>216</v>
      </c>
      <c r="E839" s="12" t="s">
        <v>3725</v>
      </c>
      <c r="F839" s="12"/>
      <c r="G839" s="12" t="s">
        <v>3726</v>
      </c>
      <c r="H839" s="12" t="s">
        <v>74</v>
      </c>
      <c r="I839" s="12" t="s">
        <v>31</v>
      </c>
      <c r="J839" s="13" t="s">
        <v>3727</v>
      </c>
      <c r="K839" s="14" t="s">
        <v>3728</v>
      </c>
      <c r="L839" s="15">
        <v>0</v>
      </c>
      <c r="M839" s="15" t="s">
        <v>144</v>
      </c>
      <c r="N839" s="16">
        <v>45681</v>
      </c>
      <c r="O839" s="12" t="s">
        <v>3719</v>
      </c>
      <c r="P839" s="14" t="s">
        <v>3724</v>
      </c>
      <c r="Q839" s="17" t="s">
        <v>137</v>
      </c>
      <c r="R839" s="17" t="s">
        <v>146</v>
      </c>
    </row>
    <row r="840" spans="1:18" x14ac:dyDescent="0.3">
      <c r="A840" s="12" t="s">
        <v>3729</v>
      </c>
      <c r="B840" s="12" t="s">
        <v>12</v>
      </c>
      <c r="C840" s="12"/>
      <c r="D840" s="12" t="s">
        <v>12</v>
      </c>
      <c r="E840" s="12" t="s">
        <v>3730</v>
      </c>
      <c r="F840" s="12"/>
      <c r="G840" s="12" t="s">
        <v>50</v>
      </c>
      <c r="H840" s="12" t="s">
        <v>76</v>
      </c>
      <c r="I840" s="12" t="s">
        <v>31</v>
      </c>
      <c r="J840" s="13" t="s">
        <v>3731</v>
      </c>
      <c r="K840" s="14" t="s">
        <v>3732</v>
      </c>
      <c r="L840" s="15">
        <v>2</v>
      </c>
      <c r="M840" s="15" t="s">
        <v>144</v>
      </c>
      <c r="N840" s="16">
        <v>44582</v>
      </c>
      <c r="O840" s="12" t="s">
        <v>3729</v>
      </c>
      <c r="P840" s="14" t="s">
        <v>3733</v>
      </c>
      <c r="Q840" s="17" t="s">
        <v>137</v>
      </c>
      <c r="R840" s="17" t="s">
        <v>146</v>
      </c>
    </row>
    <row r="841" spans="1:18" x14ac:dyDescent="0.3">
      <c r="A841" s="12" t="s">
        <v>3734</v>
      </c>
      <c r="B841" s="12" t="s">
        <v>12</v>
      </c>
      <c r="C841" s="12"/>
      <c r="D841" s="12" t="s">
        <v>12</v>
      </c>
      <c r="E841" s="12" t="s">
        <v>3735</v>
      </c>
      <c r="F841" s="12"/>
      <c r="G841" s="12" t="s">
        <v>50</v>
      </c>
      <c r="H841" s="12" t="s">
        <v>76</v>
      </c>
      <c r="I841" s="12" t="s">
        <v>31</v>
      </c>
      <c r="J841" s="13" t="s">
        <v>3731</v>
      </c>
      <c r="K841" s="14" t="s">
        <v>3736</v>
      </c>
      <c r="L841" s="15">
        <v>1</v>
      </c>
      <c r="M841" s="15" t="s">
        <v>144</v>
      </c>
      <c r="N841" s="16">
        <v>44873</v>
      </c>
      <c r="O841" s="12" t="s">
        <v>3734</v>
      </c>
      <c r="P841" s="14" t="s">
        <v>3737</v>
      </c>
      <c r="Q841" s="17" t="s">
        <v>137</v>
      </c>
      <c r="R841" s="17" t="s">
        <v>146</v>
      </c>
    </row>
    <row r="842" spans="1:18" x14ac:dyDescent="0.3">
      <c r="A842" s="12" t="s">
        <v>3738</v>
      </c>
      <c r="B842" s="12" t="s">
        <v>12</v>
      </c>
      <c r="C842" s="12"/>
      <c r="D842" s="12" t="s">
        <v>12</v>
      </c>
      <c r="E842" s="12" t="s">
        <v>3739</v>
      </c>
      <c r="F842" s="12"/>
      <c r="G842" s="12" t="s">
        <v>3740</v>
      </c>
      <c r="H842" s="12" t="s">
        <v>76</v>
      </c>
      <c r="I842" s="12" t="s">
        <v>31</v>
      </c>
      <c r="J842" s="13" t="s">
        <v>3741</v>
      </c>
      <c r="K842" s="14" t="s">
        <v>3742</v>
      </c>
      <c r="L842" s="15">
        <v>1</v>
      </c>
      <c r="M842" s="15" t="s">
        <v>144</v>
      </c>
      <c r="N842" s="16">
        <v>46147</v>
      </c>
      <c r="O842" s="12" t="s">
        <v>3743</v>
      </c>
      <c r="P842" s="14" t="s">
        <v>3744</v>
      </c>
      <c r="Q842" s="17" t="s">
        <v>137</v>
      </c>
      <c r="R842" s="17" t="s">
        <v>146</v>
      </c>
    </row>
    <row r="843" spans="1:18" x14ac:dyDescent="0.3">
      <c r="A843" s="12" t="s">
        <v>3745</v>
      </c>
      <c r="B843" s="12" t="s">
        <v>12</v>
      </c>
      <c r="C843" s="12"/>
      <c r="D843" s="12" t="s">
        <v>12</v>
      </c>
      <c r="E843" s="12" t="s">
        <v>3746</v>
      </c>
      <c r="F843" s="12"/>
      <c r="G843" s="12" t="s">
        <v>62</v>
      </c>
      <c r="H843" s="12" t="s">
        <v>62</v>
      </c>
      <c r="I843" s="12" t="s">
        <v>31</v>
      </c>
      <c r="J843" s="13" t="s">
        <v>3747</v>
      </c>
      <c r="K843" s="14" t="s">
        <v>3748</v>
      </c>
      <c r="L843" s="15">
        <v>1</v>
      </c>
      <c r="M843" s="15" t="s">
        <v>144</v>
      </c>
      <c r="N843" s="16">
        <v>46185</v>
      </c>
      <c r="O843" s="12" t="s">
        <v>3745</v>
      </c>
      <c r="P843" s="14" t="s">
        <v>3749</v>
      </c>
      <c r="Q843" s="17" t="s">
        <v>137</v>
      </c>
      <c r="R843" s="17" t="s">
        <v>146</v>
      </c>
    </row>
    <row r="844" spans="1:18" x14ac:dyDescent="0.3">
      <c r="A844" s="12" t="s">
        <v>3750</v>
      </c>
      <c r="B844" s="12" t="s">
        <v>14</v>
      </c>
      <c r="C844" s="12"/>
      <c r="D844" s="12" t="s">
        <v>14</v>
      </c>
      <c r="E844" s="12" t="s">
        <v>3751</v>
      </c>
      <c r="F844" s="12"/>
      <c r="G844" s="12" t="s">
        <v>62</v>
      </c>
      <c r="H844" s="12" t="s">
        <v>62</v>
      </c>
      <c r="I844" s="12" t="s">
        <v>31</v>
      </c>
      <c r="J844" s="13" t="s">
        <v>3747</v>
      </c>
      <c r="K844" s="14" t="s">
        <v>3752</v>
      </c>
      <c r="L844" s="15">
        <v>0</v>
      </c>
      <c r="M844" s="15" t="s">
        <v>144</v>
      </c>
      <c r="N844" s="16">
        <v>44932</v>
      </c>
      <c r="O844" s="12" t="s">
        <v>3750</v>
      </c>
      <c r="P844" s="14" t="s">
        <v>3753</v>
      </c>
      <c r="Q844" s="17" t="s">
        <v>137</v>
      </c>
      <c r="R844" s="17" t="s">
        <v>146</v>
      </c>
    </row>
    <row r="845" spans="1:18" x14ac:dyDescent="0.3">
      <c r="A845" s="12" t="s">
        <v>3754</v>
      </c>
      <c r="B845" s="12" t="s">
        <v>12</v>
      </c>
      <c r="C845" s="12"/>
      <c r="D845" s="12" t="s">
        <v>12</v>
      </c>
      <c r="E845" s="12" t="s">
        <v>3755</v>
      </c>
      <c r="F845" s="12"/>
      <c r="G845" s="12" t="s">
        <v>62</v>
      </c>
      <c r="H845" s="12" t="s">
        <v>62</v>
      </c>
      <c r="I845" s="12" t="s">
        <v>31</v>
      </c>
      <c r="J845" s="13" t="s">
        <v>3747</v>
      </c>
      <c r="K845" s="14" t="s">
        <v>3756</v>
      </c>
      <c r="L845" s="15">
        <v>2</v>
      </c>
      <c r="M845" s="15" t="s">
        <v>144</v>
      </c>
      <c r="N845" s="16">
        <v>45776</v>
      </c>
      <c r="O845" s="12" t="s">
        <v>3754</v>
      </c>
      <c r="P845" s="14" t="s">
        <v>3757</v>
      </c>
      <c r="Q845" s="17" t="s">
        <v>137</v>
      </c>
      <c r="R845" s="17" t="s">
        <v>146</v>
      </c>
    </row>
    <row r="846" spans="1:18" x14ac:dyDescent="0.3">
      <c r="A846" s="12" t="s">
        <v>3719</v>
      </c>
      <c r="B846" s="12" t="s">
        <v>10</v>
      </c>
      <c r="C846" s="12"/>
      <c r="D846" s="12" t="s">
        <v>216</v>
      </c>
      <c r="E846" s="12" t="s">
        <v>3758</v>
      </c>
      <c r="F846" s="12"/>
      <c r="G846" s="12" t="s">
        <v>62</v>
      </c>
      <c r="H846" s="12" t="s">
        <v>62</v>
      </c>
      <c r="I846" s="12" t="s">
        <v>31</v>
      </c>
      <c r="J846" s="13" t="s">
        <v>3747</v>
      </c>
      <c r="K846" s="14" t="s">
        <v>3759</v>
      </c>
      <c r="L846" s="15">
        <v>0</v>
      </c>
      <c r="M846" s="15" t="s">
        <v>220</v>
      </c>
      <c r="N846" s="16">
        <v>45681</v>
      </c>
      <c r="O846" s="12" t="s">
        <v>3719</v>
      </c>
      <c r="P846" s="14" t="s">
        <v>3724</v>
      </c>
      <c r="Q846" s="17" t="s">
        <v>137</v>
      </c>
      <c r="R846" s="17" t="s">
        <v>146</v>
      </c>
    </row>
    <row r="847" spans="1:18" x14ac:dyDescent="0.3">
      <c r="A847" s="12" t="s">
        <v>3760</v>
      </c>
      <c r="B847" s="12" t="s">
        <v>14</v>
      </c>
      <c r="C847" s="12"/>
      <c r="D847" s="12" t="s">
        <v>14</v>
      </c>
      <c r="E847" s="12" t="s">
        <v>3761</v>
      </c>
      <c r="F847" s="12"/>
      <c r="G847" s="12" t="s">
        <v>3762</v>
      </c>
      <c r="H847" s="12" t="s">
        <v>62</v>
      </c>
      <c r="I847" s="12" t="s">
        <v>31</v>
      </c>
      <c r="J847" s="13" t="s">
        <v>3763</v>
      </c>
      <c r="K847" s="14" t="s">
        <v>3764</v>
      </c>
      <c r="L847" s="15">
        <v>0</v>
      </c>
      <c r="M847" s="15" t="s">
        <v>144</v>
      </c>
      <c r="N847" s="16">
        <v>45763</v>
      </c>
      <c r="O847" s="12" t="s">
        <v>3760</v>
      </c>
      <c r="P847" s="14" t="s">
        <v>3765</v>
      </c>
      <c r="Q847" s="17" t="s">
        <v>137</v>
      </c>
      <c r="R847" s="17" t="s">
        <v>146</v>
      </c>
    </row>
    <row r="848" spans="1:18" x14ac:dyDescent="0.3">
      <c r="A848" s="12" t="s">
        <v>3750</v>
      </c>
      <c r="B848" s="12" t="s">
        <v>14</v>
      </c>
      <c r="C848" s="12"/>
      <c r="D848" s="12" t="s">
        <v>14</v>
      </c>
      <c r="E848" s="12" t="s">
        <v>3766</v>
      </c>
      <c r="F848" s="12"/>
      <c r="G848" s="12" t="s">
        <v>3762</v>
      </c>
      <c r="H848" s="12" t="s">
        <v>62</v>
      </c>
      <c r="I848" s="12" t="s">
        <v>31</v>
      </c>
      <c r="J848" s="13" t="s">
        <v>3763</v>
      </c>
      <c r="K848" s="14" t="s">
        <v>3767</v>
      </c>
      <c r="L848" s="15">
        <v>0</v>
      </c>
      <c r="M848" s="15" t="s">
        <v>144</v>
      </c>
      <c r="N848" s="16">
        <v>44932</v>
      </c>
      <c r="O848" s="12" t="s">
        <v>3750</v>
      </c>
      <c r="P848" s="14" t="s">
        <v>3768</v>
      </c>
      <c r="Q848" s="17" t="s">
        <v>137</v>
      </c>
      <c r="R848" s="17" t="s">
        <v>146</v>
      </c>
    </row>
    <row r="849" spans="1:18" x14ac:dyDescent="0.3">
      <c r="A849" s="12" t="s">
        <v>3769</v>
      </c>
      <c r="B849" s="12" t="s">
        <v>12</v>
      </c>
      <c r="C849" s="12"/>
      <c r="D849" s="12" t="s">
        <v>12</v>
      </c>
      <c r="E849" s="12" t="s">
        <v>3770</v>
      </c>
      <c r="F849" s="12" t="s">
        <v>1708</v>
      </c>
      <c r="G849" s="12" t="s">
        <v>3771</v>
      </c>
      <c r="H849" s="12" t="s">
        <v>68</v>
      </c>
      <c r="I849" s="12" t="s">
        <v>31</v>
      </c>
      <c r="J849" s="13" t="s">
        <v>3772</v>
      </c>
      <c r="K849" s="14" t="s">
        <v>3773</v>
      </c>
      <c r="L849" s="15">
        <v>1</v>
      </c>
      <c r="M849" s="15" t="s">
        <v>144</v>
      </c>
      <c r="N849" s="16">
        <v>45789</v>
      </c>
      <c r="O849" s="12" t="s">
        <v>3769</v>
      </c>
      <c r="P849" s="14" t="s">
        <v>3774</v>
      </c>
      <c r="Q849" s="17" t="s">
        <v>137</v>
      </c>
      <c r="R849" s="17" t="s">
        <v>146</v>
      </c>
    </row>
    <row r="850" spans="1:18" x14ac:dyDescent="0.3">
      <c r="A850" s="12" t="s">
        <v>3775</v>
      </c>
      <c r="B850" s="12" t="s">
        <v>12</v>
      </c>
      <c r="C850" s="12"/>
      <c r="D850" s="12" t="s">
        <v>12</v>
      </c>
      <c r="E850" s="12" t="s">
        <v>3776</v>
      </c>
      <c r="F850" s="12"/>
      <c r="G850" s="12" t="s">
        <v>3771</v>
      </c>
      <c r="H850" s="12" t="s">
        <v>68</v>
      </c>
      <c r="I850" s="12" t="s">
        <v>31</v>
      </c>
      <c r="J850" s="13" t="s">
        <v>3772</v>
      </c>
      <c r="K850" s="14" t="s">
        <v>3777</v>
      </c>
      <c r="L850" s="15">
        <v>2</v>
      </c>
      <c r="M850" s="15" t="s">
        <v>144</v>
      </c>
      <c r="N850" s="16">
        <v>45482</v>
      </c>
      <c r="O850" s="12" t="s">
        <v>3775</v>
      </c>
      <c r="P850" s="14" t="s">
        <v>3778</v>
      </c>
      <c r="Q850" s="17" t="s">
        <v>137</v>
      </c>
      <c r="R850" s="17" t="s">
        <v>146</v>
      </c>
    </row>
    <row r="851" spans="1:18" x14ac:dyDescent="0.3">
      <c r="A851" s="12" t="s">
        <v>3779</v>
      </c>
      <c r="B851" s="12" t="s">
        <v>12</v>
      </c>
      <c r="C851" s="12"/>
      <c r="D851" s="12" t="s">
        <v>12</v>
      </c>
      <c r="E851" s="12" t="s">
        <v>3780</v>
      </c>
      <c r="F851" s="12"/>
      <c r="G851" s="12" t="s">
        <v>3771</v>
      </c>
      <c r="H851" s="12" t="s">
        <v>68</v>
      </c>
      <c r="I851" s="12" t="s">
        <v>31</v>
      </c>
      <c r="J851" s="13" t="s">
        <v>3772</v>
      </c>
      <c r="K851" s="14" t="s">
        <v>3781</v>
      </c>
      <c r="L851" s="15">
        <v>2</v>
      </c>
      <c r="M851" s="15" t="s">
        <v>144</v>
      </c>
      <c r="N851" s="16">
        <v>45078</v>
      </c>
      <c r="O851" s="12" t="s">
        <v>3779</v>
      </c>
      <c r="P851" s="14" t="s">
        <v>3782</v>
      </c>
      <c r="Q851" s="17" t="s">
        <v>137</v>
      </c>
      <c r="R851" s="17" t="s">
        <v>146</v>
      </c>
    </row>
    <row r="852" spans="1:18" x14ac:dyDescent="0.3">
      <c r="A852" s="12" t="s">
        <v>3750</v>
      </c>
      <c r="B852" s="12" t="s">
        <v>14</v>
      </c>
      <c r="C852" s="12"/>
      <c r="D852" s="12" t="s">
        <v>14</v>
      </c>
      <c r="E852" s="12" t="s">
        <v>3783</v>
      </c>
      <c r="F852" s="12"/>
      <c r="G852" s="12" t="s">
        <v>3784</v>
      </c>
      <c r="H852" s="12" t="s">
        <v>68</v>
      </c>
      <c r="I852" s="12" t="s">
        <v>31</v>
      </c>
      <c r="J852" s="13" t="s">
        <v>3785</v>
      </c>
      <c r="K852" s="14" t="s">
        <v>3786</v>
      </c>
      <c r="L852" s="15">
        <v>0</v>
      </c>
      <c r="M852" s="15" t="s">
        <v>144</v>
      </c>
      <c r="N852" s="16">
        <v>44929</v>
      </c>
      <c r="O852" s="12" t="s">
        <v>3750</v>
      </c>
      <c r="P852" s="14" t="s">
        <v>3787</v>
      </c>
      <c r="Q852" s="17" t="s">
        <v>137</v>
      </c>
      <c r="R852" s="17" t="s">
        <v>146</v>
      </c>
    </row>
    <row r="853" spans="1:18" x14ac:dyDescent="0.3">
      <c r="A853" s="12" t="s">
        <v>3750</v>
      </c>
      <c r="B853" s="12" t="s">
        <v>14</v>
      </c>
      <c r="C853" s="12"/>
      <c r="D853" s="12" t="s">
        <v>14</v>
      </c>
      <c r="E853" s="12" t="s">
        <v>3788</v>
      </c>
      <c r="F853" s="12"/>
      <c r="G853" s="12" t="s">
        <v>3789</v>
      </c>
      <c r="H853" s="12" t="s">
        <v>99</v>
      </c>
      <c r="I853" s="12" t="s">
        <v>31</v>
      </c>
      <c r="J853" s="13" t="s">
        <v>3790</v>
      </c>
      <c r="K853" s="14" t="s">
        <v>3791</v>
      </c>
      <c r="L853" s="15">
        <v>0</v>
      </c>
      <c r="M853" s="15" t="s">
        <v>144</v>
      </c>
      <c r="N853" s="16">
        <v>44925</v>
      </c>
      <c r="O853" s="12" t="s">
        <v>3750</v>
      </c>
      <c r="P853" s="14" t="s">
        <v>3792</v>
      </c>
      <c r="Q853" s="17" t="s">
        <v>137</v>
      </c>
      <c r="R853" s="17" t="s">
        <v>146</v>
      </c>
    </row>
    <row r="854" spans="1:18" x14ac:dyDescent="0.3">
      <c r="A854" s="12" t="s">
        <v>3793</v>
      </c>
      <c r="B854" s="12" t="s">
        <v>10</v>
      </c>
      <c r="C854" s="12"/>
      <c r="D854" s="12" t="s">
        <v>216</v>
      </c>
      <c r="E854" s="12" t="s">
        <v>3794</v>
      </c>
      <c r="F854" s="12"/>
      <c r="G854" s="12" t="s">
        <v>3795</v>
      </c>
      <c r="H854" s="12" t="s">
        <v>69</v>
      </c>
      <c r="I854" s="12" t="s">
        <v>31</v>
      </c>
      <c r="J854" s="13" t="s">
        <v>3796</v>
      </c>
      <c r="K854" s="14" t="s">
        <v>3797</v>
      </c>
      <c r="L854" s="15">
        <v>0</v>
      </c>
      <c r="M854" s="15" t="s">
        <v>144</v>
      </c>
      <c r="N854" s="16">
        <v>45978</v>
      </c>
      <c r="O854" s="12" t="s">
        <v>3793</v>
      </c>
      <c r="P854" s="14" t="s">
        <v>3798</v>
      </c>
      <c r="Q854" s="17" t="s">
        <v>137</v>
      </c>
      <c r="R854" s="17" t="s">
        <v>146</v>
      </c>
    </row>
    <row r="855" spans="1:18" x14ac:dyDescent="0.3">
      <c r="A855" s="12" t="s">
        <v>3799</v>
      </c>
      <c r="B855" s="12" t="s">
        <v>12</v>
      </c>
      <c r="C855" s="12"/>
      <c r="D855" s="12" t="s">
        <v>12</v>
      </c>
      <c r="E855" s="12" t="s">
        <v>3800</v>
      </c>
      <c r="F855" s="12"/>
      <c r="G855" s="12" t="s">
        <v>3795</v>
      </c>
      <c r="H855" s="12" t="s">
        <v>69</v>
      </c>
      <c r="I855" s="12" t="s">
        <v>31</v>
      </c>
      <c r="J855" s="13" t="s">
        <v>3796</v>
      </c>
      <c r="K855" s="14" t="s">
        <v>3801</v>
      </c>
      <c r="L855" s="15">
        <v>0</v>
      </c>
      <c r="M855" s="15" t="s">
        <v>144</v>
      </c>
      <c r="N855" s="16">
        <v>46267</v>
      </c>
      <c r="O855" s="12" t="s">
        <v>3799</v>
      </c>
      <c r="P855" s="14" t="s">
        <v>3802</v>
      </c>
      <c r="Q855" s="17" t="s">
        <v>137</v>
      </c>
      <c r="R855" s="17" t="s">
        <v>146</v>
      </c>
    </row>
    <row r="856" spans="1:18" x14ac:dyDescent="0.3">
      <c r="A856" s="12" t="s">
        <v>3803</v>
      </c>
      <c r="B856" s="12" t="s">
        <v>12</v>
      </c>
      <c r="C856" s="12"/>
      <c r="D856" s="12" t="s">
        <v>12</v>
      </c>
      <c r="E856" s="12" t="s">
        <v>3804</v>
      </c>
      <c r="F856" s="12"/>
      <c r="G856" s="12" t="s">
        <v>3805</v>
      </c>
      <c r="H856" s="12" t="s">
        <v>69</v>
      </c>
      <c r="I856" s="12" t="s">
        <v>31</v>
      </c>
      <c r="J856" s="13" t="s">
        <v>3806</v>
      </c>
      <c r="K856" s="14" t="s">
        <v>3807</v>
      </c>
      <c r="L856" s="15">
        <v>1</v>
      </c>
      <c r="M856" s="15" t="s">
        <v>144</v>
      </c>
      <c r="N856" s="16">
        <v>45509</v>
      </c>
      <c r="O856" s="12" t="s">
        <v>3803</v>
      </c>
      <c r="P856" s="14" t="s">
        <v>3808</v>
      </c>
      <c r="Q856" s="17" t="s">
        <v>137</v>
      </c>
      <c r="R856" s="17" t="s">
        <v>146</v>
      </c>
    </row>
    <row r="857" spans="1:18" x14ac:dyDescent="0.3">
      <c r="A857" s="12" t="s">
        <v>3809</v>
      </c>
      <c r="B857" s="12" t="s">
        <v>12</v>
      </c>
      <c r="C857" s="12"/>
      <c r="D857" s="12" t="s">
        <v>12</v>
      </c>
      <c r="E857" s="12" t="s">
        <v>3810</v>
      </c>
      <c r="F857" s="12"/>
      <c r="G857" s="12" t="s">
        <v>3805</v>
      </c>
      <c r="H857" s="12" t="s">
        <v>69</v>
      </c>
      <c r="I857" s="12" t="s">
        <v>31</v>
      </c>
      <c r="J857" s="13" t="s">
        <v>3806</v>
      </c>
      <c r="K857" s="14" t="s">
        <v>3811</v>
      </c>
      <c r="L857" s="15">
        <v>2</v>
      </c>
      <c r="M857" s="15" t="s">
        <v>144</v>
      </c>
      <c r="N857" s="16">
        <v>46125</v>
      </c>
      <c r="O857" s="12" t="s">
        <v>3809</v>
      </c>
      <c r="P857" s="14" t="s">
        <v>3812</v>
      </c>
      <c r="Q857" s="17" t="s">
        <v>137</v>
      </c>
      <c r="R857" s="17" t="s">
        <v>146</v>
      </c>
    </row>
    <row r="858" spans="1:18" x14ac:dyDescent="0.3">
      <c r="A858" s="12" t="s">
        <v>3712</v>
      </c>
      <c r="B858" s="12" t="s">
        <v>12</v>
      </c>
      <c r="C858" s="12"/>
      <c r="D858" s="12" t="s">
        <v>12</v>
      </c>
      <c r="E858" s="12" t="s">
        <v>3813</v>
      </c>
      <c r="F858" s="12"/>
      <c r="G858" s="12" t="s">
        <v>3814</v>
      </c>
      <c r="H858" s="12" t="s">
        <v>89</v>
      </c>
      <c r="I858" s="12" t="s">
        <v>31</v>
      </c>
      <c r="J858" s="13" t="s">
        <v>3815</v>
      </c>
      <c r="K858" s="14" t="s">
        <v>3716</v>
      </c>
      <c r="L858" s="15">
        <v>0</v>
      </c>
      <c r="M858" s="15" t="s">
        <v>144</v>
      </c>
      <c r="N858" s="16">
        <v>45182</v>
      </c>
      <c r="O858" s="12" t="s">
        <v>3717</v>
      </c>
      <c r="P858" s="14" t="s">
        <v>3718</v>
      </c>
      <c r="Q858" s="17" t="s">
        <v>137</v>
      </c>
      <c r="R858" s="17" t="s">
        <v>146</v>
      </c>
    </row>
    <row r="859" spans="1:18" x14ac:dyDescent="0.3">
      <c r="A859" s="12" t="s">
        <v>3816</v>
      </c>
      <c r="B859" s="12" t="s">
        <v>14</v>
      </c>
      <c r="C859" s="12"/>
      <c r="D859" s="12" t="s">
        <v>14</v>
      </c>
      <c r="E859" s="12" t="s">
        <v>3817</v>
      </c>
      <c r="F859" s="12"/>
      <c r="G859" s="12" t="s">
        <v>3814</v>
      </c>
      <c r="H859" s="12" t="s">
        <v>89</v>
      </c>
      <c r="I859" s="12" t="s">
        <v>31</v>
      </c>
      <c r="J859" s="13" t="s">
        <v>3815</v>
      </c>
      <c r="K859" s="14" t="s">
        <v>3818</v>
      </c>
      <c r="L859" s="15">
        <v>2</v>
      </c>
      <c r="M859" s="15" t="s">
        <v>220</v>
      </c>
      <c r="N859" s="16">
        <v>46287</v>
      </c>
      <c r="O859" s="12" t="s">
        <v>3816</v>
      </c>
      <c r="P859" s="14" t="s">
        <v>3819</v>
      </c>
      <c r="Q859" s="17" t="s">
        <v>137</v>
      </c>
      <c r="R859" s="17" t="s">
        <v>146</v>
      </c>
    </row>
    <row r="860" spans="1:18" x14ac:dyDescent="0.3">
      <c r="A860" s="12" t="s">
        <v>3820</v>
      </c>
      <c r="B860" s="12" t="s">
        <v>14</v>
      </c>
      <c r="C860" s="12"/>
      <c r="D860" s="12" t="s">
        <v>14</v>
      </c>
      <c r="E860" s="12" t="s">
        <v>3821</v>
      </c>
      <c r="F860" s="12"/>
      <c r="G860" s="12" t="s">
        <v>3822</v>
      </c>
      <c r="H860" s="12" t="s">
        <v>75</v>
      </c>
      <c r="I860" s="12" t="s">
        <v>32</v>
      </c>
      <c r="J860" s="13" t="s">
        <v>3823</v>
      </c>
      <c r="K860" s="14" t="s">
        <v>3824</v>
      </c>
      <c r="L860" s="15">
        <v>0</v>
      </c>
      <c r="M860" s="15" t="s">
        <v>144</v>
      </c>
      <c r="N860" s="16">
        <v>44900</v>
      </c>
      <c r="O860" s="12" t="s">
        <v>3820</v>
      </c>
      <c r="P860" s="14" t="s">
        <v>3825</v>
      </c>
      <c r="Q860" s="17" t="s">
        <v>137</v>
      </c>
      <c r="R860" s="17" t="s">
        <v>146</v>
      </c>
    </row>
    <row r="861" spans="1:18" x14ac:dyDescent="0.3">
      <c r="A861" s="12" t="s">
        <v>3826</v>
      </c>
      <c r="B861" s="12" t="s">
        <v>14</v>
      </c>
      <c r="C861" s="12"/>
      <c r="D861" s="12" t="s">
        <v>14</v>
      </c>
      <c r="E861" s="12" t="s">
        <v>3827</v>
      </c>
      <c r="F861" s="12"/>
      <c r="G861" s="12" t="s">
        <v>3828</v>
      </c>
      <c r="H861" s="12" t="s">
        <v>75</v>
      </c>
      <c r="I861" s="12" t="s">
        <v>32</v>
      </c>
      <c r="J861" s="13" t="s">
        <v>3829</v>
      </c>
      <c r="K861" s="14" t="s">
        <v>3830</v>
      </c>
      <c r="L861" s="15">
        <v>0</v>
      </c>
      <c r="M861" s="15" t="s">
        <v>144</v>
      </c>
      <c r="N861" s="16">
        <v>45126</v>
      </c>
      <c r="O861" s="12" t="s">
        <v>3826</v>
      </c>
      <c r="P861" s="14" t="s">
        <v>3831</v>
      </c>
      <c r="Q861" s="17" t="s">
        <v>137</v>
      </c>
      <c r="R861" s="17" t="s">
        <v>146</v>
      </c>
    </row>
    <row r="862" spans="1:18" x14ac:dyDescent="0.3">
      <c r="A862" s="12" t="s">
        <v>3832</v>
      </c>
      <c r="B862" s="12" t="s">
        <v>12</v>
      </c>
      <c r="C862" s="12"/>
      <c r="D862" s="12" t="s">
        <v>12</v>
      </c>
      <c r="E862" s="12" t="s">
        <v>3833</v>
      </c>
      <c r="F862" s="12"/>
      <c r="G862" s="12" t="s">
        <v>3834</v>
      </c>
      <c r="H862" s="12" t="s">
        <v>75</v>
      </c>
      <c r="I862" s="12" t="s">
        <v>32</v>
      </c>
      <c r="J862" s="13" t="s">
        <v>3835</v>
      </c>
      <c r="K862" s="14" t="s">
        <v>3836</v>
      </c>
      <c r="L862" s="15">
        <v>0</v>
      </c>
      <c r="M862" s="15" t="s">
        <v>144</v>
      </c>
      <c r="N862" s="16">
        <v>45527</v>
      </c>
      <c r="O862" s="12" t="s">
        <v>3837</v>
      </c>
      <c r="P862" s="14" t="s">
        <v>3838</v>
      </c>
      <c r="Q862" s="17" t="s">
        <v>137</v>
      </c>
      <c r="R862" s="17" t="s">
        <v>146</v>
      </c>
    </row>
    <row r="863" spans="1:18" x14ac:dyDescent="0.3">
      <c r="A863" s="12" t="s">
        <v>3839</v>
      </c>
      <c r="B863" s="12" t="s">
        <v>12</v>
      </c>
      <c r="C863" s="12"/>
      <c r="D863" s="12" t="s">
        <v>12</v>
      </c>
      <c r="E863" s="12" t="s">
        <v>3840</v>
      </c>
      <c r="F863" s="12"/>
      <c r="G863" s="12" t="s">
        <v>3841</v>
      </c>
      <c r="H863" s="12" t="s">
        <v>81</v>
      </c>
      <c r="I863" s="12" t="s">
        <v>32</v>
      </c>
      <c r="J863" s="13" t="s">
        <v>3842</v>
      </c>
      <c r="K863" s="14" t="s">
        <v>3843</v>
      </c>
      <c r="L863" s="15">
        <v>2</v>
      </c>
      <c r="M863" s="15" t="s">
        <v>144</v>
      </c>
      <c r="N863" s="16">
        <v>45119</v>
      </c>
      <c r="O863" s="12" t="s">
        <v>3839</v>
      </c>
      <c r="P863" s="14" t="s">
        <v>3844</v>
      </c>
      <c r="Q863" s="17" t="s">
        <v>137</v>
      </c>
      <c r="R863" s="17" t="s">
        <v>146</v>
      </c>
    </row>
    <row r="864" spans="1:18" x14ac:dyDescent="0.3">
      <c r="A864" s="12" t="s">
        <v>3845</v>
      </c>
      <c r="B864" s="12" t="s">
        <v>12</v>
      </c>
      <c r="C864" s="12"/>
      <c r="D864" s="12" t="s">
        <v>12</v>
      </c>
      <c r="E864" s="12" t="s">
        <v>3846</v>
      </c>
      <c r="F864" s="12"/>
      <c r="G864" s="12" t="s">
        <v>3847</v>
      </c>
      <c r="H864" s="12" t="s">
        <v>81</v>
      </c>
      <c r="I864" s="12" t="s">
        <v>32</v>
      </c>
      <c r="J864" s="13" t="s">
        <v>3848</v>
      </c>
      <c r="K864" s="14" t="s">
        <v>3849</v>
      </c>
      <c r="L864" s="15">
        <v>0</v>
      </c>
      <c r="M864" s="15" t="s">
        <v>144</v>
      </c>
      <c r="N864" s="16">
        <v>45999</v>
      </c>
      <c r="O864" s="12" t="s">
        <v>3845</v>
      </c>
      <c r="P864" s="14" t="s">
        <v>3850</v>
      </c>
      <c r="Q864" s="17" t="s">
        <v>137</v>
      </c>
      <c r="R864" s="17" t="s">
        <v>146</v>
      </c>
    </row>
    <row r="865" spans="1:18" x14ac:dyDescent="0.3">
      <c r="A865" s="12" t="s">
        <v>3851</v>
      </c>
      <c r="B865" s="12" t="s">
        <v>12</v>
      </c>
      <c r="C865" s="12"/>
      <c r="D865" s="12" t="s">
        <v>12</v>
      </c>
      <c r="E865" s="12" t="s">
        <v>3852</v>
      </c>
      <c r="F865" s="12"/>
      <c r="G865" s="12" t="s">
        <v>3853</v>
      </c>
      <c r="H865" s="12" t="s">
        <v>82</v>
      </c>
      <c r="I865" s="12" t="s">
        <v>32</v>
      </c>
      <c r="J865" s="13" t="s">
        <v>3854</v>
      </c>
      <c r="K865" s="14" t="s">
        <v>3855</v>
      </c>
      <c r="L865" s="15">
        <v>2</v>
      </c>
      <c r="M865" s="15" t="s">
        <v>144</v>
      </c>
      <c r="N865" s="16">
        <v>44948</v>
      </c>
      <c r="O865" s="12" t="s">
        <v>3856</v>
      </c>
      <c r="P865" s="14" t="s">
        <v>3857</v>
      </c>
      <c r="Q865" s="17" t="s">
        <v>137</v>
      </c>
      <c r="R865" s="17" t="s">
        <v>146</v>
      </c>
    </row>
    <row r="866" spans="1:18" x14ac:dyDescent="0.3">
      <c r="A866" s="12" t="s">
        <v>3858</v>
      </c>
      <c r="B866" s="12" t="s">
        <v>14</v>
      </c>
      <c r="C866" s="12"/>
      <c r="D866" s="12" t="s">
        <v>14</v>
      </c>
      <c r="E866" s="12" t="s">
        <v>3859</v>
      </c>
      <c r="F866" s="12" t="s">
        <v>218</v>
      </c>
      <c r="G866" s="12" t="s">
        <v>3853</v>
      </c>
      <c r="H866" s="12" t="s">
        <v>82</v>
      </c>
      <c r="I866" s="12" t="s">
        <v>32</v>
      </c>
      <c r="J866" s="13" t="s">
        <v>3854</v>
      </c>
      <c r="K866" s="14" t="s">
        <v>3860</v>
      </c>
      <c r="L866" s="15">
        <v>6</v>
      </c>
      <c r="M866" s="15" t="s">
        <v>144</v>
      </c>
      <c r="N866" s="16">
        <v>44644</v>
      </c>
      <c r="O866" s="12" t="s">
        <v>3858</v>
      </c>
      <c r="P866" s="14" t="s">
        <v>3861</v>
      </c>
      <c r="Q866" s="17" t="s">
        <v>137</v>
      </c>
      <c r="R866" s="17" t="s">
        <v>146</v>
      </c>
    </row>
    <row r="867" spans="1:18" x14ac:dyDescent="0.3">
      <c r="A867" s="12" t="s">
        <v>3862</v>
      </c>
      <c r="B867" s="12" t="s">
        <v>14</v>
      </c>
      <c r="C867" s="12"/>
      <c r="D867" s="12" t="s">
        <v>14</v>
      </c>
      <c r="E867" s="12" t="s">
        <v>3863</v>
      </c>
      <c r="F867" s="12" t="s">
        <v>258</v>
      </c>
      <c r="G867" s="12" t="s">
        <v>3864</v>
      </c>
      <c r="H867" s="12" t="s">
        <v>57</v>
      </c>
      <c r="I867" s="12" t="s">
        <v>32</v>
      </c>
      <c r="J867" s="13" t="s">
        <v>3865</v>
      </c>
      <c r="K867" s="14" t="s">
        <v>3866</v>
      </c>
      <c r="L867" s="15">
        <v>1</v>
      </c>
      <c r="M867" s="15" t="s">
        <v>144</v>
      </c>
      <c r="N867" s="16">
        <v>45743</v>
      </c>
      <c r="O867" s="12" t="s">
        <v>3862</v>
      </c>
      <c r="P867" s="14" t="s">
        <v>3867</v>
      </c>
      <c r="Q867" s="17" t="s">
        <v>137</v>
      </c>
      <c r="R867" s="17" t="s">
        <v>146</v>
      </c>
    </row>
    <row r="868" spans="1:18" x14ac:dyDescent="0.3">
      <c r="A868" s="12" t="s">
        <v>3868</v>
      </c>
      <c r="B868" s="12" t="s">
        <v>12</v>
      </c>
      <c r="C868" s="12"/>
      <c r="D868" s="12" t="s">
        <v>12</v>
      </c>
      <c r="E868" s="12" t="s">
        <v>3869</v>
      </c>
      <c r="F868" s="12"/>
      <c r="G868" s="12" t="s">
        <v>3870</v>
      </c>
      <c r="H868" s="12" t="s">
        <v>57</v>
      </c>
      <c r="I868" s="12" t="s">
        <v>32</v>
      </c>
      <c r="J868" s="13" t="s">
        <v>3871</v>
      </c>
      <c r="K868" s="14" t="s">
        <v>3872</v>
      </c>
      <c r="L868" s="15">
        <v>0</v>
      </c>
      <c r="M868" s="15" t="s">
        <v>144</v>
      </c>
      <c r="N868" s="16">
        <v>45099</v>
      </c>
      <c r="O868" s="12" t="s">
        <v>3873</v>
      </c>
      <c r="P868" s="14" t="s">
        <v>3874</v>
      </c>
      <c r="Q868" s="17" t="s">
        <v>137</v>
      </c>
      <c r="R868" s="17" t="s">
        <v>146</v>
      </c>
    </row>
    <row r="869" spans="1:18" x14ac:dyDescent="0.3">
      <c r="A869" s="12" t="s">
        <v>3875</v>
      </c>
      <c r="B869" s="12" t="s">
        <v>14</v>
      </c>
      <c r="C869" s="12"/>
      <c r="D869" s="12" t="s">
        <v>14</v>
      </c>
      <c r="E869" s="12" t="s">
        <v>3876</v>
      </c>
      <c r="F869" s="12"/>
      <c r="G869" s="12" t="s">
        <v>3870</v>
      </c>
      <c r="H869" s="12" t="s">
        <v>57</v>
      </c>
      <c r="I869" s="12" t="s">
        <v>32</v>
      </c>
      <c r="J869" s="13" t="s">
        <v>3871</v>
      </c>
      <c r="K869" s="14" t="s">
        <v>3877</v>
      </c>
      <c r="L869" s="15">
        <v>0</v>
      </c>
      <c r="M869" s="15" t="s">
        <v>144</v>
      </c>
      <c r="N869" s="16">
        <v>45694</v>
      </c>
      <c r="O869" s="12" t="s">
        <v>3875</v>
      </c>
      <c r="P869" s="14" t="s">
        <v>3878</v>
      </c>
      <c r="Q869" s="17" t="s">
        <v>137</v>
      </c>
      <c r="R869" s="17" t="s">
        <v>146</v>
      </c>
    </row>
    <row r="870" spans="1:18" x14ac:dyDescent="0.3">
      <c r="A870" s="12" t="s">
        <v>307</v>
      </c>
      <c r="B870" s="12" t="s">
        <v>14</v>
      </c>
      <c r="C870" s="12"/>
      <c r="D870" s="12" t="s">
        <v>14</v>
      </c>
      <c r="E870" s="12" t="s">
        <v>3879</v>
      </c>
      <c r="F870" s="12"/>
      <c r="G870" s="12" t="s">
        <v>3870</v>
      </c>
      <c r="H870" s="12" t="s">
        <v>57</v>
      </c>
      <c r="I870" s="12" t="s">
        <v>32</v>
      </c>
      <c r="J870" s="13" t="s">
        <v>3871</v>
      </c>
      <c r="K870" s="14" t="s">
        <v>558</v>
      </c>
      <c r="L870" s="15">
        <v>1</v>
      </c>
      <c r="M870" s="15" t="s">
        <v>144</v>
      </c>
      <c r="N870" s="16">
        <v>46275</v>
      </c>
      <c r="O870" s="12" t="s">
        <v>307</v>
      </c>
      <c r="P870" s="14" t="s">
        <v>310</v>
      </c>
      <c r="Q870" s="17" t="s">
        <v>137</v>
      </c>
      <c r="R870" s="17" t="s">
        <v>146</v>
      </c>
    </row>
    <row r="871" spans="1:18" x14ac:dyDescent="0.3">
      <c r="A871" s="12" t="s">
        <v>3880</v>
      </c>
      <c r="B871" s="12" t="s">
        <v>12</v>
      </c>
      <c r="C871" s="12"/>
      <c r="D871" s="12" t="s">
        <v>12</v>
      </c>
      <c r="E871" s="12" t="s">
        <v>3881</v>
      </c>
      <c r="F871" s="12" t="s">
        <v>1542</v>
      </c>
      <c r="G871" s="12" t="s">
        <v>3882</v>
      </c>
      <c r="H871" s="12" t="s">
        <v>57</v>
      </c>
      <c r="I871" s="12" t="s">
        <v>32</v>
      </c>
      <c r="J871" s="13" t="s">
        <v>3883</v>
      </c>
      <c r="K871" s="14" t="s">
        <v>3884</v>
      </c>
      <c r="L871" s="15">
        <v>1</v>
      </c>
      <c r="M871" s="15" t="s">
        <v>144</v>
      </c>
      <c r="N871" s="16">
        <v>45875</v>
      </c>
      <c r="O871" s="12" t="s">
        <v>3880</v>
      </c>
      <c r="P871" s="14" t="s">
        <v>3885</v>
      </c>
      <c r="Q871" s="17" t="s">
        <v>137</v>
      </c>
      <c r="R871" s="17" t="s">
        <v>146</v>
      </c>
    </row>
    <row r="872" spans="1:18" x14ac:dyDescent="0.3">
      <c r="A872" s="12" t="s">
        <v>307</v>
      </c>
      <c r="B872" s="12" t="s">
        <v>14</v>
      </c>
      <c r="C872" s="12"/>
      <c r="D872" s="12" t="s">
        <v>14</v>
      </c>
      <c r="E872" s="12" t="s">
        <v>3886</v>
      </c>
      <c r="F872" s="12" t="s">
        <v>1542</v>
      </c>
      <c r="G872" s="12" t="s">
        <v>3882</v>
      </c>
      <c r="H872" s="12" t="s">
        <v>57</v>
      </c>
      <c r="I872" s="12" t="s">
        <v>32</v>
      </c>
      <c r="J872" s="13" t="s">
        <v>3883</v>
      </c>
      <c r="K872" s="14" t="s">
        <v>3887</v>
      </c>
      <c r="L872" s="15">
        <v>1</v>
      </c>
      <c r="M872" s="15" t="s">
        <v>144</v>
      </c>
      <c r="N872" s="16">
        <v>46275</v>
      </c>
      <c r="O872" s="12" t="s">
        <v>307</v>
      </c>
      <c r="P872" s="14" t="s">
        <v>310</v>
      </c>
      <c r="Q872" s="17" t="s">
        <v>137</v>
      </c>
      <c r="R872" s="17" t="s">
        <v>146</v>
      </c>
    </row>
    <row r="873" spans="1:18" x14ac:dyDescent="0.3">
      <c r="A873" s="12" t="s">
        <v>3888</v>
      </c>
      <c r="B873" s="12" t="s">
        <v>12</v>
      </c>
      <c r="C873" s="12"/>
      <c r="D873" s="12" t="s">
        <v>12</v>
      </c>
      <c r="E873" s="12" t="s">
        <v>3889</v>
      </c>
      <c r="F873" s="12"/>
      <c r="G873" s="12" t="s">
        <v>3882</v>
      </c>
      <c r="H873" s="12" t="s">
        <v>57</v>
      </c>
      <c r="I873" s="12" t="s">
        <v>32</v>
      </c>
      <c r="J873" s="13" t="s">
        <v>3883</v>
      </c>
      <c r="K873" s="14" t="s">
        <v>3890</v>
      </c>
      <c r="L873" s="15">
        <v>0</v>
      </c>
      <c r="M873" s="15" t="s">
        <v>144</v>
      </c>
      <c r="N873" s="16">
        <v>45102</v>
      </c>
      <c r="O873" s="12" t="s">
        <v>3891</v>
      </c>
      <c r="P873" s="14" t="s">
        <v>3892</v>
      </c>
      <c r="Q873" s="17" t="s">
        <v>137</v>
      </c>
      <c r="R873" s="17" t="s">
        <v>146</v>
      </c>
    </row>
    <row r="874" spans="1:18" x14ac:dyDescent="0.3">
      <c r="A874" s="12" t="s">
        <v>3893</v>
      </c>
      <c r="B874" s="12" t="s">
        <v>12</v>
      </c>
      <c r="C874" s="12"/>
      <c r="D874" s="12" t="s">
        <v>12</v>
      </c>
      <c r="E874" s="12" t="s">
        <v>3894</v>
      </c>
      <c r="F874" s="12" t="s">
        <v>1542</v>
      </c>
      <c r="G874" s="12" t="s">
        <v>3895</v>
      </c>
      <c r="H874" s="12" t="s">
        <v>83</v>
      </c>
      <c r="I874" s="12" t="s">
        <v>32</v>
      </c>
      <c r="J874" s="13" t="s">
        <v>3896</v>
      </c>
      <c r="K874" s="14" t="s">
        <v>3897</v>
      </c>
      <c r="L874" s="15">
        <v>3</v>
      </c>
      <c r="M874" s="15" t="s">
        <v>144</v>
      </c>
      <c r="N874" s="16">
        <v>45911</v>
      </c>
      <c r="O874" s="12" t="s">
        <v>3893</v>
      </c>
      <c r="P874" s="14" t="s">
        <v>3898</v>
      </c>
      <c r="Q874" s="17" t="s">
        <v>137</v>
      </c>
      <c r="R874" s="17" t="s">
        <v>146</v>
      </c>
    </row>
    <row r="875" spans="1:18" x14ac:dyDescent="0.3">
      <c r="A875" s="12" t="s">
        <v>3899</v>
      </c>
      <c r="B875" s="12" t="s">
        <v>12</v>
      </c>
      <c r="C875" s="12"/>
      <c r="D875" s="12" t="s">
        <v>12</v>
      </c>
      <c r="E875" s="12" t="s">
        <v>3900</v>
      </c>
      <c r="F875" s="12"/>
      <c r="G875" s="12" t="s">
        <v>3895</v>
      </c>
      <c r="H875" s="12" t="s">
        <v>83</v>
      </c>
      <c r="I875" s="12" t="s">
        <v>32</v>
      </c>
      <c r="J875" s="13" t="s">
        <v>3896</v>
      </c>
      <c r="K875" s="14" t="s">
        <v>3901</v>
      </c>
      <c r="L875" s="15">
        <v>0</v>
      </c>
      <c r="M875" s="15" t="s">
        <v>144</v>
      </c>
      <c r="N875" s="16">
        <v>46253</v>
      </c>
      <c r="O875" s="12" t="s">
        <v>3899</v>
      </c>
      <c r="P875" s="14" t="s">
        <v>3902</v>
      </c>
      <c r="Q875" s="17" t="s">
        <v>137</v>
      </c>
      <c r="R875" s="17" t="s">
        <v>146</v>
      </c>
    </row>
    <row r="876" spans="1:18" x14ac:dyDescent="0.3">
      <c r="A876" s="12" t="s">
        <v>3903</v>
      </c>
      <c r="B876" s="12" t="s">
        <v>12</v>
      </c>
      <c r="C876" s="12"/>
      <c r="D876" s="12" t="s">
        <v>12</v>
      </c>
      <c r="E876" s="12" t="s">
        <v>3904</v>
      </c>
      <c r="F876" s="12"/>
      <c r="G876" s="12" t="s">
        <v>3905</v>
      </c>
      <c r="H876" s="12" t="s">
        <v>84</v>
      </c>
      <c r="I876" s="12" t="s">
        <v>32</v>
      </c>
      <c r="J876" s="13" t="s">
        <v>3906</v>
      </c>
      <c r="K876" s="14" t="s">
        <v>3907</v>
      </c>
      <c r="L876" s="15">
        <v>0</v>
      </c>
      <c r="M876" s="15" t="s">
        <v>144</v>
      </c>
      <c r="N876" s="16">
        <v>45208</v>
      </c>
      <c r="O876" s="12" t="s">
        <v>3903</v>
      </c>
      <c r="P876" s="14" t="s">
        <v>3908</v>
      </c>
      <c r="Q876" s="17" t="s">
        <v>137</v>
      </c>
      <c r="R876" s="17" t="s">
        <v>146</v>
      </c>
    </row>
    <row r="877" spans="1:18" x14ac:dyDescent="0.3">
      <c r="A877" s="12" t="s">
        <v>3909</v>
      </c>
      <c r="B877" s="12" t="s">
        <v>12</v>
      </c>
      <c r="C877" s="12"/>
      <c r="D877" s="12" t="s">
        <v>12</v>
      </c>
      <c r="E877" s="12" t="s">
        <v>3910</v>
      </c>
      <c r="F877" s="12"/>
      <c r="G877" s="12" t="s">
        <v>3911</v>
      </c>
      <c r="H877" s="12" t="s">
        <v>84</v>
      </c>
      <c r="I877" s="12" t="s">
        <v>32</v>
      </c>
      <c r="J877" s="13" t="s">
        <v>3912</v>
      </c>
      <c r="K877" s="14" t="s">
        <v>3913</v>
      </c>
      <c r="L877" s="15">
        <v>0</v>
      </c>
      <c r="M877" s="15" t="s">
        <v>144</v>
      </c>
      <c r="N877" s="16">
        <v>44599</v>
      </c>
      <c r="O877" s="12" t="s">
        <v>3909</v>
      </c>
      <c r="P877" s="14" t="s">
        <v>3914</v>
      </c>
      <c r="Q877" s="17" t="s">
        <v>137</v>
      </c>
      <c r="R877" s="17" t="s">
        <v>146</v>
      </c>
    </row>
    <row r="878" spans="1:18" x14ac:dyDescent="0.3">
      <c r="A878" s="12" t="s">
        <v>3915</v>
      </c>
      <c r="B878" s="12" t="s">
        <v>12</v>
      </c>
      <c r="C878" s="12"/>
      <c r="D878" s="12" t="s">
        <v>12</v>
      </c>
      <c r="E878" s="12" t="s">
        <v>3916</v>
      </c>
      <c r="F878" s="12"/>
      <c r="G878" s="12" t="s">
        <v>3917</v>
      </c>
      <c r="H878" s="12" t="s">
        <v>98</v>
      </c>
      <c r="I878" s="12" t="s">
        <v>32</v>
      </c>
      <c r="J878" s="13" t="s">
        <v>3918</v>
      </c>
      <c r="K878" s="14" t="s">
        <v>3919</v>
      </c>
      <c r="L878" s="15">
        <v>1</v>
      </c>
      <c r="M878" s="15" t="s">
        <v>144</v>
      </c>
      <c r="N878" s="16">
        <v>45182</v>
      </c>
      <c r="O878" s="12" t="s">
        <v>3915</v>
      </c>
      <c r="P878" s="14" t="s">
        <v>3920</v>
      </c>
      <c r="Q878" s="17" t="s">
        <v>137</v>
      </c>
      <c r="R878" s="17" t="s">
        <v>146</v>
      </c>
    </row>
    <row r="879" spans="1:18" x14ac:dyDescent="0.3">
      <c r="A879" s="12" t="s">
        <v>3862</v>
      </c>
      <c r="B879" s="12" t="s">
        <v>14</v>
      </c>
      <c r="C879" s="12"/>
      <c r="D879" s="12" t="s">
        <v>14</v>
      </c>
      <c r="E879" s="12" t="s">
        <v>3921</v>
      </c>
      <c r="F879" s="12" t="s">
        <v>359</v>
      </c>
      <c r="G879" s="12" t="s">
        <v>3922</v>
      </c>
      <c r="H879" s="12" t="s">
        <v>42</v>
      </c>
      <c r="I879" s="12" t="s">
        <v>32</v>
      </c>
      <c r="J879" s="13" t="s">
        <v>3923</v>
      </c>
      <c r="K879" s="14" t="s">
        <v>3866</v>
      </c>
      <c r="L879" s="15">
        <v>0</v>
      </c>
      <c r="M879" s="15" t="s">
        <v>144</v>
      </c>
      <c r="N879" s="16">
        <v>45743</v>
      </c>
      <c r="O879" s="12" t="s">
        <v>3862</v>
      </c>
      <c r="P879" s="14" t="s">
        <v>3867</v>
      </c>
      <c r="Q879" s="17" t="s">
        <v>137</v>
      </c>
      <c r="R879" s="17" t="s">
        <v>146</v>
      </c>
    </row>
    <row r="880" spans="1:18" x14ac:dyDescent="0.3">
      <c r="A880" s="12" t="s">
        <v>3862</v>
      </c>
      <c r="B880" s="12" t="s">
        <v>14</v>
      </c>
      <c r="C880" s="12"/>
      <c r="D880" s="12" t="s">
        <v>14</v>
      </c>
      <c r="E880" s="12" t="s">
        <v>3924</v>
      </c>
      <c r="F880" s="12" t="s">
        <v>1270</v>
      </c>
      <c r="G880" s="12" t="s">
        <v>3922</v>
      </c>
      <c r="H880" s="12" t="s">
        <v>42</v>
      </c>
      <c r="I880" s="12" t="s">
        <v>32</v>
      </c>
      <c r="J880" s="13" t="s">
        <v>3925</v>
      </c>
      <c r="K880" s="14" t="s">
        <v>3926</v>
      </c>
      <c r="L880" s="15">
        <v>1</v>
      </c>
      <c r="M880" s="15" t="s">
        <v>144</v>
      </c>
      <c r="N880" s="16">
        <v>45743</v>
      </c>
      <c r="O880" s="12" t="s">
        <v>3862</v>
      </c>
      <c r="P880" s="14" t="s">
        <v>3867</v>
      </c>
      <c r="Q880" s="17" t="s">
        <v>137</v>
      </c>
      <c r="R880" s="17" t="s">
        <v>146</v>
      </c>
    </row>
    <row r="881" spans="1:18" x14ac:dyDescent="0.3">
      <c r="A881" s="12" t="s">
        <v>3927</v>
      </c>
      <c r="B881" s="12" t="s">
        <v>14</v>
      </c>
      <c r="C881" s="12"/>
      <c r="D881" s="12" t="s">
        <v>14</v>
      </c>
      <c r="E881" s="12" t="s">
        <v>3928</v>
      </c>
      <c r="F881" s="12"/>
      <c r="G881" s="12" t="s">
        <v>3922</v>
      </c>
      <c r="H881" s="12" t="s">
        <v>42</v>
      </c>
      <c r="I881" s="12" t="s">
        <v>32</v>
      </c>
      <c r="J881" s="13" t="s">
        <v>3923</v>
      </c>
      <c r="K881" s="14" t="s">
        <v>3929</v>
      </c>
      <c r="L881" s="15">
        <v>0</v>
      </c>
      <c r="M881" s="15" t="s">
        <v>144</v>
      </c>
      <c r="N881" s="16">
        <v>46100</v>
      </c>
      <c r="O881" s="12" t="s">
        <v>3927</v>
      </c>
      <c r="P881" s="14" t="s">
        <v>3930</v>
      </c>
      <c r="Q881" s="17" t="s">
        <v>137</v>
      </c>
      <c r="R881" s="17" t="s">
        <v>146</v>
      </c>
    </row>
    <row r="882" spans="1:18" x14ac:dyDescent="0.3">
      <c r="A882" s="12" t="s">
        <v>3931</v>
      </c>
      <c r="B882" s="12" t="s">
        <v>12</v>
      </c>
      <c r="C882" s="12"/>
      <c r="D882" s="12" t="s">
        <v>12</v>
      </c>
      <c r="E882" s="12" t="s">
        <v>3932</v>
      </c>
      <c r="F882" s="12" t="s">
        <v>3933</v>
      </c>
      <c r="G882" s="12" t="s">
        <v>3922</v>
      </c>
      <c r="H882" s="12" t="s">
        <v>42</v>
      </c>
      <c r="I882" s="12" t="s">
        <v>32</v>
      </c>
      <c r="J882" s="13" t="s">
        <v>3925</v>
      </c>
      <c r="K882" s="14" t="s">
        <v>3934</v>
      </c>
      <c r="L882" s="15">
        <v>2</v>
      </c>
      <c r="M882" s="15" t="s">
        <v>144</v>
      </c>
      <c r="N882" s="16">
        <v>45911</v>
      </c>
      <c r="O882" s="12" t="s">
        <v>3931</v>
      </c>
      <c r="P882" s="14" t="s">
        <v>3935</v>
      </c>
      <c r="Q882" s="17" t="s">
        <v>137</v>
      </c>
      <c r="R882" s="17" t="s">
        <v>146</v>
      </c>
    </row>
    <row r="883" spans="1:18" x14ac:dyDescent="0.3">
      <c r="A883" s="12" t="s">
        <v>747</v>
      </c>
      <c r="B883" s="12" t="s">
        <v>14</v>
      </c>
      <c r="C883" s="12"/>
      <c r="D883" s="12" t="s">
        <v>14</v>
      </c>
      <c r="E883" s="12" t="s">
        <v>3936</v>
      </c>
      <c r="F883" s="12"/>
      <c r="G883" s="12" t="s">
        <v>3922</v>
      </c>
      <c r="H883" s="12" t="s">
        <v>42</v>
      </c>
      <c r="I883" s="12" t="s">
        <v>32</v>
      </c>
      <c r="J883" s="13" t="s">
        <v>3925</v>
      </c>
      <c r="K883" s="14" t="s">
        <v>3937</v>
      </c>
      <c r="L883" s="15">
        <v>0</v>
      </c>
      <c r="M883" s="15" t="s">
        <v>144</v>
      </c>
      <c r="N883" s="16">
        <v>45205</v>
      </c>
      <c r="O883" s="12" t="s">
        <v>752</v>
      </c>
      <c r="P883" s="14" t="s">
        <v>753</v>
      </c>
      <c r="Q883" s="17" t="s">
        <v>137</v>
      </c>
      <c r="R883" s="17" t="s">
        <v>146</v>
      </c>
    </row>
    <row r="884" spans="1:18" x14ac:dyDescent="0.3">
      <c r="A884" s="12" t="s">
        <v>3938</v>
      </c>
      <c r="B884" s="12" t="s">
        <v>14</v>
      </c>
      <c r="C884" s="12"/>
      <c r="D884" s="12" t="s">
        <v>14</v>
      </c>
      <c r="E884" s="12" t="s">
        <v>3939</v>
      </c>
      <c r="F884" s="12"/>
      <c r="G884" s="12" t="s">
        <v>3922</v>
      </c>
      <c r="H884" s="12" t="s">
        <v>42</v>
      </c>
      <c r="I884" s="12" t="s">
        <v>32</v>
      </c>
      <c r="J884" s="13" t="s">
        <v>3925</v>
      </c>
      <c r="K884" s="14" t="s">
        <v>3937</v>
      </c>
      <c r="L884" s="15">
        <v>0</v>
      </c>
      <c r="M884" s="15" t="s">
        <v>144</v>
      </c>
      <c r="N884" s="16">
        <v>44735</v>
      </c>
      <c r="O884" s="12" t="s">
        <v>3938</v>
      </c>
      <c r="P884" s="14" t="s">
        <v>3940</v>
      </c>
      <c r="Q884" s="17" t="s">
        <v>137</v>
      </c>
      <c r="R884" s="17" t="s">
        <v>146</v>
      </c>
    </row>
    <row r="885" spans="1:18" x14ac:dyDescent="0.3">
      <c r="A885" s="12" t="s">
        <v>3941</v>
      </c>
      <c r="B885" s="12" t="s">
        <v>14</v>
      </c>
      <c r="C885" s="12"/>
      <c r="D885" s="12" t="s">
        <v>14</v>
      </c>
      <c r="E885" s="12" t="s">
        <v>3942</v>
      </c>
      <c r="F885" s="12"/>
      <c r="G885" s="12" t="s">
        <v>3922</v>
      </c>
      <c r="H885" s="12" t="s">
        <v>42</v>
      </c>
      <c r="I885" s="12" t="s">
        <v>32</v>
      </c>
      <c r="J885" s="13" t="s">
        <v>3923</v>
      </c>
      <c r="K885" s="14" t="s">
        <v>3943</v>
      </c>
      <c r="L885" s="15">
        <v>8</v>
      </c>
      <c r="M885" s="15" t="s">
        <v>144</v>
      </c>
      <c r="N885" s="16">
        <v>45127</v>
      </c>
      <c r="O885" s="12" t="s">
        <v>3944</v>
      </c>
      <c r="P885" s="14" t="s">
        <v>3945</v>
      </c>
      <c r="Q885" s="17" t="s">
        <v>137</v>
      </c>
      <c r="R885" s="17" t="s">
        <v>146</v>
      </c>
    </row>
    <row r="886" spans="1:18" x14ac:dyDescent="0.3">
      <c r="A886" s="12" t="s">
        <v>3946</v>
      </c>
      <c r="B886" s="12" t="s">
        <v>12</v>
      </c>
      <c r="C886" s="12"/>
      <c r="D886" s="12" t="s">
        <v>12</v>
      </c>
      <c r="E886" s="12" t="s">
        <v>3947</v>
      </c>
      <c r="F886" s="12" t="s">
        <v>1765</v>
      </c>
      <c r="G886" s="12" t="s">
        <v>3922</v>
      </c>
      <c r="H886" s="12" t="s">
        <v>42</v>
      </c>
      <c r="I886" s="12" t="s">
        <v>32</v>
      </c>
      <c r="J886" s="13" t="s">
        <v>3925</v>
      </c>
      <c r="K886" s="14" t="s">
        <v>3948</v>
      </c>
      <c r="L886" s="15">
        <v>0</v>
      </c>
      <c r="M886" s="15" t="s">
        <v>144</v>
      </c>
      <c r="N886" s="16">
        <v>45603</v>
      </c>
      <c r="O886" s="12" t="s">
        <v>3946</v>
      </c>
      <c r="P886" s="14" t="s">
        <v>3949</v>
      </c>
      <c r="Q886" s="17" t="s">
        <v>137</v>
      </c>
      <c r="R886" s="17" t="s">
        <v>146</v>
      </c>
    </row>
    <row r="887" spans="1:18" x14ac:dyDescent="0.3">
      <c r="A887" s="12" t="s">
        <v>3950</v>
      </c>
      <c r="B887" s="12" t="s">
        <v>12</v>
      </c>
      <c r="C887" s="12"/>
      <c r="D887" s="12" t="s">
        <v>12</v>
      </c>
      <c r="E887" s="12" t="s">
        <v>3951</v>
      </c>
      <c r="F887" s="12"/>
      <c r="G887" s="12" t="s">
        <v>3922</v>
      </c>
      <c r="H887" s="12" t="s">
        <v>42</v>
      </c>
      <c r="I887" s="12" t="s">
        <v>32</v>
      </c>
      <c r="J887" s="13" t="s">
        <v>3925</v>
      </c>
      <c r="K887" s="14" t="s">
        <v>3952</v>
      </c>
      <c r="L887" s="15">
        <v>2</v>
      </c>
      <c r="M887" s="15" t="s">
        <v>144</v>
      </c>
      <c r="N887" s="16">
        <v>45554</v>
      </c>
      <c r="O887" s="12" t="s">
        <v>3950</v>
      </c>
      <c r="P887" s="14" t="s">
        <v>3953</v>
      </c>
      <c r="Q887" s="17" t="s">
        <v>137</v>
      </c>
      <c r="R887" s="17" t="s">
        <v>146</v>
      </c>
    </row>
    <row r="888" spans="1:18" x14ac:dyDescent="0.3">
      <c r="A888" s="12" t="s">
        <v>3954</v>
      </c>
      <c r="B888" s="12" t="s">
        <v>12</v>
      </c>
      <c r="C888" s="12"/>
      <c r="D888" s="12" t="s">
        <v>12</v>
      </c>
      <c r="E888" s="12" t="s">
        <v>3955</v>
      </c>
      <c r="F888" s="12" t="s">
        <v>1542</v>
      </c>
      <c r="G888" s="12" t="s">
        <v>3922</v>
      </c>
      <c r="H888" s="12" t="s">
        <v>42</v>
      </c>
      <c r="I888" s="12" t="s">
        <v>32</v>
      </c>
      <c r="J888" s="13" t="s">
        <v>3925</v>
      </c>
      <c r="K888" s="14" t="s">
        <v>3956</v>
      </c>
      <c r="L888" s="15">
        <v>3</v>
      </c>
      <c r="M888" s="15" t="s">
        <v>144</v>
      </c>
      <c r="N888" s="16">
        <v>45677</v>
      </c>
      <c r="O888" s="12" t="s">
        <v>3954</v>
      </c>
      <c r="P888" s="14" t="s">
        <v>3957</v>
      </c>
      <c r="Q888" s="17" t="s">
        <v>137</v>
      </c>
      <c r="R888" s="17" t="s">
        <v>146</v>
      </c>
    </row>
    <row r="889" spans="1:18" x14ac:dyDescent="0.3">
      <c r="A889" s="12" t="s">
        <v>3958</v>
      </c>
      <c r="B889" s="12" t="s">
        <v>18</v>
      </c>
      <c r="C889" s="12"/>
      <c r="D889" s="12" t="s">
        <v>223</v>
      </c>
      <c r="E889" s="12" t="s">
        <v>3959</v>
      </c>
      <c r="F889" s="12"/>
      <c r="G889" s="12" t="s">
        <v>3922</v>
      </c>
      <c r="H889" s="12" t="s">
        <v>42</v>
      </c>
      <c r="I889" s="12" t="s">
        <v>32</v>
      </c>
      <c r="J889" s="13" t="s">
        <v>3925</v>
      </c>
      <c r="K889" s="14" t="s">
        <v>3960</v>
      </c>
      <c r="L889" s="15">
        <v>0</v>
      </c>
      <c r="M889" s="15" t="s">
        <v>144</v>
      </c>
      <c r="N889" s="16">
        <v>45821</v>
      </c>
      <c r="O889" s="12" t="s">
        <v>3961</v>
      </c>
      <c r="P889" s="14" t="s">
        <v>3962</v>
      </c>
      <c r="Q889" s="17" t="s">
        <v>137</v>
      </c>
      <c r="R889" s="17" t="s">
        <v>146</v>
      </c>
    </row>
    <row r="890" spans="1:18" x14ac:dyDescent="0.3">
      <c r="A890" s="12" t="s">
        <v>3963</v>
      </c>
      <c r="B890" s="12" t="s">
        <v>10</v>
      </c>
      <c r="C890" s="12"/>
      <c r="D890" s="12" t="s">
        <v>720</v>
      </c>
      <c r="E890" s="12" t="s">
        <v>3964</v>
      </c>
      <c r="F890" s="12" t="s">
        <v>520</v>
      </c>
      <c r="G890" s="12" t="s">
        <v>3922</v>
      </c>
      <c r="H890" s="12" t="s">
        <v>42</v>
      </c>
      <c r="I890" s="12" t="s">
        <v>32</v>
      </c>
      <c r="J890" s="13" t="s">
        <v>3965</v>
      </c>
      <c r="K890" s="14" t="s">
        <v>3966</v>
      </c>
      <c r="L890" s="15">
        <v>1</v>
      </c>
      <c r="M890" s="15" t="s">
        <v>144</v>
      </c>
      <c r="N890" s="16">
        <v>44698</v>
      </c>
      <c r="O890" s="12" t="s">
        <v>3967</v>
      </c>
      <c r="P890" s="14" t="s">
        <v>3968</v>
      </c>
      <c r="Q890" s="17" t="s">
        <v>137</v>
      </c>
      <c r="R890" s="17" t="s">
        <v>146</v>
      </c>
    </row>
    <row r="891" spans="1:18" x14ac:dyDescent="0.3">
      <c r="A891" s="12" t="s">
        <v>3969</v>
      </c>
      <c r="B891" s="12" t="s">
        <v>12</v>
      </c>
      <c r="C891" s="12"/>
      <c r="D891" s="12" t="s">
        <v>12</v>
      </c>
      <c r="E891" s="12" t="s">
        <v>3970</v>
      </c>
      <c r="F891" s="12"/>
      <c r="G891" s="12" t="s">
        <v>3922</v>
      </c>
      <c r="H891" s="12" t="s">
        <v>42</v>
      </c>
      <c r="I891" s="12" t="s">
        <v>32</v>
      </c>
      <c r="J891" s="13" t="s">
        <v>3923</v>
      </c>
      <c r="K891" s="14" t="s">
        <v>3971</v>
      </c>
      <c r="L891" s="15">
        <v>0</v>
      </c>
      <c r="M891" s="15" t="s">
        <v>144</v>
      </c>
      <c r="N891" s="16">
        <v>44600</v>
      </c>
      <c r="O891" s="12" t="s">
        <v>3969</v>
      </c>
      <c r="P891" s="14" t="s">
        <v>3972</v>
      </c>
      <c r="Q891" s="17" t="s">
        <v>137</v>
      </c>
      <c r="R891" s="17" t="s">
        <v>146</v>
      </c>
    </row>
    <row r="892" spans="1:18" x14ac:dyDescent="0.3">
      <c r="A892" s="12" t="s">
        <v>3973</v>
      </c>
      <c r="B892" s="12" t="s">
        <v>18</v>
      </c>
      <c r="C892" s="12"/>
      <c r="D892" s="12" t="s">
        <v>967</v>
      </c>
      <c r="E892" s="12" t="s">
        <v>3974</v>
      </c>
      <c r="F892" s="12"/>
      <c r="G892" s="12" t="s">
        <v>3922</v>
      </c>
      <c r="H892" s="12" t="s">
        <v>42</v>
      </c>
      <c r="I892" s="12" t="s">
        <v>32</v>
      </c>
      <c r="J892" s="13" t="s">
        <v>3975</v>
      </c>
      <c r="K892" s="14" t="s">
        <v>3976</v>
      </c>
      <c r="L892" s="15">
        <v>1</v>
      </c>
      <c r="M892" s="15" t="s">
        <v>220</v>
      </c>
      <c r="N892" s="16">
        <v>45383</v>
      </c>
      <c r="O892" s="12" t="s">
        <v>3977</v>
      </c>
      <c r="P892" s="14" t="s">
        <v>3978</v>
      </c>
      <c r="Q892" s="17" t="s">
        <v>137</v>
      </c>
      <c r="R892" s="17" t="s">
        <v>146</v>
      </c>
    </row>
    <row r="893" spans="1:18" x14ac:dyDescent="0.3">
      <c r="A893" s="12" t="s">
        <v>3979</v>
      </c>
      <c r="B893" s="12" t="s">
        <v>10</v>
      </c>
      <c r="C893" s="12"/>
      <c r="D893" s="12" t="s">
        <v>1561</v>
      </c>
      <c r="E893" s="12" t="s">
        <v>3980</v>
      </c>
      <c r="F893" s="12" t="s">
        <v>1755</v>
      </c>
      <c r="G893" s="12" t="s">
        <v>3922</v>
      </c>
      <c r="H893" s="12" t="s">
        <v>42</v>
      </c>
      <c r="I893" s="12" t="s">
        <v>32</v>
      </c>
      <c r="J893" s="13" t="s">
        <v>3965</v>
      </c>
      <c r="K893" s="14" t="s">
        <v>3981</v>
      </c>
      <c r="L893" s="15">
        <v>1</v>
      </c>
      <c r="M893" s="15" t="s">
        <v>144</v>
      </c>
      <c r="N893" s="16">
        <v>45505</v>
      </c>
      <c r="O893" s="12" t="s">
        <v>3982</v>
      </c>
      <c r="P893" s="14" t="s">
        <v>3983</v>
      </c>
      <c r="Q893" s="17" t="s">
        <v>137</v>
      </c>
      <c r="R893" s="17" t="s">
        <v>146</v>
      </c>
    </row>
    <row r="894" spans="1:18" x14ac:dyDescent="0.3">
      <c r="A894" s="12" t="s">
        <v>3984</v>
      </c>
      <c r="B894" s="12" t="s">
        <v>12</v>
      </c>
      <c r="C894" s="12"/>
      <c r="D894" s="12" t="s">
        <v>12</v>
      </c>
      <c r="E894" s="12" t="s">
        <v>3985</v>
      </c>
      <c r="F894" s="12" t="s">
        <v>3986</v>
      </c>
      <c r="G894" s="12" t="s">
        <v>3922</v>
      </c>
      <c r="H894" s="12" t="s">
        <v>42</v>
      </c>
      <c r="I894" s="12" t="s">
        <v>32</v>
      </c>
      <c r="J894" s="13" t="s">
        <v>3965</v>
      </c>
      <c r="K894" s="14" t="s">
        <v>3987</v>
      </c>
      <c r="L894" s="15">
        <v>0</v>
      </c>
      <c r="M894" s="15" t="s">
        <v>144</v>
      </c>
      <c r="N894" s="16">
        <v>45028</v>
      </c>
      <c r="O894" s="12" t="s">
        <v>3984</v>
      </c>
      <c r="P894" s="14" t="s">
        <v>3988</v>
      </c>
      <c r="Q894" s="17" t="s">
        <v>137</v>
      </c>
      <c r="R894" s="17" t="s">
        <v>146</v>
      </c>
    </row>
    <row r="895" spans="1:18" x14ac:dyDescent="0.3">
      <c r="A895" s="12" t="s">
        <v>3989</v>
      </c>
      <c r="B895" s="12" t="s">
        <v>12</v>
      </c>
      <c r="C895" s="12"/>
      <c r="D895" s="12" t="s">
        <v>12</v>
      </c>
      <c r="E895" s="12" t="s">
        <v>3990</v>
      </c>
      <c r="F895" s="12" t="s">
        <v>372</v>
      </c>
      <c r="G895" s="12" t="s">
        <v>3922</v>
      </c>
      <c r="H895" s="12" t="s">
        <v>42</v>
      </c>
      <c r="I895" s="12" t="s">
        <v>32</v>
      </c>
      <c r="J895" s="13" t="s">
        <v>3925</v>
      </c>
      <c r="K895" s="14" t="s">
        <v>3991</v>
      </c>
      <c r="L895" s="15">
        <v>4</v>
      </c>
      <c r="M895" s="15" t="s">
        <v>144</v>
      </c>
      <c r="N895" s="16">
        <v>45327</v>
      </c>
      <c r="O895" s="12" t="s">
        <v>3989</v>
      </c>
      <c r="P895" s="14" t="s">
        <v>3992</v>
      </c>
      <c r="Q895" s="17" t="s">
        <v>137</v>
      </c>
      <c r="R895" s="17" t="s">
        <v>146</v>
      </c>
    </row>
    <row r="896" spans="1:18" x14ac:dyDescent="0.3">
      <c r="A896" s="12" t="s">
        <v>3993</v>
      </c>
      <c r="B896" s="12" t="s">
        <v>20</v>
      </c>
      <c r="C896" s="12"/>
      <c r="D896" s="12" t="s">
        <v>193</v>
      </c>
      <c r="E896" s="12" t="s">
        <v>3994</v>
      </c>
      <c r="F896" s="12"/>
      <c r="G896" s="12" t="s">
        <v>3922</v>
      </c>
      <c r="H896" s="12" t="s">
        <v>42</v>
      </c>
      <c r="I896" s="12" t="s">
        <v>32</v>
      </c>
      <c r="J896" s="13" t="s">
        <v>3923</v>
      </c>
      <c r="K896" s="14" t="s">
        <v>3995</v>
      </c>
      <c r="L896" s="15">
        <v>1</v>
      </c>
      <c r="M896" s="15" t="s">
        <v>144</v>
      </c>
      <c r="N896" s="16">
        <v>40680</v>
      </c>
      <c r="O896" s="12" t="s">
        <v>3996</v>
      </c>
      <c r="P896" s="14" t="s">
        <v>3997</v>
      </c>
      <c r="Q896" s="17" t="s">
        <v>137</v>
      </c>
      <c r="R896" s="17" t="s">
        <v>146</v>
      </c>
    </row>
    <row r="897" spans="1:18" x14ac:dyDescent="0.3">
      <c r="A897" s="12" t="s">
        <v>3998</v>
      </c>
      <c r="B897" s="12" t="s">
        <v>12</v>
      </c>
      <c r="C897" s="12"/>
      <c r="D897" s="12" t="s">
        <v>12</v>
      </c>
      <c r="E897" s="12" t="s">
        <v>3999</v>
      </c>
      <c r="F897" s="12"/>
      <c r="G897" s="12" t="s">
        <v>3922</v>
      </c>
      <c r="H897" s="12" t="s">
        <v>42</v>
      </c>
      <c r="I897" s="12" t="s">
        <v>32</v>
      </c>
      <c r="J897" s="13" t="s">
        <v>3925</v>
      </c>
      <c r="K897" s="14" t="s">
        <v>4000</v>
      </c>
      <c r="L897" s="15">
        <v>0</v>
      </c>
      <c r="M897" s="15" t="s">
        <v>144</v>
      </c>
      <c r="N897" s="16">
        <v>46008</v>
      </c>
      <c r="O897" s="12" t="s">
        <v>3998</v>
      </c>
      <c r="P897" s="14" t="s">
        <v>4001</v>
      </c>
      <c r="Q897" s="17" t="s">
        <v>137</v>
      </c>
      <c r="R897" s="17" t="s">
        <v>146</v>
      </c>
    </row>
    <row r="898" spans="1:18" x14ac:dyDescent="0.3">
      <c r="A898" s="12" t="s">
        <v>4002</v>
      </c>
      <c r="B898" s="12" t="s">
        <v>18</v>
      </c>
      <c r="C898" s="12"/>
      <c r="D898" s="12" t="s">
        <v>223</v>
      </c>
      <c r="E898" s="12" t="s">
        <v>4003</v>
      </c>
      <c r="F898" s="12"/>
      <c r="G898" s="12" t="s">
        <v>3922</v>
      </c>
      <c r="H898" s="12" t="s">
        <v>42</v>
      </c>
      <c r="I898" s="12" t="s">
        <v>32</v>
      </c>
      <c r="J898" s="13" t="s">
        <v>3965</v>
      </c>
      <c r="K898" s="14" t="s">
        <v>4004</v>
      </c>
      <c r="L898" s="15">
        <v>0</v>
      </c>
      <c r="M898" s="15" t="s">
        <v>144</v>
      </c>
      <c r="N898" s="16">
        <v>45965</v>
      </c>
      <c r="O898" s="12" t="s">
        <v>4005</v>
      </c>
      <c r="P898" s="14" t="s">
        <v>4006</v>
      </c>
      <c r="Q898" s="17" t="s">
        <v>137</v>
      </c>
      <c r="R898" s="17" t="s">
        <v>146</v>
      </c>
    </row>
    <row r="899" spans="1:18" x14ac:dyDescent="0.3">
      <c r="A899" s="12" t="s">
        <v>4007</v>
      </c>
      <c r="B899" s="12" t="s">
        <v>10</v>
      </c>
      <c r="C899" s="12"/>
      <c r="D899" s="12" t="s">
        <v>157</v>
      </c>
      <c r="E899" s="12" t="s">
        <v>4008</v>
      </c>
      <c r="F899" s="12"/>
      <c r="G899" s="12" t="s">
        <v>3922</v>
      </c>
      <c r="H899" s="12" t="s">
        <v>42</v>
      </c>
      <c r="I899" s="12" t="s">
        <v>32</v>
      </c>
      <c r="J899" s="13" t="s">
        <v>3923</v>
      </c>
      <c r="K899" s="14" t="s">
        <v>4009</v>
      </c>
      <c r="L899" s="15">
        <v>0</v>
      </c>
      <c r="M899" s="15" t="s">
        <v>144</v>
      </c>
      <c r="N899" s="16">
        <v>46092</v>
      </c>
      <c r="O899" s="12" t="s">
        <v>4007</v>
      </c>
      <c r="P899" s="14" t="s">
        <v>4010</v>
      </c>
      <c r="Q899" s="17" t="s">
        <v>137</v>
      </c>
      <c r="R899" s="17" t="s">
        <v>146</v>
      </c>
    </row>
    <row r="900" spans="1:18" x14ac:dyDescent="0.3">
      <c r="A900" s="12" t="s">
        <v>4011</v>
      </c>
      <c r="B900" s="12" t="s">
        <v>10</v>
      </c>
      <c r="C900" s="12"/>
      <c r="D900" s="12" t="s">
        <v>1561</v>
      </c>
      <c r="E900" s="12" t="s">
        <v>4012</v>
      </c>
      <c r="F900" s="12"/>
      <c r="G900" s="12" t="s">
        <v>3922</v>
      </c>
      <c r="H900" s="12" t="s">
        <v>42</v>
      </c>
      <c r="I900" s="12" t="s">
        <v>32</v>
      </c>
      <c r="J900" s="13" t="s">
        <v>4013</v>
      </c>
      <c r="K900" s="14" t="s">
        <v>4014</v>
      </c>
      <c r="L900" s="15">
        <v>0</v>
      </c>
      <c r="M900" s="15" t="s">
        <v>144</v>
      </c>
      <c r="N900" s="16">
        <v>46253</v>
      </c>
      <c r="O900" s="12" t="s">
        <v>4015</v>
      </c>
      <c r="P900" s="14" t="s">
        <v>4016</v>
      </c>
      <c r="Q900" s="17" t="s">
        <v>137</v>
      </c>
      <c r="R900" s="17" t="s">
        <v>146</v>
      </c>
    </row>
    <row r="901" spans="1:18" x14ac:dyDescent="0.3">
      <c r="A901" s="12" t="s">
        <v>4017</v>
      </c>
      <c r="B901" s="12" t="s">
        <v>12</v>
      </c>
      <c r="C901" s="12"/>
      <c r="D901" s="12" t="s">
        <v>12</v>
      </c>
      <c r="E901" s="12" t="s">
        <v>4018</v>
      </c>
      <c r="F901" s="12"/>
      <c r="G901" s="12" t="s">
        <v>3922</v>
      </c>
      <c r="H901" s="12" t="s">
        <v>42</v>
      </c>
      <c r="I901" s="12" t="s">
        <v>32</v>
      </c>
      <c r="J901" s="13" t="s">
        <v>3923</v>
      </c>
      <c r="K901" s="14" t="s">
        <v>4019</v>
      </c>
      <c r="L901" s="15">
        <v>1</v>
      </c>
      <c r="M901" s="15" t="s">
        <v>144</v>
      </c>
      <c r="N901" s="16">
        <v>45045</v>
      </c>
      <c r="O901" s="12" t="s">
        <v>4017</v>
      </c>
      <c r="P901" s="14" t="s">
        <v>4020</v>
      </c>
      <c r="Q901" s="17" t="s">
        <v>137</v>
      </c>
      <c r="R901" s="17" t="s">
        <v>146</v>
      </c>
    </row>
    <row r="902" spans="1:18" x14ac:dyDescent="0.3">
      <c r="A902" s="12" t="s">
        <v>3687</v>
      </c>
      <c r="B902" s="12" t="s">
        <v>20</v>
      </c>
      <c r="C902" s="12"/>
      <c r="D902" s="12" t="s">
        <v>193</v>
      </c>
      <c r="E902" s="12" t="s">
        <v>4021</v>
      </c>
      <c r="F902" s="12" t="s">
        <v>359</v>
      </c>
      <c r="G902" s="12" t="s">
        <v>3922</v>
      </c>
      <c r="H902" s="12" t="s">
        <v>42</v>
      </c>
      <c r="I902" s="12" t="s">
        <v>32</v>
      </c>
      <c r="J902" s="13" t="s">
        <v>3925</v>
      </c>
      <c r="K902" s="14" t="s">
        <v>4022</v>
      </c>
      <c r="L902" s="15">
        <v>1</v>
      </c>
      <c r="M902" s="15" t="s">
        <v>144</v>
      </c>
      <c r="N902" s="16">
        <v>46295</v>
      </c>
      <c r="O902" s="12" t="s">
        <v>3687</v>
      </c>
      <c r="P902" s="14" t="s">
        <v>3690</v>
      </c>
      <c r="Q902" s="17" t="s">
        <v>137</v>
      </c>
      <c r="R902" s="17" t="s">
        <v>146</v>
      </c>
    </row>
    <row r="903" spans="1:18" x14ac:dyDescent="0.3">
      <c r="A903" s="12" t="s">
        <v>307</v>
      </c>
      <c r="B903" s="12" t="s">
        <v>14</v>
      </c>
      <c r="C903" s="12"/>
      <c r="D903" s="12" t="s">
        <v>14</v>
      </c>
      <c r="E903" s="12" t="s">
        <v>4023</v>
      </c>
      <c r="F903" s="12"/>
      <c r="G903" s="12" t="s">
        <v>3922</v>
      </c>
      <c r="H903" s="12" t="s">
        <v>42</v>
      </c>
      <c r="I903" s="12" t="s">
        <v>32</v>
      </c>
      <c r="J903" s="13" t="s">
        <v>3925</v>
      </c>
      <c r="K903" s="14" t="s">
        <v>4024</v>
      </c>
      <c r="L903" s="15">
        <v>2</v>
      </c>
      <c r="M903" s="15" t="s">
        <v>144</v>
      </c>
      <c r="N903" s="16">
        <v>46275</v>
      </c>
      <c r="O903" s="12" t="s">
        <v>307</v>
      </c>
      <c r="P903" s="14" t="s">
        <v>310</v>
      </c>
      <c r="Q903" s="17" t="s">
        <v>137</v>
      </c>
      <c r="R903" s="17" t="s">
        <v>146</v>
      </c>
    </row>
    <row r="904" spans="1:18" x14ac:dyDescent="0.3">
      <c r="A904" s="12" t="s">
        <v>307</v>
      </c>
      <c r="B904" s="12" t="s">
        <v>14</v>
      </c>
      <c r="C904" s="12"/>
      <c r="D904" s="12" t="s">
        <v>14</v>
      </c>
      <c r="E904" s="12" t="s">
        <v>4025</v>
      </c>
      <c r="F904" s="12" t="s">
        <v>871</v>
      </c>
      <c r="G904" s="12" t="s">
        <v>3922</v>
      </c>
      <c r="H904" s="12" t="s">
        <v>42</v>
      </c>
      <c r="I904" s="12" t="s">
        <v>32</v>
      </c>
      <c r="J904" s="13" t="s">
        <v>4013</v>
      </c>
      <c r="K904" s="14" t="s">
        <v>4024</v>
      </c>
      <c r="L904" s="15">
        <v>1</v>
      </c>
      <c r="M904" s="15" t="s">
        <v>144</v>
      </c>
      <c r="N904" s="16">
        <v>46275</v>
      </c>
      <c r="O904" s="12" t="s">
        <v>307</v>
      </c>
      <c r="P904" s="14" t="s">
        <v>310</v>
      </c>
      <c r="Q904" s="17" t="s">
        <v>137</v>
      </c>
      <c r="R904" s="17" t="s">
        <v>146</v>
      </c>
    </row>
    <row r="905" spans="1:18" x14ac:dyDescent="0.3">
      <c r="A905" s="12" t="s">
        <v>4026</v>
      </c>
      <c r="B905" s="12" t="s">
        <v>14</v>
      </c>
      <c r="C905" s="12"/>
      <c r="D905" s="12" t="s">
        <v>14</v>
      </c>
      <c r="E905" s="12" t="s">
        <v>4027</v>
      </c>
      <c r="F905" s="12"/>
      <c r="G905" s="12" t="s">
        <v>3922</v>
      </c>
      <c r="H905" s="12" t="s">
        <v>42</v>
      </c>
      <c r="I905" s="12" t="s">
        <v>32</v>
      </c>
      <c r="J905" s="13" t="s">
        <v>3925</v>
      </c>
      <c r="K905" s="14" t="s">
        <v>4028</v>
      </c>
      <c r="L905" s="15">
        <v>0</v>
      </c>
      <c r="M905" s="15" t="s">
        <v>144</v>
      </c>
      <c r="N905" s="16">
        <v>46223</v>
      </c>
      <c r="O905" s="12" t="s">
        <v>4026</v>
      </c>
      <c r="P905" s="14" t="s">
        <v>4029</v>
      </c>
      <c r="Q905" s="17" t="s">
        <v>137</v>
      </c>
      <c r="R905" s="17" t="s">
        <v>146</v>
      </c>
    </row>
    <row r="906" spans="1:18" x14ac:dyDescent="0.3">
      <c r="A906" s="12" t="s">
        <v>4030</v>
      </c>
      <c r="B906" s="12" t="s">
        <v>10</v>
      </c>
      <c r="C906" s="12"/>
      <c r="D906" s="12" t="s">
        <v>588</v>
      </c>
      <c r="E906" s="12" t="s">
        <v>4031</v>
      </c>
      <c r="F906" s="12" t="s">
        <v>1542</v>
      </c>
      <c r="G906" s="12" t="s">
        <v>76</v>
      </c>
      <c r="H906" s="12" t="s">
        <v>56</v>
      </c>
      <c r="I906" s="12" t="s">
        <v>32</v>
      </c>
      <c r="J906" s="13" t="s">
        <v>4032</v>
      </c>
      <c r="K906" s="14" t="s">
        <v>4033</v>
      </c>
      <c r="L906" s="15">
        <v>2</v>
      </c>
      <c r="M906" s="15" t="s">
        <v>220</v>
      </c>
      <c r="N906" s="16">
        <v>45714</v>
      </c>
      <c r="O906" s="12" t="s">
        <v>236</v>
      </c>
      <c r="P906" s="14" t="s">
        <v>4034</v>
      </c>
      <c r="Q906" s="17" t="s">
        <v>137</v>
      </c>
      <c r="R906" s="17" t="s">
        <v>146</v>
      </c>
    </row>
    <row r="907" spans="1:18" x14ac:dyDescent="0.3">
      <c r="A907" s="12" t="s">
        <v>251</v>
      </c>
      <c r="B907" s="12" t="s">
        <v>10</v>
      </c>
      <c r="C907" s="12"/>
      <c r="D907" s="12" t="s">
        <v>252</v>
      </c>
      <c r="E907" s="12" t="s">
        <v>4031</v>
      </c>
      <c r="F907" s="12"/>
      <c r="G907" s="12" t="s">
        <v>76</v>
      </c>
      <c r="H907" s="12" t="s">
        <v>56</v>
      </c>
      <c r="I907" s="12" t="s">
        <v>32</v>
      </c>
      <c r="J907" s="13" t="s">
        <v>4032</v>
      </c>
      <c r="K907" s="14" t="s">
        <v>796</v>
      </c>
      <c r="L907" s="15">
        <v>0</v>
      </c>
      <c r="M907" s="15" t="s">
        <v>220</v>
      </c>
      <c r="N907" s="16">
        <v>45680</v>
      </c>
      <c r="O907" s="12" t="s">
        <v>236</v>
      </c>
      <c r="P907" s="14" t="s">
        <v>4035</v>
      </c>
      <c r="Q907" s="17" t="s">
        <v>137</v>
      </c>
      <c r="R907" s="17" t="s">
        <v>146</v>
      </c>
    </row>
    <row r="908" spans="1:18" x14ac:dyDescent="0.3">
      <c r="A908" s="12" t="s">
        <v>307</v>
      </c>
      <c r="B908" s="12" t="s">
        <v>14</v>
      </c>
      <c r="C908" s="12"/>
      <c r="D908" s="12" t="s">
        <v>14</v>
      </c>
      <c r="E908" s="12" t="s">
        <v>4036</v>
      </c>
      <c r="F908" s="12" t="s">
        <v>547</v>
      </c>
      <c r="G908" s="12" t="s">
        <v>76</v>
      </c>
      <c r="H908" s="12" t="s">
        <v>56</v>
      </c>
      <c r="I908" s="12" t="s">
        <v>32</v>
      </c>
      <c r="J908" s="13" t="s">
        <v>4032</v>
      </c>
      <c r="K908" s="14" t="s">
        <v>4037</v>
      </c>
      <c r="L908" s="15">
        <v>12</v>
      </c>
      <c r="M908" s="15" t="s">
        <v>144</v>
      </c>
      <c r="N908" s="16">
        <v>46275</v>
      </c>
      <c r="O908" s="12" t="s">
        <v>307</v>
      </c>
      <c r="P908" s="14" t="s">
        <v>310</v>
      </c>
      <c r="Q908" s="17" t="s">
        <v>137</v>
      </c>
      <c r="R908" s="17" t="s">
        <v>146</v>
      </c>
    </row>
    <row r="909" spans="1:18" x14ac:dyDescent="0.3">
      <c r="A909" s="12" t="s">
        <v>3286</v>
      </c>
      <c r="B909" s="12" t="s">
        <v>14</v>
      </c>
      <c r="C909" s="12"/>
      <c r="D909" s="12" t="s">
        <v>14</v>
      </c>
      <c r="E909" s="12" t="s">
        <v>4038</v>
      </c>
      <c r="F909" s="12" t="s">
        <v>4039</v>
      </c>
      <c r="G909" s="12" t="s">
        <v>4040</v>
      </c>
      <c r="H909" s="12" t="s">
        <v>56</v>
      </c>
      <c r="I909" s="12" t="s">
        <v>32</v>
      </c>
      <c r="J909" s="13" t="s">
        <v>4041</v>
      </c>
      <c r="K909" s="14" t="s">
        <v>4042</v>
      </c>
      <c r="L909" s="15">
        <v>1</v>
      </c>
      <c r="M909" s="15" t="s">
        <v>144</v>
      </c>
      <c r="N909" s="16">
        <v>45475</v>
      </c>
      <c r="O909" s="12" t="s">
        <v>3286</v>
      </c>
      <c r="P909" s="14" t="s">
        <v>3290</v>
      </c>
      <c r="Q909" s="17" t="s">
        <v>137</v>
      </c>
      <c r="R909" s="17" t="s">
        <v>146</v>
      </c>
    </row>
    <row r="910" spans="1:18" x14ac:dyDescent="0.3">
      <c r="A910" s="12" t="s">
        <v>4043</v>
      </c>
      <c r="B910" s="12" t="s">
        <v>12</v>
      </c>
      <c r="C910" s="12"/>
      <c r="D910" s="12" t="s">
        <v>12</v>
      </c>
      <c r="E910" s="12" t="s">
        <v>4044</v>
      </c>
      <c r="F910" s="12"/>
      <c r="G910" s="12" t="s">
        <v>4040</v>
      </c>
      <c r="H910" s="12" t="s">
        <v>56</v>
      </c>
      <c r="I910" s="12" t="s">
        <v>32</v>
      </c>
      <c r="J910" s="13" t="s">
        <v>4041</v>
      </c>
      <c r="K910" s="14" t="s">
        <v>4045</v>
      </c>
      <c r="L910" s="15">
        <v>1</v>
      </c>
      <c r="M910" s="15" t="s">
        <v>144</v>
      </c>
      <c r="N910" s="16">
        <v>46233</v>
      </c>
      <c r="O910" s="12" t="s">
        <v>4043</v>
      </c>
      <c r="P910" s="14" t="s">
        <v>4046</v>
      </c>
      <c r="Q910" s="17" t="s">
        <v>137</v>
      </c>
      <c r="R910" s="17" t="s">
        <v>146</v>
      </c>
    </row>
    <row r="911" spans="1:18" x14ac:dyDescent="0.3">
      <c r="A911" s="12" t="s">
        <v>4047</v>
      </c>
      <c r="B911" s="12" t="s">
        <v>12</v>
      </c>
      <c r="C911" s="12"/>
      <c r="D911" s="12" t="s">
        <v>12</v>
      </c>
      <c r="E911" s="12" t="s">
        <v>4048</v>
      </c>
      <c r="F911" s="12" t="s">
        <v>4049</v>
      </c>
      <c r="G911" s="12" t="s">
        <v>4040</v>
      </c>
      <c r="H911" s="12" t="s">
        <v>56</v>
      </c>
      <c r="I911" s="12" t="s">
        <v>32</v>
      </c>
      <c r="J911" s="13" t="s">
        <v>4041</v>
      </c>
      <c r="K911" s="14" t="s">
        <v>4050</v>
      </c>
      <c r="L911" s="15">
        <v>3</v>
      </c>
      <c r="M911" s="15" t="s">
        <v>144</v>
      </c>
      <c r="N911" s="16">
        <v>46077</v>
      </c>
      <c r="O911" s="12" t="s">
        <v>4051</v>
      </c>
      <c r="P911" s="14" t="s">
        <v>4052</v>
      </c>
      <c r="Q911" s="17" t="s">
        <v>137</v>
      </c>
      <c r="R911" s="17" t="s">
        <v>146</v>
      </c>
    </row>
    <row r="912" spans="1:18" x14ac:dyDescent="0.3">
      <c r="A912" s="12" t="s">
        <v>4053</v>
      </c>
      <c r="B912" s="12" t="s">
        <v>10</v>
      </c>
      <c r="C912" s="12"/>
      <c r="D912" s="12" t="s">
        <v>647</v>
      </c>
      <c r="E912" s="12" t="s">
        <v>4054</v>
      </c>
      <c r="F912" s="12"/>
      <c r="G912" s="12" t="s">
        <v>4040</v>
      </c>
      <c r="H912" s="12" t="s">
        <v>56</v>
      </c>
      <c r="I912" s="12" t="s">
        <v>32</v>
      </c>
      <c r="J912" s="13" t="s">
        <v>4041</v>
      </c>
      <c r="K912" s="14" t="s">
        <v>4055</v>
      </c>
      <c r="L912" s="15">
        <v>0</v>
      </c>
      <c r="M912" s="15" t="s">
        <v>144</v>
      </c>
      <c r="N912" s="16">
        <v>45273</v>
      </c>
      <c r="O912" s="12" t="s">
        <v>4053</v>
      </c>
      <c r="P912" s="14" t="s">
        <v>4056</v>
      </c>
      <c r="Q912" s="17" t="s">
        <v>137</v>
      </c>
      <c r="R912" s="17" t="s">
        <v>146</v>
      </c>
    </row>
    <row r="913" spans="1:18" x14ac:dyDescent="0.3">
      <c r="A913" s="12" t="s">
        <v>307</v>
      </c>
      <c r="B913" s="12" t="s">
        <v>14</v>
      </c>
      <c r="C913" s="12"/>
      <c r="D913" s="12" t="s">
        <v>14</v>
      </c>
      <c r="E913" s="12" t="s">
        <v>4057</v>
      </c>
      <c r="F913" s="12" t="s">
        <v>4058</v>
      </c>
      <c r="G913" s="12" t="s">
        <v>4040</v>
      </c>
      <c r="H913" s="12" t="s">
        <v>56</v>
      </c>
      <c r="I913" s="12" t="s">
        <v>32</v>
      </c>
      <c r="J913" s="13" t="s">
        <v>4041</v>
      </c>
      <c r="K913" s="14" t="s">
        <v>4059</v>
      </c>
      <c r="L913" s="15">
        <v>0</v>
      </c>
      <c r="M913" s="15" t="s">
        <v>144</v>
      </c>
      <c r="N913" s="16">
        <v>46275</v>
      </c>
      <c r="O913" s="12" t="s">
        <v>307</v>
      </c>
      <c r="P913" s="14" t="s">
        <v>310</v>
      </c>
      <c r="Q913" s="17" t="s">
        <v>137</v>
      </c>
      <c r="R913" s="17" t="s">
        <v>146</v>
      </c>
    </row>
    <row r="914" spans="1:18" x14ac:dyDescent="0.3">
      <c r="A914" s="12" t="s">
        <v>3286</v>
      </c>
      <c r="B914" s="12" t="s">
        <v>14</v>
      </c>
      <c r="C914" s="12"/>
      <c r="D914" s="12" t="s">
        <v>14</v>
      </c>
      <c r="E914" s="12" t="s">
        <v>4060</v>
      </c>
      <c r="F914" s="12"/>
      <c r="G914" s="12" t="s">
        <v>4061</v>
      </c>
      <c r="H914" s="12" t="s">
        <v>63</v>
      </c>
      <c r="I914" s="12" t="s">
        <v>32</v>
      </c>
      <c r="J914" s="13" t="s">
        <v>4062</v>
      </c>
      <c r="K914" s="14" t="s">
        <v>4063</v>
      </c>
      <c r="L914" s="15">
        <v>6</v>
      </c>
      <c r="M914" s="15" t="s">
        <v>144</v>
      </c>
      <c r="N914" s="16">
        <v>45475</v>
      </c>
      <c r="O914" s="12" t="s">
        <v>3286</v>
      </c>
      <c r="P914" s="14" t="s">
        <v>3290</v>
      </c>
      <c r="Q914" s="17" t="s">
        <v>137</v>
      </c>
      <c r="R914" s="17" t="s">
        <v>146</v>
      </c>
    </row>
    <row r="915" spans="1:18" x14ac:dyDescent="0.3">
      <c r="A915" s="12" t="s">
        <v>4064</v>
      </c>
      <c r="B915" s="12" t="s">
        <v>12</v>
      </c>
      <c r="C915" s="12"/>
      <c r="D915" s="12" t="s">
        <v>12</v>
      </c>
      <c r="E915" s="12" t="s">
        <v>4065</v>
      </c>
      <c r="F915" s="12"/>
      <c r="G915" s="12" t="s">
        <v>4061</v>
      </c>
      <c r="H915" s="12" t="s">
        <v>63</v>
      </c>
      <c r="I915" s="12" t="s">
        <v>32</v>
      </c>
      <c r="J915" s="13" t="s">
        <v>4062</v>
      </c>
      <c r="K915" s="14" t="s">
        <v>4066</v>
      </c>
      <c r="L915" s="15">
        <v>0</v>
      </c>
      <c r="M915" s="15" t="s">
        <v>144</v>
      </c>
      <c r="N915" s="16">
        <v>44769</v>
      </c>
      <c r="O915" s="12" t="s">
        <v>4067</v>
      </c>
      <c r="P915" s="14" t="s">
        <v>4068</v>
      </c>
      <c r="Q915" s="17" t="s">
        <v>137</v>
      </c>
      <c r="R915" s="17" t="s">
        <v>146</v>
      </c>
    </row>
    <row r="916" spans="1:18" x14ac:dyDescent="0.3">
      <c r="A916" s="12" t="s">
        <v>747</v>
      </c>
      <c r="B916" s="12" t="s">
        <v>14</v>
      </c>
      <c r="C916" s="12"/>
      <c r="D916" s="12" t="s">
        <v>14</v>
      </c>
      <c r="E916" s="12" t="s">
        <v>4069</v>
      </c>
      <c r="F916" s="12"/>
      <c r="G916" s="12" t="s">
        <v>4061</v>
      </c>
      <c r="H916" s="12" t="s">
        <v>63</v>
      </c>
      <c r="I916" s="12" t="s">
        <v>32</v>
      </c>
      <c r="J916" s="13" t="s">
        <v>4062</v>
      </c>
      <c r="K916" s="14" t="s">
        <v>3937</v>
      </c>
      <c r="L916" s="15">
        <v>0</v>
      </c>
      <c r="M916" s="15" t="s">
        <v>144</v>
      </c>
      <c r="N916" s="16">
        <v>45205</v>
      </c>
      <c r="O916" s="12" t="s">
        <v>752</v>
      </c>
      <c r="P916" s="14" t="s">
        <v>753</v>
      </c>
      <c r="Q916" s="17" t="s">
        <v>137</v>
      </c>
      <c r="R916" s="17" t="s">
        <v>146</v>
      </c>
    </row>
    <row r="917" spans="1:18" x14ac:dyDescent="0.3">
      <c r="A917" s="12" t="s">
        <v>4070</v>
      </c>
      <c r="B917" s="12" t="s">
        <v>14</v>
      </c>
      <c r="C917" s="12"/>
      <c r="D917" s="12" t="s">
        <v>14</v>
      </c>
      <c r="E917" s="12" t="s">
        <v>4071</v>
      </c>
      <c r="F917" s="12"/>
      <c r="G917" s="12" t="s">
        <v>4061</v>
      </c>
      <c r="H917" s="12" t="s">
        <v>63</v>
      </c>
      <c r="I917" s="12" t="s">
        <v>32</v>
      </c>
      <c r="J917" s="13" t="s">
        <v>4062</v>
      </c>
      <c r="K917" s="14" t="s">
        <v>4072</v>
      </c>
      <c r="L917" s="15">
        <v>1</v>
      </c>
      <c r="M917" s="15" t="s">
        <v>144</v>
      </c>
      <c r="N917" s="16">
        <v>46065</v>
      </c>
      <c r="O917" s="12" t="s">
        <v>4070</v>
      </c>
      <c r="P917" s="14" t="s">
        <v>4073</v>
      </c>
      <c r="Q917" s="17" t="s">
        <v>137</v>
      </c>
      <c r="R917" s="17" t="s">
        <v>146</v>
      </c>
    </row>
    <row r="918" spans="1:18" x14ac:dyDescent="0.3">
      <c r="A918" s="12" t="s">
        <v>4074</v>
      </c>
      <c r="B918" s="12" t="s">
        <v>14</v>
      </c>
      <c r="C918" s="12"/>
      <c r="D918" s="12" t="s">
        <v>14</v>
      </c>
      <c r="E918" s="12" t="s">
        <v>4075</v>
      </c>
      <c r="F918" s="12" t="s">
        <v>248</v>
      </c>
      <c r="G918" s="12" t="s">
        <v>4061</v>
      </c>
      <c r="H918" s="12" t="s">
        <v>63</v>
      </c>
      <c r="I918" s="12" t="s">
        <v>32</v>
      </c>
      <c r="J918" s="13" t="s">
        <v>4062</v>
      </c>
      <c r="K918" s="14" t="s">
        <v>4076</v>
      </c>
      <c r="L918" s="15">
        <v>20</v>
      </c>
      <c r="M918" s="15" t="s">
        <v>144</v>
      </c>
      <c r="N918" s="16">
        <v>45650</v>
      </c>
      <c r="O918" s="12" t="s">
        <v>4074</v>
      </c>
      <c r="P918" s="14" t="s">
        <v>4077</v>
      </c>
      <c r="Q918" s="17" t="s">
        <v>137</v>
      </c>
      <c r="R918" s="17" t="s">
        <v>146</v>
      </c>
    </row>
    <row r="919" spans="1:18" x14ac:dyDescent="0.3">
      <c r="A919" s="12" t="s">
        <v>4078</v>
      </c>
      <c r="B919" s="12" t="s">
        <v>12</v>
      </c>
      <c r="C919" s="12"/>
      <c r="D919" s="12" t="s">
        <v>12</v>
      </c>
      <c r="E919" s="12" t="s">
        <v>4079</v>
      </c>
      <c r="F919" s="12" t="s">
        <v>952</v>
      </c>
      <c r="G919" s="12" t="s">
        <v>4061</v>
      </c>
      <c r="H919" s="12" t="s">
        <v>63</v>
      </c>
      <c r="I919" s="12" t="s">
        <v>32</v>
      </c>
      <c r="J919" s="13" t="s">
        <v>4062</v>
      </c>
      <c r="K919" s="14" t="s">
        <v>4080</v>
      </c>
      <c r="L919" s="15">
        <v>1</v>
      </c>
      <c r="M919" s="15" t="s">
        <v>144</v>
      </c>
      <c r="N919" s="16">
        <v>44629</v>
      </c>
      <c r="O919" s="12" t="s">
        <v>4078</v>
      </c>
      <c r="P919" s="14" t="s">
        <v>4081</v>
      </c>
      <c r="Q919" s="17" t="s">
        <v>137</v>
      </c>
      <c r="R919" s="17" t="s">
        <v>146</v>
      </c>
    </row>
    <row r="920" spans="1:18" x14ac:dyDescent="0.3">
      <c r="A920" s="12" t="s">
        <v>4082</v>
      </c>
      <c r="B920" s="12" t="s">
        <v>12</v>
      </c>
      <c r="C920" s="12"/>
      <c r="D920" s="12" t="s">
        <v>12</v>
      </c>
      <c r="E920" s="12" t="s">
        <v>4083</v>
      </c>
      <c r="F920" s="12" t="s">
        <v>1542</v>
      </c>
      <c r="G920" s="12" t="s">
        <v>105</v>
      </c>
      <c r="H920" s="12" t="s">
        <v>105</v>
      </c>
      <c r="I920" s="12" t="s">
        <v>32</v>
      </c>
      <c r="J920" s="13" t="s">
        <v>4084</v>
      </c>
      <c r="K920" s="14" t="s">
        <v>4085</v>
      </c>
      <c r="L920" s="15">
        <v>1</v>
      </c>
      <c r="M920" s="15" t="s">
        <v>144</v>
      </c>
      <c r="N920" s="16">
        <v>45414</v>
      </c>
      <c r="O920" s="12" t="s">
        <v>4086</v>
      </c>
      <c r="P920" s="14" t="s">
        <v>4087</v>
      </c>
      <c r="Q920" s="17" t="s">
        <v>137</v>
      </c>
      <c r="R920" s="17" t="s">
        <v>146</v>
      </c>
    </row>
    <row r="921" spans="1:18" x14ac:dyDescent="0.3">
      <c r="A921" s="12" t="s">
        <v>4088</v>
      </c>
      <c r="B921" s="12" t="s">
        <v>12</v>
      </c>
      <c r="C921" s="12"/>
      <c r="D921" s="12" t="s">
        <v>12</v>
      </c>
      <c r="E921" s="12" t="s">
        <v>4089</v>
      </c>
      <c r="F921" s="12" t="s">
        <v>345</v>
      </c>
      <c r="G921" s="12" t="s">
        <v>90</v>
      </c>
      <c r="H921" s="12" t="s">
        <v>90</v>
      </c>
      <c r="I921" s="12" t="s">
        <v>32</v>
      </c>
      <c r="J921" s="13" t="s">
        <v>4090</v>
      </c>
      <c r="K921" s="14" t="s">
        <v>4091</v>
      </c>
      <c r="L921" s="15">
        <v>1</v>
      </c>
      <c r="M921" s="15" t="s">
        <v>144</v>
      </c>
      <c r="N921" s="16">
        <v>44757</v>
      </c>
      <c r="O921" s="12" t="s">
        <v>4088</v>
      </c>
      <c r="P921" s="14" t="s">
        <v>4092</v>
      </c>
      <c r="Q921" s="17" t="s">
        <v>137</v>
      </c>
      <c r="R921" s="17" t="s">
        <v>146</v>
      </c>
    </row>
    <row r="922" spans="1:18" x14ac:dyDescent="0.3">
      <c r="A922" s="12" t="s">
        <v>4093</v>
      </c>
      <c r="B922" s="12" t="s">
        <v>12</v>
      </c>
      <c r="C922" s="12"/>
      <c r="D922" s="12" t="s">
        <v>12</v>
      </c>
      <c r="E922" s="12" t="s">
        <v>4094</v>
      </c>
      <c r="F922" s="12"/>
      <c r="G922" s="12" t="s">
        <v>90</v>
      </c>
      <c r="H922" s="12" t="s">
        <v>90</v>
      </c>
      <c r="I922" s="12" t="s">
        <v>32</v>
      </c>
      <c r="J922" s="13" t="s">
        <v>4090</v>
      </c>
      <c r="K922" s="14" t="s">
        <v>4095</v>
      </c>
      <c r="L922" s="15">
        <v>2</v>
      </c>
      <c r="M922" s="15" t="s">
        <v>144</v>
      </c>
      <c r="N922" s="16">
        <v>45863</v>
      </c>
      <c r="O922" s="12" t="s">
        <v>4093</v>
      </c>
      <c r="P922" s="14" t="s">
        <v>4096</v>
      </c>
      <c r="Q922" s="17" t="s">
        <v>137</v>
      </c>
      <c r="R922" s="17" t="s">
        <v>146</v>
      </c>
    </row>
    <row r="923" spans="1:18" x14ac:dyDescent="0.3">
      <c r="A923" s="12" t="s">
        <v>4097</v>
      </c>
      <c r="B923" s="12" t="s">
        <v>12</v>
      </c>
      <c r="C923" s="12"/>
      <c r="D923" s="12" t="s">
        <v>12</v>
      </c>
      <c r="E923" s="12" t="s">
        <v>4098</v>
      </c>
      <c r="F923" s="12"/>
      <c r="G923" s="12" t="s">
        <v>4099</v>
      </c>
      <c r="H923" s="12" t="s">
        <v>92</v>
      </c>
      <c r="I923" s="12" t="s">
        <v>33</v>
      </c>
      <c r="J923" s="13" t="s">
        <v>4100</v>
      </c>
      <c r="K923" s="14" t="s">
        <v>4101</v>
      </c>
      <c r="L923" s="15">
        <v>1</v>
      </c>
      <c r="M923" s="15" t="s">
        <v>144</v>
      </c>
      <c r="N923" s="16">
        <v>46223</v>
      </c>
      <c r="O923" s="12" t="s">
        <v>4097</v>
      </c>
      <c r="P923" s="14" t="s">
        <v>4102</v>
      </c>
      <c r="Q923" s="17" t="s">
        <v>137</v>
      </c>
      <c r="R923" s="17" t="s">
        <v>146</v>
      </c>
    </row>
    <row r="924" spans="1:18" x14ac:dyDescent="0.3">
      <c r="A924" s="12" t="s">
        <v>4103</v>
      </c>
      <c r="B924" s="12" t="s">
        <v>12</v>
      </c>
      <c r="C924" s="12"/>
      <c r="D924" s="12" t="s">
        <v>12</v>
      </c>
      <c r="E924" s="12" t="s">
        <v>4104</v>
      </c>
      <c r="F924" s="12"/>
      <c r="G924" s="12" t="s">
        <v>4105</v>
      </c>
      <c r="H924" s="12" t="s">
        <v>73</v>
      </c>
      <c r="I924" s="12" t="s">
        <v>33</v>
      </c>
      <c r="J924" s="13" t="s">
        <v>4106</v>
      </c>
      <c r="K924" s="14" t="s">
        <v>4107</v>
      </c>
      <c r="L924" s="15">
        <v>5</v>
      </c>
      <c r="M924" s="15" t="s">
        <v>144</v>
      </c>
      <c r="N924" s="16">
        <v>45943</v>
      </c>
      <c r="O924" s="12" t="s">
        <v>4103</v>
      </c>
      <c r="P924" s="14" t="s">
        <v>4108</v>
      </c>
      <c r="Q924" s="17" t="s">
        <v>137</v>
      </c>
      <c r="R924" s="17" t="s">
        <v>146</v>
      </c>
    </row>
    <row r="925" spans="1:18" x14ac:dyDescent="0.3">
      <c r="A925" s="12" t="s">
        <v>4109</v>
      </c>
      <c r="B925" s="12" t="s">
        <v>12</v>
      </c>
      <c r="C925" s="12"/>
      <c r="D925" s="12" t="s">
        <v>12</v>
      </c>
      <c r="E925" s="12" t="s">
        <v>4110</v>
      </c>
      <c r="F925" s="12"/>
      <c r="G925" s="12" t="s">
        <v>4105</v>
      </c>
      <c r="H925" s="12" t="s">
        <v>73</v>
      </c>
      <c r="I925" s="12" t="s">
        <v>33</v>
      </c>
      <c r="J925" s="13" t="s">
        <v>4106</v>
      </c>
      <c r="K925" s="14" t="s">
        <v>4111</v>
      </c>
      <c r="L925" s="15">
        <v>1</v>
      </c>
      <c r="M925" s="15" t="s">
        <v>144</v>
      </c>
      <c r="N925" s="16">
        <v>45761</v>
      </c>
      <c r="O925" s="12" t="s">
        <v>4109</v>
      </c>
      <c r="P925" s="14" t="s">
        <v>4112</v>
      </c>
      <c r="Q925" s="17" t="s">
        <v>137</v>
      </c>
      <c r="R925" s="17" t="s">
        <v>146</v>
      </c>
    </row>
    <row r="926" spans="1:18" x14ac:dyDescent="0.3">
      <c r="A926" s="12" t="s">
        <v>4113</v>
      </c>
      <c r="B926" s="12" t="s">
        <v>12</v>
      </c>
      <c r="C926" s="12"/>
      <c r="D926" s="12" t="s">
        <v>12</v>
      </c>
      <c r="E926" s="12" t="s">
        <v>4114</v>
      </c>
      <c r="F926" s="12"/>
      <c r="G926" s="12" t="s">
        <v>4105</v>
      </c>
      <c r="H926" s="12" t="s">
        <v>73</v>
      </c>
      <c r="I926" s="12" t="s">
        <v>33</v>
      </c>
      <c r="J926" s="13" t="s">
        <v>4106</v>
      </c>
      <c r="K926" s="14" t="s">
        <v>4115</v>
      </c>
      <c r="L926" s="15">
        <v>1</v>
      </c>
      <c r="M926" s="15" t="s">
        <v>144</v>
      </c>
      <c r="N926" s="16">
        <v>44763</v>
      </c>
      <c r="O926" s="12" t="s">
        <v>4116</v>
      </c>
      <c r="P926" s="14" t="s">
        <v>4117</v>
      </c>
      <c r="Q926" s="17" t="s">
        <v>137</v>
      </c>
      <c r="R926" s="17" t="s">
        <v>146</v>
      </c>
    </row>
    <row r="927" spans="1:18" x14ac:dyDescent="0.3">
      <c r="A927" s="12" t="s">
        <v>4118</v>
      </c>
      <c r="B927" s="12" t="s">
        <v>12</v>
      </c>
      <c r="C927" s="12"/>
      <c r="D927" s="12" t="s">
        <v>12</v>
      </c>
      <c r="E927" s="12" t="s">
        <v>4119</v>
      </c>
      <c r="F927" s="12"/>
      <c r="G927" s="12" t="s">
        <v>4120</v>
      </c>
      <c r="H927" s="12" t="s">
        <v>67</v>
      </c>
      <c r="I927" s="12" t="s">
        <v>33</v>
      </c>
      <c r="J927" s="13" t="s">
        <v>4121</v>
      </c>
      <c r="K927" s="14" t="s">
        <v>4122</v>
      </c>
      <c r="L927" s="15">
        <v>1</v>
      </c>
      <c r="M927" s="15" t="s">
        <v>144</v>
      </c>
      <c r="N927" s="16">
        <v>45762</v>
      </c>
      <c r="O927" s="12" t="s">
        <v>4118</v>
      </c>
      <c r="P927" s="14" t="s">
        <v>4123</v>
      </c>
      <c r="Q927" s="17" t="s">
        <v>137</v>
      </c>
      <c r="R927" s="17" t="s">
        <v>146</v>
      </c>
    </row>
    <row r="928" spans="1:18" x14ac:dyDescent="0.3">
      <c r="A928" s="12" t="s">
        <v>3523</v>
      </c>
      <c r="B928" s="12" t="s">
        <v>10</v>
      </c>
      <c r="C928" s="12"/>
      <c r="D928" s="12" t="s">
        <v>3524</v>
      </c>
      <c r="E928" s="12" t="s">
        <v>4124</v>
      </c>
      <c r="F928" s="12" t="s">
        <v>366</v>
      </c>
      <c r="G928" s="12" t="s">
        <v>4120</v>
      </c>
      <c r="H928" s="12" t="s">
        <v>67</v>
      </c>
      <c r="I928" s="12" t="s">
        <v>33</v>
      </c>
      <c r="J928" s="13" t="s">
        <v>4121</v>
      </c>
      <c r="K928" s="14" t="s">
        <v>4125</v>
      </c>
      <c r="L928" s="15">
        <v>1</v>
      </c>
      <c r="M928" s="15" t="s">
        <v>144</v>
      </c>
      <c r="N928" s="16">
        <v>45937</v>
      </c>
      <c r="O928" s="12" t="s">
        <v>3512</v>
      </c>
      <c r="P928" s="14" t="s">
        <v>3526</v>
      </c>
      <c r="Q928" s="17" t="s">
        <v>137</v>
      </c>
      <c r="R928" s="17" t="s">
        <v>146</v>
      </c>
    </row>
    <row r="929" spans="1:18" x14ac:dyDescent="0.3">
      <c r="A929" s="12" t="s">
        <v>4126</v>
      </c>
      <c r="B929" s="12" t="s">
        <v>20</v>
      </c>
      <c r="C929" s="12"/>
      <c r="D929" s="12" t="s">
        <v>193</v>
      </c>
      <c r="E929" s="12" t="s">
        <v>4127</v>
      </c>
      <c r="F929" s="12"/>
      <c r="G929" s="12" t="s">
        <v>4120</v>
      </c>
      <c r="H929" s="12" t="s">
        <v>67</v>
      </c>
      <c r="I929" s="12" t="s">
        <v>33</v>
      </c>
      <c r="J929" s="13" t="s">
        <v>4121</v>
      </c>
      <c r="K929" s="14" t="s">
        <v>4128</v>
      </c>
      <c r="L929" s="15">
        <v>2</v>
      </c>
      <c r="M929" s="15" t="s">
        <v>144</v>
      </c>
      <c r="N929" s="16">
        <v>45224</v>
      </c>
      <c r="O929" s="12" t="s">
        <v>4126</v>
      </c>
      <c r="P929" s="14" t="s">
        <v>4129</v>
      </c>
      <c r="Q929" s="17" t="s">
        <v>137</v>
      </c>
      <c r="R929" s="17" t="s">
        <v>146</v>
      </c>
    </row>
    <row r="930" spans="1:18" x14ac:dyDescent="0.3">
      <c r="A930" s="12" t="s">
        <v>4130</v>
      </c>
      <c r="B930" s="12" t="s">
        <v>14</v>
      </c>
      <c r="C930" s="12"/>
      <c r="D930" s="12" t="s">
        <v>14</v>
      </c>
      <c r="E930" s="12" t="s">
        <v>4124</v>
      </c>
      <c r="F930" s="12" t="s">
        <v>359</v>
      </c>
      <c r="G930" s="12" t="s">
        <v>4120</v>
      </c>
      <c r="H930" s="12" t="s">
        <v>67</v>
      </c>
      <c r="I930" s="12" t="s">
        <v>33</v>
      </c>
      <c r="J930" s="13" t="s">
        <v>4121</v>
      </c>
      <c r="K930" s="14" t="s">
        <v>4131</v>
      </c>
      <c r="L930" s="15">
        <v>1</v>
      </c>
      <c r="M930" s="15" t="s">
        <v>144</v>
      </c>
      <c r="N930" s="16">
        <v>45587</v>
      </c>
      <c r="O930" s="12" t="s">
        <v>4132</v>
      </c>
      <c r="P930" s="14" t="s">
        <v>4133</v>
      </c>
      <c r="Q930" s="17" t="s">
        <v>137</v>
      </c>
      <c r="R930" s="17" t="s">
        <v>146</v>
      </c>
    </row>
    <row r="931" spans="1:18" x14ac:dyDescent="0.3">
      <c r="A931" s="12" t="s">
        <v>4134</v>
      </c>
      <c r="B931" s="12" t="s">
        <v>10</v>
      </c>
      <c r="C931" s="12"/>
      <c r="D931" s="12" t="s">
        <v>647</v>
      </c>
      <c r="E931" s="12" t="s">
        <v>4135</v>
      </c>
      <c r="F931" s="12"/>
      <c r="G931" s="12" t="s">
        <v>96</v>
      </c>
      <c r="H931" s="12" t="s">
        <v>55</v>
      </c>
      <c r="I931" s="12" t="s">
        <v>33</v>
      </c>
      <c r="J931" s="13" t="s">
        <v>4136</v>
      </c>
      <c r="K931" s="14" t="s">
        <v>4137</v>
      </c>
      <c r="L931" s="15">
        <v>3</v>
      </c>
      <c r="M931" s="15" t="s">
        <v>144</v>
      </c>
      <c r="N931" s="16">
        <v>46142</v>
      </c>
      <c r="O931" s="12" t="s">
        <v>4134</v>
      </c>
      <c r="P931" s="14" t="s">
        <v>4138</v>
      </c>
      <c r="Q931" s="17" t="s">
        <v>137</v>
      </c>
      <c r="R931" s="17" t="s">
        <v>146</v>
      </c>
    </row>
    <row r="932" spans="1:18" x14ac:dyDescent="0.3">
      <c r="A932" s="12" t="s">
        <v>4139</v>
      </c>
      <c r="B932" s="12" t="s">
        <v>14</v>
      </c>
      <c r="C932" s="12"/>
      <c r="D932" s="12" t="s">
        <v>14</v>
      </c>
      <c r="E932" s="12" t="s">
        <v>4140</v>
      </c>
      <c r="F932" s="12" t="s">
        <v>4141</v>
      </c>
      <c r="G932" s="12" t="s">
        <v>96</v>
      </c>
      <c r="H932" s="12" t="s">
        <v>55</v>
      </c>
      <c r="I932" s="12" t="s">
        <v>33</v>
      </c>
      <c r="J932" s="13" t="s">
        <v>4136</v>
      </c>
      <c r="K932" s="14" t="s">
        <v>4142</v>
      </c>
      <c r="L932" s="15">
        <v>14</v>
      </c>
      <c r="M932" s="15" t="s">
        <v>144</v>
      </c>
      <c r="N932" s="16">
        <v>44897</v>
      </c>
      <c r="O932" s="12" t="s">
        <v>4143</v>
      </c>
      <c r="P932" s="14" t="s">
        <v>4144</v>
      </c>
      <c r="Q932" s="17" t="s">
        <v>137</v>
      </c>
      <c r="R932" s="17" t="s">
        <v>146</v>
      </c>
    </row>
    <row r="933" spans="1:18" x14ac:dyDescent="0.3">
      <c r="A933" s="12" t="s">
        <v>4145</v>
      </c>
      <c r="B933" s="12" t="s">
        <v>12</v>
      </c>
      <c r="C933" s="12"/>
      <c r="D933" s="12" t="s">
        <v>12</v>
      </c>
      <c r="E933" s="12" t="s">
        <v>4146</v>
      </c>
      <c r="F933" s="12"/>
      <c r="G933" s="12" t="s">
        <v>96</v>
      </c>
      <c r="H933" s="12" t="s">
        <v>55</v>
      </c>
      <c r="I933" s="12" t="s">
        <v>33</v>
      </c>
      <c r="J933" s="13" t="s">
        <v>4136</v>
      </c>
      <c r="K933" s="14" t="s">
        <v>4147</v>
      </c>
      <c r="L933" s="15">
        <v>0</v>
      </c>
      <c r="M933" s="15" t="s">
        <v>144</v>
      </c>
      <c r="N933" s="16">
        <v>45785</v>
      </c>
      <c r="O933" s="12" t="s">
        <v>4145</v>
      </c>
      <c r="P933" s="14" t="s">
        <v>4148</v>
      </c>
      <c r="Q933" s="17" t="s">
        <v>137</v>
      </c>
      <c r="R933" s="17" t="s">
        <v>146</v>
      </c>
    </row>
    <row r="934" spans="1:18" x14ac:dyDescent="0.3">
      <c r="A934" s="12" t="s">
        <v>4149</v>
      </c>
      <c r="B934" s="12" t="s">
        <v>12</v>
      </c>
      <c r="C934" s="12"/>
      <c r="D934" s="12" t="s">
        <v>12</v>
      </c>
      <c r="E934" s="12" t="s">
        <v>4150</v>
      </c>
      <c r="F934" s="12"/>
      <c r="G934" s="12" t="s">
        <v>96</v>
      </c>
      <c r="H934" s="12" t="s">
        <v>55</v>
      </c>
      <c r="I934" s="12" t="s">
        <v>33</v>
      </c>
      <c r="J934" s="13" t="s">
        <v>4136</v>
      </c>
      <c r="K934" s="14" t="s">
        <v>4151</v>
      </c>
      <c r="L934" s="15">
        <v>5</v>
      </c>
      <c r="M934" s="15" t="s">
        <v>144</v>
      </c>
      <c r="N934" s="16">
        <v>45317</v>
      </c>
      <c r="O934" s="12" t="s">
        <v>4149</v>
      </c>
      <c r="P934" s="14" t="s">
        <v>4152</v>
      </c>
      <c r="Q934" s="17" t="s">
        <v>137</v>
      </c>
      <c r="R934" s="17" t="s">
        <v>146</v>
      </c>
    </row>
    <row r="935" spans="1:18" x14ac:dyDescent="0.3">
      <c r="A935" s="12" t="s">
        <v>4153</v>
      </c>
      <c r="B935" s="12" t="s">
        <v>12</v>
      </c>
      <c r="C935" s="12"/>
      <c r="D935" s="12" t="s">
        <v>12</v>
      </c>
      <c r="E935" s="12" t="s">
        <v>4154</v>
      </c>
      <c r="F935" s="12"/>
      <c r="G935" s="12" t="s">
        <v>96</v>
      </c>
      <c r="H935" s="12" t="s">
        <v>55</v>
      </c>
      <c r="I935" s="12" t="s">
        <v>33</v>
      </c>
      <c r="J935" s="13" t="s">
        <v>4136</v>
      </c>
      <c r="K935" s="14" t="s">
        <v>4155</v>
      </c>
      <c r="L935" s="15">
        <v>1</v>
      </c>
      <c r="M935" s="15" t="s">
        <v>144</v>
      </c>
      <c r="N935" s="16">
        <v>44844</v>
      </c>
      <c r="O935" s="12" t="s">
        <v>4156</v>
      </c>
      <c r="P935" s="14" t="s">
        <v>4157</v>
      </c>
      <c r="Q935" s="17" t="s">
        <v>137</v>
      </c>
      <c r="R935" s="17" t="s">
        <v>146</v>
      </c>
    </row>
    <row r="936" spans="1:18" x14ac:dyDescent="0.3">
      <c r="A936" s="12" t="s">
        <v>4158</v>
      </c>
      <c r="B936" s="12" t="s">
        <v>12</v>
      </c>
      <c r="C936" s="12"/>
      <c r="D936" s="12" t="s">
        <v>12</v>
      </c>
      <c r="E936" s="12" t="s">
        <v>4159</v>
      </c>
      <c r="F936" s="12"/>
      <c r="G936" s="12" t="s">
        <v>96</v>
      </c>
      <c r="H936" s="12" t="s">
        <v>55</v>
      </c>
      <c r="I936" s="12" t="s">
        <v>33</v>
      </c>
      <c r="J936" s="13" t="s">
        <v>4136</v>
      </c>
      <c r="K936" s="14" t="s">
        <v>4160</v>
      </c>
      <c r="L936" s="15">
        <v>2</v>
      </c>
      <c r="M936" s="15" t="s">
        <v>144</v>
      </c>
      <c r="N936" s="16">
        <v>45824</v>
      </c>
      <c r="O936" s="12" t="s">
        <v>4158</v>
      </c>
      <c r="P936" s="14" t="s">
        <v>4161</v>
      </c>
      <c r="Q936" s="17" t="s">
        <v>137</v>
      </c>
      <c r="R936" s="17" t="s">
        <v>146</v>
      </c>
    </row>
    <row r="937" spans="1:18" x14ac:dyDescent="0.3">
      <c r="A937" s="12" t="s">
        <v>3286</v>
      </c>
      <c r="B937" s="12" t="s">
        <v>14</v>
      </c>
      <c r="C937" s="12"/>
      <c r="D937" s="12" t="s">
        <v>14</v>
      </c>
      <c r="E937" s="12" t="s">
        <v>4162</v>
      </c>
      <c r="F937" s="12"/>
      <c r="G937" s="12" t="s">
        <v>4163</v>
      </c>
      <c r="H937" s="12" t="s">
        <v>55</v>
      </c>
      <c r="I937" s="12" t="s">
        <v>33</v>
      </c>
      <c r="J937" s="13" t="s">
        <v>4164</v>
      </c>
      <c r="K937" s="14" t="s">
        <v>4165</v>
      </c>
      <c r="L937" s="15">
        <v>5</v>
      </c>
      <c r="M937" s="15" t="s">
        <v>144</v>
      </c>
      <c r="N937" s="16">
        <v>45475</v>
      </c>
      <c r="O937" s="12" t="s">
        <v>3286</v>
      </c>
      <c r="P937" s="14" t="s">
        <v>3290</v>
      </c>
      <c r="Q937" s="17" t="s">
        <v>137</v>
      </c>
      <c r="R937" s="17" t="s">
        <v>146</v>
      </c>
    </row>
    <row r="938" spans="1:18" x14ac:dyDescent="0.3">
      <c r="A938" s="12" t="s">
        <v>3719</v>
      </c>
      <c r="B938" s="12" t="s">
        <v>10</v>
      </c>
      <c r="C938" s="12"/>
      <c r="D938" s="12" t="s">
        <v>216</v>
      </c>
      <c r="E938" s="12" t="s">
        <v>4166</v>
      </c>
      <c r="F938" s="12"/>
      <c r="G938" s="12" t="s">
        <v>4167</v>
      </c>
      <c r="H938" s="12" t="s">
        <v>55</v>
      </c>
      <c r="I938" s="12" t="s">
        <v>33</v>
      </c>
      <c r="J938" s="13" t="s">
        <v>4168</v>
      </c>
      <c r="K938" s="14" t="s">
        <v>4169</v>
      </c>
      <c r="L938" s="15">
        <v>0</v>
      </c>
      <c r="M938" s="15" t="s">
        <v>144</v>
      </c>
      <c r="N938" s="16">
        <v>45681</v>
      </c>
      <c r="O938" s="12" t="s">
        <v>3719</v>
      </c>
      <c r="P938" s="14" t="s">
        <v>3724</v>
      </c>
      <c r="Q938" s="17" t="s">
        <v>137</v>
      </c>
      <c r="R938" s="17" t="s">
        <v>146</v>
      </c>
    </row>
    <row r="939" spans="1:18" x14ac:dyDescent="0.3">
      <c r="A939" s="12" t="s">
        <v>4170</v>
      </c>
      <c r="B939" s="12" t="s">
        <v>12</v>
      </c>
      <c r="C939" s="12"/>
      <c r="D939" s="12" t="s">
        <v>12</v>
      </c>
      <c r="E939" s="12" t="s">
        <v>4171</v>
      </c>
      <c r="F939" s="12"/>
      <c r="G939" s="12" t="s">
        <v>4172</v>
      </c>
      <c r="H939" s="12" t="s">
        <v>65</v>
      </c>
      <c r="I939" s="12" t="s">
        <v>33</v>
      </c>
      <c r="J939" s="13" t="s">
        <v>4173</v>
      </c>
      <c r="K939" s="14" t="s">
        <v>4174</v>
      </c>
      <c r="L939" s="15">
        <v>1</v>
      </c>
      <c r="M939" s="15" t="s">
        <v>144</v>
      </c>
      <c r="N939" s="16">
        <v>44754</v>
      </c>
      <c r="O939" s="12" t="s">
        <v>4170</v>
      </c>
      <c r="P939" s="14" t="s">
        <v>4175</v>
      </c>
      <c r="Q939" s="17" t="s">
        <v>137</v>
      </c>
      <c r="R939" s="17" t="s">
        <v>146</v>
      </c>
    </row>
    <row r="940" spans="1:18" x14ac:dyDescent="0.3">
      <c r="A940" s="12" t="s">
        <v>4176</v>
      </c>
      <c r="B940" s="12" t="s">
        <v>12</v>
      </c>
      <c r="C940" s="12"/>
      <c r="D940" s="12" t="s">
        <v>12</v>
      </c>
      <c r="E940" s="12" t="s">
        <v>4177</v>
      </c>
      <c r="F940" s="12"/>
      <c r="G940" s="12" t="s">
        <v>4172</v>
      </c>
      <c r="H940" s="12" t="s">
        <v>65</v>
      </c>
      <c r="I940" s="12" t="s">
        <v>33</v>
      </c>
      <c r="J940" s="13" t="s">
        <v>4173</v>
      </c>
      <c r="K940" s="14" t="s">
        <v>4178</v>
      </c>
      <c r="L940" s="15">
        <v>1</v>
      </c>
      <c r="M940" s="15" t="s">
        <v>144</v>
      </c>
      <c r="N940" s="16">
        <v>45675</v>
      </c>
      <c r="O940" s="12" t="s">
        <v>4176</v>
      </c>
      <c r="P940" s="14" t="s">
        <v>4179</v>
      </c>
      <c r="Q940" s="17" t="s">
        <v>137</v>
      </c>
      <c r="R940" s="17" t="s">
        <v>146</v>
      </c>
    </row>
    <row r="941" spans="1:18" x14ac:dyDescent="0.3">
      <c r="A941" s="12" t="s">
        <v>4180</v>
      </c>
      <c r="B941" s="12" t="s">
        <v>14</v>
      </c>
      <c r="C941" s="12"/>
      <c r="D941" s="12" t="s">
        <v>14</v>
      </c>
      <c r="E941" s="12" t="s">
        <v>4181</v>
      </c>
      <c r="F941" s="12" t="s">
        <v>4182</v>
      </c>
      <c r="G941" s="12" t="s">
        <v>4172</v>
      </c>
      <c r="H941" s="12" t="s">
        <v>65</v>
      </c>
      <c r="I941" s="12" t="s">
        <v>33</v>
      </c>
      <c r="J941" s="13" t="s">
        <v>4173</v>
      </c>
      <c r="K941" s="14" t="s">
        <v>4183</v>
      </c>
      <c r="L941" s="15">
        <v>0</v>
      </c>
      <c r="M941" s="15" t="s">
        <v>144</v>
      </c>
      <c r="N941" s="16">
        <v>44798</v>
      </c>
      <c r="O941" s="12" t="s">
        <v>4180</v>
      </c>
      <c r="P941" s="14" t="s">
        <v>4184</v>
      </c>
      <c r="Q941" s="17" t="s">
        <v>137</v>
      </c>
      <c r="R941" s="17" t="s">
        <v>146</v>
      </c>
    </row>
    <row r="942" spans="1:18" x14ac:dyDescent="0.3">
      <c r="A942" s="12" t="s">
        <v>4180</v>
      </c>
      <c r="B942" s="12" t="s">
        <v>14</v>
      </c>
      <c r="C942" s="12"/>
      <c r="D942" s="12" t="s">
        <v>14</v>
      </c>
      <c r="E942" s="12" t="s">
        <v>4185</v>
      </c>
      <c r="F942" s="12"/>
      <c r="G942" s="12" t="s">
        <v>4172</v>
      </c>
      <c r="H942" s="12" t="s">
        <v>65</v>
      </c>
      <c r="I942" s="12" t="s">
        <v>33</v>
      </c>
      <c r="J942" s="13" t="s">
        <v>4173</v>
      </c>
      <c r="K942" s="14" t="s">
        <v>4186</v>
      </c>
      <c r="L942" s="15">
        <v>7</v>
      </c>
      <c r="M942" s="15" t="s">
        <v>144</v>
      </c>
      <c r="N942" s="16">
        <v>44925</v>
      </c>
      <c r="O942" s="12" t="s">
        <v>4180</v>
      </c>
      <c r="P942" s="14" t="s">
        <v>4187</v>
      </c>
      <c r="Q942" s="17" t="s">
        <v>137</v>
      </c>
      <c r="R942" s="17" t="s">
        <v>146</v>
      </c>
    </row>
    <row r="943" spans="1:18" x14ac:dyDescent="0.3">
      <c r="A943" s="12" t="s">
        <v>4188</v>
      </c>
      <c r="B943" s="12" t="s">
        <v>10</v>
      </c>
      <c r="C943" s="12"/>
      <c r="D943" s="12" t="s">
        <v>647</v>
      </c>
      <c r="E943" s="12" t="s">
        <v>4189</v>
      </c>
      <c r="F943" s="12"/>
      <c r="G943" s="12" t="s">
        <v>4172</v>
      </c>
      <c r="H943" s="12" t="s">
        <v>65</v>
      </c>
      <c r="I943" s="12" t="s">
        <v>33</v>
      </c>
      <c r="J943" s="13" t="s">
        <v>4173</v>
      </c>
      <c r="K943" s="14" t="s">
        <v>4190</v>
      </c>
      <c r="L943" s="15">
        <v>0</v>
      </c>
      <c r="M943" s="15" t="s">
        <v>220</v>
      </c>
      <c r="N943" s="16">
        <v>45681</v>
      </c>
      <c r="O943" s="12" t="s">
        <v>4191</v>
      </c>
      <c r="P943" s="14" t="s">
        <v>4192</v>
      </c>
      <c r="Q943" s="17" t="s">
        <v>137</v>
      </c>
      <c r="R943" s="17" t="s">
        <v>146</v>
      </c>
    </row>
    <row r="944" spans="1:18" x14ac:dyDescent="0.3">
      <c r="A944" s="12" t="s">
        <v>4193</v>
      </c>
      <c r="B944" s="12" t="s">
        <v>10</v>
      </c>
      <c r="C944" s="12"/>
      <c r="D944" s="12" t="s">
        <v>647</v>
      </c>
      <c r="E944" s="12" t="s">
        <v>4194</v>
      </c>
      <c r="F944" s="12" t="s">
        <v>447</v>
      </c>
      <c r="G944" s="12" t="s">
        <v>86</v>
      </c>
      <c r="H944" s="12" t="s">
        <v>86</v>
      </c>
      <c r="I944" s="12" t="s">
        <v>33</v>
      </c>
      <c r="J944" s="13" t="s">
        <v>4195</v>
      </c>
      <c r="K944" s="14" t="s">
        <v>4196</v>
      </c>
      <c r="L944" s="15">
        <v>0</v>
      </c>
      <c r="M944" s="15" t="s">
        <v>220</v>
      </c>
      <c r="N944" s="16">
        <v>46245</v>
      </c>
      <c r="O944" s="12" t="s">
        <v>4197</v>
      </c>
      <c r="P944" s="14" t="s">
        <v>4198</v>
      </c>
      <c r="Q944" s="17" t="s">
        <v>137</v>
      </c>
      <c r="R944" s="17" t="s">
        <v>146</v>
      </c>
    </row>
    <row r="945" spans="1:18" x14ac:dyDescent="0.3">
      <c r="A945" s="12" t="s">
        <v>4199</v>
      </c>
      <c r="B945" s="12" t="s">
        <v>14</v>
      </c>
      <c r="C945" s="12"/>
      <c r="D945" s="12" t="s">
        <v>14</v>
      </c>
      <c r="E945" s="12" t="s">
        <v>4200</v>
      </c>
      <c r="F945" s="12"/>
      <c r="G945" s="12" t="s">
        <v>86</v>
      </c>
      <c r="H945" s="12" t="s">
        <v>86</v>
      </c>
      <c r="I945" s="12" t="s">
        <v>33</v>
      </c>
      <c r="J945" s="13" t="s">
        <v>4195</v>
      </c>
      <c r="K945" s="14" t="s">
        <v>4201</v>
      </c>
      <c r="L945" s="15">
        <v>1</v>
      </c>
      <c r="M945" s="15" t="s">
        <v>144</v>
      </c>
      <c r="N945" s="16">
        <v>44865</v>
      </c>
      <c r="O945" s="12" t="s">
        <v>4199</v>
      </c>
      <c r="P945" s="14" t="s">
        <v>4202</v>
      </c>
      <c r="Q945" s="17" t="s">
        <v>137</v>
      </c>
      <c r="R945" s="17" t="s">
        <v>146</v>
      </c>
    </row>
    <row r="946" spans="1:18" x14ac:dyDescent="0.3">
      <c r="A946" s="12" t="s">
        <v>4203</v>
      </c>
      <c r="B946" s="12" t="s">
        <v>12</v>
      </c>
      <c r="C946" s="12"/>
      <c r="D946" s="12" t="s">
        <v>12</v>
      </c>
      <c r="E946" s="12" t="s">
        <v>4204</v>
      </c>
      <c r="F946" s="12"/>
      <c r="G946" s="12" t="s">
        <v>4205</v>
      </c>
      <c r="H946" s="12" t="s">
        <v>101</v>
      </c>
      <c r="I946" s="12" t="s">
        <v>33</v>
      </c>
      <c r="J946" s="13" t="s">
        <v>4206</v>
      </c>
      <c r="K946" s="14" t="s">
        <v>4207</v>
      </c>
      <c r="L946" s="15">
        <v>4</v>
      </c>
      <c r="M946" s="15" t="s">
        <v>144</v>
      </c>
      <c r="N946" s="16">
        <v>45176</v>
      </c>
      <c r="O946" s="12" t="s">
        <v>4203</v>
      </c>
      <c r="P946" s="14" t="s">
        <v>4208</v>
      </c>
      <c r="Q946" s="17" t="s">
        <v>137</v>
      </c>
      <c r="R946" s="17" t="s">
        <v>146</v>
      </c>
    </row>
    <row r="947" spans="1:18" x14ac:dyDescent="0.3">
      <c r="A947" s="12" t="s">
        <v>3750</v>
      </c>
      <c r="B947" s="12" t="s">
        <v>14</v>
      </c>
      <c r="C947" s="12"/>
      <c r="D947" s="12" t="s">
        <v>14</v>
      </c>
      <c r="E947" s="12" t="s">
        <v>4209</v>
      </c>
      <c r="F947" s="12"/>
      <c r="G947" s="12" t="s">
        <v>4210</v>
      </c>
      <c r="H947" s="12" t="s">
        <v>78</v>
      </c>
      <c r="I947" s="12" t="s">
        <v>33</v>
      </c>
      <c r="J947" s="13" t="s">
        <v>4211</v>
      </c>
      <c r="K947" s="14" t="s">
        <v>4212</v>
      </c>
      <c r="L947" s="15">
        <v>1</v>
      </c>
      <c r="M947" s="15" t="s">
        <v>144</v>
      </c>
      <c r="N947" s="16">
        <v>44925</v>
      </c>
      <c r="O947" s="12" t="s">
        <v>3750</v>
      </c>
      <c r="P947" s="14" t="s">
        <v>4213</v>
      </c>
      <c r="Q947" s="17" t="s">
        <v>137</v>
      </c>
      <c r="R947" s="17" t="s">
        <v>146</v>
      </c>
    </row>
    <row r="948" spans="1:18" x14ac:dyDescent="0.3">
      <c r="A948" s="12" t="s">
        <v>3719</v>
      </c>
      <c r="B948" s="12" t="s">
        <v>10</v>
      </c>
      <c r="C948" s="12"/>
      <c r="D948" s="12" t="s">
        <v>216</v>
      </c>
      <c r="E948" s="12" t="s">
        <v>4214</v>
      </c>
      <c r="F948" s="12"/>
      <c r="G948" s="12" t="s">
        <v>4210</v>
      </c>
      <c r="H948" s="12" t="s">
        <v>78</v>
      </c>
      <c r="I948" s="12" t="s">
        <v>33</v>
      </c>
      <c r="J948" s="13" t="s">
        <v>4211</v>
      </c>
      <c r="K948" s="14" t="s">
        <v>4215</v>
      </c>
      <c r="L948" s="15">
        <v>0</v>
      </c>
      <c r="M948" s="15" t="s">
        <v>144</v>
      </c>
      <c r="N948" s="16">
        <v>45681</v>
      </c>
      <c r="O948" s="12" t="s">
        <v>3719</v>
      </c>
      <c r="P948" s="14" t="s">
        <v>3724</v>
      </c>
      <c r="Q948" s="17" t="s">
        <v>137</v>
      </c>
      <c r="R948" s="17" t="s">
        <v>146</v>
      </c>
    </row>
    <row r="949" spans="1:18" x14ac:dyDescent="0.3">
      <c r="A949" s="12" t="s">
        <v>4216</v>
      </c>
      <c r="B949" s="12" t="s">
        <v>10</v>
      </c>
      <c r="C949" s="12" t="s">
        <v>16</v>
      </c>
      <c r="D949" s="12" t="s">
        <v>4217</v>
      </c>
      <c r="E949" s="12" t="s">
        <v>4214</v>
      </c>
      <c r="F949" s="12"/>
      <c r="G949" s="12" t="s">
        <v>4210</v>
      </c>
      <c r="H949" s="12" t="s">
        <v>78</v>
      </c>
      <c r="I949" s="12" t="s">
        <v>33</v>
      </c>
      <c r="J949" s="13" t="s">
        <v>4211</v>
      </c>
      <c r="K949" s="14" t="s">
        <v>4218</v>
      </c>
      <c r="L949" s="15">
        <v>0</v>
      </c>
      <c r="M949" s="15" t="s">
        <v>144</v>
      </c>
      <c r="N949" s="16">
        <v>45230</v>
      </c>
      <c r="O949" s="12" t="s">
        <v>4191</v>
      </c>
      <c r="P949" s="14" t="s">
        <v>4219</v>
      </c>
      <c r="Q949" s="17" t="s">
        <v>137</v>
      </c>
      <c r="R949" s="17" t="s">
        <v>146</v>
      </c>
    </row>
    <row r="950" spans="1:18" x14ac:dyDescent="0.3">
      <c r="A950" s="12" t="s">
        <v>4220</v>
      </c>
      <c r="B950" s="12" t="s">
        <v>12</v>
      </c>
      <c r="C950" s="12"/>
      <c r="D950" s="12" t="s">
        <v>12</v>
      </c>
      <c r="E950" s="12" t="s">
        <v>4221</v>
      </c>
      <c r="F950" s="12"/>
      <c r="G950" s="12" t="s">
        <v>4222</v>
      </c>
      <c r="H950" s="12" t="s">
        <v>102</v>
      </c>
      <c r="I950" s="12" t="s">
        <v>33</v>
      </c>
      <c r="J950" s="13" t="s">
        <v>4223</v>
      </c>
      <c r="K950" s="14" t="s">
        <v>4224</v>
      </c>
      <c r="L950" s="15">
        <v>1</v>
      </c>
      <c r="M950" s="15" t="s">
        <v>144</v>
      </c>
      <c r="N950" s="16">
        <v>45593</v>
      </c>
      <c r="O950" s="12" t="s">
        <v>4225</v>
      </c>
      <c r="P950" s="14" t="s">
        <v>4226</v>
      </c>
      <c r="Q950" s="17" t="s">
        <v>137</v>
      </c>
      <c r="R950" s="17" t="s">
        <v>146</v>
      </c>
    </row>
    <row r="951" spans="1:18" x14ac:dyDescent="0.3">
      <c r="A951" s="12" t="s">
        <v>4227</v>
      </c>
      <c r="B951" s="12" t="s">
        <v>12</v>
      </c>
      <c r="C951" s="12"/>
      <c r="D951" s="12" t="s">
        <v>12</v>
      </c>
      <c r="E951" s="12" t="s">
        <v>4228</v>
      </c>
      <c r="F951" s="12"/>
      <c r="G951" s="12" t="s">
        <v>4229</v>
      </c>
      <c r="H951" s="12" t="s">
        <v>103</v>
      </c>
      <c r="I951" s="12" t="s">
        <v>33</v>
      </c>
      <c r="J951" s="13" t="s">
        <v>4230</v>
      </c>
      <c r="K951" s="14" t="s">
        <v>4231</v>
      </c>
      <c r="L951" s="15">
        <v>2</v>
      </c>
      <c r="M951" s="15" t="s">
        <v>144</v>
      </c>
      <c r="N951" s="16">
        <v>45035</v>
      </c>
      <c r="O951" s="12" t="s">
        <v>4227</v>
      </c>
      <c r="P951" s="14" t="s">
        <v>4232</v>
      </c>
      <c r="Q951" s="17" t="s">
        <v>137</v>
      </c>
      <c r="R951" s="17" t="s">
        <v>146</v>
      </c>
    </row>
    <row r="952" spans="1:18" x14ac:dyDescent="0.3">
      <c r="A952" s="12" t="s">
        <v>3719</v>
      </c>
      <c r="B952" s="12" t="s">
        <v>10</v>
      </c>
      <c r="C952" s="12"/>
      <c r="D952" s="12" t="s">
        <v>216</v>
      </c>
      <c r="E952" s="12" t="s">
        <v>4233</v>
      </c>
      <c r="F952" s="12"/>
      <c r="G952" s="12" t="s">
        <v>4234</v>
      </c>
      <c r="H952" s="12" t="s">
        <v>79</v>
      </c>
      <c r="I952" s="12" t="s">
        <v>33</v>
      </c>
      <c r="J952" s="13" t="s">
        <v>4235</v>
      </c>
      <c r="K952" s="14" t="s">
        <v>4236</v>
      </c>
      <c r="L952" s="15">
        <v>0</v>
      </c>
      <c r="M952" s="15" t="s">
        <v>144</v>
      </c>
      <c r="N952" s="16">
        <v>45681</v>
      </c>
      <c r="O952" s="12" t="s">
        <v>3719</v>
      </c>
      <c r="P952" s="14" t="s">
        <v>3724</v>
      </c>
      <c r="Q952" s="17" t="s">
        <v>137</v>
      </c>
      <c r="R952" s="17" t="s">
        <v>146</v>
      </c>
    </row>
    <row r="953" spans="1:18" x14ac:dyDescent="0.3">
      <c r="A953" s="12" t="s">
        <v>4237</v>
      </c>
      <c r="B953" s="12" t="s">
        <v>12</v>
      </c>
      <c r="C953" s="12"/>
      <c r="D953" s="12" t="s">
        <v>12</v>
      </c>
      <c r="E953" s="12" t="s">
        <v>4238</v>
      </c>
      <c r="F953" s="12"/>
      <c r="G953" s="12" t="s">
        <v>4239</v>
      </c>
      <c r="H953" s="12" t="s">
        <v>79</v>
      </c>
      <c r="I953" s="12" t="s">
        <v>33</v>
      </c>
      <c r="J953" s="13" t="s">
        <v>4240</v>
      </c>
      <c r="K953" s="14" t="s">
        <v>4241</v>
      </c>
      <c r="L953" s="15">
        <v>2</v>
      </c>
      <c r="M953" s="15" t="s">
        <v>144</v>
      </c>
      <c r="N953" s="16">
        <v>44960</v>
      </c>
      <c r="O953" s="12" t="s">
        <v>4237</v>
      </c>
      <c r="P953" s="14" t="s">
        <v>4242</v>
      </c>
      <c r="Q953" s="17" t="s">
        <v>137</v>
      </c>
      <c r="R953" s="17" t="s">
        <v>146</v>
      </c>
    </row>
    <row r="954" spans="1:18" x14ac:dyDescent="0.3">
      <c r="A954" s="12" t="s">
        <v>4243</v>
      </c>
      <c r="B954" s="12" t="s">
        <v>12</v>
      </c>
      <c r="C954" s="12"/>
      <c r="D954" s="12" t="s">
        <v>12</v>
      </c>
      <c r="E954" s="12" t="s">
        <v>4244</v>
      </c>
      <c r="F954" s="12"/>
      <c r="G954" s="12" t="s">
        <v>4239</v>
      </c>
      <c r="H954" s="12" t="s">
        <v>79</v>
      </c>
      <c r="I954" s="12" t="s">
        <v>33</v>
      </c>
      <c r="J954" s="13" t="s">
        <v>4240</v>
      </c>
      <c r="K954" s="14" t="s">
        <v>4245</v>
      </c>
      <c r="L954" s="15">
        <v>0</v>
      </c>
      <c r="M954" s="15" t="s">
        <v>144</v>
      </c>
      <c r="N954" s="16">
        <v>45873</v>
      </c>
      <c r="O954" s="12" t="s">
        <v>4243</v>
      </c>
      <c r="P954" s="14" t="s">
        <v>4246</v>
      </c>
      <c r="Q954" s="17" t="s">
        <v>137</v>
      </c>
      <c r="R954" s="17" t="s">
        <v>146</v>
      </c>
    </row>
  </sheetData>
  <conditionalFormatting sqref="M2:M954">
    <cfRule type="expression" dxfId="11" priority="1">
      <formula>$M2="Yes"</formula>
    </cfRule>
  </conditionalFormatting>
  <hyperlinks>
    <hyperlink ref="Q2" r:id="rId1" xr:uid="{00000000-0004-0000-0100-000000000000}"/>
    <hyperlink ref="R2" r:id="rId2" xr:uid="{00000000-0004-0000-0100-000001000000}"/>
    <hyperlink ref="Q3" r:id="rId3" xr:uid="{00000000-0004-0000-0100-000002000000}"/>
    <hyperlink ref="R3" r:id="rId4" xr:uid="{00000000-0004-0000-0100-000003000000}"/>
    <hyperlink ref="Q4" r:id="rId5" xr:uid="{00000000-0004-0000-0100-000004000000}"/>
    <hyperlink ref="R4" r:id="rId6" xr:uid="{00000000-0004-0000-0100-000005000000}"/>
    <hyperlink ref="Q5" r:id="rId7" xr:uid="{00000000-0004-0000-0100-000006000000}"/>
    <hyperlink ref="R5" r:id="rId8" xr:uid="{00000000-0004-0000-0100-000007000000}"/>
    <hyperlink ref="Q6" r:id="rId9" xr:uid="{00000000-0004-0000-0100-000008000000}"/>
    <hyperlink ref="R6" r:id="rId10" xr:uid="{00000000-0004-0000-0100-000009000000}"/>
    <hyperlink ref="Q7" r:id="rId11" xr:uid="{00000000-0004-0000-0100-00000A000000}"/>
    <hyperlink ref="R7" r:id="rId12" xr:uid="{00000000-0004-0000-0100-00000B000000}"/>
    <hyperlink ref="Q8" r:id="rId13" xr:uid="{00000000-0004-0000-0100-00000C000000}"/>
    <hyperlink ref="R8" r:id="rId14" xr:uid="{00000000-0004-0000-0100-00000D000000}"/>
    <hyperlink ref="Q9" r:id="rId15" xr:uid="{00000000-0004-0000-0100-00000E000000}"/>
    <hyperlink ref="R9" r:id="rId16" xr:uid="{00000000-0004-0000-0100-00000F000000}"/>
    <hyperlink ref="Q10" r:id="rId17" xr:uid="{00000000-0004-0000-0100-000010000000}"/>
    <hyperlink ref="R10" r:id="rId18" xr:uid="{00000000-0004-0000-0100-000011000000}"/>
    <hyperlink ref="Q11" r:id="rId19" xr:uid="{00000000-0004-0000-0100-000012000000}"/>
    <hyperlink ref="R11" r:id="rId20" xr:uid="{00000000-0004-0000-0100-000013000000}"/>
    <hyperlink ref="Q12" r:id="rId21" xr:uid="{00000000-0004-0000-0100-000014000000}"/>
    <hyperlink ref="R12" r:id="rId22" xr:uid="{00000000-0004-0000-0100-000015000000}"/>
    <hyperlink ref="Q13" r:id="rId23" xr:uid="{00000000-0004-0000-0100-000016000000}"/>
    <hyperlink ref="R13" r:id="rId24" xr:uid="{00000000-0004-0000-0100-000017000000}"/>
    <hyperlink ref="Q14" r:id="rId25" xr:uid="{00000000-0004-0000-0100-000018000000}"/>
    <hyperlink ref="R14" r:id="rId26" xr:uid="{00000000-0004-0000-0100-000019000000}"/>
    <hyperlink ref="Q15" r:id="rId27" xr:uid="{00000000-0004-0000-0100-00001A000000}"/>
    <hyperlink ref="R15" r:id="rId28" xr:uid="{00000000-0004-0000-0100-00001B000000}"/>
    <hyperlink ref="Q16" r:id="rId29" xr:uid="{00000000-0004-0000-0100-00001C000000}"/>
    <hyperlink ref="R16" r:id="rId30" xr:uid="{00000000-0004-0000-0100-00001D000000}"/>
    <hyperlink ref="Q17" r:id="rId31" xr:uid="{00000000-0004-0000-0100-00001E000000}"/>
    <hyperlink ref="R17" r:id="rId32" xr:uid="{00000000-0004-0000-0100-00001F000000}"/>
    <hyperlink ref="Q18" r:id="rId33" xr:uid="{00000000-0004-0000-0100-000020000000}"/>
    <hyperlink ref="R18" r:id="rId34" xr:uid="{00000000-0004-0000-0100-000021000000}"/>
    <hyperlink ref="Q19" r:id="rId35" xr:uid="{00000000-0004-0000-0100-000022000000}"/>
    <hyperlink ref="R19" r:id="rId36" xr:uid="{00000000-0004-0000-0100-000023000000}"/>
    <hyperlink ref="Q20" r:id="rId37" xr:uid="{00000000-0004-0000-0100-000024000000}"/>
    <hyperlink ref="R20" r:id="rId38" xr:uid="{00000000-0004-0000-0100-000025000000}"/>
    <hyperlink ref="Q21" r:id="rId39" xr:uid="{00000000-0004-0000-0100-000026000000}"/>
    <hyperlink ref="R21" r:id="rId40" xr:uid="{00000000-0004-0000-0100-000027000000}"/>
    <hyperlink ref="Q22" r:id="rId41" xr:uid="{00000000-0004-0000-0100-000028000000}"/>
    <hyperlink ref="R22" r:id="rId42" xr:uid="{00000000-0004-0000-0100-000029000000}"/>
    <hyperlink ref="Q23" r:id="rId43" xr:uid="{00000000-0004-0000-0100-00002A000000}"/>
    <hyperlink ref="R23" r:id="rId44" xr:uid="{00000000-0004-0000-0100-00002B000000}"/>
    <hyperlink ref="Q24" r:id="rId45" xr:uid="{00000000-0004-0000-0100-00002C000000}"/>
    <hyperlink ref="R24" r:id="rId46" xr:uid="{00000000-0004-0000-0100-00002D000000}"/>
    <hyperlink ref="Q25" r:id="rId47" xr:uid="{00000000-0004-0000-0100-00002E000000}"/>
    <hyperlink ref="R25" r:id="rId48" xr:uid="{00000000-0004-0000-0100-00002F000000}"/>
    <hyperlink ref="Q26" r:id="rId49" xr:uid="{00000000-0004-0000-0100-000030000000}"/>
    <hyperlink ref="R26" r:id="rId50" xr:uid="{00000000-0004-0000-0100-000031000000}"/>
    <hyperlink ref="Q27" r:id="rId51" xr:uid="{00000000-0004-0000-0100-000032000000}"/>
    <hyperlink ref="R27" r:id="rId52" xr:uid="{00000000-0004-0000-0100-000033000000}"/>
    <hyperlink ref="Q28" r:id="rId53" xr:uid="{00000000-0004-0000-0100-000034000000}"/>
    <hyperlink ref="R28" r:id="rId54" xr:uid="{00000000-0004-0000-0100-000035000000}"/>
    <hyperlink ref="Q29" r:id="rId55" xr:uid="{00000000-0004-0000-0100-000036000000}"/>
    <hyperlink ref="R29" r:id="rId56" xr:uid="{00000000-0004-0000-0100-000037000000}"/>
    <hyperlink ref="Q30" r:id="rId57" xr:uid="{00000000-0004-0000-0100-000038000000}"/>
    <hyperlink ref="R30" r:id="rId58" xr:uid="{00000000-0004-0000-0100-000039000000}"/>
    <hyperlink ref="Q31" r:id="rId59" xr:uid="{00000000-0004-0000-0100-00003A000000}"/>
    <hyperlink ref="R31" r:id="rId60" xr:uid="{00000000-0004-0000-0100-00003B000000}"/>
    <hyperlink ref="Q32" r:id="rId61" xr:uid="{00000000-0004-0000-0100-00003C000000}"/>
    <hyperlink ref="R32" r:id="rId62" xr:uid="{00000000-0004-0000-0100-00003D000000}"/>
    <hyperlink ref="Q33" r:id="rId63" xr:uid="{00000000-0004-0000-0100-00003E000000}"/>
    <hyperlink ref="R33" r:id="rId64" xr:uid="{00000000-0004-0000-0100-00003F000000}"/>
    <hyperlink ref="Q34" r:id="rId65" xr:uid="{00000000-0004-0000-0100-000040000000}"/>
    <hyperlink ref="R34" r:id="rId66" xr:uid="{00000000-0004-0000-0100-000041000000}"/>
    <hyperlink ref="Q35" r:id="rId67" xr:uid="{00000000-0004-0000-0100-000042000000}"/>
    <hyperlink ref="R35" r:id="rId68" xr:uid="{00000000-0004-0000-0100-000043000000}"/>
    <hyperlink ref="Q36" r:id="rId69" xr:uid="{00000000-0004-0000-0100-000044000000}"/>
    <hyperlink ref="R36" r:id="rId70" xr:uid="{00000000-0004-0000-0100-000045000000}"/>
    <hyperlink ref="Q37" r:id="rId71" xr:uid="{00000000-0004-0000-0100-000046000000}"/>
    <hyperlink ref="R37" r:id="rId72" xr:uid="{00000000-0004-0000-0100-000047000000}"/>
    <hyperlink ref="Q38" r:id="rId73" xr:uid="{00000000-0004-0000-0100-000048000000}"/>
    <hyperlink ref="R38" r:id="rId74" xr:uid="{00000000-0004-0000-0100-000049000000}"/>
    <hyperlink ref="Q39" r:id="rId75" xr:uid="{00000000-0004-0000-0100-00004A000000}"/>
    <hyperlink ref="R39" r:id="rId76" xr:uid="{00000000-0004-0000-0100-00004B000000}"/>
    <hyperlink ref="Q40" r:id="rId77" xr:uid="{00000000-0004-0000-0100-00004C000000}"/>
    <hyperlink ref="R40" r:id="rId78" xr:uid="{00000000-0004-0000-0100-00004D000000}"/>
    <hyperlink ref="Q41" r:id="rId79" xr:uid="{00000000-0004-0000-0100-00004E000000}"/>
    <hyperlink ref="R41" r:id="rId80" xr:uid="{00000000-0004-0000-0100-00004F000000}"/>
    <hyperlink ref="Q42" r:id="rId81" xr:uid="{00000000-0004-0000-0100-000050000000}"/>
    <hyperlink ref="R42" r:id="rId82" xr:uid="{00000000-0004-0000-0100-000051000000}"/>
    <hyperlink ref="Q43" r:id="rId83" xr:uid="{00000000-0004-0000-0100-000052000000}"/>
    <hyperlink ref="R43" r:id="rId84" xr:uid="{00000000-0004-0000-0100-000053000000}"/>
    <hyperlink ref="Q44" r:id="rId85" xr:uid="{00000000-0004-0000-0100-000054000000}"/>
    <hyperlink ref="R44" r:id="rId86" xr:uid="{00000000-0004-0000-0100-000055000000}"/>
    <hyperlink ref="Q45" r:id="rId87" xr:uid="{00000000-0004-0000-0100-000056000000}"/>
    <hyperlink ref="R45" r:id="rId88" xr:uid="{00000000-0004-0000-0100-000057000000}"/>
    <hyperlink ref="Q46" r:id="rId89" xr:uid="{00000000-0004-0000-0100-000058000000}"/>
    <hyperlink ref="R46" r:id="rId90" xr:uid="{00000000-0004-0000-0100-000059000000}"/>
    <hyperlink ref="Q47" r:id="rId91" xr:uid="{00000000-0004-0000-0100-00005A000000}"/>
    <hyperlink ref="R47" r:id="rId92" xr:uid="{00000000-0004-0000-0100-00005B000000}"/>
    <hyperlink ref="Q48" r:id="rId93" xr:uid="{00000000-0004-0000-0100-00005C000000}"/>
    <hyperlink ref="R48" r:id="rId94" xr:uid="{00000000-0004-0000-0100-00005D000000}"/>
    <hyperlink ref="Q49" r:id="rId95" xr:uid="{00000000-0004-0000-0100-00005E000000}"/>
    <hyperlink ref="R49" r:id="rId96" xr:uid="{00000000-0004-0000-0100-00005F000000}"/>
    <hyperlink ref="Q50" r:id="rId97" xr:uid="{00000000-0004-0000-0100-000060000000}"/>
    <hyperlink ref="R50" r:id="rId98" xr:uid="{00000000-0004-0000-0100-000061000000}"/>
    <hyperlink ref="Q51" r:id="rId99" xr:uid="{00000000-0004-0000-0100-000062000000}"/>
    <hyperlink ref="R51" r:id="rId100" xr:uid="{00000000-0004-0000-0100-000063000000}"/>
    <hyperlink ref="Q52" r:id="rId101" xr:uid="{00000000-0004-0000-0100-000064000000}"/>
    <hyperlink ref="R52" r:id="rId102" xr:uid="{00000000-0004-0000-0100-000065000000}"/>
    <hyperlink ref="Q53" r:id="rId103" xr:uid="{00000000-0004-0000-0100-000066000000}"/>
    <hyperlink ref="R53" r:id="rId104" xr:uid="{00000000-0004-0000-0100-000067000000}"/>
    <hyperlink ref="Q54" r:id="rId105" xr:uid="{00000000-0004-0000-0100-000068000000}"/>
    <hyperlink ref="R54" r:id="rId106" xr:uid="{00000000-0004-0000-0100-000069000000}"/>
    <hyperlink ref="Q55" r:id="rId107" xr:uid="{00000000-0004-0000-0100-00006A000000}"/>
    <hyperlink ref="R55" r:id="rId108" xr:uid="{00000000-0004-0000-0100-00006B000000}"/>
    <hyperlink ref="Q56" r:id="rId109" xr:uid="{00000000-0004-0000-0100-00006C000000}"/>
    <hyperlink ref="R56" r:id="rId110" xr:uid="{00000000-0004-0000-0100-00006D000000}"/>
    <hyperlink ref="Q57" r:id="rId111" xr:uid="{00000000-0004-0000-0100-00006E000000}"/>
    <hyperlink ref="R57" r:id="rId112" xr:uid="{00000000-0004-0000-0100-00006F000000}"/>
    <hyperlink ref="Q58" r:id="rId113" xr:uid="{00000000-0004-0000-0100-000070000000}"/>
    <hyperlink ref="R58" r:id="rId114" xr:uid="{00000000-0004-0000-0100-000071000000}"/>
    <hyperlink ref="Q59" r:id="rId115" xr:uid="{00000000-0004-0000-0100-000072000000}"/>
    <hyperlink ref="R59" r:id="rId116" xr:uid="{00000000-0004-0000-0100-000073000000}"/>
    <hyperlink ref="Q60" r:id="rId117" xr:uid="{00000000-0004-0000-0100-000074000000}"/>
    <hyperlink ref="R60" r:id="rId118" xr:uid="{00000000-0004-0000-0100-000075000000}"/>
    <hyperlink ref="Q61" r:id="rId119" xr:uid="{00000000-0004-0000-0100-000076000000}"/>
    <hyperlink ref="R61" r:id="rId120" xr:uid="{00000000-0004-0000-0100-000077000000}"/>
    <hyperlink ref="Q62" r:id="rId121" xr:uid="{00000000-0004-0000-0100-000078000000}"/>
    <hyperlink ref="R62" r:id="rId122" xr:uid="{00000000-0004-0000-0100-000079000000}"/>
    <hyperlink ref="Q63" r:id="rId123" xr:uid="{00000000-0004-0000-0100-00007A000000}"/>
    <hyperlink ref="R63" r:id="rId124" xr:uid="{00000000-0004-0000-0100-00007B000000}"/>
    <hyperlink ref="Q64" r:id="rId125" xr:uid="{00000000-0004-0000-0100-00007C000000}"/>
    <hyperlink ref="R64" r:id="rId126" xr:uid="{00000000-0004-0000-0100-00007D000000}"/>
    <hyperlink ref="Q65" r:id="rId127" xr:uid="{00000000-0004-0000-0100-00007E000000}"/>
    <hyperlink ref="R65" r:id="rId128" xr:uid="{00000000-0004-0000-0100-00007F000000}"/>
    <hyperlink ref="Q66" r:id="rId129" xr:uid="{00000000-0004-0000-0100-000080000000}"/>
    <hyperlink ref="R66" r:id="rId130" xr:uid="{00000000-0004-0000-0100-000081000000}"/>
    <hyperlink ref="Q67" r:id="rId131" xr:uid="{00000000-0004-0000-0100-000082000000}"/>
    <hyperlink ref="R67" r:id="rId132" xr:uid="{00000000-0004-0000-0100-000083000000}"/>
    <hyperlink ref="Q68" r:id="rId133" xr:uid="{00000000-0004-0000-0100-000084000000}"/>
    <hyperlink ref="R68" r:id="rId134" xr:uid="{00000000-0004-0000-0100-000085000000}"/>
    <hyperlink ref="Q69" r:id="rId135" xr:uid="{00000000-0004-0000-0100-000086000000}"/>
    <hyperlink ref="R69" r:id="rId136" xr:uid="{00000000-0004-0000-0100-000087000000}"/>
    <hyperlink ref="Q70" r:id="rId137" xr:uid="{00000000-0004-0000-0100-000088000000}"/>
    <hyperlink ref="R70" r:id="rId138" xr:uid="{00000000-0004-0000-0100-000089000000}"/>
    <hyperlink ref="Q71" r:id="rId139" xr:uid="{00000000-0004-0000-0100-00008A000000}"/>
    <hyperlink ref="R71" r:id="rId140" xr:uid="{00000000-0004-0000-0100-00008B000000}"/>
    <hyperlink ref="Q72" r:id="rId141" xr:uid="{00000000-0004-0000-0100-00008C000000}"/>
    <hyperlink ref="R72" r:id="rId142" xr:uid="{00000000-0004-0000-0100-00008D000000}"/>
    <hyperlink ref="Q73" r:id="rId143" xr:uid="{00000000-0004-0000-0100-00008E000000}"/>
    <hyperlink ref="R73" r:id="rId144" xr:uid="{00000000-0004-0000-0100-00008F000000}"/>
    <hyperlink ref="Q74" r:id="rId145" xr:uid="{00000000-0004-0000-0100-000090000000}"/>
    <hyperlink ref="R74" r:id="rId146" xr:uid="{00000000-0004-0000-0100-000091000000}"/>
    <hyperlink ref="Q75" r:id="rId147" xr:uid="{00000000-0004-0000-0100-000092000000}"/>
    <hyperlink ref="R75" r:id="rId148" xr:uid="{00000000-0004-0000-0100-000093000000}"/>
    <hyperlink ref="Q76" r:id="rId149" xr:uid="{00000000-0004-0000-0100-000094000000}"/>
    <hyperlink ref="R76" r:id="rId150" xr:uid="{00000000-0004-0000-0100-000095000000}"/>
    <hyperlink ref="Q77" r:id="rId151" xr:uid="{00000000-0004-0000-0100-000096000000}"/>
    <hyperlink ref="R77" r:id="rId152" xr:uid="{00000000-0004-0000-0100-000097000000}"/>
    <hyperlink ref="Q78" r:id="rId153" xr:uid="{00000000-0004-0000-0100-000098000000}"/>
    <hyperlink ref="R78" r:id="rId154" xr:uid="{00000000-0004-0000-0100-000099000000}"/>
    <hyperlink ref="Q79" r:id="rId155" xr:uid="{00000000-0004-0000-0100-00009A000000}"/>
    <hyperlink ref="R79" r:id="rId156" xr:uid="{00000000-0004-0000-0100-00009B000000}"/>
    <hyperlink ref="Q80" r:id="rId157" xr:uid="{00000000-0004-0000-0100-00009C000000}"/>
    <hyperlink ref="R80" r:id="rId158" xr:uid="{00000000-0004-0000-0100-00009D000000}"/>
    <hyperlink ref="Q81" r:id="rId159" xr:uid="{00000000-0004-0000-0100-00009E000000}"/>
    <hyperlink ref="R81" r:id="rId160" xr:uid="{00000000-0004-0000-0100-00009F000000}"/>
    <hyperlink ref="Q82" r:id="rId161" xr:uid="{00000000-0004-0000-0100-0000A0000000}"/>
    <hyperlink ref="R82" r:id="rId162" xr:uid="{00000000-0004-0000-0100-0000A1000000}"/>
    <hyperlink ref="Q83" r:id="rId163" xr:uid="{00000000-0004-0000-0100-0000A2000000}"/>
    <hyperlink ref="R83" r:id="rId164" xr:uid="{00000000-0004-0000-0100-0000A3000000}"/>
    <hyperlink ref="Q84" r:id="rId165" xr:uid="{00000000-0004-0000-0100-0000A4000000}"/>
    <hyperlink ref="R84" r:id="rId166" xr:uid="{00000000-0004-0000-0100-0000A5000000}"/>
    <hyperlink ref="Q85" r:id="rId167" xr:uid="{00000000-0004-0000-0100-0000A6000000}"/>
    <hyperlink ref="R85" r:id="rId168" xr:uid="{00000000-0004-0000-0100-0000A7000000}"/>
    <hyperlink ref="Q86" r:id="rId169" xr:uid="{00000000-0004-0000-0100-0000A8000000}"/>
    <hyperlink ref="R86" r:id="rId170" xr:uid="{00000000-0004-0000-0100-0000A9000000}"/>
    <hyperlink ref="Q87" r:id="rId171" xr:uid="{00000000-0004-0000-0100-0000AA000000}"/>
    <hyperlink ref="R87" r:id="rId172" xr:uid="{00000000-0004-0000-0100-0000AB000000}"/>
    <hyperlink ref="Q88" r:id="rId173" xr:uid="{00000000-0004-0000-0100-0000AC000000}"/>
    <hyperlink ref="R88" r:id="rId174" xr:uid="{00000000-0004-0000-0100-0000AD000000}"/>
    <hyperlink ref="Q89" r:id="rId175" xr:uid="{00000000-0004-0000-0100-0000AE000000}"/>
    <hyperlink ref="R89" r:id="rId176" xr:uid="{00000000-0004-0000-0100-0000AF000000}"/>
    <hyperlink ref="Q90" r:id="rId177" xr:uid="{00000000-0004-0000-0100-0000B0000000}"/>
    <hyperlink ref="R90" r:id="rId178" xr:uid="{00000000-0004-0000-0100-0000B1000000}"/>
    <hyperlink ref="Q91" r:id="rId179" xr:uid="{00000000-0004-0000-0100-0000B2000000}"/>
    <hyperlink ref="R91" r:id="rId180" xr:uid="{00000000-0004-0000-0100-0000B3000000}"/>
    <hyperlink ref="Q92" r:id="rId181" xr:uid="{00000000-0004-0000-0100-0000B4000000}"/>
    <hyperlink ref="R92" r:id="rId182" xr:uid="{00000000-0004-0000-0100-0000B5000000}"/>
    <hyperlink ref="Q93" r:id="rId183" xr:uid="{00000000-0004-0000-0100-0000B6000000}"/>
    <hyperlink ref="R93" r:id="rId184" xr:uid="{00000000-0004-0000-0100-0000B7000000}"/>
    <hyperlink ref="Q94" r:id="rId185" xr:uid="{00000000-0004-0000-0100-0000B8000000}"/>
    <hyperlink ref="R94" r:id="rId186" xr:uid="{00000000-0004-0000-0100-0000B9000000}"/>
    <hyperlink ref="Q95" r:id="rId187" xr:uid="{00000000-0004-0000-0100-0000BA000000}"/>
    <hyperlink ref="R95" r:id="rId188" xr:uid="{00000000-0004-0000-0100-0000BB000000}"/>
    <hyperlink ref="Q96" r:id="rId189" xr:uid="{00000000-0004-0000-0100-0000BC000000}"/>
    <hyperlink ref="R96" r:id="rId190" xr:uid="{00000000-0004-0000-0100-0000BD000000}"/>
    <hyperlink ref="Q97" r:id="rId191" xr:uid="{00000000-0004-0000-0100-0000BE000000}"/>
    <hyperlink ref="R97" r:id="rId192" xr:uid="{00000000-0004-0000-0100-0000BF000000}"/>
    <hyperlink ref="Q98" r:id="rId193" xr:uid="{00000000-0004-0000-0100-0000C0000000}"/>
    <hyperlink ref="R98" r:id="rId194" xr:uid="{00000000-0004-0000-0100-0000C1000000}"/>
    <hyperlink ref="Q99" r:id="rId195" xr:uid="{00000000-0004-0000-0100-0000C2000000}"/>
    <hyperlink ref="R99" r:id="rId196" xr:uid="{00000000-0004-0000-0100-0000C3000000}"/>
    <hyperlink ref="Q100" r:id="rId197" xr:uid="{00000000-0004-0000-0100-0000C4000000}"/>
    <hyperlink ref="R100" r:id="rId198" xr:uid="{00000000-0004-0000-0100-0000C5000000}"/>
    <hyperlink ref="Q101" r:id="rId199" xr:uid="{00000000-0004-0000-0100-0000C6000000}"/>
    <hyperlink ref="R101" r:id="rId200" xr:uid="{00000000-0004-0000-0100-0000C7000000}"/>
    <hyperlink ref="Q102" r:id="rId201" xr:uid="{00000000-0004-0000-0100-0000C8000000}"/>
    <hyperlink ref="R102" r:id="rId202" xr:uid="{00000000-0004-0000-0100-0000C9000000}"/>
    <hyperlink ref="Q103" r:id="rId203" xr:uid="{00000000-0004-0000-0100-0000CA000000}"/>
    <hyperlink ref="R103" r:id="rId204" xr:uid="{00000000-0004-0000-0100-0000CB000000}"/>
    <hyperlink ref="Q104" r:id="rId205" xr:uid="{00000000-0004-0000-0100-0000CC000000}"/>
    <hyperlink ref="R104" r:id="rId206" xr:uid="{00000000-0004-0000-0100-0000CD000000}"/>
    <hyperlink ref="Q105" r:id="rId207" xr:uid="{00000000-0004-0000-0100-0000CE000000}"/>
    <hyperlink ref="R105" r:id="rId208" xr:uid="{00000000-0004-0000-0100-0000CF000000}"/>
    <hyperlink ref="Q106" r:id="rId209" xr:uid="{00000000-0004-0000-0100-0000D0000000}"/>
    <hyperlink ref="R106" r:id="rId210" xr:uid="{00000000-0004-0000-0100-0000D1000000}"/>
    <hyperlink ref="Q107" r:id="rId211" xr:uid="{00000000-0004-0000-0100-0000D2000000}"/>
    <hyperlink ref="R107" r:id="rId212" xr:uid="{00000000-0004-0000-0100-0000D3000000}"/>
    <hyperlink ref="Q108" r:id="rId213" xr:uid="{00000000-0004-0000-0100-0000D4000000}"/>
    <hyperlink ref="R108" r:id="rId214" xr:uid="{00000000-0004-0000-0100-0000D5000000}"/>
    <hyperlink ref="Q109" r:id="rId215" xr:uid="{00000000-0004-0000-0100-0000D6000000}"/>
    <hyperlink ref="R109" r:id="rId216" xr:uid="{00000000-0004-0000-0100-0000D7000000}"/>
    <hyperlink ref="Q110" r:id="rId217" xr:uid="{00000000-0004-0000-0100-0000D8000000}"/>
    <hyperlink ref="R110" r:id="rId218" xr:uid="{00000000-0004-0000-0100-0000D9000000}"/>
    <hyperlink ref="Q111" r:id="rId219" xr:uid="{00000000-0004-0000-0100-0000DA000000}"/>
    <hyperlink ref="R111" r:id="rId220" xr:uid="{00000000-0004-0000-0100-0000DB000000}"/>
    <hyperlink ref="Q112" r:id="rId221" xr:uid="{00000000-0004-0000-0100-0000DC000000}"/>
    <hyperlink ref="R112" r:id="rId222" xr:uid="{00000000-0004-0000-0100-0000DD000000}"/>
    <hyperlink ref="Q113" r:id="rId223" xr:uid="{00000000-0004-0000-0100-0000DE000000}"/>
    <hyperlink ref="R113" r:id="rId224" xr:uid="{00000000-0004-0000-0100-0000DF000000}"/>
    <hyperlink ref="Q114" r:id="rId225" xr:uid="{00000000-0004-0000-0100-0000E0000000}"/>
    <hyperlink ref="R114" r:id="rId226" xr:uid="{00000000-0004-0000-0100-0000E1000000}"/>
    <hyperlink ref="Q115" r:id="rId227" xr:uid="{00000000-0004-0000-0100-0000E2000000}"/>
    <hyperlink ref="R115" r:id="rId228" xr:uid="{00000000-0004-0000-0100-0000E3000000}"/>
    <hyperlink ref="Q116" r:id="rId229" xr:uid="{00000000-0004-0000-0100-0000E4000000}"/>
    <hyperlink ref="R116" r:id="rId230" xr:uid="{00000000-0004-0000-0100-0000E5000000}"/>
    <hyperlink ref="Q117" r:id="rId231" xr:uid="{00000000-0004-0000-0100-0000E6000000}"/>
    <hyperlink ref="R117" r:id="rId232" xr:uid="{00000000-0004-0000-0100-0000E7000000}"/>
    <hyperlink ref="Q118" r:id="rId233" xr:uid="{00000000-0004-0000-0100-0000E8000000}"/>
    <hyperlink ref="R118" r:id="rId234" xr:uid="{00000000-0004-0000-0100-0000E9000000}"/>
    <hyperlink ref="Q119" r:id="rId235" xr:uid="{00000000-0004-0000-0100-0000EA000000}"/>
    <hyperlink ref="R119" r:id="rId236" xr:uid="{00000000-0004-0000-0100-0000EB000000}"/>
    <hyperlink ref="Q120" r:id="rId237" xr:uid="{00000000-0004-0000-0100-0000EC000000}"/>
    <hyperlink ref="R120" r:id="rId238" xr:uid="{00000000-0004-0000-0100-0000ED000000}"/>
    <hyperlink ref="Q121" r:id="rId239" xr:uid="{00000000-0004-0000-0100-0000EE000000}"/>
    <hyperlink ref="R121" r:id="rId240" xr:uid="{00000000-0004-0000-0100-0000EF000000}"/>
    <hyperlink ref="Q122" r:id="rId241" xr:uid="{00000000-0004-0000-0100-0000F0000000}"/>
    <hyperlink ref="R122" r:id="rId242" xr:uid="{00000000-0004-0000-0100-0000F1000000}"/>
    <hyperlink ref="Q123" r:id="rId243" xr:uid="{00000000-0004-0000-0100-0000F2000000}"/>
    <hyperlink ref="R123" r:id="rId244" xr:uid="{00000000-0004-0000-0100-0000F3000000}"/>
    <hyperlink ref="Q124" r:id="rId245" xr:uid="{00000000-0004-0000-0100-0000F4000000}"/>
    <hyperlink ref="R124" r:id="rId246" xr:uid="{00000000-0004-0000-0100-0000F5000000}"/>
    <hyperlink ref="Q125" r:id="rId247" xr:uid="{00000000-0004-0000-0100-0000F6000000}"/>
    <hyperlink ref="R125" r:id="rId248" xr:uid="{00000000-0004-0000-0100-0000F7000000}"/>
    <hyperlink ref="Q126" r:id="rId249" xr:uid="{00000000-0004-0000-0100-0000F8000000}"/>
    <hyperlink ref="R126" r:id="rId250" xr:uid="{00000000-0004-0000-0100-0000F9000000}"/>
    <hyperlink ref="Q127" r:id="rId251" xr:uid="{00000000-0004-0000-0100-0000FA000000}"/>
    <hyperlink ref="R127" r:id="rId252" xr:uid="{00000000-0004-0000-0100-0000FB000000}"/>
    <hyperlink ref="Q128" r:id="rId253" xr:uid="{00000000-0004-0000-0100-0000FC000000}"/>
    <hyperlink ref="R128" r:id="rId254" xr:uid="{00000000-0004-0000-0100-0000FD000000}"/>
    <hyperlink ref="Q129" r:id="rId255" xr:uid="{00000000-0004-0000-0100-0000FE000000}"/>
    <hyperlink ref="R129" r:id="rId256" xr:uid="{00000000-0004-0000-0100-0000FF000000}"/>
    <hyperlink ref="Q130" r:id="rId257" xr:uid="{00000000-0004-0000-0100-000000010000}"/>
    <hyperlink ref="R130" r:id="rId258" xr:uid="{00000000-0004-0000-0100-000001010000}"/>
    <hyperlink ref="Q131" r:id="rId259" xr:uid="{00000000-0004-0000-0100-000002010000}"/>
    <hyperlink ref="R131" r:id="rId260" xr:uid="{00000000-0004-0000-0100-000003010000}"/>
    <hyperlink ref="Q132" r:id="rId261" xr:uid="{00000000-0004-0000-0100-000004010000}"/>
    <hyperlink ref="R132" r:id="rId262" xr:uid="{00000000-0004-0000-0100-000005010000}"/>
    <hyperlink ref="Q133" r:id="rId263" xr:uid="{00000000-0004-0000-0100-000006010000}"/>
    <hyperlink ref="R133" r:id="rId264" xr:uid="{00000000-0004-0000-0100-000007010000}"/>
    <hyperlink ref="Q134" r:id="rId265" xr:uid="{00000000-0004-0000-0100-000008010000}"/>
    <hyperlink ref="R134" r:id="rId266" xr:uid="{00000000-0004-0000-0100-000009010000}"/>
    <hyperlink ref="Q135" r:id="rId267" xr:uid="{00000000-0004-0000-0100-00000A010000}"/>
    <hyperlink ref="R135" r:id="rId268" xr:uid="{00000000-0004-0000-0100-00000B010000}"/>
    <hyperlink ref="Q136" r:id="rId269" xr:uid="{00000000-0004-0000-0100-00000C010000}"/>
    <hyperlink ref="R136" r:id="rId270" xr:uid="{00000000-0004-0000-0100-00000D010000}"/>
    <hyperlink ref="Q137" r:id="rId271" xr:uid="{00000000-0004-0000-0100-00000E010000}"/>
    <hyperlink ref="R137" r:id="rId272" xr:uid="{00000000-0004-0000-0100-00000F010000}"/>
    <hyperlink ref="Q138" r:id="rId273" xr:uid="{00000000-0004-0000-0100-000010010000}"/>
    <hyperlink ref="R138" r:id="rId274" xr:uid="{00000000-0004-0000-0100-000011010000}"/>
    <hyperlink ref="Q139" r:id="rId275" xr:uid="{00000000-0004-0000-0100-000012010000}"/>
    <hyperlink ref="R139" r:id="rId276" xr:uid="{00000000-0004-0000-0100-000013010000}"/>
    <hyperlink ref="Q140" r:id="rId277" xr:uid="{00000000-0004-0000-0100-000014010000}"/>
    <hyperlink ref="R140" r:id="rId278" xr:uid="{00000000-0004-0000-0100-000015010000}"/>
    <hyperlink ref="Q141" r:id="rId279" xr:uid="{00000000-0004-0000-0100-000016010000}"/>
    <hyperlink ref="R141" r:id="rId280" xr:uid="{00000000-0004-0000-0100-000017010000}"/>
    <hyperlink ref="Q142" r:id="rId281" xr:uid="{00000000-0004-0000-0100-000018010000}"/>
    <hyperlink ref="R142" r:id="rId282" xr:uid="{00000000-0004-0000-0100-000019010000}"/>
    <hyperlink ref="Q143" r:id="rId283" xr:uid="{00000000-0004-0000-0100-00001A010000}"/>
    <hyperlink ref="R143" r:id="rId284" xr:uid="{00000000-0004-0000-0100-00001B010000}"/>
    <hyperlink ref="Q144" r:id="rId285" xr:uid="{00000000-0004-0000-0100-00001C010000}"/>
    <hyperlink ref="R144" r:id="rId286" xr:uid="{00000000-0004-0000-0100-00001D010000}"/>
    <hyperlink ref="Q145" r:id="rId287" xr:uid="{00000000-0004-0000-0100-00001E010000}"/>
    <hyperlink ref="R145" r:id="rId288" xr:uid="{00000000-0004-0000-0100-00001F010000}"/>
    <hyperlink ref="Q146" r:id="rId289" xr:uid="{00000000-0004-0000-0100-000020010000}"/>
    <hyperlink ref="R146" r:id="rId290" xr:uid="{00000000-0004-0000-0100-000021010000}"/>
    <hyperlink ref="Q147" r:id="rId291" xr:uid="{00000000-0004-0000-0100-000022010000}"/>
    <hyperlink ref="R147" r:id="rId292" xr:uid="{00000000-0004-0000-0100-000023010000}"/>
    <hyperlink ref="Q148" r:id="rId293" xr:uid="{00000000-0004-0000-0100-000024010000}"/>
    <hyperlink ref="R148" r:id="rId294" xr:uid="{00000000-0004-0000-0100-000025010000}"/>
    <hyperlink ref="Q149" r:id="rId295" xr:uid="{00000000-0004-0000-0100-000026010000}"/>
    <hyperlink ref="R149" r:id="rId296" xr:uid="{00000000-0004-0000-0100-000027010000}"/>
    <hyperlink ref="Q150" r:id="rId297" xr:uid="{00000000-0004-0000-0100-000028010000}"/>
    <hyperlink ref="R150" r:id="rId298" xr:uid="{00000000-0004-0000-0100-000029010000}"/>
    <hyperlink ref="Q151" r:id="rId299" xr:uid="{00000000-0004-0000-0100-00002A010000}"/>
    <hyperlink ref="R151" r:id="rId300" xr:uid="{00000000-0004-0000-0100-00002B010000}"/>
    <hyperlink ref="Q152" r:id="rId301" xr:uid="{00000000-0004-0000-0100-00002C010000}"/>
    <hyperlink ref="R152" r:id="rId302" xr:uid="{00000000-0004-0000-0100-00002D010000}"/>
    <hyperlink ref="Q153" r:id="rId303" xr:uid="{00000000-0004-0000-0100-00002E010000}"/>
    <hyperlink ref="R153" r:id="rId304" xr:uid="{00000000-0004-0000-0100-00002F010000}"/>
    <hyperlink ref="Q154" r:id="rId305" xr:uid="{00000000-0004-0000-0100-000030010000}"/>
    <hyperlink ref="R154" r:id="rId306" xr:uid="{00000000-0004-0000-0100-000031010000}"/>
    <hyperlink ref="Q155" r:id="rId307" xr:uid="{00000000-0004-0000-0100-000032010000}"/>
    <hyperlink ref="R155" r:id="rId308" xr:uid="{00000000-0004-0000-0100-000033010000}"/>
    <hyperlink ref="Q156" r:id="rId309" xr:uid="{00000000-0004-0000-0100-000034010000}"/>
    <hyperlink ref="R156" r:id="rId310" xr:uid="{00000000-0004-0000-0100-000035010000}"/>
    <hyperlink ref="Q157" r:id="rId311" xr:uid="{00000000-0004-0000-0100-000036010000}"/>
    <hyperlink ref="R157" r:id="rId312" xr:uid="{00000000-0004-0000-0100-000037010000}"/>
    <hyperlink ref="Q158" r:id="rId313" xr:uid="{00000000-0004-0000-0100-000038010000}"/>
    <hyperlink ref="R158" r:id="rId314" xr:uid="{00000000-0004-0000-0100-000039010000}"/>
    <hyperlink ref="Q159" r:id="rId315" xr:uid="{00000000-0004-0000-0100-00003A010000}"/>
    <hyperlink ref="R159" r:id="rId316" xr:uid="{00000000-0004-0000-0100-00003B010000}"/>
    <hyperlink ref="Q160" r:id="rId317" xr:uid="{00000000-0004-0000-0100-00003C010000}"/>
    <hyperlink ref="R160" r:id="rId318" xr:uid="{00000000-0004-0000-0100-00003D010000}"/>
    <hyperlink ref="Q161" r:id="rId319" xr:uid="{00000000-0004-0000-0100-00003E010000}"/>
    <hyperlink ref="R161" r:id="rId320" xr:uid="{00000000-0004-0000-0100-00003F010000}"/>
    <hyperlink ref="Q162" r:id="rId321" xr:uid="{00000000-0004-0000-0100-000040010000}"/>
    <hyperlink ref="R162" r:id="rId322" xr:uid="{00000000-0004-0000-0100-000041010000}"/>
    <hyperlink ref="Q163" r:id="rId323" xr:uid="{00000000-0004-0000-0100-000042010000}"/>
    <hyperlink ref="R163" r:id="rId324" xr:uid="{00000000-0004-0000-0100-000043010000}"/>
    <hyperlink ref="Q164" r:id="rId325" xr:uid="{00000000-0004-0000-0100-000044010000}"/>
    <hyperlink ref="R164" r:id="rId326" xr:uid="{00000000-0004-0000-0100-000045010000}"/>
    <hyperlink ref="Q165" r:id="rId327" xr:uid="{00000000-0004-0000-0100-000046010000}"/>
    <hyperlink ref="R165" r:id="rId328" xr:uid="{00000000-0004-0000-0100-000047010000}"/>
    <hyperlink ref="Q166" r:id="rId329" xr:uid="{00000000-0004-0000-0100-000048010000}"/>
    <hyperlink ref="R166" r:id="rId330" xr:uid="{00000000-0004-0000-0100-000049010000}"/>
    <hyperlink ref="Q167" r:id="rId331" xr:uid="{00000000-0004-0000-0100-00004A010000}"/>
    <hyperlink ref="R167" r:id="rId332" xr:uid="{00000000-0004-0000-0100-00004B010000}"/>
    <hyperlink ref="Q168" r:id="rId333" xr:uid="{00000000-0004-0000-0100-00004C010000}"/>
    <hyperlink ref="R168" r:id="rId334" xr:uid="{00000000-0004-0000-0100-00004D010000}"/>
    <hyperlink ref="Q169" r:id="rId335" xr:uid="{00000000-0004-0000-0100-00004E010000}"/>
    <hyperlink ref="R169" r:id="rId336" xr:uid="{00000000-0004-0000-0100-00004F010000}"/>
    <hyperlink ref="Q170" r:id="rId337" xr:uid="{00000000-0004-0000-0100-000050010000}"/>
    <hyperlink ref="R170" r:id="rId338" xr:uid="{00000000-0004-0000-0100-000051010000}"/>
    <hyperlink ref="Q171" r:id="rId339" xr:uid="{00000000-0004-0000-0100-000052010000}"/>
    <hyperlink ref="R171" r:id="rId340" xr:uid="{00000000-0004-0000-0100-000053010000}"/>
    <hyperlink ref="Q172" r:id="rId341" xr:uid="{00000000-0004-0000-0100-000054010000}"/>
    <hyperlink ref="R172" r:id="rId342" xr:uid="{00000000-0004-0000-0100-000055010000}"/>
    <hyperlink ref="Q173" r:id="rId343" xr:uid="{00000000-0004-0000-0100-000056010000}"/>
    <hyperlink ref="R173" r:id="rId344" xr:uid="{00000000-0004-0000-0100-000057010000}"/>
    <hyperlink ref="Q174" r:id="rId345" xr:uid="{00000000-0004-0000-0100-000058010000}"/>
    <hyperlink ref="R174" r:id="rId346" xr:uid="{00000000-0004-0000-0100-000059010000}"/>
    <hyperlink ref="Q175" r:id="rId347" xr:uid="{00000000-0004-0000-0100-00005A010000}"/>
    <hyperlink ref="R175" r:id="rId348" xr:uid="{00000000-0004-0000-0100-00005B010000}"/>
    <hyperlink ref="Q176" r:id="rId349" xr:uid="{00000000-0004-0000-0100-00005C010000}"/>
    <hyperlink ref="R176" r:id="rId350" xr:uid="{00000000-0004-0000-0100-00005D010000}"/>
    <hyperlink ref="Q177" r:id="rId351" xr:uid="{00000000-0004-0000-0100-00005E010000}"/>
    <hyperlink ref="R177" r:id="rId352" xr:uid="{00000000-0004-0000-0100-00005F010000}"/>
    <hyperlink ref="Q178" r:id="rId353" xr:uid="{00000000-0004-0000-0100-000060010000}"/>
    <hyperlink ref="R178" r:id="rId354" xr:uid="{00000000-0004-0000-0100-000061010000}"/>
    <hyperlink ref="Q179" r:id="rId355" xr:uid="{00000000-0004-0000-0100-000062010000}"/>
    <hyperlink ref="R179" r:id="rId356" xr:uid="{00000000-0004-0000-0100-000063010000}"/>
    <hyperlink ref="Q180" r:id="rId357" xr:uid="{00000000-0004-0000-0100-000064010000}"/>
    <hyperlink ref="R180" r:id="rId358" xr:uid="{00000000-0004-0000-0100-000065010000}"/>
    <hyperlink ref="Q181" r:id="rId359" xr:uid="{00000000-0004-0000-0100-000066010000}"/>
    <hyperlink ref="R181" r:id="rId360" xr:uid="{00000000-0004-0000-0100-000067010000}"/>
    <hyperlink ref="Q182" r:id="rId361" xr:uid="{00000000-0004-0000-0100-000068010000}"/>
    <hyperlink ref="R182" r:id="rId362" xr:uid="{00000000-0004-0000-0100-000069010000}"/>
    <hyperlink ref="Q183" r:id="rId363" xr:uid="{00000000-0004-0000-0100-00006A010000}"/>
    <hyperlink ref="R183" r:id="rId364" xr:uid="{00000000-0004-0000-0100-00006B010000}"/>
    <hyperlink ref="Q184" r:id="rId365" xr:uid="{00000000-0004-0000-0100-00006C010000}"/>
    <hyperlink ref="R184" r:id="rId366" xr:uid="{00000000-0004-0000-0100-00006D010000}"/>
    <hyperlink ref="Q185" r:id="rId367" xr:uid="{00000000-0004-0000-0100-00006E010000}"/>
    <hyperlink ref="R185" r:id="rId368" xr:uid="{00000000-0004-0000-0100-00006F010000}"/>
    <hyperlink ref="Q186" r:id="rId369" xr:uid="{00000000-0004-0000-0100-000070010000}"/>
    <hyperlink ref="R186" r:id="rId370" xr:uid="{00000000-0004-0000-0100-000071010000}"/>
    <hyperlink ref="Q187" r:id="rId371" xr:uid="{00000000-0004-0000-0100-000072010000}"/>
    <hyperlink ref="R187" r:id="rId372" xr:uid="{00000000-0004-0000-0100-000073010000}"/>
    <hyperlink ref="Q188" r:id="rId373" xr:uid="{00000000-0004-0000-0100-000074010000}"/>
    <hyperlink ref="R188" r:id="rId374" xr:uid="{00000000-0004-0000-0100-000075010000}"/>
    <hyperlink ref="Q189" r:id="rId375" xr:uid="{00000000-0004-0000-0100-000076010000}"/>
    <hyperlink ref="R189" r:id="rId376" xr:uid="{00000000-0004-0000-0100-000077010000}"/>
    <hyperlink ref="Q190" r:id="rId377" xr:uid="{00000000-0004-0000-0100-000078010000}"/>
    <hyperlink ref="R190" r:id="rId378" xr:uid="{00000000-0004-0000-0100-000079010000}"/>
    <hyperlink ref="Q191" r:id="rId379" xr:uid="{00000000-0004-0000-0100-00007A010000}"/>
    <hyperlink ref="R191" r:id="rId380" xr:uid="{00000000-0004-0000-0100-00007B010000}"/>
    <hyperlink ref="Q192" r:id="rId381" xr:uid="{00000000-0004-0000-0100-00007C010000}"/>
    <hyperlink ref="R192" r:id="rId382" xr:uid="{00000000-0004-0000-0100-00007D010000}"/>
    <hyperlink ref="Q193" r:id="rId383" xr:uid="{00000000-0004-0000-0100-00007E010000}"/>
    <hyperlink ref="R193" r:id="rId384" xr:uid="{00000000-0004-0000-0100-00007F010000}"/>
    <hyperlink ref="Q194" r:id="rId385" xr:uid="{00000000-0004-0000-0100-000080010000}"/>
    <hyperlink ref="R194" r:id="rId386" xr:uid="{00000000-0004-0000-0100-000081010000}"/>
    <hyperlink ref="Q195" r:id="rId387" xr:uid="{00000000-0004-0000-0100-000082010000}"/>
    <hyperlink ref="R195" r:id="rId388" xr:uid="{00000000-0004-0000-0100-000083010000}"/>
    <hyperlink ref="Q196" r:id="rId389" xr:uid="{00000000-0004-0000-0100-000084010000}"/>
    <hyperlink ref="R196" r:id="rId390" xr:uid="{00000000-0004-0000-0100-000085010000}"/>
    <hyperlink ref="Q197" r:id="rId391" xr:uid="{00000000-0004-0000-0100-000086010000}"/>
    <hyperlink ref="R197" r:id="rId392" xr:uid="{00000000-0004-0000-0100-000087010000}"/>
    <hyperlink ref="Q198" r:id="rId393" xr:uid="{00000000-0004-0000-0100-000088010000}"/>
    <hyperlink ref="R198" r:id="rId394" xr:uid="{00000000-0004-0000-0100-000089010000}"/>
    <hyperlink ref="Q199" r:id="rId395" xr:uid="{00000000-0004-0000-0100-00008A010000}"/>
    <hyperlink ref="R199" r:id="rId396" xr:uid="{00000000-0004-0000-0100-00008B010000}"/>
    <hyperlink ref="Q200" r:id="rId397" xr:uid="{00000000-0004-0000-0100-00008C010000}"/>
    <hyperlink ref="R200" r:id="rId398" xr:uid="{00000000-0004-0000-0100-00008D010000}"/>
    <hyperlink ref="Q201" r:id="rId399" xr:uid="{00000000-0004-0000-0100-00008E010000}"/>
    <hyperlink ref="R201" r:id="rId400" xr:uid="{00000000-0004-0000-0100-00008F010000}"/>
    <hyperlink ref="Q202" r:id="rId401" xr:uid="{00000000-0004-0000-0100-000090010000}"/>
    <hyperlink ref="R202" r:id="rId402" xr:uid="{00000000-0004-0000-0100-000091010000}"/>
    <hyperlink ref="Q203" r:id="rId403" xr:uid="{00000000-0004-0000-0100-000092010000}"/>
    <hyperlink ref="R203" r:id="rId404" xr:uid="{00000000-0004-0000-0100-000093010000}"/>
    <hyperlink ref="Q204" r:id="rId405" xr:uid="{00000000-0004-0000-0100-000094010000}"/>
    <hyperlink ref="R204" r:id="rId406" xr:uid="{00000000-0004-0000-0100-000095010000}"/>
    <hyperlink ref="Q205" r:id="rId407" xr:uid="{00000000-0004-0000-0100-000096010000}"/>
    <hyperlink ref="R205" r:id="rId408" xr:uid="{00000000-0004-0000-0100-000097010000}"/>
    <hyperlink ref="Q206" r:id="rId409" xr:uid="{00000000-0004-0000-0100-000098010000}"/>
    <hyperlink ref="R206" r:id="rId410" xr:uid="{00000000-0004-0000-0100-000099010000}"/>
    <hyperlink ref="Q207" r:id="rId411" xr:uid="{00000000-0004-0000-0100-00009A010000}"/>
    <hyperlink ref="R207" r:id="rId412" xr:uid="{00000000-0004-0000-0100-00009B010000}"/>
    <hyperlink ref="Q208" r:id="rId413" xr:uid="{00000000-0004-0000-0100-00009C010000}"/>
    <hyperlink ref="R208" r:id="rId414" xr:uid="{00000000-0004-0000-0100-00009D010000}"/>
    <hyperlink ref="Q209" r:id="rId415" xr:uid="{00000000-0004-0000-0100-00009E010000}"/>
    <hyperlink ref="R209" r:id="rId416" xr:uid="{00000000-0004-0000-0100-00009F010000}"/>
    <hyperlink ref="Q210" r:id="rId417" xr:uid="{00000000-0004-0000-0100-0000A0010000}"/>
    <hyperlink ref="R210" r:id="rId418" xr:uid="{00000000-0004-0000-0100-0000A1010000}"/>
    <hyperlink ref="Q211" r:id="rId419" xr:uid="{00000000-0004-0000-0100-0000A2010000}"/>
    <hyperlink ref="R211" r:id="rId420" xr:uid="{00000000-0004-0000-0100-0000A3010000}"/>
    <hyperlink ref="Q212" r:id="rId421" xr:uid="{00000000-0004-0000-0100-0000A4010000}"/>
    <hyperlink ref="R212" r:id="rId422" xr:uid="{00000000-0004-0000-0100-0000A5010000}"/>
    <hyperlink ref="Q213" r:id="rId423" xr:uid="{00000000-0004-0000-0100-0000A6010000}"/>
    <hyperlink ref="R213" r:id="rId424" xr:uid="{00000000-0004-0000-0100-0000A7010000}"/>
    <hyperlink ref="Q214" r:id="rId425" xr:uid="{00000000-0004-0000-0100-0000A8010000}"/>
    <hyperlink ref="R214" r:id="rId426" xr:uid="{00000000-0004-0000-0100-0000A9010000}"/>
    <hyperlink ref="Q215" r:id="rId427" xr:uid="{00000000-0004-0000-0100-0000AA010000}"/>
    <hyperlink ref="R215" r:id="rId428" xr:uid="{00000000-0004-0000-0100-0000AB010000}"/>
    <hyperlink ref="Q216" r:id="rId429" xr:uid="{00000000-0004-0000-0100-0000AC010000}"/>
    <hyperlink ref="R216" r:id="rId430" xr:uid="{00000000-0004-0000-0100-0000AD010000}"/>
    <hyperlink ref="Q217" r:id="rId431" xr:uid="{00000000-0004-0000-0100-0000AE010000}"/>
    <hyperlink ref="R217" r:id="rId432" xr:uid="{00000000-0004-0000-0100-0000AF010000}"/>
    <hyperlink ref="Q218" r:id="rId433" xr:uid="{00000000-0004-0000-0100-0000B0010000}"/>
    <hyperlink ref="R218" r:id="rId434" xr:uid="{00000000-0004-0000-0100-0000B1010000}"/>
    <hyperlink ref="Q219" r:id="rId435" xr:uid="{00000000-0004-0000-0100-0000B2010000}"/>
    <hyperlink ref="R219" r:id="rId436" xr:uid="{00000000-0004-0000-0100-0000B3010000}"/>
    <hyperlink ref="Q220" r:id="rId437" xr:uid="{00000000-0004-0000-0100-0000B4010000}"/>
    <hyperlink ref="R220" r:id="rId438" xr:uid="{00000000-0004-0000-0100-0000B5010000}"/>
    <hyperlink ref="Q221" r:id="rId439" xr:uid="{00000000-0004-0000-0100-0000B6010000}"/>
    <hyperlink ref="R221" r:id="rId440" xr:uid="{00000000-0004-0000-0100-0000B7010000}"/>
    <hyperlink ref="Q222" r:id="rId441" xr:uid="{00000000-0004-0000-0100-0000B8010000}"/>
    <hyperlink ref="R222" r:id="rId442" xr:uid="{00000000-0004-0000-0100-0000B9010000}"/>
    <hyperlink ref="Q223" r:id="rId443" xr:uid="{00000000-0004-0000-0100-0000BA010000}"/>
    <hyperlink ref="R223" r:id="rId444" xr:uid="{00000000-0004-0000-0100-0000BB010000}"/>
    <hyperlink ref="Q224" r:id="rId445" xr:uid="{00000000-0004-0000-0100-0000BC010000}"/>
    <hyperlink ref="R224" r:id="rId446" xr:uid="{00000000-0004-0000-0100-0000BD010000}"/>
    <hyperlink ref="Q225" r:id="rId447" xr:uid="{00000000-0004-0000-0100-0000BE010000}"/>
    <hyperlink ref="R225" r:id="rId448" xr:uid="{00000000-0004-0000-0100-0000BF010000}"/>
    <hyperlink ref="Q226" r:id="rId449" xr:uid="{00000000-0004-0000-0100-0000C0010000}"/>
    <hyperlink ref="R226" r:id="rId450" xr:uid="{00000000-0004-0000-0100-0000C1010000}"/>
    <hyperlink ref="Q227" r:id="rId451" xr:uid="{00000000-0004-0000-0100-0000C2010000}"/>
    <hyperlink ref="R227" r:id="rId452" xr:uid="{00000000-0004-0000-0100-0000C3010000}"/>
    <hyperlink ref="Q228" r:id="rId453" xr:uid="{00000000-0004-0000-0100-0000C4010000}"/>
    <hyperlink ref="R228" r:id="rId454" xr:uid="{00000000-0004-0000-0100-0000C5010000}"/>
    <hyperlink ref="Q229" r:id="rId455" xr:uid="{00000000-0004-0000-0100-0000C6010000}"/>
    <hyperlink ref="R229" r:id="rId456" xr:uid="{00000000-0004-0000-0100-0000C7010000}"/>
    <hyperlink ref="Q230" r:id="rId457" xr:uid="{00000000-0004-0000-0100-0000C8010000}"/>
    <hyperlink ref="R230" r:id="rId458" xr:uid="{00000000-0004-0000-0100-0000C9010000}"/>
    <hyperlink ref="Q231" r:id="rId459" xr:uid="{00000000-0004-0000-0100-0000CA010000}"/>
    <hyperlink ref="R231" r:id="rId460" xr:uid="{00000000-0004-0000-0100-0000CB010000}"/>
    <hyperlink ref="Q232" r:id="rId461" xr:uid="{00000000-0004-0000-0100-0000CC010000}"/>
    <hyperlink ref="R232" r:id="rId462" xr:uid="{00000000-0004-0000-0100-0000CD010000}"/>
    <hyperlink ref="Q233" r:id="rId463" xr:uid="{00000000-0004-0000-0100-0000CE010000}"/>
    <hyperlink ref="R233" r:id="rId464" xr:uid="{00000000-0004-0000-0100-0000CF010000}"/>
    <hyperlink ref="Q234" r:id="rId465" xr:uid="{00000000-0004-0000-0100-0000D0010000}"/>
    <hyperlink ref="R234" r:id="rId466" xr:uid="{00000000-0004-0000-0100-0000D1010000}"/>
    <hyperlink ref="Q235" r:id="rId467" xr:uid="{00000000-0004-0000-0100-0000D2010000}"/>
    <hyperlink ref="R235" r:id="rId468" xr:uid="{00000000-0004-0000-0100-0000D3010000}"/>
    <hyperlink ref="Q236" r:id="rId469" xr:uid="{00000000-0004-0000-0100-0000D4010000}"/>
    <hyperlink ref="R236" r:id="rId470" xr:uid="{00000000-0004-0000-0100-0000D5010000}"/>
    <hyperlink ref="Q237" r:id="rId471" xr:uid="{00000000-0004-0000-0100-0000D6010000}"/>
    <hyperlink ref="R237" r:id="rId472" xr:uid="{00000000-0004-0000-0100-0000D7010000}"/>
    <hyperlink ref="Q238" r:id="rId473" xr:uid="{00000000-0004-0000-0100-0000D8010000}"/>
    <hyperlink ref="R238" r:id="rId474" xr:uid="{00000000-0004-0000-0100-0000D9010000}"/>
    <hyperlink ref="Q239" r:id="rId475" xr:uid="{00000000-0004-0000-0100-0000DA010000}"/>
    <hyperlink ref="R239" r:id="rId476" xr:uid="{00000000-0004-0000-0100-0000DB010000}"/>
    <hyperlink ref="Q240" r:id="rId477" xr:uid="{00000000-0004-0000-0100-0000DC010000}"/>
    <hyperlink ref="R240" r:id="rId478" xr:uid="{00000000-0004-0000-0100-0000DD010000}"/>
    <hyperlink ref="Q241" r:id="rId479" xr:uid="{00000000-0004-0000-0100-0000DE010000}"/>
    <hyperlink ref="R241" r:id="rId480" xr:uid="{00000000-0004-0000-0100-0000DF010000}"/>
    <hyperlink ref="Q242" r:id="rId481" xr:uid="{00000000-0004-0000-0100-0000E0010000}"/>
    <hyperlink ref="R242" r:id="rId482" xr:uid="{00000000-0004-0000-0100-0000E1010000}"/>
    <hyperlink ref="Q243" r:id="rId483" xr:uid="{00000000-0004-0000-0100-0000E2010000}"/>
    <hyperlink ref="R243" r:id="rId484" xr:uid="{00000000-0004-0000-0100-0000E3010000}"/>
    <hyperlink ref="Q244" r:id="rId485" xr:uid="{00000000-0004-0000-0100-0000E4010000}"/>
    <hyperlink ref="R244" r:id="rId486" xr:uid="{00000000-0004-0000-0100-0000E5010000}"/>
    <hyperlink ref="Q245" r:id="rId487" xr:uid="{00000000-0004-0000-0100-0000E6010000}"/>
    <hyperlink ref="R245" r:id="rId488" xr:uid="{00000000-0004-0000-0100-0000E7010000}"/>
    <hyperlink ref="Q246" r:id="rId489" xr:uid="{00000000-0004-0000-0100-0000E8010000}"/>
    <hyperlink ref="R246" r:id="rId490" xr:uid="{00000000-0004-0000-0100-0000E9010000}"/>
    <hyperlink ref="Q247" r:id="rId491" xr:uid="{00000000-0004-0000-0100-0000EA010000}"/>
    <hyperlink ref="R247" r:id="rId492" xr:uid="{00000000-0004-0000-0100-0000EB010000}"/>
    <hyperlink ref="Q248" r:id="rId493" xr:uid="{00000000-0004-0000-0100-0000EC010000}"/>
    <hyperlink ref="R248" r:id="rId494" xr:uid="{00000000-0004-0000-0100-0000ED010000}"/>
    <hyperlink ref="Q249" r:id="rId495" xr:uid="{00000000-0004-0000-0100-0000EE010000}"/>
    <hyperlink ref="R249" r:id="rId496" xr:uid="{00000000-0004-0000-0100-0000EF010000}"/>
    <hyperlink ref="Q250" r:id="rId497" xr:uid="{00000000-0004-0000-0100-0000F0010000}"/>
    <hyperlink ref="R250" r:id="rId498" xr:uid="{00000000-0004-0000-0100-0000F1010000}"/>
    <hyperlink ref="Q251" r:id="rId499" xr:uid="{00000000-0004-0000-0100-0000F2010000}"/>
    <hyperlink ref="R251" r:id="rId500" xr:uid="{00000000-0004-0000-0100-0000F3010000}"/>
    <hyperlink ref="Q252" r:id="rId501" xr:uid="{00000000-0004-0000-0100-0000F4010000}"/>
    <hyperlink ref="R252" r:id="rId502" xr:uid="{00000000-0004-0000-0100-0000F5010000}"/>
    <hyperlink ref="Q253" r:id="rId503" xr:uid="{00000000-0004-0000-0100-0000F6010000}"/>
    <hyperlink ref="R253" r:id="rId504" xr:uid="{00000000-0004-0000-0100-0000F7010000}"/>
    <hyperlink ref="Q254" r:id="rId505" xr:uid="{00000000-0004-0000-0100-0000F8010000}"/>
    <hyperlink ref="R254" r:id="rId506" xr:uid="{00000000-0004-0000-0100-0000F9010000}"/>
    <hyperlink ref="Q255" r:id="rId507" xr:uid="{00000000-0004-0000-0100-0000FA010000}"/>
    <hyperlink ref="R255" r:id="rId508" xr:uid="{00000000-0004-0000-0100-0000FB010000}"/>
    <hyperlink ref="Q256" r:id="rId509" xr:uid="{00000000-0004-0000-0100-0000FC010000}"/>
    <hyperlink ref="R256" r:id="rId510" xr:uid="{00000000-0004-0000-0100-0000FD010000}"/>
    <hyperlink ref="Q257" r:id="rId511" xr:uid="{00000000-0004-0000-0100-0000FE010000}"/>
    <hyperlink ref="R257" r:id="rId512" xr:uid="{00000000-0004-0000-0100-0000FF010000}"/>
    <hyperlink ref="Q258" r:id="rId513" xr:uid="{00000000-0004-0000-0100-000000020000}"/>
    <hyperlink ref="R258" r:id="rId514" xr:uid="{00000000-0004-0000-0100-000001020000}"/>
    <hyperlink ref="Q259" r:id="rId515" xr:uid="{00000000-0004-0000-0100-000002020000}"/>
    <hyperlink ref="R259" r:id="rId516" xr:uid="{00000000-0004-0000-0100-000003020000}"/>
    <hyperlink ref="Q260" r:id="rId517" xr:uid="{00000000-0004-0000-0100-000004020000}"/>
    <hyperlink ref="R260" r:id="rId518" xr:uid="{00000000-0004-0000-0100-000005020000}"/>
    <hyperlink ref="Q261" r:id="rId519" xr:uid="{00000000-0004-0000-0100-000006020000}"/>
    <hyperlink ref="R261" r:id="rId520" xr:uid="{00000000-0004-0000-0100-000007020000}"/>
    <hyperlink ref="Q262" r:id="rId521" xr:uid="{00000000-0004-0000-0100-000008020000}"/>
    <hyperlink ref="R262" r:id="rId522" xr:uid="{00000000-0004-0000-0100-000009020000}"/>
    <hyperlink ref="Q263" r:id="rId523" xr:uid="{00000000-0004-0000-0100-00000A020000}"/>
    <hyperlink ref="R263" r:id="rId524" xr:uid="{00000000-0004-0000-0100-00000B020000}"/>
    <hyperlink ref="Q264" r:id="rId525" xr:uid="{00000000-0004-0000-0100-00000C020000}"/>
    <hyperlink ref="R264" r:id="rId526" xr:uid="{00000000-0004-0000-0100-00000D020000}"/>
    <hyperlink ref="Q265" r:id="rId527" xr:uid="{00000000-0004-0000-0100-00000E020000}"/>
    <hyperlink ref="R265" r:id="rId528" xr:uid="{00000000-0004-0000-0100-00000F020000}"/>
    <hyperlink ref="Q266" r:id="rId529" xr:uid="{00000000-0004-0000-0100-000010020000}"/>
    <hyperlink ref="R266" r:id="rId530" xr:uid="{00000000-0004-0000-0100-000011020000}"/>
    <hyperlink ref="Q267" r:id="rId531" xr:uid="{00000000-0004-0000-0100-000012020000}"/>
    <hyperlink ref="R267" r:id="rId532" xr:uid="{00000000-0004-0000-0100-000013020000}"/>
    <hyperlink ref="Q268" r:id="rId533" xr:uid="{00000000-0004-0000-0100-000014020000}"/>
    <hyperlink ref="R268" r:id="rId534" xr:uid="{00000000-0004-0000-0100-000015020000}"/>
    <hyperlink ref="Q269" r:id="rId535" xr:uid="{00000000-0004-0000-0100-000016020000}"/>
    <hyperlink ref="R269" r:id="rId536" xr:uid="{00000000-0004-0000-0100-000017020000}"/>
    <hyperlink ref="Q270" r:id="rId537" xr:uid="{00000000-0004-0000-0100-000018020000}"/>
    <hyperlink ref="R270" r:id="rId538" xr:uid="{00000000-0004-0000-0100-000019020000}"/>
    <hyperlink ref="Q271" r:id="rId539" xr:uid="{00000000-0004-0000-0100-00001A020000}"/>
    <hyperlink ref="R271" r:id="rId540" xr:uid="{00000000-0004-0000-0100-00001B020000}"/>
    <hyperlink ref="Q272" r:id="rId541" xr:uid="{00000000-0004-0000-0100-00001C020000}"/>
    <hyperlink ref="R272" r:id="rId542" xr:uid="{00000000-0004-0000-0100-00001D020000}"/>
    <hyperlink ref="Q273" r:id="rId543" xr:uid="{00000000-0004-0000-0100-00001E020000}"/>
    <hyperlink ref="R273" r:id="rId544" xr:uid="{00000000-0004-0000-0100-00001F020000}"/>
    <hyperlink ref="Q274" r:id="rId545" xr:uid="{00000000-0004-0000-0100-000020020000}"/>
    <hyperlink ref="R274" r:id="rId546" xr:uid="{00000000-0004-0000-0100-000021020000}"/>
    <hyperlink ref="Q275" r:id="rId547" xr:uid="{00000000-0004-0000-0100-000022020000}"/>
    <hyperlink ref="R275" r:id="rId548" xr:uid="{00000000-0004-0000-0100-000023020000}"/>
    <hyperlink ref="Q276" r:id="rId549" xr:uid="{00000000-0004-0000-0100-000024020000}"/>
    <hyperlink ref="R276" r:id="rId550" xr:uid="{00000000-0004-0000-0100-000025020000}"/>
    <hyperlink ref="Q277" r:id="rId551" xr:uid="{00000000-0004-0000-0100-000026020000}"/>
    <hyperlink ref="R277" r:id="rId552" xr:uid="{00000000-0004-0000-0100-000027020000}"/>
    <hyperlink ref="Q278" r:id="rId553" xr:uid="{00000000-0004-0000-0100-000028020000}"/>
    <hyperlink ref="R278" r:id="rId554" xr:uid="{00000000-0004-0000-0100-000029020000}"/>
    <hyperlink ref="Q279" r:id="rId555" xr:uid="{00000000-0004-0000-0100-00002A020000}"/>
    <hyperlink ref="R279" r:id="rId556" xr:uid="{00000000-0004-0000-0100-00002B020000}"/>
    <hyperlink ref="Q280" r:id="rId557" xr:uid="{00000000-0004-0000-0100-00002C020000}"/>
    <hyperlink ref="R280" r:id="rId558" xr:uid="{00000000-0004-0000-0100-00002D020000}"/>
    <hyperlink ref="Q281" r:id="rId559" xr:uid="{00000000-0004-0000-0100-00002E020000}"/>
    <hyperlink ref="R281" r:id="rId560" xr:uid="{00000000-0004-0000-0100-00002F020000}"/>
    <hyperlink ref="Q282" r:id="rId561" xr:uid="{00000000-0004-0000-0100-000030020000}"/>
    <hyperlink ref="R282" r:id="rId562" xr:uid="{00000000-0004-0000-0100-000031020000}"/>
    <hyperlink ref="Q283" r:id="rId563" xr:uid="{00000000-0004-0000-0100-000032020000}"/>
    <hyperlink ref="R283" r:id="rId564" xr:uid="{00000000-0004-0000-0100-000033020000}"/>
    <hyperlink ref="Q284" r:id="rId565" xr:uid="{00000000-0004-0000-0100-000034020000}"/>
    <hyperlink ref="R284" r:id="rId566" xr:uid="{00000000-0004-0000-0100-000035020000}"/>
    <hyperlink ref="Q285" r:id="rId567" xr:uid="{00000000-0004-0000-0100-000036020000}"/>
    <hyperlink ref="R285" r:id="rId568" xr:uid="{00000000-0004-0000-0100-000037020000}"/>
    <hyperlink ref="Q286" r:id="rId569" xr:uid="{00000000-0004-0000-0100-000038020000}"/>
    <hyperlink ref="R286" r:id="rId570" xr:uid="{00000000-0004-0000-0100-000039020000}"/>
    <hyperlink ref="Q287" r:id="rId571" xr:uid="{00000000-0004-0000-0100-00003A020000}"/>
    <hyperlink ref="R287" r:id="rId572" xr:uid="{00000000-0004-0000-0100-00003B020000}"/>
    <hyperlink ref="Q288" r:id="rId573" xr:uid="{00000000-0004-0000-0100-00003C020000}"/>
    <hyperlink ref="R288" r:id="rId574" xr:uid="{00000000-0004-0000-0100-00003D020000}"/>
    <hyperlink ref="Q289" r:id="rId575" xr:uid="{00000000-0004-0000-0100-00003E020000}"/>
    <hyperlink ref="R289" r:id="rId576" xr:uid="{00000000-0004-0000-0100-00003F020000}"/>
    <hyperlink ref="Q290" r:id="rId577" xr:uid="{00000000-0004-0000-0100-000040020000}"/>
    <hyperlink ref="R290" r:id="rId578" xr:uid="{00000000-0004-0000-0100-000041020000}"/>
    <hyperlink ref="Q291" r:id="rId579" xr:uid="{00000000-0004-0000-0100-000042020000}"/>
    <hyperlink ref="R291" r:id="rId580" xr:uid="{00000000-0004-0000-0100-000043020000}"/>
    <hyperlink ref="Q292" r:id="rId581" xr:uid="{00000000-0004-0000-0100-000044020000}"/>
    <hyperlink ref="R292" r:id="rId582" xr:uid="{00000000-0004-0000-0100-000045020000}"/>
    <hyperlink ref="Q293" r:id="rId583" xr:uid="{00000000-0004-0000-0100-000046020000}"/>
    <hyperlink ref="R293" r:id="rId584" xr:uid="{00000000-0004-0000-0100-000047020000}"/>
    <hyperlink ref="Q294" r:id="rId585" xr:uid="{00000000-0004-0000-0100-000048020000}"/>
    <hyperlink ref="R294" r:id="rId586" xr:uid="{00000000-0004-0000-0100-000049020000}"/>
    <hyperlink ref="Q295" r:id="rId587" xr:uid="{00000000-0004-0000-0100-00004A020000}"/>
    <hyperlink ref="R295" r:id="rId588" xr:uid="{00000000-0004-0000-0100-00004B020000}"/>
    <hyperlink ref="Q296" r:id="rId589" xr:uid="{00000000-0004-0000-0100-00004C020000}"/>
    <hyperlink ref="R296" r:id="rId590" xr:uid="{00000000-0004-0000-0100-00004D020000}"/>
    <hyperlink ref="Q297" r:id="rId591" xr:uid="{00000000-0004-0000-0100-00004E020000}"/>
    <hyperlink ref="R297" r:id="rId592" xr:uid="{00000000-0004-0000-0100-00004F020000}"/>
    <hyperlink ref="Q298" r:id="rId593" xr:uid="{00000000-0004-0000-0100-000050020000}"/>
    <hyperlink ref="R298" r:id="rId594" xr:uid="{00000000-0004-0000-0100-000051020000}"/>
    <hyperlink ref="Q299" r:id="rId595" xr:uid="{00000000-0004-0000-0100-000052020000}"/>
    <hyperlink ref="R299" r:id="rId596" xr:uid="{00000000-0004-0000-0100-000053020000}"/>
    <hyperlink ref="Q300" r:id="rId597" xr:uid="{00000000-0004-0000-0100-000054020000}"/>
    <hyperlink ref="R300" r:id="rId598" xr:uid="{00000000-0004-0000-0100-000055020000}"/>
    <hyperlink ref="Q301" r:id="rId599" xr:uid="{00000000-0004-0000-0100-000056020000}"/>
    <hyperlink ref="R301" r:id="rId600" xr:uid="{00000000-0004-0000-0100-000057020000}"/>
    <hyperlink ref="Q302" r:id="rId601" xr:uid="{00000000-0004-0000-0100-000058020000}"/>
    <hyperlink ref="R302" r:id="rId602" xr:uid="{00000000-0004-0000-0100-000059020000}"/>
    <hyperlink ref="Q303" r:id="rId603" xr:uid="{00000000-0004-0000-0100-00005A020000}"/>
    <hyperlink ref="R303" r:id="rId604" xr:uid="{00000000-0004-0000-0100-00005B020000}"/>
    <hyperlink ref="Q304" r:id="rId605" xr:uid="{00000000-0004-0000-0100-00005C020000}"/>
    <hyperlink ref="R304" r:id="rId606" xr:uid="{00000000-0004-0000-0100-00005D020000}"/>
    <hyperlink ref="Q305" r:id="rId607" xr:uid="{00000000-0004-0000-0100-00005E020000}"/>
    <hyperlink ref="R305" r:id="rId608" xr:uid="{00000000-0004-0000-0100-00005F020000}"/>
    <hyperlink ref="Q306" r:id="rId609" xr:uid="{00000000-0004-0000-0100-000060020000}"/>
    <hyperlink ref="R306" r:id="rId610" xr:uid="{00000000-0004-0000-0100-000061020000}"/>
    <hyperlink ref="Q307" r:id="rId611" xr:uid="{00000000-0004-0000-0100-000062020000}"/>
    <hyperlink ref="R307" r:id="rId612" xr:uid="{00000000-0004-0000-0100-000063020000}"/>
    <hyperlink ref="Q308" r:id="rId613" xr:uid="{00000000-0004-0000-0100-000064020000}"/>
    <hyperlink ref="R308" r:id="rId614" xr:uid="{00000000-0004-0000-0100-000065020000}"/>
    <hyperlink ref="Q309" r:id="rId615" xr:uid="{00000000-0004-0000-0100-000066020000}"/>
    <hyperlink ref="R309" r:id="rId616" xr:uid="{00000000-0004-0000-0100-000067020000}"/>
    <hyperlink ref="Q310" r:id="rId617" xr:uid="{00000000-0004-0000-0100-000068020000}"/>
    <hyperlink ref="R310" r:id="rId618" xr:uid="{00000000-0004-0000-0100-000069020000}"/>
    <hyperlink ref="Q311" r:id="rId619" xr:uid="{00000000-0004-0000-0100-00006A020000}"/>
    <hyperlink ref="R311" r:id="rId620" xr:uid="{00000000-0004-0000-0100-00006B020000}"/>
    <hyperlink ref="Q312" r:id="rId621" xr:uid="{00000000-0004-0000-0100-00006C020000}"/>
    <hyperlink ref="R312" r:id="rId622" xr:uid="{00000000-0004-0000-0100-00006D020000}"/>
    <hyperlink ref="Q313" r:id="rId623" xr:uid="{00000000-0004-0000-0100-00006E020000}"/>
    <hyperlink ref="R313" r:id="rId624" xr:uid="{00000000-0004-0000-0100-00006F020000}"/>
    <hyperlink ref="Q314" r:id="rId625" xr:uid="{00000000-0004-0000-0100-000070020000}"/>
    <hyperlink ref="R314" r:id="rId626" xr:uid="{00000000-0004-0000-0100-000071020000}"/>
    <hyperlink ref="Q315" r:id="rId627" xr:uid="{00000000-0004-0000-0100-000072020000}"/>
    <hyperlink ref="R315" r:id="rId628" xr:uid="{00000000-0004-0000-0100-000073020000}"/>
    <hyperlink ref="Q316" r:id="rId629" xr:uid="{00000000-0004-0000-0100-000074020000}"/>
    <hyperlink ref="R316" r:id="rId630" xr:uid="{00000000-0004-0000-0100-000075020000}"/>
    <hyperlink ref="Q317" r:id="rId631" xr:uid="{00000000-0004-0000-0100-000076020000}"/>
    <hyperlink ref="R317" r:id="rId632" xr:uid="{00000000-0004-0000-0100-000077020000}"/>
    <hyperlink ref="Q318" r:id="rId633" xr:uid="{00000000-0004-0000-0100-000078020000}"/>
    <hyperlink ref="R318" r:id="rId634" xr:uid="{00000000-0004-0000-0100-000079020000}"/>
    <hyperlink ref="Q319" r:id="rId635" xr:uid="{00000000-0004-0000-0100-00007A020000}"/>
    <hyperlink ref="R319" r:id="rId636" xr:uid="{00000000-0004-0000-0100-00007B020000}"/>
    <hyperlink ref="Q320" r:id="rId637" xr:uid="{00000000-0004-0000-0100-00007C020000}"/>
    <hyperlink ref="Q321" r:id="rId638" xr:uid="{00000000-0004-0000-0100-00007D020000}"/>
    <hyperlink ref="R321" r:id="rId639" xr:uid="{00000000-0004-0000-0100-00007E020000}"/>
    <hyperlink ref="Q322" r:id="rId640" xr:uid="{00000000-0004-0000-0100-00007F020000}"/>
    <hyperlink ref="R322" r:id="rId641" xr:uid="{00000000-0004-0000-0100-000080020000}"/>
    <hyperlink ref="Q323" r:id="rId642" xr:uid="{00000000-0004-0000-0100-000081020000}"/>
    <hyperlink ref="R323" r:id="rId643" xr:uid="{00000000-0004-0000-0100-000082020000}"/>
    <hyperlink ref="Q324" r:id="rId644" xr:uid="{00000000-0004-0000-0100-000083020000}"/>
    <hyperlink ref="R324" r:id="rId645" xr:uid="{00000000-0004-0000-0100-000084020000}"/>
    <hyperlink ref="Q325" r:id="rId646" xr:uid="{00000000-0004-0000-0100-000085020000}"/>
    <hyperlink ref="R325" r:id="rId647" xr:uid="{00000000-0004-0000-0100-000086020000}"/>
    <hyperlink ref="Q326" r:id="rId648" xr:uid="{00000000-0004-0000-0100-000087020000}"/>
    <hyperlink ref="R326" r:id="rId649" xr:uid="{00000000-0004-0000-0100-000088020000}"/>
    <hyperlink ref="Q327" r:id="rId650" xr:uid="{00000000-0004-0000-0100-000089020000}"/>
    <hyperlink ref="R327" r:id="rId651" xr:uid="{00000000-0004-0000-0100-00008A020000}"/>
    <hyperlink ref="Q328" r:id="rId652" xr:uid="{00000000-0004-0000-0100-00008B020000}"/>
    <hyperlink ref="R328" r:id="rId653" xr:uid="{00000000-0004-0000-0100-00008C020000}"/>
    <hyperlink ref="Q329" r:id="rId654" xr:uid="{00000000-0004-0000-0100-00008D020000}"/>
    <hyperlink ref="R329" r:id="rId655" xr:uid="{00000000-0004-0000-0100-00008E020000}"/>
    <hyperlink ref="Q330" r:id="rId656" xr:uid="{00000000-0004-0000-0100-00008F020000}"/>
    <hyperlink ref="R330" r:id="rId657" xr:uid="{00000000-0004-0000-0100-000090020000}"/>
    <hyperlink ref="Q331" r:id="rId658" xr:uid="{00000000-0004-0000-0100-000091020000}"/>
    <hyperlink ref="R331" r:id="rId659" xr:uid="{00000000-0004-0000-0100-000092020000}"/>
    <hyperlink ref="Q332" r:id="rId660" xr:uid="{00000000-0004-0000-0100-000093020000}"/>
    <hyperlink ref="R332" r:id="rId661" xr:uid="{00000000-0004-0000-0100-000094020000}"/>
    <hyperlink ref="Q333" r:id="rId662" xr:uid="{00000000-0004-0000-0100-000095020000}"/>
    <hyperlink ref="R333" r:id="rId663" xr:uid="{00000000-0004-0000-0100-000096020000}"/>
    <hyperlink ref="Q334" r:id="rId664" xr:uid="{00000000-0004-0000-0100-000097020000}"/>
    <hyperlink ref="R334" r:id="rId665" xr:uid="{00000000-0004-0000-0100-000098020000}"/>
    <hyperlink ref="Q335" r:id="rId666" xr:uid="{00000000-0004-0000-0100-000099020000}"/>
    <hyperlink ref="R335" r:id="rId667" xr:uid="{00000000-0004-0000-0100-00009A020000}"/>
    <hyperlink ref="Q336" r:id="rId668" xr:uid="{00000000-0004-0000-0100-00009B020000}"/>
    <hyperlink ref="R336" r:id="rId669" xr:uid="{00000000-0004-0000-0100-00009C020000}"/>
    <hyperlink ref="Q337" r:id="rId670" xr:uid="{00000000-0004-0000-0100-00009D020000}"/>
    <hyperlink ref="R337" r:id="rId671" xr:uid="{00000000-0004-0000-0100-00009E020000}"/>
    <hyperlink ref="Q338" r:id="rId672" xr:uid="{00000000-0004-0000-0100-00009F020000}"/>
    <hyperlink ref="R338" r:id="rId673" xr:uid="{00000000-0004-0000-0100-0000A0020000}"/>
    <hyperlink ref="Q339" r:id="rId674" xr:uid="{00000000-0004-0000-0100-0000A1020000}"/>
    <hyperlink ref="R339" r:id="rId675" xr:uid="{00000000-0004-0000-0100-0000A2020000}"/>
    <hyperlink ref="Q340" r:id="rId676" xr:uid="{00000000-0004-0000-0100-0000A3020000}"/>
    <hyperlink ref="R340" r:id="rId677" xr:uid="{00000000-0004-0000-0100-0000A4020000}"/>
    <hyperlink ref="Q341" r:id="rId678" xr:uid="{00000000-0004-0000-0100-0000A5020000}"/>
    <hyperlink ref="R341" r:id="rId679" xr:uid="{00000000-0004-0000-0100-0000A6020000}"/>
    <hyperlink ref="Q342" r:id="rId680" xr:uid="{00000000-0004-0000-0100-0000A7020000}"/>
    <hyperlink ref="R342" r:id="rId681" xr:uid="{00000000-0004-0000-0100-0000A8020000}"/>
    <hyperlink ref="Q343" r:id="rId682" xr:uid="{00000000-0004-0000-0100-0000A9020000}"/>
    <hyperlink ref="R343" r:id="rId683" xr:uid="{00000000-0004-0000-0100-0000AA020000}"/>
    <hyperlink ref="Q344" r:id="rId684" xr:uid="{00000000-0004-0000-0100-0000AB020000}"/>
    <hyperlink ref="R344" r:id="rId685" xr:uid="{00000000-0004-0000-0100-0000AC020000}"/>
    <hyperlink ref="Q345" r:id="rId686" xr:uid="{00000000-0004-0000-0100-0000AD020000}"/>
    <hyperlink ref="R345" r:id="rId687" xr:uid="{00000000-0004-0000-0100-0000AE020000}"/>
    <hyperlink ref="Q346" r:id="rId688" xr:uid="{00000000-0004-0000-0100-0000AF020000}"/>
    <hyperlink ref="R346" r:id="rId689" xr:uid="{00000000-0004-0000-0100-0000B0020000}"/>
    <hyperlink ref="Q347" r:id="rId690" xr:uid="{00000000-0004-0000-0100-0000B1020000}"/>
    <hyperlink ref="R347" r:id="rId691" xr:uid="{00000000-0004-0000-0100-0000B2020000}"/>
    <hyperlink ref="Q348" r:id="rId692" xr:uid="{00000000-0004-0000-0100-0000B3020000}"/>
    <hyperlink ref="R348" r:id="rId693" xr:uid="{00000000-0004-0000-0100-0000B4020000}"/>
    <hyperlink ref="Q349" r:id="rId694" xr:uid="{00000000-0004-0000-0100-0000B5020000}"/>
    <hyperlink ref="R349" r:id="rId695" xr:uid="{00000000-0004-0000-0100-0000B6020000}"/>
    <hyperlink ref="Q350" r:id="rId696" xr:uid="{00000000-0004-0000-0100-0000B7020000}"/>
    <hyperlink ref="R350" r:id="rId697" xr:uid="{00000000-0004-0000-0100-0000B8020000}"/>
    <hyperlink ref="Q351" r:id="rId698" xr:uid="{00000000-0004-0000-0100-0000B9020000}"/>
    <hyperlink ref="R351" r:id="rId699" xr:uid="{00000000-0004-0000-0100-0000BA020000}"/>
    <hyperlink ref="Q352" r:id="rId700" xr:uid="{00000000-0004-0000-0100-0000BB020000}"/>
    <hyperlink ref="R352" r:id="rId701" xr:uid="{00000000-0004-0000-0100-0000BC020000}"/>
    <hyperlink ref="Q353" r:id="rId702" xr:uid="{00000000-0004-0000-0100-0000BD020000}"/>
    <hyperlink ref="R353" r:id="rId703" xr:uid="{00000000-0004-0000-0100-0000BE020000}"/>
    <hyperlink ref="Q354" r:id="rId704" xr:uid="{00000000-0004-0000-0100-0000BF020000}"/>
    <hyperlink ref="R354" r:id="rId705" xr:uid="{00000000-0004-0000-0100-0000C0020000}"/>
    <hyperlink ref="Q355" r:id="rId706" xr:uid="{00000000-0004-0000-0100-0000C1020000}"/>
    <hyperlink ref="R355" r:id="rId707" xr:uid="{00000000-0004-0000-0100-0000C2020000}"/>
    <hyperlink ref="Q356" r:id="rId708" xr:uid="{00000000-0004-0000-0100-0000C3020000}"/>
    <hyperlink ref="R356" r:id="rId709" xr:uid="{00000000-0004-0000-0100-0000C4020000}"/>
    <hyperlink ref="Q357" r:id="rId710" xr:uid="{00000000-0004-0000-0100-0000C5020000}"/>
    <hyperlink ref="R357" r:id="rId711" xr:uid="{00000000-0004-0000-0100-0000C6020000}"/>
    <hyperlink ref="Q358" r:id="rId712" xr:uid="{00000000-0004-0000-0100-0000C7020000}"/>
    <hyperlink ref="R358" r:id="rId713" xr:uid="{00000000-0004-0000-0100-0000C8020000}"/>
    <hyperlink ref="Q359" r:id="rId714" xr:uid="{00000000-0004-0000-0100-0000C9020000}"/>
    <hyperlink ref="R359" r:id="rId715" xr:uid="{00000000-0004-0000-0100-0000CA020000}"/>
    <hyperlink ref="Q360" r:id="rId716" xr:uid="{00000000-0004-0000-0100-0000CB020000}"/>
    <hyperlink ref="R360" r:id="rId717" xr:uid="{00000000-0004-0000-0100-0000CC020000}"/>
    <hyperlink ref="Q361" r:id="rId718" xr:uid="{00000000-0004-0000-0100-0000CD020000}"/>
    <hyperlink ref="R361" r:id="rId719" xr:uid="{00000000-0004-0000-0100-0000CE020000}"/>
    <hyperlink ref="Q362" r:id="rId720" xr:uid="{00000000-0004-0000-0100-0000CF020000}"/>
    <hyperlink ref="R362" r:id="rId721" xr:uid="{00000000-0004-0000-0100-0000D0020000}"/>
    <hyperlink ref="Q363" r:id="rId722" xr:uid="{00000000-0004-0000-0100-0000D1020000}"/>
    <hyperlink ref="R363" r:id="rId723" xr:uid="{00000000-0004-0000-0100-0000D2020000}"/>
    <hyperlink ref="Q364" r:id="rId724" xr:uid="{00000000-0004-0000-0100-0000D3020000}"/>
    <hyperlink ref="R364" r:id="rId725" xr:uid="{00000000-0004-0000-0100-0000D4020000}"/>
    <hyperlink ref="Q365" r:id="rId726" xr:uid="{00000000-0004-0000-0100-0000D5020000}"/>
    <hyperlink ref="R365" r:id="rId727" xr:uid="{00000000-0004-0000-0100-0000D6020000}"/>
    <hyperlink ref="Q366" r:id="rId728" xr:uid="{00000000-0004-0000-0100-0000D7020000}"/>
    <hyperlink ref="R366" r:id="rId729" xr:uid="{00000000-0004-0000-0100-0000D8020000}"/>
    <hyperlink ref="Q367" r:id="rId730" xr:uid="{00000000-0004-0000-0100-0000D9020000}"/>
    <hyperlink ref="R367" r:id="rId731" xr:uid="{00000000-0004-0000-0100-0000DA020000}"/>
    <hyperlink ref="Q368" r:id="rId732" xr:uid="{00000000-0004-0000-0100-0000DB020000}"/>
    <hyperlink ref="R368" r:id="rId733" xr:uid="{00000000-0004-0000-0100-0000DC020000}"/>
    <hyperlink ref="Q369" r:id="rId734" xr:uid="{00000000-0004-0000-0100-0000DD020000}"/>
    <hyperlink ref="R369" r:id="rId735" xr:uid="{00000000-0004-0000-0100-0000DE020000}"/>
    <hyperlink ref="Q370" r:id="rId736" xr:uid="{00000000-0004-0000-0100-0000DF020000}"/>
    <hyperlink ref="R370" r:id="rId737" xr:uid="{00000000-0004-0000-0100-0000E0020000}"/>
    <hyperlink ref="Q371" r:id="rId738" xr:uid="{00000000-0004-0000-0100-0000E1020000}"/>
    <hyperlink ref="R371" r:id="rId739" xr:uid="{00000000-0004-0000-0100-0000E2020000}"/>
    <hyperlink ref="Q372" r:id="rId740" xr:uid="{00000000-0004-0000-0100-0000E3020000}"/>
    <hyperlink ref="R372" r:id="rId741" xr:uid="{00000000-0004-0000-0100-0000E4020000}"/>
    <hyperlink ref="Q373" r:id="rId742" xr:uid="{00000000-0004-0000-0100-0000E5020000}"/>
    <hyperlink ref="R373" r:id="rId743" xr:uid="{00000000-0004-0000-0100-0000E6020000}"/>
    <hyperlink ref="Q374" r:id="rId744" xr:uid="{00000000-0004-0000-0100-0000E7020000}"/>
    <hyperlink ref="R374" r:id="rId745" xr:uid="{00000000-0004-0000-0100-0000E8020000}"/>
    <hyperlink ref="Q375" r:id="rId746" xr:uid="{00000000-0004-0000-0100-0000E9020000}"/>
    <hyperlink ref="R375" r:id="rId747" xr:uid="{00000000-0004-0000-0100-0000EA020000}"/>
    <hyperlink ref="Q376" r:id="rId748" xr:uid="{00000000-0004-0000-0100-0000EB020000}"/>
    <hyperlink ref="R376" r:id="rId749" xr:uid="{00000000-0004-0000-0100-0000EC020000}"/>
    <hyperlink ref="Q377" r:id="rId750" xr:uid="{00000000-0004-0000-0100-0000ED020000}"/>
    <hyperlink ref="R377" r:id="rId751" xr:uid="{00000000-0004-0000-0100-0000EE020000}"/>
    <hyperlink ref="Q378" r:id="rId752" xr:uid="{00000000-0004-0000-0100-0000EF020000}"/>
    <hyperlink ref="R378" r:id="rId753" xr:uid="{00000000-0004-0000-0100-0000F0020000}"/>
    <hyperlink ref="Q379" r:id="rId754" xr:uid="{00000000-0004-0000-0100-0000F1020000}"/>
    <hyperlink ref="R379" r:id="rId755" xr:uid="{00000000-0004-0000-0100-0000F2020000}"/>
    <hyperlink ref="Q380" r:id="rId756" xr:uid="{00000000-0004-0000-0100-0000F3020000}"/>
    <hyperlink ref="R380" r:id="rId757" xr:uid="{00000000-0004-0000-0100-0000F4020000}"/>
    <hyperlink ref="Q381" r:id="rId758" xr:uid="{00000000-0004-0000-0100-0000F5020000}"/>
    <hyperlink ref="R381" r:id="rId759" xr:uid="{00000000-0004-0000-0100-0000F6020000}"/>
    <hyperlink ref="Q382" r:id="rId760" xr:uid="{00000000-0004-0000-0100-0000F7020000}"/>
    <hyperlink ref="R382" r:id="rId761" xr:uid="{00000000-0004-0000-0100-0000F8020000}"/>
    <hyperlink ref="Q383" r:id="rId762" xr:uid="{00000000-0004-0000-0100-0000F9020000}"/>
    <hyperlink ref="R383" r:id="rId763" xr:uid="{00000000-0004-0000-0100-0000FA020000}"/>
    <hyperlink ref="Q384" r:id="rId764" xr:uid="{00000000-0004-0000-0100-0000FB020000}"/>
    <hyperlink ref="R384" r:id="rId765" xr:uid="{00000000-0004-0000-0100-0000FC020000}"/>
    <hyperlink ref="Q385" r:id="rId766" xr:uid="{00000000-0004-0000-0100-0000FD020000}"/>
    <hyperlink ref="R385" r:id="rId767" xr:uid="{00000000-0004-0000-0100-0000FE020000}"/>
    <hyperlink ref="Q386" r:id="rId768" xr:uid="{00000000-0004-0000-0100-0000FF020000}"/>
    <hyperlink ref="R386" r:id="rId769" xr:uid="{00000000-0004-0000-0100-000000030000}"/>
    <hyperlink ref="Q387" r:id="rId770" xr:uid="{00000000-0004-0000-0100-000001030000}"/>
    <hyperlink ref="R387" r:id="rId771" xr:uid="{00000000-0004-0000-0100-000002030000}"/>
    <hyperlink ref="Q388" r:id="rId772" xr:uid="{00000000-0004-0000-0100-000003030000}"/>
    <hyperlink ref="R388" r:id="rId773" xr:uid="{00000000-0004-0000-0100-000004030000}"/>
    <hyperlink ref="Q389" r:id="rId774" xr:uid="{00000000-0004-0000-0100-000005030000}"/>
    <hyperlink ref="R389" r:id="rId775" xr:uid="{00000000-0004-0000-0100-000006030000}"/>
    <hyperlink ref="Q390" r:id="rId776" xr:uid="{00000000-0004-0000-0100-000007030000}"/>
    <hyperlink ref="R390" r:id="rId777" xr:uid="{00000000-0004-0000-0100-000008030000}"/>
    <hyperlink ref="Q391" r:id="rId778" xr:uid="{00000000-0004-0000-0100-000009030000}"/>
    <hyperlink ref="R391" r:id="rId779" xr:uid="{00000000-0004-0000-0100-00000A030000}"/>
    <hyperlink ref="Q392" r:id="rId780" xr:uid="{00000000-0004-0000-0100-00000B030000}"/>
    <hyperlink ref="R392" r:id="rId781" xr:uid="{00000000-0004-0000-0100-00000C030000}"/>
    <hyperlink ref="Q393" r:id="rId782" xr:uid="{00000000-0004-0000-0100-00000D030000}"/>
    <hyperlink ref="R393" r:id="rId783" xr:uid="{00000000-0004-0000-0100-00000E030000}"/>
    <hyperlink ref="Q394" r:id="rId784" xr:uid="{00000000-0004-0000-0100-00000F030000}"/>
    <hyperlink ref="R394" r:id="rId785" xr:uid="{00000000-0004-0000-0100-000010030000}"/>
    <hyperlink ref="Q395" r:id="rId786" xr:uid="{00000000-0004-0000-0100-000011030000}"/>
    <hyperlink ref="R395" r:id="rId787" xr:uid="{00000000-0004-0000-0100-000012030000}"/>
    <hyperlink ref="Q396" r:id="rId788" xr:uid="{00000000-0004-0000-0100-000013030000}"/>
    <hyperlink ref="R396" r:id="rId789" xr:uid="{00000000-0004-0000-0100-000014030000}"/>
    <hyperlink ref="Q397" r:id="rId790" xr:uid="{00000000-0004-0000-0100-000015030000}"/>
    <hyperlink ref="R397" r:id="rId791" xr:uid="{00000000-0004-0000-0100-000016030000}"/>
    <hyperlink ref="Q398" r:id="rId792" xr:uid="{00000000-0004-0000-0100-000017030000}"/>
    <hyperlink ref="R398" r:id="rId793" xr:uid="{00000000-0004-0000-0100-000018030000}"/>
    <hyperlink ref="Q399" r:id="rId794" xr:uid="{00000000-0004-0000-0100-000019030000}"/>
    <hyperlink ref="R399" r:id="rId795" xr:uid="{00000000-0004-0000-0100-00001A030000}"/>
    <hyperlink ref="Q400" r:id="rId796" xr:uid="{00000000-0004-0000-0100-00001B030000}"/>
    <hyperlink ref="R400" r:id="rId797" xr:uid="{00000000-0004-0000-0100-00001C030000}"/>
    <hyperlink ref="Q401" r:id="rId798" xr:uid="{00000000-0004-0000-0100-00001D030000}"/>
    <hyperlink ref="R401" r:id="rId799" xr:uid="{00000000-0004-0000-0100-00001E030000}"/>
    <hyperlink ref="Q402" r:id="rId800" xr:uid="{00000000-0004-0000-0100-00001F030000}"/>
    <hyperlink ref="R402" r:id="rId801" xr:uid="{00000000-0004-0000-0100-000020030000}"/>
    <hyperlink ref="Q403" r:id="rId802" xr:uid="{00000000-0004-0000-0100-000021030000}"/>
    <hyperlink ref="R403" r:id="rId803" xr:uid="{00000000-0004-0000-0100-000022030000}"/>
    <hyperlink ref="Q404" r:id="rId804" xr:uid="{00000000-0004-0000-0100-000023030000}"/>
    <hyperlink ref="R404" r:id="rId805" xr:uid="{00000000-0004-0000-0100-000024030000}"/>
    <hyperlink ref="Q405" r:id="rId806" xr:uid="{00000000-0004-0000-0100-000025030000}"/>
    <hyperlink ref="R405" r:id="rId807" xr:uid="{00000000-0004-0000-0100-000026030000}"/>
    <hyperlink ref="Q406" r:id="rId808" xr:uid="{00000000-0004-0000-0100-000027030000}"/>
    <hyperlink ref="R406" r:id="rId809" xr:uid="{00000000-0004-0000-0100-000028030000}"/>
    <hyperlink ref="Q407" r:id="rId810" xr:uid="{00000000-0004-0000-0100-000029030000}"/>
    <hyperlink ref="R407" r:id="rId811" xr:uid="{00000000-0004-0000-0100-00002A030000}"/>
    <hyperlink ref="Q408" r:id="rId812" xr:uid="{00000000-0004-0000-0100-00002B030000}"/>
    <hyperlink ref="R408" r:id="rId813" xr:uid="{00000000-0004-0000-0100-00002C030000}"/>
    <hyperlink ref="Q409" r:id="rId814" xr:uid="{00000000-0004-0000-0100-00002D030000}"/>
    <hyperlink ref="R409" r:id="rId815" xr:uid="{00000000-0004-0000-0100-00002E030000}"/>
    <hyperlink ref="Q410" r:id="rId816" xr:uid="{00000000-0004-0000-0100-00002F030000}"/>
    <hyperlink ref="R410" r:id="rId817" xr:uid="{00000000-0004-0000-0100-000030030000}"/>
    <hyperlink ref="Q411" r:id="rId818" xr:uid="{00000000-0004-0000-0100-000031030000}"/>
    <hyperlink ref="R411" r:id="rId819" xr:uid="{00000000-0004-0000-0100-000032030000}"/>
    <hyperlink ref="Q412" r:id="rId820" xr:uid="{00000000-0004-0000-0100-000033030000}"/>
    <hyperlink ref="R412" r:id="rId821" xr:uid="{00000000-0004-0000-0100-000034030000}"/>
    <hyperlink ref="Q413" r:id="rId822" xr:uid="{00000000-0004-0000-0100-000035030000}"/>
    <hyperlink ref="R413" r:id="rId823" xr:uid="{00000000-0004-0000-0100-000036030000}"/>
    <hyperlink ref="Q414" r:id="rId824" xr:uid="{00000000-0004-0000-0100-000037030000}"/>
    <hyperlink ref="R414" r:id="rId825" xr:uid="{00000000-0004-0000-0100-000038030000}"/>
    <hyperlink ref="Q415" r:id="rId826" xr:uid="{00000000-0004-0000-0100-000039030000}"/>
    <hyperlink ref="R415" r:id="rId827" xr:uid="{00000000-0004-0000-0100-00003A030000}"/>
    <hyperlink ref="Q416" r:id="rId828" xr:uid="{00000000-0004-0000-0100-00003B030000}"/>
    <hyperlink ref="R416" r:id="rId829" xr:uid="{00000000-0004-0000-0100-00003C030000}"/>
    <hyperlink ref="Q417" r:id="rId830" xr:uid="{00000000-0004-0000-0100-00003D030000}"/>
    <hyperlink ref="R417" r:id="rId831" xr:uid="{00000000-0004-0000-0100-00003E030000}"/>
    <hyperlink ref="Q418" r:id="rId832" xr:uid="{00000000-0004-0000-0100-00003F030000}"/>
    <hyperlink ref="R418" r:id="rId833" xr:uid="{00000000-0004-0000-0100-000040030000}"/>
    <hyperlink ref="Q419" r:id="rId834" xr:uid="{00000000-0004-0000-0100-000041030000}"/>
    <hyperlink ref="R419" r:id="rId835" xr:uid="{00000000-0004-0000-0100-000042030000}"/>
    <hyperlink ref="Q420" r:id="rId836" xr:uid="{00000000-0004-0000-0100-000043030000}"/>
    <hyperlink ref="R420" r:id="rId837" xr:uid="{00000000-0004-0000-0100-000044030000}"/>
    <hyperlink ref="Q421" r:id="rId838" xr:uid="{00000000-0004-0000-0100-000045030000}"/>
    <hyperlink ref="R421" r:id="rId839" xr:uid="{00000000-0004-0000-0100-000046030000}"/>
    <hyperlink ref="Q422" r:id="rId840" xr:uid="{00000000-0004-0000-0100-000047030000}"/>
    <hyperlink ref="R422" r:id="rId841" xr:uid="{00000000-0004-0000-0100-000048030000}"/>
    <hyperlink ref="Q423" r:id="rId842" xr:uid="{00000000-0004-0000-0100-000049030000}"/>
    <hyperlink ref="R423" r:id="rId843" xr:uid="{00000000-0004-0000-0100-00004A030000}"/>
    <hyperlink ref="Q424" r:id="rId844" xr:uid="{00000000-0004-0000-0100-00004B030000}"/>
    <hyperlink ref="R424" r:id="rId845" xr:uid="{00000000-0004-0000-0100-00004C030000}"/>
    <hyperlink ref="Q425" r:id="rId846" xr:uid="{00000000-0004-0000-0100-00004D030000}"/>
    <hyperlink ref="R425" r:id="rId847" xr:uid="{00000000-0004-0000-0100-00004E030000}"/>
    <hyperlink ref="Q426" r:id="rId848" xr:uid="{00000000-0004-0000-0100-00004F030000}"/>
    <hyperlink ref="R426" r:id="rId849" xr:uid="{00000000-0004-0000-0100-000050030000}"/>
    <hyperlink ref="Q427" r:id="rId850" xr:uid="{00000000-0004-0000-0100-000051030000}"/>
    <hyperlink ref="R427" r:id="rId851" xr:uid="{00000000-0004-0000-0100-000052030000}"/>
    <hyperlink ref="Q428" r:id="rId852" xr:uid="{00000000-0004-0000-0100-000053030000}"/>
    <hyperlink ref="R428" r:id="rId853" xr:uid="{00000000-0004-0000-0100-000054030000}"/>
    <hyperlink ref="Q429" r:id="rId854" xr:uid="{00000000-0004-0000-0100-000055030000}"/>
    <hyperlink ref="R429" r:id="rId855" xr:uid="{00000000-0004-0000-0100-000056030000}"/>
    <hyperlink ref="Q430" r:id="rId856" xr:uid="{00000000-0004-0000-0100-000057030000}"/>
    <hyperlink ref="R430" r:id="rId857" xr:uid="{00000000-0004-0000-0100-000058030000}"/>
    <hyperlink ref="Q431" r:id="rId858" xr:uid="{00000000-0004-0000-0100-000059030000}"/>
    <hyperlink ref="R431" r:id="rId859" xr:uid="{00000000-0004-0000-0100-00005A030000}"/>
    <hyperlink ref="Q432" r:id="rId860" xr:uid="{00000000-0004-0000-0100-00005B030000}"/>
    <hyperlink ref="R432" r:id="rId861" xr:uid="{00000000-0004-0000-0100-00005C030000}"/>
    <hyperlink ref="Q433" r:id="rId862" xr:uid="{00000000-0004-0000-0100-00005D030000}"/>
    <hyperlink ref="R433" r:id="rId863" xr:uid="{00000000-0004-0000-0100-00005E030000}"/>
    <hyperlink ref="Q434" r:id="rId864" xr:uid="{00000000-0004-0000-0100-00005F030000}"/>
    <hyperlink ref="R434" r:id="rId865" xr:uid="{00000000-0004-0000-0100-000060030000}"/>
    <hyperlink ref="Q435" r:id="rId866" xr:uid="{00000000-0004-0000-0100-000061030000}"/>
    <hyperlink ref="R435" r:id="rId867" xr:uid="{00000000-0004-0000-0100-000062030000}"/>
    <hyperlink ref="Q436" r:id="rId868" xr:uid="{00000000-0004-0000-0100-000063030000}"/>
    <hyperlink ref="R436" r:id="rId869" xr:uid="{00000000-0004-0000-0100-000064030000}"/>
    <hyperlink ref="Q437" r:id="rId870" xr:uid="{00000000-0004-0000-0100-000065030000}"/>
    <hyperlink ref="R437" r:id="rId871" xr:uid="{00000000-0004-0000-0100-000066030000}"/>
    <hyperlink ref="Q438" r:id="rId872" xr:uid="{00000000-0004-0000-0100-000067030000}"/>
    <hyperlink ref="R438" r:id="rId873" xr:uid="{00000000-0004-0000-0100-000068030000}"/>
    <hyperlink ref="Q439" r:id="rId874" xr:uid="{00000000-0004-0000-0100-000069030000}"/>
    <hyperlink ref="R439" r:id="rId875" xr:uid="{00000000-0004-0000-0100-00006A030000}"/>
    <hyperlink ref="Q440" r:id="rId876" xr:uid="{00000000-0004-0000-0100-00006B030000}"/>
    <hyperlink ref="R440" r:id="rId877" xr:uid="{00000000-0004-0000-0100-00006C030000}"/>
    <hyperlink ref="Q441" r:id="rId878" xr:uid="{00000000-0004-0000-0100-00006D030000}"/>
    <hyperlink ref="R441" r:id="rId879" xr:uid="{00000000-0004-0000-0100-00006E030000}"/>
    <hyperlink ref="Q442" r:id="rId880" xr:uid="{00000000-0004-0000-0100-00006F030000}"/>
    <hyperlink ref="R442" r:id="rId881" xr:uid="{00000000-0004-0000-0100-000070030000}"/>
    <hyperlink ref="Q443" r:id="rId882" xr:uid="{00000000-0004-0000-0100-000071030000}"/>
    <hyperlink ref="R443" r:id="rId883" xr:uid="{00000000-0004-0000-0100-000072030000}"/>
    <hyperlink ref="Q444" r:id="rId884" xr:uid="{00000000-0004-0000-0100-000073030000}"/>
    <hyperlink ref="R444" r:id="rId885" xr:uid="{00000000-0004-0000-0100-000074030000}"/>
    <hyperlink ref="Q445" r:id="rId886" xr:uid="{00000000-0004-0000-0100-000075030000}"/>
    <hyperlink ref="R445" r:id="rId887" xr:uid="{00000000-0004-0000-0100-000076030000}"/>
    <hyperlink ref="Q446" r:id="rId888" xr:uid="{00000000-0004-0000-0100-000077030000}"/>
    <hyperlink ref="R446" r:id="rId889" xr:uid="{00000000-0004-0000-0100-000078030000}"/>
    <hyperlink ref="Q447" r:id="rId890" xr:uid="{00000000-0004-0000-0100-000079030000}"/>
    <hyperlink ref="R447" r:id="rId891" xr:uid="{00000000-0004-0000-0100-00007A030000}"/>
    <hyperlink ref="Q448" r:id="rId892" xr:uid="{00000000-0004-0000-0100-00007B030000}"/>
    <hyperlink ref="R448" r:id="rId893" xr:uid="{00000000-0004-0000-0100-00007C030000}"/>
    <hyperlink ref="Q449" r:id="rId894" xr:uid="{00000000-0004-0000-0100-00007D030000}"/>
    <hyperlink ref="R449" r:id="rId895" xr:uid="{00000000-0004-0000-0100-00007E030000}"/>
    <hyperlink ref="Q450" r:id="rId896" xr:uid="{00000000-0004-0000-0100-00007F030000}"/>
    <hyperlink ref="R450" r:id="rId897" xr:uid="{00000000-0004-0000-0100-000080030000}"/>
    <hyperlink ref="Q451" r:id="rId898" xr:uid="{00000000-0004-0000-0100-000081030000}"/>
    <hyperlink ref="R451" r:id="rId899" xr:uid="{00000000-0004-0000-0100-000082030000}"/>
    <hyperlink ref="Q452" r:id="rId900" xr:uid="{00000000-0004-0000-0100-000083030000}"/>
    <hyperlink ref="R452" r:id="rId901" xr:uid="{00000000-0004-0000-0100-000084030000}"/>
    <hyperlink ref="Q453" r:id="rId902" xr:uid="{00000000-0004-0000-0100-000085030000}"/>
    <hyperlink ref="R453" r:id="rId903" xr:uid="{00000000-0004-0000-0100-000086030000}"/>
    <hyperlink ref="Q454" r:id="rId904" xr:uid="{00000000-0004-0000-0100-000087030000}"/>
    <hyperlink ref="R454" r:id="rId905" xr:uid="{00000000-0004-0000-0100-000088030000}"/>
    <hyperlink ref="Q455" r:id="rId906" xr:uid="{00000000-0004-0000-0100-000089030000}"/>
    <hyperlink ref="R455" r:id="rId907" xr:uid="{00000000-0004-0000-0100-00008A030000}"/>
    <hyperlink ref="Q456" r:id="rId908" xr:uid="{00000000-0004-0000-0100-00008B030000}"/>
    <hyperlink ref="R456" r:id="rId909" xr:uid="{00000000-0004-0000-0100-00008C030000}"/>
    <hyperlink ref="Q457" r:id="rId910" xr:uid="{00000000-0004-0000-0100-00008D030000}"/>
    <hyperlink ref="R457" r:id="rId911" xr:uid="{00000000-0004-0000-0100-00008E030000}"/>
    <hyperlink ref="Q458" r:id="rId912" xr:uid="{00000000-0004-0000-0100-00008F030000}"/>
    <hyperlink ref="R458" r:id="rId913" xr:uid="{00000000-0004-0000-0100-000090030000}"/>
    <hyperlink ref="Q459" r:id="rId914" xr:uid="{00000000-0004-0000-0100-000091030000}"/>
    <hyperlink ref="R459" r:id="rId915" xr:uid="{00000000-0004-0000-0100-000092030000}"/>
    <hyperlink ref="Q460" r:id="rId916" xr:uid="{00000000-0004-0000-0100-000093030000}"/>
    <hyperlink ref="R460" r:id="rId917" xr:uid="{00000000-0004-0000-0100-000094030000}"/>
    <hyperlink ref="Q461" r:id="rId918" xr:uid="{00000000-0004-0000-0100-000095030000}"/>
    <hyperlink ref="R461" r:id="rId919" xr:uid="{00000000-0004-0000-0100-000096030000}"/>
    <hyperlink ref="Q462" r:id="rId920" xr:uid="{00000000-0004-0000-0100-000097030000}"/>
    <hyperlink ref="R462" r:id="rId921" xr:uid="{00000000-0004-0000-0100-000098030000}"/>
    <hyperlink ref="Q463" r:id="rId922" xr:uid="{00000000-0004-0000-0100-000099030000}"/>
    <hyperlink ref="R463" r:id="rId923" xr:uid="{00000000-0004-0000-0100-00009A030000}"/>
    <hyperlink ref="Q464" r:id="rId924" xr:uid="{00000000-0004-0000-0100-00009B030000}"/>
    <hyperlink ref="R464" r:id="rId925" xr:uid="{00000000-0004-0000-0100-00009C030000}"/>
    <hyperlink ref="Q465" r:id="rId926" xr:uid="{00000000-0004-0000-0100-00009D030000}"/>
    <hyperlink ref="R465" r:id="rId927" xr:uid="{00000000-0004-0000-0100-00009E030000}"/>
    <hyperlink ref="Q466" r:id="rId928" xr:uid="{00000000-0004-0000-0100-00009F030000}"/>
    <hyperlink ref="R466" r:id="rId929" xr:uid="{00000000-0004-0000-0100-0000A0030000}"/>
    <hyperlink ref="Q467" r:id="rId930" xr:uid="{00000000-0004-0000-0100-0000A1030000}"/>
    <hyperlink ref="R467" r:id="rId931" xr:uid="{00000000-0004-0000-0100-0000A2030000}"/>
    <hyperlink ref="Q468" r:id="rId932" xr:uid="{00000000-0004-0000-0100-0000A3030000}"/>
    <hyperlink ref="R468" r:id="rId933" xr:uid="{00000000-0004-0000-0100-0000A4030000}"/>
    <hyperlink ref="Q469" r:id="rId934" xr:uid="{00000000-0004-0000-0100-0000A5030000}"/>
    <hyperlink ref="R469" r:id="rId935" xr:uid="{00000000-0004-0000-0100-0000A6030000}"/>
    <hyperlink ref="Q470" r:id="rId936" xr:uid="{00000000-0004-0000-0100-0000A7030000}"/>
    <hyperlink ref="R470" r:id="rId937" xr:uid="{00000000-0004-0000-0100-0000A8030000}"/>
    <hyperlink ref="Q471" r:id="rId938" xr:uid="{00000000-0004-0000-0100-0000A9030000}"/>
    <hyperlink ref="R471" r:id="rId939" xr:uid="{00000000-0004-0000-0100-0000AA030000}"/>
    <hyperlink ref="Q472" r:id="rId940" xr:uid="{00000000-0004-0000-0100-0000AB030000}"/>
    <hyperlink ref="R472" r:id="rId941" xr:uid="{00000000-0004-0000-0100-0000AC030000}"/>
    <hyperlink ref="Q473" r:id="rId942" xr:uid="{00000000-0004-0000-0100-0000AD030000}"/>
    <hyperlink ref="R473" r:id="rId943" xr:uid="{00000000-0004-0000-0100-0000AE030000}"/>
    <hyperlink ref="Q474" r:id="rId944" xr:uid="{00000000-0004-0000-0100-0000AF030000}"/>
    <hyperlink ref="R474" r:id="rId945" xr:uid="{00000000-0004-0000-0100-0000B0030000}"/>
    <hyperlink ref="Q475" r:id="rId946" xr:uid="{00000000-0004-0000-0100-0000B1030000}"/>
    <hyperlink ref="R475" r:id="rId947" xr:uid="{00000000-0004-0000-0100-0000B2030000}"/>
    <hyperlink ref="Q476" r:id="rId948" xr:uid="{00000000-0004-0000-0100-0000B3030000}"/>
    <hyperlink ref="R476" r:id="rId949" xr:uid="{00000000-0004-0000-0100-0000B4030000}"/>
    <hyperlink ref="Q477" r:id="rId950" xr:uid="{00000000-0004-0000-0100-0000B5030000}"/>
    <hyperlink ref="R477" r:id="rId951" xr:uid="{00000000-0004-0000-0100-0000B6030000}"/>
    <hyperlink ref="Q478" r:id="rId952" xr:uid="{00000000-0004-0000-0100-0000B7030000}"/>
    <hyperlink ref="R478" r:id="rId953" xr:uid="{00000000-0004-0000-0100-0000B8030000}"/>
    <hyperlink ref="Q479" r:id="rId954" xr:uid="{00000000-0004-0000-0100-0000B9030000}"/>
    <hyperlink ref="R479" r:id="rId955" xr:uid="{00000000-0004-0000-0100-0000BA030000}"/>
    <hyperlink ref="Q480" r:id="rId956" xr:uid="{00000000-0004-0000-0100-0000BB030000}"/>
    <hyperlink ref="R480" r:id="rId957" xr:uid="{00000000-0004-0000-0100-0000BC030000}"/>
    <hyperlink ref="Q481" r:id="rId958" xr:uid="{00000000-0004-0000-0100-0000BD030000}"/>
    <hyperlink ref="R481" r:id="rId959" xr:uid="{00000000-0004-0000-0100-0000BE030000}"/>
    <hyperlink ref="Q482" r:id="rId960" xr:uid="{00000000-0004-0000-0100-0000BF030000}"/>
    <hyperlink ref="R482" r:id="rId961" xr:uid="{00000000-0004-0000-0100-0000C0030000}"/>
    <hyperlink ref="Q483" r:id="rId962" xr:uid="{00000000-0004-0000-0100-0000C1030000}"/>
    <hyperlink ref="R483" r:id="rId963" xr:uid="{00000000-0004-0000-0100-0000C2030000}"/>
    <hyperlink ref="Q484" r:id="rId964" xr:uid="{00000000-0004-0000-0100-0000C3030000}"/>
    <hyperlink ref="R484" r:id="rId965" xr:uid="{00000000-0004-0000-0100-0000C4030000}"/>
    <hyperlink ref="Q485" r:id="rId966" xr:uid="{00000000-0004-0000-0100-0000C5030000}"/>
    <hyperlink ref="R485" r:id="rId967" xr:uid="{00000000-0004-0000-0100-0000C6030000}"/>
    <hyperlink ref="Q486" r:id="rId968" xr:uid="{00000000-0004-0000-0100-0000C7030000}"/>
    <hyperlink ref="R486" r:id="rId969" xr:uid="{00000000-0004-0000-0100-0000C8030000}"/>
    <hyperlink ref="Q487" r:id="rId970" xr:uid="{00000000-0004-0000-0100-0000C9030000}"/>
    <hyperlink ref="R487" r:id="rId971" xr:uid="{00000000-0004-0000-0100-0000CA030000}"/>
    <hyperlink ref="Q488" r:id="rId972" xr:uid="{00000000-0004-0000-0100-0000CB030000}"/>
    <hyperlink ref="R488" r:id="rId973" xr:uid="{00000000-0004-0000-0100-0000CC030000}"/>
    <hyperlink ref="Q489" r:id="rId974" xr:uid="{00000000-0004-0000-0100-0000CD030000}"/>
    <hyperlink ref="R489" r:id="rId975" xr:uid="{00000000-0004-0000-0100-0000CE030000}"/>
    <hyperlink ref="Q490" r:id="rId976" xr:uid="{00000000-0004-0000-0100-0000CF030000}"/>
    <hyperlink ref="R490" r:id="rId977" xr:uid="{00000000-0004-0000-0100-0000D0030000}"/>
    <hyperlink ref="Q491" r:id="rId978" xr:uid="{00000000-0004-0000-0100-0000D1030000}"/>
    <hyperlink ref="R491" r:id="rId979" xr:uid="{00000000-0004-0000-0100-0000D2030000}"/>
    <hyperlink ref="Q492" r:id="rId980" xr:uid="{00000000-0004-0000-0100-0000D3030000}"/>
    <hyperlink ref="R492" r:id="rId981" xr:uid="{00000000-0004-0000-0100-0000D4030000}"/>
    <hyperlink ref="Q493" r:id="rId982" xr:uid="{00000000-0004-0000-0100-0000D5030000}"/>
    <hyperlink ref="R493" r:id="rId983" xr:uid="{00000000-0004-0000-0100-0000D6030000}"/>
    <hyperlink ref="Q494" r:id="rId984" xr:uid="{00000000-0004-0000-0100-0000D7030000}"/>
    <hyperlink ref="R494" r:id="rId985" xr:uid="{00000000-0004-0000-0100-0000D8030000}"/>
    <hyperlink ref="Q495" r:id="rId986" xr:uid="{00000000-0004-0000-0100-0000D9030000}"/>
    <hyperlink ref="R495" r:id="rId987" xr:uid="{00000000-0004-0000-0100-0000DA030000}"/>
    <hyperlink ref="Q496" r:id="rId988" xr:uid="{00000000-0004-0000-0100-0000DB030000}"/>
    <hyperlink ref="R496" r:id="rId989" xr:uid="{00000000-0004-0000-0100-0000DC030000}"/>
    <hyperlink ref="Q497" r:id="rId990" xr:uid="{00000000-0004-0000-0100-0000DD030000}"/>
    <hyperlink ref="R497" r:id="rId991" xr:uid="{00000000-0004-0000-0100-0000DE030000}"/>
    <hyperlink ref="Q498" r:id="rId992" xr:uid="{00000000-0004-0000-0100-0000DF030000}"/>
    <hyperlink ref="R498" r:id="rId993" xr:uid="{00000000-0004-0000-0100-0000E0030000}"/>
    <hyperlink ref="Q499" r:id="rId994" xr:uid="{00000000-0004-0000-0100-0000E1030000}"/>
    <hyperlink ref="R499" r:id="rId995" xr:uid="{00000000-0004-0000-0100-0000E2030000}"/>
    <hyperlink ref="Q500" r:id="rId996" xr:uid="{00000000-0004-0000-0100-0000E3030000}"/>
    <hyperlink ref="R500" r:id="rId997" xr:uid="{00000000-0004-0000-0100-0000E4030000}"/>
    <hyperlink ref="Q501" r:id="rId998" xr:uid="{00000000-0004-0000-0100-0000E5030000}"/>
    <hyperlink ref="R501" r:id="rId999" xr:uid="{00000000-0004-0000-0100-0000E6030000}"/>
    <hyperlink ref="Q502" r:id="rId1000" xr:uid="{00000000-0004-0000-0100-0000E7030000}"/>
    <hyperlink ref="R502" r:id="rId1001" xr:uid="{00000000-0004-0000-0100-0000E8030000}"/>
    <hyperlink ref="Q503" r:id="rId1002" xr:uid="{00000000-0004-0000-0100-0000E9030000}"/>
    <hyperlink ref="R503" r:id="rId1003" xr:uid="{00000000-0004-0000-0100-0000EA030000}"/>
    <hyperlink ref="Q504" r:id="rId1004" xr:uid="{00000000-0004-0000-0100-0000EB030000}"/>
    <hyperlink ref="R504" r:id="rId1005" xr:uid="{00000000-0004-0000-0100-0000EC030000}"/>
    <hyperlink ref="Q505" r:id="rId1006" xr:uid="{00000000-0004-0000-0100-0000ED030000}"/>
    <hyperlink ref="R505" r:id="rId1007" xr:uid="{00000000-0004-0000-0100-0000EE030000}"/>
    <hyperlink ref="Q506" r:id="rId1008" xr:uid="{00000000-0004-0000-0100-0000EF030000}"/>
    <hyperlink ref="R506" r:id="rId1009" xr:uid="{00000000-0004-0000-0100-0000F0030000}"/>
    <hyperlink ref="Q507" r:id="rId1010" xr:uid="{00000000-0004-0000-0100-0000F1030000}"/>
    <hyperlink ref="R507" r:id="rId1011" xr:uid="{00000000-0004-0000-0100-0000F2030000}"/>
    <hyperlink ref="Q508" r:id="rId1012" xr:uid="{00000000-0004-0000-0100-0000F3030000}"/>
    <hyperlink ref="R508" r:id="rId1013" xr:uid="{00000000-0004-0000-0100-0000F4030000}"/>
    <hyperlink ref="Q509" r:id="rId1014" xr:uid="{00000000-0004-0000-0100-0000F5030000}"/>
    <hyperlink ref="R509" r:id="rId1015" xr:uid="{00000000-0004-0000-0100-0000F6030000}"/>
    <hyperlink ref="Q510" r:id="rId1016" xr:uid="{00000000-0004-0000-0100-0000F7030000}"/>
    <hyperlink ref="R510" r:id="rId1017" xr:uid="{00000000-0004-0000-0100-0000F8030000}"/>
    <hyperlink ref="Q511" r:id="rId1018" xr:uid="{00000000-0004-0000-0100-0000F9030000}"/>
    <hyperlink ref="R511" r:id="rId1019" xr:uid="{00000000-0004-0000-0100-0000FA030000}"/>
    <hyperlink ref="Q512" r:id="rId1020" xr:uid="{00000000-0004-0000-0100-0000FB030000}"/>
    <hyperlink ref="R512" r:id="rId1021" xr:uid="{00000000-0004-0000-0100-0000FC030000}"/>
    <hyperlink ref="Q513" r:id="rId1022" xr:uid="{00000000-0004-0000-0100-0000FD030000}"/>
    <hyperlink ref="R513" r:id="rId1023" xr:uid="{00000000-0004-0000-0100-0000FE030000}"/>
    <hyperlink ref="Q514" r:id="rId1024" xr:uid="{00000000-0004-0000-0100-0000FF030000}"/>
    <hyperlink ref="R514" r:id="rId1025" xr:uid="{00000000-0004-0000-0100-000000040000}"/>
    <hyperlink ref="Q515" r:id="rId1026" xr:uid="{00000000-0004-0000-0100-000001040000}"/>
    <hyperlink ref="R515" r:id="rId1027" xr:uid="{00000000-0004-0000-0100-000002040000}"/>
    <hyperlink ref="Q516" r:id="rId1028" xr:uid="{00000000-0004-0000-0100-000003040000}"/>
    <hyperlink ref="R516" r:id="rId1029" xr:uid="{00000000-0004-0000-0100-000004040000}"/>
    <hyperlink ref="Q517" r:id="rId1030" xr:uid="{00000000-0004-0000-0100-000005040000}"/>
    <hyperlink ref="R517" r:id="rId1031" xr:uid="{00000000-0004-0000-0100-000006040000}"/>
    <hyperlink ref="Q518" r:id="rId1032" xr:uid="{00000000-0004-0000-0100-000007040000}"/>
    <hyperlink ref="R518" r:id="rId1033" xr:uid="{00000000-0004-0000-0100-000008040000}"/>
    <hyperlink ref="Q519" r:id="rId1034" xr:uid="{00000000-0004-0000-0100-000009040000}"/>
    <hyperlink ref="R519" r:id="rId1035" xr:uid="{00000000-0004-0000-0100-00000A040000}"/>
    <hyperlink ref="Q520" r:id="rId1036" xr:uid="{00000000-0004-0000-0100-00000B040000}"/>
    <hyperlink ref="R520" r:id="rId1037" xr:uid="{00000000-0004-0000-0100-00000C040000}"/>
    <hyperlink ref="Q521" r:id="rId1038" xr:uid="{00000000-0004-0000-0100-00000D040000}"/>
    <hyperlink ref="R521" r:id="rId1039" xr:uid="{00000000-0004-0000-0100-00000E040000}"/>
    <hyperlink ref="Q522" r:id="rId1040" xr:uid="{00000000-0004-0000-0100-00000F040000}"/>
    <hyperlink ref="R522" r:id="rId1041" xr:uid="{00000000-0004-0000-0100-000010040000}"/>
    <hyperlink ref="Q523" r:id="rId1042" xr:uid="{00000000-0004-0000-0100-000011040000}"/>
    <hyperlink ref="R523" r:id="rId1043" xr:uid="{00000000-0004-0000-0100-000012040000}"/>
    <hyperlink ref="Q524" r:id="rId1044" xr:uid="{00000000-0004-0000-0100-000013040000}"/>
    <hyperlink ref="R524" r:id="rId1045" xr:uid="{00000000-0004-0000-0100-000014040000}"/>
    <hyperlink ref="Q525" r:id="rId1046" xr:uid="{00000000-0004-0000-0100-000015040000}"/>
    <hyperlink ref="R525" r:id="rId1047" xr:uid="{00000000-0004-0000-0100-000016040000}"/>
    <hyperlink ref="Q526" r:id="rId1048" xr:uid="{00000000-0004-0000-0100-000017040000}"/>
    <hyperlink ref="R526" r:id="rId1049" xr:uid="{00000000-0004-0000-0100-000018040000}"/>
    <hyperlink ref="Q527" r:id="rId1050" xr:uid="{00000000-0004-0000-0100-000019040000}"/>
    <hyperlink ref="R527" r:id="rId1051" xr:uid="{00000000-0004-0000-0100-00001A040000}"/>
    <hyperlink ref="Q528" r:id="rId1052" xr:uid="{00000000-0004-0000-0100-00001B040000}"/>
    <hyperlink ref="R528" r:id="rId1053" xr:uid="{00000000-0004-0000-0100-00001C040000}"/>
    <hyperlink ref="Q529" r:id="rId1054" xr:uid="{00000000-0004-0000-0100-00001D040000}"/>
    <hyperlink ref="R529" r:id="rId1055" xr:uid="{00000000-0004-0000-0100-00001E040000}"/>
    <hyperlink ref="Q530" r:id="rId1056" xr:uid="{00000000-0004-0000-0100-00001F040000}"/>
    <hyperlink ref="R530" r:id="rId1057" xr:uid="{00000000-0004-0000-0100-000020040000}"/>
    <hyperlink ref="Q531" r:id="rId1058" xr:uid="{00000000-0004-0000-0100-000021040000}"/>
    <hyperlink ref="R531" r:id="rId1059" xr:uid="{00000000-0004-0000-0100-000022040000}"/>
    <hyperlink ref="Q532" r:id="rId1060" xr:uid="{00000000-0004-0000-0100-000023040000}"/>
    <hyperlink ref="R532" r:id="rId1061" xr:uid="{00000000-0004-0000-0100-000024040000}"/>
    <hyperlink ref="Q533" r:id="rId1062" xr:uid="{00000000-0004-0000-0100-000025040000}"/>
    <hyperlink ref="R533" r:id="rId1063" xr:uid="{00000000-0004-0000-0100-000026040000}"/>
    <hyperlink ref="Q534" r:id="rId1064" xr:uid="{00000000-0004-0000-0100-000027040000}"/>
    <hyperlink ref="R534" r:id="rId1065" xr:uid="{00000000-0004-0000-0100-000028040000}"/>
    <hyperlink ref="Q535" r:id="rId1066" xr:uid="{00000000-0004-0000-0100-000029040000}"/>
    <hyperlink ref="R535" r:id="rId1067" xr:uid="{00000000-0004-0000-0100-00002A040000}"/>
    <hyperlink ref="Q536" r:id="rId1068" xr:uid="{00000000-0004-0000-0100-00002B040000}"/>
    <hyperlink ref="R536" r:id="rId1069" xr:uid="{00000000-0004-0000-0100-00002C040000}"/>
    <hyperlink ref="Q537" r:id="rId1070" xr:uid="{00000000-0004-0000-0100-00002D040000}"/>
    <hyperlink ref="R537" r:id="rId1071" xr:uid="{00000000-0004-0000-0100-00002E040000}"/>
    <hyperlink ref="Q538" r:id="rId1072" xr:uid="{00000000-0004-0000-0100-00002F040000}"/>
    <hyperlink ref="R538" r:id="rId1073" xr:uid="{00000000-0004-0000-0100-000030040000}"/>
    <hyperlink ref="Q539" r:id="rId1074" xr:uid="{00000000-0004-0000-0100-000031040000}"/>
    <hyperlink ref="R539" r:id="rId1075" xr:uid="{00000000-0004-0000-0100-000032040000}"/>
    <hyperlink ref="Q540" r:id="rId1076" xr:uid="{00000000-0004-0000-0100-000033040000}"/>
    <hyperlink ref="Q541" r:id="rId1077" xr:uid="{00000000-0004-0000-0100-000034040000}"/>
    <hyperlink ref="R541" r:id="rId1078" xr:uid="{00000000-0004-0000-0100-000035040000}"/>
    <hyperlink ref="Q542" r:id="rId1079" xr:uid="{00000000-0004-0000-0100-000036040000}"/>
    <hyperlink ref="R542" r:id="rId1080" xr:uid="{00000000-0004-0000-0100-000037040000}"/>
    <hyperlink ref="Q543" r:id="rId1081" xr:uid="{00000000-0004-0000-0100-000038040000}"/>
    <hyperlink ref="R543" r:id="rId1082" xr:uid="{00000000-0004-0000-0100-000039040000}"/>
    <hyperlink ref="Q544" r:id="rId1083" xr:uid="{00000000-0004-0000-0100-00003A040000}"/>
    <hyperlink ref="R544" r:id="rId1084" xr:uid="{00000000-0004-0000-0100-00003B040000}"/>
    <hyperlink ref="Q545" r:id="rId1085" xr:uid="{00000000-0004-0000-0100-00003C040000}"/>
    <hyperlink ref="R545" r:id="rId1086" xr:uid="{00000000-0004-0000-0100-00003D040000}"/>
    <hyperlink ref="Q546" r:id="rId1087" xr:uid="{00000000-0004-0000-0100-00003E040000}"/>
    <hyperlink ref="R546" r:id="rId1088" xr:uid="{00000000-0004-0000-0100-00003F040000}"/>
    <hyperlink ref="Q547" r:id="rId1089" xr:uid="{00000000-0004-0000-0100-000040040000}"/>
    <hyperlink ref="R547" r:id="rId1090" xr:uid="{00000000-0004-0000-0100-000041040000}"/>
    <hyperlink ref="Q548" r:id="rId1091" xr:uid="{00000000-0004-0000-0100-000042040000}"/>
    <hyperlink ref="R548" r:id="rId1092" xr:uid="{00000000-0004-0000-0100-000043040000}"/>
    <hyperlink ref="Q549" r:id="rId1093" xr:uid="{00000000-0004-0000-0100-000044040000}"/>
    <hyperlink ref="R549" r:id="rId1094" xr:uid="{00000000-0004-0000-0100-000045040000}"/>
    <hyperlink ref="Q550" r:id="rId1095" xr:uid="{00000000-0004-0000-0100-000046040000}"/>
    <hyperlink ref="R550" r:id="rId1096" xr:uid="{00000000-0004-0000-0100-000047040000}"/>
    <hyperlink ref="Q551" r:id="rId1097" xr:uid="{00000000-0004-0000-0100-000048040000}"/>
    <hyperlink ref="R551" r:id="rId1098" xr:uid="{00000000-0004-0000-0100-000049040000}"/>
    <hyperlink ref="Q552" r:id="rId1099" xr:uid="{00000000-0004-0000-0100-00004A040000}"/>
    <hyperlink ref="R552" r:id="rId1100" xr:uid="{00000000-0004-0000-0100-00004B040000}"/>
    <hyperlink ref="Q553" r:id="rId1101" xr:uid="{00000000-0004-0000-0100-00004C040000}"/>
    <hyperlink ref="R553" r:id="rId1102" xr:uid="{00000000-0004-0000-0100-00004D040000}"/>
    <hyperlink ref="Q554" r:id="rId1103" xr:uid="{00000000-0004-0000-0100-00004E040000}"/>
    <hyperlink ref="R554" r:id="rId1104" xr:uid="{00000000-0004-0000-0100-00004F040000}"/>
    <hyperlink ref="Q555" r:id="rId1105" xr:uid="{00000000-0004-0000-0100-000050040000}"/>
    <hyperlink ref="R555" r:id="rId1106" xr:uid="{00000000-0004-0000-0100-000051040000}"/>
    <hyperlink ref="Q556" r:id="rId1107" xr:uid="{00000000-0004-0000-0100-000052040000}"/>
    <hyperlink ref="R556" r:id="rId1108" xr:uid="{00000000-0004-0000-0100-000053040000}"/>
    <hyperlink ref="Q557" r:id="rId1109" xr:uid="{00000000-0004-0000-0100-000054040000}"/>
    <hyperlink ref="R557" r:id="rId1110" xr:uid="{00000000-0004-0000-0100-000055040000}"/>
    <hyperlink ref="Q558" r:id="rId1111" xr:uid="{00000000-0004-0000-0100-000056040000}"/>
    <hyperlink ref="R558" r:id="rId1112" xr:uid="{00000000-0004-0000-0100-000057040000}"/>
    <hyperlink ref="Q559" r:id="rId1113" xr:uid="{00000000-0004-0000-0100-000058040000}"/>
    <hyperlink ref="R559" r:id="rId1114" xr:uid="{00000000-0004-0000-0100-000059040000}"/>
    <hyperlink ref="Q560" r:id="rId1115" xr:uid="{00000000-0004-0000-0100-00005A040000}"/>
    <hyperlink ref="R560" r:id="rId1116" xr:uid="{00000000-0004-0000-0100-00005B040000}"/>
    <hyperlink ref="Q561" r:id="rId1117" xr:uid="{00000000-0004-0000-0100-00005C040000}"/>
    <hyperlink ref="R561" r:id="rId1118" xr:uid="{00000000-0004-0000-0100-00005D040000}"/>
    <hyperlink ref="Q562" r:id="rId1119" xr:uid="{00000000-0004-0000-0100-00005E040000}"/>
    <hyperlink ref="R562" r:id="rId1120" xr:uid="{00000000-0004-0000-0100-00005F040000}"/>
    <hyperlink ref="Q563" r:id="rId1121" xr:uid="{00000000-0004-0000-0100-000060040000}"/>
    <hyperlink ref="R563" r:id="rId1122" xr:uid="{00000000-0004-0000-0100-000061040000}"/>
    <hyperlink ref="Q564" r:id="rId1123" xr:uid="{00000000-0004-0000-0100-000062040000}"/>
    <hyperlink ref="R564" r:id="rId1124" xr:uid="{00000000-0004-0000-0100-000063040000}"/>
    <hyperlink ref="Q565" r:id="rId1125" xr:uid="{00000000-0004-0000-0100-000064040000}"/>
    <hyperlink ref="R565" r:id="rId1126" xr:uid="{00000000-0004-0000-0100-000065040000}"/>
    <hyperlink ref="Q566" r:id="rId1127" xr:uid="{00000000-0004-0000-0100-000066040000}"/>
    <hyperlink ref="R566" r:id="rId1128" xr:uid="{00000000-0004-0000-0100-000067040000}"/>
    <hyperlink ref="Q567" r:id="rId1129" xr:uid="{00000000-0004-0000-0100-000068040000}"/>
    <hyperlink ref="R567" r:id="rId1130" xr:uid="{00000000-0004-0000-0100-000069040000}"/>
    <hyperlink ref="Q568" r:id="rId1131" xr:uid="{00000000-0004-0000-0100-00006A040000}"/>
    <hyperlink ref="R568" r:id="rId1132" xr:uid="{00000000-0004-0000-0100-00006B040000}"/>
    <hyperlink ref="Q569" r:id="rId1133" xr:uid="{00000000-0004-0000-0100-00006C040000}"/>
    <hyperlink ref="R569" r:id="rId1134" xr:uid="{00000000-0004-0000-0100-00006D040000}"/>
    <hyperlink ref="Q570" r:id="rId1135" xr:uid="{00000000-0004-0000-0100-00006E040000}"/>
    <hyperlink ref="R570" r:id="rId1136" xr:uid="{00000000-0004-0000-0100-00006F040000}"/>
    <hyperlink ref="Q571" r:id="rId1137" xr:uid="{00000000-0004-0000-0100-000070040000}"/>
    <hyperlink ref="R571" r:id="rId1138" xr:uid="{00000000-0004-0000-0100-000071040000}"/>
    <hyperlink ref="Q572" r:id="rId1139" xr:uid="{00000000-0004-0000-0100-000072040000}"/>
    <hyperlink ref="R572" r:id="rId1140" xr:uid="{00000000-0004-0000-0100-000073040000}"/>
    <hyperlink ref="Q573" r:id="rId1141" xr:uid="{00000000-0004-0000-0100-000074040000}"/>
    <hyperlink ref="R573" r:id="rId1142" xr:uid="{00000000-0004-0000-0100-000075040000}"/>
    <hyperlink ref="Q574" r:id="rId1143" xr:uid="{00000000-0004-0000-0100-000076040000}"/>
    <hyperlink ref="R574" r:id="rId1144" xr:uid="{00000000-0004-0000-0100-000077040000}"/>
    <hyperlink ref="Q575" r:id="rId1145" xr:uid="{00000000-0004-0000-0100-000078040000}"/>
    <hyperlink ref="R575" r:id="rId1146" xr:uid="{00000000-0004-0000-0100-000079040000}"/>
    <hyperlink ref="Q576" r:id="rId1147" xr:uid="{00000000-0004-0000-0100-00007A040000}"/>
    <hyperlink ref="R576" r:id="rId1148" xr:uid="{00000000-0004-0000-0100-00007B040000}"/>
    <hyperlink ref="Q577" r:id="rId1149" xr:uid="{00000000-0004-0000-0100-00007C040000}"/>
    <hyperlink ref="R577" r:id="rId1150" xr:uid="{00000000-0004-0000-0100-00007D040000}"/>
    <hyperlink ref="Q578" r:id="rId1151" xr:uid="{00000000-0004-0000-0100-00007E040000}"/>
    <hyperlink ref="R578" r:id="rId1152" xr:uid="{00000000-0004-0000-0100-00007F040000}"/>
    <hyperlink ref="Q579" r:id="rId1153" xr:uid="{00000000-0004-0000-0100-000080040000}"/>
    <hyperlink ref="R579" r:id="rId1154" xr:uid="{00000000-0004-0000-0100-000081040000}"/>
    <hyperlink ref="Q580" r:id="rId1155" xr:uid="{00000000-0004-0000-0100-000082040000}"/>
    <hyperlink ref="R580" r:id="rId1156" xr:uid="{00000000-0004-0000-0100-000083040000}"/>
    <hyperlink ref="Q581" r:id="rId1157" xr:uid="{00000000-0004-0000-0100-000084040000}"/>
    <hyperlink ref="R581" r:id="rId1158" xr:uid="{00000000-0004-0000-0100-000085040000}"/>
    <hyperlink ref="Q582" r:id="rId1159" xr:uid="{00000000-0004-0000-0100-000086040000}"/>
    <hyperlink ref="R582" r:id="rId1160" xr:uid="{00000000-0004-0000-0100-000087040000}"/>
    <hyperlink ref="Q583" r:id="rId1161" xr:uid="{00000000-0004-0000-0100-000088040000}"/>
    <hyperlink ref="R583" r:id="rId1162" xr:uid="{00000000-0004-0000-0100-000089040000}"/>
    <hyperlink ref="Q584" r:id="rId1163" xr:uid="{00000000-0004-0000-0100-00008A040000}"/>
    <hyperlink ref="R584" r:id="rId1164" xr:uid="{00000000-0004-0000-0100-00008B040000}"/>
    <hyperlink ref="Q585" r:id="rId1165" xr:uid="{00000000-0004-0000-0100-00008C040000}"/>
    <hyperlink ref="R585" r:id="rId1166" xr:uid="{00000000-0004-0000-0100-00008D040000}"/>
    <hyperlink ref="Q586" r:id="rId1167" xr:uid="{00000000-0004-0000-0100-00008E040000}"/>
    <hyperlink ref="R586" r:id="rId1168" xr:uid="{00000000-0004-0000-0100-00008F040000}"/>
    <hyperlink ref="Q587" r:id="rId1169" xr:uid="{00000000-0004-0000-0100-000090040000}"/>
    <hyperlink ref="R587" r:id="rId1170" xr:uid="{00000000-0004-0000-0100-000091040000}"/>
    <hyperlink ref="Q588" r:id="rId1171" xr:uid="{00000000-0004-0000-0100-000092040000}"/>
    <hyperlink ref="R588" r:id="rId1172" xr:uid="{00000000-0004-0000-0100-000093040000}"/>
    <hyperlink ref="Q589" r:id="rId1173" xr:uid="{00000000-0004-0000-0100-000094040000}"/>
    <hyperlink ref="R589" r:id="rId1174" xr:uid="{00000000-0004-0000-0100-000095040000}"/>
    <hyperlink ref="Q590" r:id="rId1175" xr:uid="{00000000-0004-0000-0100-000096040000}"/>
    <hyperlink ref="R590" r:id="rId1176" xr:uid="{00000000-0004-0000-0100-000097040000}"/>
    <hyperlink ref="Q591" r:id="rId1177" xr:uid="{00000000-0004-0000-0100-000098040000}"/>
    <hyperlink ref="R591" r:id="rId1178" xr:uid="{00000000-0004-0000-0100-000099040000}"/>
    <hyperlink ref="Q592" r:id="rId1179" xr:uid="{00000000-0004-0000-0100-00009A040000}"/>
    <hyperlink ref="R592" r:id="rId1180" xr:uid="{00000000-0004-0000-0100-00009B040000}"/>
    <hyperlink ref="Q593" r:id="rId1181" xr:uid="{00000000-0004-0000-0100-00009C040000}"/>
    <hyperlink ref="R593" r:id="rId1182" xr:uid="{00000000-0004-0000-0100-00009D040000}"/>
    <hyperlink ref="Q594" r:id="rId1183" xr:uid="{00000000-0004-0000-0100-00009E040000}"/>
    <hyperlink ref="R594" r:id="rId1184" xr:uid="{00000000-0004-0000-0100-00009F040000}"/>
    <hyperlink ref="Q595" r:id="rId1185" xr:uid="{00000000-0004-0000-0100-0000A0040000}"/>
    <hyperlink ref="R595" r:id="rId1186" xr:uid="{00000000-0004-0000-0100-0000A1040000}"/>
    <hyperlink ref="Q596" r:id="rId1187" xr:uid="{00000000-0004-0000-0100-0000A2040000}"/>
    <hyperlink ref="R596" r:id="rId1188" xr:uid="{00000000-0004-0000-0100-0000A3040000}"/>
    <hyperlink ref="Q597" r:id="rId1189" xr:uid="{00000000-0004-0000-0100-0000A4040000}"/>
    <hyperlink ref="R597" r:id="rId1190" xr:uid="{00000000-0004-0000-0100-0000A5040000}"/>
    <hyperlink ref="Q598" r:id="rId1191" xr:uid="{00000000-0004-0000-0100-0000A6040000}"/>
    <hyperlink ref="R598" r:id="rId1192" xr:uid="{00000000-0004-0000-0100-0000A7040000}"/>
    <hyperlink ref="Q599" r:id="rId1193" xr:uid="{00000000-0004-0000-0100-0000A8040000}"/>
    <hyperlink ref="R599" r:id="rId1194" xr:uid="{00000000-0004-0000-0100-0000A9040000}"/>
    <hyperlink ref="Q600" r:id="rId1195" xr:uid="{00000000-0004-0000-0100-0000AA040000}"/>
    <hyperlink ref="R600" r:id="rId1196" xr:uid="{00000000-0004-0000-0100-0000AB040000}"/>
    <hyperlink ref="Q601" r:id="rId1197" xr:uid="{00000000-0004-0000-0100-0000AC040000}"/>
    <hyperlink ref="R601" r:id="rId1198" xr:uid="{00000000-0004-0000-0100-0000AD040000}"/>
    <hyperlink ref="Q602" r:id="rId1199" xr:uid="{00000000-0004-0000-0100-0000AE040000}"/>
    <hyperlink ref="R602" r:id="rId1200" xr:uid="{00000000-0004-0000-0100-0000AF040000}"/>
    <hyperlink ref="Q603" r:id="rId1201" xr:uid="{00000000-0004-0000-0100-0000B0040000}"/>
    <hyperlink ref="R603" r:id="rId1202" xr:uid="{00000000-0004-0000-0100-0000B1040000}"/>
    <hyperlink ref="Q604" r:id="rId1203" xr:uid="{00000000-0004-0000-0100-0000B2040000}"/>
    <hyperlink ref="R604" r:id="rId1204" xr:uid="{00000000-0004-0000-0100-0000B3040000}"/>
    <hyperlink ref="Q605" r:id="rId1205" xr:uid="{00000000-0004-0000-0100-0000B4040000}"/>
    <hyperlink ref="R605" r:id="rId1206" xr:uid="{00000000-0004-0000-0100-0000B5040000}"/>
    <hyperlink ref="Q606" r:id="rId1207" xr:uid="{00000000-0004-0000-0100-0000B6040000}"/>
    <hyperlink ref="R606" r:id="rId1208" xr:uid="{00000000-0004-0000-0100-0000B7040000}"/>
    <hyperlink ref="Q607" r:id="rId1209" xr:uid="{00000000-0004-0000-0100-0000B8040000}"/>
    <hyperlink ref="R607" r:id="rId1210" xr:uid="{00000000-0004-0000-0100-0000B9040000}"/>
    <hyperlink ref="Q608" r:id="rId1211" xr:uid="{00000000-0004-0000-0100-0000BA040000}"/>
    <hyperlink ref="R608" r:id="rId1212" xr:uid="{00000000-0004-0000-0100-0000BB040000}"/>
    <hyperlink ref="Q609" r:id="rId1213" xr:uid="{00000000-0004-0000-0100-0000BC040000}"/>
    <hyperlink ref="R609" r:id="rId1214" xr:uid="{00000000-0004-0000-0100-0000BD040000}"/>
    <hyperlink ref="Q610" r:id="rId1215" xr:uid="{00000000-0004-0000-0100-0000BE040000}"/>
    <hyperlink ref="R610" r:id="rId1216" xr:uid="{00000000-0004-0000-0100-0000BF040000}"/>
    <hyperlink ref="Q611" r:id="rId1217" xr:uid="{00000000-0004-0000-0100-0000C0040000}"/>
    <hyperlink ref="R611" r:id="rId1218" xr:uid="{00000000-0004-0000-0100-0000C1040000}"/>
    <hyperlink ref="Q612" r:id="rId1219" xr:uid="{00000000-0004-0000-0100-0000C2040000}"/>
    <hyperlink ref="R612" r:id="rId1220" xr:uid="{00000000-0004-0000-0100-0000C3040000}"/>
    <hyperlink ref="Q613" r:id="rId1221" xr:uid="{00000000-0004-0000-0100-0000C4040000}"/>
    <hyperlink ref="R613" r:id="rId1222" xr:uid="{00000000-0004-0000-0100-0000C5040000}"/>
    <hyperlink ref="Q614" r:id="rId1223" xr:uid="{00000000-0004-0000-0100-0000C6040000}"/>
    <hyperlink ref="R614" r:id="rId1224" xr:uid="{00000000-0004-0000-0100-0000C7040000}"/>
    <hyperlink ref="Q615" r:id="rId1225" xr:uid="{00000000-0004-0000-0100-0000C8040000}"/>
    <hyperlink ref="R615" r:id="rId1226" xr:uid="{00000000-0004-0000-0100-0000C9040000}"/>
    <hyperlink ref="Q616" r:id="rId1227" xr:uid="{00000000-0004-0000-0100-0000CA040000}"/>
    <hyperlink ref="R616" r:id="rId1228" xr:uid="{00000000-0004-0000-0100-0000CB040000}"/>
    <hyperlink ref="Q617" r:id="rId1229" xr:uid="{00000000-0004-0000-0100-0000CC040000}"/>
    <hyperlink ref="R617" r:id="rId1230" xr:uid="{00000000-0004-0000-0100-0000CD040000}"/>
    <hyperlink ref="Q618" r:id="rId1231" xr:uid="{00000000-0004-0000-0100-0000CE040000}"/>
    <hyperlink ref="R618" r:id="rId1232" xr:uid="{00000000-0004-0000-0100-0000CF040000}"/>
    <hyperlink ref="Q619" r:id="rId1233" xr:uid="{00000000-0004-0000-0100-0000D0040000}"/>
    <hyperlink ref="R619" r:id="rId1234" xr:uid="{00000000-0004-0000-0100-0000D1040000}"/>
    <hyperlink ref="Q620" r:id="rId1235" xr:uid="{00000000-0004-0000-0100-0000D2040000}"/>
    <hyperlink ref="R620" r:id="rId1236" xr:uid="{00000000-0004-0000-0100-0000D3040000}"/>
    <hyperlink ref="Q621" r:id="rId1237" xr:uid="{00000000-0004-0000-0100-0000D4040000}"/>
    <hyperlink ref="R621" r:id="rId1238" xr:uid="{00000000-0004-0000-0100-0000D5040000}"/>
    <hyperlink ref="Q622" r:id="rId1239" xr:uid="{00000000-0004-0000-0100-0000D6040000}"/>
    <hyperlink ref="R622" r:id="rId1240" xr:uid="{00000000-0004-0000-0100-0000D7040000}"/>
    <hyperlink ref="Q623" r:id="rId1241" xr:uid="{00000000-0004-0000-0100-0000D8040000}"/>
    <hyperlink ref="R623" r:id="rId1242" xr:uid="{00000000-0004-0000-0100-0000D9040000}"/>
    <hyperlink ref="Q624" r:id="rId1243" xr:uid="{00000000-0004-0000-0100-0000DA040000}"/>
    <hyperlink ref="R624" r:id="rId1244" xr:uid="{00000000-0004-0000-0100-0000DB040000}"/>
    <hyperlink ref="Q625" r:id="rId1245" xr:uid="{00000000-0004-0000-0100-0000DC040000}"/>
    <hyperlink ref="R625" r:id="rId1246" xr:uid="{00000000-0004-0000-0100-0000DD040000}"/>
    <hyperlink ref="Q626" r:id="rId1247" xr:uid="{00000000-0004-0000-0100-0000DE040000}"/>
    <hyperlink ref="R626" r:id="rId1248" xr:uid="{00000000-0004-0000-0100-0000DF040000}"/>
    <hyperlink ref="Q627" r:id="rId1249" xr:uid="{00000000-0004-0000-0100-0000E0040000}"/>
    <hyperlink ref="R627" r:id="rId1250" xr:uid="{00000000-0004-0000-0100-0000E1040000}"/>
    <hyperlink ref="Q628" r:id="rId1251" xr:uid="{00000000-0004-0000-0100-0000E2040000}"/>
    <hyperlink ref="R628" r:id="rId1252" xr:uid="{00000000-0004-0000-0100-0000E3040000}"/>
    <hyperlink ref="Q629" r:id="rId1253" xr:uid="{00000000-0004-0000-0100-0000E4040000}"/>
    <hyperlink ref="R629" r:id="rId1254" xr:uid="{00000000-0004-0000-0100-0000E5040000}"/>
    <hyperlink ref="Q630" r:id="rId1255" xr:uid="{00000000-0004-0000-0100-0000E6040000}"/>
    <hyperlink ref="R630" r:id="rId1256" xr:uid="{00000000-0004-0000-0100-0000E7040000}"/>
    <hyperlink ref="Q631" r:id="rId1257" xr:uid="{00000000-0004-0000-0100-0000E8040000}"/>
    <hyperlink ref="R631" r:id="rId1258" xr:uid="{00000000-0004-0000-0100-0000E9040000}"/>
    <hyperlink ref="Q632" r:id="rId1259" xr:uid="{00000000-0004-0000-0100-0000EA040000}"/>
    <hyperlink ref="R632" r:id="rId1260" xr:uid="{00000000-0004-0000-0100-0000EB040000}"/>
    <hyperlink ref="Q633" r:id="rId1261" xr:uid="{00000000-0004-0000-0100-0000EC040000}"/>
    <hyperlink ref="R633" r:id="rId1262" xr:uid="{00000000-0004-0000-0100-0000ED040000}"/>
    <hyperlink ref="Q634" r:id="rId1263" xr:uid="{00000000-0004-0000-0100-0000EE040000}"/>
    <hyperlink ref="R634" r:id="rId1264" xr:uid="{00000000-0004-0000-0100-0000EF040000}"/>
    <hyperlink ref="Q635" r:id="rId1265" xr:uid="{00000000-0004-0000-0100-0000F0040000}"/>
    <hyperlink ref="R635" r:id="rId1266" xr:uid="{00000000-0004-0000-0100-0000F1040000}"/>
    <hyperlink ref="Q636" r:id="rId1267" xr:uid="{00000000-0004-0000-0100-0000F2040000}"/>
    <hyperlink ref="R636" r:id="rId1268" xr:uid="{00000000-0004-0000-0100-0000F3040000}"/>
    <hyperlink ref="Q637" r:id="rId1269" xr:uid="{00000000-0004-0000-0100-0000F4040000}"/>
    <hyperlink ref="R637" r:id="rId1270" xr:uid="{00000000-0004-0000-0100-0000F5040000}"/>
    <hyperlink ref="Q638" r:id="rId1271" xr:uid="{00000000-0004-0000-0100-0000F6040000}"/>
    <hyperlink ref="R638" r:id="rId1272" xr:uid="{00000000-0004-0000-0100-0000F7040000}"/>
    <hyperlink ref="Q639" r:id="rId1273" xr:uid="{00000000-0004-0000-0100-0000F8040000}"/>
    <hyperlink ref="R639" r:id="rId1274" xr:uid="{00000000-0004-0000-0100-0000F9040000}"/>
    <hyperlink ref="Q640" r:id="rId1275" xr:uid="{00000000-0004-0000-0100-0000FA040000}"/>
    <hyperlink ref="R640" r:id="rId1276" xr:uid="{00000000-0004-0000-0100-0000FB040000}"/>
    <hyperlink ref="Q641" r:id="rId1277" xr:uid="{00000000-0004-0000-0100-0000FC040000}"/>
    <hyperlink ref="R641" r:id="rId1278" xr:uid="{00000000-0004-0000-0100-0000FD040000}"/>
    <hyperlink ref="Q642" r:id="rId1279" xr:uid="{00000000-0004-0000-0100-0000FE040000}"/>
    <hyperlink ref="R642" r:id="rId1280" xr:uid="{00000000-0004-0000-0100-0000FF040000}"/>
    <hyperlink ref="Q643" r:id="rId1281" xr:uid="{00000000-0004-0000-0100-000000050000}"/>
    <hyperlink ref="R643" r:id="rId1282" xr:uid="{00000000-0004-0000-0100-000001050000}"/>
    <hyperlink ref="Q644" r:id="rId1283" xr:uid="{00000000-0004-0000-0100-000002050000}"/>
    <hyperlink ref="R644" r:id="rId1284" xr:uid="{00000000-0004-0000-0100-000003050000}"/>
    <hyperlink ref="Q645" r:id="rId1285" xr:uid="{00000000-0004-0000-0100-000004050000}"/>
    <hyperlink ref="R645" r:id="rId1286" xr:uid="{00000000-0004-0000-0100-000005050000}"/>
    <hyperlink ref="Q646" r:id="rId1287" xr:uid="{00000000-0004-0000-0100-000006050000}"/>
    <hyperlink ref="R646" r:id="rId1288" xr:uid="{00000000-0004-0000-0100-000007050000}"/>
    <hyperlink ref="Q647" r:id="rId1289" xr:uid="{00000000-0004-0000-0100-000008050000}"/>
    <hyperlink ref="R647" r:id="rId1290" xr:uid="{00000000-0004-0000-0100-000009050000}"/>
    <hyperlink ref="Q648" r:id="rId1291" xr:uid="{00000000-0004-0000-0100-00000A050000}"/>
    <hyperlink ref="R648" r:id="rId1292" xr:uid="{00000000-0004-0000-0100-00000B050000}"/>
    <hyperlink ref="Q649" r:id="rId1293" xr:uid="{00000000-0004-0000-0100-00000C050000}"/>
    <hyperlink ref="R649" r:id="rId1294" xr:uid="{00000000-0004-0000-0100-00000D050000}"/>
    <hyperlink ref="Q650" r:id="rId1295" xr:uid="{00000000-0004-0000-0100-00000E050000}"/>
    <hyperlink ref="R650" r:id="rId1296" xr:uid="{00000000-0004-0000-0100-00000F050000}"/>
    <hyperlink ref="Q651" r:id="rId1297" xr:uid="{00000000-0004-0000-0100-000010050000}"/>
    <hyperlink ref="R651" r:id="rId1298" xr:uid="{00000000-0004-0000-0100-000011050000}"/>
    <hyperlink ref="Q652" r:id="rId1299" xr:uid="{00000000-0004-0000-0100-000012050000}"/>
    <hyperlink ref="R652" r:id="rId1300" xr:uid="{00000000-0004-0000-0100-000013050000}"/>
    <hyperlink ref="Q653" r:id="rId1301" xr:uid="{00000000-0004-0000-0100-000014050000}"/>
    <hyperlink ref="R653" r:id="rId1302" xr:uid="{00000000-0004-0000-0100-000015050000}"/>
    <hyperlink ref="Q654" r:id="rId1303" xr:uid="{00000000-0004-0000-0100-000016050000}"/>
    <hyperlink ref="R654" r:id="rId1304" xr:uid="{00000000-0004-0000-0100-000017050000}"/>
    <hyperlink ref="Q655" r:id="rId1305" xr:uid="{00000000-0004-0000-0100-000018050000}"/>
    <hyperlink ref="R655" r:id="rId1306" xr:uid="{00000000-0004-0000-0100-000019050000}"/>
    <hyperlink ref="Q656" r:id="rId1307" xr:uid="{00000000-0004-0000-0100-00001A050000}"/>
    <hyperlink ref="R656" r:id="rId1308" xr:uid="{00000000-0004-0000-0100-00001B050000}"/>
    <hyperlink ref="Q657" r:id="rId1309" xr:uid="{00000000-0004-0000-0100-00001C050000}"/>
    <hyperlink ref="R657" r:id="rId1310" xr:uid="{00000000-0004-0000-0100-00001D050000}"/>
    <hyperlink ref="Q658" r:id="rId1311" xr:uid="{00000000-0004-0000-0100-00001E050000}"/>
    <hyperlink ref="R658" r:id="rId1312" xr:uid="{00000000-0004-0000-0100-00001F050000}"/>
    <hyperlink ref="Q659" r:id="rId1313" xr:uid="{00000000-0004-0000-0100-000020050000}"/>
    <hyperlink ref="R659" r:id="rId1314" xr:uid="{00000000-0004-0000-0100-000021050000}"/>
    <hyperlink ref="Q660" r:id="rId1315" xr:uid="{00000000-0004-0000-0100-000022050000}"/>
    <hyperlink ref="R660" r:id="rId1316" xr:uid="{00000000-0004-0000-0100-000023050000}"/>
    <hyperlink ref="Q661" r:id="rId1317" xr:uid="{00000000-0004-0000-0100-000024050000}"/>
    <hyperlink ref="R661" r:id="rId1318" xr:uid="{00000000-0004-0000-0100-000025050000}"/>
    <hyperlink ref="Q662" r:id="rId1319" xr:uid="{00000000-0004-0000-0100-000026050000}"/>
    <hyperlink ref="R662" r:id="rId1320" xr:uid="{00000000-0004-0000-0100-000027050000}"/>
    <hyperlink ref="Q663" r:id="rId1321" xr:uid="{00000000-0004-0000-0100-000028050000}"/>
    <hyperlink ref="R663" r:id="rId1322" xr:uid="{00000000-0004-0000-0100-000029050000}"/>
    <hyperlink ref="Q664" r:id="rId1323" xr:uid="{00000000-0004-0000-0100-00002A050000}"/>
    <hyperlink ref="R664" r:id="rId1324" xr:uid="{00000000-0004-0000-0100-00002B050000}"/>
    <hyperlink ref="Q665" r:id="rId1325" xr:uid="{00000000-0004-0000-0100-00002C050000}"/>
    <hyperlink ref="R665" r:id="rId1326" xr:uid="{00000000-0004-0000-0100-00002D050000}"/>
    <hyperlink ref="Q666" r:id="rId1327" xr:uid="{00000000-0004-0000-0100-00002E050000}"/>
    <hyperlink ref="R666" r:id="rId1328" xr:uid="{00000000-0004-0000-0100-00002F050000}"/>
    <hyperlink ref="Q667" r:id="rId1329" xr:uid="{00000000-0004-0000-0100-000030050000}"/>
    <hyperlink ref="R667" r:id="rId1330" xr:uid="{00000000-0004-0000-0100-000031050000}"/>
    <hyperlink ref="Q668" r:id="rId1331" xr:uid="{00000000-0004-0000-0100-000032050000}"/>
    <hyperlink ref="R668" r:id="rId1332" xr:uid="{00000000-0004-0000-0100-000033050000}"/>
    <hyperlink ref="Q669" r:id="rId1333" xr:uid="{00000000-0004-0000-0100-000034050000}"/>
    <hyperlink ref="R669" r:id="rId1334" xr:uid="{00000000-0004-0000-0100-000035050000}"/>
    <hyperlink ref="Q670" r:id="rId1335" xr:uid="{00000000-0004-0000-0100-000036050000}"/>
    <hyperlink ref="R670" r:id="rId1336" xr:uid="{00000000-0004-0000-0100-000037050000}"/>
    <hyperlink ref="Q671" r:id="rId1337" xr:uid="{00000000-0004-0000-0100-000038050000}"/>
    <hyperlink ref="R671" r:id="rId1338" xr:uid="{00000000-0004-0000-0100-000039050000}"/>
    <hyperlink ref="Q672" r:id="rId1339" xr:uid="{00000000-0004-0000-0100-00003A050000}"/>
    <hyperlink ref="R672" r:id="rId1340" xr:uid="{00000000-0004-0000-0100-00003B050000}"/>
    <hyperlink ref="Q673" r:id="rId1341" xr:uid="{00000000-0004-0000-0100-00003C050000}"/>
    <hyperlink ref="R673" r:id="rId1342" xr:uid="{00000000-0004-0000-0100-00003D050000}"/>
    <hyperlink ref="Q674" r:id="rId1343" xr:uid="{00000000-0004-0000-0100-00003E050000}"/>
    <hyperlink ref="R674" r:id="rId1344" xr:uid="{00000000-0004-0000-0100-00003F050000}"/>
    <hyperlink ref="Q675" r:id="rId1345" xr:uid="{00000000-0004-0000-0100-000040050000}"/>
    <hyperlink ref="R675" r:id="rId1346" xr:uid="{00000000-0004-0000-0100-000041050000}"/>
    <hyperlink ref="Q676" r:id="rId1347" xr:uid="{00000000-0004-0000-0100-000042050000}"/>
    <hyperlink ref="R676" r:id="rId1348" xr:uid="{00000000-0004-0000-0100-000043050000}"/>
    <hyperlink ref="Q677" r:id="rId1349" xr:uid="{00000000-0004-0000-0100-000044050000}"/>
    <hyperlink ref="R677" r:id="rId1350" xr:uid="{00000000-0004-0000-0100-000045050000}"/>
    <hyperlink ref="Q678" r:id="rId1351" xr:uid="{00000000-0004-0000-0100-000046050000}"/>
    <hyperlink ref="R678" r:id="rId1352" xr:uid="{00000000-0004-0000-0100-000047050000}"/>
    <hyperlink ref="Q679" r:id="rId1353" xr:uid="{00000000-0004-0000-0100-000048050000}"/>
    <hyperlink ref="R679" r:id="rId1354" xr:uid="{00000000-0004-0000-0100-000049050000}"/>
    <hyperlink ref="Q680" r:id="rId1355" xr:uid="{00000000-0004-0000-0100-00004A050000}"/>
    <hyperlink ref="R680" r:id="rId1356" xr:uid="{00000000-0004-0000-0100-00004B050000}"/>
    <hyperlink ref="Q681" r:id="rId1357" xr:uid="{00000000-0004-0000-0100-00004C050000}"/>
    <hyperlink ref="R681" r:id="rId1358" xr:uid="{00000000-0004-0000-0100-00004D050000}"/>
    <hyperlink ref="Q682" r:id="rId1359" xr:uid="{00000000-0004-0000-0100-00004E050000}"/>
    <hyperlink ref="R682" r:id="rId1360" xr:uid="{00000000-0004-0000-0100-00004F050000}"/>
    <hyperlink ref="Q683" r:id="rId1361" xr:uid="{00000000-0004-0000-0100-000050050000}"/>
    <hyperlink ref="R683" r:id="rId1362" xr:uid="{00000000-0004-0000-0100-000051050000}"/>
    <hyperlink ref="Q684" r:id="rId1363" xr:uid="{00000000-0004-0000-0100-000052050000}"/>
    <hyperlink ref="R684" r:id="rId1364" xr:uid="{00000000-0004-0000-0100-000053050000}"/>
    <hyperlink ref="Q685" r:id="rId1365" xr:uid="{00000000-0004-0000-0100-000054050000}"/>
    <hyperlink ref="R685" r:id="rId1366" xr:uid="{00000000-0004-0000-0100-000055050000}"/>
    <hyperlink ref="Q686" r:id="rId1367" xr:uid="{00000000-0004-0000-0100-000056050000}"/>
    <hyperlink ref="R686" r:id="rId1368" xr:uid="{00000000-0004-0000-0100-000057050000}"/>
    <hyperlink ref="Q687" r:id="rId1369" xr:uid="{00000000-0004-0000-0100-000058050000}"/>
    <hyperlink ref="R687" r:id="rId1370" xr:uid="{00000000-0004-0000-0100-000059050000}"/>
    <hyperlink ref="Q688" r:id="rId1371" xr:uid="{00000000-0004-0000-0100-00005A050000}"/>
    <hyperlink ref="R688" r:id="rId1372" xr:uid="{00000000-0004-0000-0100-00005B050000}"/>
    <hyperlink ref="Q689" r:id="rId1373" xr:uid="{00000000-0004-0000-0100-00005C050000}"/>
    <hyperlink ref="R689" r:id="rId1374" xr:uid="{00000000-0004-0000-0100-00005D050000}"/>
    <hyperlink ref="Q690" r:id="rId1375" xr:uid="{00000000-0004-0000-0100-00005E050000}"/>
    <hyperlink ref="R690" r:id="rId1376" xr:uid="{00000000-0004-0000-0100-00005F050000}"/>
    <hyperlink ref="Q691" r:id="rId1377" xr:uid="{00000000-0004-0000-0100-000060050000}"/>
    <hyperlink ref="R691" r:id="rId1378" xr:uid="{00000000-0004-0000-0100-000061050000}"/>
    <hyperlink ref="Q692" r:id="rId1379" xr:uid="{00000000-0004-0000-0100-000062050000}"/>
    <hyperlink ref="R692" r:id="rId1380" xr:uid="{00000000-0004-0000-0100-000063050000}"/>
    <hyperlink ref="Q693" r:id="rId1381" xr:uid="{00000000-0004-0000-0100-000064050000}"/>
    <hyperlink ref="R693" r:id="rId1382" xr:uid="{00000000-0004-0000-0100-000065050000}"/>
    <hyperlink ref="Q694" r:id="rId1383" xr:uid="{00000000-0004-0000-0100-000066050000}"/>
    <hyperlink ref="R694" r:id="rId1384" xr:uid="{00000000-0004-0000-0100-000067050000}"/>
    <hyperlink ref="Q695" r:id="rId1385" xr:uid="{00000000-0004-0000-0100-000068050000}"/>
    <hyperlink ref="R695" r:id="rId1386" xr:uid="{00000000-0004-0000-0100-000069050000}"/>
    <hyperlink ref="Q696" r:id="rId1387" xr:uid="{00000000-0004-0000-0100-00006A050000}"/>
    <hyperlink ref="R696" r:id="rId1388" xr:uid="{00000000-0004-0000-0100-00006B050000}"/>
    <hyperlink ref="Q697" r:id="rId1389" xr:uid="{00000000-0004-0000-0100-00006C050000}"/>
    <hyperlink ref="R697" r:id="rId1390" xr:uid="{00000000-0004-0000-0100-00006D050000}"/>
    <hyperlink ref="Q698" r:id="rId1391" xr:uid="{00000000-0004-0000-0100-00006E050000}"/>
    <hyperlink ref="R698" r:id="rId1392" xr:uid="{00000000-0004-0000-0100-00006F050000}"/>
    <hyperlink ref="Q699" r:id="rId1393" xr:uid="{00000000-0004-0000-0100-000070050000}"/>
    <hyperlink ref="R699" r:id="rId1394" xr:uid="{00000000-0004-0000-0100-000071050000}"/>
    <hyperlink ref="Q700" r:id="rId1395" xr:uid="{00000000-0004-0000-0100-000072050000}"/>
    <hyperlink ref="R700" r:id="rId1396" xr:uid="{00000000-0004-0000-0100-000073050000}"/>
    <hyperlink ref="Q701" r:id="rId1397" xr:uid="{00000000-0004-0000-0100-000074050000}"/>
    <hyperlink ref="R701" r:id="rId1398" xr:uid="{00000000-0004-0000-0100-000075050000}"/>
    <hyperlink ref="Q702" r:id="rId1399" xr:uid="{00000000-0004-0000-0100-000076050000}"/>
    <hyperlink ref="R702" r:id="rId1400" xr:uid="{00000000-0004-0000-0100-000077050000}"/>
    <hyperlink ref="Q703" r:id="rId1401" xr:uid="{00000000-0004-0000-0100-000078050000}"/>
    <hyperlink ref="R703" r:id="rId1402" xr:uid="{00000000-0004-0000-0100-000079050000}"/>
    <hyperlink ref="Q704" r:id="rId1403" xr:uid="{00000000-0004-0000-0100-00007A050000}"/>
    <hyperlink ref="R704" r:id="rId1404" xr:uid="{00000000-0004-0000-0100-00007B050000}"/>
    <hyperlink ref="Q705" r:id="rId1405" xr:uid="{00000000-0004-0000-0100-00007C050000}"/>
    <hyperlink ref="R705" r:id="rId1406" xr:uid="{00000000-0004-0000-0100-00007D050000}"/>
    <hyperlink ref="Q706" r:id="rId1407" xr:uid="{00000000-0004-0000-0100-00007E050000}"/>
    <hyperlink ref="R706" r:id="rId1408" xr:uid="{00000000-0004-0000-0100-00007F050000}"/>
    <hyperlink ref="Q707" r:id="rId1409" xr:uid="{00000000-0004-0000-0100-000080050000}"/>
    <hyperlink ref="R707" r:id="rId1410" xr:uid="{00000000-0004-0000-0100-000081050000}"/>
    <hyperlink ref="Q708" r:id="rId1411" xr:uid="{00000000-0004-0000-0100-000082050000}"/>
    <hyperlink ref="R708" r:id="rId1412" xr:uid="{00000000-0004-0000-0100-000083050000}"/>
    <hyperlink ref="Q709" r:id="rId1413" xr:uid="{00000000-0004-0000-0100-000084050000}"/>
    <hyperlink ref="R709" r:id="rId1414" xr:uid="{00000000-0004-0000-0100-000085050000}"/>
    <hyperlink ref="Q710" r:id="rId1415" xr:uid="{00000000-0004-0000-0100-000086050000}"/>
    <hyperlink ref="R710" r:id="rId1416" xr:uid="{00000000-0004-0000-0100-000087050000}"/>
    <hyperlink ref="Q711" r:id="rId1417" xr:uid="{00000000-0004-0000-0100-000088050000}"/>
    <hyperlink ref="R711" r:id="rId1418" xr:uid="{00000000-0004-0000-0100-000089050000}"/>
    <hyperlink ref="Q712" r:id="rId1419" xr:uid="{00000000-0004-0000-0100-00008A050000}"/>
    <hyperlink ref="R712" r:id="rId1420" xr:uid="{00000000-0004-0000-0100-00008B050000}"/>
    <hyperlink ref="Q713" r:id="rId1421" xr:uid="{00000000-0004-0000-0100-00008C050000}"/>
    <hyperlink ref="R713" r:id="rId1422" xr:uid="{00000000-0004-0000-0100-00008D050000}"/>
    <hyperlink ref="Q714" r:id="rId1423" xr:uid="{00000000-0004-0000-0100-00008E050000}"/>
    <hyperlink ref="R714" r:id="rId1424" xr:uid="{00000000-0004-0000-0100-00008F050000}"/>
    <hyperlink ref="Q715" r:id="rId1425" xr:uid="{00000000-0004-0000-0100-000090050000}"/>
    <hyperlink ref="R715" r:id="rId1426" xr:uid="{00000000-0004-0000-0100-000091050000}"/>
    <hyperlink ref="Q716" r:id="rId1427" xr:uid="{00000000-0004-0000-0100-000092050000}"/>
    <hyperlink ref="R716" r:id="rId1428" xr:uid="{00000000-0004-0000-0100-000093050000}"/>
    <hyperlink ref="Q717" r:id="rId1429" xr:uid="{00000000-0004-0000-0100-000094050000}"/>
    <hyperlink ref="R717" r:id="rId1430" xr:uid="{00000000-0004-0000-0100-000095050000}"/>
    <hyperlink ref="Q718" r:id="rId1431" xr:uid="{00000000-0004-0000-0100-000096050000}"/>
    <hyperlink ref="R718" r:id="rId1432" xr:uid="{00000000-0004-0000-0100-000097050000}"/>
    <hyperlink ref="Q719" r:id="rId1433" xr:uid="{00000000-0004-0000-0100-000098050000}"/>
    <hyperlink ref="R719" r:id="rId1434" xr:uid="{00000000-0004-0000-0100-000099050000}"/>
    <hyperlink ref="Q720" r:id="rId1435" xr:uid="{00000000-0004-0000-0100-00009A050000}"/>
    <hyperlink ref="R720" r:id="rId1436" xr:uid="{00000000-0004-0000-0100-00009B050000}"/>
    <hyperlink ref="Q721" r:id="rId1437" xr:uid="{00000000-0004-0000-0100-00009C050000}"/>
    <hyperlink ref="R721" r:id="rId1438" xr:uid="{00000000-0004-0000-0100-00009D050000}"/>
    <hyperlink ref="Q722" r:id="rId1439" xr:uid="{00000000-0004-0000-0100-00009E050000}"/>
    <hyperlink ref="R722" r:id="rId1440" xr:uid="{00000000-0004-0000-0100-00009F050000}"/>
    <hyperlink ref="Q723" r:id="rId1441" xr:uid="{00000000-0004-0000-0100-0000A0050000}"/>
    <hyperlink ref="R723" r:id="rId1442" xr:uid="{00000000-0004-0000-0100-0000A1050000}"/>
    <hyperlink ref="Q724" r:id="rId1443" xr:uid="{00000000-0004-0000-0100-0000A2050000}"/>
    <hyperlink ref="R724" r:id="rId1444" xr:uid="{00000000-0004-0000-0100-0000A3050000}"/>
    <hyperlink ref="Q725" r:id="rId1445" xr:uid="{00000000-0004-0000-0100-0000A4050000}"/>
    <hyperlink ref="R725" r:id="rId1446" xr:uid="{00000000-0004-0000-0100-0000A5050000}"/>
    <hyperlink ref="Q726" r:id="rId1447" xr:uid="{00000000-0004-0000-0100-0000A6050000}"/>
    <hyperlink ref="R726" r:id="rId1448" xr:uid="{00000000-0004-0000-0100-0000A7050000}"/>
    <hyperlink ref="Q727" r:id="rId1449" xr:uid="{00000000-0004-0000-0100-0000A8050000}"/>
    <hyperlink ref="R727" r:id="rId1450" xr:uid="{00000000-0004-0000-0100-0000A9050000}"/>
    <hyperlink ref="Q728" r:id="rId1451" xr:uid="{00000000-0004-0000-0100-0000AA050000}"/>
    <hyperlink ref="R728" r:id="rId1452" xr:uid="{00000000-0004-0000-0100-0000AB050000}"/>
    <hyperlink ref="Q729" r:id="rId1453" xr:uid="{00000000-0004-0000-0100-0000AC050000}"/>
    <hyperlink ref="R729" r:id="rId1454" xr:uid="{00000000-0004-0000-0100-0000AD050000}"/>
    <hyperlink ref="Q730" r:id="rId1455" xr:uid="{00000000-0004-0000-0100-0000AE050000}"/>
    <hyperlink ref="R730" r:id="rId1456" xr:uid="{00000000-0004-0000-0100-0000AF050000}"/>
    <hyperlink ref="Q731" r:id="rId1457" xr:uid="{00000000-0004-0000-0100-0000B0050000}"/>
    <hyperlink ref="R731" r:id="rId1458" xr:uid="{00000000-0004-0000-0100-0000B1050000}"/>
    <hyperlink ref="Q732" r:id="rId1459" xr:uid="{00000000-0004-0000-0100-0000B2050000}"/>
    <hyperlink ref="R732" r:id="rId1460" xr:uid="{00000000-0004-0000-0100-0000B3050000}"/>
    <hyperlink ref="Q733" r:id="rId1461" xr:uid="{00000000-0004-0000-0100-0000B4050000}"/>
    <hyperlink ref="R733" r:id="rId1462" xr:uid="{00000000-0004-0000-0100-0000B5050000}"/>
    <hyperlink ref="Q734" r:id="rId1463" xr:uid="{00000000-0004-0000-0100-0000B6050000}"/>
    <hyperlink ref="R734" r:id="rId1464" xr:uid="{00000000-0004-0000-0100-0000B7050000}"/>
    <hyperlink ref="Q735" r:id="rId1465" xr:uid="{00000000-0004-0000-0100-0000B8050000}"/>
    <hyperlink ref="R735" r:id="rId1466" xr:uid="{00000000-0004-0000-0100-0000B9050000}"/>
    <hyperlink ref="Q736" r:id="rId1467" xr:uid="{00000000-0004-0000-0100-0000BA050000}"/>
    <hyperlink ref="R736" r:id="rId1468" xr:uid="{00000000-0004-0000-0100-0000BB050000}"/>
    <hyperlink ref="Q737" r:id="rId1469" xr:uid="{00000000-0004-0000-0100-0000BC050000}"/>
    <hyperlink ref="R737" r:id="rId1470" xr:uid="{00000000-0004-0000-0100-0000BD050000}"/>
    <hyperlink ref="Q738" r:id="rId1471" xr:uid="{00000000-0004-0000-0100-0000BE050000}"/>
    <hyperlink ref="R738" r:id="rId1472" xr:uid="{00000000-0004-0000-0100-0000BF050000}"/>
    <hyperlink ref="Q739" r:id="rId1473" xr:uid="{00000000-0004-0000-0100-0000C0050000}"/>
    <hyperlink ref="R739" r:id="rId1474" xr:uid="{00000000-0004-0000-0100-0000C1050000}"/>
    <hyperlink ref="Q740" r:id="rId1475" xr:uid="{00000000-0004-0000-0100-0000C2050000}"/>
    <hyperlink ref="R740" r:id="rId1476" xr:uid="{00000000-0004-0000-0100-0000C3050000}"/>
    <hyperlink ref="Q741" r:id="rId1477" xr:uid="{00000000-0004-0000-0100-0000C4050000}"/>
    <hyperlink ref="R741" r:id="rId1478" xr:uid="{00000000-0004-0000-0100-0000C5050000}"/>
    <hyperlink ref="Q742" r:id="rId1479" xr:uid="{00000000-0004-0000-0100-0000C6050000}"/>
    <hyperlink ref="R742" r:id="rId1480" xr:uid="{00000000-0004-0000-0100-0000C7050000}"/>
    <hyperlink ref="Q743" r:id="rId1481" xr:uid="{00000000-0004-0000-0100-0000C8050000}"/>
    <hyperlink ref="R743" r:id="rId1482" xr:uid="{00000000-0004-0000-0100-0000C9050000}"/>
    <hyperlink ref="Q744" r:id="rId1483" xr:uid="{00000000-0004-0000-0100-0000CA050000}"/>
    <hyperlink ref="R744" r:id="rId1484" xr:uid="{00000000-0004-0000-0100-0000CB050000}"/>
    <hyperlink ref="Q745" r:id="rId1485" xr:uid="{00000000-0004-0000-0100-0000CC050000}"/>
    <hyperlink ref="R745" r:id="rId1486" xr:uid="{00000000-0004-0000-0100-0000CD050000}"/>
    <hyperlink ref="Q746" r:id="rId1487" xr:uid="{00000000-0004-0000-0100-0000CE050000}"/>
    <hyperlink ref="R746" r:id="rId1488" xr:uid="{00000000-0004-0000-0100-0000CF050000}"/>
    <hyperlink ref="Q747" r:id="rId1489" xr:uid="{00000000-0004-0000-0100-0000D0050000}"/>
    <hyperlink ref="R747" r:id="rId1490" xr:uid="{00000000-0004-0000-0100-0000D1050000}"/>
    <hyperlink ref="Q748" r:id="rId1491" xr:uid="{00000000-0004-0000-0100-0000D2050000}"/>
    <hyperlink ref="R748" r:id="rId1492" xr:uid="{00000000-0004-0000-0100-0000D3050000}"/>
    <hyperlink ref="Q749" r:id="rId1493" xr:uid="{00000000-0004-0000-0100-0000D4050000}"/>
    <hyperlink ref="R749" r:id="rId1494" xr:uid="{00000000-0004-0000-0100-0000D5050000}"/>
    <hyperlink ref="Q750" r:id="rId1495" xr:uid="{00000000-0004-0000-0100-0000D6050000}"/>
    <hyperlink ref="R750" r:id="rId1496" xr:uid="{00000000-0004-0000-0100-0000D7050000}"/>
    <hyperlink ref="Q751" r:id="rId1497" xr:uid="{00000000-0004-0000-0100-0000D8050000}"/>
    <hyperlink ref="R751" r:id="rId1498" xr:uid="{00000000-0004-0000-0100-0000D9050000}"/>
    <hyperlink ref="Q752" r:id="rId1499" xr:uid="{00000000-0004-0000-0100-0000DA050000}"/>
    <hyperlink ref="R752" r:id="rId1500" xr:uid="{00000000-0004-0000-0100-0000DB050000}"/>
    <hyperlink ref="Q753" r:id="rId1501" xr:uid="{00000000-0004-0000-0100-0000DC050000}"/>
    <hyperlink ref="R753" r:id="rId1502" xr:uid="{00000000-0004-0000-0100-0000DD050000}"/>
    <hyperlink ref="Q754" r:id="rId1503" xr:uid="{00000000-0004-0000-0100-0000DE050000}"/>
    <hyperlink ref="R754" r:id="rId1504" xr:uid="{00000000-0004-0000-0100-0000DF050000}"/>
    <hyperlink ref="Q755" r:id="rId1505" xr:uid="{00000000-0004-0000-0100-0000E0050000}"/>
    <hyperlink ref="R755" r:id="rId1506" xr:uid="{00000000-0004-0000-0100-0000E1050000}"/>
    <hyperlink ref="Q756" r:id="rId1507" xr:uid="{00000000-0004-0000-0100-0000E2050000}"/>
    <hyperlink ref="R756" r:id="rId1508" xr:uid="{00000000-0004-0000-0100-0000E3050000}"/>
    <hyperlink ref="Q757" r:id="rId1509" xr:uid="{00000000-0004-0000-0100-0000E4050000}"/>
    <hyperlink ref="R757" r:id="rId1510" xr:uid="{00000000-0004-0000-0100-0000E5050000}"/>
    <hyperlink ref="Q758" r:id="rId1511" xr:uid="{00000000-0004-0000-0100-0000E6050000}"/>
    <hyperlink ref="R758" r:id="rId1512" xr:uid="{00000000-0004-0000-0100-0000E7050000}"/>
    <hyperlink ref="Q759" r:id="rId1513" xr:uid="{00000000-0004-0000-0100-0000E8050000}"/>
    <hyperlink ref="R759" r:id="rId1514" xr:uid="{00000000-0004-0000-0100-0000E9050000}"/>
    <hyperlink ref="Q760" r:id="rId1515" xr:uid="{00000000-0004-0000-0100-0000EA050000}"/>
    <hyperlink ref="R760" r:id="rId1516" xr:uid="{00000000-0004-0000-0100-0000EB050000}"/>
    <hyperlink ref="Q761" r:id="rId1517" xr:uid="{00000000-0004-0000-0100-0000EC050000}"/>
    <hyperlink ref="R761" r:id="rId1518" xr:uid="{00000000-0004-0000-0100-0000ED050000}"/>
    <hyperlink ref="Q762" r:id="rId1519" xr:uid="{00000000-0004-0000-0100-0000EE050000}"/>
    <hyperlink ref="R762" r:id="rId1520" xr:uid="{00000000-0004-0000-0100-0000EF050000}"/>
    <hyperlink ref="Q763" r:id="rId1521" xr:uid="{00000000-0004-0000-0100-0000F0050000}"/>
    <hyperlink ref="R763" r:id="rId1522" xr:uid="{00000000-0004-0000-0100-0000F1050000}"/>
    <hyperlink ref="Q764" r:id="rId1523" xr:uid="{00000000-0004-0000-0100-0000F2050000}"/>
    <hyperlink ref="R764" r:id="rId1524" xr:uid="{00000000-0004-0000-0100-0000F3050000}"/>
    <hyperlink ref="Q765" r:id="rId1525" xr:uid="{00000000-0004-0000-0100-0000F4050000}"/>
    <hyperlink ref="R765" r:id="rId1526" xr:uid="{00000000-0004-0000-0100-0000F5050000}"/>
    <hyperlink ref="Q766" r:id="rId1527" xr:uid="{00000000-0004-0000-0100-0000F6050000}"/>
    <hyperlink ref="R766" r:id="rId1528" xr:uid="{00000000-0004-0000-0100-0000F7050000}"/>
    <hyperlink ref="Q767" r:id="rId1529" xr:uid="{00000000-0004-0000-0100-0000F8050000}"/>
    <hyperlink ref="R767" r:id="rId1530" xr:uid="{00000000-0004-0000-0100-0000F9050000}"/>
    <hyperlink ref="Q768" r:id="rId1531" xr:uid="{00000000-0004-0000-0100-0000FA050000}"/>
    <hyperlink ref="R768" r:id="rId1532" xr:uid="{00000000-0004-0000-0100-0000FB050000}"/>
    <hyperlink ref="Q769" r:id="rId1533" xr:uid="{00000000-0004-0000-0100-0000FC050000}"/>
    <hyperlink ref="R769" r:id="rId1534" xr:uid="{00000000-0004-0000-0100-0000FD050000}"/>
    <hyperlink ref="Q770" r:id="rId1535" xr:uid="{00000000-0004-0000-0100-0000FE050000}"/>
    <hyperlink ref="R770" r:id="rId1536" xr:uid="{00000000-0004-0000-0100-0000FF050000}"/>
    <hyperlink ref="Q771" r:id="rId1537" xr:uid="{00000000-0004-0000-0100-000000060000}"/>
    <hyperlink ref="R771" r:id="rId1538" xr:uid="{00000000-0004-0000-0100-000001060000}"/>
    <hyperlink ref="Q772" r:id="rId1539" xr:uid="{00000000-0004-0000-0100-000002060000}"/>
    <hyperlink ref="R772" r:id="rId1540" xr:uid="{00000000-0004-0000-0100-000003060000}"/>
    <hyperlink ref="Q773" r:id="rId1541" xr:uid="{00000000-0004-0000-0100-000004060000}"/>
    <hyperlink ref="R773" r:id="rId1542" xr:uid="{00000000-0004-0000-0100-000005060000}"/>
    <hyperlink ref="Q774" r:id="rId1543" xr:uid="{00000000-0004-0000-0100-000006060000}"/>
    <hyperlink ref="R774" r:id="rId1544" xr:uid="{00000000-0004-0000-0100-000007060000}"/>
    <hyperlink ref="Q775" r:id="rId1545" xr:uid="{00000000-0004-0000-0100-000008060000}"/>
    <hyperlink ref="R775" r:id="rId1546" xr:uid="{00000000-0004-0000-0100-000009060000}"/>
    <hyperlink ref="Q776" r:id="rId1547" xr:uid="{00000000-0004-0000-0100-00000A060000}"/>
    <hyperlink ref="R776" r:id="rId1548" xr:uid="{00000000-0004-0000-0100-00000B060000}"/>
    <hyperlink ref="Q777" r:id="rId1549" xr:uid="{00000000-0004-0000-0100-00000C060000}"/>
    <hyperlink ref="R777" r:id="rId1550" xr:uid="{00000000-0004-0000-0100-00000D060000}"/>
    <hyperlink ref="Q778" r:id="rId1551" xr:uid="{00000000-0004-0000-0100-00000E060000}"/>
    <hyperlink ref="R778" r:id="rId1552" xr:uid="{00000000-0004-0000-0100-00000F060000}"/>
    <hyperlink ref="Q779" r:id="rId1553" xr:uid="{00000000-0004-0000-0100-000010060000}"/>
    <hyperlink ref="R779" r:id="rId1554" xr:uid="{00000000-0004-0000-0100-000011060000}"/>
    <hyperlink ref="Q780" r:id="rId1555" xr:uid="{00000000-0004-0000-0100-000012060000}"/>
    <hyperlink ref="R780" r:id="rId1556" xr:uid="{00000000-0004-0000-0100-000013060000}"/>
    <hyperlink ref="Q781" r:id="rId1557" xr:uid="{00000000-0004-0000-0100-000014060000}"/>
    <hyperlink ref="R781" r:id="rId1558" xr:uid="{00000000-0004-0000-0100-000015060000}"/>
    <hyperlink ref="Q782" r:id="rId1559" xr:uid="{00000000-0004-0000-0100-000016060000}"/>
    <hyperlink ref="R782" r:id="rId1560" xr:uid="{00000000-0004-0000-0100-000017060000}"/>
    <hyperlink ref="Q783" r:id="rId1561" xr:uid="{00000000-0004-0000-0100-000018060000}"/>
    <hyperlink ref="R783" r:id="rId1562" xr:uid="{00000000-0004-0000-0100-000019060000}"/>
    <hyperlink ref="Q784" r:id="rId1563" xr:uid="{00000000-0004-0000-0100-00001A060000}"/>
    <hyperlink ref="R784" r:id="rId1564" xr:uid="{00000000-0004-0000-0100-00001B060000}"/>
    <hyperlink ref="Q785" r:id="rId1565" xr:uid="{00000000-0004-0000-0100-00001C060000}"/>
    <hyperlink ref="R785" r:id="rId1566" xr:uid="{00000000-0004-0000-0100-00001D060000}"/>
    <hyperlink ref="Q786" r:id="rId1567" xr:uid="{00000000-0004-0000-0100-00001E060000}"/>
    <hyperlink ref="R786" r:id="rId1568" xr:uid="{00000000-0004-0000-0100-00001F060000}"/>
    <hyperlink ref="Q787" r:id="rId1569" xr:uid="{00000000-0004-0000-0100-000020060000}"/>
    <hyperlink ref="R787" r:id="rId1570" xr:uid="{00000000-0004-0000-0100-000021060000}"/>
    <hyperlink ref="Q788" r:id="rId1571" xr:uid="{00000000-0004-0000-0100-000022060000}"/>
    <hyperlink ref="R788" r:id="rId1572" xr:uid="{00000000-0004-0000-0100-000023060000}"/>
    <hyperlink ref="Q789" r:id="rId1573" xr:uid="{00000000-0004-0000-0100-000024060000}"/>
    <hyperlink ref="R789" r:id="rId1574" xr:uid="{00000000-0004-0000-0100-000025060000}"/>
    <hyperlink ref="Q790" r:id="rId1575" xr:uid="{00000000-0004-0000-0100-000026060000}"/>
    <hyperlink ref="R790" r:id="rId1576" xr:uid="{00000000-0004-0000-0100-000027060000}"/>
    <hyperlink ref="Q791" r:id="rId1577" xr:uid="{00000000-0004-0000-0100-000028060000}"/>
    <hyperlink ref="R791" r:id="rId1578" xr:uid="{00000000-0004-0000-0100-000029060000}"/>
    <hyperlink ref="Q792" r:id="rId1579" xr:uid="{00000000-0004-0000-0100-00002A060000}"/>
    <hyperlink ref="R792" r:id="rId1580" xr:uid="{00000000-0004-0000-0100-00002B060000}"/>
    <hyperlink ref="Q793" r:id="rId1581" xr:uid="{00000000-0004-0000-0100-00002C060000}"/>
    <hyperlink ref="R793" r:id="rId1582" xr:uid="{00000000-0004-0000-0100-00002D060000}"/>
    <hyperlink ref="Q794" r:id="rId1583" xr:uid="{00000000-0004-0000-0100-00002E060000}"/>
    <hyperlink ref="R794" r:id="rId1584" xr:uid="{00000000-0004-0000-0100-00002F060000}"/>
    <hyperlink ref="Q795" r:id="rId1585" xr:uid="{00000000-0004-0000-0100-000030060000}"/>
    <hyperlink ref="R795" r:id="rId1586" xr:uid="{00000000-0004-0000-0100-000031060000}"/>
    <hyperlink ref="Q796" r:id="rId1587" xr:uid="{00000000-0004-0000-0100-000032060000}"/>
    <hyperlink ref="R796" r:id="rId1588" xr:uid="{00000000-0004-0000-0100-000033060000}"/>
    <hyperlink ref="Q797" r:id="rId1589" xr:uid="{00000000-0004-0000-0100-000034060000}"/>
    <hyperlink ref="R797" r:id="rId1590" xr:uid="{00000000-0004-0000-0100-000035060000}"/>
    <hyperlink ref="Q798" r:id="rId1591" xr:uid="{00000000-0004-0000-0100-000036060000}"/>
    <hyperlink ref="R798" r:id="rId1592" xr:uid="{00000000-0004-0000-0100-000037060000}"/>
    <hyperlink ref="Q799" r:id="rId1593" xr:uid="{00000000-0004-0000-0100-000038060000}"/>
    <hyperlink ref="R799" r:id="rId1594" xr:uid="{00000000-0004-0000-0100-000039060000}"/>
    <hyperlink ref="Q800" r:id="rId1595" xr:uid="{00000000-0004-0000-0100-00003A060000}"/>
    <hyperlink ref="R800" r:id="rId1596" xr:uid="{00000000-0004-0000-0100-00003B060000}"/>
    <hyperlink ref="Q801" r:id="rId1597" xr:uid="{00000000-0004-0000-0100-00003C060000}"/>
    <hyperlink ref="R801" r:id="rId1598" xr:uid="{00000000-0004-0000-0100-00003D060000}"/>
    <hyperlink ref="Q802" r:id="rId1599" xr:uid="{00000000-0004-0000-0100-00003E060000}"/>
    <hyperlink ref="R802" r:id="rId1600" xr:uid="{00000000-0004-0000-0100-00003F060000}"/>
    <hyperlink ref="Q803" r:id="rId1601" xr:uid="{00000000-0004-0000-0100-000040060000}"/>
    <hyperlink ref="R803" r:id="rId1602" xr:uid="{00000000-0004-0000-0100-000041060000}"/>
    <hyperlink ref="Q804" r:id="rId1603" xr:uid="{00000000-0004-0000-0100-000042060000}"/>
    <hyperlink ref="R804" r:id="rId1604" xr:uid="{00000000-0004-0000-0100-000043060000}"/>
    <hyperlink ref="Q805" r:id="rId1605" xr:uid="{00000000-0004-0000-0100-000044060000}"/>
    <hyperlink ref="R805" r:id="rId1606" xr:uid="{00000000-0004-0000-0100-000045060000}"/>
    <hyperlink ref="Q806" r:id="rId1607" xr:uid="{00000000-0004-0000-0100-000046060000}"/>
    <hyperlink ref="R806" r:id="rId1608" xr:uid="{00000000-0004-0000-0100-000047060000}"/>
    <hyperlink ref="Q807" r:id="rId1609" xr:uid="{00000000-0004-0000-0100-000048060000}"/>
    <hyperlink ref="R807" r:id="rId1610" xr:uid="{00000000-0004-0000-0100-000049060000}"/>
    <hyperlink ref="Q808" r:id="rId1611" xr:uid="{00000000-0004-0000-0100-00004A060000}"/>
    <hyperlink ref="R808" r:id="rId1612" xr:uid="{00000000-0004-0000-0100-00004B060000}"/>
    <hyperlink ref="Q809" r:id="rId1613" xr:uid="{00000000-0004-0000-0100-00004C060000}"/>
    <hyperlink ref="R809" r:id="rId1614" xr:uid="{00000000-0004-0000-0100-00004D060000}"/>
    <hyperlink ref="Q810" r:id="rId1615" xr:uid="{00000000-0004-0000-0100-00004E060000}"/>
    <hyperlink ref="R810" r:id="rId1616" xr:uid="{00000000-0004-0000-0100-00004F060000}"/>
    <hyperlink ref="Q811" r:id="rId1617" xr:uid="{00000000-0004-0000-0100-000050060000}"/>
    <hyperlink ref="R811" r:id="rId1618" xr:uid="{00000000-0004-0000-0100-000051060000}"/>
    <hyperlink ref="Q812" r:id="rId1619" xr:uid="{00000000-0004-0000-0100-000052060000}"/>
    <hyperlink ref="R812" r:id="rId1620" xr:uid="{00000000-0004-0000-0100-000053060000}"/>
    <hyperlink ref="Q813" r:id="rId1621" xr:uid="{00000000-0004-0000-0100-000054060000}"/>
    <hyperlink ref="R813" r:id="rId1622" xr:uid="{00000000-0004-0000-0100-000055060000}"/>
    <hyperlink ref="Q814" r:id="rId1623" xr:uid="{00000000-0004-0000-0100-000056060000}"/>
    <hyperlink ref="R814" r:id="rId1624" xr:uid="{00000000-0004-0000-0100-000057060000}"/>
    <hyperlink ref="Q815" r:id="rId1625" xr:uid="{00000000-0004-0000-0100-000058060000}"/>
    <hyperlink ref="R815" r:id="rId1626" xr:uid="{00000000-0004-0000-0100-000059060000}"/>
    <hyperlink ref="Q816" r:id="rId1627" xr:uid="{00000000-0004-0000-0100-00005A060000}"/>
    <hyperlink ref="R816" r:id="rId1628" xr:uid="{00000000-0004-0000-0100-00005B060000}"/>
    <hyperlink ref="Q817" r:id="rId1629" xr:uid="{00000000-0004-0000-0100-00005C060000}"/>
    <hyperlink ref="R817" r:id="rId1630" xr:uid="{00000000-0004-0000-0100-00005D060000}"/>
    <hyperlink ref="Q818" r:id="rId1631" xr:uid="{00000000-0004-0000-0100-00005E060000}"/>
    <hyperlink ref="R818" r:id="rId1632" xr:uid="{00000000-0004-0000-0100-00005F060000}"/>
    <hyperlink ref="Q819" r:id="rId1633" xr:uid="{00000000-0004-0000-0100-000060060000}"/>
    <hyperlink ref="R819" r:id="rId1634" xr:uid="{00000000-0004-0000-0100-000061060000}"/>
    <hyperlink ref="Q820" r:id="rId1635" xr:uid="{00000000-0004-0000-0100-000062060000}"/>
    <hyperlink ref="R820" r:id="rId1636" xr:uid="{00000000-0004-0000-0100-000063060000}"/>
    <hyperlink ref="Q821" r:id="rId1637" xr:uid="{00000000-0004-0000-0100-000064060000}"/>
    <hyperlink ref="R821" r:id="rId1638" xr:uid="{00000000-0004-0000-0100-000065060000}"/>
    <hyperlink ref="Q822" r:id="rId1639" xr:uid="{00000000-0004-0000-0100-000066060000}"/>
    <hyperlink ref="R822" r:id="rId1640" xr:uid="{00000000-0004-0000-0100-000067060000}"/>
    <hyperlink ref="Q823" r:id="rId1641" xr:uid="{00000000-0004-0000-0100-000068060000}"/>
    <hyperlink ref="R823" r:id="rId1642" xr:uid="{00000000-0004-0000-0100-000069060000}"/>
    <hyperlink ref="Q824" r:id="rId1643" xr:uid="{00000000-0004-0000-0100-00006A060000}"/>
    <hyperlink ref="R824" r:id="rId1644" xr:uid="{00000000-0004-0000-0100-00006B060000}"/>
    <hyperlink ref="Q825" r:id="rId1645" xr:uid="{00000000-0004-0000-0100-00006C060000}"/>
    <hyperlink ref="R825" r:id="rId1646" xr:uid="{00000000-0004-0000-0100-00006D060000}"/>
    <hyperlink ref="Q826" r:id="rId1647" xr:uid="{00000000-0004-0000-0100-00006E060000}"/>
    <hyperlink ref="R826" r:id="rId1648" xr:uid="{00000000-0004-0000-0100-00006F060000}"/>
    <hyperlink ref="Q827" r:id="rId1649" xr:uid="{00000000-0004-0000-0100-000070060000}"/>
    <hyperlink ref="R827" r:id="rId1650" xr:uid="{00000000-0004-0000-0100-000071060000}"/>
    <hyperlink ref="Q828" r:id="rId1651" xr:uid="{00000000-0004-0000-0100-000072060000}"/>
    <hyperlink ref="R828" r:id="rId1652" xr:uid="{00000000-0004-0000-0100-000073060000}"/>
    <hyperlink ref="Q829" r:id="rId1653" xr:uid="{00000000-0004-0000-0100-000074060000}"/>
    <hyperlink ref="R829" r:id="rId1654" xr:uid="{00000000-0004-0000-0100-000075060000}"/>
    <hyperlink ref="Q830" r:id="rId1655" xr:uid="{00000000-0004-0000-0100-000076060000}"/>
    <hyperlink ref="R830" r:id="rId1656" xr:uid="{00000000-0004-0000-0100-000077060000}"/>
    <hyperlink ref="Q831" r:id="rId1657" xr:uid="{00000000-0004-0000-0100-000078060000}"/>
    <hyperlink ref="R831" r:id="rId1658" xr:uid="{00000000-0004-0000-0100-000079060000}"/>
    <hyperlink ref="Q832" r:id="rId1659" xr:uid="{00000000-0004-0000-0100-00007A060000}"/>
    <hyperlink ref="R832" r:id="rId1660" xr:uid="{00000000-0004-0000-0100-00007B060000}"/>
    <hyperlink ref="Q833" r:id="rId1661" xr:uid="{00000000-0004-0000-0100-00007C060000}"/>
    <hyperlink ref="R833" r:id="rId1662" xr:uid="{00000000-0004-0000-0100-00007D060000}"/>
    <hyperlink ref="Q834" r:id="rId1663" xr:uid="{00000000-0004-0000-0100-00007E060000}"/>
    <hyperlink ref="R834" r:id="rId1664" xr:uid="{00000000-0004-0000-0100-00007F060000}"/>
    <hyperlink ref="Q835" r:id="rId1665" xr:uid="{00000000-0004-0000-0100-000080060000}"/>
    <hyperlink ref="R835" r:id="rId1666" xr:uid="{00000000-0004-0000-0100-000081060000}"/>
    <hyperlink ref="Q836" r:id="rId1667" xr:uid="{00000000-0004-0000-0100-000082060000}"/>
    <hyperlink ref="R836" r:id="rId1668" xr:uid="{00000000-0004-0000-0100-000083060000}"/>
    <hyperlink ref="Q837" r:id="rId1669" xr:uid="{00000000-0004-0000-0100-000084060000}"/>
    <hyperlink ref="R837" r:id="rId1670" xr:uid="{00000000-0004-0000-0100-000085060000}"/>
    <hyperlink ref="Q838" r:id="rId1671" xr:uid="{00000000-0004-0000-0100-000086060000}"/>
    <hyperlink ref="R838" r:id="rId1672" xr:uid="{00000000-0004-0000-0100-000087060000}"/>
    <hyperlink ref="Q839" r:id="rId1673" xr:uid="{00000000-0004-0000-0100-000088060000}"/>
    <hyperlink ref="R839" r:id="rId1674" xr:uid="{00000000-0004-0000-0100-000089060000}"/>
    <hyperlink ref="Q840" r:id="rId1675" xr:uid="{00000000-0004-0000-0100-00008A060000}"/>
    <hyperlink ref="R840" r:id="rId1676" xr:uid="{00000000-0004-0000-0100-00008B060000}"/>
    <hyperlink ref="Q841" r:id="rId1677" xr:uid="{00000000-0004-0000-0100-00008C060000}"/>
    <hyperlink ref="R841" r:id="rId1678" xr:uid="{00000000-0004-0000-0100-00008D060000}"/>
    <hyperlink ref="Q842" r:id="rId1679" xr:uid="{00000000-0004-0000-0100-00008E060000}"/>
    <hyperlink ref="R842" r:id="rId1680" xr:uid="{00000000-0004-0000-0100-00008F060000}"/>
    <hyperlink ref="Q843" r:id="rId1681" xr:uid="{00000000-0004-0000-0100-000090060000}"/>
    <hyperlink ref="R843" r:id="rId1682" xr:uid="{00000000-0004-0000-0100-000091060000}"/>
    <hyperlink ref="Q844" r:id="rId1683" xr:uid="{00000000-0004-0000-0100-000092060000}"/>
    <hyperlink ref="R844" r:id="rId1684" xr:uid="{00000000-0004-0000-0100-000093060000}"/>
    <hyperlink ref="Q845" r:id="rId1685" xr:uid="{00000000-0004-0000-0100-000094060000}"/>
    <hyperlink ref="R845" r:id="rId1686" xr:uid="{00000000-0004-0000-0100-000095060000}"/>
    <hyperlink ref="Q846" r:id="rId1687" xr:uid="{00000000-0004-0000-0100-000096060000}"/>
    <hyperlink ref="R846" r:id="rId1688" xr:uid="{00000000-0004-0000-0100-000097060000}"/>
    <hyperlink ref="Q847" r:id="rId1689" xr:uid="{00000000-0004-0000-0100-000098060000}"/>
    <hyperlink ref="R847" r:id="rId1690" xr:uid="{00000000-0004-0000-0100-000099060000}"/>
    <hyperlink ref="Q848" r:id="rId1691" xr:uid="{00000000-0004-0000-0100-00009A060000}"/>
    <hyperlink ref="R848" r:id="rId1692" xr:uid="{00000000-0004-0000-0100-00009B060000}"/>
    <hyperlink ref="Q849" r:id="rId1693" xr:uid="{00000000-0004-0000-0100-00009C060000}"/>
    <hyperlink ref="R849" r:id="rId1694" xr:uid="{00000000-0004-0000-0100-00009D060000}"/>
    <hyperlink ref="Q850" r:id="rId1695" xr:uid="{00000000-0004-0000-0100-00009E060000}"/>
    <hyperlink ref="R850" r:id="rId1696" xr:uid="{00000000-0004-0000-0100-00009F060000}"/>
    <hyperlink ref="Q851" r:id="rId1697" xr:uid="{00000000-0004-0000-0100-0000A0060000}"/>
    <hyperlink ref="R851" r:id="rId1698" xr:uid="{00000000-0004-0000-0100-0000A1060000}"/>
    <hyperlink ref="Q852" r:id="rId1699" xr:uid="{00000000-0004-0000-0100-0000A2060000}"/>
    <hyperlink ref="R852" r:id="rId1700" xr:uid="{00000000-0004-0000-0100-0000A3060000}"/>
    <hyperlink ref="Q853" r:id="rId1701" xr:uid="{00000000-0004-0000-0100-0000A4060000}"/>
    <hyperlink ref="R853" r:id="rId1702" xr:uid="{00000000-0004-0000-0100-0000A5060000}"/>
    <hyperlink ref="Q854" r:id="rId1703" xr:uid="{00000000-0004-0000-0100-0000A6060000}"/>
    <hyperlink ref="R854" r:id="rId1704" xr:uid="{00000000-0004-0000-0100-0000A7060000}"/>
    <hyperlink ref="Q855" r:id="rId1705" xr:uid="{00000000-0004-0000-0100-0000A8060000}"/>
    <hyperlink ref="R855" r:id="rId1706" xr:uid="{00000000-0004-0000-0100-0000A9060000}"/>
    <hyperlink ref="Q856" r:id="rId1707" xr:uid="{00000000-0004-0000-0100-0000AA060000}"/>
    <hyperlink ref="R856" r:id="rId1708" xr:uid="{00000000-0004-0000-0100-0000AB060000}"/>
    <hyperlink ref="Q857" r:id="rId1709" xr:uid="{00000000-0004-0000-0100-0000AC060000}"/>
    <hyperlink ref="R857" r:id="rId1710" xr:uid="{00000000-0004-0000-0100-0000AD060000}"/>
    <hyperlink ref="Q858" r:id="rId1711" xr:uid="{00000000-0004-0000-0100-0000AE060000}"/>
    <hyperlink ref="R858" r:id="rId1712" xr:uid="{00000000-0004-0000-0100-0000AF060000}"/>
    <hyperlink ref="Q859" r:id="rId1713" xr:uid="{00000000-0004-0000-0100-0000B0060000}"/>
    <hyperlink ref="R859" r:id="rId1714" xr:uid="{00000000-0004-0000-0100-0000B1060000}"/>
    <hyperlink ref="Q860" r:id="rId1715" xr:uid="{00000000-0004-0000-0100-0000B2060000}"/>
    <hyperlink ref="R860" r:id="rId1716" xr:uid="{00000000-0004-0000-0100-0000B3060000}"/>
    <hyperlink ref="Q861" r:id="rId1717" xr:uid="{00000000-0004-0000-0100-0000B4060000}"/>
    <hyperlink ref="R861" r:id="rId1718" xr:uid="{00000000-0004-0000-0100-0000B5060000}"/>
    <hyperlink ref="Q862" r:id="rId1719" xr:uid="{00000000-0004-0000-0100-0000B6060000}"/>
    <hyperlink ref="R862" r:id="rId1720" xr:uid="{00000000-0004-0000-0100-0000B7060000}"/>
    <hyperlink ref="Q863" r:id="rId1721" xr:uid="{00000000-0004-0000-0100-0000B8060000}"/>
    <hyperlink ref="R863" r:id="rId1722" xr:uid="{00000000-0004-0000-0100-0000B9060000}"/>
    <hyperlink ref="Q864" r:id="rId1723" xr:uid="{00000000-0004-0000-0100-0000BA060000}"/>
    <hyperlink ref="R864" r:id="rId1724" xr:uid="{00000000-0004-0000-0100-0000BB060000}"/>
    <hyperlink ref="Q865" r:id="rId1725" xr:uid="{00000000-0004-0000-0100-0000BC060000}"/>
    <hyperlink ref="R865" r:id="rId1726" xr:uid="{00000000-0004-0000-0100-0000BD060000}"/>
    <hyperlink ref="Q866" r:id="rId1727" xr:uid="{00000000-0004-0000-0100-0000BE060000}"/>
    <hyperlink ref="R866" r:id="rId1728" xr:uid="{00000000-0004-0000-0100-0000BF060000}"/>
    <hyperlink ref="Q867" r:id="rId1729" xr:uid="{00000000-0004-0000-0100-0000C0060000}"/>
    <hyperlink ref="R867" r:id="rId1730" xr:uid="{00000000-0004-0000-0100-0000C1060000}"/>
    <hyperlink ref="Q868" r:id="rId1731" xr:uid="{00000000-0004-0000-0100-0000C2060000}"/>
    <hyperlink ref="R868" r:id="rId1732" xr:uid="{00000000-0004-0000-0100-0000C3060000}"/>
    <hyperlink ref="Q869" r:id="rId1733" xr:uid="{00000000-0004-0000-0100-0000C4060000}"/>
    <hyperlink ref="R869" r:id="rId1734" xr:uid="{00000000-0004-0000-0100-0000C5060000}"/>
    <hyperlink ref="Q870" r:id="rId1735" xr:uid="{00000000-0004-0000-0100-0000C6060000}"/>
    <hyperlink ref="R870" r:id="rId1736" xr:uid="{00000000-0004-0000-0100-0000C7060000}"/>
    <hyperlink ref="Q871" r:id="rId1737" xr:uid="{00000000-0004-0000-0100-0000C8060000}"/>
    <hyperlink ref="R871" r:id="rId1738" xr:uid="{00000000-0004-0000-0100-0000C9060000}"/>
    <hyperlink ref="Q872" r:id="rId1739" xr:uid="{00000000-0004-0000-0100-0000CA060000}"/>
    <hyperlink ref="R872" r:id="rId1740" xr:uid="{00000000-0004-0000-0100-0000CB060000}"/>
    <hyperlink ref="Q873" r:id="rId1741" xr:uid="{00000000-0004-0000-0100-0000CC060000}"/>
    <hyperlink ref="R873" r:id="rId1742" xr:uid="{00000000-0004-0000-0100-0000CD060000}"/>
    <hyperlink ref="Q874" r:id="rId1743" xr:uid="{00000000-0004-0000-0100-0000CE060000}"/>
    <hyperlink ref="R874" r:id="rId1744" xr:uid="{00000000-0004-0000-0100-0000CF060000}"/>
    <hyperlink ref="Q875" r:id="rId1745" xr:uid="{00000000-0004-0000-0100-0000D0060000}"/>
    <hyperlink ref="R875" r:id="rId1746" xr:uid="{00000000-0004-0000-0100-0000D1060000}"/>
    <hyperlink ref="Q876" r:id="rId1747" xr:uid="{00000000-0004-0000-0100-0000D2060000}"/>
    <hyperlink ref="R876" r:id="rId1748" xr:uid="{00000000-0004-0000-0100-0000D3060000}"/>
    <hyperlink ref="Q877" r:id="rId1749" xr:uid="{00000000-0004-0000-0100-0000D4060000}"/>
    <hyperlink ref="R877" r:id="rId1750" xr:uid="{00000000-0004-0000-0100-0000D5060000}"/>
    <hyperlink ref="Q878" r:id="rId1751" xr:uid="{00000000-0004-0000-0100-0000D6060000}"/>
    <hyperlink ref="R878" r:id="rId1752" xr:uid="{00000000-0004-0000-0100-0000D7060000}"/>
    <hyperlink ref="Q879" r:id="rId1753" xr:uid="{00000000-0004-0000-0100-0000D8060000}"/>
    <hyperlink ref="R879" r:id="rId1754" xr:uid="{00000000-0004-0000-0100-0000D9060000}"/>
    <hyperlink ref="Q880" r:id="rId1755" xr:uid="{00000000-0004-0000-0100-0000DA060000}"/>
    <hyperlink ref="R880" r:id="rId1756" xr:uid="{00000000-0004-0000-0100-0000DB060000}"/>
    <hyperlink ref="Q881" r:id="rId1757" xr:uid="{00000000-0004-0000-0100-0000DC060000}"/>
    <hyperlink ref="R881" r:id="rId1758" xr:uid="{00000000-0004-0000-0100-0000DD060000}"/>
    <hyperlink ref="Q882" r:id="rId1759" xr:uid="{00000000-0004-0000-0100-0000DE060000}"/>
    <hyperlink ref="R882" r:id="rId1760" xr:uid="{00000000-0004-0000-0100-0000DF060000}"/>
    <hyperlink ref="Q883" r:id="rId1761" xr:uid="{00000000-0004-0000-0100-0000E0060000}"/>
    <hyperlink ref="R883" r:id="rId1762" xr:uid="{00000000-0004-0000-0100-0000E1060000}"/>
    <hyperlink ref="Q884" r:id="rId1763" xr:uid="{00000000-0004-0000-0100-0000E2060000}"/>
    <hyperlink ref="R884" r:id="rId1764" xr:uid="{00000000-0004-0000-0100-0000E3060000}"/>
    <hyperlink ref="Q885" r:id="rId1765" xr:uid="{00000000-0004-0000-0100-0000E4060000}"/>
    <hyperlink ref="R885" r:id="rId1766" xr:uid="{00000000-0004-0000-0100-0000E5060000}"/>
    <hyperlink ref="Q886" r:id="rId1767" xr:uid="{00000000-0004-0000-0100-0000E6060000}"/>
    <hyperlink ref="R886" r:id="rId1768" xr:uid="{00000000-0004-0000-0100-0000E7060000}"/>
    <hyperlink ref="Q887" r:id="rId1769" xr:uid="{00000000-0004-0000-0100-0000E8060000}"/>
    <hyperlink ref="R887" r:id="rId1770" xr:uid="{00000000-0004-0000-0100-0000E9060000}"/>
    <hyperlink ref="Q888" r:id="rId1771" xr:uid="{00000000-0004-0000-0100-0000EA060000}"/>
    <hyperlink ref="R888" r:id="rId1772" xr:uid="{00000000-0004-0000-0100-0000EB060000}"/>
    <hyperlink ref="Q889" r:id="rId1773" xr:uid="{00000000-0004-0000-0100-0000EC060000}"/>
    <hyperlink ref="R889" r:id="rId1774" xr:uid="{00000000-0004-0000-0100-0000ED060000}"/>
    <hyperlink ref="Q890" r:id="rId1775" xr:uid="{00000000-0004-0000-0100-0000EE060000}"/>
    <hyperlink ref="R890" r:id="rId1776" xr:uid="{00000000-0004-0000-0100-0000EF060000}"/>
    <hyperlink ref="Q891" r:id="rId1777" xr:uid="{00000000-0004-0000-0100-0000F0060000}"/>
    <hyperlink ref="R891" r:id="rId1778" xr:uid="{00000000-0004-0000-0100-0000F1060000}"/>
    <hyperlink ref="Q892" r:id="rId1779" xr:uid="{00000000-0004-0000-0100-0000F2060000}"/>
    <hyperlink ref="R892" r:id="rId1780" xr:uid="{00000000-0004-0000-0100-0000F3060000}"/>
    <hyperlink ref="Q893" r:id="rId1781" xr:uid="{00000000-0004-0000-0100-0000F4060000}"/>
    <hyperlink ref="R893" r:id="rId1782" xr:uid="{00000000-0004-0000-0100-0000F5060000}"/>
    <hyperlink ref="Q894" r:id="rId1783" xr:uid="{00000000-0004-0000-0100-0000F6060000}"/>
    <hyperlink ref="R894" r:id="rId1784" xr:uid="{00000000-0004-0000-0100-0000F7060000}"/>
    <hyperlink ref="Q895" r:id="rId1785" xr:uid="{00000000-0004-0000-0100-0000F8060000}"/>
    <hyperlink ref="R895" r:id="rId1786" xr:uid="{00000000-0004-0000-0100-0000F9060000}"/>
    <hyperlink ref="Q896" r:id="rId1787" xr:uid="{00000000-0004-0000-0100-0000FA060000}"/>
    <hyperlink ref="R896" r:id="rId1788" xr:uid="{00000000-0004-0000-0100-0000FB060000}"/>
    <hyperlink ref="Q897" r:id="rId1789" xr:uid="{00000000-0004-0000-0100-0000FC060000}"/>
    <hyperlink ref="R897" r:id="rId1790" xr:uid="{00000000-0004-0000-0100-0000FD060000}"/>
    <hyperlink ref="Q898" r:id="rId1791" xr:uid="{00000000-0004-0000-0100-0000FE060000}"/>
    <hyperlink ref="R898" r:id="rId1792" xr:uid="{00000000-0004-0000-0100-0000FF060000}"/>
    <hyperlink ref="Q899" r:id="rId1793" xr:uid="{00000000-0004-0000-0100-000000070000}"/>
    <hyperlink ref="R899" r:id="rId1794" xr:uid="{00000000-0004-0000-0100-000001070000}"/>
    <hyperlink ref="Q900" r:id="rId1795" xr:uid="{00000000-0004-0000-0100-000002070000}"/>
    <hyperlink ref="R900" r:id="rId1796" xr:uid="{00000000-0004-0000-0100-000003070000}"/>
    <hyperlink ref="Q901" r:id="rId1797" xr:uid="{00000000-0004-0000-0100-000004070000}"/>
    <hyperlink ref="R901" r:id="rId1798" xr:uid="{00000000-0004-0000-0100-000005070000}"/>
    <hyperlink ref="Q902" r:id="rId1799" xr:uid="{00000000-0004-0000-0100-000006070000}"/>
    <hyperlink ref="R902" r:id="rId1800" xr:uid="{00000000-0004-0000-0100-000007070000}"/>
    <hyperlink ref="Q903" r:id="rId1801" xr:uid="{00000000-0004-0000-0100-000008070000}"/>
    <hyperlink ref="R903" r:id="rId1802" xr:uid="{00000000-0004-0000-0100-000009070000}"/>
    <hyperlink ref="Q904" r:id="rId1803" xr:uid="{00000000-0004-0000-0100-00000A070000}"/>
    <hyperlink ref="R904" r:id="rId1804" xr:uid="{00000000-0004-0000-0100-00000B070000}"/>
    <hyperlink ref="Q905" r:id="rId1805" xr:uid="{00000000-0004-0000-0100-00000C070000}"/>
    <hyperlink ref="R905" r:id="rId1806" xr:uid="{00000000-0004-0000-0100-00000D070000}"/>
    <hyperlink ref="Q906" r:id="rId1807" xr:uid="{00000000-0004-0000-0100-00000E070000}"/>
    <hyperlink ref="R906" r:id="rId1808" xr:uid="{00000000-0004-0000-0100-00000F070000}"/>
    <hyperlink ref="Q907" r:id="rId1809" xr:uid="{00000000-0004-0000-0100-000010070000}"/>
    <hyperlink ref="R907" r:id="rId1810" xr:uid="{00000000-0004-0000-0100-000011070000}"/>
    <hyperlink ref="Q908" r:id="rId1811" xr:uid="{00000000-0004-0000-0100-000012070000}"/>
    <hyperlink ref="R908" r:id="rId1812" xr:uid="{00000000-0004-0000-0100-000013070000}"/>
    <hyperlink ref="Q909" r:id="rId1813" xr:uid="{00000000-0004-0000-0100-000014070000}"/>
    <hyperlink ref="R909" r:id="rId1814" xr:uid="{00000000-0004-0000-0100-000015070000}"/>
    <hyperlink ref="Q910" r:id="rId1815" xr:uid="{00000000-0004-0000-0100-000016070000}"/>
    <hyperlink ref="R910" r:id="rId1816" xr:uid="{00000000-0004-0000-0100-000017070000}"/>
    <hyperlink ref="Q911" r:id="rId1817" xr:uid="{00000000-0004-0000-0100-000018070000}"/>
    <hyperlink ref="R911" r:id="rId1818" xr:uid="{00000000-0004-0000-0100-000019070000}"/>
    <hyperlink ref="Q912" r:id="rId1819" xr:uid="{00000000-0004-0000-0100-00001A070000}"/>
    <hyperlink ref="R912" r:id="rId1820" xr:uid="{00000000-0004-0000-0100-00001B070000}"/>
    <hyperlink ref="Q913" r:id="rId1821" xr:uid="{00000000-0004-0000-0100-00001C070000}"/>
    <hyperlink ref="R913" r:id="rId1822" xr:uid="{00000000-0004-0000-0100-00001D070000}"/>
    <hyperlink ref="Q914" r:id="rId1823" xr:uid="{00000000-0004-0000-0100-00001E070000}"/>
    <hyperlink ref="R914" r:id="rId1824" xr:uid="{00000000-0004-0000-0100-00001F070000}"/>
    <hyperlink ref="Q915" r:id="rId1825" xr:uid="{00000000-0004-0000-0100-000020070000}"/>
    <hyperlink ref="R915" r:id="rId1826" xr:uid="{00000000-0004-0000-0100-000021070000}"/>
    <hyperlink ref="Q916" r:id="rId1827" xr:uid="{00000000-0004-0000-0100-000022070000}"/>
    <hyperlink ref="R916" r:id="rId1828" xr:uid="{00000000-0004-0000-0100-000023070000}"/>
    <hyperlink ref="Q917" r:id="rId1829" xr:uid="{00000000-0004-0000-0100-000024070000}"/>
    <hyperlink ref="R917" r:id="rId1830" xr:uid="{00000000-0004-0000-0100-000025070000}"/>
    <hyperlink ref="Q918" r:id="rId1831" xr:uid="{00000000-0004-0000-0100-000026070000}"/>
    <hyperlink ref="R918" r:id="rId1832" xr:uid="{00000000-0004-0000-0100-000027070000}"/>
    <hyperlink ref="Q919" r:id="rId1833" xr:uid="{00000000-0004-0000-0100-000028070000}"/>
    <hyperlink ref="R919" r:id="rId1834" xr:uid="{00000000-0004-0000-0100-000029070000}"/>
    <hyperlink ref="Q920" r:id="rId1835" xr:uid="{00000000-0004-0000-0100-00002A070000}"/>
    <hyperlink ref="R920" r:id="rId1836" xr:uid="{00000000-0004-0000-0100-00002B070000}"/>
    <hyperlink ref="Q921" r:id="rId1837" xr:uid="{00000000-0004-0000-0100-00002C070000}"/>
    <hyperlink ref="R921" r:id="rId1838" xr:uid="{00000000-0004-0000-0100-00002D070000}"/>
    <hyperlink ref="Q922" r:id="rId1839" xr:uid="{00000000-0004-0000-0100-00002E070000}"/>
    <hyperlink ref="R922" r:id="rId1840" xr:uid="{00000000-0004-0000-0100-00002F070000}"/>
    <hyperlink ref="Q923" r:id="rId1841" xr:uid="{00000000-0004-0000-0100-000030070000}"/>
    <hyperlink ref="R923" r:id="rId1842" xr:uid="{00000000-0004-0000-0100-000031070000}"/>
    <hyperlink ref="Q924" r:id="rId1843" xr:uid="{00000000-0004-0000-0100-000032070000}"/>
    <hyperlink ref="R924" r:id="rId1844" xr:uid="{00000000-0004-0000-0100-000033070000}"/>
    <hyperlink ref="Q925" r:id="rId1845" xr:uid="{00000000-0004-0000-0100-000034070000}"/>
    <hyperlink ref="R925" r:id="rId1846" xr:uid="{00000000-0004-0000-0100-000035070000}"/>
    <hyperlink ref="Q926" r:id="rId1847" xr:uid="{00000000-0004-0000-0100-000036070000}"/>
    <hyperlink ref="R926" r:id="rId1848" xr:uid="{00000000-0004-0000-0100-000037070000}"/>
    <hyperlink ref="Q927" r:id="rId1849" xr:uid="{00000000-0004-0000-0100-000038070000}"/>
    <hyperlink ref="R927" r:id="rId1850" xr:uid="{00000000-0004-0000-0100-000039070000}"/>
    <hyperlink ref="Q928" r:id="rId1851" xr:uid="{00000000-0004-0000-0100-00003A070000}"/>
    <hyperlink ref="R928" r:id="rId1852" xr:uid="{00000000-0004-0000-0100-00003B070000}"/>
    <hyperlink ref="Q929" r:id="rId1853" xr:uid="{00000000-0004-0000-0100-00003C070000}"/>
    <hyperlink ref="R929" r:id="rId1854" xr:uid="{00000000-0004-0000-0100-00003D070000}"/>
    <hyperlink ref="Q930" r:id="rId1855" xr:uid="{00000000-0004-0000-0100-00003E070000}"/>
    <hyperlink ref="R930" r:id="rId1856" xr:uid="{00000000-0004-0000-0100-00003F070000}"/>
    <hyperlink ref="Q931" r:id="rId1857" xr:uid="{00000000-0004-0000-0100-000040070000}"/>
    <hyperlink ref="R931" r:id="rId1858" xr:uid="{00000000-0004-0000-0100-000041070000}"/>
    <hyperlink ref="Q932" r:id="rId1859" xr:uid="{00000000-0004-0000-0100-000042070000}"/>
    <hyperlink ref="R932" r:id="rId1860" xr:uid="{00000000-0004-0000-0100-000043070000}"/>
    <hyperlink ref="Q933" r:id="rId1861" xr:uid="{00000000-0004-0000-0100-000044070000}"/>
    <hyperlink ref="R933" r:id="rId1862" xr:uid="{00000000-0004-0000-0100-000045070000}"/>
    <hyperlink ref="Q934" r:id="rId1863" xr:uid="{00000000-0004-0000-0100-000046070000}"/>
    <hyperlink ref="R934" r:id="rId1864" xr:uid="{00000000-0004-0000-0100-000047070000}"/>
    <hyperlink ref="Q935" r:id="rId1865" xr:uid="{00000000-0004-0000-0100-000048070000}"/>
    <hyperlink ref="R935" r:id="rId1866" xr:uid="{00000000-0004-0000-0100-000049070000}"/>
    <hyperlink ref="Q936" r:id="rId1867" xr:uid="{00000000-0004-0000-0100-00004A070000}"/>
    <hyperlink ref="R936" r:id="rId1868" xr:uid="{00000000-0004-0000-0100-00004B070000}"/>
    <hyperlink ref="Q937" r:id="rId1869" xr:uid="{00000000-0004-0000-0100-00004C070000}"/>
    <hyperlink ref="R937" r:id="rId1870" xr:uid="{00000000-0004-0000-0100-00004D070000}"/>
    <hyperlink ref="Q938" r:id="rId1871" xr:uid="{00000000-0004-0000-0100-00004E070000}"/>
    <hyperlink ref="R938" r:id="rId1872" xr:uid="{00000000-0004-0000-0100-00004F070000}"/>
    <hyperlink ref="Q939" r:id="rId1873" xr:uid="{00000000-0004-0000-0100-000050070000}"/>
    <hyperlink ref="R939" r:id="rId1874" xr:uid="{00000000-0004-0000-0100-000051070000}"/>
    <hyperlink ref="Q940" r:id="rId1875" xr:uid="{00000000-0004-0000-0100-000052070000}"/>
    <hyperlink ref="R940" r:id="rId1876" xr:uid="{00000000-0004-0000-0100-000053070000}"/>
    <hyperlink ref="Q941" r:id="rId1877" xr:uid="{00000000-0004-0000-0100-000054070000}"/>
    <hyperlink ref="R941" r:id="rId1878" xr:uid="{00000000-0004-0000-0100-000055070000}"/>
    <hyperlink ref="Q942" r:id="rId1879" xr:uid="{00000000-0004-0000-0100-000056070000}"/>
    <hyperlink ref="R942" r:id="rId1880" xr:uid="{00000000-0004-0000-0100-000057070000}"/>
    <hyperlink ref="Q943" r:id="rId1881" xr:uid="{00000000-0004-0000-0100-000058070000}"/>
    <hyperlink ref="R943" r:id="rId1882" xr:uid="{00000000-0004-0000-0100-000059070000}"/>
    <hyperlink ref="Q944" r:id="rId1883" xr:uid="{00000000-0004-0000-0100-00005A070000}"/>
    <hyperlink ref="R944" r:id="rId1884" xr:uid="{00000000-0004-0000-0100-00005B070000}"/>
    <hyperlink ref="Q945" r:id="rId1885" xr:uid="{00000000-0004-0000-0100-00005C070000}"/>
    <hyperlink ref="R945" r:id="rId1886" xr:uid="{00000000-0004-0000-0100-00005D070000}"/>
    <hyperlink ref="Q946" r:id="rId1887" xr:uid="{00000000-0004-0000-0100-00005E070000}"/>
    <hyperlink ref="R946" r:id="rId1888" xr:uid="{00000000-0004-0000-0100-00005F070000}"/>
    <hyperlink ref="Q947" r:id="rId1889" xr:uid="{00000000-0004-0000-0100-000060070000}"/>
    <hyperlink ref="R947" r:id="rId1890" xr:uid="{00000000-0004-0000-0100-000061070000}"/>
    <hyperlink ref="Q948" r:id="rId1891" xr:uid="{00000000-0004-0000-0100-000062070000}"/>
    <hyperlink ref="R948" r:id="rId1892" xr:uid="{00000000-0004-0000-0100-000063070000}"/>
    <hyperlink ref="Q949" r:id="rId1893" xr:uid="{00000000-0004-0000-0100-000064070000}"/>
    <hyperlink ref="R949" r:id="rId1894" xr:uid="{00000000-0004-0000-0100-000065070000}"/>
    <hyperlink ref="Q950" r:id="rId1895" xr:uid="{00000000-0004-0000-0100-000066070000}"/>
    <hyperlink ref="R950" r:id="rId1896" xr:uid="{00000000-0004-0000-0100-000067070000}"/>
    <hyperlink ref="Q951" r:id="rId1897" xr:uid="{00000000-0004-0000-0100-000068070000}"/>
    <hyperlink ref="R951" r:id="rId1898" xr:uid="{00000000-0004-0000-0100-000069070000}"/>
    <hyperlink ref="Q952" r:id="rId1899" xr:uid="{00000000-0004-0000-0100-00006A070000}"/>
    <hyperlink ref="R952" r:id="rId1900" xr:uid="{00000000-0004-0000-0100-00006B070000}"/>
    <hyperlink ref="Q953" r:id="rId1901" xr:uid="{00000000-0004-0000-0100-00006C070000}"/>
    <hyperlink ref="R953" r:id="rId1902" xr:uid="{00000000-0004-0000-0100-00006D070000}"/>
    <hyperlink ref="Q954" r:id="rId1903" xr:uid="{00000000-0004-0000-0100-00006E070000}"/>
    <hyperlink ref="R954" r:id="rId1904" xr:uid="{00000000-0004-0000-0100-00006F070000}"/>
  </hyperlinks>
  <pageMargins left="0.75" right="0.75" top="1" bottom="1" header="0.5" footer="0.5"/>
  <pageSetup fitToHeight="0" orientation="landscape"/>
  <tableParts count="1">
    <tablePart r:id="rId190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5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156</v>
      </c>
      <c r="B2" s="12" t="s">
        <v>10</v>
      </c>
      <c r="C2" s="12"/>
      <c r="D2" s="12" t="s">
        <v>157</v>
      </c>
      <c r="E2" s="12" t="s">
        <v>158</v>
      </c>
      <c r="F2" s="12"/>
      <c r="G2" s="12" t="s">
        <v>40</v>
      </c>
      <c r="H2" s="12" t="s">
        <v>40</v>
      </c>
      <c r="I2" s="12" t="s">
        <v>26</v>
      </c>
      <c r="J2" s="13" t="s">
        <v>153</v>
      </c>
      <c r="K2" s="14" t="s">
        <v>159</v>
      </c>
      <c r="L2" s="15">
        <v>0</v>
      </c>
      <c r="M2" s="15" t="s">
        <v>144</v>
      </c>
      <c r="N2" s="16">
        <v>46240</v>
      </c>
      <c r="O2" s="12" t="s">
        <v>160</v>
      </c>
      <c r="P2" s="14" t="s">
        <v>161</v>
      </c>
      <c r="Q2" s="17" t="s">
        <v>137</v>
      </c>
      <c r="R2" s="17" t="s">
        <v>146</v>
      </c>
    </row>
    <row r="3" spans="1:18" x14ac:dyDescent="0.3">
      <c r="A3" s="12" t="s">
        <v>215</v>
      </c>
      <c r="B3" s="12" t="s">
        <v>10</v>
      </c>
      <c r="C3" s="12"/>
      <c r="D3" s="12" t="s">
        <v>216</v>
      </c>
      <c r="E3" s="12" t="s">
        <v>217</v>
      </c>
      <c r="F3" s="12" t="s">
        <v>218</v>
      </c>
      <c r="G3" s="12" t="s">
        <v>175</v>
      </c>
      <c r="H3" s="12" t="s">
        <v>40</v>
      </c>
      <c r="I3" s="12" t="s">
        <v>26</v>
      </c>
      <c r="J3" s="13" t="s">
        <v>183</v>
      </c>
      <c r="K3" s="14" t="s">
        <v>219</v>
      </c>
      <c r="L3" s="15">
        <v>2</v>
      </c>
      <c r="M3" s="15" t="s">
        <v>220</v>
      </c>
      <c r="N3" s="16">
        <v>45818</v>
      </c>
      <c r="O3" s="12" t="s">
        <v>215</v>
      </c>
      <c r="P3" s="14" t="s">
        <v>221</v>
      </c>
      <c r="Q3" s="17" t="s">
        <v>137</v>
      </c>
      <c r="R3" s="17" t="s">
        <v>146</v>
      </c>
    </row>
    <row r="4" spans="1:18" x14ac:dyDescent="0.3">
      <c r="A4" s="12" t="s">
        <v>229</v>
      </c>
      <c r="B4" s="12" t="s">
        <v>10</v>
      </c>
      <c r="C4" s="12"/>
      <c r="D4" s="12" t="s">
        <v>230</v>
      </c>
      <c r="E4" s="12" t="s">
        <v>231</v>
      </c>
      <c r="F4" s="12" t="s">
        <v>232</v>
      </c>
      <c r="G4" s="12" t="s">
        <v>233</v>
      </c>
      <c r="H4" s="12" t="s">
        <v>40</v>
      </c>
      <c r="I4" s="12" t="s">
        <v>26</v>
      </c>
      <c r="J4" s="13" t="s">
        <v>234</v>
      </c>
      <c r="K4" s="14" t="s">
        <v>235</v>
      </c>
      <c r="L4" s="15">
        <v>5</v>
      </c>
      <c r="M4" s="15" t="s">
        <v>220</v>
      </c>
      <c r="N4" s="16">
        <v>46036</v>
      </c>
      <c r="O4" s="12" t="s">
        <v>236</v>
      </c>
      <c r="P4" s="14" t="s">
        <v>237</v>
      </c>
      <c r="Q4" s="17" t="s">
        <v>137</v>
      </c>
      <c r="R4" s="17" t="s">
        <v>146</v>
      </c>
    </row>
    <row r="5" spans="1:18" x14ac:dyDescent="0.3">
      <c r="A5" s="12" t="s">
        <v>251</v>
      </c>
      <c r="B5" s="12" t="s">
        <v>10</v>
      </c>
      <c r="C5" s="12"/>
      <c r="D5" s="12" t="s">
        <v>252</v>
      </c>
      <c r="E5" s="12" t="s">
        <v>231</v>
      </c>
      <c r="F5" s="12" t="s">
        <v>253</v>
      </c>
      <c r="G5" s="12" t="s">
        <v>233</v>
      </c>
      <c r="H5" s="12" t="s">
        <v>40</v>
      </c>
      <c r="I5" s="12" t="s">
        <v>26</v>
      </c>
      <c r="J5" s="13" t="s">
        <v>234</v>
      </c>
      <c r="K5" s="14" t="s">
        <v>254</v>
      </c>
      <c r="L5" s="15">
        <v>3</v>
      </c>
      <c r="M5" s="15" t="s">
        <v>220</v>
      </c>
      <c r="N5" s="16">
        <v>45713</v>
      </c>
      <c r="O5" s="12" t="s">
        <v>236</v>
      </c>
      <c r="P5" s="14" t="s">
        <v>255</v>
      </c>
      <c r="Q5" s="17" t="s">
        <v>137</v>
      </c>
      <c r="R5" s="17" t="s">
        <v>146</v>
      </c>
    </row>
    <row r="6" spans="1:18" x14ac:dyDescent="0.3">
      <c r="A6" s="12" t="s">
        <v>267</v>
      </c>
      <c r="B6" s="12" t="s">
        <v>10</v>
      </c>
      <c r="C6" s="12"/>
      <c r="D6" s="12" t="s">
        <v>230</v>
      </c>
      <c r="E6" s="12" t="s">
        <v>231</v>
      </c>
      <c r="F6" s="12" t="s">
        <v>232</v>
      </c>
      <c r="G6" s="12" t="s">
        <v>233</v>
      </c>
      <c r="H6" s="12" t="s">
        <v>40</v>
      </c>
      <c r="I6" s="12" t="s">
        <v>26</v>
      </c>
      <c r="J6" s="13" t="s">
        <v>234</v>
      </c>
      <c r="K6" s="14" t="s">
        <v>268</v>
      </c>
      <c r="L6" s="15">
        <v>5</v>
      </c>
      <c r="M6" s="15" t="s">
        <v>144</v>
      </c>
      <c r="N6" s="16">
        <v>45394</v>
      </c>
      <c r="O6" s="12" t="s">
        <v>267</v>
      </c>
      <c r="P6" s="14" t="s">
        <v>269</v>
      </c>
      <c r="Q6" s="17" t="s">
        <v>137</v>
      </c>
      <c r="R6" s="17" t="s">
        <v>146</v>
      </c>
    </row>
    <row r="7" spans="1:18" x14ac:dyDescent="0.3">
      <c r="A7" s="12" t="s">
        <v>270</v>
      </c>
      <c r="B7" s="12" t="s">
        <v>10</v>
      </c>
      <c r="C7" s="12"/>
      <c r="D7" s="12" t="s">
        <v>230</v>
      </c>
      <c r="E7" s="12" t="s">
        <v>231</v>
      </c>
      <c r="F7" s="12" t="s">
        <v>232</v>
      </c>
      <c r="G7" s="12" t="s">
        <v>233</v>
      </c>
      <c r="H7" s="12" t="s">
        <v>40</v>
      </c>
      <c r="I7" s="12" t="s">
        <v>26</v>
      </c>
      <c r="J7" s="13" t="s">
        <v>234</v>
      </c>
      <c r="K7" s="14" t="s">
        <v>268</v>
      </c>
      <c r="L7" s="15">
        <v>5</v>
      </c>
      <c r="M7" s="15" t="s">
        <v>144</v>
      </c>
      <c r="N7" s="16">
        <v>45407</v>
      </c>
      <c r="O7" s="12" t="s">
        <v>270</v>
      </c>
      <c r="P7" s="14" t="s">
        <v>271</v>
      </c>
      <c r="Q7" s="17" t="s">
        <v>137</v>
      </c>
      <c r="R7" s="17" t="s">
        <v>146</v>
      </c>
    </row>
    <row r="8" spans="1:18" x14ac:dyDescent="0.3">
      <c r="A8" s="12" t="s">
        <v>282</v>
      </c>
      <c r="B8" s="12" t="s">
        <v>10</v>
      </c>
      <c r="C8" s="12" t="s">
        <v>180</v>
      </c>
      <c r="D8" s="12" t="s">
        <v>283</v>
      </c>
      <c r="E8" s="12" t="s">
        <v>284</v>
      </c>
      <c r="F8" s="12" t="s">
        <v>285</v>
      </c>
      <c r="G8" s="12" t="s">
        <v>233</v>
      </c>
      <c r="H8" s="12" t="s">
        <v>40</v>
      </c>
      <c r="I8" s="12" t="s">
        <v>26</v>
      </c>
      <c r="J8" s="13" t="s">
        <v>234</v>
      </c>
      <c r="K8" s="14" t="s">
        <v>286</v>
      </c>
      <c r="L8" s="15">
        <v>5</v>
      </c>
      <c r="M8" s="15" t="s">
        <v>144</v>
      </c>
      <c r="N8" s="16">
        <v>45911</v>
      </c>
      <c r="O8" s="12" t="s">
        <v>282</v>
      </c>
      <c r="P8" s="14" t="s">
        <v>287</v>
      </c>
      <c r="Q8" s="17" t="s">
        <v>137</v>
      </c>
      <c r="R8" s="17" t="s">
        <v>146</v>
      </c>
    </row>
    <row r="9" spans="1:18" x14ac:dyDescent="0.3">
      <c r="A9" s="12" t="s">
        <v>364</v>
      </c>
      <c r="B9" s="12" t="s">
        <v>10</v>
      </c>
      <c r="C9" s="12"/>
      <c r="D9" s="12" t="s">
        <v>157</v>
      </c>
      <c r="E9" s="12" t="s">
        <v>365</v>
      </c>
      <c r="F9" s="12" t="s">
        <v>366</v>
      </c>
      <c r="G9" s="12" t="s">
        <v>367</v>
      </c>
      <c r="H9" s="12" t="s">
        <v>40</v>
      </c>
      <c r="I9" s="12" t="s">
        <v>26</v>
      </c>
      <c r="J9" s="13" t="s">
        <v>234</v>
      </c>
      <c r="K9" s="14" t="s">
        <v>368</v>
      </c>
      <c r="L9" s="15">
        <v>10</v>
      </c>
      <c r="M9" s="15" t="s">
        <v>144</v>
      </c>
      <c r="N9" s="16">
        <v>46253</v>
      </c>
      <c r="O9" s="12" t="s">
        <v>364</v>
      </c>
      <c r="P9" s="14" t="s">
        <v>369</v>
      </c>
      <c r="Q9" s="17" t="s">
        <v>137</v>
      </c>
      <c r="R9" s="17" t="s">
        <v>146</v>
      </c>
    </row>
    <row r="10" spans="1:18" x14ac:dyDescent="0.3">
      <c r="A10" s="12" t="s">
        <v>412</v>
      </c>
      <c r="B10" s="12" t="s">
        <v>10</v>
      </c>
      <c r="C10" s="12"/>
      <c r="D10" s="12" t="s">
        <v>252</v>
      </c>
      <c r="E10" s="12" t="s">
        <v>413</v>
      </c>
      <c r="F10" s="12"/>
      <c r="G10" s="12" t="s">
        <v>414</v>
      </c>
      <c r="H10" s="12" t="s">
        <v>46</v>
      </c>
      <c r="I10" s="12" t="s">
        <v>26</v>
      </c>
      <c r="J10" s="13" t="s">
        <v>415</v>
      </c>
      <c r="K10" s="14" t="s">
        <v>416</v>
      </c>
      <c r="L10" s="15">
        <v>0</v>
      </c>
      <c r="M10" s="15" t="s">
        <v>144</v>
      </c>
      <c r="N10" s="16">
        <v>44971</v>
      </c>
      <c r="O10" s="12" t="s">
        <v>412</v>
      </c>
      <c r="P10" s="14" t="s">
        <v>417</v>
      </c>
      <c r="Q10" s="17" t="s">
        <v>137</v>
      </c>
      <c r="R10" s="17" t="s">
        <v>146</v>
      </c>
    </row>
    <row r="11" spans="1:18" x14ac:dyDescent="0.3">
      <c r="A11" s="12" t="s">
        <v>439</v>
      </c>
      <c r="B11" s="12" t="s">
        <v>10</v>
      </c>
      <c r="C11" s="12"/>
      <c r="D11" s="12" t="s">
        <v>440</v>
      </c>
      <c r="E11" s="12" t="s">
        <v>441</v>
      </c>
      <c r="F11" s="12"/>
      <c r="G11" s="12" t="s">
        <v>414</v>
      </c>
      <c r="H11" s="12" t="s">
        <v>46</v>
      </c>
      <c r="I11" s="12" t="s">
        <v>26</v>
      </c>
      <c r="J11" s="13" t="s">
        <v>415</v>
      </c>
      <c r="K11" s="14" t="s">
        <v>442</v>
      </c>
      <c r="L11" s="15">
        <v>4</v>
      </c>
      <c r="M11" s="15" t="s">
        <v>144</v>
      </c>
      <c r="N11" s="16">
        <v>45027</v>
      </c>
      <c r="O11" s="12" t="s">
        <v>443</v>
      </c>
      <c r="P11" s="14" t="s">
        <v>444</v>
      </c>
      <c r="Q11" s="17" t="s">
        <v>137</v>
      </c>
      <c r="R11" s="17" t="s">
        <v>146</v>
      </c>
    </row>
    <row r="12" spans="1:18" x14ac:dyDescent="0.3">
      <c r="A12" s="12" t="s">
        <v>498</v>
      </c>
      <c r="B12" s="12" t="s">
        <v>10</v>
      </c>
      <c r="C12" s="12"/>
      <c r="D12" s="12" t="s">
        <v>157</v>
      </c>
      <c r="E12" s="12" t="s">
        <v>499</v>
      </c>
      <c r="F12" s="12" t="s">
        <v>359</v>
      </c>
      <c r="G12" s="12" t="s">
        <v>489</v>
      </c>
      <c r="H12" s="12" t="s">
        <v>61</v>
      </c>
      <c r="I12" s="12" t="s">
        <v>26</v>
      </c>
      <c r="J12" s="13" t="s">
        <v>490</v>
      </c>
      <c r="K12" s="14" t="s">
        <v>500</v>
      </c>
      <c r="L12" s="15">
        <v>1</v>
      </c>
      <c r="M12" s="15" t="s">
        <v>144</v>
      </c>
      <c r="N12" s="16">
        <v>46029</v>
      </c>
      <c r="O12" s="12" t="s">
        <v>498</v>
      </c>
      <c r="P12" s="14" t="s">
        <v>501</v>
      </c>
      <c r="Q12" s="17" t="s">
        <v>137</v>
      </c>
      <c r="R12" s="17" t="s">
        <v>146</v>
      </c>
    </row>
    <row r="13" spans="1:18" x14ac:dyDescent="0.3">
      <c r="A13" s="12" t="s">
        <v>508</v>
      </c>
      <c r="B13" s="12" t="s">
        <v>10</v>
      </c>
      <c r="C13" s="12"/>
      <c r="D13" s="12" t="s">
        <v>157</v>
      </c>
      <c r="E13" s="12" t="s">
        <v>509</v>
      </c>
      <c r="F13" s="12" t="s">
        <v>510</v>
      </c>
      <c r="G13" s="12" t="s">
        <v>511</v>
      </c>
      <c r="H13" s="12" t="s">
        <v>61</v>
      </c>
      <c r="I13" s="12" t="s">
        <v>26</v>
      </c>
      <c r="J13" s="13" t="s">
        <v>512</v>
      </c>
      <c r="K13" s="14" t="s">
        <v>513</v>
      </c>
      <c r="L13" s="15">
        <v>0</v>
      </c>
      <c r="M13" s="15" t="s">
        <v>220</v>
      </c>
      <c r="N13" s="16">
        <v>45701</v>
      </c>
      <c r="O13" s="12" t="s">
        <v>508</v>
      </c>
      <c r="P13" s="14" t="s">
        <v>514</v>
      </c>
      <c r="Q13" s="17" t="s">
        <v>137</v>
      </c>
      <c r="R13" s="17" t="s">
        <v>146</v>
      </c>
    </row>
    <row r="14" spans="1:18" x14ac:dyDescent="0.3">
      <c r="A14" s="12" t="s">
        <v>508</v>
      </c>
      <c r="B14" s="12" t="s">
        <v>10</v>
      </c>
      <c r="C14" s="12"/>
      <c r="D14" s="12" t="s">
        <v>157</v>
      </c>
      <c r="E14" s="12" t="s">
        <v>515</v>
      </c>
      <c r="F14" s="12" t="s">
        <v>516</v>
      </c>
      <c r="G14" s="12" t="s">
        <v>511</v>
      </c>
      <c r="H14" s="12" t="s">
        <v>61</v>
      </c>
      <c r="I14" s="12" t="s">
        <v>26</v>
      </c>
      <c r="J14" s="13" t="s">
        <v>512</v>
      </c>
      <c r="K14" s="14" t="s">
        <v>517</v>
      </c>
      <c r="L14" s="15">
        <v>0</v>
      </c>
      <c r="M14" s="15" t="s">
        <v>220</v>
      </c>
      <c r="N14" s="16">
        <v>45701</v>
      </c>
      <c r="O14" s="12" t="s">
        <v>508</v>
      </c>
      <c r="P14" s="14" t="s">
        <v>514</v>
      </c>
      <c r="Q14" s="17" t="s">
        <v>137</v>
      </c>
      <c r="R14" s="17" t="s">
        <v>146</v>
      </c>
    </row>
    <row r="15" spans="1:18" x14ac:dyDescent="0.3">
      <c r="A15" s="12" t="s">
        <v>587</v>
      </c>
      <c r="B15" s="12" t="s">
        <v>10</v>
      </c>
      <c r="C15" s="12"/>
      <c r="D15" s="12" t="s">
        <v>588</v>
      </c>
      <c r="E15" s="12" t="s">
        <v>589</v>
      </c>
      <c r="F15" s="12" t="s">
        <v>188</v>
      </c>
      <c r="G15" s="12" t="s">
        <v>569</v>
      </c>
      <c r="H15" s="12" t="s">
        <v>38</v>
      </c>
      <c r="I15" s="12" t="s">
        <v>26</v>
      </c>
      <c r="J15" s="13" t="s">
        <v>570</v>
      </c>
      <c r="K15" s="14" t="s">
        <v>590</v>
      </c>
      <c r="L15" s="15">
        <v>2</v>
      </c>
      <c r="M15" s="15" t="s">
        <v>220</v>
      </c>
      <c r="N15" s="16">
        <v>45176</v>
      </c>
      <c r="O15" s="12" t="s">
        <v>591</v>
      </c>
      <c r="P15" s="14" t="s">
        <v>592</v>
      </c>
      <c r="Q15" s="17" t="s">
        <v>137</v>
      </c>
      <c r="R15" s="17" t="s">
        <v>146</v>
      </c>
    </row>
    <row r="16" spans="1:18" x14ac:dyDescent="0.3">
      <c r="A16" s="12" t="s">
        <v>624</v>
      </c>
      <c r="B16" s="12" t="s">
        <v>10</v>
      </c>
      <c r="C16" s="12" t="s">
        <v>180</v>
      </c>
      <c r="D16" s="12" t="s">
        <v>283</v>
      </c>
      <c r="E16" s="12" t="s">
        <v>625</v>
      </c>
      <c r="F16" s="12" t="s">
        <v>626</v>
      </c>
      <c r="G16" s="12" t="s">
        <v>569</v>
      </c>
      <c r="H16" s="12" t="s">
        <v>38</v>
      </c>
      <c r="I16" s="12" t="s">
        <v>26</v>
      </c>
      <c r="J16" s="13" t="s">
        <v>570</v>
      </c>
      <c r="K16" s="14" t="s">
        <v>627</v>
      </c>
      <c r="L16" s="15">
        <v>1</v>
      </c>
      <c r="M16" s="15" t="s">
        <v>144</v>
      </c>
      <c r="N16" s="16">
        <v>45911</v>
      </c>
      <c r="O16" s="12" t="s">
        <v>624</v>
      </c>
      <c r="P16" s="14" t="s">
        <v>628</v>
      </c>
      <c r="Q16" s="17" t="s">
        <v>137</v>
      </c>
      <c r="R16" s="17" t="s">
        <v>146</v>
      </c>
    </row>
    <row r="17" spans="1:18" x14ac:dyDescent="0.3">
      <c r="A17" s="12" t="s">
        <v>292</v>
      </c>
      <c r="B17" s="12" t="s">
        <v>10</v>
      </c>
      <c r="C17" s="12"/>
      <c r="D17" s="12" t="s">
        <v>647</v>
      </c>
      <c r="E17" s="12" t="s">
        <v>648</v>
      </c>
      <c r="F17" s="12" t="s">
        <v>218</v>
      </c>
      <c r="G17" s="12" t="s">
        <v>569</v>
      </c>
      <c r="H17" s="12" t="s">
        <v>38</v>
      </c>
      <c r="I17" s="12" t="s">
        <v>26</v>
      </c>
      <c r="J17" s="13" t="s">
        <v>570</v>
      </c>
      <c r="K17" s="14" t="s">
        <v>294</v>
      </c>
      <c r="L17" s="15">
        <v>2</v>
      </c>
      <c r="M17" s="15" t="s">
        <v>220</v>
      </c>
      <c r="N17" s="16">
        <v>45978</v>
      </c>
      <c r="O17" s="12" t="s">
        <v>292</v>
      </c>
      <c r="P17" s="14" t="s">
        <v>649</v>
      </c>
      <c r="Q17" s="17" t="s">
        <v>137</v>
      </c>
      <c r="R17" s="17" t="s">
        <v>146</v>
      </c>
    </row>
    <row r="18" spans="1:18" x14ac:dyDescent="0.3">
      <c r="A18" s="12" t="s">
        <v>591</v>
      </c>
      <c r="B18" s="12" t="s">
        <v>10</v>
      </c>
      <c r="C18" s="12"/>
      <c r="D18" s="12" t="s">
        <v>650</v>
      </c>
      <c r="E18" s="12" t="s">
        <v>589</v>
      </c>
      <c r="F18" s="12" t="s">
        <v>188</v>
      </c>
      <c r="G18" s="12" t="s">
        <v>569</v>
      </c>
      <c r="H18" s="12" t="s">
        <v>38</v>
      </c>
      <c r="I18" s="12" t="s">
        <v>26</v>
      </c>
      <c r="J18" s="13" t="s">
        <v>570</v>
      </c>
      <c r="K18" s="14" t="s">
        <v>590</v>
      </c>
      <c r="L18" s="15">
        <v>3</v>
      </c>
      <c r="M18" s="15" t="s">
        <v>220</v>
      </c>
      <c r="N18" s="16">
        <v>46087</v>
      </c>
      <c r="O18" s="12" t="s">
        <v>591</v>
      </c>
      <c r="P18" s="14" t="s">
        <v>651</v>
      </c>
      <c r="Q18" s="17" t="s">
        <v>137</v>
      </c>
      <c r="R18" s="17" t="s">
        <v>146</v>
      </c>
    </row>
    <row r="19" spans="1:18" x14ac:dyDescent="0.3">
      <c r="A19" s="12" t="s">
        <v>215</v>
      </c>
      <c r="B19" s="12" t="s">
        <v>10</v>
      </c>
      <c r="C19" s="12" t="s">
        <v>14</v>
      </c>
      <c r="D19" s="12" t="s">
        <v>702</v>
      </c>
      <c r="E19" s="12" t="s">
        <v>703</v>
      </c>
      <c r="F19" s="12"/>
      <c r="G19" s="12" t="s">
        <v>670</v>
      </c>
      <c r="H19" s="12" t="s">
        <v>38</v>
      </c>
      <c r="I19" s="12" t="s">
        <v>26</v>
      </c>
      <c r="J19" s="13" t="s">
        <v>675</v>
      </c>
      <c r="K19" s="14" t="s">
        <v>219</v>
      </c>
      <c r="L19" s="15">
        <v>23</v>
      </c>
      <c r="M19" s="15" t="s">
        <v>220</v>
      </c>
      <c r="N19" s="16">
        <v>45867</v>
      </c>
      <c r="O19" s="12" t="s">
        <v>215</v>
      </c>
      <c r="P19" s="14" t="s">
        <v>704</v>
      </c>
      <c r="Q19" s="17" t="s">
        <v>137</v>
      </c>
      <c r="R19" s="17" t="s">
        <v>146</v>
      </c>
    </row>
    <row r="20" spans="1:18" x14ac:dyDescent="0.3">
      <c r="A20" s="12" t="s">
        <v>719</v>
      </c>
      <c r="B20" s="12" t="s">
        <v>10</v>
      </c>
      <c r="C20" s="12"/>
      <c r="D20" s="12" t="s">
        <v>720</v>
      </c>
      <c r="E20" s="12" t="s">
        <v>721</v>
      </c>
      <c r="F20" s="12"/>
      <c r="G20" s="12" t="s">
        <v>722</v>
      </c>
      <c r="H20" s="12" t="s">
        <v>38</v>
      </c>
      <c r="I20" s="12" t="s">
        <v>26</v>
      </c>
      <c r="J20" s="13" t="s">
        <v>723</v>
      </c>
      <c r="K20" s="14" t="s">
        <v>724</v>
      </c>
      <c r="L20" s="15">
        <v>0</v>
      </c>
      <c r="M20" s="15" t="s">
        <v>144</v>
      </c>
      <c r="N20" s="16">
        <v>46143</v>
      </c>
      <c r="O20" s="12" t="s">
        <v>236</v>
      </c>
      <c r="P20" s="14" t="s">
        <v>725</v>
      </c>
      <c r="Q20" s="17" t="s">
        <v>137</v>
      </c>
      <c r="R20" s="17" t="s">
        <v>146</v>
      </c>
    </row>
    <row r="21" spans="1:18" x14ac:dyDescent="0.3">
      <c r="A21" s="12" t="s">
        <v>794</v>
      </c>
      <c r="B21" s="12" t="s">
        <v>10</v>
      </c>
      <c r="C21" s="12"/>
      <c r="D21" s="12" t="s">
        <v>230</v>
      </c>
      <c r="E21" s="12" t="s">
        <v>795</v>
      </c>
      <c r="F21" s="12"/>
      <c r="G21" s="12" t="s">
        <v>785</v>
      </c>
      <c r="H21" s="12" t="s">
        <v>38</v>
      </c>
      <c r="I21" s="12" t="s">
        <v>26</v>
      </c>
      <c r="J21" s="13" t="s">
        <v>786</v>
      </c>
      <c r="K21" s="14" t="s">
        <v>796</v>
      </c>
      <c r="L21" s="15">
        <v>0</v>
      </c>
      <c r="M21" s="15" t="s">
        <v>144</v>
      </c>
      <c r="N21" s="16">
        <v>46036</v>
      </c>
      <c r="O21" s="12" t="s">
        <v>236</v>
      </c>
      <c r="P21" s="14" t="s">
        <v>797</v>
      </c>
      <c r="Q21" s="17" t="s">
        <v>137</v>
      </c>
      <c r="R21" s="17" t="s">
        <v>146</v>
      </c>
    </row>
    <row r="22" spans="1:18" x14ac:dyDescent="0.3">
      <c r="A22" s="12" t="s">
        <v>798</v>
      </c>
      <c r="B22" s="12" t="s">
        <v>10</v>
      </c>
      <c r="C22" s="12"/>
      <c r="D22" s="12" t="s">
        <v>647</v>
      </c>
      <c r="E22" s="12" t="s">
        <v>795</v>
      </c>
      <c r="F22" s="12"/>
      <c r="G22" s="12" t="s">
        <v>785</v>
      </c>
      <c r="H22" s="12" t="s">
        <v>38</v>
      </c>
      <c r="I22" s="12" t="s">
        <v>26</v>
      </c>
      <c r="J22" s="13" t="s">
        <v>786</v>
      </c>
      <c r="K22" s="14" t="s">
        <v>799</v>
      </c>
      <c r="L22" s="15">
        <v>0</v>
      </c>
      <c r="M22" s="15" t="s">
        <v>144</v>
      </c>
      <c r="N22" s="16">
        <v>45671</v>
      </c>
      <c r="O22" s="12" t="s">
        <v>236</v>
      </c>
      <c r="P22" s="14" t="s">
        <v>800</v>
      </c>
      <c r="Q22" s="17" t="s">
        <v>137</v>
      </c>
      <c r="R22" s="17" t="s">
        <v>146</v>
      </c>
    </row>
    <row r="23" spans="1:18" x14ac:dyDescent="0.3">
      <c r="A23" s="12" t="s">
        <v>215</v>
      </c>
      <c r="B23" s="12" t="s">
        <v>10</v>
      </c>
      <c r="C23" s="12" t="s">
        <v>16</v>
      </c>
      <c r="D23" s="12" t="s">
        <v>835</v>
      </c>
      <c r="E23" s="12" t="s">
        <v>836</v>
      </c>
      <c r="F23" s="12"/>
      <c r="G23" s="12" t="s">
        <v>785</v>
      </c>
      <c r="H23" s="12" t="s">
        <v>38</v>
      </c>
      <c r="I23" s="12" t="s">
        <v>26</v>
      </c>
      <c r="J23" s="13" t="s">
        <v>786</v>
      </c>
      <c r="K23" s="14" t="s">
        <v>294</v>
      </c>
      <c r="L23" s="15">
        <v>0</v>
      </c>
      <c r="M23" s="15" t="s">
        <v>144</v>
      </c>
      <c r="N23" s="16">
        <v>45818</v>
      </c>
      <c r="O23" s="12" t="s">
        <v>215</v>
      </c>
      <c r="P23" s="14" t="s">
        <v>837</v>
      </c>
      <c r="Q23" s="17" t="s">
        <v>137</v>
      </c>
      <c r="R23" s="17" t="s">
        <v>146</v>
      </c>
    </row>
    <row r="24" spans="1:18" x14ac:dyDescent="0.3">
      <c r="A24" s="12" t="s">
        <v>879</v>
      </c>
      <c r="B24" s="12" t="s">
        <v>10</v>
      </c>
      <c r="C24" s="12"/>
      <c r="D24" s="12" t="s">
        <v>880</v>
      </c>
      <c r="E24" s="12" t="s">
        <v>881</v>
      </c>
      <c r="F24" s="12"/>
      <c r="G24" s="12" t="s">
        <v>882</v>
      </c>
      <c r="H24" s="12" t="s">
        <v>38</v>
      </c>
      <c r="I24" s="12" t="s">
        <v>26</v>
      </c>
      <c r="J24" s="13" t="s">
        <v>850</v>
      </c>
      <c r="K24" s="14" t="s">
        <v>883</v>
      </c>
      <c r="L24" s="15">
        <v>0</v>
      </c>
      <c r="M24" s="15" t="s">
        <v>144</v>
      </c>
      <c r="N24" s="16">
        <v>45944</v>
      </c>
      <c r="O24" s="12" t="s">
        <v>884</v>
      </c>
      <c r="P24" s="14" t="s">
        <v>885</v>
      </c>
      <c r="Q24" s="17" t="s">
        <v>137</v>
      </c>
      <c r="R24" s="17" t="s">
        <v>146</v>
      </c>
    </row>
    <row r="25" spans="1:18" x14ac:dyDescent="0.3">
      <c r="A25" s="12" t="s">
        <v>928</v>
      </c>
      <c r="B25" s="12" t="s">
        <v>10</v>
      </c>
      <c r="C25" s="12" t="s">
        <v>929</v>
      </c>
      <c r="D25" s="12" t="s">
        <v>930</v>
      </c>
      <c r="E25" s="12" t="s">
        <v>931</v>
      </c>
      <c r="F25" s="12" t="s">
        <v>218</v>
      </c>
      <c r="G25" s="12" t="s">
        <v>898</v>
      </c>
      <c r="H25" s="12" t="s">
        <v>36</v>
      </c>
      <c r="I25" s="12" t="s">
        <v>26</v>
      </c>
      <c r="J25" s="13" t="s">
        <v>905</v>
      </c>
      <c r="K25" s="14" t="s">
        <v>932</v>
      </c>
      <c r="L25" s="15">
        <v>0</v>
      </c>
      <c r="M25" s="15" t="s">
        <v>220</v>
      </c>
      <c r="N25" s="16">
        <v>46177</v>
      </c>
      <c r="O25" s="12" t="s">
        <v>928</v>
      </c>
      <c r="P25" s="14" t="s">
        <v>933</v>
      </c>
      <c r="Q25" s="17" t="s">
        <v>137</v>
      </c>
      <c r="R25" s="17" t="s">
        <v>146</v>
      </c>
    </row>
    <row r="26" spans="1:18" x14ac:dyDescent="0.3">
      <c r="A26" s="12" t="s">
        <v>938</v>
      </c>
      <c r="B26" s="12" t="s">
        <v>10</v>
      </c>
      <c r="C26" s="12"/>
      <c r="D26" s="12" t="s">
        <v>157</v>
      </c>
      <c r="E26" s="12" t="s">
        <v>939</v>
      </c>
      <c r="F26" s="12" t="s">
        <v>940</v>
      </c>
      <c r="G26" s="12" t="s">
        <v>898</v>
      </c>
      <c r="H26" s="12" t="s">
        <v>36</v>
      </c>
      <c r="I26" s="12" t="s">
        <v>26</v>
      </c>
      <c r="J26" s="13" t="s">
        <v>941</v>
      </c>
      <c r="K26" s="14" t="s">
        <v>942</v>
      </c>
      <c r="L26" s="15">
        <v>0</v>
      </c>
      <c r="M26" s="15" t="s">
        <v>144</v>
      </c>
      <c r="N26" s="16">
        <v>45498</v>
      </c>
      <c r="O26" s="12" t="s">
        <v>938</v>
      </c>
      <c r="P26" s="14" t="s">
        <v>943</v>
      </c>
      <c r="Q26" s="17" t="s">
        <v>137</v>
      </c>
      <c r="R26" s="17" t="s">
        <v>146</v>
      </c>
    </row>
    <row r="27" spans="1:18" x14ac:dyDescent="0.3">
      <c r="A27" s="12" t="s">
        <v>944</v>
      </c>
      <c r="B27" s="12" t="s">
        <v>10</v>
      </c>
      <c r="C27" s="12" t="s">
        <v>14</v>
      </c>
      <c r="D27" s="12" t="s">
        <v>945</v>
      </c>
      <c r="E27" s="12" t="s">
        <v>946</v>
      </c>
      <c r="F27" s="12" t="s">
        <v>947</v>
      </c>
      <c r="G27" s="12" t="s">
        <v>898</v>
      </c>
      <c r="H27" s="12" t="s">
        <v>36</v>
      </c>
      <c r="I27" s="12" t="s">
        <v>26</v>
      </c>
      <c r="J27" s="13" t="s">
        <v>899</v>
      </c>
      <c r="K27" s="14" t="s">
        <v>948</v>
      </c>
      <c r="L27" s="15">
        <v>19</v>
      </c>
      <c r="M27" s="15" t="s">
        <v>144</v>
      </c>
      <c r="N27" s="16">
        <v>44901</v>
      </c>
      <c r="O27" s="12" t="s">
        <v>944</v>
      </c>
      <c r="P27" s="14" t="s">
        <v>949</v>
      </c>
      <c r="Q27" s="17" t="s">
        <v>137</v>
      </c>
      <c r="R27" s="17" t="s">
        <v>146</v>
      </c>
    </row>
    <row r="28" spans="1:18" x14ac:dyDescent="0.3">
      <c r="A28" s="12" t="s">
        <v>971</v>
      </c>
      <c r="B28" s="12" t="s">
        <v>10</v>
      </c>
      <c r="C28" s="12" t="s">
        <v>14</v>
      </c>
      <c r="D28" s="12" t="s">
        <v>972</v>
      </c>
      <c r="E28" s="12" t="s">
        <v>973</v>
      </c>
      <c r="F28" s="12"/>
      <c r="G28" s="12" t="s">
        <v>898</v>
      </c>
      <c r="H28" s="12" t="s">
        <v>36</v>
      </c>
      <c r="I28" s="12" t="s">
        <v>26</v>
      </c>
      <c r="J28" s="13" t="s">
        <v>905</v>
      </c>
      <c r="K28" s="14" t="s">
        <v>974</v>
      </c>
      <c r="L28" s="15">
        <v>78</v>
      </c>
      <c r="M28" s="15" t="s">
        <v>220</v>
      </c>
      <c r="N28" s="16">
        <v>46237</v>
      </c>
      <c r="O28" s="12" t="s">
        <v>971</v>
      </c>
      <c r="P28" s="14" t="s">
        <v>975</v>
      </c>
      <c r="Q28" s="17" t="s">
        <v>137</v>
      </c>
      <c r="R28" s="17" t="s">
        <v>146</v>
      </c>
    </row>
    <row r="29" spans="1:18" x14ac:dyDescent="0.3">
      <c r="A29" s="12" t="s">
        <v>976</v>
      </c>
      <c r="B29" s="12" t="s">
        <v>10</v>
      </c>
      <c r="C29" s="12" t="s">
        <v>14</v>
      </c>
      <c r="D29" s="12" t="s">
        <v>972</v>
      </c>
      <c r="E29" s="12" t="s">
        <v>973</v>
      </c>
      <c r="F29" s="12"/>
      <c r="G29" s="12" t="s">
        <v>898</v>
      </c>
      <c r="H29" s="12" t="s">
        <v>36</v>
      </c>
      <c r="I29" s="12" t="s">
        <v>26</v>
      </c>
      <c r="J29" s="13" t="s">
        <v>905</v>
      </c>
      <c r="K29" s="14" t="s">
        <v>974</v>
      </c>
      <c r="L29" s="15">
        <v>78</v>
      </c>
      <c r="M29" s="15" t="s">
        <v>220</v>
      </c>
      <c r="N29" s="16">
        <v>46237</v>
      </c>
      <c r="O29" s="12" t="s">
        <v>971</v>
      </c>
      <c r="P29" s="14" t="s">
        <v>977</v>
      </c>
      <c r="Q29" s="17" t="s">
        <v>137</v>
      </c>
      <c r="R29" s="17" t="s">
        <v>146</v>
      </c>
    </row>
    <row r="30" spans="1:18" x14ac:dyDescent="0.3">
      <c r="A30" s="12" t="s">
        <v>998</v>
      </c>
      <c r="B30" s="12" t="s">
        <v>10</v>
      </c>
      <c r="C30" s="12"/>
      <c r="D30" s="12" t="s">
        <v>216</v>
      </c>
      <c r="E30" s="12" t="s">
        <v>999</v>
      </c>
      <c r="F30" s="12" t="s">
        <v>188</v>
      </c>
      <c r="G30" s="12" t="s">
        <v>1000</v>
      </c>
      <c r="H30" s="12" t="s">
        <v>36</v>
      </c>
      <c r="I30" s="12" t="s">
        <v>26</v>
      </c>
      <c r="J30" s="13" t="s">
        <v>1001</v>
      </c>
      <c r="K30" s="14" t="s">
        <v>1002</v>
      </c>
      <c r="L30" s="15">
        <v>0</v>
      </c>
      <c r="M30" s="15" t="s">
        <v>144</v>
      </c>
      <c r="N30" s="16">
        <v>46042</v>
      </c>
      <c r="O30" s="12" t="s">
        <v>236</v>
      </c>
      <c r="P30" s="14" t="s">
        <v>1003</v>
      </c>
      <c r="Q30" s="17" t="s">
        <v>137</v>
      </c>
      <c r="R30" s="17" t="s">
        <v>146</v>
      </c>
    </row>
    <row r="31" spans="1:18" x14ac:dyDescent="0.3">
      <c r="A31" s="12" t="s">
        <v>1032</v>
      </c>
      <c r="B31" s="12" t="s">
        <v>12</v>
      </c>
      <c r="C31" s="12" t="s">
        <v>10</v>
      </c>
      <c r="D31" s="12" t="s">
        <v>1033</v>
      </c>
      <c r="E31" s="12" t="s">
        <v>1034</v>
      </c>
      <c r="F31" s="12"/>
      <c r="G31" s="12" t="s">
        <v>1026</v>
      </c>
      <c r="H31" s="12" t="s">
        <v>36</v>
      </c>
      <c r="I31" s="12" t="s">
        <v>26</v>
      </c>
      <c r="J31" s="13" t="s">
        <v>1027</v>
      </c>
      <c r="K31" s="14" t="s">
        <v>1035</v>
      </c>
      <c r="L31" s="15">
        <v>5</v>
      </c>
      <c r="M31" s="15" t="s">
        <v>144</v>
      </c>
      <c r="N31" s="16">
        <v>44881</v>
      </c>
      <c r="O31" s="12" t="s">
        <v>1036</v>
      </c>
      <c r="P31" s="14" t="s">
        <v>1037</v>
      </c>
      <c r="Q31" s="17" t="s">
        <v>137</v>
      </c>
      <c r="R31" s="17" t="s">
        <v>146</v>
      </c>
    </row>
    <row r="32" spans="1:18" x14ac:dyDescent="0.3">
      <c r="A32" s="12" t="s">
        <v>1062</v>
      </c>
      <c r="B32" s="12" t="s">
        <v>10</v>
      </c>
      <c r="C32" s="12"/>
      <c r="D32" s="12" t="s">
        <v>647</v>
      </c>
      <c r="E32" s="12" t="s">
        <v>1063</v>
      </c>
      <c r="F32" s="12" t="s">
        <v>940</v>
      </c>
      <c r="G32" s="12" t="s">
        <v>1058</v>
      </c>
      <c r="H32" s="12" t="s">
        <v>36</v>
      </c>
      <c r="I32" s="12" t="s">
        <v>26</v>
      </c>
      <c r="J32" s="13" t="s">
        <v>1064</v>
      </c>
      <c r="K32" s="14" t="s">
        <v>1065</v>
      </c>
      <c r="L32" s="15">
        <v>1</v>
      </c>
      <c r="M32" s="15" t="s">
        <v>220</v>
      </c>
      <c r="N32" s="16">
        <v>45716</v>
      </c>
      <c r="O32" s="12" t="s">
        <v>236</v>
      </c>
      <c r="P32" s="14" t="s">
        <v>1066</v>
      </c>
      <c r="Q32" s="17" t="s">
        <v>137</v>
      </c>
      <c r="R32" s="17" t="s">
        <v>146</v>
      </c>
    </row>
    <row r="33" spans="1:18" x14ac:dyDescent="0.3">
      <c r="A33" s="12" t="s">
        <v>1114</v>
      </c>
      <c r="B33" s="12" t="s">
        <v>10</v>
      </c>
      <c r="C33" s="12"/>
      <c r="D33" s="12" t="s">
        <v>720</v>
      </c>
      <c r="E33" s="12" t="s">
        <v>1109</v>
      </c>
      <c r="F33" s="12" t="s">
        <v>832</v>
      </c>
      <c r="G33" s="12" t="s">
        <v>1058</v>
      </c>
      <c r="H33" s="12" t="s">
        <v>36</v>
      </c>
      <c r="I33" s="12" t="s">
        <v>26</v>
      </c>
      <c r="J33" s="13" t="s">
        <v>1064</v>
      </c>
      <c r="K33" s="14" t="s">
        <v>1115</v>
      </c>
      <c r="L33" s="15">
        <v>1</v>
      </c>
      <c r="M33" s="15" t="s">
        <v>144</v>
      </c>
      <c r="N33" s="16">
        <v>46141</v>
      </c>
      <c r="O33" s="12" t="s">
        <v>1116</v>
      </c>
      <c r="P33" s="14" t="s">
        <v>1117</v>
      </c>
      <c r="Q33" s="17" t="s">
        <v>137</v>
      </c>
      <c r="R33" s="17" t="s">
        <v>146</v>
      </c>
    </row>
    <row r="34" spans="1:18" x14ac:dyDescent="0.3">
      <c r="A34" s="12" t="s">
        <v>1144</v>
      </c>
      <c r="B34" s="12" t="s">
        <v>10</v>
      </c>
      <c r="C34" s="12"/>
      <c r="D34" s="12" t="s">
        <v>647</v>
      </c>
      <c r="E34" s="12" t="s">
        <v>1145</v>
      </c>
      <c r="F34" s="12" t="s">
        <v>1088</v>
      </c>
      <c r="G34" s="12" t="s">
        <v>1058</v>
      </c>
      <c r="H34" s="12" t="s">
        <v>36</v>
      </c>
      <c r="I34" s="12" t="s">
        <v>26</v>
      </c>
      <c r="J34" s="13" t="s">
        <v>1064</v>
      </c>
      <c r="K34" s="14" t="s">
        <v>294</v>
      </c>
      <c r="L34" s="15">
        <v>0</v>
      </c>
      <c r="M34" s="15" t="s">
        <v>220</v>
      </c>
      <c r="N34" s="16">
        <v>45145</v>
      </c>
      <c r="O34" s="12" t="s">
        <v>1144</v>
      </c>
      <c r="P34" s="14" t="s">
        <v>1146</v>
      </c>
      <c r="Q34" s="17" t="s">
        <v>137</v>
      </c>
      <c r="R34" s="17" t="s">
        <v>146</v>
      </c>
    </row>
    <row r="35" spans="1:18" x14ac:dyDescent="0.3">
      <c r="A35" s="12" t="s">
        <v>998</v>
      </c>
      <c r="B35" s="12" t="s">
        <v>10</v>
      </c>
      <c r="C35" s="12"/>
      <c r="D35" s="12" t="s">
        <v>216</v>
      </c>
      <c r="E35" s="12" t="s">
        <v>1162</v>
      </c>
      <c r="F35" s="12" t="s">
        <v>1163</v>
      </c>
      <c r="G35" s="12" t="s">
        <v>1158</v>
      </c>
      <c r="H35" s="12" t="s">
        <v>36</v>
      </c>
      <c r="I35" s="12" t="s">
        <v>26</v>
      </c>
      <c r="J35" s="13" t="s">
        <v>941</v>
      </c>
      <c r="K35" s="14" t="s">
        <v>1002</v>
      </c>
      <c r="L35" s="15">
        <v>43</v>
      </c>
      <c r="M35" s="15" t="s">
        <v>220</v>
      </c>
      <c r="N35" s="16">
        <v>46042</v>
      </c>
      <c r="O35" s="12" t="s">
        <v>236</v>
      </c>
      <c r="P35" s="14" t="s">
        <v>1003</v>
      </c>
      <c r="Q35" s="17" t="s">
        <v>137</v>
      </c>
      <c r="R35" s="17" t="s">
        <v>146</v>
      </c>
    </row>
    <row r="36" spans="1:18" x14ac:dyDescent="0.3">
      <c r="A36" s="12" t="s">
        <v>1215</v>
      </c>
      <c r="B36" s="12" t="s">
        <v>10</v>
      </c>
      <c r="C36" s="12"/>
      <c r="D36" s="12" t="s">
        <v>157</v>
      </c>
      <c r="E36" s="12" t="s">
        <v>1216</v>
      </c>
      <c r="F36" s="12" t="s">
        <v>218</v>
      </c>
      <c r="G36" s="12" t="s">
        <v>1158</v>
      </c>
      <c r="H36" s="12" t="s">
        <v>36</v>
      </c>
      <c r="I36" s="12" t="s">
        <v>26</v>
      </c>
      <c r="J36" s="13" t="s">
        <v>1217</v>
      </c>
      <c r="K36" s="14" t="s">
        <v>1218</v>
      </c>
      <c r="L36" s="15">
        <v>0</v>
      </c>
      <c r="M36" s="15" t="s">
        <v>144</v>
      </c>
      <c r="N36" s="16">
        <v>46128</v>
      </c>
      <c r="O36" s="12" t="s">
        <v>1219</v>
      </c>
      <c r="P36" s="14" t="s">
        <v>1220</v>
      </c>
      <c r="Q36" s="17" t="s">
        <v>137</v>
      </c>
      <c r="R36" s="17" t="s">
        <v>146</v>
      </c>
    </row>
    <row r="37" spans="1:18" x14ac:dyDescent="0.3">
      <c r="A37" s="12" t="s">
        <v>1227</v>
      </c>
      <c r="B37" s="12" t="s">
        <v>10</v>
      </c>
      <c r="C37" s="12"/>
      <c r="D37" s="12" t="s">
        <v>157</v>
      </c>
      <c r="E37" s="12" t="s">
        <v>1228</v>
      </c>
      <c r="F37" s="12" t="s">
        <v>188</v>
      </c>
      <c r="G37" s="12" t="s">
        <v>1158</v>
      </c>
      <c r="H37" s="12" t="s">
        <v>36</v>
      </c>
      <c r="I37" s="12" t="s">
        <v>26</v>
      </c>
      <c r="J37" s="13" t="s">
        <v>941</v>
      </c>
      <c r="K37" s="14" t="s">
        <v>1229</v>
      </c>
      <c r="L37" s="15">
        <v>0</v>
      </c>
      <c r="M37" s="15" t="s">
        <v>144</v>
      </c>
      <c r="N37" s="16">
        <v>45236</v>
      </c>
      <c r="O37" s="12" t="s">
        <v>1230</v>
      </c>
      <c r="P37" s="14" t="s">
        <v>1231</v>
      </c>
      <c r="Q37" s="17" t="s">
        <v>137</v>
      </c>
      <c r="R37" s="17" t="s">
        <v>146</v>
      </c>
    </row>
    <row r="38" spans="1:18" x14ac:dyDescent="0.3">
      <c r="A38" s="12" t="s">
        <v>1232</v>
      </c>
      <c r="B38" s="12" t="s">
        <v>10</v>
      </c>
      <c r="C38" s="12"/>
      <c r="D38" s="12" t="s">
        <v>252</v>
      </c>
      <c r="E38" s="12" t="s">
        <v>1233</v>
      </c>
      <c r="F38" s="12" t="s">
        <v>940</v>
      </c>
      <c r="G38" s="12" t="s">
        <v>1158</v>
      </c>
      <c r="H38" s="12" t="s">
        <v>36</v>
      </c>
      <c r="I38" s="12" t="s">
        <v>26</v>
      </c>
      <c r="J38" s="13" t="s">
        <v>941</v>
      </c>
      <c r="K38" s="14" t="s">
        <v>1234</v>
      </c>
      <c r="L38" s="15">
        <v>1</v>
      </c>
      <c r="M38" s="15" t="s">
        <v>144</v>
      </c>
      <c r="N38" s="16">
        <v>45632</v>
      </c>
      <c r="O38" s="12" t="s">
        <v>1232</v>
      </c>
      <c r="P38" s="14" t="s">
        <v>1235</v>
      </c>
      <c r="Q38" s="17" t="s">
        <v>137</v>
      </c>
      <c r="R38" s="17" t="s">
        <v>146</v>
      </c>
    </row>
    <row r="39" spans="1:18" x14ac:dyDescent="0.3">
      <c r="A39" s="12" t="s">
        <v>1236</v>
      </c>
      <c r="B39" s="12" t="s">
        <v>10</v>
      </c>
      <c r="C39" s="12"/>
      <c r="D39" s="12" t="s">
        <v>647</v>
      </c>
      <c r="E39" s="12" t="s">
        <v>1237</v>
      </c>
      <c r="F39" s="12" t="s">
        <v>1238</v>
      </c>
      <c r="G39" s="12" t="s">
        <v>1158</v>
      </c>
      <c r="H39" s="12" t="s">
        <v>36</v>
      </c>
      <c r="I39" s="12" t="s">
        <v>26</v>
      </c>
      <c r="J39" s="13" t="s">
        <v>941</v>
      </c>
      <c r="K39" s="14" t="s">
        <v>1239</v>
      </c>
      <c r="L39" s="15">
        <v>0</v>
      </c>
      <c r="M39" s="15" t="s">
        <v>220</v>
      </c>
      <c r="N39" s="16">
        <v>46038</v>
      </c>
      <c r="O39" s="12" t="s">
        <v>1236</v>
      </c>
      <c r="P39" s="14" t="s">
        <v>1240</v>
      </c>
      <c r="Q39" s="17" t="s">
        <v>137</v>
      </c>
      <c r="R39" s="17" t="s">
        <v>146</v>
      </c>
    </row>
    <row r="40" spans="1:18" x14ac:dyDescent="0.3">
      <c r="A40" s="12" t="s">
        <v>364</v>
      </c>
      <c r="B40" s="12" t="s">
        <v>10</v>
      </c>
      <c r="C40" s="12"/>
      <c r="D40" s="12" t="s">
        <v>157</v>
      </c>
      <c r="E40" s="12" t="s">
        <v>1252</v>
      </c>
      <c r="F40" s="12" t="s">
        <v>188</v>
      </c>
      <c r="G40" s="12" t="s">
        <v>1158</v>
      </c>
      <c r="H40" s="12" t="s">
        <v>36</v>
      </c>
      <c r="I40" s="12" t="s">
        <v>26</v>
      </c>
      <c r="J40" s="13" t="s">
        <v>1178</v>
      </c>
      <c r="K40" s="14" t="s">
        <v>368</v>
      </c>
      <c r="L40" s="15">
        <v>8</v>
      </c>
      <c r="M40" s="15" t="s">
        <v>144</v>
      </c>
      <c r="N40" s="16">
        <v>46253</v>
      </c>
      <c r="O40" s="12" t="s">
        <v>364</v>
      </c>
      <c r="P40" s="14" t="s">
        <v>369</v>
      </c>
      <c r="Q40" s="17" t="s">
        <v>137</v>
      </c>
      <c r="R40" s="17" t="s">
        <v>146</v>
      </c>
    </row>
    <row r="41" spans="1:18" x14ac:dyDescent="0.3">
      <c r="A41" s="12" t="s">
        <v>1259</v>
      </c>
      <c r="B41" s="12" t="s">
        <v>10</v>
      </c>
      <c r="C41" s="12"/>
      <c r="D41" s="12" t="s">
        <v>647</v>
      </c>
      <c r="E41" s="12" t="s">
        <v>1162</v>
      </c>
      <c r="F41" s="12" t="s">
        <v>366</v>
      </c>
      <c r="G41" s="12" t="s">
        <v>1158</v>
      </c>
      <c r="H41" s="12" t="s">
        <v>36</v>
      </c>
      <c r="I41" s="12" t="s">
        <v>26</v>
      </c>
      <c r="J41" s="13" t="s">
        <v>941</v>
      </c>
      <c r="K41" s="14" t="s">
        <v>1260</v>
      </c>
      <c r="L41" s="15">
        <v>33</v>
      </c>
      <c r="M41" s="15" t="s">
        <v>144</v>
      </c>
      <c r="N41" s="16">
        <v>46161</v>
      </c>
      <c r="O41" s="12" t="s">
        <v>1261</v>
      </c>
      <c r="P41" s="14" t="s">
        <v>1262</v>
      </c>
      <c r="Q41" s="17" t="s">
        <v>137</v>
      </c>
      <c r="R41" s="17" t="s">
        <v>146</v>
      </c>
    </row>
    <row r="42" spans="1:18" x14ac:dyDescent="0.3">
      <c r="A42" s="12" t="s">
        <v>1263</v>
      </c>
      <c r="B42" s="12" t="s">
        <v>10</v>
      </c>
      <c r="C42" s="12" t="s">
        <v>180</v>
      </c>
      <c r="D42" s="12" t="s">
        <v>283</v>
      </c>
      <c r="E42" s="12" t="s">
        <v>1264</v>
      </c>
      <c r="F42" s="12" t="s">
        <v>1265</v>
      </c>
      <c r="G42" s="12" t="s">
        <v>1158</v>
      </c>
      <c r="H42" s="12" t="s">
        <v>36</v>
      </c>
      <c r="I42" s="12" t="s">
        <v>26</v>
      </c>
      <c r="J42" s="13" t="s">
        <v>1178</v>
      </c>
      <c r="K42" s="14" t="s">
        <v>1266</v>
      </c>
      <c r="L42" s="15">
        <v>41</v>
      </c>
      <c r="M42" s="15" t="s">
        <v>144</v>
      </c>
      <c r="N42" s="16">
        <v>45911</v>
      </c>
      <c r="O42" s="12" t="s">
        <v>1263</v>
      </c>
      <c r="P42" s="14" t="s">
        <v>1267</v>
      </c>
      <c r="Q42" s="17" t="s">
        <v>137</v>
      </c>
      <c r="R42" s="17" t="s">
        <v>146</v>
      </c>
    </row>
    <row r="43" spans="1:18" x14ac:dyDescent="0.3">
      <c r="A43" s="12" t="s">
        <v>1268</v>
      </c>
      <c r="B43" s="12" t="s">
        <v>10</v>
      </c>
      <c r="C43" s="12"/>
      <c r="D43" s="12" t="s">
        <v>157</v>
      </c>
      <c r="E43" s="12" t="s">
        <v>1269</v>
      </c>
      <c r="F43" s="12" t="s">
        <v>1270</v>
      </c>
      <c r="G43" s="12" t="s">
        <v>1158</v>
      </c>
      <c r="H43" s="12" t="s">
        <v>36</v>
      </c>
      <c r="I43" s="12" t="s">
        <v>26</v>
      </c>
      <c r="J43" s="13" t="s">
        <v>1178</v>
      </c>
      <c r="K43" s="14" t="s">
        <v>1271</v>
      </c>
      <c r="L43" s="15">
        <v>0</v>
      </c>
      <c r="M43" s="15" t="s">
        <v>144</v>
      </c>
      <c r="N43" s="16">
        <v>44642</v>
      </c>
      <c r="O43" s="12" t="s">
        <v>1268</v>
      </c>
      <c r="P43" s="14" t="s">
        <v>1272</v>
      </c>
      <c r="Q43" s="17" t="s">
        <v>137</v>
      </c>
      <c r="R43" s="17" t="s">
        <v>146</v>
      </c>
    </row>
    <row r="44" spans="1:18" x14ac:dyDescent="0.3">
      <c r="A44" s="12" t="s">
        <v>1309</v>
      </c>
      <c r="B44" s="12" t="s">
        <v>10</v>
      </c>
      <c r="C44" s="12"/>
      <c r="D44" s="12" t="s">
        <v>252</v>
      </c>
      <c r="E44" s="12" t="s">
        <v>1310</v>
      </c>
      <c r="F44" s="12" t="s">
        <v>1311</v>
      </c>
      <c r="G44" s="12" t="s">
        <v>448</v>
      </c>
      <c r="H44" s="12" t="s">
        <v>36</v>
      </c>
      <c r="I44" s="12" t="s">
        <v>26</v>
      </c>
      <c r="J44" s="13" t="s">
        <v>449</v>
      </c>
      <c r="K44" s="14" t="s">
        <v>1312</v>
      </c>
      <c r="L44" s="15">
        <v>0</v>
      </c>
      <c r="M44" s="15" t="s">
        <v>144</v>
      </c>
      <c r="N44" s="16">
        <v>45995</v>
      </c>
      <c r="O44" s="12" t="s">
        <v>1309</v>
      </c>
      <c r="P44" s="14" t="s">
        <v>1313</v>
      </c>
      <c r="Q44" s="17" t="s">
        <v>137</v>
      </c>
      <c r="R44" s="17" t="s">
        <v>146</v>
      </c>
    </row>
    <row r="45" spans="1:18" x14ac:dyDescent="0.3">
      <c r="A45" s="12" t="s">
        <v>1349</v>
      </c>
      <c r="B45" s="12" t="s">
        <v>10</v>
      </c>
      <c r="C45" s="12"/>
      <c r="D45" s="12" t="s">
        <v>440</v>
      </c>
      <c r="E45" s="12" t="s">
        <v>1350</v>
      </c>
      <c r="F45" s="12"/>
      <c r="G45" s="12" t="s">
        <v>1341</v>
      </c>
      <c r="H45" s="12" t="s">
        <v>36</v>
      </c>
      <c r="I45" s="12" t="s">
        <v>26</v>
      </c>
      <c r="J45" s="13" t="s">
        <v>1342</v>
      </c>
      <c r="K45" s="14" t="s">
        <v>1351</v>
      </c>
      <c r="L45" s="15">
        <v>0</v>
      </c>
      <c r="M45" s="15" t="s">
        <v>144</v>
      </c>
      <c r="N45" s="16">
        <v>45015</v>
      </c>
      <c r="O45" s="12" t="s">
        <v>1349</v>
      </c>
      <c r="P45" s="14" t="s">
        <v>1352</v>
      </c>
      <c r="Q45" s="17" t="s">
        <v>137</v>
      </c>
      <c r="R45" s="17" t="s">
        <v>146</v>
      </c>
    </row>
    <row r="46" spans="1:18" x14ac:dyDescent="0.3">
      <c r="A46" s="12" t="s">
        <v>1359</v>
      </c>
      <c r="B46" s="12" t="s">
        <v>10</v>
      </c>
      <c r="C46" s="12"/>
      <c r="D46" s="12" t="s">
        <v>647</v>
      </c>
      <c r="E46" s="12" t="s">
        <v>1360</v>
      </c>
      <c r="F46" s="12" t="s">
        <v>1361</v>
      </c>
      <c r="G46" s="12" t="s">
        <v>1362</v>
      </c>
      <c r="H46" s="12" t="s">
        <v>36</v>
      </c>
      <c r="I46" s="12" t="s">
        <v>26</v>
      </c>
      <c r="J46" s="13" t="s">
        <v>1363</v>
      </c>
      <c r="K46" s="14" t="s">
        <v>1364</v>
      </c>
      <c r="L46" s="15">
        <v>2</v>
      </c>
      <c r="M46" s="15" t="s">
        <v>144</v>
      </c>
      <c r="N46" s="16">
        <v>44794</v>
      </c>
      <c r="O46" s="12" t="s">
        <v>1359</v>
      </c>
      <c r="P46" s="14" t="s">
        <v>1365</v>
      </c>
      <c r="Q46" s="17" t="s">
        <v>137</v>
      </c>
      <c r="R46" s="17" t="s">
        <v>146</v>
      </c>
    </row>
    <row r="47" spans="1:18" x14ac:dyDescent="0.3">
      <c r="A47" s="12" t="s">
        <v>1373</v>
      </c>
      <c r="B47" s="12" t="s">
        <v>10</v>
      </c>
      <c r="C47" s="12" t="s">
        <v>14</v>
      </c>
      <c r="D47" s="12" t="s">
        <v>1374</v>
      </c>
      <c r="E47" s="12" t="s">
        <v>1375</v>
      </c>
      <c r="F47" s="12" t="s">
        <v>447</v>
      </c>
      <c r="G47" s="12" t="s">
        <v>1362</v>
      </c>
      <c r="H47" s="12" t="s">
        <v>36</v>
      </c>
      <c r="I47" s="12" t="s">
        <v>26</v>
      </c>
      <c r="J47" s="13" t="s">
        <v>1363</v>
      </c>
      <c r="K47" s="14" t="s">
        <v>1376</v>
      </c>
      <c r="L47" s="15">
        <v>7</v>
      </c>
      <c r="M47" s="15" t="s">
        <v>144</v>
      </c>
      <c r="N47" s="16">
        <v>46287</v>
      </c>
      <c r="O47" s="12" t="s">
        <v>1373</v>
      </c>
      <c r="P47" s="14" t="s">
        <v>1377</v>
      </c>
      <c r="Q47" s="17" t="s">
        <v>137</v>
      </c>
      <c r="R47" s="17" t="s">
        <v>146</v>
      </c>
    </row>
    <row r="48" spans="1:18" x14ac:dyDescent="0.3">
      <c r="A48" s="12" t="s">
        <v>1382</v>
      </c>
      <c r="B48" s="12" t="s">
        <v>10</v>
      </c>
      <c r="C48" s="12"/>
      <c r="D48" s="12" t="s">
        <v>157</v>
      </c>
      <c r="E48" s="12" t="s">
        <v>1375</v>
      </c>
      <c r="F48" s="12" t="s">
        <v>843</v>
      </c>
      <c r="G48" s="12" t="s">
        <v>1362</v>
      </c>
      <c r="H48" s="12" t="s">
        <v>36</v>
      </c>
      <c r="I48" s="12" t="s">
        <v>26</v>
      </c>
      <c r="J48" s="13" t="s">
        <v>1363</v>
      </c>
      <c r="K48" s="14" t="s">
        <v>1376</v>
      </c>
      <c r="L48" s="15">
        <v>5</v>
      </c>
      <c r="M48" s="15" t="s">
        <v>144</v>
      </c>
      <c r="N48" s="16">
        <v>46287</v>
      </c>
      <c r="O48" s="12" t="s">
        <v>1382</v>
      </c>
      <c r="P48" s="14" t="s">
        <v>1383</v>
      </c>
      <c r="Q48" s="17" t="s">
        <v>137</v>
      </c>
      <c r="R48" s="17" t="s">
        <v>146</v>
      </c>
    </row>
    <row r="49" spans="1:18" x14ac:dyDescent="0.3">
      <c r="A49" s="12" t="s">
        <v>215</v>
      </c>
      <c r="B49" s="12" t="s">
        <v>10</v>
      </c>
      <c r="C49" s="12"/>
      <c r="D49" s="12" t="s">
        <v>647</v>
      </c>
      <c r="E49" s="12" t="s">
        <v>1405</v>
      </c>
      <c r="F49" s="12" t="s">
        <v>195</v>
      </c>
      <c r="G49" s="12" t="s">
        <v>1362</v>
      </c>
      <c r="H49" s="12" t="s">
        <v>36</v>
      </c>
      <c r="I49" s="12" t="s">
        <v>26</v>
      </c>
      <c r="J49" s="13" t="s">
        <v>1363</v>
      </c>
      <c r="K49" s="14" t="s">
        <v>294</v>
      </c>
      <c r="L49" s="15">
        <v>0</v>
      </c>
      <c r="M49" s="15" t="s">
        <v>220</v>
      </c>
      <c r="N49" s="16">
        <v>45195</v>
      </c>
      <c r="O49" s="12" t="s">
        <v>215</v>
      </c>
      <c r="P49" s="14" t="s">
        <v>1406</v>
      </c>
      <c r="Q49" s="17" t="s">
        <v>137</v>
      </c>
      <c r="R49" s="17" t="s">
        <v>146</v>
      </c>
    </row>
    <row r="50" spans="1:18" x14ac:dyDescent="0.3">
      <c r="A50" s="12" t="s">
        <v>439</v>
      </c>
      <c r="B50" s="12" t="s">
        <v>10</v>
      </c>
      <c r="C50" s="12"/>
      <c r="D50" s="12" t="s">
        <v>252</v>
      </c>
      <c r="E50" s="12" t="s">
        <v>1367</v>
      </c>
      <c r="F50" s="12" t="s">
        <v>218</v>
      </c>
      <c r="G50" s="12" t="s">
        <v>1362</v>
      </c>
      <c r="H50" s="12" t="s">
        <v>36</v>
      </c>
      <c r="I50" s="12" t="s">
        <v>26</v>
      </c>
      <c r="J50" s="13" t="s">
        <v>1363</v>
      </c>
      <c r="K50" s="14" t="s">
        <v>442</v>
      </c>
      <c r="L50" s="15">
        <v>2</v>
      </c>
      <c r="M50" s="15" t="s">
        <v>144</v>
      </c>
      <c r="N50" s="16">
        <v>44984</v>
      </c>
      <c r="O50" s="12" t="s">
        <v>443</v>
      </c>
      <c r="P50" s="14" t="s">
        <v>1421</v>
      </c>
      <c r="Q50" s="17" t="s">
        <v>137</v>
      </c>
      <c r="R50" s="17" t="s">
        <v>146</v>
      </c>
    </row>
    <row r="51" spans="1:18" x14ac:dyDescent="0.3">
      <c r="A51" s="12" t="s">
        <v>1434</v>
      </c>
      <c r="B51" s="12" t="s">
        <v>10</v>
      </c>
      <c r="C51" s="12"/>
      <c r="D51" s="12" t="s">
        <v>440</v>
      </c>
      <c r="E51" s="12" t="s">
        <v>1435</v>
      </c>
      <c r="F51" s="12"/>
      <c r="G51" s="12" t="s">
        <v>367</v>
      </c>
      <c r="H51" s="12" t="s">
        <v>36</v>
      </c>
      <c r="I51" s="12" t="s">
        <v>26</v>
      </c>
      <c r="J51" s="13" t="s">
        <v>1436</v>
      </c>
      <c r="K51" s="14" t="s">
        <v>1437</v>
      </c>
      <c r="L51" s="15">
        <v>0</v>
      </c>
      <c r="M51" s="15" t="s">
        <v>144</v>
      </c>
      <c r="N51" s="16">
        <v>44599</v>
      </c>
      <c r="O51" s="12" t="s">
        <v>1434</v>
      </c>
      <c r="P51" s="14" t="s">
        <v>1438</v>
      </c>
      <c r="Q51" s="17" t="s">
        <v>137</v>
      </c>
      <c r="R51" s="17" t="s">
        <v>146</v>
      </c>
    </row>
    <row r="52" spans="1:18" x14ac:dyDescent="0.3">
      <c r="A52" s="12" t="s">
        <v>794</v>
      </c>
      <c r="B52" s="12" t="s">
        <v>10</v>
      </c>
      <c r="C52" s="12"/>
      <c r="D52" s="12" t="s">
        <v>230</v>
      </c>
      <c r="E52" s="12" t="s">
        <v>1445</v>
      </c>
      <c r="F52" s="12" t="s">
        <v>1446</v>
      </c>
      <c r="G52" s="12" t="s">
        <v>367</v>
      </c>
      <c r="H52" s="12" t="s">
        <v>36</v>
      </c>
      <c r="I52" s="12" t="s">
        <v>26</v>
      </c>
      <c r="J52" s="13" t="s">
        <v>1442</v>
      </c>
      <c r="K52" s="14" t="s">
        <v>1447</v>
      </c>
      <c r="L52" s="15">
        <v>8</v>
      </c>
      <c r="M52" s="15" t="s">
        <v>220</v>
      </c>
      <c r="N52" s="16">
        <v>46036</v>
      </c>
      <c r="O52" s="12" t="s">
        <v>236</v>
      </c>
      <c r="P52" s="14" t="s">
        <v>797</v>
      </c>
      <c r="Q52" s="17" t="s">
        <v>137</v>
      </c>
      <c r="R52" s="17" t="s">
        <v>146</v>
      </c>
    </row>
    <row r="53" spans="1:18" x14ac:dyDescent="0.3">
      <c r="A53" s="12" t="s">
        <v>998</v>
      </c>
      <c r="B53" s="12" t="s">
        <v>10</v>
      </c>
      <c r="C53" s="12"/>
      <c r="D53" s="12" t="s">
        <v>216</v>
      </c>
      <c r="E53" s="12" t="s">
        <v>1448</v>
      </c>
      <c r="F53" s="12" t="s">
        <v>940</v>
      </c>
      <c r="G53" s="12" t="s">
        <v>367</v>
      </c>
      <c r="H53" s="12" t="s">
        <v>36</v>
      </c>
      <c r="I53" s="12" t="s">
        <v>26</v>
      </c>
      <c r="J53" s="13" t="s">
        <v>1449</v>
      </c>
      <c r="K53" s="14" t="s">
        <v>1002</v>
      </c>
      <c r="L53" s="15">
        <v>2</v>
      </c>
      <c r="M53" s="15" t="s">
        <v>220</v>
      </c>
      <c r="N53" s="16">
        <v>46042</v>
      </c>
      <c r="O53" s="12" t="s">
        <v>236</v>
      </c>
      <c r="P53" s="14" t="s">
        <v>1003</v>
      </c>
      <c r="Q53" s="17" t="s">
        <v>137</v>
      </c>
      <c r="R53" s="17" t="s">
        <v>146</v>
      </c>
    </row>
    <row r="54" spans="1:18" x14ac:dyDescent="0.3">
      <c r="A54" s="12" t="s">
        <v>236</v>
      </c>
      <c r="B54" s="12" t="s">
        <v>10</v>
      </c>
      <c r="C54" s="12"/>
      <c r="D54" s="12" t="s">
        <v>252</v>
      </c>
      <c r="E54" s="12" t="s">
        <v>1450</v>
      </c>
      <c r="F54" s="12"/>
      <c r="G54" s="12" t="s">
        <v>367</v>
      </c>
      <c r="H54" s="12" t="s">
        <v>36</v>
      </c>
      <c r="I54" s="12" t="s">
        <v>26</v>
      </c>
      <c r="J54" s="13" t="s">
        <v>1449</v>
      </c>
      <c r="K54" s="14" t="s">
        <v>1451</v>
      </c>
      <c r="L54" s="15">
        <v>0</v>
      </c>
      <c r="M54" s="15" t="s">
        <v>220</v>
      </c>
      <c r="N54" s="16">
        <v>45712</v>
      </c>
      <c r="O54" s="12" t="s">
        <v>236</v>
      </c>
      <c r="P54" s="14" t="s">
        <v>1452</v>
      </c>
      <c r="Q54" s="17" t="s">
        <v>137</v>
      </c>
      <c r="R54" s="17" t="s">
        <v>146</v>
      </c>
    </row>
    <row r="55" spans="1:18" x14ac:dyDescent="0.3">
      <c r="A55" s="12" t="s">
        <v>1466</v>
      </c>
      <c r="B55" s="12" t="s">
        <v>10</v>
      </c>
      <c r="C55" s="12"/>
      <c r="D55" s="12" t="s">
        <v>157</v>
      </c>
      <c r="E55" s="12" t="s">
        <v>1467</v>
      </c>
      <c r="F55" s="12"/>
      <c r="G55" s="12" t="s">
        <v>367</v>
      </c>
      <c r="H55" s="12" t="s">
        <v>36</v>
      </c>
      <c r="I55" s="12" t="s">
        <v>26</v>
      </c>
      <c r="J55" s="13" t="s">
        <v>1449</v>
      </c>
      <c r="K55" s="14" t="s">
        <v>1468</v>
      </c>
      <c r="L55" s="15">
        <v>4</v>
      </c>
      <c r="M55" s="15" t="s">
        <v>220</v>
      </c>
      <c r="N55" s="16">
        <v>45679</v>
      </c>
      <c r="O55" s="12" t="s">
        <v>236</v>
      </c>
      <c r="P55" s="14" t="s">
        <v>1469</v>
      </c>
      <c r="Q55" s="17" t="s">
        <v>137</v>
      </c>
      <c r="R55" s="17" t="s">
        <v>146</v>
      </c>
    </row>
    <row r="56" spans="1:18" x14ac:dyDescent="0.3">
      <c r="A56" s="12" t="s">
        <v>1486</v>
      </c>
      <c r="B56" s="12" t="s">
        <v>10</v>
      </c>
      <c r="C56" s="12"/>
      <c r="D56" s="12" t="s">
        <v>252</v>
      </c>
      <c r="E56" s="12" t="s">
        <v>1467</v>
      </c>
      <c r="F56" s="12" t="s">
        <v>1487</v>
      </c>
      <c r="G56" s="12" t="s">
        <v>367</v>
      </c>
      <c r="H56" s="12" t="s">
        <v>36</v>
      </c>
      <c r="I56" s="12" t="s">
        <v>26</v>
      </c>
      <c r="J56" s="13" t="s">
        <v>1449</v>
      </c>
      <c r="K56" s="14" t="s">
        <v>1468</v>
      </c>
      <c r="L56" s="15">
        <v>23</v>
      </c>
      <c r="M56" s="15" t="s">
        <v>220</v>
      </c>
      <c r="N56" s="16">
        <v>45673</v>
      </c>
      <c r="O56" s="12" t="s">
        <v>236</v>
      </c>
      <c r="P56" s="14" t="s">
        <v>1488</v>
      </c>
      <c r="Q56" s="17" t="s">
        <v>137</v>
      </c>
      <c r="R56" s="17" t="s">
        <v>146</v>
      </c>
    </row>
    <row r="57" spans="1:18" x14ac:dyDescent="0.3">
      <c r="A57" s="12" t="s">
        <v>1537</v>
      </c>
      <c r="B57" s="12" t="s">
        <v>10</v>
      </c>
      <c r="C57" s="12"/>
      <c r="D57" s="12" t="s">
        <v>157</v>
      </c>
      <c r="E57" s="12" t="s">
        <v>1538</v>
      </c>
      <c r="F57" s="12" t="s">
        <v>1222</v>
      </c>
      <c r="G57" s="12" t="s">
        <v>367</v>
      </c>
      <c r="H57" s="12" t="s">
        <v>36</v>
      </c>
      <c r="I57" s="12" t="s">
        <v>26</v>
      </c>
      <c r="J57" s="13" t="s">
        <v>1503</v>
      </c>
      <c r="K57" s="14" t="s">
        <v>513</v>
      </c>
      <c r="L57" s="15">
        <v>1</v>
      </c>
      <c r="M57" s="15" t="s">
        <v>144</v>
      </c>
      <c r="N57" s="16">
        <v>45701</v>
      </c>
      <c r="O57" s="12" t="s">
        <v>508</v>
      </c>
      <c r="P57" s="14" t="s">
        <v>1539</v>
      </c>
      <c r="Q57" s="17" t="s">
        <v>137</v>
      </c>
      <c r="R57" s="17" t="s">
        <v>146</v>
      </c>
    </row>
    <row r="58" spans="1:18" x14ac:dyDescent="0.3">
      <c r="A58" s="12" t="s">
        <v>1550</v>
      </c>
      <c r="B58" s="12" t="s">
        <v>10</v>
      </c>
      <c r="C58" s="12"/>
      <c r="D58" s="12" t="s">
        <v>157</v>
      </c>
      <c r="E58" s="12" t="s">
        <v>1551</v>
      </c>
      <c r="F58" s="12" t="s">
        <v>447</v>
      </c>
      <c r="G58" s="12" t="s">
        <v>367</v>
      </c>
      <c r="H58" s="12" t="s">
        <v>36</v>
      </c>
      <c r="I58" s="12" t="s">
        <v>26</v>
      </c>
      <c r="J58" s="13" t="s">
        <v>1552</v>
      </c>
      <c r="K58" s="14" t="s">
        <v>1553</v>
      </c>
      <c r="L58" s="15">
        <v>1</v>
      </c>
      <c r="M58" s="15" t="s">
        <v>144</v>
      </c>
      <c r="N58" s="16">
        <v>44754</v>
      </c>
      <c r="O58" s="12" t="s">
        <v>1550</v>
      </c>
      <c r="P58" s="14" t="s">
        <v>1554</v>
      </c>
      <c r="Q58" s="17" t="s">
        <v>137</v>
      </c>
      <c r="R58" s="17" t="s">
        <v>146</v>
      </c>
    </row>
    <row r="59" spans="1:18" x14ac:dyDescent="0.3">
      <c r="A59" s="12" t="s">
        <v>1560</v>
      </c>
      <c r="B59" s="12" t="s">
        <v>10</v>
      </c>
      <c r="C59" s="12"/>
      <c r="D59" s="12" t="s">
        <v>1561</v>
      </c>
      <c r="E59" s="12" t="s">
        <v>1562</v>
      </c>
      <c r="F59" s="12" t="s">
        <v>1563</v>
      </c>
      <c r="G59" s="12" t="s">
        <v>367</v>
      </c>
      <c r="H59" s="12" t="s">
        <v>36</v>
      </c>
      <c r="I59" s="12" t="s">
        <v>26</v>
      </c>
      <c r="J59" s="13" t="s">
        <v>1564</v>
      </c>
      <c r="K59" s="14" t="s">
        <v>1565</v>
      </c>
      <c r="L59" s="15">
        <v>0</v>
      </c>
      <c r="M59" s="15" t="s">
        <v>144</v>
      </c>
      <c r="N59" s="16">
        <v>46267</v>
      </c>
      <c r="O59" s="12" t="s">
        <v>1566</v>
      </c>
      <c r="P59" s="14" t="s">
        <v>1567</v>
      </c>
      <c r="Q59" s="17" t="s">
        <v>137</v>
      </c>
      <c r="R59" s="17" t="s">
        <v>146</v>
      </c>
    </row>
    <row r="60" spans="1:18" x14ac:dyDescent="0.3">
      <c r="A60" s="12" t="s">
        <v>1568</v>
      </c>
      <c r="B60" s="12" t="s">
        <v>10</v>
      </c>
      <c r="C60" s="12"/>
      <c r="D60" s="12" t="s">
        <v>230</v>
      </c>
      <c r="E60" s="12" t="s">
        <v>1445</v>
      </c>
      <c r="F60" s="12" t="s">
        <v>1569</v>
      </c>
      <c r="G60" s="12" t="s">
        <v>367</v>
      </c>
      <c r="H60" s="12" t="s">
        <v>36</v>
      </c>
      <c r="I60" s="12" t="s">
        <v>26</v>
      </c>
      <c r="J60" s="13" t="s">
        <v>1442</v>
      </c>
      <c r="K60" s="14" t="s">
        <v>235</v>
      </c>
      <c r="L60" s="15">
        <v>8</v>
      </c>
      <c r="M60" s="15" t="s">
        <v>220</v>
      </c>
      <c r="N60" s="16">
        <v>45713</v>
      </c>
      <c r="O60" s="12" t="s">
        <v>236</v>
      </c>
      <c r="P60" s="14" t="s">
        <v>1570</v>
      </c>
      <c r="Q60" s="17" t="s">
        <v>137</v>
      </c>
      <c r="R60" s="17" t="s">
        <v>146</v>
      </c>
    </row>
    <row r="61" spans="1:18" x14ac:dyDescent="0.3">
      <c r="A61" s="12" t="s">
        <v>364</v>
      </c>
      <c r="B61" s="12" t="s">
        <v>10</v>
      </c>
      <c r="C61" s="12"/>
      <c r="D61" s="12" t="s">
        <v>157</v>
      </c>
      <c r="E61" s="12" t="s">
        <v>1576</v>
      </c>
      <c r="F61" s="12"/>
      <c r="G61" s="12" t="s">
        <v>367</v>
      </c>
      <c r="H61" s="12" t="s">
        <v>36</v>
      </c>
      <c r="I61" s="12" t="s">
        <v>26</v>
      </c>
      <c r="J61" s="13" t="s">
        <v>1178</v>
      </c>
      <c r="K61" s="14" t="s">
        <v>368</v>
      </c>
      <c r="L61" s="15">
        <v>6</v>
      </c>
      <c r="M61" s="15" t="s">
        <v>144</v>
      </c>
      <c r="N61" s="16">
        <v>46253</v>
      </c>
      <c r="O61" s="12" t="s">
        <v>364</v>
      </c>
      <c r="P61" s="14" t="s">
        <v>369</v>
      </c>
      <c r="Q61" s="17" t="s">
        <v>137</v>
      </c>
      <c r="R61" s="17" t="s">
        <v>146</v>
      </c>
    </row>
    <row r="62" spans="1:18" x14ac:dyDescent="0.3">
      <c r="A62" s="12" t="s">
        <v>1577</v>
      </c>
      <c r="B62" s="12" t="s">
        <v>10</v>
      </c>
      <c r="C62" s="12"/>
      <c r="D62" s="12" t="s">
        <v>440</v>
      </c>
      <c r="E62" s="12" t="s">
        <v>1578</v>
      </c>
      <c r="F62" s="12" t="s">
        <v>1579</v>
      </c>
      <c r="G62" s="12" t="s">
        <v>367</v>
      </c>
      <c r="H62" s="12" t="s">
        <v>36</v>
      </c>
      <c r="I62" s="12" t="s">
        <v>26</v>
      </c>
      <c r="J62" s="13" t="s">
        <v>1492</v>
      </c>
      <c r="K62" s="14" t="s">
        <v>1580</v>
      </c>
      <c r="L62" s="15">
        <v>1</v>
      </c>
      <c r="M62" s="15" t="s">
        <v>144</v>
      </c>
      <c r="N62" s="16">
        <v>44763</v>
      </c>
      <c r="O62" s="12" t="s">
        <v>1577</v>
      </c>
      <c r="P62" s="14" t="s">
        <v>1581</v>
      </c>
      <c r="Q62" s="17" t="s">
        <v>137</v>
      </c>
      <c r="R62" s="17" t="s">
        <v>146</v>
      </c>
    </row>
    <row r="63" spans="1:18" x14ac:dyDescent="0.3">
      <c r="A63" s="12" t="s">
        <v>1582</v>
      </c>
      <c r="B63" s="12" t="s">
        <v>10</v>
      </c>
      <c r="C63" s="12"/>
      <c r="D63" s="12" t="s">
        <v>157</v>
      </c>
      <c r="E63" s="12" t="s">
        <v>1578</v>
      </c>
      <c r="F63" s="12" t="s">
        <v>1583</v>
      </c>
      <c r="G63" s="12" t="s">
        <v>367</v>
      </c>
      <c r="H63" s="12" t="s">
        <v>36</v>
      </c>
      <c r="I63" s="12" t="s">
        <v>26</v>
      </c>
      <c r="J63" s="13" t="s">
        <v>1492</v>
      </c>
      <c r="K63" s="14" t="s">
        <v>1584</v>
      </c>
      <c r="L63" s="15">
        <v>0</v>
      </c>
      <c r="M63" s="15" t="s">
        <v>144</v>
      </c>
      <c r="N63" s="16">
        <v>46158</v>
      </c>
      <c r="O63" s="12" t="s">
        <v>1582</v>
      </c>
      <c r="P63" s="14" t="s">
        <v>1585</v>
      </c>
      <c r="Q63" s="17" t="s">
        <v>137</v>
      </c>
      <c r="R63" s="17" t="s">
        <v>146</v>
      </c>
    </row>
    <row r="64" spans="1:18" x14ac:dyDescent="0.3">
      <c r="A64" s="12" t="s">
        <v>1639</v>
      </c>
      <c r="B64" s="12" t="s">
        <v>10</v>
      </c>
      <c r="C64" s="12"/>
      <c r="D64" s="12" t="s">
        <v>157</v>
      </c>
      <c r="E64" s="12" t="s">
        <v>1502</v>
      </c>
      <c r="F64" s="12"/>
      <c r="G64" s="12" t="s">
        <v>367</v>
      </c>
      <c r="H64" s="12" t="s">
        <v>36</v>
      </c>
      <c r="I64" s="12" t="s">
        <v>26</v>
      </c>
      <c r="J64" s="13" t="s">
        <v>1503</v>
      </c>
      <c r="K64" s="14" t="s">
        <v>1640</v>
      </c>
      <c r="L64" s="15">
        <v>5</v>
      </c>
      <c r="M64" s="15" t="s">
        <v>144</v>
      </c>
      <c r="N64" s="16">
        <v>45400</v>
      </c>
      <c r="O64" s="12" t="s">
        <v>1639</v>
      </c>
      <c r="P64" s="14" t="s">
        <v>1641</v>
      </c>
      <c r="Q64" s="17" t="s">
        <v>137</v>
      </c>
      <c r="R64" s="17" t="s">
        <v>146</v>
      </c>
    </row>
    <row r="65" spans="1:18" x14ac:dyDescent="0.3">
      <c r="A65" s="12" t="s">
        <v>1665</v>
      </c>
      <c r="B65" s="12" t="s">
        <v>10</v>
      </c>
      <c r="C65" s="12"/>
      <c r="D65" s="12" t="s">
        <v>647</v>
      </c>
      <c r="E65" s="12" t="s">
        <v>1659</v>
      </c>
      <c r="F65" s="12" t="s">
        <v>1666</v>
      </c>
      <c r="G65" s="12" t="s">
        <v>1661</v>
      </c>
      <c r="H65" s="12" t="s">
        <v>36</v>
      </c>
      <c r="I65" s="12" t="s">
        <v>26</v>
      </c>
      <c r="J65" s="13" t="s">
        <v>1662</v>
      </c>
      <c r="K65" s="14" t="s">
        <v>1667</v>
      </c>
      <c r="L65" s="15">
        <v>1</v>
      </c>
      <c r="M65" s="15" t="s">
        <v>220</v>
      </c>
      <c r="N65" s="16">
        <v>46021</v>
      </c>
      <c r="O65" s="12" t="s">
        <v>1665</v>
      </c>
      <c r="P65" s="14" t="s">
        <v>1668</v>
      </c>
      <c r="Q65" s="17" t="s">
        <v>137</v>
      </c>
      <c r="R65" s="17" t="s">
        <v>146</v>
      </c>
    </row>
    <row r="66" spans="1:18" x14ac:dyDescent="0.3">
      <c r="A66" s="12" t="s">
        <v>1679</v>
      </c>
      <c r="B66" s="12" t="s">
        <v>10</v>
      </c>
      <c r="C66" s="12"/>
      <c r="D66" s="12" t="s">
        <v>157</v>
      </c>
      <c r="E66" s="12" t="s">
        <v>1680</v>
      </c>
      <c r="F66" s="12"/>
      <c r="G66" s="12" t="s">
        <v>1661</v>
      </c>
      <c r="H66" s="12" t="s">
        <v>36</v>
      </c>
      <c r="I66" s="12" t="s">
        <v>26</v>
      </c>
      <c r="J66" s="13" t="s">
        <v>1681</v>
      </c>
      <c r="K66" s="14" t="s">
        <v>1682</v>
      </c>
      <c r="L66" s="15">
        <v>0</v>
      </c>
      <c r="M66" s="15" t="s">
        <v>144</v>
      </c>
      <c r="N66" s="16">
        <v>45815</v>
      </c>
      <c r="O66" s="12" t="s">
        <v>1679</v>
      </c>
      <c r="P66" s="14" t="s">
        <v>1683</v>
      </c>
      <c r="Q66" s="17" t="s">
        <v>137</v>
      </c>
      <c r="R66" s="17" t="s">
        <v>146</v>
      </c>
    </row>
    <row r="67" spans="1:18" x14ac:dyDescent="0.3">
      <c r="A67" s="12" t="s">
        <v>215</v>
      </c>
      <c r="B67" s="12" t="s">
        <v>10</v>
      </c>
      <c r="C67" s="12" t="s">
        <v>14</v>
      </c>
      <c r="D67" s="12" t="s">
        <v>702</v>
      </c>
      <c r="E67" s="12" t="s">
        <v>1697</v>
      </c>
      <c r="F67" s="12" t="s">
        <v>1698</v>
      </c>
      <c r="G67" s="12" t="s">
        <v>1661</v>
      </c>
      <c r="H67" s="12" t="s">
        <v>36</v>
      </c>
      <c r="I67" s="12" t="s">
        <v>26</v>
      </c>
      <c r="J67" s="13" t="s">
        <v>1681</v>
      </c>
      <c r="K67" s="14" t="s">
        <v>294</v>
      </c>
      <c r="L67" s="15">
        <v>3</v>
      </c>
      <c r="M67" s="15" t="s">
        <v>220</v>
      </c>
      <c r="N67" s="16">
        <v>45818</v>
      </c>
      <c r="O67" s="12" t="s">
        <v>215</v>
      </c>
      <c r="P67" s="14" t="s">
        <v>1699</v>
      </c>
      <c r="Q67" s="17" t="s">
        <v>137</v>
      </c>
      <c r="R67" s="17" t="s">
        <v>146</v>
      </c>
    </row>
    <row r="68" spans="1:18" x14ac:dyDescent="0.3">
      <c r="A68" s="12" t="s">
        <v>794</v>
      </c>
      <c r="B68" s="12" t="s">
        <v>10</v>
      </c>
      <c r="C68" s="12"/>
      <c r="D68" s="12" t="s">
        <v>230</v>
      </c>
      <c r="E68" s="12" t="s">
        <v>1754</v>
      </c>
      <c r="F68" s="12" t="s">
        <v>1755</v>
      </c>
      <c r="G68" s="12" t="s">
        <v>1750</v>
      </c>
      <c r="H68" s="12" t="s">
        <v>36</v>
      </c>
      <c r="I68" s="12" t="s">
        <v>26</v>
      </c>
      <c r="J68" s="13" t="s">
        <v>1751</v>
      </c>
      <c r="K68" s="14" t="s">
        <v>235</v>
      </c>
      <c r="L68" s="15">
        <v>1</v>
      </c>
      <c r="M68" s="15" t="s">
        <v>220</v>
      </c>
      <c r="N68" s="16">
        <v>46036</v>
      </c>
      <c r="O68" s="12" t="s">
        <v>236</v>
      </c>
      <c r="P68" s="14" t="s">
        <v>797</v>
      </c>
      <c r="Q68" s="17" t="s">
        <v>137</v>
      </c>
      <c r="R68" s="17" t="s">
        <v>146</v>
      </c>
    </row>
    <row r="69" spans="1:18" x14ac:dyDescent="0.3">
      <c r="A69" s="12" t="s">
        <v>1756</v>
      </c>
      <c r="B69" s="12" t="s">
        <v>10</v>
      </c>
      <c r="C69" s="12"/>
      <c r="D69" s="12" t="s">
        <v>588</v>
      </c>
      <c r="E69" s="12" t="s">
        <v>1754</v>
      </c>
      <c r="F69" s="12" t="s">
        <v>218</v>
      </c>
      <c r="G69" s="12" t="s">
        <v>1750</v>
      </c>
      <c r="H69" s="12" t="s">
        <v>36</v>
      </c>
      <c r="I69" s="12" t="s">
        <v>26</v>
      </c>
      <c r="J69" s="13" t="s">
        <v>1751</v>
      </c>
      <c r="K69" s="14" t="s">
        <v>796</v>
      </c>
      <c r="L69" s="15">
        <v>1</v>
      </c>
      <c r="M69" s="15" t="s">
        <v>220</v>
      </c>
      <c r="N69" s="16">
        <v>45671</v>
      </c>
      <c r="O69" s="12" t="s">
        <v>236</v>
      </c>
      <c r="P69" s="14" t="s">
        <v>1757</v>
      </c>
      <c r="Q69" s="17" t="s">
        <v>137</v>
      </c>
      <c r="R69" s="17" t="s">
        <v>146</v>
      </c>
    </row>
    <row r="70" spans="1:18" x14ac:dyDescent="0.3">
      <c r="A70" s="12" t="s">
        <v>1758</v>
      </c>
      <c r="B70" s="12" t="s">
        <v>10</v>
      </c>
      <c r="C70" s="12"/>
      <c r="D70" s="12" t="s">
        <v>1759</v>
      </c>
      <c r="E70" s="12" t="s">
        <v>1754</v>
      </c>
      <c r="F70" s="12" t="s">
        <v>218</v>
      </c>
      <c r="G70" s="12" t="s">
        <v>1750</v>
      </c>
      <c r="H70" s="12" t="s">
        <v>36</v>
      </c>
      <c r="I70" s="12" t="s">
        <v>26</v>
      </c>
      <c r="J70" s="13" t="s">
        <v>1751</v>
      </c>
      <c r="K70" s="14" t="s">
        <v>1065</v>
      </c>
      <c r="L70" s="15">
        <v>2</v>
      </c>
      <c r="M70" s="15" t="s">
        <v>220</v>
      </c>
      <c r="N70" s="16">
        <v>45272</v>
      </c>
      <c r="O70" s="12" t="s">
        <v>236</v>
      </c>
      <c r="P70" s="14" t="s">
        <v>1760</v>
      </c>
      <c r="Q70" s="17" t="s">
        <v>137</v>
      </c>
      <c r="R70" s="17" t="s">
        <v>146</v>
      </c>
    </row>
    <row r="71" spans="1:18" x14ac:dyDescent="0.3">
      <c r="A71" s="12" t="s">
        <v>998</v>
      </c>
      <c r="B71" s="12" t="s">
        <v>10</v>
      </c>
      <c r="C71" s="12"/>
      <c r="D71" s="12" t="s">
        <v>216</v>
      </c>
      <c r="E71" s="12" t="s">
        <v>1761</v>
      </c>
      <c r="F71" s="12" t="s">
        <v>1762</v>
      </c>
      <c r="G71" s="12" t="s">
        <v>1750</v>
      </c>
      <c r="H71" s="12" t="s">
        <v>36</v>
      </c>
      <c r="I71" s="12" t="s">
        <v>26</v>
      </c>
      <c r="J71" s="13" t="s">
        <v>1751</v>
      </c>
      <c r="K71" s="14" t="s">
        <v>1763</v>
      </c>
      <c r="L71" s="15">
        <v>2</v>
      </c>
      <c r="M71" s="15" t="s">
        <v>220</v>
      </c>
      <c r="N71" s="16">
        <v>46042</v>
      </c>
      <c r="O71" s="12" t="s">
        <v>236</v>
      </c>
      <c r="P71" s="14" t="s">
        <v>1003</v>
      </c>
      <c r="Q71" s="17" t="s">
        <v>137</v>
      </c>
      <c r="R71" s="17" t="s">
        <v>146</v>
      </c>
    </row>
    <row r="72" spans="1:18" x14ac:dyDescent="0.3">
      <c r="A72" s="12" t="s">
        <v>1769</v>
      </c>
      <c r="B72" s="12" t="s">
        <v>10</v>
      </c>
      <c r="C72" s="12"/>
      <c r="D72" s="12" t="s">
        <v>157</v>
      </c>
      <c r="E72" s="12" t="s">
        <v>1770</v>
      </c>
      <c r="F72" s="12"/>
      <c r="G72" s="12" t="s">
        <v>1750</v>
      </c>
      <c r="H72" s="12" t="s">
        <v>36</v>
      </c>
      <c r="I72" s="12" t="s">
        <v>26</v>
      </c>
      <c r="J72" s="13" t="s">
        <v>1751</v>
      </c>
      <c r="K72" s="14" t="s">
        <v>1771</v>
      </c>
      <c r="L72" s="15">
        <v>0</v>
      </c>
      <c r="M72" s="15" t="s">
        <v>144</v>
      </c>
      <c r="N72" s="16">
        <v>45337</v>
      </c>
      <c r="O72" s="12" t="s">
        <v>1772</v>
      </c>
      <c r="P72" s="14" t="s">
        <v>1773</v>
      </c>
      <c r="Q72" s="17" t="s">
        <v>137</v>
      </c>
      <c r="R72" s="17" t="s">
        <v>146</v>
      </c>
    </row>
    <row r="73" spans="1:18" x14ac:dyDescent="0.3">
      <c r="A73" s="12" t="s">
        <v>1784</v>
      </c>
      <c r="B73" s="12" t="s">
        <v>10</v>
      </c>
      <c r="C73" s="12"/>
      <c r="D73" s="12" t="s">
        <v>1561</v>
      </c>
      <c r="E73" s="12" t="s">
        <v>1785</v>
      </c>
      <c r="F73" s="12" t="s">
        <v>843</v>
      </c>
      <c r="G73" s="12" t="s">
        <v>1750</v>
      </c>
      <c r="H73" s="12" t="s">
        <v>36</v>
      </c>
      <c r="I73" s="12" t="s">
        <v>26</v>
      </c>
      <c r="J73" s="13" t="s">
        <v>1780</v>
      </c>
      <c r="K73" s="14" t="s">
        <v>1786</v>
      </c>
      <c r="L73" s="15">
        <v>2</v>
      </c>
      <c r="M73" s="15" t="s">
        <v>144</v>
      </c>
      <c r="N73" s="16">
        <v>46044</v>
      </c>
      <c r="O73" s="12" t="s">
        <v>1787</v>
      </c>
      <c r="P73" s="14" t="s">
        <v>1788</v>
      </c>
      <c r="Q73" s="17" t="s">
        <v>137</v>
      </c>
      <c r="R73" s="17" t="s">
        <v>146</v>
      </c>
    </row>
    <row r="74" spans="1:18" x14ac:dyDescent="0.3">
      <c r="A74" s="12" t="s">
        <v>1887</v>
      </c>
      <c r="B74" s="12" t="s">
        <v>14</v>
      </c>
      <c r="C74" s="12" t="s">
        <v>10</v>
      </c>
      <c r="D74" s="12" t="s">
        <v>945</v>
      </c>
      <c r="E74" s="12" t="s">
        <v>1888</v>
      </c>
      <c r="F74" s="12" t="s">
        <v>454</v>
      </c>
      <c r="G74" s="12" t="s">
        <v>1884</v>
      </c>
      <c r="H74" s="12" t="s">
        <v>36</v>
      </c>
      <c r="I74" s="12" t="s">
        <v>26</v>
      </c>
      <c r="J74" s="13" t="s">
        <v>1624</v>
      </c>
      <c r="K74" s="14" t="s">
        <v>1889</v>
      </c>
      <c r="L74" s="15">
        <v>2</v>
      </c>
      <c r="M74" s="15" t="s">
        <v>144</v>
      </c>
      <c r="N74" s="16">
        <v>45475</v>
      </c>
      <c r="O74" s="12" t="s">
        <v>1887</v>
      </c>
      <c r="P74" s="14" t="s">
        <v>1890</v>
      </c>
      <c r="Q74" s="17" t="s">
        <v>137</v>
      </c>
      <c r="R74" s="17" t="s">
        <v>146</v>
      </c>
    </row>
    <row r="75" spans="1:18" x14ac:dyDescent="0.3">
      <c r="A75" s="12" t="s">
        <v>1911</v>
      </c>
      <c r="B75" s="12" t="s">
        <v>10</v>
      </c>
      <c r="C75" s="12"/>
      <c r="D75" s="12" t="s">
        <v>1561</v>
      </c>
      <c r="E75" s="12" t="s">
        <v>1912</v>
      </c>
      <c r="F75" s="12" t="s">
        <v>188</v>
      </c>
      <c r="G75" s="12" t="s">
        <v>1884</v>
      </c>
      <c r="H75" s="12" t="s">
        <v>36</v>
      </c>
      <c r="I75" s="12" t="s">
        <v>26</v>
      </c>
      <c r="J75" s="13" t="s">
        <v>1624</v>
      </c>
      <c r="K75" s="14" t="s">
        <v>1913</v>
      </c>
      <c r="L75" s="15">
        <v>0</v>
      </c>
      <c r="M75" s="15" t="s">
        <v>144</v>
      </c>
      <c r="N75" s="16">
        <v>46241</v>
      </c>
      <c r="O75" s="12" t="s">
        <v>1911</v>
      </c>
      <c r="P75" s="14" t="s">
        <v>1914</v>
      </c>
      <c r="Q75" s="17" t="s">
        <v>137</v>
      </c>
      <c r="R75" s="17" t="s">
        <v>146</v>
      </c>
    </row>
    <row r="76" spans="1:18" x14ac:dyDescent="0.3">
      <c r="A76" s="12" t="s">
        <v>1963</v>
      </c>
      <c r="B76" s="12" t="s">
        <v>10</v>
      </c>
      <c r="C76" s="12"/>
      <c r="D76" s="12" t="s">
        <v>647</v>
      </c>
      <c r="E76" s="12" t="s">
        <v>1964</v>
      </c>
      <c r="F76" s="12"/>
      <c r="G76" s="12" t="s">
        <v>1946</v>
      </c>
      <c r="H76" s="12" t="s">
        <v>36</v>
      </c>
      <c r="I76" s="12" t="s">
        <v>26</v>
      </c>
      <c r="J76" s="13" t="s">
        <v>1947</v>
      </c>
      <c r="K76" s="14" t="s">
        <v>1965</v>
      </c>
      <c r="L76" s="15">
        <v>0</v>
      </c>
      <c r="M76" s="15" t="s">
        <v>144</v>
      </c>
      <c r="N76" s="16">
        <v>46282</v>
      </c>
      <c r="O76" s="12" t="s">
        <v>1963</v>
      </c>
      <c r="P76" s="14" t="s">
        <v>1966</v>
      </c>
      <c r="Q76" s="17" t="s">
        <v>137</v>
      </c>
      <c r="R76" s="17" t="s">
        <v>146</v>
      </c>
    </row>
    <row r="77" spans="1:18" x14ac:dyDescent="0.3">
      <c r="A77" s="12" t="s">
        <v>1982</v>
      </c>
      <c r="B77" s="12" t="s">
        <v>10</v>
      </c>
      <c r="C77" s="12"/>
      <c r="D77" s="12" t="s">
        <v>252</v>
      </c>
      <c r="E77" s="12" t="s">
        <v>1983</v>
      </c>
      <c r="F77" s="12"/>
      <c r="G77" s="12" t="s">
        <v>1974</v>
      </c>
      <c r="H77" s="12" t="s">
        <v>66</v>
      </c>
      <c r="I77" s="12" t="s">
        <v>26</v>
      </c>
      <c r="J77" s="13" t="s">
        <v>1975</v>
      </c>
      <c r="K77" s="14" t="s">
        <v>1984</v>
      </c>
      <c r="L77" s="15">
        <v>1</v>
      </c>
      <c r="M77" s="15" t="s">
        <v>144</v>
      </c>
      <c r="N77" s="16">
        <v>45980</v>
      </c>
      <c r="O77" s="12" t="s">
        <v>1982</v>
      </c>
      <c r="P77" s="14" t="s">
        <v>1985</v>
      </c>
      <c r="Q77" s="17" t="s">
        <v>137</v>
      </c>
      <c r="R77" s="17" t="s">
        <v>146</v>
      </c>
    </row>
    <row r="78" spans="1:18" x14ac:dyDescent="0.3">
      <c r="A78" s="12" t="s">
        <v>508</v>
      </c>
      <c r="B78" s="12" t="s">
        <v>10</v>
      </c>
      <c r="C78" s="12"/>
      <c r="D78" s="12" t="s">
        <v>1561</v>
      </c>
      <c r="E78" s="12" t="s">
        <v>2015</v>
      </c>
      <c r="F78" s="12" t="s">
        <v>447</v>
      </c>
      <c r="G78" s="12" t="s">
        <v>2006</v>
      </c>
      <c r="H78" s="12" t="s">
        <v>37</v>
      </c>
      <c r="I78" s="12" t="s">
        <v>26</v>
      </c>
      <c r="J78" s="13" t="s">
        <v>2007</v>
      </c>
      <c r="K78" s="14" t="s">
        <v>2016</v>
      </c>
      <c r="L78" s="15">
        <v>11</v>
      </c>
      <c r="M78" s="15" t="s">
        <v>144</v>
      </c>
      <c r="N78" s="16">
        <v>45701</v>
      </c>
      <c r="O78" s="12" t="s">
        <v>508</v>
      </c>
      <c r="P78" s="14" t="s">
        <v>2017</v>
      </c>
      <c r="Q78" s="17" t="s">
        <v>137</v>
      </c>
      <c r="R78" s="17" t="s">
        <v>146</v>
      </c>
    </row>
    <row r="79" spans="1:18" x14ac:dyDescent="0.3">
      <c r="A79" s="12" t="s">
        <v>2027</v>
      </c>
      <c r="B79" s="12" t="s">
        <v>10</v>
      </c>
      <c r="C79" s="12" t="s">
        <v>180</v>
      </c>
      <c r="D79" s="12" t="s">
        <v>283</v>
      </c>
      <c r="E79" s="12" t="s">
        <v>2028</v>
      </c>
      <c r="F79" s="12" t="s">
        <v>547</v>
      </c>
      <c r="G79" s="12" t="s">
        <v>2006</v>
      </c>
      <c r="H79" s="12" t="s">
        <v>37</v>
      </c>
      <c r="I79" s="12" t="s">
        <v>26</v>
      </c>
      <c r="J79" s="13" t="s">
        <v>2007</v>
      </c>
      <c r="K79" s="14" t="s">
        <v>2029</v>
      </c>
      <c r="L79" s="15">
        <v>0</v>
      </c>
      <c r="M79" s="15" t="s">
        <v>144</v>
      </c>
      <c r="N79" s="16">
        <v>45911</v>
      </c>
      <c r="O79" s="12" t="s">
        <v>2027</v>
      </c>
      <c r="P79" s="14" t="s">
        <v>2030</v>
      </c>
      <c r="Q79" s="17" t="s">
        <v>137</v>
      </c>
      <c r="R79" s="17" t="s">
        <v>146</v>
      </c>
    </row>
    <row r="80" spans="1:18" x14ac:dyDescent="0.3">
      <c r="A80" s="12" t="s">
        <v>439</v>
      </c>
      <c r="B80" s="12" t="s">
        <v>10</v>
      </c>
      <c r="C80" s="12"/>
      <c r="D80" s="12" t="s">
        <v>440</v>
      </c>
      <c r="E80" s="12" t="s">
        <v>2039</v>
      </c>
      <c r="F80" s="12" t="s">
        <v>188</v>
      </c>
      <c r="G80" s="12" t="s">
        <v>2006</v>
      </c>
      <c r="H80" s="12" t="s">
        <v>37</v>
      </c>
      <c r="I80" s="12" t="s">
        <v>26</v>
      </c>
      <c r="J80" s="13" t="s">
        <v>2007</v>
      </c>
      <c r="K80" s="14" t="s">
        <v>442</v>
      </c>
      <c r="L80" s="15">
        <v>5</v>
      </c>
      <c r="M80" s="15" t="s">
        <v>144</v>
      </c>
      <c r="N80" s="16">
        <v>45020</v>
      </c>
      <c r="O80" s="12" t="s">
        <v>443</v>
      </c>
      <c r="P80" s="14" t="s">
        <v>2040</v>
      </c>
      <c r="Q80" s="17" t="s">
        <v>137</v>
      </c>
      <c r="R80" s="17" t="s">
        <v>146</v>
      </c>
    </row>
    <row r="81" spans="1:18" x14ac:dyDescent="0.3">
      <c r="A81" s="12" t="s">
        <v>2060</v>
      </c>
      <c r="B81" s="12" t="s">
        <v>10</v>
      </c>
      <c r="C81" s="12"/>
      <c r="D81" s="12" t="s">
        <v>880</v>
      </c>
      <c r="E81" s="12" t="s">
        <v>2061</v>
      </c>
      <c r="F81" s="12" t="s">
        <v>188</v>
      </c>
      <c r="G81" s="12" t="s">
        <v>2062</v>
      </c>
      <c r="H81" s="12" t="s">
        <v>37</v>
      </c>
      <c r="I81" s="12" t="s">
        <v>26</v>
      </c>
      <c r="J81" s="13" t="s">
        <v>2007</v>
      </c>
      <c r="K81" s="14" t="s">
        <v>883</v>
      </c>
      <c r="L81" s="15">
        <v>0</v>
      </c>
      <c r="M81" s="15" t="s">
        <v>144</v>
      </c>
      <c r="N81" s="16">
        <v>45944</v>
      </c>
      <c r="O81" s="12" t="s">
        <v>884</v>
      </c>
      <c r="P81" s="14" t="s">
        <v>2063</v>
      </c>
      <c r="Q81" s="17" t="s">
        <v>137</v>
      </c>
      <c r="R81" s="17" t="s">
        <v>146</v>
      </c>
    </row>
    <row r="82" spans="1:18" x14ac:dyDescent="0.3">
      <c r="A82" s="12" t="s">
        <v>2073</v>
      </c>
      <c r="B82" s="12" t="s">
        <v>10</v>
      </c>
      <c r="C82" s="12"/>
      <c r="D82" s="12" t="s">
        <v>1561</v>
      </c>
      <c r="E82" s="12" t="s">
        <v>2074</v>
      </c>
      <c r="F82" s="12" t="s">
        <v>188</v>
      </c>
      <c r="G82" s="12" t="s">
        <v>2069</v>
      </c>
      <c r="H82" s="12" t="s">
        <v>37</v>
      </c>
      <c r="I82" s="12" t="s">
        <v>26</v>
      </c>
      <c r="J82" s="13" t="s">
        <v>2070</v>
      </c>
      <c r="K82" s="14" t="s">
        <v>2075</v>
      </c>
      <c r="L82" s="15">
        <v>15</v>
      </c>
      <c r="M82" s="15" t="s">
        <v>144</v>
      </c>
      <c r="N82" s="16">
        <v>46118</v>
      </c>
      <c r="O82" s="12" t="s">
        <v>2073</v>
      </c>
      <c r="P82" s="14" t="s">
        <v>2076</v>
      </c>
      <c r="Q82" s="17" t="s">
        <v>137</v>
      </c>
      <c r="R82" s="17" t="s">
        <v>146</v>
      </c>
    </row>
    <row r="83" spans="1:18" x14ac:dyDescent="0.3">
      <c r="A83" s="12" t="s">
        <v>2077</v>
      </c>
      <c r="B83" s="12" t="s">
        <v>10</v>
      </c>
      <c r="C83" s="12"/>
      <c r="D83" s="12" t="s">
        <v>440</v>
      </c>
      <c r="E83" s="12" t="s">
        <v>2078</v>
      </c>
      <c r="F83" s="12" t="s">
        <v>1446</v>
      </c>
      <c r="G83" s="12" t="s">
        <v>2069</v>
      </c>
      <c r="H83" s="12" t="s">
        <v>37</v>
      </c>
      <c r="I83" s="12" t="s">
        <v>26</v>
      </c>
      <c r="J83" s="13" t="s">
        <v>2070</v>
      </c>
      <c r="K83" s="14" t="s">
        <v>2079</v>
      </c>
      <c r="L83" s="15">
        <v>1</v>
      </c>
      <c r="M83" s="15" t="s">
        <v>144</v>
      </c>
      <c r="N83" s="16">
        <v>45447</v>
      </c>
      <c r="O83" s="12" t="s">
        <v>2077</v>
      </c>
      <c r="P83" s="14" t="s">
        <v>2080</v>
      </c>
      <c r="Q83" s="17" t="s">
        <v>137</v>
      </c>
      <c r="R83" s="17" t="s">
        <v>146</v>
      </c>
    </row>
    <row r="84" spans="1:18" x14ac:dyDescent="0.3">
      <c r="A84" s="12" t="s">
        <v>2097</v>
      </c>
      <c r="B84" s="12" t="s">
        <v>10</v>
      </c>
      <c r="C84" s="12"/>
      <c r="D84" s="12" t="s">
        <v>880</v>
      </c>
      <c r="E84" s="12" t="s">
        <v>2098</v>
      </c>
      <c r="F84" s="12"/>
      <c r="G84" s="12" t="s">
        <v>2099</v>
      </c>
      <c r="H84" s="12" t="s">
        <v>37</v>
      </c>
      <c r="I84" s="12" t="s">
        <v>26</v>
      </c>
      <c r="J84" s="13" t="s">
        <v>2001</v>
      </c>
      <c r="K84" s="14" t="s">
        <v>883</v>
      </c>
      <c r="L84" s="15">
        <v>0</v>
      </c>
      <c r="M84" s="15" t="s">
        <v>144</v>
      </c>
      <c r="N84" s="16">
        <v>45944</v>
      </c>
      <c r="O84" s="12" t="s">
        <v>884</v>
      </c>
      <c r="P84" s="14" t="s">
        <v>2100</v>
      </c>
      <c r="Q84" s="17" t="s">
        <v>137</v>
      </c>
      <c r="R84" s="17" t="s">
        <v>146</v>
      </c>
    </row>
    <row r="85" spans="1:18" x14ac:dyDescent="0.3">
      <c r="A85" s="12" t="s">
        <v>998</v>
      </c>
      <c r="B85" s="12" t="s">
        <v>10</v>
      </c>
      <c r="C85" s="12"/>
      <c r="D85" s="12" t="s">
        <v>216</v>
      </c>
      <c r="E85" s="12" t="s">
        <v>2101</v>
      </c>
      <c r="F85" s="12" t="s">
        <v>447</v>
      </c>
      <c r="G85" s="12" t="s">
        <v>876</v>
      </c>
      <c r="H85" s="12" t="s">
        <v>37</v>
      </c>
      <c r="I85" s="12" t="s">
        <v>26</v>
      </c>
      <c r="J85" s="13" t="s">
        <v>2102</v>
      </c>
      <c r="K85" s="14" t="s">
        <v>2103</v>
      </c>
      <c r="L85" s="15">
        <v>1</v>
      </c>
      <c r="M85" s="15" t="s">
        <v>220</v>
      </c>
      <c r="N85" s="16">
        <v>46042</v>
      </c>
      <c r="O85" s="12" t="s">
        <v>236</v>
      </c>
      <c r="P85" s="14" t="s">
        <v>1003</v>
      </c>
      <c r="Q85" s="17" t="s">
        <v>137</v>
      </c>
      <c r="R85" s="17" t="s">
        <v>146</v>
      </c>
    </row>
    <row r="86" spans="1:18" x14ac:dyDescent="0.3">
      <c r="A86" s="12" t="s">
        <v>998</v>
      </c>
      <c r="B86" s="12" t="s">
        <v>10</v>
      </c>
      <c r="C86" s="12"/>
      <c r="D86" s="12" t="s">
        <v>216</v>
      </c>
      <c r="E86" s="12" t="s">
        <v>2104</v>
      </c>
      <c r="F86" s="12" t="s">
        <v>583</v>
      </c>
      <c r="G86" s="12" t="s">
        <v>876</v>
      </c>
      <c r="H86" s="12" t="s">
        <v>37</v>
      </c>
      <c r="I86" s="12" t="s">
        <v>26</v>
      </c>
      <c r="J86" s="13" t="s">
        <v>2102</v>
      </c>
      <c r="K86" s="14" t="s">
        <v>1002</v>
      </c>
      <c r="L86" s="15">
        <v>0</v>
      </c>
      <c r="M86" s="15" t="s">
        <v>220</v>
      </c>
      <c r="N86" s="16">
        <v>46042</v>
      </c>
      <c r="O86" s="12" t="s">
        <v>236</v>
      </c>
      <c r="P86" s="14" t="s">
        <v>1003</v>
      </c>
      <c r="Q86" s="17" t="s">
        <v>137</v>
      </c>
      <c r="R86" s="17" t="s">
        <v>146</v>
      </c>
    </row>
    <row r="87" spans="1:18" x14ac:dyDescent="0.3">
      <c r="A87" s="12" t="s">
        <v>998</v>
      </c>
      <c r="B87" s="12" t="s">
        <v>10</v>
      </c>
      <c r="C87" s="12"/>
      <c r="D87" s="12" t="s">
        <v>216</v>
      </c>
      <c r="E87" s="12" t="s">
        <v>2105</v>
      </c>
      <c r="F87" s="12" t="s">
        <v>218</v>
      </c>
      <c r="G87" s="12" t="s">
        <v>876</v>
      </c>
      <c r="H87" s="12" t="s">
        <v>37</v>
      </c>
      <c r="I87" s="12" t="s">
        <v>26</v>
      </c>
      <c r="J87" s="13" t="s">
        <v>2102</v>
      </c>
      <c r="K87" s="14" t="s">
        <v>2106</v>
      </c>
      <c r="L87" s="15">
        <v>2</v>
      </c>
      <c r="M87" s="15" t="s">
        <v>220</v>
      </c>
      <c r="N87" s="16">
        <v>46042</v>
      </c>
      <c r="O87" s="12" t="s">
        <v>236</v>
      </c>
      <c r="P87" s="14" t="s">
        <v>1003</v>
      </c>
      <c r="Q87" s="17" t="s">
        <v>137</v>
      </c>
      <c r="R87" s="17" t="s">
        <v>146</v>
      </c>
    </row>
    <row r="88" spans="1:18" x14ac:dyDescent="0.3">
      <c r="A88" s="12" t="s">
        <v>1486</v>
      </c>
      <c r="B88" s="12" t="s">
        <v>10</v>
      </c>
      <c r="C88" s="12"/>
      <c r="D88" s="12" t="s">
        <v>252</v>
      </c>
      <c r="E88" s="12" t="s">
        <v>2138</v>
      </c>
      <c r="F88" s="12" t="s">
        <v>366</v>
      </c>
      <c r="G88" s="12" t="s">
        <v>876</v>
      </c>
      <c r="H88" s="12" t="s">
        <v>37</v>
      </c>
      <c r="I88" s="12" t="s">
        <v>26</v>
      </c>
      <c r="J88" s="13" t="s">
        <v>2102</v>
      </c>
      <c r="K88" s="14" t="s">
        <v>2139</v>
      </c>
      <c r="L88" s="15">
        <v>8</v>
      </c>
      <c r="M88" s="15" t="s">
        <v>220</v>
      </c>
      <c r="N88" s="16">
        <v>45714</v>
      </c>
      <c r="O88" s="12" t="s">
        <v>236</v>
      </c>
      <c r="P88" s="14" t="s">
        <v>2140</v>
      </c>
      <c r="Q88" s="17" t="s">
        <v>137</v>
      </c>
      <c r="R88" s="17" t="s">
        <v>146</v>
      </c>
    </row>
    <row r="89" spans="1:18" x14ac:dyDescent="0.3">
      <c r="A89" s="12" t="s">
        <v>2152</v>
      </c>
      <c r="B89" s="12" t="s">
        <v>10</v>
      </c>
      <c r="C89" s="12"/>
      <c r="D89" s="12" t="s">
        <v>880</v>
      </c>
      <c r="E89" s="12" t="s">
        <v>2153</v>
      </c>
      <c r="F89" s="12"/>
      <c r="G89" s="12" t="s">
        <v>876</v>
      </c>
      <c r="H89" s="12" t="s">
        <v>37</v>
      </c>
      <c r="I89" s="12" t="s">
        <v>26</v>
      </c>
      <c r="J89" s="13" t="s">
        <v>2070</v>
      </c>
      <c r="K89" s="14" t="s">
        <v>883</v>
      </c>
      <c r="L89" s="15">
        <v>0</v>
      </c>
      <c r="M89" s="15" t="s">
        <v>144</v>
      </c>
      <c r="N89" s="16">
        <v>45944</v>
      </c>
      <c r="O89" s="12" t="s">
        <v>884</v>
      </c>
      <c r="P89" s="14" t="s">
        <v>2154</v>
      </c>
      <c r="Q89" s="17" t="s">
        <v>137</v>
      </c>
      <c r="R89" s="17" t="s">
        <v>146</v>
      </c>
    </row>
    <row r="90" spans="1:18" x14ac:dyDescent="0.3">
      <c r="A90" s="12" t="s">
        <v>2155</v>
      </c>
      <c r="B90" s="12" t="s">
        <v>10</v>
      </c>
      <c r="C90" s="12"/>
      <c r="D90" s="12" t="s">
        <v>880</v>
      </c>
      <c r="E90" s="12" t="s">
        <v>2156</v>
      </c>
      <c r="F90" s="12"/>
      <c r="G90" s="12" t="s">
        <v>876</v>
      </c>
      <c r="H90" s="12" t="s">
        <v>37</v>
      </c>
      <c r="I90" s="12" t="s">
        <v>26</v>
      </c>
      <c r="J90" s="13" t="s">
        <v>2157</v>
      </c>
      <c r="K90" s="14" t="s">
        <v>883</v>
      </c>
      <c r="L90" s="15">
        <v>0</v>
      </c>
      <c r="M90" s="15" t="s">
        <v>144</v>
      </c>
      <c r="N90" s="16">
        <v>45944</v>
      </c>
      <c r="O90" s="12" t="s">
        <v>884</v>
      </c>
      <c r="P90" s="14" t="s">
        <v>2158</v>
      </c>
      <c r="Q90" s="17" t="s">
        <v>137</v>
      </c>
      <c r="R90" s="17" t="s">
        <v>146</v>
      </c>
    </row>
    <row r="91" spans="1:18" x14ac:dyDescent="0.3">
      <c r="A91" s="12" t="s">
        <v>2159</v>
      </c>
      <c r="B91" s="12" t="s">
        <v>10</v>
      </c>
      <c r="C91" s="12"/>
      <c r="D91" s="12" t="s">
        <v>880</v>
      </c>
      <c r="E91" s="12" t="s">
        <v>2160</v>
      </c>
      <c r="F91" s="12"/>
      <c r="G91" s="12" t="s">
        <v>876</v>
      </c>
      <c r="H91" s="12" t="s">
        <v>37</v>
      </c>
      <c r="I91" s="12" t="s">
        <v>26</v>
      </c>
      <c r="J91" s="13" t="s">
        <v>2118</v>
      </c>
      <c r="K91" s="14" t="s">
        <v>2161</v>
      </c>
      <c r="L91" s="15">
        <v>0</v>
      </c>
      <c r="M91" s="15" t="s">
        <v>144</v>
      </c>
      <c r="N91" s="16">
        <v>45944</v>
      </c>
      <c r="O91" s="12" t="s">
        <v>884</v>
      </c>
      <c r="P91" s="14" t="s">
        <v>2162</v>
      </c>
      <c r="Q91" s="17" t="s">
        <v>137</v>
      </c>
      <c r="R91" s="17" t="s">
        <v>146</v>
      </c>
    </row>
    <row r="92" spans="1:18" x14ac:dyDescent="0.3">
      <c r="A92" s="12" t="s">
        <v>884</v>
      </c>
      <c r="B92" s="12" t="s">
        <v>10</v>
      </c>
      <c r="C92" s="12"/>
      <c r="D92" s="12" t="s">
        <v>880</v>
      </c>
      <c r="E92" s="12" t="s">
        <v>2167</v>
      </c>
      <c r="F92" s="12" t="s">
        <v>2168</v>
      </c>
      <c r="G92" s="12" t="s">
        <v>876</v>
      </c>
      <c r="H92" s="12" t="s">
        <v>37</v>
      </c>
      <c r="I92" s="12" t="s">
        <v>26</v>
      </c>
      <c r="J92" s="13" t="s">
        <v>2123</v>
      </c>
      <c r="K92" s="14" t="s">
        <v>2169</v>
      </c>
      <c r="L92" s="15">
        <v>0</v>
      </c>
      <c r="M92" s="15" t="s">
        <v>144</v>
      </c>
      <c r="N92" s="16">
        <v>45944</v>
      </c>
      <c r="O92" s="12" t="s">
        <v>884</v>
      </c>
      <c r="P92" s="14" t="s">
        <v>2170</v>
      </c>
      <c r="Q92" s="17" t="s">
        <v>137</v>
      </c>
      <c r="R92" s="17" t="s">
        <v>146</v>
      </c>
    </row>
    <row r="93" spans="1:18" x14ac:dyDescent="0.3">
      <c r="A93" s="12" t="s">
        <v>2188</v>
      </c>
      <c r="B93" s="12" t="s">
        <v>10</v>
      </c>
      <c r="C93" s="12" t="s">
        <v>14</v>
      </c>
      <c r="D93" s="12" t="s">
        <v>945</v>
      </c>
      <c r="E93" s="12" t="s">
        <v>2189</v>
      </c>
      <c r="F93" s="12" t="s">
        <v>195</v>
      </c>
      <c r="G93" s="12" t="s">
        <v>876</v>
      </c>
      <c r="H93" s="12" t="s">
        <v>37</v>
      </c>
      <c r="I93" s="12" t="s">
        <v>26</v>
      </c>
      <c r="J93" s="13" t="s">
        <v>2118</v>
      </c>
      <c r="K93" s="14" t="s">
        <v>2190</v>
      </c>
      <c r="L93" s="15">
        <v>9</v>
      </c>
      <c r="M93" s="15" t="s">
        <v>144</v>
      </c>
      <c r="N93" s="16">
        <v>44925</v>
      </c>
      <c r="O93" s="12" t="s">
        <v>2191</v>
      </c>
      <c r="P93" s="14" t="s">
        <v>2192</v>
      </c>
      <c r="Q93" s="17" t="s">
        <v>137</v>
      </c>
      <c r="R93" s="17" t="s">
        <v>146</v>
      </c>
    </row>
    <row r="94" spans="1:18" x14ac:dyDescent="0.3">
      <c r="A94" s="12" t="s">
        <v>2201</v>
      </c>
      <c r="B94" s="12" t="s">
        <v>10</v>
      </c>
      <c r="C94" s="12"/>
      <c r="D94" s="12" t="s">
        <v>230</v>
      </c>
      <c r="E94" s="12" t="s">
        <v>2105</v>
      </c>
      <c r="F94" s="12" t="s">
        <v>2202</v>
      </c>
      <c r="G94" s="12" t="s">
        <v>876</v>
      </c>
      <c r="H94" s="12" t="s">
        <v>37</v>
      </c>
      <c r="I94" s="12" t="s">
        <v>26</v>
      </c>
      <c r="J94" s="13" t="s">
        <v>2102</v>
      </c>
      <c r="K94" s="14" t="s">
        <v>2203</v>
      </c>
      <c r="L94" s="15">
        <v>2</v>
      </c>
      <c r="M94" s="15" t="s">
        <v>220</v>
      </c>
      <c r="N94" s="16">
        <v>45713</v>
      </c>
      <c r="O94" s="12" t="s">
        <v>236</v>
      </c>
      <c r="P94" s="14" t="s">
        <v>2204</v>
      </c>
      <c r="Q94" s="17" t="s">
        <v>137</v>
      </c>
      <c r="R94" s="17" t="s">
        <v>146</v>
      </c>
    </row>
    <row r="95" spans="1:18" x14ac:dyDescent="0.3">
      <c r="A95" s="12" t="s">
        <v>2310</v>
      </c>
      <c r="B95" s="12" t="s">
        <v>10</v>
      </c>
      <c r="C95" s="12"/>
      <c r="D95" s="12" t="s">
        <v>2311</v>
      </c>
      <c r="E95" s="12" t="s">
        <v>2138</v>
      </c>
      <c r="F95" s="12" t="s">
        <v>1222</v>
      </c>
      <c r="G95" s="12" t="s">
        <v>876</v>
      </c>
      <c r="H95" s="12" t="s">
        <v>37</v>
      </c>
      <c r="I95" s="12" t="s">
        <v>26</v>
      </c>
      <c r="J95" s="13" t="s">
        <v>2102</v>
      </c>
      <c r="K95" s="14" t="s">
        <v>2312</v>
      </c>
      <c r="L95" s="15">
        <v>11</v>
      </c>
      <c r="M95" s="15" t="s">
        <v>220</v>
      </c>
      <c r="N95" s="16">
        <v>45712</v>
      </c>
      <c r="O95" s="12" t="s">
        <v>236</v>
      </c>
      <c r="P95" s="14" t="s">
        <v>2313</v>
      </c>
      <c r="Q95" s="17" t="s">
        <v>137</v>
      </c>
      <c r="R95" s="17" t="s">
        <v>146</v>
      </c>
    </row>
    <row r="96" spans="1:18" x14ac:dyDescent="0.3">
      <c r="A96" s="12" t="s">
        <v>2314</v>
      </c>
      <c r="B96" s="12" t="s">
        <v>10</v>
      </c>
      <c r="C96" s="12"/>
      <c r="D96" s="12" t="s">
        <v>157</v>
      </c>
      <c r="E96" s="12" t="s">
        <v>2104</v>
      </c>
      <c r="F96" s="12" t="s">
        <v>188</v>
      </c>
      <c r="G96" s="12" t="s">
        <v>876</v>
      </c>
      <c r="H96" s="12" t="s">
        <v>37</v>
      </c>
      <c r="I96" s="12" t="s">
        <v>26</v>
      </c>
      <c r="J96" s="13" t="s">
        <v>2102</v>
      </c>
      <c r="K96" s="14" t="s">
        <v>2315</v>
      </c>
      <c r="L96" s="15">
        <v>3</v>
      </c>
      <c r="M96" s="15" t="s">
        <v>220</v>
      </c>
      <c r="N96" s="16">
        <v>46055</v>
      </c>
      <c r="O96" s="12" t="s">
        <v>236</v>
      </c>
      <c r="P96" s="14" t="s">
        <v>2316</v>
      </c>
      <c r="Q96" s="17" t="s">
        <v>137</v>
      </c>
      <c r="R96" s="17" t="s">
        <v>146</v>
      </c>
    </row>
    <row r="97" spans="1:18" x14ac:dyDescent="0.3">
      <c r="A97" s="12" t="s">
        <v>2331</v>
      </c>
      <c r="B97" s="12" t="s">
        <v>10</v>
      </c>
      <c r="C97" s="12"/>
      <c r="D97" s="12" t="s">
        <v>880</v>
      </c>
      <c r="E97" s="12" t="s">
        <v>2332</v>
      </c>
      <c r="F97" s="12" t="s">
        <v>952</v>
      </c>
      <c r="G97" s="12" t="s">
        <v>2333</v>
      </c>
      <c r="H97" s="12" t="s">
        <v>37</v>
      </c>
      <c r="I97" s="12" t="s">
        <v>26</v>
      </c>
      <c r="J97" s="13" t="s">
        <v>2334</v>
      </c>
      <c r="K97" s="14" t="s">
        <v>883</v>
      </c>
      <c r="L97" s="15">
        <v>0</v>
      </c>
      <c r="M97" s="15" t="s">
        <v>144</v>
      </c>
      <c r="N97" s="16">
        <v>45944</v>
      </c>
      <c r="O97" s="12" t="s">
        <v>884</v>
      </c>
      <c r="P97" s="14" t="s">
        <v>2335</v>
      </c>
      <c r="Q97" s="17" t="s">
        <v>137</v>
      </c>
      <c r="R97" s="17" t="s">
        <v>146</v>
      </c>
    </row>
    <row r="98" spans="1:18" x14ac:dyDescent="0.3">
      <c r="A98" s="12" t="s">
        <v>215</v>
      </c>
      <c r="B98" s="12" t="s">
        <v>10</v>
      </c>
      <c r="C98" s="12" t="s">
        <v>14</v>
      </c>
      <c r="D98" s="12" t="s">
        <v>702</v>
      </c>
      <c r="E98" s="12" t="s">
        <v>2344</v>
      </c>
      <c r="F98" s="12"/>
      <c r="G98" s="12" t="s">
        <v>2333</v>
      </c>
      <c r="H98" s="12" t="s">
        <v>37</v>
      </c>
      <c r="I98" s="12" t="s">
        <v>26</v>
      </c>
      <c r="J98" s="13" t="s">
        <v>2056</v>
      </c>
      <c r="K98" s="14" t="s">
        <v>294</v>
      </c>
      <c r="L98" s="15">
        <v>45</v>
      </c>
      <c r="M98" s="15" t="s">
        <v>220</v>
      </c>
      <c r="N98" s="16">
        <v>45867</v>
      </c>
      <c r="O98" s="12" t="s">
        <v>215</v>
      </c>
      <c r="P98" s="14" t="s">
        <v>2345</v>
      </c>
      <c r="Q98" s="17" t="s">
        <v>137</v>
      </c>
      <c r="R98" s="17" t="s">
        <v>146</v>
      </c>
    </row>
    <row r="99" spans="1:18" x14ac:dyDescent="0.3">
      <c r="A99" s="12" t="s">
        <v>2352</v>
      </c>
      <c r="B99" s="12" t="s">
        <v>10</v>
      </c>
      <c r="C99" s="12"/>
      <c r="D99" s="12" t="s">
        <v>252</v>
      </c>
      <c r="E99" s="12" t="s">
        <v>2353</v>
      </c>
      <c r="F99" s="12"/>
      <c r="G99" s="12" t="s">
        <v>2349</v>
      </c>
      <c r="H99" s="12" t="s">
        <v>37</v>
      </c>
      <c r="I99" s="12" t="s">
        <v>26</v>
      </c>
      <c r="J99" s="13" t="s">
        <v>2334</v>
      </c>
      <c r="K99" s="14" t="s">
        <v>2354</v>
      </c>
      <c r="L99" s="15">
        <v>0</v>
      </c>
      <c r="M99" s="15" t="s">
        <v>144</v>
      </c>
      <c r="N99" s="16">
        <v>45909</v>
      </c>
      <c r="O99" s="12" t="s">
        <v>2355</v>
      </c>
      <c r="P99" s="14" t="s">
        <v>2356</v>
      </c>
      <c r="Q99" s="17" t="s">
        <v>137</v>
      </c>
      <c r="R99" s="17" t="s">
        <v>146</v>
      </c>
    </row>
    <row r="100" spans="1:18" x14ac:dyDescent="0.3">
      <c r="A100" s="12" t="s">
        <v>215</v>
      </c>
      <c r="B100" s="12" t="s">
        <v>10</v>
      </c>
      <c r="C100" s="12"/>
      <c r="D100" s="12" t="s">
        <v>647</v>
      </c>
      <c r="E100" s="12" t="s">
        <v>2434</v>
      </c>
      <c r="F100" s="12"/>
      <c r="G100" s="12" t="s">
        <v>2435</v>
      </c>
      <c r="H100" s="12" t="s">
        <v>47</v>
      </c>
      <c r="I100" s="12" t="s">
        <v>26</v>
      </c>
      <c r="J100" s="13" t="s">
        <v>2436</v>
      </c>
      <c r="K100" s="14" t="s">
        <v>219</v>
      </c>
      <c r="L100" s="15">
        <v>0</v>
      </c>
      <c r="M100" s="15" t="s">
        <v>144</v>
      </c>
      <c r="N100" s="16">
        <v>45818</v>
      </c>
      <c r="O100" s="12" t="s">
        <v>215</v>
      </c>
      <c r="P100" s="14" t="s">
        <v>2445</v>
      </c>
      <c r="Q100" s="17" t="s">
        <v>137</v>
      </c>
      <c r="R100" s="17" t="s">
        <v>146</v>
      </c>
    </row>
    <row r="101" spans="1:18" x14ac:dyDescent="0.3">
      <c r="A101" s="12" t="s">
        <v>215</v>
      </c>
      <c r="B101" s="12" t="s">
        <v>10</v>
      </c>
      <c r="C101" s="12"/>
      <c r="D101" s="12" t="s">
        <v>647</v>
      </c>
      <c r="E101" s="12" t="s">
        <v>2486</v>
      </c>
      <c r="F101" s="12" t="s">
        <v>188</v>
      </c>
      <c r="G101" s="12" t="s">
        <v>2463</v>
      </c>
      <c r="H101" s="12" t="s">
        <v>52</v>
      </c>
      <c r="I101" s="12" t="s">
        <v>26</v>
      </c>
      <c r="J101" s="13" t="s">
        <v>2464</v>
      </c>
      <c r="K101" s="14" t="s">
        <v>294</v>
      </c>
      <c r="L101" s="15">
        <v>0</v>
      </c>
      <c r="M101" s="15" t="s">
        <v>220</v>
      </c>
      <c r="N101" s="16">
        <v>45818</v>
      </c>
      <c r="O101" s="12" t="s">
        <v>215</v>
      </c>
      <c r="P101" s="14" t="s">
        <v>2487</v>
      </c>
      <c r="Q101" s="17" t="s">
        <v>137</v>
      </c>
      <c r="R101" s="17" t="s">
        <v>146</v>
      </c>
    </row>
    <row r="102" spans="1:18" x14ac:dyDescent="0.3">
      <c r="A102" s="12" t="s">
        <v>2515</v>
      </c>
      <c r="B102" s="12" t="s">
        <v>10</v>
      </c>
      <c r="C102" s="12"/>
      <c r="D102" s="12" t="s">
        <v>880</v>
      </c>
      <c r="E102" s="12" t="s">
        <v>2516</v>
      </c>
      <c r="F102" s="12"/>
      <c r="G102" s="12" t="s">
        <v>2517</v>
      </c>
      <c r="H102" s="12" t="s">
        <v>39</v>
      </c>
      <c r="I102" s="12" t="s">
        <v>26</v>
      </c>
      <c r="J102" s="13" t="s">
        <v>2518</v>
      </c>
      <c r="K102" s="14" t="s">
        <v>883</v>
      </c>
      <c r="L102" s="15">
        <v>0</v>
      </c>
      <c r="M102" s="15" t="s">
        <v>144</v>
      </c>
      <c r="N102" s="16">
        <v>45944</v>
      </c>
      <c r="O102" s="12" t="s">
        <v>884</v>
      </c>
      <c r="P102" s="14" t="s">
        <v>2519</v>
      </c>
      <c r="Q102" s="17" t="s">
        <v>137</v>
      </c>
      <c r="R102" s="17" t="s">
        <v>146</v>
      </c>
    </row>
    <row r="103" spans="1:18" x14ac:dyDescent="0.3">
      <c r="A103" s="12" t="s">
        <v>2634</v>
      </c>
      <c r="B103" s="12" t="s">
        <v>10</v>
      </c>
      <c r="C103" s="12"/>
      <c r="D103" s="12" t="s">
        <v>157</v>
      </c>
      <c r="E103" s="12" t="s">
        <v>2635</v>
      </c>
      <c r="F103" s="12" t="s">
        <v>843</v>
      </c>
      <c r="G103" s="12" t="s">
        <v>2636</v>
      </c>
      <c r="H103" s="12" t="s">
        <v>39</v>
      </c>
      <c r="I103" s="12" t="s">
        <v>26</v>
      </c>
      <c r="J103" s="13" t="s">
        <v>2578</v>
      </c>
      <c r="K103" s="14" t="s">
        <v>2637</v>
      </c>
      <c r="L103" s="15">
        <v>0</v>
      </c>
      <c r="M103" s="15" t="s">
        <v>144</v>
      </c>
      <c r="N103" s="16">
        <v>45855</v>
      </c>
      <c r="O103" s="12" t="s">
        <v>2634</v>
      </c>
      <c r="P103" s="14" t="s">
        <v>2638</v>
      </c>
      <c r="Q103" s="17" t="s">
        <v>137</v>
      </c>
      <c r="R103" s="17" t="s">
        <v>146</v>
      </c>
    </row>
    <row r="104" spans="1:18" x14ac:dyDescent="0.3">
      <c r="A104" s="12" t="s">
        <v>2662</v>
      </c>
      <c r="B104" s="12" t="s">
        <v>10</v>
      </c>
      <c r="C104" s="12"/>
      <c r="D104" s="12" t="s">
        <v>880</v>
      </c>
      <c r="E104" s="12" t="s">
        <v>2663</v>
      </c>
      <c r="F104" s="12"/>
      <c r="G104" s="12" t="s">
        <v>2636</v>
      </c>
      <c r="H104" s="12" t="s">
        <v>39</v>
      </c>
      <c r="I104" s="12" t="s">
        <v>26</v>
      </c>
      <c r="J104" s="13" t="s">
        <v>2578</v>
      </c>
      <c r="K104" s="14" t="s">
        <v>883</v>
      </c>
      <c r="L104" s="15">
        <v>1</v>
      </c>
      <c r="M104" s="15" t="s">
        <v>144</v>
      </c>
      <c r="N104" s="16">
        <v>45944</v>
      </c>
      <c r="O104" s="12" t="s">
        <v>884</v>
      </c>
      <c r="P104" s="14" t="s">
        <v>2664</v>
      </c>
      <c r="Q104" s="17" t="s">
        <v>137</v>
      </c>
      <c r="R104" s="17" t="s">
        <v>146</v>
      </c>
    </row>
    <row r="105" spans="1:18" x14ac:dyDescent="0.3">
      <c r="A105" s="12" t="s">
        <v>508</v>
      </c>
      <c r="B105" s="12" t="s">
        <v>10</v>
      </c>
      <c r="C105" s="12"/>
      <c r="D105" s="12" t="s">
        <v>252</v>
      </c>
      <c r="E105" s="12" t="s">
        <v>2665</v>
      </c>
      <c r="F105" s="12" t="s">
        <v>225</v>
      </c>
      <c r="G105" s="12" t="s">
        <v>2636</v>
      </c>
      <c r="H105" s="12" t="s">
        <v>39</v>
      </c>
      <c r="I105" s="12" t="s">
        <v>26</v>
      </c>
      <c r="J105" s="13" t="s">
        <v>2578</v>
      </c>
      <c r="K105" s="14" t="s">
        <v>2666</v>
      </c>
      <c r="L105" s="15">
        <v>0</v>
      </c>
      <c r="M105" s="15" t="s">
        <v>144</v>
      </c>
      <c r="N105" s="16">
        <v>45701</v>
      </c>
      <c r="O105" s="12" t="s">
        <v>508</v>
      </c>
      <c r="P105" s="14" t="s">
        <v>2667</v>
      </c>
      <c r="Q105" s="17" t="s">
        <v>137</v>
      </c>
      <c r="R105" s="17" t="s">
        <v>146</v>
      </c>
    </row>
    <row r="106" spans="1:18" x14ac:dyDescent="0.3">
      <c r="A106" s="12" t="s">
        <v>1784</v>
      </c>
      <c r="B106" s="12" t="s">
        <v>10</v>
      </c>
      <c r="C106" s="12"/>
      <c r="D106" s="12" t="s">
        <v>1561</v>
      </c>
      <c r="E106" s="12" t="s">
        <v>2676</v>
      </c>
      <c r="F106" s="12" t="s">
        <v>516</v>
      </c>
      <c r="G106" s="12" t="s">
        <v>2636</v>
      </c>
      <c r="H106" s="12" t="s">
        <v>39</v>
      </c>
      <c r="I106" s="12" t="s">
        <v>26</v>
      </c>
      <c r="J106" s="13" t="s">
        <v>2578</v>
      </c>
      <c r="K106" s="14" t="s">
        <v>2677</v>
      </c>
      <c r="L106" s="15">
        <v>0</v>
      </c>
      <c r="M106" s="15" t="s">
        <v>144</v>
      </c>
      <c r="N106" s="16">
        <v>46044</v>
      </c>
      <c r="O106" s="12" t="s">
        <v>1787</v>
      </c>
      <c r="P106" s="14" t="s">
        <v>1788</v>
      </c>
      <c r="Q106" s="17" t="s">
        <v>137</v>
      </c>
      <c r="R106" s="17" t="s">
        <v>146</v>
      </c>
    </row>
    <row r="107" spans="1:18" x14ac:dyDescent="0.3">
      <c r="A107" s="12" t="s">
        <v>2682</v>
      </c>
      <c r="B107" s="12" t="s">
        <v>10</v>
      </c>
      <c r="C107" s="12"/>
      <c r="D107" s="12" t="s">
        <v>650</v>
      </c>
      <c r="E107" s="12" t="s">
        <v>2683</v>
      </c>
      <c r="F107" s="12"/>
      <c r="G107" s="12" t="s">
        <v>2636</v>
      </c>
      <c r="H107" s="12" t="s">
        <v>39</v>
      </c>
      <c r="I107" s="12" t="s">
        <v>26</v>
      </c>
      <c r="J107" s="13" t="s">
        <v>2578</v>
      </c>
      <c r="K107" s="14" t="s">
        <v>2684</v>
      </c>
      <c r="L107" s="15">
        <v>1</v>
      </c>
      <c r="M107" s="15" t="s">
        <v>220</v>
      </c>
      <c r="N107" s="16">
        <v>45749</v>
      </c>
      <c r="O107" s="12" t="s">
        <v>2682</v>
      </c>
      <c r="P107" s="14" t="s">
        <v>2685</v>
      </c>
      <c r="Q107" s="17" t="s">
        <v>137</v>
      </c>
      <c r="R107" s="17" t="s">
        <v>146</v>
      </c>
    </row>
    <row r="108" spans="1:18" x14ac:dyDescent="0.3">
      <c r="A108" s="12" t="s">
        <v>364</v>
      </c>
      <c r="B108" s="12" t="s">
        <v>10</v>
      </c>
      <c r="C108" s="12"/>
      <c r="D108" s="12" t="s">
        <v>157</v>
      </c>
      <c r="E108" s="12" t="s">
        <v>2693</v>
      </c>
      <c r="F108" s="12" t="s">
        <v>389</v>
      </c>
      <c r="G108" s="12" t="s">
        <v>2636</v>
      </c>
      <c r="H108" s="12" t="s">
        <v>39</v>
      </c>
      <c r="I108" s="12" t="s">
        <v>26</v>
      </c>
      <c r="J108" s="13" t="s">
        <v>2578</v>
      </c>
      <c r="K108" s="14" t="s">
        <v>368</v>
      </c>
      <c r="L108" s="15">
        <v>2</v>
      </c>
      <c r="M108" s="15" t="s">
        <v>144</v>
      </c>
      <c r="N108" s="16">
        <v>46253</v>
      </c>
      <c r="O108" s="12" t="s">
        <v>364</v>
      </c>
      <c r="P108" s="14" t="s">
        <v>369</v>
      </c>
      <c r="Q108" s="17" t="s">
        <v>137</v>
      </c>
      <c r="R108" s="17" t="s">
        <v>146</v>
      </c>
    </row>
    <row r="109" spans="1:18" x14ac:dyDescent="0.3">
      <c r="A109" s="12" t="s">
        <v>2699</v>
      </c>
      <c r="B109" s="12" t="s">
        <v>10</v>
      </c>
      <c r="C109" s="12"/>
      <c r="D109" s="12" t="s">
        <v>2700</v>
      </c>
      <c r="E109" s="12" t="s">
        <v>2701</v>
      </c>
      <c r="F109" s="12" t="s">
        <v>188</v>
      </c>
      <c r="G109" s="12" t="s">
        <v>2636</v>
      </c>
      <c r="H109" s="12" t="s">
        <v>39</v>
      </c>
      <c r="I109" s="12" t="s">
        <v>26</v>
      </c>
      <c r="J109" s="13" t="s">
        <v>2578</v>
      </c>
      <c r="K109" s="14" t="s">
        <v>2702</v>
      </c>
      <c r="L109" s="15">
        <v>2</v>
      </c>
      <c r="M109" s="15" t="s">
        <v>144</v>
      </c>
      <c r="N109" s="16">
        <v>46108</v>
      </c>
      <c r="O109" s="12" t="s">
        <v>2699</v>
      </c>
      <c r="P109" s="14" t="s">
        <v>2703</v>
      </c>
      <c r="Q109" s="17" t="s">
        <v>137</v>
      </c>
      <c r="R109" s="17" t="s">
        <v>146</v>
      </c>
    </row>
    <row r="110" spans="1:18" x14ac:dyDescent="0.3">
      <c r="A110" s="12" t="s">
        <v>1144</v>
      </c>
      <c r="B110" s="12" t="s">
        <v>10</v>
      </c>
      <c r="C110" s="12"/>
      <c r="D110" s="12" t="s">
        <v>216</v>
      </c>
      <c r="E110" s="12" t="s">
        <v>2704</v>
      </c>
      <c r="F110" s="12" t="s">
        <v>447</v>
      </c>
      <c r="G110" s="12" t="s">
        <v>2636</v>
      </c>
      <c r="H110" s="12" t="s">
        <v>39</v>
      </c>
      <c r="I110" s="12" t="s">
        <v>26</v>
      </c>
      <c r="J110" s="13" t="s">
        <v>2649</v>
      </c>
      <c r="K110" s="14" t="s">
        <v>294</v>
      </c>
      <c r="L110" s="15">
        <v>2</v>
      </c>
      <c r="M110" s="15" t="s">
        <v>220</v>
      </c>
      <c r="N110" s="16">
        <v>44839</v>
      </c>
      <c r="O110" s="12" t="s">
        <v>1144</v>
      </c>
      <c r="P110" s="14" t="s">
        <v>2705</v>
      </c>
      <c r="Q110" s="17" t="s">
        <v>137</v>
      </c>
      <c r="R110" s="17" t="s">
        <v>146</v>
      </c>
    </row>
    <row r="111" spans="1:18" x14ac:dyDescent="0.3">
      <c r="A111" s="12" t="s">
        <v>215</v>
      </c>
      <c r="B111" s="12" t="s">
        <v>10</v>
      </c>
      <c r="C111" s="12" t="s">
        <v>14</v>
      </c>
      <c r="D111" s="12" t="s">
        <v>702</v>
      </c>
      <c r="E111" s="12" t="s">
        <v>2706</v>
      </c>
      <c r="F111" s="12" t="s">
        <v>447</v>
      </c>
      <c r="G111" s="12" t="s">
        <v>2636</v>
      </c>
      <c r="H111" s="12" t="s">
        <v>39</v>
      </c>
      <c r="I111" s="12" t="s">
        <v>26</v>
      </c>
      <c r="J111" s="13" t="s">
        <v>2578</v>
      </c>
      <c r="K111" s="14" t="s">
        <v>2707</v>
      </c>
      <c r="L111" s="15">
        <v>4</v>
      </c>
      <c r="M111" s="15" t="s">
        <v>220</v>
      </c>
      <c r="N111" s="16">
        <v>45818</v>
      </c>
      <c r="O111" s="12" t="s">
        <v>215</v>
      </c>
      <c r="P111" s="14" t="s">
        <v>2708</v>
      </c>
      <c r="Q111" s="17" t="s">
        <v>137</v>
      </c>
      <c r="R111" s="17" t="s">
        <v>146</v>
      </c>
    </row>
    <row r="112" spans="1:18" x14ac:dyDescent="0.3">
      <c r="A112" s="12" t="s">
        <v>2766</v>
      </c>
      <c r="B112" s="12" t="s">
        <v>10</v>
      </c>
      <c r="C112" s="12"/>
      <c r="D112" s="12" t="s">
        <v>647</v>
      </c>
      <c r="E112" s="12" t="s">
        <v>2767</v>
      </c>
      <c r="F112" s="12"/>
      <c r="G112" s="12" t="s">
        <v>2768</v>
      </c>
      <c r="H112" s="12" t="s">
        <v>43</v>
      </c>
      <c r="I112" s="12" t="s">
        <v>26</v>
      </c>
      <c r="J112" s="13" t="s">
        <v>2769</v>
      </c>
      <c r="K112" s="14" t="s">
        <v>2770</v>
      </c>
      <c r="L112" s="15">
        <v>3</v>
      </c>
      <c r="M112" s="15" t="s">
        <v>220</v>
      </c>
      <c r="N112" s="16">
        <v>45678</v>
      </c>
      <c r="O112" s="12" t="s">
        <v>236</v>
      </c>
      <c r="P112" s="14" t="s">
        <v>2771</v>
      </c>
      <c r="Q112" s="17" t="s">
        <v>137</v>
      </c>
      <c r="R112" s="17" t="s">
        <v>146</v>
      </c>
    </row>
    <row r="113" spans="1:18" x14ac:dyDescent="0.3">
      <c r="A113" s="12" t="s">
        <v>2935</v>
      </c>
      <c r="B113" s="12" t="s">
        <v>10</v>
      </c>
      <c r="C113" s="12"/>
      <c r="D113" s="12" t="s">
        <v>157</v>
      </c>
      <c r="E113" s="12" t="s">
        <v>2936</v>
      </c>
      <c r="F113" s="12" t="s">
        <v>1569</v>
      </c>
      <c r="G113" s="12" t="s">
        <v>2937</v>
      </c>
      <c r="H113" s="12" t="s">
        <v>44</v>
      </c>
      <c r="I113" s="12" t="s">
        <v>27</v>
      </c>
      <c r="J113" s="13" t="s">
        <v>2938</v>
      </c>
      <c r="K113" s="14" t="s">
        <v>2939</v>
      </c>
      <c r="L113" s="15">
        <v>0</v>
      </c>
      <c r="M113" s="15" t="s">
        <v>144</v>
      </c>
      <c r="N113" s="16">
        <v>45911</v>
      </c>
      <c r="O113" s="12" t="s">
        <v>2940</v>
      </c>
      <c r="P113" s="14" t="s">
        <v>2941</v>
      </c>
      <c r="Q113" s="17" t="s">
        <v>137</v>
      </c>
      <c r="R113" s="17" t="s">
        <v>146</v>
      </c>
    </row>
    <row r="114" spans="1:18" x14ac:dyDescent="0.3">
      <c r="A114" s="12" t="s">
        <v>2942</v>
      </c>
      <c r="B114" s="12" t="s">
        <v>10</v>
      </c>
      <c r="C114" s="12"/>
      <c r="D114" s="12" t="s">
        <v>157</v>
      </c>
      <c r="E114" s="12" t="s">
        <v>2943</v>
      </c>
      <c r="F114" s="12"/>
      <c r="G114" s="12" t="s">
        <v>2937</v>
      </c>
      <c r="H114" s="12" t="s">
        <v>44</v>
      </c>
      <c r="I114" s="12" t="s">
        <v>27</v>
      </c>
      <c r="J114" s="13" t="s">
        <v>2944</v>
      </c>
      <c r="K114" s="14" t="s">
        <v>2945</v>
      </c>
      <c r="L114" s="15">
        <v>0</v>
      </c>
      <c r="M114" s="15" t="s">
        <v>144</v>
      </c>
      <c r="N114" s="16">
        <v>46065</v>
      </c>
      <c r="O114" s="12" t="s">
        <v>2942</v>
      </c>
      <c r="P114" s="14" t="s">
        <v>2946</v>
      </c>
      <c r="Q114" s="17" t="s">
        <v>137</v>
      </c>
      <c r="R114" s="17" t="s">
        <v>146</v>
      </c>
    </row>
    <row r="115" spans="1:18" x14ac:dyDescent="0.3">
      <c r="A115" s="12" t="s">
        <v>3088</v>
      </c>
      <c r="B115" s="12" t="s">
        <v>10</v>
      </c>
      <c r="C115" s="12"/>
      <c r="D115" s="12" t="s">
        <v>252</v>
      </c>
      <c r="E115" s="12" t="s">
        <v>3089</v>
      </c>
      <c r="F115" s="12"/>
      <c r="G115" s="12" t="s">
        <v>3054</v>
      </c>
      <c r="H115" s="12" t="s">
        <v>49</v>
      </c>
      <c r="I115" s="12" t="s">
        <v>28</v>
      </c>
      <c r="J115" s="13" t="s">
        <v>3055</v>
      </c>
      <c r="K115" s="14" t="s">
        <v>3090</v>
      </c>
      <c r="L115" s="15">
        <v>0</v>
      </c>
      <c r="M115" s="15" t="s">
        <v>144</v>
      </c>
      <c r="N115" s="16">
        <v>45257</v>
      </c>
      <c r="O115" s="12" t="s">
        <v>3091</v>
      </c>
      <c r="P115" s="14" t="s">
        <v>3092</v>
      </c>
      <c r="Q115" s="17" t="s">
        <v>137</v>
      </c>
      <c r="R115" s="17" t="s">
        <v>146</v>
      </c>
    </row>
    <row r="116" spans="1:18" x14ac:dyDescent="0.3">
      <c r="A116" s="12" t="s">
        <v>3093</v>
      </c>
      <c r="B116" s="12" t="s">
        <v>10</v>
      </c>
      <c r="C116" s="12"/>
      <c r="D116" s="12" t="s">
        <v>647</v>
      </c>
      <c r="E116" s="12" t="s">
        <v>3094</v>
      </c>
      <c r="F116" s="12"/>
      <c r="G116" s="12" t="s">
        <v>3054</v>
      </c>
      <c r="H116" s="12" t="s">
        <v>49</v>
      </c>
      <c r="I116" s="12" t="s">
        <v>28</v>
      </c>
      <c r="J116" s="13" t="s">
        <v>3055</v>
      </c>
      <c r="K116" s="14" t="s">
        <v>3095</v>
      </c>
      <c r="L116" s="15">
        <v>1</v>
      </c>
      <c r="M116" s="15" t="s">
        <v>144</v>
      </c>
      <c r="N116" s="16">
        <v>45257</v>
      </c>
      <c r="O116" s="12" t="s">
        <v>3096</v>
      </c>
      <c r="P116" s="14" t="s">
        <v>3097</v>
      </c>
      <c r="Q116" s="17" t="s">
        <v>137</v>
      </c>
      <c r="R116" s="17" t="s">
        <v>146</v>
      </c>
    </row>
    <row r="117" spans="1:18" x14ac:dyDescent="0.3">
      <c r="A117" s="12" t="s">
        <v>3098</v>
      </c>
      <c r="B117" s="12" t="s">
        <v>10</v>
      </c>
      <c r="C117" s="12"/>
      <c r="D117" s="12" t="s">
        <v>647</v>
      </c>
      <c r="E117" s="12" t="s">
        <v>3094</v>
      </c>
      <c r="F117" s="12"/>
      <c r="G117" s="12" t="s">
        <v>3054</v>
      </c>
      <c r="H117" s="12" t="s">
        <v>49</v>
      </c>
      <c r="I117" s="12" t="s">
        <v>28</v>
      </c>
      <c r="J117" s="13" t="s">
        <v>3055</v>
      </c>
      <c r="K117" s="14" t="s">
        <v>3095</v>
      </c>
      <c r="L117" s="15">
        <v>1</v>
      </c>
      <c r="M117" s="15" t="s">
        <v>220</v>
      </c>
      <c r="N117" s="16">
        <v>46150</v>
      </c>
      <c r="O117" s="12" t="s">
        <v>3099</v>
      </c>
      <c r="P117" s="14" t="s">
        <v>3100</v>
      </c>
      <c r="Q117" s="17" t="s">
        <v>137</v>
      </c>
      <c r="R117" s="17" t="s">
        <v>146</v>
      </c>
    </row>
    <row r="118" spans="1:18" x14ac:dyDescent="0.3">
      <c r="A118" s="12" t="s">
        <v>3267</v>
      </c>
      <c r="B118" s="12" t="s">
        <v>10</v>
      </c>
      <c r="C118" s="12"/>
      <c r="D118" s="12" t="s">
        <v>157</v>
      </c>
      <c r="E118" s="12" t="s">
        <v>3268</v>
      </c>
      <c r="F118" s="12"/>
      <c r="G118" s="12" t="s">
        <v>3269</v>
      </c>
      <c r="H118" s="12" t="s">
        <v>41</v>
      </c>
      <c r="I118" s="12" t="s">
        <v>28</v>
      </c>
      <c r="J118" s="13" t="s">
        <v>3270</v>
      </c>
      <c r="K118" s="14" t="s">
        <v>3271</v>
      </c>
      <c r="L118" s="15">
        <v>0</v>
      </c>
      <c r="M118" s="15" t="s">
        <v>220</v>
      </c>
      <c r="N118" s="16">
        <v>46092</v>
      </c>
      <c r="O118" s="12" t="s">
        <v>3272</v>
      </c>
      <c r="P118" s="14" t="s">
        <v>3273</v>
      </c>
      <c r="Q118" s="17" t="s">
        <v>137</v>
      </c>
      <c r="R118" s="17" t="s">
        <v>146</v>
      </c>
    </row>
    <row r="119" spans="1:18" x14ac:dyDescent="0.3">
      <c r="A119" s="12" t="s">
        <v>3274</v>
      </c>
      <c r="B119" s="12" t="s">
        <v>10</v>
      </c>
      <c r="C119" s="12"/>
      <c r="D119" s="12" t="s">
        <v>216</v>
      </c>
      <c r="E119" s="12" t="s">
        <v>3268</v>
      </c>
      <c r="F119" s="12"/>
      <c r="G119" s="12" t="s">
        <v>3269</v>
      </c>
      <c r="H119" s="12" t="s">
        <v>41</v>
      </c>
      <c r="I119" s="12" t="s">
        <v>28</v>
      </c>
      <c r="J119" s="13" t="s">
        <v>3270</v>
      </c>
      <c r="K119" s="14" t="s">
        <v>3275</v>
      </c>
      <c r="L119" s="15">
        <v>0</v>
      </c>
      <c r="M119" s="15" t="s">
        <v>220</v>
      </c>
      <c r="N119" s="16">
        <v>46246</v>
      </c>
      <c r="O119" s="12" t="s">
        <v>3272</v>
      </c>
      <c r="P119" s="14" t="s">
        <v>3276</v>
      </c>
      <c r="Q119" s="17" t="s">
        <v>137</v>
      </c>
      <c r="R119" s="17" t="s">
        <v>146</v>
      </c>
    </row>
    <row r="120" spans="1:18" x14ac:dyDescent="0.3">
      <c r="A120" s="12" t="s">
        <v>3277</v>
      </c>
      <c r="B120" s="12" t="s">
        <v>10</v>
      </c>
      <c r="C120" s="12"/>
      <c r="D120" s="12" t="s">
        <v>1561</v>
      </c>
      <c r="E120" s="12" t="s">
        <v>3268</v>
      </c>
      <c r="F120" s="12"/>
      <c r="G120" s="12" t="s">
        <v>3269</v>
      </c>
      <c r="H120" s="12" t="s">
        <v>41</v>
      </c>
      <c r="I120" s="12" t="s">
        <v>28</v>
      </c>
      <c r="J120" s="13" t="s">
        <v>3270</v>
      </c>
      <c r="K120" s="14" t="s">
        <v>3278</v>
      </c>
      <c r="L120" s="15">
        <v>0</v>
      </c>
      <c r="M120" s="15" t="s">
        <v>220</v>
      </c>
      <c r="N120" s="16">
        <v>46092</v>
      </c>
      <c r="O120" s="12" t="s">
        <v>3272</v>
      </c>
      <c r="P120" s="14" t="s">
        <v>3279</v>
      </c>
      <c r="Q120" s="17" t="s">
        <v>137</v>
      </c>
      <c r="R120" s="17" t="s">
        <v>146</v>
      </c>
    </row>
    <row r="121" spans="1:18" x14ac:dyDescent="0.3">
      <c r="A121" s="12" t="s">
        <v>3280</v>
      </c>
      <c r="B121" s="12" t="s">
        <v>10</v>
      </c>
      <c r="C121" s="12"/>
      <c r="D121" s="12" t="s">
        <v>230</v>
      </c>
      <c r="E121" s="12" t="s">
        <v>3268</v>
      </c>
      <c r="F121" s="12"/>
      <c r="G121" s="12" t="s">
        <v>3269</v>
      </c>
      <c r="H121" s="12" t="s">
        <v>41</v>
      </c>
      <c r="I121" s="12" t="s">
        <v>28</v>
      </c>
      <c r="J121" s="13" t="s">
        <v>3270</v>
      </c>
      <c r="K121" s="14" t="s">
        <v>3281</v>
      </c>
      <c r="L121" s="15">
        <v>0</v>
      </c>
      <c r="M121" s="15" t="s">
        <v>220</v>
      </c>
      <c r="N121" s="16">
        <v>46092</v>
      </c>
      <c r="O121" s="12" t="s">
        <v>3272</v>
      </c>
      <c r="P121" s="14" t="s">
        <v>3282</v>
      </c>
      <c r="Q121" s="17" t="s">
        <v>137</v>
      </c>
      <c r="R121" s="17" t="s">
        <v>146</v>
      </c>
    </row>
    <row r="122" spans="1:18" x14ac:dyDescent="0.3">
      <c r="A122" s="12" t="s">
        <v>3283</v>
      </c>
      <c r="B122" s="12" t="s">
        <v>10</v>
      </c>
      <c r="C122" s="12"/>
      <c r="D122" s="12" t="s">
        <v>252</v>
      </c>
      <c r="E122" s="12" t="s">
        <v>3268</v>
      </c>
      <c r="F122" s="12"/>
      <c r="G122" s="12" t="s">
        <v>3269</v>
      </c>
      <c r="H122" s="12" t="s">
        <v>41</v>
      </c>
      <c r="I122" s="12" t="s">
        <v>28</v>
      </c>
      <c r="J122" s="13" t="s">
        <v>3270</v>
      </c>
      <c r="K122" s="14" t="s">
        <v>3284</v>
      </c>
      <c r="L122" s="15">
        <v>0</v>
      </c>
      <c r="M122" s="15" t="s">
        <v>220</v>
      </c>
      <c r="N122" s="16">
        <v>46092</v>
      </c>
      <c r="O122" s="12" t="s">
        <v>3272</v>
      </c>
      <c r="P122" s="14" t="s">
        <v>3285</v>
      </c>
      <c r="Q122" s="17" t="s">
        <v>137</v>
      </c>
      <c r="R122" s="17" t="s">
        <v>146</v>
      </c>
    </row>
    <row r="123" spans="1:18" x14ac:dyDescent="0.3">
      <c r="A123" s="12" t="s">
        <v>3339</v>
      </c>
      <c r="B123" s="12" t="s">
        <v>10</v>
      </c>
      <c r="C123" s="12"/>
      <c r="D123" s="12" t="s">
        <v>252</v>
      </c>
      <c r="E123" s="12" t="s">
        <v>3340</v>
      </c>
      <c r="F123" s="12"/>
      <c r="G123" s="12" t="s">
        <v>3269</v>
      </c>
      <c r="H123" s="12" t="s">
        <v>41</v>
      </c>
      <c r="I123" s="12" t="s">
        <v>28</v>
      </c>
      <c r="J123" s="13" t="s">
        <v>3296</v>
      </c>
      <c r="K123" s="14" t="s">
        <v>3341</v>
      </c>
      <c r="L123" s="15">
        <v>0</v>
      </c>
      <c r="M123" s="15" t="s">
        <v>144</v>
      </c>
      <c r="N123" s="16">
        <v>45572</v>
      </c>
      <c r="O123" s="12" t="s">
        <v>3339</v>
      </c>
      <c r="P123" s="14" t="s">
        <v>3342</v>
      </c>
      <c r="Q123" s="17" t="s">
        <v>137</v>
      </c>
      <c r="R123" s="17" t="s">
        <v>146</v>
      </c>
    </row>
    <row r="124" spans="1:18" x14ac:dyDescent="0.3">
      <c r="A124" s="12" t="s">
        <v>3343</v>
      </c>
      <c r="B124" s="12" t="s">
        <v>10</v>
      </c>
      <c r="C124" s="12"/>
      <c r="D124" s="12" t="s">
        <v>1561</v>
      </c>
      <c r="E124" s="12" t="s">
        <v>3344</v>
      </c>
      <c r="F124" s="12"/>
      <c r="G124" s="12" t="s">
        <v>3269</v>
      </c>
      <c r="H124" s="12" t="s">
        <v>41</v>
      </c>
      <c r="I124" s="12" t="s">
        <v>28</v>
      </c>
      <c r="J124" s="13" t="s">
        <v>3270</v>
      </c>
      <c r="K124" s="14" t="s">
        <v>3345</v>
      </c>
      <c r="L124" s="15">
        <v>0</v>
      </c>
      <c r="M124" s="15" t="s">
        <v>144</v>
      </c>
      <c r="N124" s="16">
        <v>46126</v>
      </c>
      <c r="O124" s="12" t="s">
        <v>3343</v>
      </c>
      <c r="P124" s="14" t="s">
        <v>3346</v>
      </c>
      <c r="Q124" s="17" t="s">
        <v>137</v>
      </c>
      <c r="R124" s="17" t="s">
        <v>146</v>
      </c>
    </row>
    <row r="125" spans="1:18" x14ac:dyDescent="0.3">
      <c r="A125" s="12" t="s">
        <v>3405</v>
      </c>
      <c r="B125" s="12" t="s">
        <v>10</v>
      </c>
      <c r="C125" s="12"/>
      <c r="D125" s="12" t="s">
        <v>252</v>
      </c>
      <c r="E125" s="12" t="s">
        <v>3406</v>
      </c>
      <c r="F125" s="12"/>
      <c r="G125" s="12" t="s">
        <v>3401</v>
      </c>
      <c r="H125" s="12" t="s">
        <v>70</v>
      </c>
      <c r="I125" s="12" t="s">
        <v>29</v>
      </c>
      <c r="J125" s="13" t="s">
        <v>3402</v>
      </c>
      <c r="K125" s="14" t="s">
        <v>3407</v>
      </c>
      <c r="L125" s="15">
        <v>2</v>
      </c>
      <c r="M125" s="15" t="s">
        <v>144</v>
      </c>
      <c r="N125" s="16">
        <v>45544</v>
      </c>
      <c r="O125" s="12" t="s">
        <v>3405</v>
      </c>
      <c r="P125" s="14" t="s">
        <v>3408</v>
      </c>
      <c r="Q125" s="17" t="s">
        <v>137</v>
      </c>
      <c r="R125" s="17" t="s">
        <v>146</v>
      </c>
    </row>
    <row r="126" spans="1:18" x14ac:dyDescent="0.3">
      <c r="A126" s="12" t="s">
        <v>3413</v>
      </c>
      <c r="B126" s="12" t="s">
        <v>10</v>
      </c>
      <c r="C126" s="12" t="s">
        <v>12</v>
      </c>
      <c r="D126" s="12" t="s">
        <v>3414</v>
      </c>
      <c r="E126" s="12" t="s">
        <v>3415</v>
      </c>
      <c r="F126" s="12"/>
      <c r="G126" s="12" t="s">
        <v>3401</v>
      </c>
      <c r="H126" s="12" t="s">
        <v>70</v>
      </c>
      <c r="I126" s="12" t="s">
        <v>29</v>
      </c>
      <c r="J126" s="13" t="s">
        <v>3402</v>
      </c>
      <c r="K126" s="14" t="s">
        <v>3403</v>
      </c>
      <c r="L126" s="15">
        <v>2</v>
      </c>
      <c r="M126" s="15" t="s">
        <v>220</v>
      </c>
      <c r="N126" s="16">
        <v>46308</v>
      </c>
      <c r="O126" s="12" t="s">
        <v>3416</v>
      </c>
      <c r="P126" s="14" t="s">
        <v>3417</v>
      </c>
      <c r="Q126" s="17" t="s">
        <v>137</v>
      </c>
      <c r="R126" s="17" t="s">
        <v>146</v>
      </c>
    </row>
    <row r="127" spans="1:18" x14ac:dyDescent="0.3">
      <c r="A127" s="12" t="s">
        <v>2942</v>
      </c>
      <c r="B127" s="12" t="s">
        <v>10</v>
      </c>
      <c r="C127" s="12"/>
      <c r="D127" s="12" t="s">
        <v>157</v>
      </c>
      <c r="E127" s="12" t="s">
        <v>3520</v>
      </c>
      <c r="F127" s="12"/>
      <c r="G127" s="12" t="s">
        <v>3505</v>
      </c>
      <c r="H127" s="12" t="s">
        <v>45</v>
      </c>
      <c r="I127" s="12" t="s">
        <v>30</v>
      </c>
      <c r="J127" s="13" t="s">
        <v>2944</v>
      </c>
      <c r="K127" s="14" t="s">
        <v>3521</v>
      </c>
      <c r="L127" s="15">
        <v>2</v>
      </c>
      <c r="M127" s="15" t="s">
        <v>144</v>
      </c>
      <c r="N127" s="16">
        <v>46065</v>
      </c>
      <c r="O127" s="12" t="s">
        <v>2942</v>
      </c>
      <c r="P127" s="14" t="s">
        <v>3522</v>
      </c>
      <c r="Q127" s="17" t="s">
        <v>137</v>
      </c>
      <c r="R127" s="17" t="s">
        <v>146</v>
      </c>
    </row>
    <row r="128" spans="1:18" x14ac:dyDescent="0.3">
      <c r="A128" s="12" t="s">
        <v>3523</v>
      </c>
      <c r="B128" s="12" t="s">
        <v>10</v>
      </c>
      <c r="C128" s="12"/>
      <c r="D128" s="12" t="s">
        <v>3524</v>
      </c>
      <c r="E128" s="12" t="s">
        <v>3513</v>
      </c>
      <c r="F128" s="12" t="s">
        <v>516</v>
      </c>
      <c r="G128" s="12" t="s">
        <v>3505</v>
      </c>
      <c r="H128" s="12" t="s">
        <v>45</v>
      </c>
      <c r="I128" s="12" t="s">
        <v>30</v>
      </c>
      <c r="J128" s="13" t="s">
        <v>2944</v>
      </c>
      <c r="K128" s="14" t="s">
        <v>3525</v>
      </c>
      <c r="L128" s="15">
        <v>14</v>
      </c>
      <c r="M128" s="15" t="s">
        <v>220</v>
      </c>
      <c r="N128" s="16">
        <v>45937</v>
      </c>
      <c r="O128" s="12" t="s">
        <v>3512</v>
      </c>
      <c r="P128" s="14" t="s">
        <v>3526</v>
      </c>
      <c r="Q128" s="17" t="s">
        <v>137</v>
      </c>
      <c r="R128" s="17" t="s">
        <v>146</v>
      </c>
    </row>
    <row r="129" spans="1:18" x14ac:dyDescent="0.3">
      <c r="A129" s="12" t="s">
        <v>587</v>
      </c>
      <c r="B129" s="12" t="s">
        <v>10</v>
      </c>
      <c r="C129" s="12"/>
      <c r="D129" s="12" t="s">
        <v>588</v>
      </c>
      <c r="E129" s="12" t="s">
        <v>3527</v>
      </c>
      <c r="F129" s="12"/>
      <c r="G129" s="12" t="s">
        <v>3505</v>
      </c>
      <c r="H129" s="12" t="s">
        <v>45</v>
      </c>
      <c r="I129" s="12" t="s">
        <v>30</v>
      </c>
      <c r="J129" s="13" t="s">
        <v>2944</v>
      </c>
      <c r="K129" s="14" t="s">
        <v>3528</v>
      </c>
      <c r="L129" s="15">
        <v>1</v>
      </c>
      <c r="M129" s="15" t="s">
        <v>144</v>
      </c>
      <c r="N129" s="16">
        <v>45176</v>
      </c>
      <c r="O129" s="12" t="s">
        <v>591</v>
      </c>
      <c r="P129" s="14" t="s">
        <v>592</v>
      </c>
      <c r="Q129" s="17" t="s">
        <v>137</v>
      </c>
      <c r="R129" s="17" t="s">
        <v>146</v>
      </c>
    </row>
    <row r="130" spans="1:18" x14ac:dyDescent="0.3">
      <c r="A130" s="12" t="s">
        <v>3541</v>
      </c>
      <c r="B130" s="12" t="s">
        <v>10</v>
      </c>
      <c r="C130" s="12"/>
      <c r="D130" s="12" t="s">
        <v>230</v>
      </c>
      <c r="E130" s="12" t="s">
        <v>3513</v>
      </c>
      <c r="F130" s="12"/>
      <c r="G130" s="12" t="s">
        <v>3505</v>
      </c>
      <c r="H130" s="12" t="s">
        <v>45</v>
      </c>
      <c r="I130" s="12" t="s">
        <v>30</v>
      </c>
      <c r="J130" s="13" t="s">
        <v>2944</v>
      </c>
      <c r="K130" s="14" t="s">
        <v>3539</v>
      </c>
      <c r="L130" s="15">
        <v>1</v>
      </c>
      <c r="M130" s="15" t="s">
        <v>144</v>
      </c>
      <c r="N130" s="16">
        <v>46106</v>
      </c>
      <c r="O130" s="12" t="s">
        <v>3542</v>
      </c>
      <c r="P130" s="14" t="s">
        <v>3543</v>
      </c>
      <c r="Q130" s="17" t="s">
        <v>137</v>
      </c>
      <c r="R130" s="17" t="s">
        <v>146</v>
      </c>
    </row>
    <row r="131" spans="1:18" x14ac:dyDescent="0.3">
      <c r="A131" s="12" t="s">
        <v>591</v>
      </c>
      <c r="B131" s="12" t="s">
        <v>10</v>
      </c>
      <c r="C131" s="12"/>
      <c r="D131" s="12" t="s">
        <v>650</v>
      </c>
      <c r="E131" s="12" t="s">
        <v>3558</v>
      </c>
      <c r="F131" s="12"/>
      <c r="G131" s="12" t="s">
        <v>3505</v>
      </c>
      <c r="H131" s="12" t="s">
        <v>45</v>
      </c>
      <c r="I131" s="12" t="s">
        <v>30</v>
      </c>
      <c r="J131" s="13" t="s">
        <v>2944</v>
      </c>
      <c r="K131" s="14" t="s">
        <v>590</v>
      </c>
      <c r="L131" s="15">
        <v>2</v>
      </c>
      <c r="M131" s="15" t="s">
        <v>144</v>
      </c>
      <c r="N131" s="16">
        <v>46087</v>
      </c>
      <c r="O131" s="12" t="s">
        <v>591</v>
      </c>
      <c r="P131" s="14" t="s">
        <v>651</v>
      </c>
      <c r="Q131" s="17" t="s">
        <v>137</v>
      </c>
      <c r="R131" s="17" t="s">
        <v>146</v>
      </c>
    </row>
    <row r="132" spans="1:18" x14ac:dyDescent="0.3">
      <c r="A132" s="12" t="s">
        <v>3523</v>
      </c>
      <c r="B132" s="12" t="s">
        <v>10</v>
      </c>
      <c r="C132" s="12"/>
      <c r="D132" s="12" t="s">
        <v>3524</v>
      </c>
      <c r="E132" s="12" t="s">
        <v>3595</v>
      </c>
      <c r="F132" s="12" t="s">
        <v>389</v>
      </c>
      <c r="G132" s="12" t="s">
        <v>3586</v>
      </c>
      <c r="H132" s="12" t="s">
        <v>48</v>
      </c>
      <c r="I132" s="12" t="s">
        <v>30</v>
      </c>
      <c r="J132" s="13" t="s">
        <v>3587</v>
      </c>
      <c r="K132" s="14" t="s">
        <v>3525</v>
      </c>
      <c r="L132" s="15">
        <v>2</v>
      </c>
      <c r="M132" s="15" t="s">
        <v>144</v>
      </c>
      <c r="N132" s="16">
        <v>45937</v>
      </c>
      <c r="O132" s="12" t="s">
        <v>3512</v>
      </c>
      <c r="P132" s="14" t="s">
        <v>3526</v>
      </c>
      <c r="Q132" s="17" t="s">
        <v>137</v>
      </c>
      <c r="R132" s="17" t="s">
        <v>146</v>
      </c>
    </row>
    <row r="133" spans="1:18" x14ac:dyDescent="0.3">
      <c r="A133" s="12" t="s">
        <v>3673</v>
      </c>
      <c r="B133" s="12" t="s">
        <v>10</v>
      </c>
      <c r="C133" s="12" t="s">
        <v>16</v>
      </c>
      <c r="D133" s="12" t="s">
        <v>3674</v>
      </c>
      <c r="E133" s="12" t="s">
        <v>3675</v>
      </c>
      <c r="F133" s="12"/>
      <c r="G133" s="12" t="s">
        <v>3649</v>
      </c>
      <c r="H133" s="12" t="s">
        <v>50</v>
      </c>
      <c r="I133" s="12" t="s">
        <v>31</v>
      </c>
      <c r="J133" s="13" t="s">
        <v>3650</v>
      </c>
      <c r="K133" s="14" t="s">
        <v>3676</v>
      </c>
      <c r="L133" s="15">
        <v>5</v>
      </c>
      <c r="M133" s="15" t="s">
        <v>144</v>
      </c>
      <c r="N133" s="16">
        <v>46038</v>
      </c>
      <c r="O133" s="12" t="s">
        <v>3673</v>
      </c>
      <c r="P133" s="14" t="s">
        <v>3677</v>
      </c>
      <c r="Q133" s="17" t="s">
        <v>137</v>
      </c>
      <c r="R133" s="17" t="s">
        <v>146</v>
      </c>
    </row>
    <row r="134" spans="1:18" x14ac:dyDescent="0.3">
      <c r="A134" s="12" t="s">
        <v>3683</v>
      </c>
      <c r="B134" s="12" t="s">
        <v>10</v>
      </c>
      <c r="C134" s="12"/>
      <c r="D134" s="12" t="s">
        <v>647</v>
      </c>
      <c r="E134" s="12" t="s">
        <v>3684</v>
      </c>
      <c r="F134" s="12"/>
      <c r="G134" s="12" t="s">
        <v>3649</v>
      </c>
      <c r="H134" s="12" t="s">
        <v>50</v>
      </c>
      <c r="I134" s="12" t="s">
        <v>31</v>
      </c>
      <c r="J134" s="13" t="s">
        <v>3650</v>
      </c>
      <c r="K134" s="14" t="s">
        <v>3685</v>
      </c>
      <c r="L134" s="15">
        <v>14</v>
      </c>
      <c r="M134" s="15" t="s">
        <v>220</v>
      </c>
      <c r="N134" s="16">
        <v>45195</v>
      </c>
      <c r="O134" s="12" t="s">
        <v>3683</v>
      </c>
      <c r="P134" s="14" t="s">
        <v>3686</v>
      </c>
      <c r="Q134" s="17" t="s">
        <v>137</v>
      </c>
      <c r="R134" s="17" t="s">
        <v>146</v>
      </c>
    </row>
    <row r="135" spans="1:18" x14ac:dyDescent="0.3">
      <c r="A135" s="12" t="s">
        <v>3708</v>
      </c>
      <c r="B135" s="12" t="s">
        <v>10</v>
      </c>
      <c r="C135" s="12"/>
      <c r="D135" s="12" t="s">
        <v>252</v>
      </c>
      <c r="E135" s="12" t="s">
        <v>3709</v>
      </c>
      <c r="F135" s="12"/>
      <c r="G135" s="12" t="s">
        <v>3699</v>
      </c>
      <c r="H135" s="12" t="s">
        <v>72</v>
      </c>
      <c r="I135" s="12" t="s">
        <v>31</v>
      </c>
      <c r="J135" s="13" t="s">
        <v>3700</v>
      </c>
      <c r="K135" s="14" t="s">
        <v>3710</v>
      </c>
      <c r="L135" s="15">
        <v>1</v>
      </c>
      <c r="M135" s="15" t="s">
        <v>220</v>
      </c>
      <c r="N135" s="16">
        <v>45713</v>
      </c>
      <c r="O135" s="12" t="s">
        <v>236</v>
      </c>
      <c r="P135" s="14" t="s">
        <v>3711</v>
      </c>
      <c r="Q135" s="17" t="s">
        <v>137</v>
      </c>
      <c r="R135" s="17" t="s">
        <v>146</v>
      </c>
    </row>
    <row r="136" spans="1:18" x14ac:dyDescent="0.3">
      <c r="A136" s="12" t="s">
        <v>3719</v>
      </c>
      <c r="B136" s="12" t="s">
        <v>10</v>
      </c>
      <c r="C136" s="12"/>
      <c r="D136" s="12" t="s">
        <v>216</v>
      </c>
      <c r="E136" s="12" t="s">
        <v>3720</v>
      </c>
      <c r="F136" s="12"/>
      <c r="G136" s="12" t="s">
        <v>3721</v>
      </c>
      <c r="H136" s="12" t="s">
        <v>74</v>
      </c>
      <c r="I136" s="12" t="s">
        <v>31</v>
      </c>
      <c r="J136" s="13" t="s">
        <v>3722</v>
      </c>
      <c r="K136" s="14" t="s">
        <v>3723</v>
      </c>
      <c r="L136" s="15">
        <v>0</v>
      </c>
      <c r="M136" s="15" t="s">
        <v>144</v>
      </c>
      <c r="N136" s="16">
        <v>45681</v>
      </c>
      <c r="O136" s="12" t="s">
        <v>3719</v>
      </c>
      <c r="P136" s="14" t="s">
        <v>3724</v>
      </c>
      <c r="Q136" s="17" t="s">
        <v>137</v>
      </c>
      <c r="R136" s="17" t="s">
        <v>146</v>
      </c>
    </row>
    <row r="137" spans="1:18" x14ac:dyDescent="0.3">
      <c r="A137" s="12" t="s">
        <v>3719</v>
      </c>
      <c r="B137" s="12" t="s">
        <v>10</v>
      </c>
      <c r="C137" s="12"/>
      <c r="D137" s="12" t="s">
        <v>216</v>
      </c>
      <c r="E137" s="12" t="s">
        <v>3725</v>
      </c>
      <c r="F137" s="12"/>
      <c r="G137" s="12" t="s">
        <v>3726</v>
      </c>
      <c r="H137" s="12" t="s">
        <v>74</v>
      </c>
      <c r="I137" s="12" t="s">
        <v>31</v>
      </c>
      <c r="J137" s="13" t="s">
        <v>3727</v>
      </c>
      <c r="K137" s="14" t="s">
        <v>3728</v>
      </c>
      <c r="L137" s="15">
        <v>0</v>
      </c>
      <c r="M137" s="15" t="s">
        <v>144</v>
      </c>
      <c r="N137" s="16">
        <v>45681</v>
      </c>
      <c r="O137" s="12" t="s">
        <v>3719</v>
      </c>
      <c r="P137" s="14" t="s">
        <v>3724</v>
      </c>
      <c r="Q137" s="17" t="s">
        <v>137</v>
      </c>
      <c r="R137" s="17" t="s">
        <v>146</v>
      </c>
    </row>
    <row r="138" spans="1:18" x14ac:dyDescent="0.3">
      <c r="A138" s="12" t="s">
        <v>3719</v>
      </c>
      <c r="B138" s="12" t="s">
        <v>10</v>
      </c>
      <c r="C138" s="12"/>
      <c r="D138" s="12" t="s">
        <v>216</v>
      </c>
      <c r="E138" s="12" t="s">
        <v>3758</v>
      </c>
      <c r="F138" s="12"/>
      <c r="G138" s="12" t="s">
        <v>62</v>
      </c>
      <c r="H138" s="12" t="s">
        <v>62</v>
      </c>
      <c r="I138" s="12" t="s">
        <v>31</v>
      </c>
      <c r="J138" s="13" t="s">
        <v>3747</v>
      </c>
      <c r="K138" s="14" t="s">
        <v>3759</v>
      </c>
      <c r="L138" s="15">
        <v>0</v>
      </c>
      <c r="M138" s="15" t="s">
        <v>220</v>
      </c>
      <c r="N138" s="16">
        <v>45681</v>
      </c>
      <c r="O138" s="12" t="s">
        <v>3719</v>
      </c>
      <c r="P138" s="14" t="s">
        <v>3724</v>
      </c>
      <c r="Q138" s="17" t="s">
        <v>137</v>
      </c>
      <c r="R138" s="17" t="s">
        <v>146</v>
      </c>
    </row>
    <row r="139" spans="1:18" x14ac:dyDescent="0.3">
      <c r="A139" s="12" t="s">
        <v>3793</v>
      </c>
      <c r="B139" s="12" t="s">
        <v>10</v>
      </c>
      <c r="C139" s="12"/>
      <c r="D139" s="12" t="s">
        <v>216</v>
      </c>
      <c r="E139" s="12" t="s">
        <v>3794</v>
      </c>
      <c r="F139" s="12"/>
      <c r="G139" s="12" t="s">
        <v>3795</v>
      </c>
      <c r="H139" s="12" t="s">
        <v>69</v>
      </c>
      <c r="I139" s="12" t="s">
        <v>31</v>
      </c>
      <c r="J139" s="13" t="s">
        <v>3796</v>
      </c>
      <c r="K139" s="14" t="s">
        <v>3797</v>
      </c>
      <c r="L139" s="15">
        <v>0</v>
      </c>
      <c r="M139" s="15" t="s">
        <v>144</v>
      </c>
      <c r="N139" s="16">
        <v>45978</v>
      </c>
      <c r="O139" s="12" t="s">
        <v>3793</v>
      </c>
      <c r="P139" s="14" t="s">
        <v>3798</v>
      </c>
      <c r="Q139" s="17" t="s">
        <v>137</v>
      </c>
      <c r="R139" s="17" t="s">
        <v>146</v>
      </c>
    </row>
    <row r="140" spans="1:18" x14ac:dyDescent="0.3">
      <c r="A140" s="12" t="s">
        <v>3963</v>
      </c>
      <c r="B140" s="12" t="s">
        <v>10</v>
      </c>
      <c r="C140" s="12"/>
      <c r="D140" s="12" t="s">
        <v>720</v>
      </c>
      <c r="E140" s="12" t="s">
        <v>3964</v>
      </c>
      <c r="F140" s="12" t="s">
        <v>520</v>
      </c>
      <c r="G140" s="12" t="s">
        <v>3922</v>
      </c>
      <c r="H140" s="12" t="s">
        <v>42</v>
      </c>
      <c r="I140" s="12" t="s">
        <v>32</v>
      </c>
      <c r="J140" s="13" t="s">
        <v>3965</v>
      </c>
      <c r="K140" s="14" t="s">
        <v>3966</v>
      </c>
      <c r="L140" s="15">
        <v>1</v>
      </c>
      <c r="M140" s="15" t="s">
        <v>144</v>
      </c>
      <c r="N140" s="16">
        <v>44698</v>
      </c>
      <c r="O140" s="12" t="s">
        <v>3967</v>
      </c>
      <c r="P140" s="14" t="s">
        <v>3968</v>
      </c>
      <c r="Q140" s="17" t="s">
        <v>137</v>
      </c>
      <c r="R140" s="17" t="s">
        <v>146</v>
      </c>
    </row>
    <row r="141" spans="1:18" x14ac:dyDescent="0.3">
      <c r="A141" s="12" t="s">
        <v>3979</v>
      </c>
      <c r="B141" s="12" t="s">
        <v>10</v>
      </c>
      <c r="C141" s="12"/>
      <c r="D141" s="12" t="s">
        <v>1561</v>
      </c>
      <c r="E141" s="12" t="s">
        <v>3980</v>
      </c>
      <c r="F141" s="12" t="s">
        <v>1755</v>
      </c>
      <c r="G141" s="12" t="s">
        <v>3922</v>
      </c>
      <c r="H141" s="12" t="s">
        <v>42</v>
      </c>
      <c r="I141" s="12" t="s">
        <v>32</v>
      </c>
      <c r="J141" s="13" t="s">
        <v>3965</v>
      </c>
      <c r="K141" s="14" t="s">
        <v>3981</v>
      </c>
      <c r="L141" s="15">
        <v>1</v>
      </c>
      <c r="M141" s="15" t="s">
        <v>144</v>
      </c>
      <c r="N141" s="16">
        <v>45505</v>
      </c>
      <c r="O141" s="12" t="s">
        <v>3982</v>
      </c>
      <c r="P141" s="14" t="s">
        <v>3983</v>
      </c>
      <c r="Q141" s="17" t="s">
        <v>137</v>
      </c>
      <c r="R141" s="17" t="s">
        <v>146</v>
      </c>
    </row>
    <row r="142" spans="1:18" x14ac:dyDescent="0.3">
      <c r="A142" s="12" t="s">
        <v>4007</v>
      </c>
      <c r="B142" s="12" t="s">
        <v>10</v>
      </c>
      <c r="C142" s="12"/>
      <c r="D142" s="12" t="s">
        <v>157</v>
      </c>
      <c r="E142" s="12" t="s">
        <v>4008</v>
      </c>
      <c r="F142" s="12"/>
      <c r="G142" s="12" t="s">
        <v>3922</v>
      </c>
      <c r="H142" s="12" t="s">
        <v>42</v>
      </c>
      <c r="I142" s="12" t="s">
        <v>32</v>
      </c>
      <c r="J142" s="13" t="s">
        <v>3923</v>
      </c>
      <c r="K142" s="14" t="s">
        <v>4009</v>
      </c>
      <c r="L142" s="15">
        <v>0</v>
      </c>
      <c r="M142" s="15" t="s">
        <v>144</v>
      </c>
      <c r="N142" s="16">
        <v>46092</v>
      </c>
      <c r="O142" s="12" t="s">
        <v>4007</v>
      </c>
      <c r="P142" s="14" t="s">
        <v>4010</v>
      </c>
      <c r="Q142" s="17" t="s">
        <v>137</v>
      </c>
      <c r="R142" s="17" t="s">
        <v>146</v>
      </c>
    </row>
    <row r="143" spans="1:18" x14ac:dyDescent="0.3">
      <c r="A143" s="12" t="s">
        <v>4011</v>
      </c>
      <c r="B143" s="12" t="s">
        <v>10</v>
      </c>
      <c r="C143" s="12"/>
      <c r="D143" s="12" t="s">
        <v>1561</v>
      </c>
      <c r="E143" s="12" t="s">
        <v>4012</v>
      </c>
      <c r="F143" s="12"/>
      <c r="G143" s="12" t="s">
        <v>3922</v>
      </c>
      <c r="H143" s="12" t="s">
        <v>42</v>
      </c>
      <c r="I143" s="12" t="s">
        <v>32</v>
      </c>
      <c r="J143" s="13" t="s">
        <v>4013</v>
      </c>
      <c r="K143" s="14" t="s">
        <v>4014</v>
      </c>
      <c r="L143" s="15">
        <v>0</v>
      </c>
      <c r="M143" s="15" t="s">
        <v>144</v>
      </c>
      <c r="N143" s="16">
        <v>46253</v>
      </c>
      <c r="O143" s="12" t="s">
        <v>4015</v>
      </c>
      <c r="P143" s="14" t="s">
        <v>4016</v>
      </c>
      <c r="Q143" s="17" t="s">
        <v>137</v>
      </c>
      <c r="R143" s="17" t="s">
        <v>146</v>
      </c>
    </row>
    <row r="144" spans="1:18" x14ac:dyDescent="0.3">
      <c r="A144" s="12" t="s">
        <v>4030</v>
      </c>
      <c r="B144" s="12" t="s">
        <v>10</v>
      </c>
      <c r="C144" s="12"/>
      <c r="D144" s="12" t="s">
        <v>588</v>
      </c>
      <c r="E144" s="12" t="s">
        <v>4031</v>
      </c>
      <c r="F144" s="12" t="s">
        <v>1542</v>
      </c>
      <c r="G144" s="12" t="s">
        <v>76</v>
      </c>
      <c r="H144" s="12" t="s">
        <v>56</v>
      </c>
      <c r="I144" s="12" t="s">
        <v>32</v>
      </c>
      <c r="J144" s="13" t="s">
        <v>4032</v>
      </c>
      <c r="K144" s="14" t="s">
        <v>4033</v>
      </c>
      <c r="L144" s="15">
        <v>2</v>
      </c>
      <c r="M144" s="15" t="s">
        <v>220</v>
      </c>
      <c r="N144" s="16">
        <v>45714</v>
      </c>
      <c r="O144" s="12" t="s">
        <v>236</v>
      </c>
      <c r="P144" s="14" t="s">
        <v>4034</v>
      </c>
      <c r="Q144" s="17" t="s">
        <v>137</v>
      </c>
      <c r="R144" s="17" t="s">
        <v>146</v>
      </c>
    </row>
    <row r="145" spans="1:18" x14ac:dyDescent="0.3">
      <c r="A145" s="12" t="s">
        <v>251</v>
      </c>
      <c r="B145" s="12" t="s">
        <v>10</v>
      </c>
      <c r="C145" s="12"/>
      <c r="D145" s="12" t="s">
        <v>252</v>
      </c>
      <c r="E145" s="12" t="s">
        <v>4031</v>
      </c>
      <c r="F145" s="12"/>
      <c r="G145" s="12" t="s">
        <v>76</v>
      </c>
      <c r="H145" s="12" t="s">
        <v>56</v>
      </c>
      <c r="I145" s="12" t="s">
        <v>32</v>
      </c>
      <c r="J145" s="13" t="s">
        <v>4032</v>
      </c>
      <c r="K145" s="14" t="s">
        <v>796</v>
      </c>
      <c r="L145" s="15">
        <v>0</v>
      </c>
      <c r="M145" s="15" t="s">
        <v>220</v>
      </c>
      <c r="N145" s="16">
        <v>45680</v>
      </c>
      <c r="O145" s="12" t="s">
        <v>236</v>
      </c>
      <c r="P145" s="14" t="s">
        <v>4035</v>
      </c>
      <c r="Q145" s="17" t="s">
        <v>137</v>
      </c>
      <c r="R145" s="17" t="s">
        <v>146</v>
      </c>
    </row>
    <row r="146" spans="1:18" x14ac:dyDescent="0.3">
      <c r="A146" s="12" t="s">
        <v>4053</v>
      </c>
      <c r="B146" s="12" t="s">
        <v>10</v>
      </c>
      <c r="C146" s="12"/>
      <c r="D146" s="12" t="s">
        <v>647</v>
      </c>
      <c r="E146" s="12" t="s">
        <v>4054</v>
      </c>
      <c r="F146" s="12"/>
      <c r="G146" s="12" t="s">
        <v>4040</v>
      </c>
      <c r="H146" s="12" t="s">
        <v>56</v>
      </c>
      <c r="I146" s="12" t="s">
        <v>32</v>
      </c>
      <c r="J146" s="13" t="s">
        <v>4041</v>
      </c>
      <c r="K146" s="14" t="s">
        <v>4055</v>
      </c>
      <c r="L146" s="15">
        <v>0</v>
      </c>
      <c r="M146" s="15" t="s">
        <v>144</v>
      </c>
      <c r="N146" s="16">
        <v>45273</v>
      </c>
      <c r="O146" s="12" t="s">
        <v>4053</v>
      </c>
      <c r="P146" s="14" t="s">
        <v>4056</v>
      </c>
      <c r="Q146" s="17" t="s">
        <v>137</v>
      </c>
      <c r="R146" s="17" t="s">
        <v>146</v>
      </c>
    </row>
    <row r="147" spans="1:18" x14ac:dyDescent="0.3">
      <c r="A147" s="12" t="s">
        <v>3523</v>
      </c>
      <c r="B147" s="12" t="s">
        <v>10</v>
      </c>
      <c r="C147" s="12"/>
      <c r="D147" s="12" t="s">
        <v>3524</v>
      </c>
      <c r="E147" s="12" t="s">
        <v>4124</v>
      </c>
      <c r="F147" s="12" t="s">
        <v>366</v>
      </c>
      <c r="G147" s="12" t="s">
        <v>4120</v>
      </c>
      <c r="H147" s="12" t="s">
        <v>67</v>
      </c>
      <c r="I147" s="12" t="s">
        <v>33</v>
      </c>
      <c r="J147" s="13" t="s">
        <v>4121</v>
      </c>
      <c r="K147" s="14" t="s">
        <v>4125</v>
      </c>
      <c r="L147" s="15">
        <v>1</v>
      </c>
      <c r="M147" s="15" t="s">
        <v>144</v>
      </c>
      <c r="N147" s="16">
        <v>45937</v>
      </c>
      <c r="O147" s="12" t="s">
        <v>3512</v>
      </c>
      <c r="P147" s="14" t="s">
        <v>3526</v>
      </c>
      <c r="Q147" s="17" t="s">
        <v>137</v>
      </c>
      <c r="R147" s="17" t="s">
        <v>146</v>
      </c>
    </row>
    <row r="148" spans="1:18" x14ac:dyDescent="0.3">
      <c r="A148" s="12" t="s">
        <v>4134</v>
      </c>
      <c r="B148" s="12" t="s">
        <v>10</v>
      </c>
      <c r="C148" s="12"/>
      <c r="D148" s="12" t="s">
        <v>647</v>
      </c>
      <c r="E148" s="12" t="s">
        <v>4135</v>
      </c>
      <c r="F148" s="12"/>
      <c r="G148" s="12" t="s">
        <v>96</v>
      </c>
      <c r="H148" s="12" t="s">
        <v>55</v>
      </c>
      <c r="I148" s="12" t="s">
        <v>33</v>
      </c>
      <c r="J148" s="13" t="s">
        <v>4136</v>
      </c>
      <c r="K148" s="14" t="s">
        <v>4137</v>
      </c>
      <c r="L148" s="15">
        <v>3</v>
      </c>
      <c r="M148" s="15" t="s">
        <v>144</v>
      </c>
      <c r="N148" s="16">
        <v>46142</v>
      </c>
      <c r="O148" s="12" t="s">
        <v>4134</v>
      </c>
      <c r="P148" s="14" t="s">
        <v>4138</v>
      </c>
      <c r="Q148" s="17" t="s">
        <v>137</v>
      </c>
      <c r="R148" s="17" t="s">
        <v>146</v>
      </c>
    </row>
    <row r="149" spans="1:18" x14ac:dyDescent="0.3">
      <c r="A149" s="12" t="s">
        <v>3719</v>
      </c>
      <c r="B149" s="12" t="s">
        <v>10</v>
      </c>
      <c r="C149" s="12"/>
      <c r="D149" s="12" t="s">
        <v>216</v>
      </c>
      <c r="E149" s="12" t="s">
        <v>4166</v>
      </c>
      <c r="F149" s="12"/>
      <c r="G149" s="12" t="s">
        <v>4167</v>
      </c>
      <c r="H149" s="12" t="s">
        <v>55</v>
      </c>
      <c r="I149" s="12" t="s">
        <v>33</v>
      </c>
      <c r="J149" s="13" t="s">
        <v>4168</v>
      </c>
      <c r="K149" s="14" t="s">
        <v>4169</v>
      </c>
      <c r="L149" s="15">
        <v>0</v>
      </c>
      <c r="M149" s="15" t="s">
        <v>144</v>
      </c>
      <c r="N149" s="16">
        <v>45681</v>
      </c>
      <c r="O149" s="12" t="s">
        <v>3719</v>
      </c>
      <c r="P149" s="14" t="s">
        <v>3724</v>
      </c>
      <c r="Q149" s="17" t="s">
        <v>137</v>
      </c>
      <c r="R149" s="17" t="s">
        <v>146</v>
      </c>
    </row>
    <row r="150" spans="1:18" x14ac:dyDescent="0.3">
      <c r="A150" s="12" t="s">
        <v>4188</v>
      </c>
      <c r="B150" s="12" t="s">
        <v>10</v>
      </c>
      <c r="C150" s="12"/>
      <c r="D150" s="12" t="s">
        <v>647</v>
      </c>
      <c r="E150" s="12" t="s">
        <v>4189</v>
      </c>
      <c r="F150" s="12"/>
      <c r="G150" s="12" t="s">
        <v>4172</v>
      </c>
      <c r="H150" s="12" t="s">
        <v>65</v>
      </c>
      <c r="I150" s="12" t="s">
        <v>33</v>
      </c>
      <c r="J150" s="13" t="s">
        <v>4173</v>
      </c>
      <c r="K150" s="14" t="s">
        <v>4190</v>
      </c>
      <c r="L150" s="15">
        <v>0</v>
      </c>
      <c r="M150" s="15" t="s">
        <v>220</v>
      </c>
      <c r="N150" s="16">
        <v>45681</v>
      </c>
      <c r="O150" s="12" t="s">
        <v>4191</v>
      </c>
      <c r="P150" s="14" t="s">
        <v>4192</v>
      </c>
      <c r="Q150" s="17" t="s">
        <v>137</v>
      </c>
      <c r="R150" s="17" t="s">
        <v>146</v>
      </c>
    </row>
    <row r="151" spans="1:18" x14ac:dyDescent="0.3">
      <c r="A151" s="12" t="s">
        <v>4193</v>
      </c>
      <c r="B151" s="12" t="s">
        <v>10</v>
      </c>
      <c r="C151" s="12"/>
      <c r="D151" s="12" t="s">
        <v>647</v>
      </c>
      <c r="E151" s="12" t="s">
        <v>4194</v>
      </c>
      <c r="F151" s="12" t="s">
        <v>447</v>
      </c>
      <c r="G151" s="12" t="s">
        <v>86</v>
      </c>
      <c r="H151" s="12" t="s">
        <v>86</v>
      </c>
      <c r="I151" s="12" t="s">
        <v>33</v>
      </c>
      <c r="J151" s="13" t="s">
        <v>4195</v>
      </c>
      <c r="K151" s="14" t="s">
        <v>4196</v>
      </c>
      <c r="L151" s="15">
        <v>0</v>
      </c>
      <c r="M151" s="15" t="s">
        <v>220</v>
      </c>
      <c r="N151" s="16">
        <v>46245</v>
      </c>
      <c r="O151" s="12" t="s">
        <v>4197</v>
      </c>
      <c r="P151" s="14" t="s">
        <v>4198</v>
      </c>
      <c r="Q151" s="17" t="s">
        <v>137</v>
      </c>
      <c r="R151" s="17" t="s">
        <v>146</v>
      </c>
    </row>
    <row r="152" spans="1:18" x14ac:dyDescent="0.3">
      <c r="A152" s="12" t="s">
        <v>3719</v>
      </c>
      <c r="B152" s="12" t="s">
        <v>10</v>
      </c>
      <c r="C152" s="12"/>
      <c r="D152" s="12" t="s">
        <v>216</v>
      </c>
      <c r="E152" s="12" t="s">
        <v>4214</v>
      </c>
      <c r="F152" s="12"/>
      <c r="G152" s="12" t="s">
        <v>4210</v>
      </c>
      <c r="H152" s="12" t="s">
        <v>78</v>
      </c>
      <c r="I152" s="12" t="s">
        <v>33</v>
      </c>
      <c r="J152" s="13" t="s">
        <v>4211</v>
      </c>
      <c r="K152" s="14" t="s">
        <v>4215</v>
      </c>
      <c r="L152" s="15">
        <v>0</v>
      </c>
      <c r="M152" s="15" t="s">
        <v>144</v>
      </c>
      <c r="N152" s="16">
        <v>45681</v>
      </c>
      <c r="O152" s="12" t="s">
        <v>3719</v>
      </c>
      <c r="P152" s="14" t="s">
        <v>3724</v>
      </c>
      <c r="Q152" s="17" t="s">
        <v>137</v>
      </c>
      <c r="R152" s="17" t="s">
        <v>146</v>
      </c>
    </row>
    <row r="153" spans="1:18" x14ac:dyDescent="0.3">
      <c r="A153" s="12" t="s">
        <v>4216</v>
      </c>
      <c r="B153" s="12" t="s">
        <v>10</v>
      </c>
      <c r="C153" s="12" t="s">
        <v>16</v>
      </c>
      <c r="D153" s="12" t="s">
        <v>4217</v>
      </c>
      <c r="E153" s="12" t="s">
        <v>4214</v>
      </c>
      <c r="F153" s="12"/>
      <c r="G153" s="12" t="s">
        <v>4210</v>
      </c>
      <c r="H153" s="12" t="s">
        <v>78</v>
      </c>
      <c r="I153" s="12" t="s">
        <v>33</v>
      </c>
      <c r="J153" s="13" t="s">
        <v>4211</v>
      </c>
      <c r="K153" s="14" t="s">
        <v>4218</v>
      </c>
      <c r="L153" s="15">
        <v>0</v>
      </c>
      <c r="M153" s="15" t="s">
        <v>144</v>
      </c>
      <c r="N153" s="16">
        <v>45230</v>
      </c>
      <c r="O153" s="12" t="s">
        <v>4191</v>
      </c>
      <c r="P153" s="14" t="s">
        <v>4219</v>
      </c>
      <c r="Q153" s="17" t="s">
        <v>137</v>
      </c>
      <c r="R153" s="17" t="s">
        <v>146</v>
      </c>
    </row>
    <row r="154" spans="1:18" x14ac:dyDescent="0.3">
      <c r="A154" s="12" t="s">
        <v>3719</v>
      </c>
      <c r="B154" s="12" t="s">
        <v>10</v>
      </c>
      <c r="C154" s="12"/>
      <c r="D154" s="12" t="s">
        <v>216</v>
      </c>
      <c r="E154" s="12" t="s">
        <v>4233</v>
      </c>
      <c r="F154" s="12"/>
      <c r="G154" s="12" t="s">
        <v>4234</v>
      </c>
      <c r="H154" s="12" t="s">
        <v>79</v>
      </c>
      <c r="I154" s="12" t="s">
        <v>33</v>
      </c>
      <c r="J154" s="13" t="s">
        <v>4235</v>
      </c>
      <c r="K154" s="14" t="s">
        <v>4236</v>
      </c>
      <c r="L154" s="15">
        <v>0</v>
      </c>
      <c r="M154" s="15" t="s">
        <v>144</v>
      </c>
      <c r="N154" s="16">
        <v>45681</v>
      </c>
      <c r="O154" s="12" t="s">
        <v>3719</v>
      </c>
      <c r="P154" s="14" t="s">
        <v>3724</v>
      </c>
      <c r="Q154" s="17" t="s">
        <v>137</v>
      </c>
      <c r="R154" s="17" t="s">
        <v>146</v>
      </c>
    </row>
  </sheetData>
  <conditionalFormatting sqref="M2:M154">
    <cfRule type="expression" dxfId="10" priority="1">
      <formula>$M2="Yes"</formula>
    </cfRule>
  </conditionalFormatting>
  <hyperlinks>
    <hyperlink ref="Q2" r:id="rId1" xr:uid="{00000000-0004-0000-0200-000000000000}"/>
    <hyperlink ref="R2" r:id="rId2" xr:uid="{00000000-0004-0000-0200-000001000000}"/>
    <hyperlink ref="Q3" r:id="rId3" xr:uid="{00000000-0004-0000-0200-000002000000}"/>
    <hyperlink ref="R3" r:id="rId4" xr:uid="{00000000-0004-0000-0200-000003000000}"/>
    <hyperlink ref="Q4" r:id="rId5" xr:uid="{00000000-0004-0000-0200-000004000000}"/>
    <hyperlink ref="R4" r:id="rId6" xr:uid="{00000000-0004-0000-0200-000005000000}"/>
    <hyperlink ref="Q5" r:id="rId7" xr:uid="{00000000-0004-0000-0200-000006000000}"/>
    <hyperlink ref="R5" r:id="rId8" xr:uid="{00000000-0004-0000-0200-000007000000}"/>
    <hyperlink ref="Q6" r:id="rId9" xr:uid="{00000000-0004-0000-0200-000008000000}"/>
    <hyperlink ref="R6" r:id="rId10" xr:uid="{00000000-0004-0000-0200-000009000000}"/>
    <hyperlink ref="Q7" r:id="rId11" xr:uid="{00000000-0004-0000-0200-00000A000000}"/>
    <hyperlink ref="R7" r:id="rId12" xr:uid="{00000000-0004-0000-0200-00000B000000}"/>
    <hyperlink ref="Q8" r:id="rId13" xr:uid="{00000000-0004-0000-0200-00000C000000}"/>
    <hyperlink ref="R8" r:id="rId14" xr:uid="{00000000-0004-0000-0200-00000D000000}"/>
    <hyperlink ref="Q9" r:id="rId15" xr:uid="{00000000-0004-0000-0200-00000E000000}"/>
    <hyperlink ref="R9" r:id="rId16" xr:uid="{00000000-0004-0000-0200-00000F000000}"/>
    <hyperlink ref="Q10" r:id="rId17" xr:uid="{00000000-0004-0000-0200-000010000000}"/>
    <hyperlink ref="R10" r:id="rId18" xr:uid="{00000000-0004-0000-0200-000011000000}"/>
    <hyperlink ref="Q11" r:id="rId19" xr:uid="{00000000-0004-0000-0200-000012000000}"/>
    <hyperlink ref="R11" r:id="rId20" xr:uid="{00000000-0004-0000-0200-000013000000}"/>
    <hyperlink ref="Q12" r:id="rId21" xr:uid="{00000000-0004-0000-0200-000014000000}"/>
    <hyperlink ref="R12" r:id="rId22" xr:uid="{00000000-0004-0000-0200-000015000000}"/>
    <hyperlink ref="Q13" r:id="rId23" xr:uid="{00000000-0004-0000-0200-000016000000}"/>
    <hyperlink ref="R13" r:id="rId24" xr:uid="{00000000-0004-0000-0200-000017000000}"/>
    <hyperlink ref="Q14" r:id="rId25" xr:uid="{00000000-0004-0000-0200-000018000000}"/>
    <hyperlink ref="R14" r:id="rId26" xr:uid="{00000000-0004-0000-0200-000019000000}"/>
    <hyperlink ref="Q15" r:id="rId27" xr:uid="{00000000-0004-0000-0200-00001A000000}"/>
    <hyperlink ref="R15" r:id="rId28" xr:uid="{00000000-0004-0000-0200-00001B000000}"/>
    <hyperlink ref="Q16" r:id="rId29" xr:uid="{00000000-0004-0000-0200-00001C000000}"/>
    <hyperlink ref="R16" r:id="rId30" xr:uid="{00000000-0004-0000-0200-00001D000000}"/>
    <hyperlink ref="Q17" r:id="rId31" xr:uid="{00000000-0004-0000-0200-00001E000000}"/>
    <hyperlink ref="R17" r:id="rId32" xr:uid="{00000000-0004-0000-0200-00001F000000}"/>
    <hyperlink ref="Q18" r:id="rId33" xr:uid="{00000000-0004-0000-0200-000020000000}"/>
    <hyperlink ref="R18" r:id="rId34" xr:uid="{00000000-0004-0000-0200-000021000000}"/>
    <hyperlink ref="Q19" r:id="rId35" xr:uid="{00000000-0004-0000-0200-000022000000}"/>
    <hyperlink ref="R19" r:id="rId36" xr:uid="{00000000-0004-0000-0200-000023000000}"/>
    <hyperlink ref="Q20" r:id="rId37" xr:uid="{00000000-0004-0000-0200-000024000000}"/>
    <hyperlink ref="R20" r:id="rId38" xr:uid="{00000000-0004-0000-0200-000025000000}"/>
    <hyperlink ref="Q21" r:id="rId39" xr:uid="{00000000-0004-0000-0200-000026000000}"/>
    <hyperlink ref="R21" r:id="rId40" xr:uid="{00000000-0004-0000-0200-000027000000}"/>
    <hyperlink ref="Q22" r:id="rId41" xr:uid="{00000000-0004-0000-0200-000028000000}"/>
    <hyperlink ref="R22" r:id="rId42" xr:uid="{00000000-0004-0000-0200-000029000000}"/>
    <hyperlink ref="Q23" r:id="rId43" xr:uid="{00000000-0004-0000-0200-00002A000000}"/>
    <hyperlink ref="R23" r:id="rId44" xr:uid="{00000000-0004-0000-0200-00002B000000}"/>
    <hyperlink ref="Q24" r:id="rId45" xr:uid="{00000000-0004-0000-0200-00002C000000}"/>
    <hyperlink ref="R24" r:id="rId46" xr:uid="{00000000-0004-0000-0200-00002D000000}"/>
    <hyperlink ref="Q25" r:id="rId47" xr:uid="{00000000-0004-0000-0200-00002E000000}"/>
    <hyperlink ref="R25" r:id="rId48" xr:uid="{00000000-0004-0000-0200-00002F000000}"/>
    <hyperlink ref="Q26" r:id="rId49" xr:uid="{00000000-0004-0000-0200-000030000000}"/>
    <hyperlink ref="R26" r:id="rId50" xr:uid="{00000000-0004-0000-0200-000031000000}"/>
    <hyperlink ref="Q27" r:id="rId51" xr:uid="{00000000-0004-0000-0200-000032000000}"/>
    <hyperlink ref="R27" r:id="rId52" xr:uid="{00000000-0004-0000-0200-000033000000}"/>
    <hyperlink ref="Q28" r:id="rId53" xr:uid="{00000000-0004-0000-0200-000034000000}"/>
    <hyperlink ref="R28" r:id="rId54" xr:uid="{00000000-0004-0000-0200-000035000000}"/>
    <hyperlink ref="Q29" r:id="rId55" xr:uid="{00000000-0004-0000-0200-000036000000}"/>
    <hyperlink ref="R29" r:id="rId56" xr:uid="{00000000-0004-0000-0200-000037000000}"/>
    <hyperlink ref="Q30" r:id="rId57" xr:uid="{00000000-0004-0000-0200-000038000000}"/>
    <hyperlink ref="R30" r:id="rId58" xr:uid="{00000000-0004-0000-0200-000039000000}"/>
    <hyperlink ref="Q31" r:id="rId59" xr:uid="{00000000-0004-0000-0200-00003A000000}"/>
    <hyperlink ref="R31" r:id="rId60" xr:uid="{00000000-0004-0000-0200-00003B000000}"/>
    <hyperlink ref="Q32" r:id="rId61" xr:uid="{00000000-0004-0000-0200-00003C000000}"/>
    <hyperlink ref="R32" r:id="rId62" xr:uid="{00000000-0004-0000-0200-00003D000000}"/>
    <hyperlink ref="Q33" r:id="rId63" xr:uid="{00000000-0004-0000-0200-00003E000000}"/>
    <hyperlink ref="R33" r:id="rId64" xr:uid="{00000000-0004-0000-0200-00003F000000}"/>
    <hyperlink ref="Q34" r:id="rId65" xr:uid="{00000000-0004-0000-0200-000040000000}"/>
    <hyperlink ref="R34" r:id="rId66" xr:uid="{00000000-0004-0000-0200-000041000000}"/>
    <hyperlink ref="Q35" r:id="rId67" xr:uid="{00000000-0004-0000-0200-000042000000}"/>
    <hyperlink ref="R35" r:id="rId68" xr:uid="{00000000-0004-0000-0200-000043000000}"/>
    <hyperlink ref="Q36" r:id="rId69" xr:uid="{00000000-0004-0000-0200-000044000000}"/>
    <hyperlink ref="R36" r:id="rId70" xr:uid="{00000000-0004-0000-0200-000045000000}"/>
    <hyperlink ref="Q37" r:id="rId71" xr:uid="{00000000-0004-0000-0200-000046000000}"/>
    <hyperlink ref="R37" r:id="rId72" xr:uid="{00000000-0004-0000-0200-000047000000}"/>
    <hyperlink ref="Q38" r:id="rId73" xr:uid="{00000000-0004-0000-0200-000048000000}"/>
    <hyperlink ref="R38" r:id="rId74" xr:uid="{00000000-0004-0000-0200-000049000000}"/>
    <hyperlink ref="Q39" r:id="rId75" xr:uid="{00000000-0004-0000-0200-00004A000000}"/>
    <hyperlink ref="R39" r:id="rId76" xr:uid="{00000000-0004-0000-0200-00004B000000}"/>
    <hyperlink ref="Q40" r:id="rId77" xr:uid="{00000000-0004-0000-0200-00004C000000}"/>
    <hyperlink ref="R40" r:id="rId78" xr:uid="{00000000-0004-0000-0200-00004D000000}"/>
    <hyperlink ref="Q41" r:id="rId79" xr:uid="{00000000-0004-0000-0200-00004E000000}"/>
    <hyperlink ref="R41" r:id="rId80" xr:uid="{00000000-0004-0000-0200-00004F000000}"/>
    <hyperlink ref="Q42" r:id="rId81" xr:uid="{00000000-0004-0000-0200-000050000000}"/>
    <hyperlink ref="R42" r:id="rId82" xr:uid="{00000000-0004-0000-0200-000051000000}"/>
    <hyperlink ref="Q43" r:id="rId83" xr:uid="{00000000-0004-0000-0200-000052000000}"/>
    <hyperlink ref="R43" r:id="rId84" xr:uid="{00000000-0004-0000-0200-000053000000}"/>
    <hyperlink ref="Q44" r:id="rId85" xr:uid="{00000000-0004-0000-0200-000054000000}"/>
    <hyperlink ref="R44" r:id="rId86" xr:uid="{00000000-0004-0000-0200-000055000000}"/>
    <hyperlink ref="Q45" r:id="rId87" xr:uid="{00000000-0004-0000-0200-000056000000}"/>
    <hyperlink ref="R45" r:id="rId88" xr:uid="{00000000-0004-0000-0200-000057000000}"/>
    <hyperlink ref="Q46" r:id="rId89" xr:uid="{00000000-0004-0000-0200-000058000000}"/>
    <hyperlink ref="R46" r:id="rId90" xr:uid="{00000000-0004-0000-0200-000059000000}"/>
    <hyperlink ref="Q47" r:id="rId91" xr:uid="{00000000-0004-0000-0200-00005A000000}"/>
    <hyperlink ref="R47" r:id="rId92" xr:uid="{00000000-0004-0000-0200-00005B000000}"/>
    <hyperlink ref="Q48" r:id="rId93" xr:uid="{00000000-0004-0000-0200-00005C000000}"/>
    <hyperlink ref="R48" r:id="rId94" xr:uid="{00000000-0004-0000-0200-00005D000000}"/>
    <hyperlink ref="Q49" r:id="rId95" xr:uid="{00000000-0004-0000-0200-00005E000000}"/>
    <hyperlink ref="R49" r:id="rId96" xr:uid="{00000000-0004-0000-0200-00005F000000}"/>
    <hyperlink ref="Q50" r:id="rId97" xr:uid="{00000000-0004-0000-0200-000060000000}"/>
    <hyperlink ref="R50" r:id="rId98" xr:uid="{00000000-0004-0000-0200-000061000000}"/>
    <hyperlink ref="Q51" r:id="rId99" xr:uid="{00000000-0004-0000-0200-000062000000}"/>
    <hyperlink ref="R51" r:id="rId100" xr:uid="{00000000-0004-0000-0200-000063000000}"/>
    <hyperlink ref="Q52" r:id="rId101" xr:uid="{00000000-0004-0000-0200-000064000000}"/>
    <hyperlink ref="R52" r:id="rId102" xr:uid="{00000000-0004-0000-0200-000065000000}"/>
    <hyperlink ref="Q53" r:id="rId103" xr:uid="{00000000-0004-0000-0200-000066000000}"/>
    <hyperlink ref="R53" r:id="rId104" xr:uid="{00000000-0004-0000-0200-000067000000}"/>
    <hyperlink ref="Q54" r:id="rId105" xr:uid="{00000000-0004-0000-0200-000068000000}"/>
    <hyperlink ref="R54" r:id="rId106" xr:uid="{00000000-0004-0000-0200-000069000000}"/>
    <hyperlink ref="Q55" r:id="rId107" xr:uid="{00000000-0004-0000-0200-00006A000000}"/>
    <hyperlink ref="R55" r:id="rId108" xr:uid="{00000000-0004-0000-0200-00006B000000}"/>
    <hyperlink ref="Q56" r:id="rId109" xr:uid="{00000000-0004-0000-0200-00006C000000}"/>
    <hyperlink ref="R56" r:id="rId110" xr:uid="{00000000-0004-0000-0200-00006D000000}"/>
    <hyperlink ref="Q57" r:id="rId111" xr:uid="{00000000-0004-0000-0200-00006E000000}"/>
    <hyperlink ref="R57" r:id="rId112" xr:uid="{00000000-0004-0000-0200-00006F000000}"/>
    <hyperlink ref="Q58" r:id="rId113" xr:uid="{00000000-0004-0000-0200-000070000000}"/>
    <hyperlink ref="R58" r:id="rId114" xr:uid="{00000000-0004-0000-0200-000071000000}"/>
    <hyperlink ref="Q59" r:id="rId115" xr:uid="{00000000-0004-0000-0200-000072000000}"/>
    <hyperlink ref="R59" r:id="rId116" xr:uid="{00000000-0004-0000-0200-000073000000}"/>
    <hyperlink ref="Q60" r:id="rId117" xr:uid="{00000000-0004-0000-0200-000074000000}"/>
    <hyperlink ref="R60" r:id="rId118" xr:uid="{00000000-0004-0000-0200-000075000000}"/>
    <hyperlink ref="Q61" r:id="rId119" xr:uid="{00000000-0004-0000-0200-000076000000}"/>
    <hyperlink ref="R61" r:id="rId120" xr:uid="{00000000-0004-0000-0200-000077000000}"/>
    <hyperlink ref="Q62" r:id="rId121" xr:uid="{00000000-0004-0000-0200-000078000000}"/>
    <hyperlink ref="R62" r:id="rId122" xr:uid="{00000000-0004-0000-0200-000079000000}"/>
    <hyperlink ref="Q63" r:id="rId123" xr:uid="{00000000-0004-0000-0200-00007A000000}"/>
    <hyperlink ref="R63" r:id="rId124" xr:uid="{00000000-0004-0000-0200-00007B000000}"/>
    <hyperlink ref="Q64" r:id="rId125" xr:uid="{00000000-0004-0000-0200-00007C000000}"/>
    <hyperlink ref="R64" r:id="rId126" xr:uid="{00000000-0004-0000-0200-00007D000000}"/>
    <hyperlink ref="Q65" r:id="rId127" xr:uid="{00000000-0004-0000-0200-00007E000000}"/>
    <hyperlink ref="R65" r:id="rId128" xr:uid="{00000000-0004-0000-0200-00007F000000}"/>
    <hyperlink ref="Q66" r:id="rId129" xr:uid="{00000000-0004-0000-0200-000080000000}"/>
    <hyperlink ref="R66" r:id="rId130" xr:uid="{00000000-0004-0000-0200-000081000000}"/>
    <hyperlink ref="Q67" r:id="rId131" xr:uid="{00000000-0004-0000-0200-000082000000}"/>
    <hyperlink ref="R67" r:id="rId132" xr:uid="{00000000-0004-0000-0200-000083000000}"/>
    <hyperlink ref="Q68" r:id="rId133" xr:uid="{00000000-0004-0000-0200-000084000000}"/>
    <hyperlink ref="R68" r:id="rId134" xr:uid="{00000000-0004-0000-0200-000085000000}"/>
    <hyperlink ref="Q69" r:id="rId135" xr:uid="{00000000-0004-0000-0200-000086000000}"/>
    <hyperlink ref="R69" r:id="rId136" xr:uid="{00000000-0004-0000-0200-000087000000}"/>
    <hyperlink ref="Q70" r:id="rId137" xr:uid="{00000000-0004-0000-0200-000088000000}"/>
    <hyperlink ref="R70" r:id="rId138" xr:uid="{00000000-0004-0000-0200-000089000000}"/>
    <hyperlink ref="Q71" r:id="rId139" xr:uid="{00000000-0004-0000-0200-00008A000000}"/>
    <hyperlink ref="R71" r:id="rId140" xr:uid="{00000000-0004-0000-0200-00008B000000}"/>
    <hyperlink ref="Q72" r:id="rId141" xr:uid="{00000000-0004-0000-0200-00008C000000}"/>
    <hyperlink ref="R72" r:id="rId142" xr:uid="{00000000-0004-0000-0200-00008D000000}"/>
    <hyperlink ref="Q73" r:id="rId143" xr:uid="{00000000-0004-0000-0200-00008E000000}"/>
    <hyperlink ref="R73" r:id="rId144" xr:uid="{00000000-0004-0000-0200-00008F000000}"/>
    <hyperlink ref="Q74" r:id="rId145" xr:uid="{00000000-0004-0000-0200-000090000000}"/>
    <hyperlink ref="R74" r:id="rId146" xr:uid="{00000000-0004-0000-0200-000091000000}"/>
    <hyperlink ref="Q75" r:id="rId147" xr:uid="{00000000-0004-0000-0200-000092000000}"/>
    <hyperlink ref="R75" r:id="rId148" xr:uid="{00000000-0004-0000-0200-000093000000}"/>
    <hyperlink ref="Q76" r:id="rId149" xr:uid="{00000000-0004-0000-0200-000094000000}"/>
    <hyperlink ref="R76" r:id="rId150" xr:uid="{00000000-0004-0000-0200-000095000000}"/>
    <hyperlink ref="Q77" r:id="rId151" xr:uid="{00000000-0004-0000-0200-000096000000}"/>
    <hyperlink ref="R77" r:id="rId152" xr:uid="{00000000-0004-0000-0200-000097000000}"/>
    <hyperlink ref="Q78" r:id="rId153" xr:uid="{00000000-0004-0000-0200-000098000000}"/>
    <hyperlink ref="R78" r:id="rId154" xr:uid="{00000000-0004-0000-0200-000099000000}"/>
    <hyperlink ref="Q79" r:id="rId155" xr:uid="{00000000-0004-0000-0200-00009A000000}"/>
    <hyperlink ref="R79" r:id="rId156" xr:uid="{00000000-0004-0000-0200-00009B000000}"/>
    <hyperlink ref="Q80" r:id="rId157" xr:uid="{00000000-0004-0000-0200-00009C000000}"/>
    <hyperlink ref="R80" r:id="rId158" xr:uid="{00000000-0004-0000-0200-00009D000000}"/>
    <hyperlink ref="Q81" r:id="rId159" xr:uid="{00000000-0004-0000-0200-00009E000000}"/>
    <hyperlink ref="R81" r:id="rId160" xr:uid="{00000000-0004-0000-0200-00009F000000}"/>
    <hyperlink ref="Q82" r:id="rId161" xr:uid="{00000000-0004-0000-0200-0000A0000000}"/>
    <hyperlink ref="R82" r:id="rId162" xr:uid="{00000000-0004-0000-0200-0000A1000000}"/>
    <hyperlink ref="Q83" r:id="rId163" xr:uid="{00000000-0004-0000-0200-0000A2000000}"/>
    <hyperlink ref="R83" r:id="rId164" xr:uid="{00000000-0004-0000-0200-0000A3000000}"/>
    <hyperlink ref="Q84" r:id="rId165" xr:uid="{00000000-0004-0000-0200-0000A4000000}"/>
    <hyperlink ref="R84" r:id="rId166" xr:uid="{00000000-0004-0000-0200-0000A5000000}"/>
    <hyperlink ref="Q85" r:id="rId167" xr:uid="{00000000-0004-0000-0200-0000A6000000}"/>
    <hyperlink ref="R85" r:id="rId168" xr:uid="{00000000-0004-0000-0200-0000A7000000}"/>
    <hyperlink ref="Q86" r:id="rId169" xr:uid="{00000000-0004-0000-0200-0000A8000000}"/>
    <hyperlink ref="R86" r:id="rId170" xr:uid="{00000000-0004-0000-0200-0000A9000000}"/>
    <hyperlink ref="Q87" r:id="rId171" xr:uid="{00000000-0004-0000-0200-0000AA000000}"/>
    <hyperlink ref="R87" r:id="rId172" xr:uid="{00000000-0004-0000-0200-0000AB000000}"/>
    <hyperlink ref="Q88" r:id="rId173" xr:uid="{00000000-0004-0000-0200-0000AC000000}"/>
    <hyperlink ref="R88" r:id="rId174" xr:uid="{00000000-0004-0000-0200-0000AD000000}"/>
    <hyperlink ref="Q89" r:id="rId175" xr:uid="{00000000-0004-0000-0200-0000AE000000}"/>
    <hyperlink ref="R89" r:id="rId176" xr:uid="{00000000-0004-0000-0200-0000AF000000}"/>
    <hyperlink ref="Q90" r:id="rId177" xr:uid="{00000000-0004-0000-0200-0000B0000000}"/>
    <hyperlink ref="R90" r:id="rId178" xr:uid="{00000000-0004-0000-0200-0000B1000000}"/>
    <hyperlink ref="Q91" r:id="rId179" xr:uid="{00000000-0004-0000-0200-0000B2000000}"/>
    <hyperlink ref="R91" r:id="rId180" xr:uid="{00000000-0004-0000-0200-0000B3000000}"/>
    <hyperlink ref="Q92" r:id="rId181" xr:uid="{00000000-0004-0000-0200-0000B4000000}"/>
    <hyperlink ref="R92" r:id="rId182" xr:uid="{00000000-0004-0000-0200-0000B5000000}"/>
    <hyperlink ref="Q93" r:id="rId183" xr:uid="{00000000-0004-0000-0200-0000B6000000}"/>
    <hyperlink ref="R93" r:id="rId184" xr:uid="{00000000-0004-0000-0200-0000B7000000}"/>
    <hyperlink ref="Q94" r:id="rId185" xr:uid="{00000000-0004-0000-0200-0000B8000000}"/>
    <hyperlink ref="R94" r:id="rId186" xr:uid="{00000000-0004-0000-0200-0000B9000000}"/>
    <hyperlink ref="Q95" r:id="rId187" xr:uid="{00000000-0004-0000-0200-0000BA000000}"/>
    <hyperlink ref="R95" r:id="rId188" xr:uid="{00000000-0004-0000-0200-0000BB000000}"/>
    <hyperlink ref="Q96" r:id="rId189" xr:uid="{00000000-0004-0000-0200-0000BC000000}"/>
    <hyperlink ref="R96" r:id="rId190" xr:uid="{00000000-0004-0000-0200-0000BD000000}"/>
    <hyperlink ref="Q97" r:id="rId191" xr:uid="{00000000-0004-0000-0200-0000BE000000}"/>
    <hyperlink ref="R97" r:id="rId192" xr:uid="{00000000-0004-0000-0200-0000BF000000}"/>
    <hyperlink ref="Q98" r:id="rId193" xr:uid="{00000000-0004-0000-0200-0000C0000000}"/>
    <hyperlink ref="R98" r:id="rId194" xr:uid="{00000000-0004-0000-0200-0000C1000000}"/>
    <hyperlink ref="Q99" r:id="rId195" xr:uid="{00000000-0004-0000-0200-0000C2000000}"/>
    <hyperlink ref="R99" r:id="rId196" xr:uid="{00000000-0004-0000-0200-0000C3000000}"/>
    <hyperlink ref="Q100" r:id="rId197" xr:uid="{00000000-0004-0000-0200-0000C4000000}"/>
    <hyperlink ref="R100" r:id="rId198" xr:uid="{00000000-0004-0000-0200-0000C5000000}"/>
    <hyperlink ref="Q101" r:id="rId199" xr:uid="{00000000-0004-0000-0200-0000C6000000}"/>
    <hyperlink ref="R101" r:id="rId200" xr:uid="{00000000-0004-0000-0200-0000C7000000}"/>
    <hyperlink ref="Q102" r:id="rId201" xr:uid="{00000000-0004-0000-0200-0000C8000000}"/>
    <hyperlink ref="R102" r:id="rId202" xr:uid="{00000000-0004-0000-0200-0000C9000000}"/>
    <hyperlink ref="Q103" r:id="rId203" xr:uid="{00000000-0004-0000-0200-0000CA000000}"/>
    <hyperlink ref="R103" r:id="rId204" xr:uid="{00000000-0004-0000-0200-0000CB000000}"/>
    <hyperlink ref="Q104" r:id="rId205" xr:uid="{00000000-0004-0000-0200-0000CC000000}"/>
    <hyperlink ref="R104" r:id="rId206" xr:uid="{00000000-0004-0000-0200-0000CD000000}"/>
    <hyperlink ref="Q105" r:id="rId207" xr:uid="{00000000-0004-0000-0200-0000CE000000}"/>
    <hyperlink ref="R105" r:id="rId208" xr:uid="{00000000-0004-0000-0200-0000CF000000}"/>
    <hyperlink ref="Q106" r:id="rId209" xr:uid="{00000000-0004-0000-0200-0000D0000000}"/>
    <hyperlink ref="R106" r:id="rId210" xr:uid="{00000000-0004-0000-0200-0000D1000000}"/>
    <hyperlink ref="Q107" r:id="rId211" xr:uid="{00000000-0004-0000-0200-0000D2000000}"/>
    <hyperlink ref="R107" r:id="rId212" xr:uid="{00000000-0004-0000-0200-0000D3000000}"/>
    <hyperlink ref="Q108" r:id="rId213" xr:uid="{00000000-0004-0000-0200-0000D4000000}"/>
    <hyperlink ref="R108" r:id="rId214" xr:uid="{00000000-0004-0000-0200-0000D5000000}"/>
    <hyperlink ref="Q109" r:id="rId215" xr:uid="{00000000-0004-0000-0200-0000D6000000}"/>
    <hyperlink ref="R109" r:id="rId216" xr:uid="{00000000-0004-0000-0200-0000D7000000}"/>
    <hyperlink ref="Q110" r:id="rId217" xr:uid="{00000000-0004-0000-0200-0000D8000000}"/>
    <hyperlink ref="R110" r:id="rId218" xr:uid="{00000000-0004-0000-0200-0000D9000000}"/>
    <hyperlink ref="Q111" r:id="rId219" xr:uid="{00000000-0004-0000-0200-0000DA000000}"/>
    <hyperlink ref="R111" r:id="rId220" xr:uid="{00000000-0004-0000-0200-0000DB000000}"/>
    <hyperlink ref="Q112" r:id="rId221" xr:uid="{00000000-0004-0000-0200-0000DC000000}"/>
    <hyperlink ref="R112" r:id="rId222" xr:uid="{00000000-0004-0000-0200-0000DD000000}"/>
    <hyperlink ref="Q113" r:id="rId223" xr:uid="{00000000-0004-0000-0200-0000DE000000}"/>
    <hyperlink ref="R113" r:id="rId224" xr:uid="{00000000-0004-0000-0200-0000DF000000}"/>
    <hyperlink ref="Q114" r:id="rId225" xr:uid="{00000000-0004-0000-0200-0000E0000000}"/>
    <hyperlink ref="R114" r:id="rId226" xr:uid="{00000000-0004-0000-0200-0000E1000000}"/>
    <hyperlink ref="Q115" r:id="rId227" xr:uid="{00000000-0004-0000-0200-0000E2000000}"/>
    <hyperlink ref="R115" r:id="rId228" xr:uid="{00000000-0004-0000-0200-0000E3000000}"/>
    <hyperlink ref="Q116" r:id="rId229" xr:uid="{00000000-0004-0000-0200-0000E4000000}"/>
    <hyperlink ref="R116" r:id="rId230" xr:uid="{00000000-0004-0000-0200-0000E5000000}"/>
    <hyperlink ref="Q117" r:id="rId231" xr:uid="{00000000-0004-0000-0200-0000E6000000}"/>
    <hyperlink ref="R117" r:id="rId232" xr:uid="{00000000-0004-0000-0200-0000E7000000}"/>
    <hyperlink ref="Q118" r:id="rId233" xr:uid="{00000000-0004-0000-0200-0000E8000000}"/>
    <hyperlink ref="R118" r:id="rId234" xr:uid="{00000000-0004-0000-0200-0000E9000000}"/>
    <hyperlink ref="Q119" r:id="rId235" xr:uid="{00000000-0004-0000-0200-0000EA000000}"/>
    <hyperlink ref="R119" r:id="rId236" xr:uid="{00000000-0004-0000-0200-0000EB000000}"/>
    <hyperlink ref="Q120" r:id="rId237" xr:uid="{00000000-0004-0000-0200-0000EC000000}"/>
    <hyperlink ref="R120" r:id="rId238" xr:uid="{00000000-0004-0000-0200-0000ED000000}"/>
    <hyperlink ref="Q121" r:id="rId239" xr:uid="{00000000-0004-0000-0200-0000EE000000}"/>
    <hyperlink ref="R121" r:id="rId240" xr:uid="{00000000-0004-0000-0200-0000EF000000}"/>
    <hyperlink ref="Q122" r:id="rId241" xr:uid="{00000000-0004-0000-0200-0000F0000000}"/>
    <hyperlink ref="R122" r:id="rId242" xr:uid="{00000000-0004-0000-0200-0000F1000000}"/>
    <hyperlink ref="Q123" r:id="rId243" xr:uid="{00000000-0004-0000-0200-0000F2000000}"/>
    <hyperlink ref="R123" r:id="rId244" xr:uid="{00000000-0004-0000-0200-0000F3000000}"/>
    <hyperlink ref="Q124" r:id="rId245" xr:uid="{00000000-0004-0000-0200-0000F4000000}"/>
    <hyperlink ref="R124" r:id="rId246" xr:uid="{00000000-0004-0000-0200-0000F5000000}"/>
    <hyperlink ref="Q125" r:id="rId247" xr:uid="{00000000-0004-0000-0200-0000F6000000}"/>
    <hyperlink ref="R125" r:id="rId248" xr:uid="{00000000-0004-0000-0200-0000F7000000}"/>
    <hyperlink ref="Q126" r:id="rId249" xr:uid="{00000000-0004-0000-0200-0000F8000000}"/>
    <hyperlink ref="R126" r:id="rId250" xr:uid="{00000000-0004-0000-0200-0000F9000000}"/>
    <hyperlink ref="Q127" r:id="rId251" xr:uid="{00000000-0004-0000-0200-0000FA000000}"/>
    <hyperlink ref="R127" r:id="rId252" xr:uid="{00000000-0004-0000-0200-0000FB000000}"/>
    <hyperlink ref="Q128" r:id="rId253" xr:uid="{00000000-0004-0000-0200-0000FC000000}"/>
    <hyperlink ref="R128" r:id="rId254" xr:uid="{00000000-0004-0000-0200-0000FD000000}"/>
    <hyperlink ref="Q129" r:id="rId255" xr:uid="{00000000-0004-0000-0200-0000FE000000}"/>
    <hyperlink ref="R129" r:id="rId256" xr:uid="{00000000-0004-0000-0200-0000FF000000}"/>
    <hyperlink ref="Q130" r:id="rId257" xr:uid="{00000000-0004-0000-0200-000000010000}"/>
    <hyperlink ref="R130" r:id="rId258" xr:uid="{00000000-0004-0000-0200-000001010000}"/>
    <hyperlink ref="Q131" r:id="rId259" xr:uid="{00000000-0004-0000-0200-000002010000}"/>
    <hyperlink ref="R131" r:id="rId260" xr:uid="{00000000-0004-0000-0200-000003010000}"/>
    <hyperlink ref="Q132" r:id="rId261" xr:uid="{00000000-0004-0000-0200-000004010000}"/>
    <hyperlink ref="R132" r:id="rId262" xr:uid="{00000000-0004-0000-0200-000005010000}"/>
    <hyperlink ref="Q133" r:id="rId263" xr:uid="{00000000-0004-0000-0200-000006010000}"/>
    <hyperlink ref="R133" r:id="rId264" xr:uid="{00000000-0004-0000-0200-000007010000}"/>
    <hyperlink ref="Q134" r:id="rId265" xr:uid="{00000000-0004-0000-0200-000008010000}"/>
    <hyperlink ref="R134" r:id="rId266" xr:uid="{00000000-0004-0000-0200-000009010000}"/>
    <hyperlink ref="Q135" r:id="rId267" xr:uid="{00000000-0004-0000-0200-00000A010000}"/>
    <hyperlink ref="R135" r:id="rId268" xr:uid="{00000000-0004-0000-0200-00000B010000}"/>
    <hyperlink ref="Q136" r:id="rId269" xr:uid="{00000000-0004-0000-0200-00000C010000}"/>
    <hyperlink ref="R136" r:id="rId270" xr:uid="{00000000-0004-0000-0200-00000D010000}"/>
    <hyperlink ref="Q137" r:id="rId271" xr:uid="{00000000-0004-0000-0200-00000E010000}"/>
    <hyperlink ref="R137" r:id="rId272" xr:uid="{00000000-0004-0000-0200-00000F010000}"/>
    <hyperlink ref="Q138" r:id="rId273" xr:uid="{00000000-0004-0000-0200-000010010000}"/>
    <hyperlink ref="R138" r:id="rId274" xr:uid="{00000000-0004-0000-0200-000011010000}"/>
    <hyperlink ref="Q139" r:id="rId275" xr:uid="{00000000-0004-0000-0200-000012010000}"/>
    <hyperlink ref="R139" r:id="rId276" xr:uid="{00000000-0004-0000-0200-000013010000}"/>
    <hyperlink ref="Q140" r:id="rId277" xr:uid="{00000000-0004-0000-0200-000014010000}"/>
    <hyperlink ref="R140" r:id="rId278" xr:uid="{00000000-0004-0000-0200-000015010000}"/>
    <hyperlink ref="Q141" r:id="rId279" xr:uid="{00000000-0004-0000-0200-000016010000}"/>
    <hyperlink ref="R141" r:id="rId280" xr:uid="{00000000-0004-0000-0200-000017010000}"/>
    <hyperlink ref="Q142" r:id="rId281" xr:uid="{00000000-0004-0000-0200-000018010000}"/>
    <hyperlink ref="R142" r:id="rId282" xr:uid="{00000000-0004-0000-0200-000019010000}"/>
    <hyperlink ref="Q143" r:id="rId283" xr:uid="{00000000-0004-0000-0200-00001A010000}"/>
    <hyperlink ref="R143" r:id="rId284" xr:uid="{00000000-0004-0000-0200-00001B010000}"/>
    <hyperlink ref="Q144" r:id="rId285" xr:uid="{00000000-0004-0000-0200-00001C010000}"/>
    <hyperlink ref="R144" r:id="rId286" xr:uid="{00000000-0004-0000-0200-00001D010000}"/>
    <hyperlink ref="Q145" r:id="rId287" xr:uid="{00000000-0004-0000-0200-00001E010000}"/>
    <hyperlink ref="R145" r:id="rId288" xr:uid="{00000000-0004-0000-0200-00001F010000}"/>
    <hyperlink ref="Q146" r:id="rId289" xr:uid="{00000000-0004-0000-0200-000020010000}"/>
    <hyperlink ref="R146" r:id="rId290" xr:uid="{00000000-0004-0000-0200-000021010000}"/>
    <hyperlink ref="Q147" r:id="rId291" xr:uid="{00000000-0004-0000-0200-000022010000}"/>
    <hyperlink ref="R147" r:id="rId292" xr:uid="{00000000-0004-0000-0200-000023010000}"/>
    <hyperlink ref="Q148" r:id="rId293" xr:uid="{00000000-0004-0000-0200-000024010000}"/>
    <hyperlink ref="R148" r:id="rId294" xr:uid="{00000000-0004-0000-0200-000025010000}"/>
    <hyperlink ref="Q149" r:id="rId295" xr:uid="{00000000-0004-0000-0200-000026010000}"/>
    <hyperlink ref="R149" r:id="rId296" xr:uid="{00000000-0004-0000-0200-000027010000}"/>
    <hyperlink ref="Q150" r:id="rId297" xr:uid="{00000000-0004-0000-0200-000028010000}"/>
    <hyperlink ref="R150" r:id="rId298" xr:uid="{00000000-0004-0000-0200-000029010000}"/>
    <hyperlink ref="Q151" r:id="rId299" xr:uid="{00000000-0004-0000-0200-00002A010000}"/>
    <hyperlink ref="R151" r:id="rId300" xr:uid="{00000000-0004-0000-0200-00002B010000}"/>
    <hyperlink ref="Q152" r:id="rId301" xr:uid="{00000000-0004-0000-0200-00002C010000}"/>
    <hyperlink ref="R152" r:id="rId302" xr:uid="{00000000-0004-0000-0200-00002D010000}"/>
    <hyperlink ref="Q153" r:id="rId303" xr:uid="{00000000-0004-0000-0200-00002E010000}"/>
    <hyperlink ref="R153" r:id="rId304" xr:uid="{00000000-0004-0000-0200-00002F010000}"/>
    <hyperlink ref="Q154" r:id="rId305" xr:uid="{00000000-0004-0000-0200-000030010000}"/>
    <hyperlink ref="R154" r:id="rId306" xr:uid="{00000000-0004-0000-0200-000031010000}"/>
  </hyperlinks>
  <pageMargins left="0.75" right="0.75" top="1" bottom="1" header="0.5" footer="0.5"/>
  <pageSetup fitToHeight="0" orientation="landscape"/>
  <tableParts count="1">
    <tablePart r:id="rId30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441"/>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139</v>
      </c>
      <c r="B2" s="12" t="s">
        <v>12</v>
      </c>
      <c r="C2" s="12"/>
      <c r="D2" s="12" t="s">
        <v>12</v>
      </c>
      <c r="E2" s="12" t="s">
        <v>140</v>
      </c>
      <c r="F2" s="12"/>
      <c r="G2" s="12" t="s">
        <v>141</v>
      </c>
      <c r="H2" s="12" t="s">
        <v>40</v>
      </c>
      <c r="I2" s="12" t="s">
        <v>26</v>
      </c>
      <c r="J2" s="13" t="s">
        <v>142</v>
      </c>
      <c r="K2" s="14" t="s">
        <v>143</v>
      </c>
      <c r="L2" s="15">
        <v>1</v>
      </c>
      <c r="M2" s="15" t="s">
        <v>144</v>
      </c>
      <c r="N2" s="16">
        <v>45559</v>
      </c>
      <c r="O2" s="12" t="s">
        <v>139</v>
      </c>
      <c r="P2" s="14" t="s">
        <v>145</v>
      </c>
      <c r="Q2" s="17" t="s">
        <v>137</v>
      </c>
      <c r="R2" s="17" t="s">
        <v>146</v>
      </c>
    </row>
    <row r="3" spans="1:18" x14ac:dyDescent="0.3">
      <c r="A3" s="12" t="s">
        <v>151</v>
      </c>
      <c r="B3" s="12" t="s">
        <v>12</v>
      </c>
      <c r="C3" s="12"/>
      <c r="D3" s="12" t="s">
        <v>12</v>
      </c>
      <c r="E3" s="12" t="s">
        <v>152</v>
      </c>
      <c r="F3" s="12"/>
      <c r="G3" s="12" t="s">
        <v>40</v>
      </c>
      <c r="H3" s="12" t="s">
        <v>40</v>
      </c>
      <c r="I3" s="12" t="s">
        <v>26</v>
      </c>
      <c r="J3" s="13" t="s">
        <v>153</v>
      </c>
      <c r="K3" s="14" t="s">
        <v>154</v>
      </c>
      <c r="L3" s="15">
        <v>2</v>
      </c>
      <c r="M3" s="15" t="s">
        <v>144</v>
      </c>
      <c r="N3" s="16">
        <v>45659</v>
      </c>
      <c r="O3" s="12" t="s">
        <v>151</v>
      </c>
      <c r="P3" s="14" t="s">
        <v>155</v>
      </c>
      <c r="Q3" s="17" t="s">
        <v>137</v>
      </c>
      <c r="R3" s="17" t="s">
        <v>146</v>
      </c>
    </row>
    <row r="4" spans="1:18" x14ac:dyDescent="0.3">
      <c r="A4" s="12" t="s">
        <v>162</v>
      </c>
      <c r="B4" s="12" t="s">
        <v>12</v>
      </c>
      <c r="C4" s="12"/>
      <c r="D4" s="12" t="s">
        <v>12</v>
      </c>
      <c r="E4" s="12" t="s">
        <v>163</v>
      </c>
      <c r="F4" s="12" t="s">
        <v>164</v>
      </c>
      <c r="G4" s="12" t="s">
        <v>40</v>
      </c>
      <c r="H4" s="12" t="s">
        <v>40</v>
      </c>
      <c r="I4" s="12" t="s">
        <v>26</v>
      </c>
      <c r="J4" s="13" t="s">
        <v>153</v>
      </c>
      <c r="K4" s="14" t="s">
        <v>165</v>
      </c>
      <c r="L4" s="15">
        <v>1</v>
      </c>
      <c r="M4" s="15" t="s">
        <v>144</v>
      </c>
      <c r="N4" s="16">
        <v>45778</v>
      </c>
      <c r="O4" s="12" t="s">
        <v>166</v>
      </c>
      <c r="P4" s="14" t="s">
        <v>167</v>
      </c>
      <c r="Q4" s="17" t="s">
        <v>137</v>
      </c>
      <c r="R4" s="17" t="s">
        <v>146</v>
      </c>
    </row>
    <row r="5" spans="1:18" x14ac:dyDescent="0.3">
      <c r="A5" s="12" t="s">
        <v>168</v>
      </c>
      <c r="B5" s="12" t="s">
        <v>12</v>
      </c>
      <c r="C5" s="12"/>
      <c r="D5" s="12" t="s">
        <v>12</v>
      </c>
      <c r="E5" s="12" t="s">
        <v>169</v>
      </c>
      <c r="F5" s="12" t="s">
        <v>170</v>
      </c>
      <c r="G5" s="12" t="s">
        <v>40</v>
      </c>
      <c r="H5" s="12" t="s">
        <v>40</v>
      </c>
      <c r="I5" s="12" t="s">
        <v>26</v>
      </c>
      <c r="J5" s="13" t="s">
        <v>153</v>
      </c>
      <c r="K5" s="14" t="s">
        <v>171</v>
      </c>
      <c r="L5" s="15">
        <v>1</v>
      </c>
      <c r="M5" s="15" t="s">
        <v>144</v>
      </c>
      <c r="N5" s="16">
        <v>46001</v>
      </c>
      <c r="O5" s="12" t="s">
        <v>168</v>
      </c>
      <c r="P5" s="14" t="s">
        <v>172</v>
      </c>
      <c r="Q5" s="17" t="s">
        <v>137</v>
      </c>
      <c r="R5" s="17" t="s">
        <v>146</v>
      </c>
    </row>
    <row r="6" spans="1:18" x14ac:dyDescent="0.3">
      <c r="A6" s="12" t="s">
        <v>173</v>
      </c>
      <c r="B6" s="12" t="s">
        <v>12</v>
      </c>
      <c r="C6" s="12"/>
      <c r="D6" s="12" t="s">
        <v>12</v>
      </c>
      <c r="E6" s="12" t="s">
        <v>174</v>
      </c>
      <c r="F6" s="12"/>
      <c r="G6" s="12" t="s">
        <v>175</v>
      </c>
      <c r="H6" s="12" t="s">
        <v>40</v>
      </c>
      <c r="I6" s="12" t="s">
        <v>26</v>
      </c>
      <c r="J6" s="13" t="s">
        <v>176</v>
      </c>
      <c r="K6" s="14" t="s">
        <v>177</v>
      </c>
      <c r="L6" s="15">
        <v>8</v>
      </c>
      <c r="M6" s="15" t="s">
        <v>144</v>
      </c>
      <c r="N6" s="16">
        <v>45384</v>
      </c>
      <c r="O6" s="12" t="s">
        <v>173</v>
      </c>
      <c r="P6" s="14" t="s">
        <v>178</v>
      </c>
      <c r="Q6" s="17" t="s">
        <v>137</v>
      </c>
      <c r="R6" s="17" t="s">
        <v>146</v>
      </c>
    </row>
    <row r="7" spans="1:18" x14ac:dyDescent="0.3">
      <c r="A7" s="12" t="s">
        <v>179</v>
      </c>
      <c r="B7" s="12" t="s">
        <v>12</v>
      </c>
      <c r="C7" s="12" t="s">
        <v>14</v>
      </c>
      <c r="D7" s="12" t="s">
        <v>180</v>
      </c>
      <c r="E7" s="12" t="s">
        <v>181</v>
      </c>
      <c r="F7" s="12" t="s">
        <v>182</v>
      </c>
      <c r="G7" s="12" t="s">
        <v>175</v>
      </c>
      <c r="H7" s="12" t="s">
        <v>40</v>
      </c>
      <c r="I7" s="12" t="s">
        <v>26</v>
      </c>
      <c r="J7" s="13" t="s">
        <v>183</v>
      </c>
      <c r="K7" s="14" t="s">
        <v>184</v>
      </c>
      <c r="L7" s="15">
        <v>3</v>
      </c>
      <c r="M7" s="15" t="s">
        <v>144</v>
      </c>
      <c r="N7" s="16">
        <v>45348</v>
      </c>
      <c r="O7" s="12" t="s">
        <v>179</v>
      </c>
      <c r="P7" s="14" t="s">
        <v>185</v>
      </c>
      <c r="Q7" s="17" t="s">
        <v>137</v>
      </c>
      <c r="R7" s="17" t="s">
        <v>146</v>
      </c>
    </row>
    <row r="8" spans="1:18" x14ac:dyDescent="0.3">
      <c r="A8" s="12" t="s">
        <v>211</v>
      </c>
      <c r="B8" s="12" t="s">
        <v>12</v>
      </c>
      <c r="C8" s="12"/>
      <c r="D8" s="12" t="s">
        <v>12</v>
      </c>
      <c r="E8" s="12" t="s">
        <v>212</v>
      </c>
      <c r="F8" s="12"/>
      <c r="G8" s="12" t="s">
        <v>175</v>
      </c>
      <c r="H8" s="12" t="s">
        <v>40</v>
      </c>
      <c r="I8" s="12" t="s">
        <v>26</v>
      </c>
      <c r="J8" s="13" t="s">
        <v>176</v>
      </c>
      <c r="K8" s="14" t="s">
        <v>213</v>
      </c>
      <c r="L8" s="15">
        <v>2</v>
      </c>
      <c r="M8" s="15" t="s">
        <v>144</v>
      </c>
      <c r="N8" s="16">
        <v>45153</v>
      </c>
      <c r="O8" s="12" t="s">
        <v>211</v>
      </c>
      <c r="P8" s="14" t="s">
        <v>214</v>
      </c>
      <c r="Q8" s="17" t="s">
        <v>137</v>
      </c>
      <c r="R8" s="17" t="s">
        <v>146</v>
      </c>
    </row>
    <row r="9" spans="1:18" x14ac:dyDescent="0.3">
      <c r="A9" s="12" t="s">
        <v>243</v>
      </c>
      <c r="B9" s="12" t="s">
        <v>12</v>
      </c>
      <c r="C9" s="12"/>
      <c r="D9" s="12" t="s">
        <v>12</v>
      </c>
      <c r="E9" s="12" t="s">
        <v>244</v>
      </c>
      <c r="F9" s="12"/>
      <c r="G9" s="12" t="s">
        <v>233</v>
      </c>
      <c r="H9" s="12" t="s">
        <v>40</v>
      </c>
      <c r="I9" s="12" t="s">
        <v>26</v>
      </c>
      <c r="J9" s="13" t="s">
        <v>234</v>
      </c>
      <c r="K9" s="14" t="s">
        <v>245</v>
      </c>
      <c r="L9" s="15">
        <v>2</v>
      </c>
      <c r="M9" s="15" t="s">
        <v>144</v>
      </c>
      <c r="N9" s="16">
        <v>46248</v>
      </c>
      <c r="O9" s="12" t="s">
        <v>243</v>
      </c>
      <c r="P9" s="14" t="s">
        <v>246</v>
      </c>
      <c r="Q9" s="17" t="s">
        <v>137</v>
      </c>
      <c r="R9" s="17" t="s">
        <v>146</v>
      </c>
    </row>
    <row r="10" spans="1:18" x14ac:dyDescent="0.3">
      <c r="A10" s="12" t="s">
        <v>256</v>
      </c>
      <c r="B10" s="12" t="s">
        <v>12</v>
      </c>
      <c r="C10" s="12"/>
      <c r="D10" s="12" t="s">
        <v>12</v>
      </c>
      <c r="E10" s="12" t="s">
        <v>257</v>
      </c>
      <c r="F10" s="12" t="s">
        <v>258</v>
      </c>
      <c r="G10" s="12" t="s">
        <v>233</v>
      </c>
      <c r="H10" s="12" t="s">
        <v>40</v>
      </c>
      <c r="I10" s="12" t="s">
        <v>26</v>
      </c>
      <c r="J10" s="13" t="s">
        <v>259</v>
      </c>
      <c r="K10" s="14" t="s">
        <v>260</v>
      </c>
      <c r="L10" s="15">
        <v>1</v>
      </c>
      <c r="M10" s="15" t="s">
        <v>144</v>
      </c>
      <c r="N10" s="16">
        <v>44663</v>
      </c>
      <c r="O10" s="12" t="s">
        <v>261</v>
      </c>
      <c r="P10" s="14" t="s">
        <v>262</v>
      </c>
      <c r="Q10" s="17" t="s">
        <v>137</v>
      </c>
      <c r="R10" s="17" t="s">
        <v>146</v>
      </c>
    </row>
    <row r="11" spans="1:18" x14ac:dyDescent="0.3">
      <c r="A11" s="12" t="s">
        <v>282</v>
      </c>
      <c r="B11" s="12" t="s">
        <v>10</v>
      </c>
      <c r="C11" s="12" t="s">
        <v>180</v>
      </c>
      <c r="D11" s="12" t="s">
        <v>283</v>
      </c>
      <c r="E11" s="12" t="s">
        <v>284</v>
      </c>
      <c r="F11" s="12" t="s">
        <v>285</v>
      </c>
      <c r="G11" s="12" t="s">
        <v>233</v>
      </c>
      <c r="H11" s="12" t="s">
        <v>40</v>
      </c>
      <c r="I11" s="12" t="s">
        <v>26</v>
      </c>
      <c r="J11" s="13" t="s">
        <v>234</v>
      </c>
      <c r="K11" s="14" t="s">
        <v>286</v>
      </c>
      <c r="L11" s="15">
        <v>5</v>
      </c>
      <c r="M11" s="15" t="s">
        <v>144</v>
      </c>
      <c r="N11" s="16">
        <v>45911</v>
      </c>
      <c r="O11" s="12" t="s">
        <v>282</v>
      </c>
      <c r="P11" s="14" t="s">
        <v>287</v>
      </c>
      <c r="Q11" s="17" t="s">
        <v>137</v>
      </c>
      <c r="R11" s="17" t="s">
        <v>146</v>
      </c>
    </row>
    <row r="12" spans="1:18" x14ac:dyDescent="0.3">
      <c r="A12" s="12" t="s">
        <v>288</v>
      </c>
      <c r="B12" s="12" t="s">
        <v>12</v>
      </c>
      <c r="C12" s="12"/>
      <c r="D12" s="12" t="s">
        <v>12</v>
      </c>
      <c r="E12" s="12" t="s">
        <v>244</v>
      </c>
      <c r="F12" s="12"/>
      <c r="G12" s="12" t="s">
        <v>233</v>
      </c>
      <c r="H12" s="12" t="s">
        <v>40</v>
      </c>
      <c r="I12" s="12" t="s">
        <v>26</v>
      </c>
      <c r="J12" s="13" t="s">
        <v>234</v>
      </c>
      <c r="K12" s="14" t="s">
        <v>289</v>
      </c>
      <c r="L12" s="15">
        <v>2</v>
      </c>
      <c r="M12" s="15" t="s">
        <v>144</v>
      </c>
      <c r="N12" s="16">
        <v>45131</v>
      </c>
      <c r="O12" s="12" t="s">
        <v>290</v>
      </c>
      <c r="P12" s="14" t="s">
        <v>291</v>
      </c>
      <c r="Q12" s="17" t="s">
        <v>137</v>
      </c>
      <c r="R12" s="17" t="s">
        <v>146</v>
      </c>
    </row>
    <row r="13" spans="1:18" x14ac:dyDescent="0.3">
      <c r="A13" s="12" t="s">
        <v>311</v>
      </c>
      <c r="B13" s="12" t="s">
        <v>12</v>
      </c>
      <c r="C13" s="12"/>
      <c r="D13" s="12" t="s">
        <v>12</v>
      </c>
      <c r="E13" s="12" t="s">
        <v>312</v>
      </c>
      <c r="F13" s="12"/>
      <c r="G13" s="12" t="s">
        <v>313</v>
      </c>
      <c r="H13" s="12" t="s">
        <v>40</v>
      </c>
      <c r="I13" s="12" t="s">
        <v>26</v>
      </c>
      <c r="J13" s="13" t="s">
        <v>314</v>
      </c>
      <c r="K13" s="14" t="s">
        <v>315</v>
      </c>
      <c r="L13" s="15">
        <v>0</v>
      </c>
      <c r="M13" s="15" t="s">
        <v>144</v>
      </c>
      <c r="N13" s="16">
        <v>45674</v>
      </c>
      <c r="O13" s="12" t="s">
        <v>311</v>
      </c>
      <c r="P13" s="14" t="s">
        <v>316</v>
      </c>
      <c r="Q13" s="17" t="s">
        <v>137</v>
      </c>
      <c r="R13" s="17" t="s">
        <v>146</v>
      </c>
    </row>
    <row r="14" spans="1:18" x14ac:dyDescent="0.3">
      <c r="A14" s="12" t="s">
        <v>317</v>
      </c>
      <c r="B14" s="12" t="s">
        <v>12</v>
      </c>
      <c r="C14" s="12"/>
      <c r="D14" s="12" t="s">
        <v>12</v>
      </c>
      <c r="E14" s="12" t="s">
        <v>318</v>
      </c>
      <c r="F14" s="12" t="s">
        <v>319</v>
      </c>
      <c r="G14" s="12" t="s">
        <v>320</v>
      </c>
      <c r="H14" s="12" t="s">
        <v>40</v>
      </c>
      <c r="I14" s="12" t="s">
        <v>26</v>
      </c>
      <c r="J14" s="13" t="s">
        <v>321</v>
      </c>
      <c r="K14" s="14" t="s">
        <v>322</v>
      </c>
      <c r="L14" s="15">
        <v>1</v>
      </c>
      <c r="M14" s="15" t="s">
        <v>144</v>
      </c>
      <c r="N14" s="16">
        <v>46266</v>
      </c>
      <c r="O14" s="12" t="s">
        <v>317</v>
      </c>
      <c r="P14" s="14" t="s">
        <v>323</v>
      </c>
      <c r="Q14" s="17" t="s">
        <v>137</v>
      </c>
      <c r="R14" s="17" t="s">
        <v>146</v>
      </c>
    </row>
    <row r="15" spans="1:18" x14ac:dyDescent="0.3">
      <c r="A15" s="12" t="s">
        <v>324</v>
      </c>
      <c r="B15" s="12" t="s">
        <v>12</v>
      </c>
      <c r="C15" s="12"/>
      <c r="D15" s="12" t="s">
        <v>12</v>
      </c>
      <c r="E15" s="12" t="s">
        <v>325</v>
      </c>
      <c r="F15" s="12" t="s">
        <v>188</v>
      </c>
      <c r="G15" s="12" t="s">
        <v>320</v>
      </c>
      <c r="H15" s="12" t="s">
        <v>40</v>
      </c>
      <c r="I15" s="12" t="s">
        <v>26</v>
      </c>
      <c r="J15" s="13" t="s">
        <v>321</v>
      </c>
      <c r="K15" s="14" t="s">
        <v>326</v>
      </c>
      <c r="L15" s="15">
        <v>0</v>
      </c>
      <c r="M15" s="15" t="s">
        <v>144</v>
      </c>
      <c r="N15" s="16">
        <v>44981</v>
      </c>
      <c r="O15" s="12" t="s">
        <v>324</v>
      </c>
      <c r="P15" s="14" t="s">
        <v>327</v>
      </c>
      <c r="Q15" s="17" t="s">
        <v>137</v>
      </c>
      <c r="R15" s="17" t="s">
        <v>146</v>
      </c>
    </row>
    <row r="16" spans="1:18" x14ac:dyDescent="0.3">
      <c r="A16" s="12" t="s">
        <v>336</v>
      </c>
      <c r="B16" s="12" t="s">
        <v>12</v>
      </c>
      <c r="C16" s="12"/>
      <c r="D16" s="12" t="s">
        <v>12</v>
      </c>
      <c r="E16" s="12" t="s">
        <v>337</v>
      </c>
      <c r="F16" s="12"/>
      <c r="G16" s="12" t="s">
        <v>320</v>
      </c>
      <c r="H16" s="12" t="s">
        <v>40</v>
      </c>
      <c r="I16" s="12" t="s">
        <v>26</v>
      </c>
      <c r="J16" s="13" t="s">
        <v>321</v>
      </c>
      <c r="K16" s="14" t="s">
        <v>338</v>
      </c>
      <c r="L16" s="15">
        <v>3</v>
      </c>
      <c r="M16" s="15" t="s">
        <v>144</v>
      </c>
      <c r="N16" s="16">
        <v>44763</v>
      </c>
      <c r="O16" s="12" t="s">
        <v>339</v>
      </c>
      <c r="P16" s="14" t="s">
        <v>340</v>
      </c>
      <c r="Q16" s="17" t="s">
        <v>137</v>
      </c>
      <c r="R16" s="17" t="s">
        <v>146</v>
      </c>
    </row>
    <row r="17" spans="1:18" x14ac:dyDescent="0.3">
      <c r="A17" s="12" t="s">
        <v>341</v>
      </c>
      <c r="B17" s="12" t="s">
        <v>12</v>
      </c>
      <c r="C17" s="12"/>
      <c r="D17" s="12" t="s">
        <v>12</v>
      </c>
      <c r="E17" s="12" t="s">
        <v>337</v>
      </c>
      <c r="F17" s="12"/>
      <c r="G17" s="12" t="s">
        <v>320</v>
      </c>
      <c r="H17" s="12" t="s">
        <v>40</v>
      </c>
      <c r="I17" s="12" t="s">
        <v>26</v>
      </c>
      <c r="J17" s="13" t="s">
        <v>321</v>
      </c>
      <c r="K17" s="14" t="s">
        <v>338</v>
      </c>
      <c r="L17" s="15">
        <v>3</v>
      </c>
      <c r="M17" s="15" t="s">
        <v>144</v>
      </c>
      <c r="N17" s="16">
        <v>46129</v>
      </c>
      <c r="O17" s="12" t="s">
        <v>341</v>
      </c>
      <c r="P17" s="14" t="s">
        <v>342</v>
      </c>
      <c r="Q17" s="17" t="s">
        <v>137</v>
      </c>
      <c r="R17" s="17" t="s">
        <v>146</v>
      </c>
    </row>
    <row r="18" spans="1:18" x14ac:dyDescent="0.3">
      <c r="A18" s="12" t="s">
        <v>343</v>
      </c>
      <c r="B18" s="12" t="s">
        <v>12</v>
      </c>
      <c r="C18" s="12"/>
      <c r="D18" s="12" t="s">
        <v>12</v>
      </c>
      <c r="E18" s="12" t="s">
        <v>344</v>
      </c>
      <c r="F18" s="12" t="s">
        <v>345</v>
      </c>
      <c r="G18" s="12" t="s">
        <v>346</v>
      </c>
      <c r="H18" s="12" t="s">
        <v>40</v>
      </c>
      <c r="I18" s="12" t="s">
        <v>26</v>
      </c>
      <c r="J18" s="13" t="s">
        <v>142</v>
      </c>
      <c r="K18" s="14" t="s">
        <v>347</v>
      </c>
      <c r="L18" s="15">
        <v>2</v>
      </c>
      <c r="M18" s="15" t="s">
        <v>144</v>
      </c>
      <c r="N18" s="16">
        <v>45352</v>
      </c>
      <c r="O18" s="12" t="s">
        <v>343</v>
      </c>
      <c r="P18" s="14" t="s">
        <v>348</v>
      </c>
      <c r="Q18" s="17" t="s">
        <v>137</v>
      </c>
      <c r="R18" s="17" t="s">
        <v>146</v>
      </c>
    </row>
    <row r="19" spans="1:18" x14ac:dyDescent="0.3">
      <c r="A19" s="12" t="s">
        <v>343</v>
      </c>
      <c r="B19" s="12" t="s">
        <v>12</v>
      </c>
      <c r="C19" s="12"/>
      <c r="D19" s="12" t="s">
        <v>12</v>
      </c>
      <c r="E19" s="12" t="s">
        <v>349</v>
      </c>
      <c r="F19" s="12"/>
      <c r="G19" s="12" t="s">
        <v>346</v>
      </c>
      <c r="H19" s="12" t="s">
        <v>40</v>
      </c>
      <c r="I19" s="12" t="s">
        <v>26</v>
      </c>
      <c r="J19" s="13" t="s">
        <v>142</v>
      </c>
      <c r="K19" s="14" t="s">
        <v>350</v>
      </c>
      <c r="L19" s="15">
        <v>0</v>
      </c>
      <c r="M19" s="15" t="s">
        <v>144</v>
      </c>
      <c r="N19" s="16">
        <v>45352</v>
      </c>
      <c r="O19" s="12" t="s">
        <v>343</v>
      </c>
      <c r="P19" s="14" t="s">
        <v>348</v>
      </c>
      <c r="Q19" s="17" t="s">
        <v>137</v>
      </c>
      <c r="R19" s="17" t="s">
        <v>146</v>
      </c>
    </row>
    <row r="20" spans="1:18" x14ac:dyDescent="0.3">
      <c r="A20" s="12" t="s">
        <v>351</v>
      </c>
      <c r="B20" s="12" t="s">
        <v>12</v>
      </c>
      <c r="C20" s="12"/>
      <c r="D20" s="12" t="s">
        <v>12</v>
      </c>
      <c r="E20" s="12" t="s">
        <v>352</v>
      </c>
      <c r="F20" s="12"/>
      <c r="G20" s="12" t="s">
        <v>353</v>
      </c>
      <c r="H20" s="12" t="s">
        <v>40</v>
      </c>
      <c r="I20" s="12" t="s">
        <v>26</v>
      </c>
      <c r="J20" s="13" t="s">
        <v>354</v>
      </c>
      <c r="K20" s="14" t="s">
        <v>355</v>
      </c>
      <c r="L20" s="15">
        <v>3</v>
      </c>
      <c r="M20" s="15" t="s">
        <v>144</v>
      </c>
      <c r="N20" s="16">
        <v>45523</v>
      </c>
      <c r="O20" s="12" t="s">
        <v>351</v>
      </c>
      <c r="P20" s="14" t="s">
        <v>356</v>
      </c>
      <c r="Q20" s="17" t="s">
        <v>137</v>
      </c>
      <c r="R20" s="17" t="s">
        <v>146</v>
      </c>
    </row>
    <row r="21" spans="1:18" x14ac:dyDescent="0.3">
      <c r="A21" s="12" t="s">
        <v>357</v>
      </c>
      <c r="B21" s="12" t="s">
        <v>12</v>
      </c>
      <c r="C21" s="12"/>
      <c r="D21" s="12" t="s">
        <v>12</v>
      </c>
      <c r="E21" s="12" t="s">
        <v>358</v>
      </c>
      <c r="F21" s="12" t="s">
        <v>359</v>
      </c>
      <c r="G21" s="12" t="s">
        <v>360</v>
      </c>
      <c r="H21" s="12" t="s">
        <v>40</v>
      </c>
      <c r="I21" s="12" t="s">
        <v>26</v>
      </c>
      <c r="J21" s="13" t="s">
        <v>354</v>
      </c>
      <c r="K21" s="14" t="s">
        <v>361</v>
      </c>
      <c r="L21" s="15">
        <v>1</v>
      </c>
      <c r="M21" s="15" t="s">
        <v>144</v>
      </c>
      <c r="N21" s="16">
        <v>44760</v>
      </c>
      <c r="O21" s="12" t="s">
        <v>362</v>
      </c>
      <c r="P21" s="14" t="s">
        <v>363</v>
      </c>
      <c r="Q21" s="17" t="s">
        <v>137</v>
      </c>
      <c r="R21" s="17" t="s">
        <v>146</v>
      </c>
    </row>
    <row r="22" spans="1:18" x14ac:dyDescent="0.3">
      <c r="A22" s="12" t="s">
        <v>370</v>
      </c>
      <c r="B22" s="12" t="s">
        <v>12</v>
      </c>
      <c r="C22" s="12"/>
      <c r="D22" s="12" t="s">
        <v>12</v>
      </c>
      <c r="E22" s="12" t="s">
        <v>371</v>
      </c>
      <c r="F22" s="12" t="s">
        <v>372</v>
      </c>
      <c r="G22" s="12" t="s">
        <v>373</v>
      </c>
      <c r="H22" s="12" t="s">
        <v>40</v>
      </c>
      <c r="I22" s="12" t="s">
        <v>26</v>
      </c>
      <c r="J22" s="13" t="s">
        <v>153</v>
      </c>
      <c r="K22" s="14" t="s">
        <v>374</v>
      </c>
      <c r="L22" s="15">
        <v>1</v>
      </c>
      <c r="M22" s="15" t="s">
        <v>144</v>
      </c>
      <c r="N22" s="16">
        <v>45313</v>
      </c>
      <c r="O22" s="12" t="s">
        <v>370</v>
      </c>
      <c r="P22" s="14" t="s">
        <v>375</v>
      </c>
      <c r="Q22" s="17" t="s">
        <v>137</v>
      </c>
      <c r="R22" s="17" t="s">
        <v>146</v>
      </c>
    </row>
    <row r="23" spans="1:18" x14ac:dyDescent="0.3">
      <c r="A23" s="12" t="s">
        <v>380</v>
      </c>
      <c r="B23" s="12" t="s">
        <v>12</v>
      </c>
      <c r="C23" s="12"/>
      <c r="D23" s="12" t="s">
        <v>12</v>
      </c>
      <c r="E23" s="12" t="s">
        <v>381</v>
      </c>
      <c r="F23" s="12" t="s">
        <v>382</v>
      </c>
      <c r="G23" s="12" t="s">
        <v>383</v>
      </c>
      <c r="H23" s="12" t="s">
        <v>40</v>
      </c>
      <c r="I23" s="12" t="s">
        <v>26</v>
      </c>
      <c r="J23" s="13" t="s">
        <v>384</v>
      </c>
      <c r="K23" s="14" t="s">
        <v>385</v>
      </c>
      <c r="L23" s="15">
        <v>3</v>
      </c>
      <c r="M23" s="15" t="s">
        <v>144</v>
      </c>
      <c r="N23" s="16">
        <v>45419</v>
      </c>
      <c r="O23" s="12" t="s">
        <v>380</v>
      </c>
      <c r="P23" s="14" t="s">
        <v>386</v>
      </c>
      <c r="Q23" s="17" t="s">
        <v>137</v>
      </c>
      <c r="R23" s="17" t="s">
        <v>146</v>
      </c>
    </row>
    <row r="24" spans="1:18" x14ac:dyDescent="0.3">
      <c r="A24" s="12" t="s">
        <v>387</v>
      </c>
      <c r="B24" s="12" t="s">
        <v>12</v>
      </c>
      <c r="C24" s="12"/>
      <c r="D24" s="12" t="s">
        <v>12</v>
      </c>
      <c r="E24" s="12" t="s">
        <v>388</v>
      </c>
      <c r="F24" s="12" t="s">
        <v>389</v>
      </c>
      <c r="G24" s="12" t="s">
        <v>383</v>
      </c>
      <c r="H24" s="12" t="s">
        <v>40</v>
      </c>
      <c r="I24" s="12" t="s">
        <v>26</v>
      </c>
      <c r="J24" s="13" t="s">
        <v>384</v>
      </c>
      <c r="K24" s="14" t="s">
        <v>390</v>
      </c>
      <c r="L24" s="15">
        <v>1</v>
      </c>
      <c r="M24" s="15" t="s">
        <v>144</v>
      </c>
      <c r="N24" s="16">
        <v>45260</v>
      </c>
      <c r="O24" s="12" t="s">
        <v>387</v>
      </c>
      <c r="P24" s="14" t="s">
        <v>391</v>
      </c>
      <c r="Q24" s="17" t="s">
        <v>137</v>
      </c>
      <c r="R24" s="17" t="s">
        <v>146</v>
      </c>
    </row>
    <row r="25" spans="1:18" x14ac:dyDescent="0.3">
      <c r="A25" s="12" t="s">
        <v>392</v>
      </c>
      <c r="B25" s="12" t="s">
        <v>12</v>
      </c>
      <c r="C25" s="12"/>
      <c r="D25" s="12" t="s">
        <v>12</v>
      </c>
      <c r="E25" s="12" t="s">
        <v>393</v>
      </c>
      <c r="F25" s="12" t="s">
        <v>394</v>
      </c>
      <c r="G25" s="12" t="s">
        <v>395</v>
      </c>
      <c r="H25" s="12" t="s">
        <v>46</v>
      </c>
      <c r="I25" s="12" t="s">
        <v>26</v>
      </c>
      <c r="J25" s="13" t="s">
        <v>396</v>
      </c>
      <c r="K25" s="14" t="s">
        <v>397</v>
      </c>
      <c r="L25" s="15">
        <v>1</v>
      </c>
      <c r="M25" s="15" t="s">
        <v>144</v>
      </c>
      <c r="N25" s="16">
        <v>45631</v>
      </c>
      <c r="O25" s="12" t="s">
        <v>398</v>
      </c>
      <c r="P25" s="14" t="s">
        <v>399</v>
      </c>
      <c r="Q25" s="17" t="s">
        <v>137</v>
      </c>
      <c r="R25" s="17" t="s">
        <v>146</v>
      </c>
    </row>
    <row r="26" spans="1:18" x14ac:dyDescent="0.3">
      <c r="A26" s="12" t="s">
        <v>400</v>
      </c>
      <c r="B26" s="12" t="s">
        <v>12</v>
      </c>
      <c r="C26" s="12"/>
      <c r="D26" s="12" t="s">
        <v>12</v>
      </c>
      <c r="E26" s="12" t="s">
        <v>401</v>
      </c>
      <c r="F26" s="12"/>
      <c r="G26" s="12" t="s">
        <v>395</v>
      </c>
      <c r="H26" s="12" t="s">
        <v>46</v>
      </c>
      <c r="I26" s="12" t="s">
        <v>26</v>
      </c>
      <c r="J26" s="13" t="s">
        <v>396</v>
      </c>
      <c r="K26" s="14" t="s">
        <v>402</v>
      </c>
      <c r="L26" s="15">
        <v>2</v>
      </c>
      <c r="M26" s="15" t="s">
        <v>144</v>
      </c>
      <c r="N26" s="16">
        <v>45225</v>
      </c>
      <c r="O26" s="12" t="s">
        <v>403</v>
      </c>
      <c r="P26" s="14" t="s">
        <v>404</v>
      </c>
      <c r="Q26" s="17" t="s">
        <v>137</v>
      </c>
      <c r="R26" s="17" t="s">
        <v>146</v>
      </c>
    </row>
    <row r="27" spans="1:18" x14ac:dyDescent="0.3">
      <c r="A27" s="12" t="s">
        <v>421</v>
      </c>
      <c r="B27" s="12" t="s">
        <v>12</v>
      </c>
      <c r="C27" s="12"/>
      <c r="D27" s="12" t="s">
        <v>12</v>
      </c>
      <c r="E27" s="12" t="s">
        <v>422</v>
      </c>
      <c r="F27" s="12" t="s">
        <v>188</v>
      </c>
      <c r="G27" s="12" t="s">
        <v>414</v>
      </c>
      <c r="H27" s="12" t="s">
        <v>46</v>
      </c>
      <c r="I27" s="12" t="s">
        <v>26</v>
      </c>
      <c r="J27" s="13" t="s">
        <v>415</v>
      </c>
      <c r="K27" s="14" t="s">
        <v>423</v>
      </c>
      <c r="L27" s="15">
        <v>1</v>
      </c>
      <c r="M27" s="15" t="s">
        <v>144</v>
      </c>
      <c r="N27" s="16">
        <v>46246</v>
      </c>
      <c r="O27" s="12" t="s">
        <v>424</v>
      </c>
      <c r="P27" s="14" t="s">
        <v>425</v>
      </c>
      <c r="Q27" s="17" t="s">
        <v>137</v>
      </c>
      <c r="R27" s="17" t="s">
        <v>146</v>
      </c>
    </row>
    <row r="28" spans="1:18" x14ac:dyDescent="0.3">
      <c r="A28" s="12" t="s">
        <v>430</v>
      </c>
      <c r="B28" s="12" t="s">
        <v>12</v>
      </c>
      <c r="C28" s="12"/>
      <c r="D28" s="12" t="s">
        <v>12</v>
      </c>
      <c r="E28" s="12" t="s">
        <v>431</v>
      </c>
      <c r="F28" s="12" t="s">
        <v>432</v>
      </c>
      <c r="G28" s="12" t="s">
        <v>414</v>
      </c>
      <c r="H28" s="12" t="s">
        <v>46</v>
      </c>
      <c r="I28" s="12" t="s">
        <v>26</v>
      </c>
      <c r="J28" s="13" t="s">
        <v>415</v>
      </c>
      <c r="K28" s="14" t="s">
        <v>433</v>
      </c>
      <c r="L28" s="15">
        <v>2</v>
      </c>
      <c r="M28" s="15" t="s">
        <v>144</v>
      </c>
      <c r="N28" s="16">
        <v>45820</v>
      </c>
      <c r="O28" s="12" t="s">
        <v>430</v>
      </c>
      <c r="P28" s="14" t="s">
        <v>434</v>
      </c>
      <c r="Q28" s="17" t="s">
        <v>137</v>
      </c>
      <c r="R28" s="17" t="s">
        <v>146</v>
      </c>
    </row>
    <row r="29" spans="1:18" x14ac:dyDescent="0.3">
      <c r="A29" s="12" t="s">
        <v>435</v>
      </c>
      <c r="B29" s="12" t="s">
        <v>12</v>
      </c>
      <c r="C29" s="12"/>
      <c r="D29" s="12" t="s">
        <v>12</v>
      </c>
      <c r="E29" s="12" t="s">
        <v>422</v>
      </c>
      <c r="F29" s="12" t="s">
        <v>436</v>
      </c>
      <c r="G29" s="12" t="s">
        <v>414</v>
      </c>
      <c r="H29" s="12" t="s">
        <v>46</v>
      </c>
      <c r="I29" s="12" t="s">
        <v>26</v>
      </c>
      <c r="J29" s="13" t="s">
        <v>415</v>
      </c>
      <c r="K29" s="14" t="s">
        <v>437</v>
      </c>
      <c r="L29" s="15">
        <v>1</v>
      </c>
      <c r="M29" s="15" t="s">
        <v>144</v>
      </c>
      <c r="N29" s="16">
        <v>45475</v>
      </c>
      <c r="O29" s="12" t="s">
        <v>435</v>
      </c>
      <c r="P29" s="14" t="s">
        <v>438</v>
      </c>
      <c r="Q29" s="17" t="s">
        <v>137</v>
      </c>
      <c r="R29" s="17" t="s">
        <v>146</v>
      </c>
    </row>
    <row r="30" spans="1:18" x14ac:dyDescent="0.3">
      <c r="A30" s="12" t="s">
        <v>445</v>
      </c>
      <c r="B30" s="12" t="s">
        <v>12</v>
      </c>
      <c r="C30" s="12"/>
      <c r="D30" s="12" t="s">
        <v>12</v>
      </c>
      <c r="E30" s="12" t="s">
        <v>446</v>
      </c>
      <c r="F30" s="12" t="s">
        <v>447</v>
      </c>
      <c r="G30" s="12" t="s">
        <v>448</v>
      </c>
      <c r="H30" s="12" t="s">
        <v>46</v>
      </c>
      <c r="I30" s="12" t="s">
        <v>26</v>
      </c>
      <c r="J30" s="13" t="s">
        <v>449</v>
      </c>
      <c r="K30" s="14" t="s">
        <v>450</v>
      </c>
      <c r="L30" s="15">
        <v>0</v>
      </c>
      <c r="M30" s="15" t="s">
        <v>144</v>
      </c>
      <c r="N30" s="16">
        <v>46125</v>
      </c>
      <c r="O30" s="12" t="s">
        <v>445</v>
      </c>
      <c r="P30" s="14" t="s">
        <v>451</v>
      </c>
      <c r="Q30" s="17" t="s">
        <v>137</v>
      </c>
      <c r="R30" s="17" t="s">
        <v>146</v>
      </c>
    </row>
    <row r="31" spans="1:18" x14ac:dyDescent="0.3">
      <c r="A31" s="12" t="s">
        <v>452</v>
      </c>
      <c r="B31" s="12" t="s">
        <v>12</v>
      </c>
      <c r="C31" s="12"/>
      <c r="D31" s="12" t="s">
        <v>12</v>
      </c>
      <c r="E31" s="12" t="s">
        <v>453</v>
      </c>
      <c r="F31" s="12" t="s">
        <v>454</v>
      </c>
      <c r="G31" s="12" t="s">
        <v>455</v>
      </c>
      <c r="H31" s="12" t="s">
        <v>46</v>
      </c>
      <c r="I31" s="12" t="s">
        <v>26</v>
      </c>
      <c r="J31" s="13" t="s">
        <v>456</v>
      </c>
      <c r="K31" s="14" t="s">
        <v>457</v>
      </c>
      <c r="L31" s="15">
        <v>1</v>
      </c>
      <c r="M31" s="15" t="s">
        <v>144</v>
      </c>
      <c r="N31" s="16">
        <v>45721</v>
      </c>
      <c r="O31" s="12" t="s">
        <v>458</v>
      </c>
      <c r="P31" s="14" t="s">
        <v>459</v>
      </c>
      <c r="Q31" s="17" t="s">
        <v>137</v>
      </c>
      <c r="R31" s="17" t="s">
        <v>146</v>
      </c>
    </row>
    <row r="32" spans="1:18" x14ac:dyDescent="0.3">
      <c r="A32" s="12" t="s">
        <v>460</v>
      </c>
      <c r="B32" s="12" t="s">
        <v>12</v>
      </c>
      <c r="C32" s="12"/>
      <c r="D32" s="12" t="s">
        <v>12</v>
      </c>
      <c r="E32" s="12" t="s">
        <v>461</v>
      </c>
      <c r="F32" s="12"/>
      <c r="G32" s="12" t="s">
        <v>462</v>
      </c>
      <c r="H32" s="12" t="s">
        <v>46</v>
      </c>
      <c r="I32" s="12" t="s">
        <v>26</v>
      </c>
      <c r="J32" s="13" t="s">
        <v>463</v>
      </c>
      <c r="K32" s="14" t="s">
        <v>464</v>
      </c>
      <c r="L32" s="15">
        <v>3</v>
      </c>
      <c r="M32" s="15" t="s">
        <v>144</v>
      </c>
      <c r="N32" s="16">
        <v>46230</v>
      </c>
      <c r="O32" s="12" t="s">
        <v>460</v>
      </c>
      <c r="P32" s="14" t="s">
        <v>465</v>
      </c>
      <c r="Q32" s="17" t="s">
        <v>137</v>
      </c>
      <c r="R32" s="17" t="s">
        <v>146</v>
      </c>
    </row>
    <row r="33" spans="1:18" x14ac:dyDescent="0.3">
      <c r="A33" s="12" t="s">
        <v>479</v>
      </c>
      <c r="B33" s="12" t="s">
        <v>12</v>
      </c>
      <c r="C33" s="12"/>
      <c r="D33" s="12" t="s">
        <v>12</v>
      </c>
      <c r="E33" s="12" t="s">
        <v>480</v>
      </c>
      <c r="F33" s="12" t="s">
        <v>481</v>
      </c>
      <c r="G33" s="12" t="s">
        <v>482</v>
      </c>
      <c r="H33" s="12" t="s">
        <v>46</v>
      </c>
      <c r="I33" s="12" t="s">
        <v>26</v>
      </c>
      <c r="J33" s="13" t="s">
        <v>483</v>
      </c>
      <c r="K33" s="14" t="s">
        <v>484</v>
      </c>
      <c r="L33" s="15">
        <v>1</v>
      </c>
      <c r="M33" s="15" t="s">
        <v>144</v>
      </c>
      <c r="N33" s="16">
        <v>44572</v>
      </c>
      <c r="O33" s="12" t="s">
        <v>485</v>
      </c>
      <c r="P33" s="14" t="s">
        <v>486</v>
      </c>
      <c r="Q33" s="17" t="s">
        <v>137</v>
      </c>
      <c r="R33" s="17" t="s">
        <v>146</v>
      </c>
    </row>
    <row r="34" spans="1:18" x14ac:dyDescent="0.3">
      <c r="A34" s="12" t="s">
        <v>487</v>
      </c>
      <c r="B34" s="12" t="s">
        <v>12</v>
      </c>
      <c r="C34" s="12"/>
      <c r="D34" s="12" t="s">
        <v>12</v>
      </c>
      <c r="E34" s="12" t="s">
        <v>488</v>
      </c>
      <c r="F34" s="12" t="s">
        <v>467</v>
      </c>
      <c r="G34" s="12" t="s">
        <v>489</v>
      </c>
      <c r="H34" s="12" t="s">
        <v>61</v>
      </c>
      <c r="I34" s="12" t="s">
        <v>26</v>
      </c>
      <c r="J34" s="13" t="s">
        <v>490</v>
      </c>
      <c r="K34" s="14" t="s">
        <v>491</v>
      </c>
      <c r="L34" s="15">
        <v>1</v>
      </c>
      <c r="M34" s="15" t="s">
        <v>144</v>
      </c>
      <c r="N34" s="16">
        <v>45751</v>
      </c>
      <c r="O34" s="12" t="s">
        <v>487</v>
      </c>
      <c r="P34" s="14" t="s">
        <v>492</v>
      </c>
      <c r="Q34" s="17" t="s">
        <v>137</v>
      </c>
      <c r="R34" s="17" t="s">
        <v>146</v>
      </c>
    </row>
    <row r="35" spans="1:18" x14ac:dyDescent="0.3">
      <c r="A35" s="12" t="s">
        <v>493</v>
      </c>
      <c r="B35" s="12" t="s">
        <v>12</v>
      </c>
      <c r="C35" s="12"/>
      <c r="D35" s="12" t="s">
        <v>12</v>
      </c>
      <c r="E35" s="12" t="s">
        <v>494</v>
      </c>
      <c r="F35" s="12"/>
      <c r="G35" s="12" t="s">
        <v>489</v>
      </c>
      <c r="H35" s="12" t="s">
        <v>61</v>
      </c>
      <c r="I35" s="12" t="s">
        <v>26</v>
      </c>
      <c r="J35" s="13" t="s">
        <v>490</v>
      </c>
      <c r="K35" s="14" t="s">
        <v>495</v>
      </c>
      <c r="L35" s="15">
        <v>0</v>
      </c>
      <c r="M35" s="15" t="s">
        <v>144</v>
      </c>
      <c r="N35" s="16">
        <v>45090</v>
      </c>
      <c r="O35" s="12" t="s">
        <v>496</v>
      </c>
      <c r="P35" s="14" t="s">
        <v>497</v>
      </c>
      <c r="Q35" s="17" t="s">
        <v>137</v>
      </c>
      <c r="R35" s="17" t="s">
        <v>146</v>
      </c>
    </row>
    <row r="36" spans="1:18" x14ac:dyDescent="0.3">
      <c r="A36" s="12" t="s">
        <v>502</v>
      </c>
      <c r="B36" s="12" t="s">
        <v>12</v>
      </c>
      <c r="C36" s="12"/>
      <c r="D36" s="12" t="s">
        <v>12</v>
      </c>
      <c r="E36" s="12" t="s">
        <v>503</v>
      </c>
      <c r="F36" s="12"/>
      <c r="G36" s="12" t="s">
        <v>504</v>
      </c>
      <c r="H36" s="12" t="s">
        <v>61</v>
      </c>
      <c r="I36" s="12" t="s">
        <v>26</v>
      </c>
      <c r="J36" s="13" t="s">
        <v>505</v>
      </c>
      <c r="K36" s="14" t="s">
        <v>506</v>
      </c>
      <c r="L36" s="15">
        <v>0</v>
      </c>
      <c r="M36" s="15" t="s">
        <v>144</v>
      </c>
      <c r="N36" s="16">
        <v>45464</v>
      </c>
      <c r="O36" s="12" t="s">
        <v>502</v>
      </c>
      <c r="P36" s="14" t="s">
        <v>507</v>
      </c>
      <c r="Q36" s="17" t="s">
        <v>137</v>
      </c>
      <c r="R36" s="17" t="s">
        <v>146</v>
      </c>
    </row>
    <row r="37" spans="1:18" x14ac:dyDescent="0.3">
      <c r="A37" s="12" t="s">
        <v>518</v>
      </c>
      <c r="B37" s="12" t="s">
        <v>12</v>
      </c>
      <c r="C37" s="12"/>
      <c r="D37" s="12" t="s">
        <v>12</v>
      </c>
      <c r="E37" s="12" t="s">
        <v>519</v>
      </c>
      <c r="F37" s="12" t="s">
        <v>520</v>
      </c>
      <c r="G37" s="12" t="s">
        <v>521</v>
      </c>
      <c r="H37" s="12" t="s">
        <v>38</v>
      </c>
      <c r="I37" s="12" t="s">
        <v>26</v>
      </c>
      <c r="J37" s="13" t="s">
        <v>522</v>
      </c>
      <c r="K37" s="14" t="s">
        <v>523</v>
      </c>
      <c r="L37" s="15">
        <v>1</v>
      </c>
      <c r="M37" s="15" t="s">
        <v>144</v>
      </c>
      <c r="N37" s="16">
        <v>44763</v>
      </c>
      <c r="O37" s="12" t="s">
        <v>518</v>
      </c>
      <c r="P37" s="14" t="s">
        <v>524</v>
      </c>
      <c r="Q37" s="17" t="s">
        <v>137</v>
      </c>
      <c r="R37" s="17" t="s">
        <v>146</v>
      </c>
    </row>
    <row r="38" spans="1:18" x14ac:dyDescent="0.3">
      <c r="A38" s="12" t="s">
        <v>529</v>
      </c>
      <c r="B38" s="12" t="s">
        <v>12</v>
      </c>
      <c r="C38" s="12"/>
      <c r="D38" s="12" t="s">
        <v>12</v>
      </c>
      <c r="E38" s="12" t="s">
        <v>530</v>
      </c>
      <c r="F38" s="12"/>
      <c r="G38" s="12" t="s">
        <v>521</v>
      </c>
      <c r="H38" s="12" t="s">
        <v>38</v>
      </c>
      <c r="I38" s="12" t="s">
        <v>26</v>
      </c>
      <c r="J38" s="13" t="s">
        <v>522</v>
      </c>
      <c r="K38" s="14" t="s">
        <v>531</v>
      </c>
      <c r="L38" s="15">
        <v>7</v>
      </c>
      <c r="M38" s="15" t="s">
        <v>144</v>
      </c>
      <c r="N38" s="16">
        <v>45005</v>
      </c>
      <c r="O38" s="12" t="s">
        <v>529</v>
      </c>
      <c r="P38" s="14" t="s">
        <v>532</v>
      </c>
      <c r="Q38" s="17" t="s">
        <v>137</v>
      </c>
      <c r="R38" s="17" t="s">
        <v>146</v>
      </c>
    </row>
    <row r="39" spans="1:18" x14ac:dyDescent="0.3">
      <c r="A39" s="12" t="s">
        <v>537</v>
      </c>
      <c r="B39" s="12" t="s">
        <v>12</v>
      </c>
      <c r="C39" s="12"/>
      <c r="D39" s="12" t="s">
        <v>12</v>
      </c>
      <c r="E39" s="12" t="s">
        <v>538</v>
      </c>
      <c r="F39" s="12" t="s">
        <v>516</v>
      </c>
      <c r="G39" s="12" t="s">
        <v>521</v>
      </c>
      <c r="H39" s="12" t="s">
        <v>38</v>
      </c>
      <c r="I39" s="12" t="s">
        <v>26</v>
      </c>
      <c r="J39" s="13" t="s">
        <v>522</v>
      </c>
      <c r="K39" s="14" t="s">
        <v>539</v>
      </c>
      <c r="L39" s="15">
        <v>6</v>
      </c>
      <c r="M39" s="15" t="s">
        <v>144</v>
      </c>
      <c r="N39" s="16">
        <v>45902</v>
      </c>
      <c r="O39" s="12" t="s">
        <v>537</v>
      </c>
      <c r="P39" s="14" t="s">
        <v>540</v>
      </c>
      <c r="Q39" s="17" t="s">
        <v>137</v>
      </c>
      <c r="R39" s="17" t="s">
        <v>146</v>
      </c>
    </row>
    <row r="40" spans="1:18" x14ac:dyDescent="0.3">
      <c r="A40" s="12" t="s">
        <v>567</v>
      </c>
      <c r="B40" s="12" t="s">
        <v>12</v>
      </c>
      <c r="C40" s="12"/>
      <c r="D40" s="12" t="s">
        <v>12</v>
      </c>
      <c r="E40" s="12" t="s">
        <v>568</v>
      </c>
      <c r="F40" s="12"/>
      <c r="G40" s="12" t="s">
        <v>569</v>
      </c>
      <c r="H40" s="12" t="s">
        <v>38</v>
      </c>
      <c r="I40" s="12" t="s">
        <v>26</v>
      </c>
      <c r="J40" s="13" t="s">
        <v>570</v>
      </c>
      <c r="K40" s="14" t="s">
        <v>571</v>
      </c>
      <c r="L40" s="15">
        <v>1</v>
      </c>
      <c r="M40" s="15" t="s">
        <v>144</v>
      </c>
      <c r="N40" s="16">
        <v>44733</v>
      </c>
      <c r="O40" s="12" t="s">
        <v>567</v>
      </c>
      <c r="P40" s="14" t="s">
        <v>572</v>
      </c>
      <c r="Q40" s="17" t="s">
        <v>137</v>
      </c>
      <c r="R40" s="17" t="s">
        <v>146</v>
      </c>
    </row>
    <row r="41" spans="1:18" x14ac:dyDescent="0.3">
      <c r="A41" s="12" t="s">
        <v>573</v>
      </c>
      <c r="B41" s="12" t="s">
        <v>12</v>
      </c>
      <c r="C41" s="12"/>
      <c r="D41" s="12" t="s">
        <v>12</v>
      </c>
      <c r="E41" s="12" t="s">
        <v>574</v>
      </c>
      <c r="F41" s="12" t="s">
        <v>520</v>
      </c>
      <c r="G41" s="12" t="s">
        <v>569</v>
      </c>
      <c r="H41" s="12" t="s">
        <v>38</v>
      </c>
      <c r="I41" s="12" t="s">
        <v>26</v>
      </c>
      <c r="J41" s="13" t="s">
        <v>570</v>
      </c>
      <c r="K41" s="14" t="s">
        <v>575</v>
      </c>
      <c r="L41" s="15">
        <v>1</v>
      </c>
      <c r="M41" s="15" t="s">
        <v>144</v>
      </c>
      <c r="N41" s="16">
        <v>45062</v>
      </c>
      <c r="O41" s="12" t="s">
        <v>573</v>
      </c>
      <c r="P41" s="14" t="s">
        <v>576</v>
      </c>
      <c r="Q41" s="17" t="s">
        <v>137</v>
      </c>
      <c r="R41" s="17" t="s">
        <v>146</v>
      </c>
    </row>
    <row r="42" spans="1:18" x14ac:dyDescent="0.3">
      <c r="A42" s="12" t="s">
        <v>577</v>
      </c>
      <c r="B42" s="12" t="s">
        <v>12</v>
      </c>
      <c r="C42" s="12"/>
      <c r="D42" s="12" t="s">
        <v>12</v>
      </c>
      <c r="E42" s="12" t="s">
        <v>578</v>
      </c>
      <c r="F42" s="12" t="s">
        <v>345</v>
      </c>
      <c r="G42" s="12" t="s">
        <v>569</v>
      </c>
      <c r="H42" s="12" t="s">
        <v>38</v>
      </c>
      <c r="I42" s="12" t="s">
        <v>26</v>
      </c>
      <c r="J42" s="13" t="s">
        <v>570</v>
      </c>
      <c r="K42" s="14" t="s">
        <v>579</v>
      </c>
      <c r="L42" s="15">
        <v>3</v>
      </c>
      <c r="M42" s="15" t="s">
        <v>144</v>
      </c>
      <c r="N42" s="16">
        <v>45820</v>
      </c>
      <c r="O42" s="12" t="s">
        <v>577</v>
      </c>
      <c r="P42" s="14" t="s">
        <v>580</v>
      </c>
      <c r="Q42" s="17" t="s">
        <v>137</v>
      </c>
      <c r="R42" s="17" t="s">
        <v>146</v>
      </c>
    </row>
    <row r="43" spans="1:18" x14ac:dyDescent="0.3">
      <c r="A43" s="12" t="s">
        <v>581</v>
      </c>
      <c r="B43" s="12" t="s">
        <v>12</v>
      </c>
      <c r="C43" s="12"/>
      <c r="D43" s="12" t="s">
        <v>12</v>
      </c>
      <c r="E43" s="12" t="s">
        <v>582</v>
      </c>
      <c r="F43" s="12" t="s">
        <v>583</v>
      </c>
      <c r="G43" s="12" t="s">
        <v>569</v>
      </c>
      <c r="H43" s="12" t="s">
        <v>38</v>
      </c>
      <c r="I43" s="12" t="s">
        <v>26</v>
      </c>
      <c r="J43" s="13" t="s">
        <v>570</v>
      </c>
      <c r="K43" s="14" t="s">
        <v>584</v>
      </c>
      <c r="L43" s="15">
        <v>1</v>
      </c>
      <c r="M43" s="15" t="s">
        <v>144</v>
      </c>
      <c r="N43" s="16">
        <v>46022</v>
      </c>
      <c r="O43" s="12" t="s">
        <v>581</v>
      </c>
      <c r="P43" s="14" t="s">
        <v>585</v>
      </c>
      <c r="Q43" s="17" t="s">
        <v>137</v>
      </c>
      <c r="R43" s="17" t="s">
        <v>146</v>
      </c>
    </row>
    <row r="44" spans="1:18" x14ac:dyDescent="0.3">
      <c r="A44" s="12" t="s">
        <v>581</v>
      </c>
      <c r="B44" s="12" t="s">
        <v>12</v>
      </c>
      <c r="C44" s="12"/>
      <c r="D44" s="12" t="s">
        <v>12</v>
      </c>
      <c r="E44" s="12" t="s">
        <v>586</v>
      </c>
      <c r="F44" s="12" t="s">
        <v>447</v>
      </c>
      <c r="G44" s="12" t="s">
        <v>569</v>
      </c>
      <c r="H44" s="12" t="s">
        <v>38</v>
      </c>
      <c r="I44" s="12" t="s">
        <v>26</v>
      </c>
      <c r="J44" s="13" t="s">
        <v>570</v>
      </c>
      <c r="K44" s="14" t="s">
        <v>584</v>
      </c>
      <c r="L44" s="15">
        <v>9</v>
      </c>
      <c r="M44" s="15" t="s">
        <v>144</v>
      </c>
      <c r="N44" s="16">
        <v>46022</v>
      </c>
      <c r="O44" s="12" t="s">
        <v>581</v>
      </c>
      <c r="P44" s="14" t="s">
        <v>585</v>
      </c>
      <c r="Q44" s="17" t="s">
        <v>137</v>
      </c>
      <c r="R44" s="17" t="s">
        <v>146</v>
      </c>
    </row>
    <row r="45" spans="1:18" x14ac:dyDescent="0.3">
      <c r="A45" s="12" t="s">
        <v>593</v>
      </c>
      <c r="B45" s="12" t="s">
        <v>12</v>
      </c>
      <c r="C45" s="12" t="s">
        <v>14</v>
      </c>
      <c r="D45" s="12" t="s">
        <v>180</v>
      </c>
      <c r="E45" s="12" t="s">
        <v>594</v>
      </c>
      <c r="F45" s="12" t="s">
        <v>595</v>
      </c>
      <c r="G45" s="12" t="s">
        <v>569</v>
      </c>
      <c r="H45" s="12" t="s">
        <v>38</v>
      </c>
      <c r="I45" s="12" t="s">
        <v>26</v>
      </c>
      <c r="J45" s="13" t="s">
        <v>596</v>
      </c>
      <c r="K45" s="14" t="s">
        <v>597</v>
      </c>
      <c r="L45" s="15">
        <v>4</v>
      </c>
      <c r="M45" s="15" t="s">
        <v>144</v>
      </c>
      <c r="N45" s="16">
        <v>46161</v>
      </c>
      <c r="O45" s="12" t="s">
        <v>593</v>
      </c>
      <c r="P45" s="14" t="s">
        <v>598</v>
      </c>
      <c r="Q45" s="17" t="s">
        <v>137</v>
      </c>
      <c r="R45" s="17" t="s">
        <v>146</v>
      </c>
    </row>
    <row r="46" spans="1:18" x14ac:dyDescent="0.3">
      <c r="A46" s="12" t="s">
        <v>599</v>
      </c>
      <c r="B46" s="12" t="s">
        <v>12</v>
      </c>
      <c r="C46" s="12"/>
      <c r="D46" s="12" t="s">
        <v>12</v>
      </c>
      <c r="E46" s="12" t="s">
        <v>574</v>
      </c>
      <c r="F46" s="12" t="s">
        <v>520</v>
      </c>
      <c r="G46" s="12" t="s">
        <v>569</v>
      </c>
      <c r="H46" s="12" t="s">
        <v>38</v>
      </c>
      <c r="I46" s="12" t="s">
        <v>26</v>
      </c>
      <c r="J46" s="13" t="s">
        <v>570</v>
      </c>
      <c r="K46" s="14" t="s">
        <v>600</v>
      </c>
      <c r="L46" s="15">
        <v>1</v>
      </c>
      <c r="M46" s="15" t="s">
        <v>144</v>
      </c>
      <c r="N46" s="16">
        <v>45706</v>
      </c>
      <c r="O46" s="12" t="s">
        <v>599</v>
      </c>
      <c r="P46" s="14" t="s">
        <v>601</v>
      </c>
      <c r="Q46" s="17" t="s">
        <v>137</v>
      </c>
      <c r="R46" s="17" t="s">
        <v>146</v>
      </c>
    </row>
    <row r="47" spans="1:18" x14ac:dyDescent="0.3">
      <c r="A47" s="12" t="s">
        <v>602</v>
      </c>
      <c r="B47" s="12" t="s">
        <v>14</v>
      </c>
      <c r="C47" s="12" t="s">
        <v>12</v>
      </c>
      <c r="D47" s="12" t="s">
        <v>180</v>
      </c>
      <c r="E47" s="12" t="s">
        <v>594</v>
      </c>
      <c r="F47" s="12" t="s">
        <v>595</v>
      </c>
      <c r="G47" s="12" t="s">
        <v>569</v>
      </c>
      <c r="H47" s="12" t="s">
        <v>38</v>
      </c>
      <c r="I47" s="12" t="s">
        <v>26</v>
      </c>
      <c r="J47" s="13" t="s">
        <v>596</v>
      </c>
      <c r="K47" s="14" t="s">
        <v>597</v>
      </c>
      <c r="L47" s="15">
        <v>4</v>
      </c>
      <c r="M47" s="15" t="s">
        <v>144</v>
      </c>
      <c r="N47" s="16">
        <v>46148</v>
      </c>
      <c r="O47" s="12" t="s">
        <v>602</v>
      </c>
      <c r="P47" s="14" t="s">
        <v>603</v>
      </c>
      <c r="Q47" s="17" t="s">
        <v>137</v>
      </c>
      <c r="R47" s="17" t="s">
        <v>146</v>
      </c>
    </row>
    <row r="48" spans="1:18" x14ac:dyDescent="0.3">
      <c r="A48" s="12" t="s">
        <v>604</v>
      </c>
      <c r="B48" s="12" t="s">
        <v>12</v>
      </c>
      <c r="C48" s="12"/>
      <c r="D48" s="12" t="s">
        <v>12</v>
      </c>
      <c r="E48" s="12" t="s">
        <v>605</v>
      </c>
      <c r="F48" s="12"/>
      <c r="G48" s="12" t="s">
        <v>569</v>
      </c>
      <c r="H48" s="12" t="s">
        <v>38</v>
      </c>
      <c r="I48" s="12" t="s">
        <v>26</v>
      </c>
      <c r="J48" s="13" t="s">
        <v>596</v>
      </c>
      <c r="K48" s="14" t="s">
        <v>606</v>
      </c>
      <c r="L48" s="15">
        <v>0</v>
      </c>
      <c r="M48" s="15" t="s">
        <v>144</v>
      </c>
      <c r="N48" s="16">
        <v>45813</v>
      </c>
      <c r="O48" s="12" t="s">
        <v>604</v>
      </c>
      <c r="P48" s="14" t="s">
        <v>607</v>
      </c>
      <c r="Q48" s="17" t="s">
        <v>137</v>
      </c>
      <c r="R48" s="17" t="s">
        <v>146</v>
      </c>
    </row>
    <row r="49" spans="1:18" x14ac:dyDescent="0.3">
      <c r="A49" s="12" t="s">
        <v>620</v>
      </c>
      <c r="B49" s="12" t="s">
        <v>12</v>
      </c>
      <c r="C49" s="12"/>
      <c r="D49" s="12" t="s">
        <v>12</v>
      </c>
      <c r="E49" s="12" t="s">
        <v>621</v>
      </c>
      <c r="F49" s="12"/>
      <c r="G49" s="12" t="s">
        <v>569</v>
      </c>
      <c r="H49" s="12" t="s">
        <v>38</v>
      </c>
      <c r="I49" s="12" t="s">
        <v>26</v>
      </c>
      <c r="J49" s="13" t="s">
        <v>570</v>
      </c>
      <c r="K49" s="14" t="s">
        <v>622</v>
      </c>
      <c r="L49" s="15">
        <v>8</v>
      </c>
      <c r="M49" s="15" t="s">
        <v>144</v>
      </c>
      <c r="N49" s="16">
        <v>44796</v>
      </c>
      <c r="O49" s="12" t="s">
        <v>620</v>
      </c>
      <c r="P49" s="14" t="s">
        <v>623</v>
      </c>
      <c r="Q49" s="17" t="s">
        <v>137</v>
      </c>
      <c r="R49" s="17" t="s">
        <v>146</v>
      </c>
    </row>
    <row r="50" spans="1:18" x14ac:dyDescent="0.3">
      <c r="A50" s="12" t="s">
        <v>624</v>
      </c>
      <c r="B50" s="12" t="s">
        <v>10</v>
      </c>
      <c r="C50" s="12" t="s">
        <v>180</v>
      </c>
      <c r="D50" s="12" t="s">
        <v>283</v>
      </c>
      <c r="E50" s="12" t="s">
        <v>625</v>
      </c>
      <c r="F50" s="12" t="s">
        <v>626</v>
      </c>
      <c r="G50" s="12" t="s">
        <v>569</v>
      </c>
      <c r="H50" s="12" t="s">
        <v>38</v>
      </c>
      <c r="I50" s="12" t="s">
        <v>26</v>
      </c>
      <c r="J50" s="13" t="s">
        <v>570</v>
      </c>
      <c r="K50" s="14" t="s">
        <v>627</v>
      </c>
      <c r="L50" s="15">
        <v>1</v>
      </c>
      <c r="M50" s="15" t="s">
        <v>144</v>
      </c>
      <c r="N50" s="16">
        <v>45911</v>
      </c>
      <c r="O50" s="12" t="s">
        <v>624</v>
      </c>
      <c r="P50" s="14" t="s">
        <v>628</v>
      </c>
      <c r="Q50" s="17" t="s">
        <v>137</v>
      </c>
      <c r="R50" s="17" t="s">
        <v>146</v>
      </c>
    </row>
    <row r="51" spans="1:18" x14ac:dyDescent="0.3">
      <c r="A51" s="12" t="s">
        <v>629</v>
      </c>
      <c r="B51" s="12" t="s">
        <v>12</v>
      </c>
      <c r="C51" s="12"/>
      <c r="D51" s="12" t="s">
        <v>12</v>
      </c>
      <c r="E51" s="12" t="s">
        <v>630</v>
      </c>
      <c r="F51" s="12" t="s">
        <v>631</v>
      </c>
      <c r="G51" s="12" t="s">
        <v>569</v>
      </c>
      <c r="H51" s="12" t="s">
        <v>38</v>
      </c>
      <c r="I51" s="12" t="s">
        <v>26</v>
      </c>
      <c r="J51" s="13" t="s">
        <v>570</v>
      </c>
      <c r="K51" s="14" t="s">
        <v>632</v>
      </c>
      <c r="L51" s="15">
        <v>1</v>
      </c>
      <c r="M51" s="15" t="s">
        <v>144</v>
      </c>
      <c r="N51" s="16">
        <v>45754</v>
      </c>
      <c r="O51" s="12" t="s">
        <v>629</v>
      </c>
      <c r="P51" s="14" t="s">
        <v>633</v>
      </c>
      <c r="Q51" s="17" t="s">
        <v>137</v>
      </c>
      <c r="R51" s="17" t="s">
        <v>146</v>
      </c>
    </row>
    <row r="52" spans="1:18" x14ac:dyDescent="0.3">
      <c r="A52" s="12" t="s">
        <v>634</v>
      </c>
      <c r="B52" s="12" t="s">
        <v>12</v>
      </c>
      <c r="C52" s="12"/>
      <c r="D52" s="12" t="s">
        <v>12</v>
      </c>
      <c r="E52" s="12" t="s">
        <v>635</v>
      </c>
      <c r="F52" s="12"/>
      <c r="G52" s="12" t="s">
        <v>569</v>
      </c>
      <c r="H52" s="12" t="s">
        <v>38</v>
      </c>
      <c r="I52" s="12" t="s">
        <v>26</v>
      </c>
      <c r="J52" s="13" t="s">
        <v>570</v>
      </c>
      <c r="K52" s="14" t="s">
        <v>636</v>
      </c>
      <c r="L52" s="15">
        <v>1</v>
      </c>
      <c r="M52" s="15" t="s">
        <v>144</v>
      </c>
      <c r="N52" s="16">
        <v>45848</v>
      </c>
      <c r="O52" s="12" t="s">
        <v>634</v>
      </c>
      <c r="P52" s="14" t="s">
        <v>637</v>
      </c>
      <c r="Q52" s="17" t="s">
        <v>137</v>
      </c>
      <c r="R52" s="17" t="s">
        <v>146</v>
      </c>
    </row>
    <row r="53" spans="1:18" x14ac:dyDescent="0.3">
      <c r="A53" s="12" t="s">
        <v>638</v>
      </c>
      <c r="B53" s="12" t="s">
        <v>12</v>
      </c>
      <c r="C53" s="12"/>
      <c r="D53" s="12" t="s">
        <v>12</v>
      </c>
      <c r="E53" s="12" t="s">
        <v>594</v>
      </c>
      <c r="F53" s="12" t="s">
        <v>595</v>
      </c>
      <c r="G53" s="12" t="s">
        <v>569</v>
      </c>
      <c r="H53" s="12" t="s">
        <v>38</v>
      </c>
      <c r="I53" s="12" t="s">
        <v>26</v>
      </c>
      <c r="J53" s="13" t="s">
        <v>596</v>
      </c>
      <c r="K53" s="14" t="s">
        <v>639</v>
      </c>
      <c r="L53" s="15">
        <v>3</v>
      </c>
      <c r="M53" s="15" t="s">
        <v>144</v>
      </c>
      <c r="N53" s="16">
        <v>46251</v>
      </c>
      <c r="O53" s="12" t="s">
        <v>640</v>
      </c>
      <c r="P53" s="14" t="s">
        <v>641</v>
      </c>
      <c r="Q53" s="17" t="s">
        <v>137</v>
      </c>
      <c r="R53" s="17" t="s">
        <v>146</v>
      </c>
    </row>
    <row r="54" spans="1:18" x14ac:dyDescent="0.3">
      <c r="A54" s="12" t="s">
        <v>660</v>
      </c>
      <c r="B54" s="12" t="s">
        <v>12</v>
      </c>
      <c r="C54" s="12"/>
      <c r="D54" s="12" t="s">
        <v>12</v>
      </c>
      <c r="E54" s="12" t="s">
        <v>661</v>
      </c>
      <c r="F54" s="12"/>
      <c r="G54" s="12" t="s">
        <v>569</v>
      </c>
      <c r="H54" s="12" t="s">
        <v>38</v>
      </c>
      <c r="I54" s="12" t="s">
        <v>26</v>
      </c>
      <c r="J54" s="13" t="s">
        <v>596</v>
      </c>
      <c r="K54" s="14" t="s">
        <v>662</v>
      </c>
      <c r="L54" s="15">
        <v>2</v>
      </c>
      <c r="M54" s="15" t="s">
        <v>144</v>
      </c>
      <c r="N54" s="16">
        <v>44726</v>
      </c>
      <c r="O54" s="12" t="s">
        <v>660</v>
      </c>
      <c r="P54" s="14" t="s">
        <v>663</v>
      </c>
      <c r="Q54" s="17" t="s">
        <v>137</v>
      </c>
      <c r="R54" s="17" t="s">
        <v>146</v>
      </c>
    </row>
    <row r="55" spans="1:18" x14ac:dyDescent="0.3">
      <c r="A55" s="12" t="s">
        <v>664</v>
      </c>
      <c r="B55" s="12" t="s">
        <v>12</v>
      </c>
      <c r="C55" s="12"/>
      <c r="D55" s="12" t="s">
        <v>12</v>
      </c>
      <c r="E55" s="12" t="s">
        <v>665</v>
      </c>
      <c r="F55" s="12"/>
      <c r="G55" s="12" t="s">
        <v>569</v>
      </c>
      <c r="H55" s="12" t="s">
        <v>38</v>
      </c>
      <c r="I55" s="12" t="s">
        <v>26</v>
      </c>
      <c r="J55" s="13" t="s">
        <v>570</v>
      </c>
      <c r="K55" s="14" t="s">
        <v>666</v>
      </c>
      <c r="L55" s="15">
        <v>1</v>
      </c>
      <c r="M55" s="15" t="s">
        <v>144</v>
      </c>
      <c r="N55" s="16">
        <v>44578</v>
      </c>
      <c r="O55" s="12" t="s">
        <v>664</v>
      </c>
      <c r="P55" s="14" t="s">
        <v>667</v>
      </c>
      <c r="Q55" s="17" t="s">
        <v>137</v>
      </c>
      <c r="R55" s="17" t="s">
        <v>146</v>
      </c>
    </row>
    <row r="56" spans="1:18" x14ac:dyDescent="0.3">
      <c r="A56" s="12" t="s">
        <v>668</v>
      </c>
      <c r="B56" s="12" t="s">
        <v>12</v>
      </c>
      <c r="C56" s="12"/>
      <c r="D56" s="12" t="s">
        <v>12</v>
      </c>
      <c r="E56" s="12" t="s">
        <v>669</v>
      </c>
      <c r="F56" s="12" t="s">
        <v>164</v>
      </c>
      <c r="G56" s="12" t="s">
        <v>670</v>
      </c>
      <c r="H56" s="12" t="s">
        <v>38</v>
      </c>
      <c r="I56" s="12" t="s">
        <v>26</v>
      </c>
      <c r="J56" s="13" t="s">
        <v>671</v>
      </c>
      <c r="K56" s="14" t="s">
        <v>672</v>
      </c>
      <c r="L56" s="15">
        <v>1</v>
      </c>
      <c r="M56" s="15" t="s">
        <v>144</v>
      </c>
      <c r="N56" s="16">
        <v>46191</v>
      </c>
      <c r="O56" s="12" t="s">
        <v>668</v>
      </c>
      <c r="P56" s="14" t="s">
        <v>673</v>
      </c>
      <c r="Q56" s="17" t="s">
        <v>137</v>
      </c>
      <c r="R56" s="17" t="s">
        <v>146</v>
      </c>
    </row>
    <row r="57" spans="1:18" x14ac:dyDescent="0.3">
      <c r="A57" s="12" t="s">
        <v>676</v>
      </c>
      <c r="B57" s="12" t="s">
        <v>12</v>
      </c>
      <c r="C57" s="12"/>
      <c r="D57" s="12" t="s">
        <v>12</v>
      </c>
      <c r="E57" s="12" t="s">
        <v>677</v>
      </c>
      <c r="F57" s="12"/>
      <c r="G57" s="12" t="s">
        <v>670</v>
      </c>
      <c r="H57" s="12" t="s">
        <v>38</v>
      </c>
      <c r="I57" s="12" t="s">
        <v>26</v>
      </c>
      <c r="J57" s="13" t="s">
        <v>678</v>
      </c>
      <c r="K57" s="14" t="s">
        <v>679</v>
      </c>
      <c r="L57" s="15">
        <v>2</v>
      </c>
      <c r="M57" s="15" t="s">
        <v>144</v>
      </c>
      <c r="N57" s="16">
        <v>45719</v>
      </c>
      <c r="O57" s="12" t="s">
        <v>680</v>
      </c>
      <c r="P57" s="14" t="s">
        <v>681</v>
      </c>
      <c r="Q57" s="17" t="s">
        <v>137</v>
      </c>
      <c r="R57" s="17" t="s">
        <v>146</v>
      </c>
    </row>
    <row r="58" spans="1:18" x14ac:dyDescent="0.3">
      <c r="A58" s="12" t="s">
        <v>685</v>
      </c>
      <c r="B58" s="12" t="s">
        <v>12</v>
      </c>
      <c r="C58" s="12"/>
      <c r="D58" s="12" t="s">
        <v>12</v>
      </c>
      <c r="E58" s="12" t="s">
        <v>686</v>
      </c>
      <c r="F58" s="12" t="s">
        <v>359</v>
      </c>
      <c r="G58" s="12" t="s">
        <v>670</v>
      </c>
      <c r="H58" s="12" t="s">
        <v>38</v>
      </c>
      <c r="I58" s="12" t="s">
        <v>26</v>
      </c>
      <c r="J58" s="13" t="s">
        <v>678</v>
      </c>
      <c r="K58" s="14" t="s">
        <v>687</v>
      </c>
      <c r="L58" s="15">
        <v>3</v>
      </c>
      <c r="M58" s="15" t="s">
        <v>144</v>
      </c>
      <c r="N58" s="16">
        <v>45105</v>
      </c>
      <c r="O58" s="12" t="s">
        <v>685</v>
      </c>
      <c r="P58" s="14" t="s">
        <v>688</v>
      </c>
      <c r="Q58" s="17" t="s">
        <v>137</v>
      </c>
      <c r="R58" s="17" t="s">
        <v>146</v>
      </c>
    </row>
    <row r="59" spans="1:18" x14ac:dyDescent="0.3">
      <c r="A59" s="12" t="s">
        <v>689</v>
      </c>
      <c r="B59" s="12" t="s">
        <v>12</v>
      </c>
      <c r="C59" s="12"/>
      <c r="D59" s="12" t="s">
        <v>12</v>
      </c>
      <c r="E59" s="12" t="s">
        <v>690</v>
      </c>
      <c r="F59" s="12"/>
      <c r="G59" s="12" t="s">
        <v>670</v>
      </c>
      <c r="H59" s="12" t="s">
        <v>38</v>
      </c>
      <c r="I59" s="12" t="s">
        <v>26</v>
      </c>
      <c r="J59" s="13" t="s">
        <v>678</v>
      </c>
      <c r="K59" s="14" t="s">
        <v>691</v>
      </c>
      <c r="L59" s="15">
        <v>1</v>
      </c>
      <c r="M59" s="15" t="s">
        <v>144</v>
      </c>
      <c r="N59" s="16">
        <v>45000</v>
      </c>
      <c r="O59" s="12" t="s">
        <v>689</v>
      </c>
      <c r="P59" s="14" t="s">
        <v>692</v>
      </c>
      <c r="Q59" s="17" t="s">
        <v>137</v>
      </c>
      <c r="R59" s="17" t="s">
        <v>146</v>
      </c>
    </row>
    <row r="60" spans="1:18" x14ac:dyDescent="0.3">
      <c r="A60" s="12" t="s">
        <v>705</v>
      </c>
      <c r="B60" s="12" t="s">
        <v>12</v>
      </c>
      <c r="C60" s="12"/>
      <c r="D60" s="12" t="s">
        <v>12</v>
      </c>
      <c r="E60" s="12" t="s">
        <v>706</v>
      </c>
      <c r="F60" s="12"/>
      <c r="G60" s="12" t="s">
        <v>670</v>
      </c>
      <c r="H60" s="12" t="s">
        <v>38</v>
      </c>
      <c r="I60" s="12" t="s">
        <v>26</v>
      </c>
      <c r="J60" s="13" t="s">
        <v>678</v>
      </c>
      <c r="K60" s="14" t="s">
        <v>707</v>
      </c>
      <c r="L60" s="15">
        <v>3</v>
      </c>
      <c r="M60" s="15" t="s">
        <v>144</v>
      </c>
      <c r="N60" s="16">
        <v>45412</v>
      </c>
      <c r="O60" s="12" t="s">
        <v>708</v>
      </c>
      <c r="P60" s="14" t="s">
        <v>709</v>
      </c>
      <c r="Q60" s="17" t="s">
        <v>137</v>
      </c>
      <c r="R60" s="17" t="s">
        <v>146</v>
      </c>
    </row>
    <row r="61" spans="1:18" x14ac:dyDescent="0.3">
      <c r="A61" s="12" t="s">
        <v>577</v>
      </c>
      <c r="B61" s="12" t="s">
        <v>12</v>
      </c>
      <c r="C61" s="12"/>
      <c r="D61" s="12" t="s">
        <v>12</v>
      </c>
      <c r="E61" s="12" t="s">
        <v>711</v>
      </c>
      <c r="F61" s="12" t="s">
        <v>712</v>
      </c>
      <c r="G61" s="12" t="s">
        <v>713</v>
      </c>
      <c r="H61" s="12" t="s">
        <v>38</v>
      </c>
      <c r="I61" s="12" t="s">
        <v>26</v>
      </c>
      <c r="J61" s="13" t="s">
        <v>714</v>
      </c>
      <c r="K61" s="14" t="s">
        <v>579</v>
      </c>
      <c r="L61" s="15">
        <v>4</v>
      </c>
      <c r="M61" s="15" t="s">
        <v>144</v>
      </c>
      <c r="N61" s="16">
        <v>45820</v>
      </c>
      <c r="O61" s="12" t="s">
        <v>577</v>
      </c>
      <c r="P61" s="14" t="s">
        <v>580</v>
      </c>
      <c r="Q61" s="17" t="s">
        <v>137</v>
      </c>
      <c r="R61" s="17" t="s">
        <v>146</v>
      </c>
    </row>
    <row r="62" spans="1:18" x14ac:dyDescent="0.3">
      <c r="A62" s="12" t="s">
        <v>726</v>
      </c>
      <c r="B62" s="12" t="s">
        <v>12</v>
      </c>
      <c r="C62" s="12"/>
      <c r="D62" s="12" t="s">
        <v>12</v>
      </c>
      <c r="E62" s="12" t="s">
        <v>727</v>
      </c>
      <c r="F62" s="12" t="s">
        <v>547</v>
      </c>
      <c r="G62" s="12" t="s">
        <v>722</v>
      </c>
      <c r="H62" s="12" t="s">
        <v>38</v>
      </c>
      <c r="I62" s="12" t="s">
        <v>26</v>
      </c>
      <c r="J62" s="13" t="s">
        <v>723</v>
      </c>
      <c r="K62" s="14" t="s">
        <v>728</v>
      </c>
      <c r="L62" s="15">
        <v>1</v>
      </c>
      <c r="M62" s="15" t="s">
        <v>144</v>
      </c>
      <c r="N62" s="16">
        <v>45691</v>
      </c>
      <c r="O62" s="12" t="s">
        <v>726</v>
      </c>
      <c r="P62" s="14" t="s">
        <v>729</v>
      </c>
      <c r="Q62" s="17" t="s">
        <v>137</v>
      </c>
      <c r="R62" s="17" t="s">
        <v>146</v>
      </c>
    </row>
    <row r="63" spans="1:18" x14ac:dyDescent="0.3">
      <c r="A63" s="12" t="s">
        <v>730</v>
      </c>
      <c r="B63" s="12" t="s">
        <v>12</v>
      </c>
      <c r="C63" s="12"/>
      <c r="D63" s="12" t="s">
        <v>12</v>
      </c>
      <c r="E63" s="12" t="s">
        <v>731</v>
      </c>
      <c r="F63" s="12" t="s">
        <v>345</v>
      </c>
      <c r="G63" s="12" t="s">
        <v>722</v>
      </c>
      <c r="H63" s="12" t="s">
        <v>38</v>
      </c>
      <c r="I63" s="12" t="s">
        <v>26</v>
      </c>
      <c r="J63" s="13" t="s">
        <v>723</v>
      </c>
      <c r="K63" s="14" t="s">
        <v>732</v>
      </c>
      <c r="L63" s="15">
        <v>1</v>
      </c>
      <c r="M63" s="15" t="s">
        <v>144</v>
      </c>
      <c r="N63" s="16">
        <v>44796</v>
      </c>
      <c r="O63" s="12" t="s">
        <v>733</v>
      </c>
      <c r="P63" s="14" t="s">
        <v>734</v>
      </c>
      <c r="Q63" s="17" t="s">
        <v>137</v>
      </c>
      <c r="R63" s="17" t="s">
        <v>146</v>
      </c>
    </row>
    <row r="64" spans="1:18" x14ac:dyDescent="0.3">
      <c r="A64" s="12" t="s">
        <v>735</v>
      </c>
      <c r="B64" s="12" t="s">
        <v>12</v>
      </c>
      <c r="C64" s="12"/>
      <c r="D64" s="12" t="s">
        <v>12</v>
      </c>
      <c r="E64" s="12" t="s">
        <v>736</v>
      </c>
      <c r="F64" s="12" t="s">
        <v>454</v>
      </c>
      <c r="G64" s="12" t="s">
        <v>722</v>
      </c>
      <c r="H64" s="12" t="s">
        <v>38</v>
      </c>
      <c r="I64" s="12" t="s">
        <v>26</v>
      </c>
      <c r="J64" s="13" t="s">
        <v>723</v>
      </c>
      <c r="K64" s="14" t="s">
        <v>737</v>
      </c>
      <c r="L64" s="15">
        <v>1</v>
      </c>
      <c r="M64" s="15" t="s">
        <v>144</v>
      </c>
      <c r="N64" s="16">
        <v>45924</v>
      </c>
      <c r="O64" s="12" t="s">
        <v>735</v>
      </c>
      <c r="P64" s="14" t="s">
        <v>738</v>
      </c>
      <c r="Q64" s="17" t="s">
        <v>137</v>
      </c>
      <c r="R64" s="17" t="s">
        <v>146</v>
      </c>
    </row>
    <row r="65" spans="1:18" x14ac:dyDescent="0.3">
      <c r="A65" s="12" t="s">
        <v>754</v>
      </c>
      <c r="B65" s="12" t="s">
        <v>12</v>
      </c>
      <c r="C65" s="12" t="s">
        <v>14</v>
      </c>
      <c r="D65" s="12" t="s">
        <v>180</v>
      </c>
      <c r="E65" s="12" t="s">
        <v>755</v>
      </c>
      <c r="F65" s="12"/>
      <c r="G65" s="12" t="s">
        <v>749</v>
      </c>
      <c r="H65" s="12" t="s">
        <v>38</v>
      </c>
      <c r="I65" s="12" t="s">
        <v>26</v>
      </c>
      <c r="J65" s="13" t="s">
        <v>756</v>
      </c>
      <c r="K65" s="14" t="s">
        <v>757</v>
      </c>
      <c r="L65" s="15">
        <v>3</v>
      </c>
      <c r="M65" s="15" t="s">
        <v>144</v>
      </c>
      <c r="N65" s="16">
        <v>45622</v>
      </c>
      <c r="O65" s="12" t="s">
        <v>754</v>
      </c>
      <c r="P65" s="14" t="s">
        <v>758</v>
      </c>
      <c r="Q65" s="17" t="s">
        <v>137</v>
      </c>
      <c r="R65" s="17" t="s">
        <v>146</v>
      </c>
    </row>
    <row r="66" spans="1:18" x14ac:dyDescent="0.3">
      <c r="A66" s="12" t="s">
        <v>759</v>
      </c>
      <c r="B66" s="12" t="s">
        <v>12</v>
      </c>
      <c r="C66" s="12"/>
      <c r="D66" s="12" t="s">
        <v>12</v>
      </c>
      <c r="E66" s="12" t="s">
        <v>760</v>
      </c>
      <c r="F66" s="12"/>
      <c r="G66" s="12" t="s">
        <v>749</v>
      </c>
      <c r="H66" s="12" t="s">
        <v>38</v>
      </c>
      <c r="I66" s="12" t="s">
        <v>26</v>
      </c>
      <c r="J66" s="13" t="s">
        <v>756</v>
      </c>
      <c r="K66" s="14" t="s">
        <v>761</v>
      </c>
      <c r="L66" s="15">
        <v>0</v>
      </c>
      <c r="M66" s="15" t="s">
        <v>144</v>
      </c>
      <c r="N66" s="16">
        <v>45572</v>
      </c>
      <c r="O66" s="12" t="s">
        <v>759</v>
      </c>
      <c r="P66" s="14" t="s">
        <v>762</v>
      </c>
      <c r="Q66" s="17" t="s">
        <v>137</v>
      </c>
      <c r="R66" s="17" t="s">
        <v>146</v>
      </c>
    </row>
    <row r="67" spans="1:18" x14ac:dyDescent="0.3">
      <c r="A67" s="12" t="s">
        <v>763</v>
      </c>
      <c r="B67" s="12" t="s">
        <v>12</v>
      </c>
      <c r="C67" s="12"/>
      <c r="D67" s="12" t="s">
        <v>12</v>
      </c>
      <c r="E67" s="12" t="s">
        <v>764</v>
      </c>
      <c r="F67" s="12" t="s">
        <v>218</v>
      </c>
      <c r="G67" s="12" t="s">
        <v>749</v>
      </c>
      <c r="H67" s="12" t="s">
        <v>38</v>
      </c>
      <c r="I67" s="12" t="s">
        <v>26</v>
      </c>
      <c r="J67" s="13" t="s">
        <v>750</v>
      </c>
      <c r="K67" s="14" t="s">
        <v>765</v>
      </c>
      <c r="L67" s="15">
        <v>2</v>
      </c>
      <c r="M67" s="15" t="s">
        <v>144</v>
      </c>
      <c r="N67" s="16">
        <v>45692</v>
      </c>
      <c r="O67" s="12" t="s">
        <v>766</v>
      </c>
      <c r="P67" s="14" t="s">
        <v>767</v>
      </c>
      <c r="Q67" s="17" t="s">
        <v>137</v>
      </c>
      <c r="R67" s="17" t="s">
        <v>146</v>
      </c>
    </row>
    <row r="68" spans="1:18" x14ac:dyDescent="0.3">
      <c r="A68" s="12" t="s">
        <v>768</v>
      </c>
      <c r="B68" s="12" t="s">
        <v>12</v>
      </c>
      <c r="C68" s="12"/>
      <c r="D68" s="12" t="s">
        <v>12</v>
      </c>
      <c r="E68" s="12" t="s">
        <v>769</v>
      </c>
      <c r="F68" s="12"/>
      <c r="G68" s="12" t="s">
        <v>749</v>
      </c>
      <c r="H68" s="12" t="s">
        <v>38</v>
      </c>
      <c r="I68" s="12" t="s">
        <v>26</v>
      </c>
      <c r="J68" s="13" t="s">
        <v>750</v>
      </c>
      <c r="K68" s="14" t="s">
        <v>770</v>
      </c>
      <c r="L68" s="15">
        <v>1</v>
      </c>
      <c r="M68" s="15" t="s">
        <v>144</v>
      </c>
      <c r="N68" s="16">
        <v>45415</v>
      </c>
      <c r="O68" s="12" t="s">
        <v>771</v>
      </c>
      <c r="P68" s="14" t="s">
        <v>772</v>
      </c>
      <c r="Q68" s="17" t="s">
        <v>137</v>
      </c>
      <c r="R68" s="17" t="s">
        <v>146</v>
      </c>
    </row>
    <row r="69" spans="1:18" x14ac:dyDescent="0.3">
      <c r="A69" s="12" t="s">
        <v>775</v>
      </c>
      <c r="B69" s="12" t="s">
        <v>12</v>
      </c>
      <c r="C69" s="12"/>
      <c r="D69" s="12" t="s">
        <v>12</v>
      </c>
      <c r="E69" s="12" t="s">
        <v>776</v>
      </c>
      <c r="F69" s="12"/>
      <c r="G69" s="12" t="s">
        <v>749</v>
      </c>
      <c r="H69" s="12" t="s">
        <v>38</v>
      </c>
      <c r="I69" s="12" t="s">
        <v>26</v>
      </c>
      <c r="J69" s="13" t="s">
        <v>756</v>
      </c>
      <c r="K69" s="14" t="s">
        <v>777</v>
      </c>
      <c r="L69" s="15">
        <v>0</v>
      </c>
      <c r="M69" s="15" t="s">
        <v>144</v>
      </c>
      <c r="N69" s="16">
        <v>46133</v>
      </c>
      <c r="O69" s="12" t="s">
        <v>775</v>
      </c>
      <c r="P69" s="14" t="s">
        <v>778</v>
      </c>
      <c r="Q69" s="17" t="s">
        <v>137</v>
      </c>
      <c r="R69" s="17" t="s">
        <v>146</v>
      </c>
    </row>
    <row r="70" spans="1:18" x14ac:dyDescent="0.3">
      <c r="A70" s="12" t="s">
        <v>779</v>
      </c>
      <c r="B70" s="12" t="s">
        <v>12</v>
      </c>
      <c r="C70" s="12"/>
      <c r="D70" s="12" t="s">
        <v>12</v>
      </c>
      <c r="E70" s="12" t="s">
        <v>780</v>
      </c>
      <c r="F70" s="12"/>
      <c r="G70" s="12" t="s">
        <v>749</v>
      </c>
      <c r="H70" s="12" t="s">
        <v>38</v>
      </c>
      <c r="I70" s="12" t="s">
        <v>26</v>
      </c>
      <c r="J70" s="13" t="s">
        <v>756</v>
      </c>
      <c r="K70" s="14" t="s">
        <v>781</v>
      </c>
      <c r="L70" s="15">
        <v>1</v>
      </c>
      <c r="M70" s="15" t="s">
        <v>144</v>
      </c>
      <c r="N70" s="16">
        <v>46053</v>
      </c>
      <c r="O70" s="12" t="s">
        <v>779</v>
      </c>
      <c r="P70" s="14" t="s">
        <v>782</v>
      </c>
      <c r="Q70" s="17" t="s">
        <v>137</v>
      </c>
      <c r="R70" s="17" t="s">
        <v>146</v>
      </c>
    </row>
    <row r="71" spans="1:18" x14ac:dyDescent="0.3">
      <c r="A71" s="12" t="s">
        <v>790</v>
      </c>
      <c r="B71" s="12" t="s">
        <v>12</v>
      </c>
      <c r="C71" s="12"/>
      <c r="D71" s="12" t="s">
        <v>12</v>
      </c>
      <c r="E71" s="12" t="s">
        <v>791</v>
      </c>
      <c r="F71" s="12"/>
      <c r="G71" s="12" t="s">
        <v>785</v>
      </c>
      <c r="H71" s="12" t="s">
        <v>38</v>
      </c>
      <c r="I71" s="12" t="s">
        <v>26</v>
      </c>
      <c r="J71" s="13" t="s">
        <v>786</v>
      </c>
      <c r="K71" s="14" t="s">
        <v>792</v>
      </c>
      <c r="L71" s="15">
        <v>3</v>
      </c>
      <c r="M71" s="15" t="s">
        <v>144</v>
      </c>
      <c r="N71" s="16">
        <v>44763</v>
      </c>
      <c r="O71" s="12" t="s">
        <v>790</v>
      </c>
      <c r="P71" s="14" t="s">
        <v>793</v>
      </c>
      <c r="Q71" s="17" t="s">
        <v>137</v>
      </c>
      <c r="R71" s="17" t="s">
        <v>146</v>
      </c>
    </row>
    <row r="72" spans="1:18" x14ac:dyDescent="0.3">
      <c r="A72" s="12" t="s">
        <v>801</v>
      </c>
      <c r="B72" s="12" t="s">
        <v>12</v>
      </c>
      <c r="C72" s="12"/>
      <c r="D72" s="12" t="s">
        <v>12</v>
      </c>
      <c r="E72" s="12" t="s">
        <v>802</v>
      </c>
      <c r="F72" s="12"/>
      <c r="G72" s="12" t="s">
        <v>785</v>
      </c>
      <c r="H72" s="12" t="s">
        <v>38</v>
      </c>
      <c r="I72" s="12" t="s">
        <v>26</v>
      </c>
      <c r="J72" s="13" t="s">
        <v>786</v>
      </c>
      <c r="K72" s="14" t="s">
        <v>803</v>
      </c>
      <c r="L72" s="15">
        <v>2</v>
      </c>
      <c r="M72" s="15" t="s">
        <v>144</v>
      </c>
      <c r="N72" s="16">
        <v>44699</v>
      </c>
      <c r="O72" s="12" t="s">
        <v>804</v>
      </c>
      <c r="P72" s="14" t="s">
        <v>805</v>
      </c>
      <c r="Q72" s="17" t="s">
        <v>137</v>
      </c>
      <c r="R72" s="17" t="s">
        <v>146</v>
      </c>
    </row>
    <row r="73" spans="1:18" x14ac:dyDescent="0.3">
      <c r="A73" s="12" t="s">
        <v>811</v>
      </c>
      <c r="B73" s="12" t="s">
        <v>12</v>
      </c>
      <c r="C73" s="12"/>
      <c r="D73" s="12" t="s">
        <v>12</v>
      </c>
      <c r="E73" s="12" t="s">
        <v>812</v>
      </c>
      <c r="F73" s="12"/>
      <c r="G73" s="12" t="s">
        <v>785</v>
      </c>
      <c r="H73" s="12" t="s">
        <v>38</v>
      </c>
      <c r="I73" s="12" t="s">
        <v>26</v>
      </c>
      <c r="J73" s="13" t="s">
        <v>786</v>
      </c>
      <c r="K73" s="14" t="s">
        <v>813</v>
      </c>
      <c r="L73" s="15">
        <v>8</v>
      </c>
      <c r="M73" s="15" t="s">
        <v>144</v>
      </c>
      <c r="N73" s="16">
        <v>45257</v>
      </c>
      <c r="O73" s="12" t="s">
        <v>811</v>
      </c>
      <c r="P73" s="14" t="s">
        <v>814</v>
      </c>
      <c r="Q73" s="17" t="s">
        <v>137</v>
      </c>
      <c r="R73" s="17" t="s">
        <v>146</v>
      </c>
    </row>
    <row r="74" spans="1:18" x14ac:dyDescent="0.3">
      <c r="A74" s="12" t="s">
        <v>815</v>
      </c>
      <c r="B74" s="12" t="s">
        <v>12</v>
      </c>
      <c r="C74" s="12"/>
      <c r="D74" s="12" t="s">
        <v>12</v>
      </c>
      <c r="E74" s="12" t="s">
        <v>816</v>
      </c>
      <c r="F74" s="12"/>
      <c r="G74" s="12" t="s">
        <v>785</v>
      </c>
      <c r="H74" s="12" t="s">
        <v>38</v>
      </c>
      <c r="I74" s="12" t="s">
        <v>26</v>
      </c>
      <c r="J74" s="13" t="s">
        <v>786</v>
      </c>
      <c r="K74" s="14" t="s">
        <v>817</v>
      </c>
      <c r="L74" s="15">
        <v>5</v>
      </c>
      <c r="M74" s="15" t="s">
        <v>144</v>
      </c>
      <c r="N74" s="16">
        <v>44719</v>
      </c>
      <c r="O74" s="12" t="s">
        <v>818</v>
      </c>
      <c r="P74" s="14" t="s">
        <v>819</v>
      </c>
      <c r="Q74" s="17" t="s">
        <v>137</v>
      </c>
      <c r="R74" s="17" t="s">
        <v>146</v>
      </c>
    </row>
    <row r="75" spans="1:18" x14ac:dyDescent="0.3">
      <c r="A75" s="12" t="s">
        <v>820</v>
      </c>
      <c r="B75" s="12" t="s">
        <v>12</v>
      </c>
      <c r="C75" s="12"/>
      <c r="D75" s="12" t="s">
        <v>12</v>
      </c>
      <c r="E75" s="12" t="s">
        <v>812</v>
      </c>
      <c r="F75" s="12"/>
      <c r="G75" s="12" t="s">
        <v>785</v>
      </c>
      <c r="H75" s="12" t="s">
        <v>38</v>
      </c>
      <c r="I75" s="12" t="s">
        <v>26</v>
      </c>
      <c r="J75" s="13" t="s">
        <v>786</v>
      </c>
      <c r="K75" s="14" t="s">
        <v>813</v>
      </c>
      <c r="L75" s="15">
        <v>8</v>
      </c>
      <c r="M75" s="15" t="s">
        <v>144</v>
      </c>
      <c r="N75" s="16">
        <v>45905</v>
      </c>
      <c r="O75" s="12" t="s">
        <v>821</v>
      </c>
      <c r="P75" s="14" t="s">
        <v>822</v>
      </c>
      <c r="Q75" s="17" t="s">
        <v>137</v>
      </c>
      <c r="R75" s="17" t="s">
        <v>146</v>
      </c>
    </row>
    <row r="76" spans="1:18" x14ac:dyDescent="0.3">
      <c r="A76" s="12" t="s">
        <v>823</v>
      </c>
      <c r="B76" s="12" t="s">
        <v>12</v>
      </c>
      <c r="C76" s="12"/>
      <c r="D76" s="12" t="s">
        <v>12</v>
      </c>
      <c r="E76" s="12" t="s">
        <v>824</v>
      </c>
      <c r="F76" s="12" t="s">
        <v>520</v>
      </c>
      <c r="G76" s="12" t="s">
        <v>785</v>
      </c>
      <c r="H76" s="12" t="s">
        <v>38</v>
      </c>
      <c r="I76" s="12" t="s">
        <v>26</v>
      </c>
      <c r="J76" s="13" t="s">
        <v>786</v>
      </c>
      <c r="K76" s="14" t="s">
        <v>825</v>
      </c>
      <c r="L76" s="15">
        <v>3</v>
      </c>
      <c r="M76" s="15" t="s">
        <v>144</v>
      </c>
      <c r="N76" s="16">
        <v>45280</v>
      </c>
      <c r="O76" s="12" t="s">
        <v>826</v>
      </c>
      <c r="P76" s="14" t="s">
        <v>827</v>
      </c>
      <c r="Q76" s="17" t="s">
        <v>137</v>
      </c>
      <c r="R76" s="17" t="s">
        <v>146</v>
      </c>
    </row>
    <row r="77" spans="1:18" x14ac:dyDescent="0.3">
      <c r="A77" s="12" t="s">
        <v>830</v>
      </c>
      <c r="B77" s="12" t="s">
        <v>12</v>
      </c>
      <c r="C77" s="12"/>
      <c r="D77" s="12" t="s">
        <v>12</v>
      </c>
      <c r="E77" s="12" t="s">
        <v>831</v>
      </c>
      <c r="F77" s="12" t="s">
        <v>832</v>
      </c>
      <c r="G77" s="12" t="s">
        <v>785</v>
      </c>
      <c r="H77" s="12" t="s">
        <v>38</v>
      </c>
      <c r="I77" s="12" t="s">
        <v>26</v>
      </c>
      <c r="J77" s="13" t="s">
        <v>786</v>
      </c>
      <c r="K77" s="14" t="s">
        <v>833</v>
      </c>
      <c r="L77" s="15">
        <v>4</v>
      </c>
      <c r="M77" s="15" t="s">
        <v>144</v>
      </c>
      <c r="N77" s="16">
        <v>44635</v>
      </c>
      <c r="O77" s="12" t="s">
        <v>830</v>
      </c>
      <c r="P77" s="14" t="s">
        <v>834</v>
      </c>
      <c r="Q77" s="17" t="s">
        <v>137</v>
      </c>
      <c r="R77" s="17" t="s">
        <v>146</v>
      </c>
    </row>
    <row r="78" spans="1:18" x14ac:dyDescent="0.3">
      <c r="A78" s="12" t="s">
        <v>838</v>
      </c>
      <c r="B78" s="12" t="s">
        <v>12</v>
      </c>
      <c r="C78" s="12"/>
      <c r="D78" s="12" t="s">
        <v>12</v>
      </c>
      <c r="E78" s="12" t="s">
        <v>839</v>
      </c>
      <c r="F78" s="12" t="s">
        <v>447</v>
      </c>
      <c r="G78" s="12" t="s">
        <v>785</v>
      </c>
      <c r="H78" s="12" t="s">
        <v>38</v>
      </c>
      <c r="I78" s="12" t="s">
        <v>26</v>
      </c>
      <c r="J78" s="13" t="s">
        <v>786</v>
      </c>
      <c r="K78" s="14" t="s">
        <v>840</v>
      </c>
      <c r="L78" s="15">
        <v>5</v>
      </c>
      <c r="M78" s="15" t="s">
        <v>144</v>
      </c>
      <c r="N78" s="16">
        <v>45602</v>
      </c>
      <c r="O78" s="12" t="s">
        <v>838</v>
      </c>
      <c r="P78" s="14" t="s">
        <v>841</v>
      </c>
      <c r="Q78" s="17" t="s">
        <v>137</v>
      </c>
      <c r="R78" s="17" t="s">
        <v>146</v>
      </c>
    </row>
    <row r="79" spans="1:18" x14ac:dyDescent="0.3">
      <c r="A79" s="12" t="s">
        <v>853</v>
      </c>
      <c r="B79" s="12" t="s">
        <v>12</v>
      </c>
      <c r="C79" s="12"/>
      <c r="D79" s="12" t="s">
        <v>12</v>
      </c>
      <c r="E79" s="12" t="s">
        <v>854</v>
      </c>
      <c r="F79" s="12" t="s">
        <v>389</v>
      </c>
      <c r="G79" s="12" t="s">
        <v>844</v>
      </c>
      <c r="H79" s="12" t="s">
        <v>38</v>
      </c>
      <c r="I79" s="12" t="s">
        <v>26</v>
      </c>
      <c r="J79" s="13" t="s">
        <v>850</v>
      </c>
      <c r="K79" s="14" t="s">
        <v>855</v>
      </c>
      <c r="L79" s="15">
        <v>1</v>
      </c>
      <c r="M79" s="15" t="s">
        <v>144</v>
      </c>
      <c r="N79" s="16">
        <v>44763</v>
      </c>
      <c r="O79" s="12" t="s">
        <v>853</v>
      </c>
      <c r="P79" s="14" t="s">
        <v>856</v>
      </c>
      <c r="Q79" s="17" t="s">
        <v>137</v>
      </c>
      <c r="R79" s="17" t="s">
        <v>146</v>
      </c>
    </row>
    <row r="80" spans="1:18" x14ac:dyDescent="0.3">
      <c r="A80" s="12" t="s">
        <v>857</v>
      </c>
      <c r="B80" s="12" t="s">
        <v>12</v>
      </c>
      <c r="C80" s="12"/>
      <c r="D80" s="12" t="s">
        <v>12</v>
      </c>
      <c r="E80" s="12" t="s">
        <v>858</v>
      </c>
      <c r="F80" s="12" t="s">
        <v>258</v>
      </c>
      <c r="G80" s="12" t="s">
        <v>844</v>
      </c>
      <c r="H80" s="12" t="s">
        <v>38</v>
      </c>
      <c r="I80" s="12" t="s">
        <v>26</v>
      </c>
      <c r="J80" s="13" t="s">
        <v>845</v>
      </c>
      <c r="K80" s="14" t="s">
        <v>859</v>
      </c>
      <c r="L80" s="15">
        <v>3</v>
      </c>
      <c r="M80" s="15" t="s">
        <v>144</v>
      </c>
      <c r="N80" s="16">
        <v>45986</v>
      </c>
      <c r="O80" s="12" t="s">
        <v>857</v>
      </c>
      <c r="P80" s="14" t="s">
        <v>860</v>
      </c>
      <c r="Q80" s="17" t="s">
        <v>137</v>
      </c>
      <c r="R80" s="17" t="s">
        <v>146</v>
      </c>
    </row>
    <row r="81" spans="1:18" x14ac:dyDescent="0.3">
      <c r="A81" s="12" t="s">
        <v>577</v>
      </c>
      <c r="B81" s="12" t="s">
        <v>12</v>
      </c>
      <c r="C81" s="12"/>
      <c r="D81" s="12" t="s">
        <v>12</v>
      </c>
      <c r="E81" s="12" t="s">
        <v>866</v>
      </c>
      <c r="F81" s="12" t="s">
        <v>359</v>
      </c>
      <c r="G81" s="12" t="s">
        <v>867</v>
      </c>
      <c r="H81" s="12" t="s">
        <v>38</v>
      </c>
      <c r="I81" s="12" t="s">
        <v>26</v>
      </c>
      <c r="J81" s="13" t="s">
        <v>868</v>
      </c>
      <c r="K81" s="14" t="s">
        <v>579</v>
      </c>
      <c r="L81" s="15">
        <v>4</v>
      </c>
      <c r="M81" s="15" t="s">
        <v>144</v>
      </c>
      <c r="N81" s="16">
        <v>45820</v>
      </c>
      <c r="O81" s="12" t="s">
        <v>577</v>
      </c>
      <c r="P81" s="14" t="s">
        <v>580</v>
      </c>
      <c r="Q81" s="17" t="s">
        <v>137</v>
      </c>
      <c r="R81" s="17" t="s">
        <v>146</v>
      </c>
    </row>
    <row r="82" spans="1:18" x14ac:dyDescent="0.3">
      <c r="A82" s="12" t="s">
        <v>869</v>
      </c>
      <c r="B82" s="12" t="s">
        <v>12</v>
      </c>
      <c r="C82" s="12" t="s">
        <v>14</v>
      </c>
      <c r="D82" s="12" t="s">
        <v>180</v>
      </c>
      <c r="E82" s="12" t="s">
        <v>870</v>
      </c>
      <c r="F82" s="12" t="s">
        <v>871</v>
      </c>
      <c r="G82" s="12" t="s">
        <v>867</v>
      </c>
      <c r="H82" s="12" t="s">
        <v>38</v>
      </c>
      <c r="I82" s="12" t="s">
        <v>26</v>
      </c>
      <c r="J82" s="13" t="s">
        <v>868</v>
      </c>
      <c r="K82" s="14" t="s">
        <v>872</v>
      </c>
      <c r="L82" s="15">
        <v>5</v>
      </c>
      <c r="M82" s="15" t="s">
        <v>144</v>
      </c>
      <c r="N82" s="16">
        <v>46198</v>
      </c>
      <c r="O82" s="12" t="s">
        <v>869</v>
      </c>
      <c r="P82" s="14" t="s">
        <v>873</v>
      </c>
      <c r="Q82" s="17" t="s">
        <v>137</v>
      </c>
      <c r="R82" s="17" t="s">
        <v>146</v>
      </c>
    </row>
    <row r="83" spans="1:18" x14ac:dyDescent="0.3">
      <c r="A83" s="12" t="s">
        <v>891</v>
      </c>
      <c r="B83" s="12" t="s">
        <v>12</v>
      </c>
      <c r="C83" s="12"/>
      <c r="D83" s="12" t="s">
        <v>12</v>
      </c>
      <c r="E83" s="12" t="s">
        <v>892</v>
      </c>
      <c r="F83" s="12"/>
      <c r="G83" s="12" t="s">
        <v>882</v>
      </c>
      <c r="H83" s="12" t="s">
        <v>38</v>
      </c>
      <c r="I83" s="12" t="s">
        <v>26</v>
      </c>
      <c r="J83" s="13" t="s">
        <v>850</v>
      </c>
      <c r="K83" s="14" t="s">
        <v>893</v>
      </c>
      <c r="L83" s="15">
        <v>1</v>
      </c>
      <c r="M83" s="15" t="s">
        <v>144</v>
      </c>
      <c r="N83" s="16">
        <v>45140</v>
      </c>
      <c r="O83" s="12" t="s">
        <v>894</v>
      </c>
      <c r="P83" s="14" t="s">
        <v>895</v>
      </c>
      <c r="Q83" s="17" t="s">
        <v>137</v>
      </c>
      <c r="R83" s="17" t="s">
        <v>146</v>
      </c>
    </row>
    <row r="84" spans="1:18" x14ac:dyDescent="0.3">
      <c r="A84" s="12" t="s">
        <v>896</v>
      </c>
      <c r="B84" s="12" t="s">
        <v>12</v>
      </c>
      <c r="C84" s="12"/>
      <c r="D84" s="12" t="s">
        <v>12</v>
      </c>
      <c r="E84" s="12" t="s">
        <v>897</v>
      </c>
      <c r="F84" s="12"/>
      <c r="G84" s="12" t="s">
        <v>898</v>
      </c>
      <c r="H84" s="12" t="s">
        <v>36</v>
      </c>
      <c r="I84" s="12" t="s">
        <v>26</v>
      </c>
      <c r="J84" s="13" t="s">
        <v>899</v>
      </c>
      <c r="K84" s="14" t="s">
        <v>900</v>
      </c>
      <c r="L84" s="15">
        <v>10</v>
      </c>
      <c r="M84" s="15" t="s">
        <v>144</v>
      </c>
      <c r="N84" s="16">
        <v>46000</v>
      </c>
      <c r="O84" s="12" t="s">
        <v>896</v>
      </c>
      <c r="P84" s="14" t="s">
        <v>901</v>
      </c>
      <c r="Q84" s="17" t="s">
        <v>137</v>
      </c>
      <c r="R84" s="17" t="s">
        <v>146</v>
      </c>
    </row>
    <row r="85" spans="1:18" x14ac:dyDescent="0.3">
      <c r="A85" s="12" t="s">
        <v>902</v>
      </c>
      <c r="B85" s="12" t="s">
        <v>12</v>
      </c>
      <c r="C85" s="12"/>
      <c r="D85" s="12" t="s">
        <v>12</v>
      </c>
      <c r="E85" s="12" t="s">
        <v>903</v>
      </c>
      <c r="F85" s="12" t="s">
        <v>904</v>
      </c>
      <c r="G85" s="12" t="s">
        <v>898</v>
      </c>
      <c r="H85" s="12" t="s">
        <v>36</v>
      </c>
      <c r="I85" s="12" t="s">
        <v>26</v>
      </c>
      <c r="J85" s="13" t="s">
        <v>905</v>
      </c>
      <c r="K85" s="14" t="s">
        <v>906</v>
      </c>
      <c r="L85" s="15">
        <v>5</v>
      </c>
      <c r="M85" s="15" t="s">
        <v>144</v>
      </c>
      <c r="N85" s="16">
        <v>46106</v>
      </c>
      <c r="O85" s="12" t="s">
        <v>902</v>
      </c>
      <c r="P85" s="14" t="s">
        <v>907</v>
      </c>
      <c r="Q85" s="17" t="s">
        <v>137</v>
      </c>
      <c r="R85" s="17" t="s">
        <v>146</v>
      </c>
    </row>
    <row r="86" spans="1:18" x14ac:dyDescent="0.3">
      <c r="A86" s="12" t="s">
        <v>908</v>
      </c>
      <c r="B86" s="12" t="s">
        <v>12</v>
      </c>
      <c r="C86" s="12"/>
      <c r="D86" s="12" t="s">
        <v>12</v>
      </c>
      <c r="E86" s="12" t="s">
        <v>903</v>
      </c>
      <c r="F86" s="12" t="s">
        <v>904</v>
      </c>
      <c r="G86" s="12" t="s">
        <v>898</v>
      </c>
      <c r="H86" s="12" t="s">
        <v>36</v>
      </c>
      <c r="I86" s="12" t="s">
        <v>26</v>
      </c>
      <c r="J86" s="13" t="s">
        <v>905</v>
      </c>
      <c r="K86" s="14" t="s">
        <v>906</v>
      </c>
      <c r="L86" s="15">
        <v>5</v>
      </c>
      <c r="M86" s="15" t="s">
        <v>144</v>
      </c>
      <c r="N86" s="16">
        <v>46181</v>
      </c>
      <c r="O86" s="12" t="s">
        <v>902</v>
      </c>
      <c r="P86" s="14" t="s">
        <v>909</v>
      </c>
      <c r="Q86" s="17" t="s">
        <v>137</v>
      </c>
      <c r="R86" s="17" t="s">
        <v>146</v>
      </c>
    </row>
    <row r="87" spans="1:18" x14ac:dyDescent="0.3">
      <c r="A87" s="12" t="s">
        <v>910</v>
      </c>
      <c r="B87" s="12" t="s">
        <v>12</v>
      </c>
      <c r="C87" s="12"/>
      <c r="D87" s="12" t="s">
        <v>12</v>
      </c>
      <c r="E87" s="12" t="s">
        <v>911</v>
      </c>
      <c r="F87" s="12" t="s">
        <v>912</v>
      </c>
      <c r="G87" s="12" t="s">
        <v>898</v>
      </c>
      <c r="H87" s="12" t="s">
        <v>36</v>
      </c>
      <c r="I87" s="12" t="s">
        <v>26</v>
      </c>
      <c r="J87" s="13" t="s">
        <v>913</v>
      </c>
      <c r="K87" s="14" t="s">
        <v>914</v>
      </c>
      <c r="L87" s="15">
        <v>0</v>
      </c>
      <c r="M87" s="15" t="s">
        <v>144</v>
      </c>
      <c r="N87" s="16">
        <v>46133</v>
      </c>
      <c r="O87" s="12" t="s">
        <v>910</v>
      </c>
      <c r="P87" s="14" t="s">
        <v>915</v>
      </c>
      <c r="Q87" s="17" t="s">
        <v>137</v>
      </c>
      <c r="R87" s="17" t="s">
        <v>146</v>
      </c>
    </row>
    <row r="88" spans="1:18" x14ac:dyDescent="0.3">
      <c r="A88" s="12" t="s">
        <v>916</v>
      </c>
      <c r="B88" s="12" t="s">
        <v>12</v>
      </c>
      <c r="C88" s="12"/>
      <c r="D88" s="12" t="s">
        <v>12</v>
      </c>
      <c r="E88" s="12" t="s">
        <v>917</v>
      </c>
      <c r="F88" s="12" t="s">
        <v>918</v>
      </c>
      <c r="G88" s="12" t="s">
        <v>898</v>
      </c>
      <c r="H88" s="12" t="s">
        <v>36</v>
      </c>
      <c r="I88" s="12" t="s">
        <v>26</v>
      </c>
      <c r="J88" s="13" t="s">
        <v>913</v>
      </c>
      <c r="K88" s="14" t="s">
        <v>919</v>
      </c>
      <c r="L88" s="15">
        <v>0</v>
      </c>
      <c r="M88" s="15" t="s">
        <v>144</v>
      </c>
      <c r="N88" s="16">
        <v>44851</v>
      </c>
      <c r="O88" s="12" t="s">
        <v>920</v>
      </c>
      <c r="P88" s="14" t="s">
        <v>921</v>
      </c>
      <c r="Q88" s="17" t="s">
        <v>137</v>
      </c>
      <c r="R88" s="17" t="s">
        <v>146</v>
      </c>
    </row>
    <row r="89" spans="1:18" x14ac:dyDescent="0.3">
      <c r="A89" s="12" t="s">
        <v>922</v>
      </c>
      <c r="B89" s="12" t="s">
        <v>12</v>
      </c>
      <c r="C89" s="12"/>
      <c r="D89" s="12" t="s">
        <v>12</v>
      </c>
      <c r="E89" s="12" t="s">
        <v>923</v>
      </c>
      <c r="F89" s="12" t="s">
        <v>924</v>
      </c>
      <c r="G89" s="12" t="s">
        <v>898</v>
      </c>
      <c r="H89" s="12" t="s">
        <v>36</v>
      </c>
      <c r="I89" s="12" t="s">
        <v>26</v>
      </c>
      <c r="J89" s="13" t="s">
        <v>925</v>
      </c>
      <c r="K89" s="14" t="s">
        <v>926</v>
      </c>
      <c r="L89" s="15">
        <v>0</v>
      </c>
      <c r="M89" s="15" t="s">
        <v>144</v>
      </c>
      <c r="N89" s="16">
        <v>45587</v>
      </c>
      <c r="O89" s="12" t="s">
        <v>922</v>
      </c>
      <c r="P89" s="14" t="s">
        <v>927</v>
      </c>
      <c r="Q89" s="17" t="s">
        <v>137</v>
      </c>
      <c r="R89" s="17" t="s">
        <v>146</v>
      </c>
    </row>
    <row r="90" spans="1:18" x14ac:dyDescent="0.3">
      <c r="A90" s="12" t="s">
        <v>934</v>
      </c>
      <c r="B90" s="12" t="s">
        <v>12</v>
      </c>
      <c r="C90" s="12"/>
      <c r="D90" s="12" t="s">
        <v>12</v>
      </c>
      <c r="E90" s="12" t="s">
        <v>935</v>
      </c>
      <c r="F90" s="12"/>
      <c r="G90" s="12" t="s">
        <v>898</v>
      </c>
      <c r="H90" s="12" t="s">
        <v>36</v>
      </c>
      <c r="I90" s="12" t="s">
        <v>26</v>
      </c>
      <c r="J90" s="13" t="s">
        <v>905</v>
      </c>
      <c r="K90" s="14" t="s">
        <v>936</v>
      </c>
      <c r="L90" s="15">
        <v>0</v>
      </c>
      <c r="M90" s="15" t="s">
        <v>144</v>
      </c>
      <c r="N90" s="16">
        <v>46188</v>
      </c>
      <c r="O90" s="12" t="s">
        <v>934</v>
      </c>
      <c r="P90" s="14" t="s">
        <v>937</v>
      </c>
      <c r="Q90" s="17" t="s">
        <v>137</v>
      </c>
      <c r="R90" s="17" t="s">
        <v>146</v>
      </c>
    </row>
    <row r="91" spans="1:18" x14ac:dyDescent="0.3">
      <c r="A91" s="12" t="s">
        <v>950</v>
      </c>
      <c r="B91" s="12" t="s">
        <v>12</v>
      </c>
      <c r="C91" s="12"/>
      <c r="D91" s="12" t="s">
        <v>12</v>
      </c>
      <c r="E91" s="12" t="s">
        <v>951</v>
      </c>
      <c r="F91" s="12" t="s">
        <v>952</v>
      </c>
      <c r="G91" s="12" t="s">
        <v>898</v>
      </c>
      <c r="H91" s="12" t="s">
        <v>36</v>
      </c>
      <c r="I91" s="12" t="s">
        <v>26</v>
      </c>
      <c r="J91" s="13" t="s">
        <v>913</v>
      </c>
      <c r="K91" s="14" t="s">
        <v>953</v>
      </c>
      <c r="L91" s="15">
        <v>1</v>
      </c>
      <c r="M91" s="15" t="s">
        <v>144</v>
      </c>
      <c r="N91" s="16">
        <v>45574</v>
      </c>
      <c r="O91" s="12" t="s">
        <v>954</v>
      </c>
      <c r="P91" s="14" t="s">
        <v>955</v>
      </c>
      <c r="Q91" s="17" t="s">
        <v>137</v>
      </c>
      <c r="R91" s="17" t="s">
        <v>146</v>
      </c>
    </row>
    <row r="92" spans="1:18" x14ac:dyDescent="0.3">
      <c r="A92" s="12" t="s">
        <v>956</v>
      </c>
      <c r="B92" s="12" t="s">
        <v>12</v>
      </c>
      <c r="C92" s="12"/>
      <c r="D92" s="12" t="s">
        <v>12</v>
      </c>
      <c r="E92" s="12" t="s">
        <v>957</v>
      </c>
      <c r="F92" s="12" t="s">
        <v>218</v>
      </c>
      <c r="G92" s="12" t="s">
        <v>898</v>
      </c>
      <c r="H92" s="12" t="s">
        <v>36</v>
      </c>
      <c r="I92" s="12" t="s">
        <v>26</v>
      </c>
      <c r="J92" s="13" t="s">
        <v>913</v>
      </c>
      <c r="K92" s="14" t="s">
        <v>958</v>
      </c>
      <c r="L92" s="15">
        <v>0</v>
      </c>
      <c r="M92" s="15" t="s">
        <v>144</v>
      </c>
      <c r="N92" s="16">
        <v>45573</v>
      </c>
      <c r="O92" s="12" t="s">
        <v>956</v>
      </c>
      <c r="P92" s="14" t="s">
        <v>959</v>
      </c>
      <c r="Q92" s="17" t="s">
        <v>137</v>
      </c>
      <c r="R92" s="17" t="s">
        <v>146</v>
      </c>
    </row>
    <row r="93" spans="1:18" x14ac:dyDescent="0.3">
      <c r="A93" s="12" t="s">
        <v>982</v>
      </c>
      <c r="B93" s="12" t="s">
        <v>12</v>
      </c>
      <c r="C93" s="12"/>
      <c r="D93" s="12" t="s">
        <v>12</v>
      </c>
      <c r="E93" s="12" t="s">
        <v>983</v>
      </c>
      <c r="F93" s="12"/>
      <c r="G93" s="12" t="s">
        <v>898</v>
      </c>
      <c r="H93" s="12" t="s">
        <v>36</v>
      </c>
      <c r="I93" s="12" t="s">
        <v>26</v>
      </c>
      <c r="J93" s="13" t="s">
        <v>905</v>
      </c>
      <c r="K93" s="14" t="s">
        <v>984</v>
      </c>
      <c r="L93" s="15">
        <v>1</v>
      </c>
      <c r="M93" s="15" t="s">
        <v>144</v>
      </c>
      <c r="N93" s="16">
        <v>44763</v>
      </c>
      <c r="O93" s="12" t="s">
        <v>982</v>
      </c>
      <c r="P93" s="14" t="s">
        <v>985</v>
      </c>
      <c r="Q93" s="17" t="s">
        <v>137</v>
      </c>
      <c r="R93" s="17" t="s">
        <v>146</v>
      </c>
    </row>
    <row r="94" spans="1:18" x14ac:dyDescent="0.3">
      <c r="A94" s="12" t="s">
        <v>986</v>
      </c>
      <c r="B94" s="12" t="s">
        <v>12</v>
      </c>
      <c r="C94" s="12"/>
      <c r="D94" s="12" t="s">
        <v>12</v>
      </c>
      <c r="E94" s="12" t="s">
        <v>987</v>
      </c>
      <c r="F94" s="12"/>
      <c r="G94" s="12" t="s">
        <v>988</v>
      </c>
      <c r="H94" s="12" t="s">
        <v>36</v>
      </c>
      <c r="I94" s="12" t="s">
        <v>26</v>
      </c>
      <c r="J94" s="13" t="s">
        <v>989</v>
      </c>
      <c r="K94" s="14" t="s">
        <v>990</v>
      </c>
      <c r="L94" s="15">
        <v>1</v>
      </c>
      <c r="M94" s="15" t="s">
        <v>144</v>
      </c>
      <c r="N94" s="16">
        <v>45831</v>
      </c>
      <c r="O94" s="12" t="s">
        <v>986</v>
      </c>
      <c r="P94" s="14" t="s">
        <v>991</v>
      </c>
      <c r="Q94" s="17" t="s">
        <v>137</v>
      </c>
      <c r="R94" s="17" t="s">
        <v>146</v>
      </c>
    </row>
    <row r="95" spans="1:18" x14ac:dyDescent="0.3">
      <c r="A95" s="12" t="s">
        <v>1009</v>
      </c>
      <c r="B95" s="12" t="s">
        <v>12</v>
      </c>
      <c r="C95" s="12"/>
      <c r="D95" s="12" t="s">
        <v>12</v>
      </c>
      <c r="E95" s="12" t="s">
        <v>1010</v>
      </c>
      <c r="F95" s="12"/>
      <c r="G95" s="12" t="s">
        <v>1000</v>
      </c>
      <c r="H95" s="12" t="s">
        <v>36</v>
      </c>
      <c r="I95" s="12" t="s">
        <v>26</v>
      </c>
      <c r="J95" s="13" t="s">
        <v>1001</v>
      </c>
      <c r="K95" s="14" t="s">
        <v>1011</v>
      </c>
      <c r="L95" s="15">
        <v>2</v>
      </c>
      <c r="M95" s="15" t="s">
        <v>144</v>
      </c>
      <c r="N95" s="16">
        <v>44573</v>
      </c>
      <c r="O95" s="12" t="s">
        <v>1012</v>
      </c>
      <c r="P95" s="14" t="s">
        <v>1013</v>
      </c>
      <c r="Q95" s="17" t="s">
        <v>137</v>
      </c>
      <c r="R95" s="17" t="s">
        <v>146</v>
      </c>
    </row>
    <row r="96" spans="1:18" x14ac:dyDescent="0.3">
      <c r="A96" s="12" t="s">
        <v>1014</v>
      </c>
      <c r="B96" s="12" t="s">
        <v>12</v>
      </c>
      <c r="C96" s="12"/>
      <c r="D96" s="12" t="s">
        <v>12</v>
      </c>
      <c r="E96" s="12" t="s">
        <v>1015</v>
      </c>
      <c r="F96" s="12"/>
      <c r="G96" s="12" t="s">
        <v>1000</v>
      </c>
      <c r="H96" s="12" t="s">
        <v>36</v>
      </c>
      <c r="I96" s="12" t="s">
        <v>26</v>
      </c>
      <c r="J96" s="13" t="s">
        <v>1006</v>
      </c>
      <c r="K96" s="14" t="s">
        <v>1016</v>
      </c>
      <c r="L96" s="15">
        <v>2</v>
      </c>
      <c r="M96" s="15" t="s">
        <v>144</v>
      </c>
      <c r="N96" s="16">
        <v>44763</v>
      </c>
      <c r="O96" s="12" t="s">
        <v>1014</v>
      </c>
      <c r="P96" s="14" t="s">
        <v>1017</v>
      </c>
      <c r="Q96" s="17" t="s">
        <v>137</v>
      </c>
      <c r="R96" s="17" t="s">
        <v>146</v>
      </c>
    </row>
    <row r="97" spans="1:18" x14ac:dyDescent="0.3">
      <c r="A97" s="12" t="s">
        <v>1018</v>
      </c>
      <c r="B97" s="12" t="s">
        <v>12</v>
      </c>
      <c r="C97" s="12"/>
      <c r="D97" s="12" t="s">
        <v>12</v>
      </c>
      <c r="E97" s="12" t="s">
        <v>1010</v>
      </c>
      <c r="F97" s="12"/>
      <c r="G97" s="12" t="s">
        <v>1000</v>
      </c>
      <c r="H97" s="12" t="s">
        <v>36</v>
      </c>
      <c r="I97" s="12" t="s">
        <v>26</v>
      </c>
      <c r="J97" s="13" t="s">
        <v>1001</v>
      </c>
      <c r="K97" s="14" t="s">
        <v>1011</v>
      </c>
      <c r="L97" s="15">
        <v>2</v>
      </c>
      <c r="M97" s="15" t="s">
        <v>144</v>
      </c>
      <c r="N97" s="16">
        <v>45848</v>
      </c>
      <c r="O97" s="12" t="s">
        <v>1018</v>
      </c>
      <c r="P97" s="14" t="s">
        <v>1019</v>
      </c>
      <c r="Q97" s="17" t="s">
        <v>137</v>
      </c>
      <c r="R97" s="17" t="s">
        <v>146</v>
      </c>
    </row>
    <row r="98" spans="1:18" x14ac:dyDescent="0.3">
      <c r="A98" s="12" t="s">
        <v>1020</v>
      </c>
      <c r="B98" s="12" t="s">
        <v>12</v>
      </c>
      <c r="C98" s="12"/>
      <c r="D98" s="12" t="s">
        <v>12</v>
      </c>
      <c r="E98" s="12" t="s">
        <v>1021</v>
      </c>
      <c r="F98" s="12" t="s">
        <v>510</v>
      </c>
      <c r="G98" s="12" t="s">
        <v>1000</v>
      </c>
      <c r="H98" s="12" t="s">
        <v>36</v>
      </c>
      <c r="I98" s="12" t="s">
        <v>26</v>
      </c>
      <c r="J98" s="13" t="s">
        <v>1006</v>
      </c>
      <c r="K98" s="14" t="s">
        <v>1022</v>
      </c>
      <c r="L98" s="15">
        <v>1</v>
      </c>
      <c r="M98" s="15" t="s">
        <v>144</v>
      </c>
      <c r="N98" s="16">
        <v>45883</v>
      </c>
      <c r="O98" s="12" t="s">
        <v>1020</v>
      </c>
      <c r="P98" s="14" t="s">
        <v>1023</v>
      </c>
      <c r="Q98" s="17" t="s">
        <v>137</v>
      </c>
      <c r="R98" s="17" t="s">
        <v>146</v>
      </c>
    </row>
    <row r="99" spans="1:18" x14ac:dyDescent="0.3">
      <c r="A99" s="12" t="s">
        <v>343</v>
      </c>
      <c r="B99" s="12" t="s">
        <v>12</v>
      </c>
      <c r="C99" s="12"/>
      <c r="D99" s="12" t="s">
        <v>12</v>
      </c>
      <c r="E99" s="12" t="s">
        <v>1024</v>
      </c>
      <c r="F99" s="12" t="s">
        <v>1025</v>
      </c>
      <c r="G99" s="12" t="s">
        <v>1026</v>
      </c>
      <c r="H99" s="12" t="s">
        <v>36</v>
      </c>
      <c r="I99" s="12" t="s">
        <v>26</v>
      </c>
      <c r="J99" s="13" t="s">
        <v>1027</v>
      </c>
      <c r="K99" s="14" t="s">
        <v>347</v>
      </c>
      <c r="L99" s="15">
        <v>0</v>
      </c>
      <c r="M99" s="15" t="s">
        <v>144</v>
      </c>
      <c r="N99" s="16">
        <v>45352</v>
      </c>
      <c r="O99" s="12" t="s">
        <v>343</v>
      </c>
      <c r="P99" s="14" t="s">
        <v>348</v>
      </c>
      <c r="Q99" s="17" t="s">
        <v>137</v>
      </c>
      <c r="R99" s="17" t="s">
        <v>146</v>
      </c>
    </row>
    <row r="100" spans="1:18" x14ac:dyDescent="0.3">
      <c r="A100" s="12" t="s">
        <v>1028</v>
      </c>
      <c r="B100" s="12" t="s">
        <v>12</v>
      </c>
      <c r="C100" s="12"/>
      <c r="D100" s="12" t="s">
        <v>12</v>
      </c>
      <c r="E100" s="12" t="s">
        <v>1029</v>
      </c>
      <c r="F100" s="12"/>
      <c r="G100" s="12" t="s">
        <v>1026</v>
      </c>
      <c r="H100" s="12" t="s">
        <v>36</v>
      </c>
      <c r="I100" s="12" t="s">
        <v>26</v>
      </c>
      <c r="J100" s="13" t="s">
        <v>1027</v>
      </c>
      <c r="K100" s="14" t="s">
        <v>1030</v>
      </c>
      <c r="L100" s="15">
        <v>2</v>
      </c>
      <c r="M100" s="15" t="s">
        <v>144</v>
      </c>
      <c r="N100" s="16">
        <v>45573</v>
      </c>
      <c r="O100" s="12" t="s">
        <v>1028</v>
      </c>
      <c r="P100" s="14" t="s">
        <v>1031</v>
      </c>
      <c r="Q100" s="17" t="s">
        <v>137</v>
      </c>
      <c r="R100" s="17" t="s">
        <v>146</v>
      </c>
    </row>
    <row r="101" spans="1:18" x14ac:dyDescent="0.3">
      <c r="A101" s="12" t="s">
        <v>1032</v>
      </c>
      <c r="B101" s="12" t="s">
        <v>12</v>
      </c>
      <c r="C101" s="12" t="s">
        <v>10</v>
      </c>
      <c r="D101" s="12" t="s">
        <v>1033</v>
      </c>
      <c r="E101" s="12" t="s">
        <v>1034</v>
      </c>
      <c r="F101" s="12"/>
      <c r="G101" s="12" t="s">
        <v>1026</v>
      </c>
      <c r="H101" s="12" t="s">
        <v>36</v>
      </c>
      <c r="I101" s="12" t="s">
        <v>26</v>
      </c>
      <c r="J101" s="13" t="s">
        <v>1027</v>
      </c>
      <c r="K101" s="14" t="s">
        <v>1035</v>
      </c>
      <c r="L101" s="15">
        <v>5</v>
      </c>
      <c r="M101" s="15" t="s">
        <v>144</v>
      </c>
      <c r="N101" s="16">
        <v>44881</v>
      </c>
      <c r="O101" s="12" t="s">
        <v>1036</v>
      </c>
      <c r="P101" s="14" t="s">
        <v>1037</v>
      </c>
      <c r="Q101" s="17" t="s">
        <v>137</v>
      </c>
      <c r="R101" s="17" t="s">
        <v>146</v>
      </c>
    </row>
    <row r="102" spans="1:18" x14ac:dyDescent="0.3">
      <c r="A102" s="12" t="s">
        <v>430</v>
      </c>
      <c r="B102" s="12" t="s">
        <v>12</v>
      </c>
      <c r="C102" s="12"/>
      <c r="D102" s="12" t="s">
        <v>12</v>
      </c>
      <c r="E102" s="12" t="s">
        <v>1038</v>
      </c>
      <c r="F102" s="12" t="s">
        <v>1039</v>
      </c>
      <c r="G102" s="12" t="s">
        <v>395</v>
      </c>
      <c r="H102" s="12" t="s">
        <v>36</v>
      </c>
      <c r="I102" s="12" t="s">
        <v>26</v>
      </c>
      <c r="J102" s="13" t="s">
        <v>396</v>
      </c>
      <c r="K102" s="14" t="s">
        <v>1040</v>
      </c>
      <c r="L102" s="15">
        <v>2</v>
      </c>
      <c r="M102" s="15" t="s">
        <v>144</v>
      </c>
      <c r="N102" s="16">
        <v>45820</v>
      </c>
      <c r="O102" s="12" t="s">
        <v>430</v>
      </c>
      <c r="P102" s="14" t="s">
        <v>434</v>
      </c>
      <c r="Q102" s="17" t="s">
        <v>137</v>
      </c>
      <c r="R102" s="17" t="s">
        <v>146</v>
      </c>
    </row>
    <row r="103" spans="1:18" x14ac:dyDescent="0.3">
      <c r="A103" s="12" t="s">
        <v>1050</v>
      </c>
      <c r="B103" s="12" t="s">
        <v>12</v>
      </c>
      <c r="C103" s="12"/>
      <c r="D103" s="12" t="s">
        <v>12</v>
      </c>
      <c r="E103" s="12" t="s">
        <v>1051</v>
      </c>
      <c r="F103" s="12"/>
      <c r="G103" s="12" t="s">
        <v>1052</v>
      </c>
      <c r="H103" s="12" t="s">
        <v>36</v>
      </c>
      <c r="I103" s="12" t="s">
        <v>26</v>
      </c>
      <c r="J103" s="13" t="s">
        <v>1053</v>
      </c>
      <c r="K103" s="14" t="s">
        <v>1054</v>
      </c>
      <c r="L103" s="15">
        <v>1</v>
      </c>
      <c r="M103" s="15" t="s">
        <v>144</v>
      </c>
      <c r="N103" s="16">
        <v>44563</v>
      </c>
      <c r="O103" s="12" t="s">
        <v>1050</v>
      </c>
      <c r="P103" s="14" t="s">
        <v>1055</v>
      </c>
      <c r="Q103" s="17" t="s">
        <v>137</v>
      </c>
      <c r="R103" s="17" t="s">
        <v>146</v>
      </c>
    </row>
    <row r="104" spans="1:18" x14ac:dyDescent="0.3">
      <c r="A104" s="12" t="s">
        <v>1072</v>
      </c>
      <c r="B104" s="12" t="s">
        <v>12</v>
      </c>
      <c r="C104" s="12"/>
      <c r="D104" s="12" t="s">
        <v>12</v>
      </c>
      <c r="E104" s="12" t="s">
        <v>1073</v>
      </c>
      <c r="F104" s="12"/>
      <c r="G104" s="12" t="s">
        <v>1058</v>
      </c>
      <c r="H104" s="12" t="s">
        <v>36</v>
      </c>
      <c r="I104" s="12" t="s">
        <v>26</v>
      </c>
      <c r="J104" s="13" t="s">
        <v>1064</v>
      </c>
      <c r="K104" s="14" t="s">
        <v>1074</v>
      </c>
      <c r="L104" s="15">
        <v>7</v>
      </c>
      <c r="M104" s="15" t="s">
        <v>144</v>
      </c>
      <c r="N104" s="16">
        <v>44751</v>
      </c>
      <c r="O104" s="12" t="s">
        <v>1072</v>
      </c>
      <c r="P104" s="14" t="s">
        <v>1075</v>
      </c>
      <c r="Q104" s="17" t="s">
        <v>137</v>
      </c>
      <c r="R104" s="17" t="s">
        <v>146</v>
      </c>
    </row>
    <row r="105" spans="1:18" x14ac:dyDescent="0.3">
      <c r="A105" s="12" t="s">
        <v>1076</v>
      </c>
      <c r="B105" s="12" t="s">
        <v>12</v>
      </c>
      <c r="C105" s="12"/>
      <c r="D105" s="12" t="s">
        <v>12</v>
      </c>
      <c r="E105" s="12" t="s">
        <v>1077</v>
      </c>
      <c r="F105" s="12" t="s">
        <v>467</v>
      </c>
      <c r="G105" s="12" t="s">
        <v>1058</v>
      </c>
      <c r="H105" s="12" t="s">
        <v>36</v>
      </c>
      <c r="I105" s="12" t="s">
        <v>26</v>
      </c>
      <c r="J105" s="13" t="s">
        <v>1059</v>
      </c>
      <c r="K105" s="14" t="s">
        <v>1078</v>
      </c>
      <c r="L105" s="15">
        <v>1</v>
      </c>
      <c r="M105" s="15" t="s">
        <v>144</v>
      </c>
      <c r="N105" s="16">
        <v>44953</v>
      </c>
      <c r="O105" s="12" t="s">
        <v>1079</v>
      </c>
      <c r="P105" s="14" t="s">
        <v>1080</v>
      </c>
      <c r="Q105" s="17" t="s">
        <v>137</v>
      </c>
      <c r="R105" s="17" t="s">
        <v>146</v>
      </c>
    </row>
    <row r="106" spans="1:18" x14ac:dyDescent="0.3">
      <c r="A106" s="12" t="s">
        <v>1081</v>
      </c>
      <c r="B106" s="12" t="s">
        <v>12</v>
      </c>
      <c r="C106" s="12"/>
      <c r="D106" s="12" t="s">
        <v>12</v>
      </c>
      <c r="E106" s="12" t="s">
        <v>1082</v>
      </c>
      <c r="F106" s="12" t="s">
        <v>188</v>
      </c>
      <c r="G106" s="12" t="s">
        <v>1058</v>
      </c>
      <c r="H106" s="12" t="s">
        <v>36</v>
      </c>
      <c r="I106" s="12" t="s">
        <v>26</v>
      </c>
      <c r="J106" s="13" t="s">
        <v>1064</v>
      </c>
      <c r="K106" s="14" t="s">
        <v>1083</v>
      </c>
      <c r="L106" s="15">
        <v>1</v>
      </c>
      <c r="M106" s="15" t="s">
        <v>144</v>
      </c>
      <c r="N106" s="16">
        <v>44624</v>
      </c>
      <c r="O106" s="12" t="s">
        <v>1084</v>
      </c>
      <c r="P106" s="14" t="s">
        <v>1085</v>
      </c>
      <c r="Q106" s="17" t="s">
        <v>137</v>
      </c>
      <c r="R106" s="17" t="s">
        <v>146</v>
      </c>
    </row>
    <row r="107" spans="1:18" x14ac:dyDescent="0.3">
      <c r="A107" s="12" t="s">
        <v>1086</v>
      </c>
      <c r="B107" s="12" t="s">
        <v>12</v>
      </c>
      <c r="C107" s="12"/>
      <c r="D107" s="12" t="s">
        <v>12</v>
      </c>
      <c r="E107" s="12" t="s">
        <v>1087</v>
      </c>
      <c r="F107" s="12" t="s">
        <v>1088</v>
      </c>
      <c r="G107" s="12" t="s">
        <v>1058</v>
      </c>
      <c r="H107" s="12" t="s">
        <v>36</v>
      </c>
      <c r="I107" s="12" t="s">
        <v>26</v>
      </c>
      <c r="J107" s="13" t="s">
        <v>1064</v>
      </c>
      <c r="K107" s="14" t="s">
        <v>1089</v>
      </c>
      <c r="L107" s="15">
        <v>1</v>
      </c>
      <c r="M107" s="15" t="s">
        <v>144</v>
      </c>
      <c r="N107" s="16">
        <v>45222</v>
      </c>
      <c r="O107" s="12" t="s">
        <v>1086</v>
      </c>
      <c r="P107" s="14" t="s">
        <v>1090</v>
      </c>
      <c r="Q107" s="17" t="s">
        <v>137</v>
      </c>
      <c r="R107" s="17" t="s">
        <v>146</v>
      </c>
    </row>
    <row r="108" spans="1:18" x14ac:dyDescent="0.3">
      <c r="A108" s="12" t="s">
        <v>1097</v>
      </c>
      <c r="B108" s="12" t="s">
        <v>14</v>
      </c>
      <c r="C108" s="12" t="s">
        <v>12</v>
      </c>
      <c r="D108" s="12" t="s">
        <v>180</v>
      </c>
      <c r="E108" s="12" t="s">
        <v>1098</v>
      </c>
      <c r="F108" s="12"/>
      <c r="G108" s="12" t="s">
        <v>1058</v>
      </c>
      <c r="H108" s="12" t="s">
        <v>36</v>
      </c>
      <c r="I108" s="12" t="s">
        <v>26</v>
      </c>
      <c r="J108" s="13" t="s">
        <v>1064</v>
      </c>
      <c r="K108" s="14" t="s">
        <v>1099</v>
      </c>
      <c r="L108" s="15">
        <v>1</v>
      </c>
      <c r="M108" s="15" t="s">
        <v>144</v>
      </c>
      <c r="N108" s="16">
        <v>45911</v>
      </c>
      <c r="O108" s="12" t="s">
        <v>1097</v>
      </c>
      <c r="P108" s="14" t="s">
        <v>1100</v>
      </c>
      <c r="Q108" s="17" t="s">
        <v>137</v>
      </c>
      <c r="R108" s="17" t="s">
        <v>146</v>
      </c>
    </row>
    <row r="109" spans="1:18" x14ac:dyDescent="0.3">
      <c r="A109" s="12" t="s">
        <v>593</v>
      </c>
      <c r="B109" s="12" t="s">
        <v>12</v>
      </c>
      <c r="C109" s="12" t="s">
        <v>14</v>
      </c>
      <c r="D109" s="12" t="s">
        <v>180</v>
      </c>
      <c r="E109" s="12" t="s">
        <v>1109</v>
      </c>
      <c r="F109" s="12" t="s">
        <v>188</v>
      </c>
      <c r="G109" s="12" t="s">
        <v>1058</v>
      </c>
      <c r="H109" s="12" t="s">
        <v>36</v>
      </c>
      <c r="I109" s="12" t="s">
        <v>26</v>
      </c>
      <c r="J109" s="13" t="s">
        <v>1064</v>
      </c>
      <c r="K109" s="14" t="s">
        <v>597</v>
      </c>
      <c r="L109" s="15">
        <v>23</v>
      </c>
      <c r="M109" s="15" t="s">
        <v>144</v>
      </c>
      <c r="N109" s="16">
        <v>46161</v>
      </c>
      <c r="O109" s="12" t="s">
        <v>593</v>
      </c>
      <c r="P109" s="14" t="s">
        <v>598</v>
      </c>
      <c r="Q109" s="17" t="s">
        <v>137</v>
      </c>
      <c r="R109" s="17" t="s">
        <v>146</v>
      </c>
    </row>
    <row r="110" spans="1:18" x14ac:dyDescent="0.3">
      <c r="A110" s="12" t="s">
        <v>602</v>
      </c>
      <c r="B110" s="12" t="s">
        <v>14</v>
      </c>
      <c r="C110" s="12" t="s">
        <v>12</v>
      </c>
      <c r="D110" s="12" t="s">
        <v>180</v>
      </c>
      <c r="E110" s="12" t="s">
        <v>1109</v>
      </c>
      <c r="F110" s="12" t="s">
        <v>188</v>
      </c>
      <c r="G110" s="12" t="s">
        <v>1058</v>
      </c>
      <c r="H110" s="12" t="s">
        <v>36</v>
      </c>
      <c r="I110" s="12" t="s">
        <v>26</v>
      </c>
      <c r="J110" s="13" t="s">
        <v>1064</v>
      </c>
      <c r="K110" s="14" t="s">
        <v>597</v>
      </c>
      <c r="L110" s="15">
        <v>23</v>
      </c>
      <c r="M110" s="15" t="s">
        <v>144</v>
      </c>
      <c r="N110" s="16">
        <v>46148</v>
      </c>
      <c r="O110" s="12" t="s">
        <v>602</v>
      </c>
      <c r="P110" s="14" t="s">
        <v>603</v>
      </c>
      <c r="Q110" s="17" t="s">
        <v>137</v>
      </c>
      <c r="R110" s="17" t="s">
        <v>146</v>
      </c>
    </row>
    <row r="111" spans="1:18" x14ac:dyDescent="0.3">
      <c r="A111" s="12" t="s">
        <v>1110</v>
      </c>
      <c r="B111" s="12" t="s">
        <v>12</v>
      </c>
      <c r="C111" s="12"/>
      <c r="D111" s="12" t="s">
        <v>12</v>
      </c>
      <c r="E111" s="12" t="s">
        <v>1111</v>
      </c>
      <c r="F111" s="12"/>
      <c r="G111" s="12" t="s">
        <v>1058</v>
      </c>
      <c r="H111" s="12" t="s">
        <v>36</v>
      </c>
      <c r="I111" s="12" t="s">
        <v>26</v>
      </c>
      <c r="J111" s="13" t="s">
        <v>1059</v>
      </c>
      <c r="K111" s="14" t="s">
        <v>1112</v>
      </c>
      <c r="L111" s="15">
        <v>1</v>
      </c>
      <c r="M111" s="15" t="s">
        <v>144</v>
      </c>
      <c r="N111" s="16">
        <v>44601</v>
      </c>
      <c r="O111" s="12" t="s">
        <v>1110</v>
      </c>
      <c r="P111" s="14" t="s">
        <v>1113</v>
      </c>
      <c r="Q111" s="17" t="s">
        <v>137</v>
      </c>
      <c r="R111" s="17" t="s">
        <v>146</v>
      </c>
    </row>
    <row r="112" spans="1:18" x14ac:dyDescent="0.3">
      <c r="A112" s="12" t="s">
        <v>1123</v>
      </c>
      <c r="B112" s="12" t="s">
        <v>12</v>
      </c>
      <c r="C112" s="12"/>
      <c r="D112" s="12" t="s">
        <v>12</v>
      </c>
      <c r="E112" s="12" t="s">
        <v>1124</v>
      </c>
      <c r="F112" s="12" t="s">
        <v>447</v>
      </c>
      <c r="G112" s="12" t="s">
        <v>1058</v>
      </c>
      <c r="H112" s="12" t="s">
        <v>36</v>
      </c>
      <c r="I112" s="12" t="s">
        <v>26</v>
      </c>
      <c r="J112" s="13" t="s">
        <v>1064</v>
      </c>
      <c r="K112" s="14" t="s">
        <v>1125</v>
      </c>
      <c r="L112" s="15">
        <v>3</v>
      </c>
      <c r="M112" s="15" t="s">
        <v>144</v>
      </c>
      <c r="N112" s="16">
        <v>45397</v>
      </c>
      <c r="O112" s="12" t="s">
        <v>1126</v>
      </c>
      <c r="P112" s="14" t="s">
        <v>1127</v>
      </c>
      <c r="Q112" s="17" t="s">
        <v>137</v>
      </c>
      <c r="R112" s="17" t="s">
        <v>146</v>
      </c>
    </row>
    <row r="113" spans="1:18" x14ac:dyDescent="0.3">
      <c r="A113" s="12" t="s">
        <v>1136</v>
      </c>
      <c r="B113" s="12" t="s">
        <v>12</v>
      </c>
      <c r="C113" s="12"/>
      <c r="D113" s="12" t="s">
        <v>12</v>
      </c>
      <c r="E113" s="12" t="s">
        <v>1137</v>
      </c>
      <c r="F113" s="12"/>
      <c r="G113" s="12" t="s">
        <v>1058</v>
      </c>
      <c r="H113" s="12" t="s">
        <v>36</v>
      </c>
      <c r="I113" s="12" t="s">
        <v>26</v>
      </c>
      <c r="J113" s="13" t="s">
        <v>1064</v>
      </c>
      <c r="K113" s="14" t="s">
        <v>1138</v>
      </c>
      <c r="L113" s="15">
        <v>0</v>
      </c>
      <c r="M113" s="15" t="s">
        <v>144</v>
      </c>
      <c r="N113" s="16">
        <v>45399</v>
      </c>
      <c r="O113" s="12" t="s">
        <v>1136</v>
      </c>
      <c r="P113" s="14" t="s">
        <v>1139</v>
      </c>
      <c r="Q113" s="17" t="s">
        <v>137</v>
      </c>
      <c r="R113" s="17" t="s">
        <v>146</v>
      </c>
    </row>
    <row r="114" spans="1:18" x14ac:dyDescent="0.3">
      <c r="A114" s="12" t="s">
        <v>1148</v>
      </c>
      <c r="B114" s="12" t="s">
        <v>12</v>
      </c>
      <c r="C114" s="12"/>
      <c r="D114" s="12" t="s">
        <v>12</v>
      </c>
      <c r="E114" s="12" t="s">
        <v>1149</v>
      </c>
      <c r="F114" s="12"/>
      <c r="G114" s="12" t="s">
        <v>1058</v>
      </c>
      <c r="H114" s="12" t="s">
        <v>36</v>
      </c>
      <c r="I114" s="12" t="s">
        <v>26</v>
      </c>
      <c r="J114" s="13" t="s">
        <v>1064</v>
      </c>
      <c r="K114" s="14" t="s">
        <v>1150</v>
      </c>
      <c r="L114" s="15">
        <v>6</v>
      </c>
      <c r="M114" s="15" t="s">
        <v>144</v>
      </c>
      <c r="N114" s="16">
        <v>45268</v>
      </c>
      <c r="O114" s="12" t="s">
        <v>1148</v>
      </c>
      <c r="P114" s="14" t="s">
        <v>1151</v>
      </c>
      <c r="Q114" s="17" t="s">
        <v>137</v>
      </c>
      <c r="R114" s="17" t="s">
        <v>146</v>
      </c>
    </row>
    <row r="115" spans="1:18" x14ac:dyDescent="0.3">
      <c r="A115" s="12" t="s">
        <v>1152</v>
      </c>
      <c r="B115" s="12" t="s">
        <v>12</v>
      </c>
      <c r="C115" s="12"/>
      <c r="D115" s="12" t="s">
        <v>12</v>
      </c>
      <c r="E115" s="12" t="s">
        <v>1068</v>
      </c>
      <c r="F115" s="12" t="s">
        <v>407</v>
      </c>
      <c r="G115" s="12" t="s">
        <v>1058</v>
      </c>
      <c r="H115" s="12" t="s">
        <v>36</v>
      </c>
      <c r="I115" s="12" t="s">
        <v>26</v>
      </c>
      <c r="J115" s="13" t="s">
        <v>1064</v>
      </c>
      <c r="K115" s="14" t="s">
        <v>1153</v>
      </c>
      <c r="L115" s="15">
        <v>2</v>
      </c>
      <c r="M115" s="15" t="s">
        <v>144</v>
      </c>
      <c r="N115" s="16">
        <v>45297</v>
      </c>
      <c r="O115" s="12" t="s">
        <v>1154</v>
      </c>
      <c r="P115" s="14" t="s">
        <v>1155</v>
      </c>
      <c r="Q115" s="17" t="s">
        <v>137</v>
      </c>
      <c r="R115" s="17" t="s">
        <v>146</v>
      </c>
    </row>
    <row r="116" spans="1:18" x14ac:dyDescent="0.3">
      <c r="A116" s="12" t="s">
        <v>1164</v>
      </c>
      <c r="B116" s="12" t="s">
        <v>12</v>
      </c>
      <c r="C116" s="12"/>
      <c r="D116" s="12" t="s">
        <v>12</v>
      </c>
      <c r="E116" s="12" t="s">
        <v>1165</v>
      </c>
      <c r="F116" s="12" t="s">
        <v>182</v>
      </c>
      <c r="G116" s="12" t="s">
        <v>1158</v>
      </c>
      <c r="H116" s="12" t="s">
        <v>36</v>
      </c>
      <c r="I116" s="12" t="s">
        <v>26</v>
      </c>
      <c r="J116" s="13" t="s">
        <v>941</v>
      </c>
      <c r="K116" s="14" t="s">
        <v>1166</v>
      </c>
      <c r="L116" s="15">
        <v>0</v>
      </c>
      <c r="M116" s="15" t="s">
        <v>144</v>
      </c>
      <c r="N116" s="16">
        <v>45749</v>
      </c>
      <c r="O116" s="12" t="s">
        <v>1164</v>
      </c>
      <c r="P116" s="14" t="s">
        <v>1167</v>
      </c>
      <c r="Q116" s="17" t="s">
        <v>137</v>
      </c>
      <c r="R116" s="17" t="s">
        <v>146</v>
      </c>
    </row>
    <row r="117" spans="1:18" x14ac:dyDescent="0.3">
      <c r="A117" s="12" t="s">
        <v>1172</v>
      </c>
      <c r="B117" s="12" t="s">
        <v>12</v>
      </c>
      <c r="C117" s="12"/>
      <c r="D117" s="12" t="s">
        <v>12</v>
      </c>
      <c r="E117" s="12" t="s">
        <v>1165</v>
      </c>
      <c r="F117" s="12" t="s">
        <v>1039</v>
      </c>
      <c r="G117" s="12" t="s">
        <v>1158</v>
      </c>
      <c r="H117" s="12" t="s">
        <v>36</v>
      </c>
      <c r="I117" s="12" t="s">
        <v>26</v>
      </c>
      <c r="J117" s="13" t="s">
        <v>941</v>
      </c>
      <c r="K117" s="14" t="s">
        <v>1173</v>
      </c>
      <c r="L117" s="15">
        <v>0</v>
      </c>
      <c r="M117" s="15" t="s">
        <v>144</v>
      </c>
      <c r="N117" s="16">
        <v>46239</v>
      </c>
      <c r="O117" s="12" t="s">
        <v>1172</v>
      </c>
      <c r="P117" s="14" t="s">
        <v>1174</v>
      </c>
      <c r="Q117" s="17" t="s">
        <v>137</v>
      </c>
      <c r="R117" s="17" t="s">
        <v>146</v>
      </c>
    </row>
    <row r="118" spans="1:18" x14ac:dyDescent="0.3">
      <c r="A118" s="12" t="s">
        <v>1181</v>
      </c>
      <c r="B118" s="12" t="s">
        <v>12</v>
      </c>
      <c r="C118" s="12"/>
      <c r="D118" s="12" t="s">
        <v>12</v>
      </c>
      <c r="E118" s="12" t="s">
        <v>1182</v>
      </c>
      <c r="F118" s="12" t="s">
        <v>631</v>
      </c>
      <c r="G118" s="12" t="s">
        <v>1158</v>
      </c>
      <c r="H118" s="12" t="s">
        <v>36</v>
      </c>
      <c r="I118" s="12" t="s">
        <v>26</v>
      </c>
      <c r="J118" s="13" t="s">
        <v>1178</v>
      </c>
      <c r="K118" s="14" t="s">
        <v>1183</v>
      </c>
      <c r="L118" s="15">
        <v>0</v>
      </c>
      <c r="M118" s="15" t="s">
        <v>144</v>
      </c>
      <c r="N118" s="16">
        <v>46030</v>
      </c>
      <c r="O118" s="12" t="s">
        <v>1181</v>
      </c>
      <c r="P118" s="14" t="s">
        <v>1184</v>
      </c>
      <c r="Q118" s="17" t="s">
        <v>137</v>
      </c>
      <c r="R118" s="17" t="s">
        <v>146</v>
      </c>
    </row>
    <row r="119" spans="1:18" x14ac:dyDescent="0.3">
      <c r="A119" s="12" t="s">
        <v>1189</v>
      </c>
      <c r="B119" s="12" t="s">
        <v>12</v>
      </c>
      <c r="C119" s="12"/>
      <c r="D119" s="12" t="s">
        <v>12</v>
      </c>
      <c r="E119" s="12" t="s">
        <v>1190</v>
      </c>
      <c r="F119" s="12" t="s">
        <v>1191</v>
      </c>
      <c r="G119" s="12" t="s">
        <v>1158</v>
      </c>
      <c r="H119" s="12" t="s">
        <v>36</v>
      </c>
      <c r="I119" s="12" t="s">
        <v>26</v>
      </c>
      <c r="J119" s="13" t="s">
        <v>1159</v>
      </c>
      <c r="K119" s="14" t="s">
        <v>1192</v>
      </c>
      <c r="L119" s="15">
        <v>3</v>
      </c>
      <c r="M119" s="15" t="s">
        <v>144</v>
      </c>
      <c r="N119" s="16">
        <v>45505</v>
      </c>
      <c r="O119" s="12" t="s">
        <v>1189</v>
      </c>
      <c r="P119" s="14" t="s">
        <v>1193</v>
      </c>
      <c r="Q119" s="17" t="s">
        <v>137</v>
      </c>
      <c r="R119" s="17" t="s">
        <v>146</v>
      </c>
    </row>
    <row r="120" spans="1:18" x14ac:dyDescent="0.3">
      <c r="A120" s="12" t="s">
        <v>1194</v>
      </c>
      <c r="B120" s="12" t="s">
        <v>12</v>
      </c>
      <c r="C120" s="12"/>
      <c r="D120" s="12" t="s">
        <v>12</v>
      </c>
      <c r="E120" s="12" t="s">
        <v>1195</v>
      </c>
      <c r="F120" s="12" t="s">
        <v>345</v>
      </c>
      <c r="G120" s="12" t="s">
        <v>1158</v>
      </c>
      <c r="H120" s="12" t="s">
        <v>36</v>
      </c>
      <c r="I120" s="12" t="s">
        <v>26</v>
      </c>
      <c r="J120" s="13" t="s">
        <v>941</v>
      </c>
      <c r="K120" s="14" t="s">
        <v>1196</v>
      </c>
      <c r="L120" s="15">
        <v>0</v>
      </c>
      <c r="M120" s="15" t="s">
        <v>144</v>
      </c>
      <c r="N120" s="16">
        <v>46120</v>
      </c>
      <c r="O120" s="12" t="s">
        <v>1194</v>
      </c>
      <c r="P120" s="14" t="s">
        <v>1197</v>
      </c>
      <c r="Q120" s="17" t="s">
        <v>137</v>
      </c>
      <c r="R120" s="17" t="s">
        <v>146</v>
      </c>
    </row>
    <row r="121" spans="1:18" x14ac:dyDescent="0.3">
      <c r="A121" s="12" t="s">
        <v>1203</v>
      </c>
      <c r="B121" s="12" t="s">
        <v>12</v>
      </c>
      <c r="C121" s="12"/>
      <c r="D121" s="12" t="s">
        <v>12</v>
      </c>
      <c r="E121" s="12" t="s">
        <v>1176</v>
      </c>
      <c r="F121" s="12" t="s">
        <v>1204</v>
      </c>
      <c r="G121" s="12" t="s">
        <v>1158</v>
      </c>
      <c r="H121" s="12" t="s">
        <v>36</v>
      </c>
      <c r="I121" s="12" t="s">
        <v>26</v>
      </c>
      <c r="J121" s="13" t="s">
        <v>1178</v>
      </c>
      <c r="K121" s="14" t="s">
        <v>1205</v>
      </c>
      <c r="L121" s="15">
        <v>2</v>
      </c>
      <c r="M121" s="15" t="s">
        <v>144</v>
      </c>
      <c r="N121" s="16">
        <v>46118</v>
      </c>
      <c r="O121" s="12" t="s">
        <v>1203</v>
      </c>
      <c r="P121" s="14" t="s">
        <v>1206</v>
      </c>
      <c r="Q121" s="17" t="s">
        <v>137</v>
      </c>
      <c r="R121" s="17" t="s">
        <v>146</v>
      </c>
    </row>
    <row r="122" spans="1:18" x14ac:dyDescent="0.3">
      <c r="A122" s="12" t="s">
        <v>1211</v>
      </c>
      <c r="B122" s="12" t="s">
        <v>12</v>
      </c>
      <c r="C122" s="12"/>
      <c r="D122" s="12" t="s">
        <v>12</v>
      </c>
      <c r="E122" s="12" t="s">
        <v>1212</v>
      </c>
      <c r="F122" s="12" t="s">
        <v>188</v>
      </c>
      <c r="G122" s="12" t="s">
        <v>1158</v>
      </c>
      <c r="H122" s="12" t="s">
        <v>36</v>
      </c>
      <c r="I122" s="12" t="s">
        <v>26</v>
      </c>
      <c r="J122" s="13" t="s">
        <v>1178</v>
      </c>
      <c r="K122" s="14" t="s">
        <v>1213</v>
      </c>
      <c r="L122" s="15">
        <v>3</v>
      </c>
      <c r="M122" s="15" t="s">
        <v>144</v>
      </c>
      <c r="N122" s="16">
        <v>45335</v>
      </c>
      <c r="O122" s="12" t="s">
        <v>1211</v>
      </c>
      <c r="P122" s="14" t="s">
        <v>1214</v>
      </c>
      <c r="Q122" s="17" t="s">
        <v>137</v>
      </c>
      <c r="R122" s="17" t="s">
        <v>146</v>
      </c>
    </row>
    <row r="123" spans="1:18" x14ac:dyDescent="0.3">
      <c r="A123" s="12" t="s">
        <v>593</v>
      </c>
      <c r="B123" s="12" t="s">
        <v>12</v>
      </c>
      <c r="C123" s="12" t="s">
        <v>14</v>
      </c>
      <c r="D123" s="12" t="s">
        <v>180</v>
      </c>
      <c r="E123" s="12" t="s">
        <v>1221</v>
      </c>
      <c r="F123" s="12" t="s">
        <v>1222</v>
      </c>
      <c r="G123" s="12" t="s">
        <v>1158</v>
      </c>
      <c r="H123" s="12" t="s">
        <v>36</v>
      </c>
      <c r="I123" s="12" t="s">
        <v>26</v>
      </c>
      <c r="J123" s="13" t="s">
        <v>1178</v>
      </c>
      <c r="K123" s="14" t="s">
        <v>597</v>
      </c>
      <c r="L123" s="15">
        <v>27</v>
      </c>
      <c r="M123" s="15" t="s">
        <v>144</v>
      </c>
      <c r="N123" s="16">
        <v>46161</v>
      </c>
      <c r="O123" s="12" t="s">
        <v>593</v>
      </c>
      <c r="P123" s="14" t="s">
        <v>598</v>
      </c>
      <c r="Q123" s="17" t="s">
        <v>137</v>
      </c>
      <c r="R123" s="17" t="s">
        <v>146</v>
      </c>
    </row>
    <row r="124" spans="1:18" x14ac:dyDescent="0.3">
      <c r="A124" s="12" t="s">
        <v>1223</v>
      </c>
      <c r="B124" s="12" t="s">
        <v>12</v>
      </c>
      <c r="C124" s="12"/>
      <c r="D124" s="12" t="s">
        <v>12</v>
      </c>
      <c r="E124" s="12" t="s">
        <v>1224</v>
      </c>
      <c r="F124" s="12"/>
      <c r="G124" s="12" t="s">
        <v>1158</v>
      </c>
      <c r="H124" s="12" t="s">
        <v>36</v>
      </c>
      <c r="I124" s="12" t="s">
        <v>26</v>
      </c>
      <c r="J124" s="13" t="s">
        <v>1178</v>
      </c>
      <c r="K124" s="14" t="s">
        <v>1225</v>
      </c>
      <c r="L124" s="15">
        <v>1</v>
      </c>
      <c r="M124" s="15" t="s">
        <v>144</v>
      </c>
      <c r="N124" s="16">
        <v>45224</v>
      </c>
      <c r="O124" s="12" t="s">
        <v>1223</v>
      </c>
      <c r="P124" s="14" t="s">
        <v>1226</v>
      </c>
      <c r="Q124" s="17" t="s">
        <v>137</v>
      </c>
      <c r="R124" s="17" t="s">
        <v>146</v>
      </c>
    </row>
    <row r="125" spans="1:18" x14ac:dyDescent="0.3">
      <c r="A125" s="12" t="s">
        <v>1241</v>
      </c>
      <c r="B125" s="12" t="s">
        <v>12</v>
      </c>
      <c r="C125" s="12"/>
      <c r="D125" s="12" t="s">
        <v>12</v>
      </c>
      <c r="E125" s="12" t="s">
        <v>1242</v>
      </c>
      <c r="F125" s="12"/>
      <c r="G125" s="12" t="s">
        <v>1158</v>
      </c>
      <c r="H125" s="12" t="s">
        <v>36</v>
      </c>
      <c r="I125" s="12" t="s">
        <v>26</v>
      </c>
      <c r="J125" s="13" t="s">
        <v>941</v>
      </c>
      <c r="K125" s="14" t="s">
        <v>1243</v>
      </c>
      <c r="L125" s="15">
        <v>1</v>
      </c>
      <c r="M125" s="15" t="s">
        <v>144</v>
      </c>
      <c r="N125" s="16">
        <v>45343</v>
      </c>
      <c r="O125" s="12" t="s">
        <v>1241</v>
      </c>
      <c r="P125" s="14" t="s">
        <v>1244</v>
      </c>
      <c r="Q125" s="17" t="s">
        <v>137</v>
      </c>
      <c r="R125" s="17" t="s">
        <v>146</v>
      </c>
    </row>
    <row r="126" spans="1:18" x14ac:dyDescent="0.3">
      <c r="A126" s="12" t="s">
        <v>1245</v>
      </c>
      <c r="B126" s="12" t="s">
        <v>12</v>
      </c>
      <c r="C126" s="12"/>
      <c r="D126" s="12" t="s">
        <v>12</v>
      </c>
      <c r="E126" s="12" t="s">
        <v>1246</v>
      </c>
      <c r="F126" s="12" t="s">
        <v>1247</v>
      </c>
      <c r="G126" s="12" t="s">
        <v>1158</v>
      </c>
      <c r="H126" s="12" t="s">
        <v>36</v>
      </c>
      <c r="I126" s="12" t="s">
        <v>26</v>
      </c>
      <c r="J126" s="13" t="s">
        <v>941</v>
      </c>
      <c r="K126" s="14" t="s">
        <v>1248</v>
      </c>
      <c r="L126" s="15">
        <v>5</v>
      </c>
      <c r="M126" s="15" t="s">
        <v>144</v>
      </c>
      <c r="N126" s="16">
        <v>46010</v>
      </c>
      <c r="O126" s="12" t="s">
        <v>1245</v>
      </c>
      <c r="P126" s="14" t="s">
        <v>1249</v>
      </c>
      <c r="Q126" s="17" t="s">
        <v>137</v>
      </c>
      <c r="R126" s="17" t="s">
        <v>146</v>
      </c>
    </row>
    <row r="127" spans="1:18" x14ac:dyDescent="0.3">
      <c r="A127" s="12" t="s">
        <v>1253</v>
      </c>
      <c r="B127" s="12" t="s">
        <v>12</v>
      </c>
      <c r="C127" s="12"/>
      <c r="D127" s="12" t="s">
        <v>12</v>
      </c>
      <c r="E127" s="12" t="s">
        <v>1176</v>
      </c>
      <c r="F127" s="12" t="s">
        <v>1204</v>
      </c>
      <c r="G127" s="12" t="s">
        <v>1158</v>
      </c>
      <c r="H127" s="12" t="s">
        <v>36</v>
      </c>
      <c r="I127" s="12" t="s">
        <v>26</v>
      </c>
      <c r="J127" s="13" t="s">
        <v>1178</v>
      </c>
      <c r="K127" s="14" t="s">
        <v>1254</v>
      </c>
      <c r="L127" s="15">
        <v>2</v>
      </c>
      <c r="M127" s="15" t="s">
        <v>144</v>
      </c>
      <c r="N127" s="16">
        <v>46095</v>
      </c>
      <c r="O127" s="12" t="s">
        <v>1253</v>
      </c>
      <c r="P127" s="14" t="s">
        <v>1255</v>
      </c>
      <c r="Q127" s="17" t="s">
        <v>137</v>
      </c>
      <c r="R127" s="17" t="s">
        <v>146</v>
      </c>
    </row>
    <row r="128" spans="1:18" x14ac:dyDescent="0.3">
      <c r="A128" s="12" t="s">
        <v>1263</v>
      </c>
      <c r="B128" s="12" t="s">
        <v>10</v>
      </c>
      <c r="C128" s="12" t="s">
        <v>180</v>
      </c>
      <c r="D128" s="12" t="s">
        <v>283</v>
      </c>
      <c r="E128" s="12" t="s">
        <v>1264</v>
      </c>
      <c r="F128" s="12" t="s">
        <v>1265</v>
      </c>
      <c r="G128" s="12" t="s">
        <v>1158</v>
      </c>
      <c r="H128" s="12" t="s">
        <v>36</v>
      </c>
      <c r="I128" s="12" t="s">
        <v>26</v>
      </c>
      <c r="J128" s="13" t="s">
        <v>1178</v>
      </c>
      <c r="K128" s="14" t="s">
        <v>1266</v>
      </c>
      <c r="L128" s="15">
        <v>41</v>
      </c>
      <c r="M128" s="15" t="s">
        <v>144</v>
      </c>
      <c r="N128" s="16">
        <v>45911</v>
      </c>
      <c r="O128" s="12" t="s">
        <v>1263</v>
      </c>
      <c r="P128" s="14" t="s">
        <v>1267</v>
      </c>
      <c r="Q128" s="17" t="s">
        <v>137</v>
      </c>
      <c r="R128" s="17" t="s">
        <v>146</v>
      </c>
    </row>
    <row r="129" spans="1:18" x14ac:dyDescent="0.3">
      <c r="A129" s="12" t="s">
        <v>1273</v>
      </c>
      <c r="B129" s="12" t="s">
        <v>12</v>
      </c>
      <c r="C129" s="12" t="s">
        <v>14</v>
      </c>
      <c r="D129" s="12" t="s">
        <v>180</v>
      </c>
      <c r="E129" s="12" t="s">
        <v>1274</v>
      </c>
      <c r="F129" s="12" t="s">
        <v>1275</v>
      </c>
      <c r="G129" s="12" t="s">
        <v>1158</v>
      </c>
      <c r="H129" s="12" t="s">
        <v>36</v>
      </c>
      <c r="I129" s="12" t="s">
        <v>26</v>
      </c>
      <c r="J129" s="13" t="s">
        <v>941</v>
      </c>
      <c r="K129" s="14" t="s">
        <v>1276</v>
      </c>
      <c r="L129" s="15">
        <v>0</v>
      </c>
      <c r="M129" s="15" t="s">
        <v>144</v>
      </c>
      <c r="N129" s="16">
        <v>44865</v>
      </c>
      <c r="O129" s="12" t="s">
        <v>1273</v>
      </c>
      <c r="P129" s="14" t="s">
        <v>1277</v>
      </c>
      <c r="Q129" s="17" t="s">
        <v>137</v>
      </c>
      <c r="R129" s="17" t="s">
        <v>146</v>
      </c>
    </row>
    <row r="130" spans="1:18" x14ac:dyDescent="0.3">
      <c r="A130" s="12" t="s">
        <v>1280</v>
      </c>
      <c r="B130" s="12" t="s">
        <v>12</v>
      </c>
      <c r="C130" s="12"/>
      <c r="D130" s="12" t="s">
        <v>12</v>
      </c>
      <c r="E130" s="12" t="s">
        <v>1281</v>
      </c>
      <c r="F130" s="12" t="s">
        <v>293</v>
      </c>
      <c r="G130" s="12" t="s">
        <v>1158</v>
      </c>
      <c r="H130" s="12" t="s">
        <v>36</v>
      </c>
      <c r="I130" s="12" t="s">
        <v>26</v>
      </c>
      <c r="J130" s="13" t="s">
        <v>1178</v>
      </c>
      <c r="K130" s="14" t="s">
        <v>1282</v>
      </c>
      <c r="L130" s="15">
        <v>2</v>
      </c>
      <c r="M130" s="15" t="s">
        <v>144</v>
      </c>
      <c r="N130" s="16">
        <v>46285</v>
      </c>
      <c r="O130" s="12" t="s">
        <v>1280</v>
      </c>
      <c r="P130" s="14" t="s">
        <v>1283</v>
      </c>
      <c r="Q130" s="17" t="s">
        <v>137</v>
      </c>
      <c r="R130" s="17" t="s">
        <v>146</v>
      </c>
    </row>
    <row r="131" spans="1:18" x14ac:dyDescent="0.3">
      <c r="A131" s="12" t="s">
        <v>1292</v>
      </c>
      <c r="B131" s="12" t="s">
        <v>12</v>
      </c>
      <c r="C131" s="12"/>
      <c r="D131" s="12" t="s">
        <v>12</v>
      </c>
      <c r="E131" s="12" t="s">
        <v>1182</v>
      </c>
      <c r="F131" s="12" t="s">
        <v>631</v>
      </c>
      <c r="G131" s="12" t="s">
        <v>1158</v>
      </c>
      <c r="H131" s="12" t="s">
        <v>36</v>
      </c>
      <c r="I131" s="12" t="s">
        <v>26</v>
      </c>
      <c r="J131" s="13" t="s">
        <v>1178</v>
      </c>
      <c r="K131" s="14" t="s">
        <v>1293</v>
      </c>
      <c r="L131" s="15">
        <v>0</v>
      </c>
      <c r="M131" s="15" t="s">
        <v>144</v>
      </c>
      <c r="N131" s="16">
        <v>44827</v>
      </c>
      <c r="O131" s="12" t="s">
        <v>1292</v>
      </c>
      <c r="P131" s="14" t="s">
        <v>1294</v>
      </c>
      <c r="Q131" s="17" t="s">
        <v>137</v>
      </c>
      <c r="R131" s="17" t="s">
        <v>146</v>
      </c>
    </row>
    <row r="132" spans="1:18" x14ac:dyDescent="0.3">
      <c r="A132" s="12" t="s">
        <v>1152</v>
      </c>
      <c r="B132" s="12" t="s">
        <v>12</v>
      </c>
      <c r="C132" s="12"/>
      <c r="D132" s="12" t="s">
        <v>12</v>
      </c>
      <c r="E132" s="12" t="s">
        <v>1299</v>
      </c>
      <c r="F132" s="12" t="s">
        <v>1039</v>
      </c>
      <c r="G132" s="12" t="s">
        <v>1158</v>
      </c>
      <c r="H132" s="12" t="s">
        <v>36</v>
      </c>
      <c r="I132" s="12" t="s">
        <v>26</v>
      </c>
      <c r="J132" s="13" t="s">
        <v>1178</v>
      </c>
      <c r="K132" s="14" t="s">
        <v>1153</v>
      </c>
      <c r="L132" s="15">
        <v>2</v>
      </c>
      <c r="M132" s="15" t="s">
        <v>144</v>
      </c>
      <c r="N132" s="16">
        <v>45297</v>
      </c>
      <c r="O132" s="12" t="s">
        <v>1154</v>
      </c>
      <c r="P132" s="14" t="s">
        <v>1155</v>
      </c>
      <c r="Q132" s="17" t="s">
        <v>137</v>
      </c>
      <c r="R132" s="17" t="s">
        <v>146</v>
      </c>
    </row>
    <row r="133" spans="1:18" x14ac:dyDescent="0.3">
      <c r="A133" s="12" t="s">
        <v>779</v>
      </c>
      <c r="B133" s="12" t="s">
        <v>12</v>
      </c>
      <c r="C133" s="12"/>
      <c r="D133" s="12" t="s">
        <v>12</v>
      </c>
      <c r="E133" s="12" t="s">
        <v>1300</v>
      </c>
      <c r="F133" s="12"/>
      <c r="G133" s="12" t="s">
        <v>1158</v>
      </c>
      <c r="H133" s="12" t="s">
        <v>36</v>
      </c>
      <c r="I133" s="12" t="s">
        <v>26</v>
      </c>
      <c r="J133" s="13" t="s">
        <v>1217</v>
      </c>
      <c r="K133" s="14" t="s">
        <v>781</v>
      </c>
      <c r="L133" s="15">
        <v>0</v>
      </c>
      <c r="M133" s="15" t="s">
        <v>144</v>
      </c>
      <c r="N133" s="16">
        <v>46053</v>
      </c>
      <c r="O133" s="12" t="s">
        <v>779</v>
      </c>
      <c r="P133" s="14" t="s">
        <v>782</v>
      </c>
      <c r="Q133" s="17" t="s">
        <v>137</v>
      </c>
      <c r="R133" s="17" t="s">
        <v>146</v>
      </c>
    </row>
    <row r="134" spans="1:18" x14ac:dyDescent="0.3">
      <c r="A134" s="12" t="s">
        <v>1301</v>
      </c>
      <c r="B134" s="12" t="s">
        <v>12</v>
      </c>
      <c r="C134" s="12"/>
      <c r="D134" s="12" t="s">
        <v>12</v>
      </c>
      <c r="E134" s="12" t="s">
        <v>1302</v>
      </c>
      <c r="F134" s="12"/>
      <c r="G134" s="12" t="s">
        <v>448</v>
      </c>
      <c r="H134" s="12" t="s">
        <v>36</v>
      </c>
      <c r="I134" s="12" t="s">
        <v>26</v>
      </c>
      <c r="J134" s="13" t="s">
        <v>449</v>
      </c>
      <c r="K134" s="14" t="s">
        <v>1303</v>
      </c>
      <c r="L134" s="15">
        <v>3</v>
      </c>
      <c r="M134" s="15" t="s">
        <v>144</v>
      </c>
      <c r="N134" s="16">
        <v>46058</v>
      </c>
      <c r="O134" s="12" t="s">
        <v>1301</v>
      </c>
      <c r="P134" s="14" t="s">
        <v>1304</v>
      </c>
      <c r="Q134" s="17" t="s">
        <v>137</v>
      </c>
      <c r="R134" s="17" t="s">
        <v>146</v>
      </c>
    </row>
    <row r="135" spans="1:18" x14ac:dyDescent="0.3">
      <c r="A135" s="12" t="s">
        <v>1305</v>
      </c>
      <c r="B135" s="12" t="s">
        <v>12</v>
      </c>
      <c r="C135" s="12"/>
      <c r="D135" s="12" t="s">
        <v>12</v>
      </c>
      <c r="E135" s="12" t="s">
        <v>1306</v>
      </c>
      <c r="F135" s="12" t="s">
        <v>188</v>
      </c>
      <c r="G135" s="12" t="s">
        <v>448</v>
      </c>
      <c r="H135" s="12" t="s">
        <v>36</v>
      </c>
      <c r="I135" s="12" t="s">
        <v>26</v>
      </c>
      <c r="J135" s="13" t="s">
        <v>449</v>
      </c>
      <c r="K135" s="14" t="s">
        <v>1307</v>
      </c>
      <c r="L135" s="15">
        <v>2</v>
      </c>
      <c r="M135" s="15" t="s">
        <v>144</v>
      </c>
      <c r="N135" s="16">
        <v>45218</v>
      </c>
      <c r="O135" s="12" t="s">
        <v>1305</v>
      </c>
      <c r="P135" s="14" t="s">
        <v>1308</v>
      </c>
      <c r="Q135" s="17" t="s">
        <v>137</v>
      </c>
      <c r="R135" s="17" t="s">
        <v>146</v>
      </c>
    </row>
    <row r="136" spans="1:18" x14ac:dyDescent="0.3">
      <c r="A136" s="12" t="s">
        <v>1314</v>
      </c>
      <c r="B136" s="12" t="s">
        <v>12</v>
      </c>
      <c r="C136" s="12"/>
      <c r="D136" s="12" t="s">
        <v>12</v>
      </c>
      <c r="E136" s="12" t="s">
        <v>1315</v>
      </c>
      <c r="F136" s="12" t="s">
        <v>467</v>
      </c>
      <c r="G136" s="12" t="s">
        <v>1316</v>
      </c>
      <c r="H136" s="12" t="s">
        <v>36</v>
      </c>
      <c r="I136" s="12" t="s">
        <v>26</v>
      </c>
      <c r="J136" s="13" t="s">
        <v>1317</v>
      </c>
      <c r="K136" s="14" t="s">
        <v>1318</v>
      </c>
      <c r="L136" s="15">
        <v>4</v>
      </c>
      <c r="M136" s="15" t="s">
        <v>144</v>
      </c>
      <c r="N136" s="16">
        <v>45967</v>
      </c>
      <c r="O136" s="12" t="s">
        <v>1319</v>
      </c>
      <c r="P136" s="14" t="s">
        <v>1320</v>
      </c>
      <c r="Q136" s="17" t="s">
        <v>137</v>
      </c>
      <c r="R136" s="17" t="s">
        <v>146</v>
      </c>
    </row>
    <row r="137" spans="1:18" x14ac:dyDescent="0.3">
      <c r="A137" s="12" t="s">
        <v>1333</v>
      </c>
      <c r="B137" s="12" t="s">
        <v>12</v>
      </c>
      <c r="C137" s="12"/>
      <c r="D137" s="12" t="s">
        <v>12</v>
      </c>
      <c r="E137" s="12" t="s">
        <v>1334</v>
      </c>
      <c r="F137" s="12"/>
      <c r="G137" s="12" t="s">
        <v>1335</v>
      </c>
      <c r="H137" s="12" t="s">
        <v>36</v>
      </c>
      <c r="I137" s="12" t="s">
        <v>26</v>
      </c>
      <c r="J137" s="13" t="s">
        <v>1336</v>
      </c>
      <c r="K137" s="14" t="s">
        <v>1337</v>
      </c>
      <c r="L137" s="15">
        <v>1</v>
      </c>
      <c r="M137" s="15" t="s">
        <v>144</v>
      </c>
      <c r="N137" s="16">
        <v>44761</v>
      </c>
      <c r="O137" s="12" t="s">
        <v>1333</v>
      </c>
      <c r="P137" s="14" t="s">
        <v>1338</v>
      </c>
      <c r="Q137" s="17" t="s">
        <v>137</v>
      </c>
      <c r="R137" s="17" t="s">
        <v>146</v>
      </c>
    </row>
    <row r="138" spans="1:18" x14ac:dyDescent="0.3">
      <c r="A138" s="12" t="s">
        <v>1339</v>
      </c>
      <c r="B138" s="12" t="s">
        <v>12</v>
      </c>
      <c r="C138" s="12" t="s">
        <v>14</v>
      </c>
      <c r="D138" s="12" t="s">
        <v>180</v>
      </c>
      <c r="E138" s="12" t="s">
        <v>1340</v>
      </c>
      <c r="F138" s="12" t="s">
        <v>248</v>
      </c>
      <c r="G138" s="12" t="s">
        <v>1341</v>
      </c>
      <c r="H138" s="12" t="s">
        <v>36</v>
      </c>
      <c r="I138" s="12" t="s">
        <v>26</v>
      </c>
      <c r="J138" s="13" t="s">
        <v>1342</v>
      </c>
      <c r="K138" s="14" t="s">
        <v>1343</v>
      </c>
      <c r="L138" s="15">
        <v>18</v>
      </c>
      <c r="M138" s="15" t="s">
        <v>144</v>
      </c>
      <c r="N138" s="16">
        <v>45908</v>
      </c>
      <c r="O138" s="12" t="s">
        <v>1339</v>
      </c>
      <c r="P138" s="14" t="s">
        <v>1344</v>
      </c>
      <c r="Q138" s="17" t="s">
        <v>137</v>
      </c>
      <c r="R138" s="17" t="s">
        <v>146</v>
      </c>
    </row>
    <row r="139" spans="1:18" x14ac:dyDescent="0.3">
      <c r="A139" s="12" t="s">
        <v>1345</v>
      </c>
      <c r="B139" s="12" t="s">
        <v>12</v>
      </c>
      <c r="C139" s="12"/>
      <c r="D139" s="12" t="s">
        <v>12</v>
      </c>
      <c r="E139" s="12" t="s">
        <v>1346</v>
      </c>
      <c r="F139" s="12" t="s">
        <v>188</v>
      </c>
      <c r="G139" s="12" t="s">
        <v>1341</v>
      </c>
      <c r="H139" s="12" t="s">
        <v>36</v>
      </c>
      <c r="I139" s="12" t="s">
        <v>26</v>
      </c>
      <c r="J139" s="13" t="s">
        <v>1342</v>
      </c>
      <c r="K139" s="14" t="s">
        <v>1347</v>
      </c>
      <c r="L139" s="15">
        <v>2</v>
      </c>
      <c r="M139" s="15" t="s">
        <v>144</v>
      </c>
      <c r="N139" s="16">
        <v>46127</v>
      </c>
      <c r="O139" s="12" t="s">
        <v>1345</v>
      </c>
      <c r="P139" s="14" t="s">
        <v>1348</v>
      </c>
      <c r="Q139" s="17" t="s">
        <v>137</v>
      </c>
      <c r="R139" s="17" t="s">
        <v>146</v>
      </c>
    </row>
    <row r="140" spans="1:18" x14ac:dyDescent="0.3">
      <c r="A140" s="12" t="s">
        <v>1353</v>
      </c>
      <c r="B140" s="12" t="s">
        <v>12</v>
      </c>
      <c r="C140" s="12"/>
      <c r="D140" s="12" t="s">
        <v>12</v>
      </c>
      <c r="E140" s="12" t="s">
        <v>1354</v>
      </c>
      <c r="F140" s="12" t="s">
        <v>447</v>
      </c>
      <c r="G140" s="12" t="s">
        <v>1355</v>
      </c>
      <c r="H140" s="12" t="s">
        <v>36</v>
      </c>
      <c r="I140" s="12" t="s">
        <v>26</v>
      </c>
      <c r="J140" s="13" t="s">
        <v>1356</v>
      </c>
      <c r="K140" s="14" t="s">
        <v>1357</v>
      </c>
      <c r="L140" s="15">
        <v>5</v>
      </c>
      <c r="M140" s="15" t="s">
        <v>144</v>
      </c>
      <c r="N140" s="16">
        <v>45589</v>
      </c>
      <c r="O140" s="12" t="s">
        <v>1353</v>
      </c>
      <c r="P140" s="14" t="s">
        <v>1358</v>
      </c>
      <c r="Q140" s="17" t="s">
        <v>137</v>
      </c>
      <c r="R140" s="17" t="s">
        <v>146</v>
      </c>
    </row>
    <row r="141" spans="1:18" x14ac:dyDescent="0.3">
      <c r="A141" s="12" t="s">
        <v>1378</v>
      </c>
      <c r="B141" s="12" t="s">
        <v>12</v>
      </c>
      <c r="C141" s="12"/>
      <c r="D141" s="12" t="s">
        <v>12</v>
      </c>
      <c r="E141" s="12" t="s">
        <v>1379</v>
      </c>
      <c r="F141" s="12" t="s">
        <v>516</v>
      </c>
      <c r="G141" s="12" t="s">
        <v>1362</v>
      </c>
      <c r="H141" s="12" t="s">
        <v>36</v>
      </c>
      <c r="I141" s="12" t="s">
        <v>26</v>
      </c>
      <c r="J141" s="13" t="s">
        <v>1363</v>
      </c>
      <c r="K141" s="14" t="s">
        <v>1380</v>
      </c>
      <c r="L141" s="15">
        <v>2</v>
      </c>
      <c r="M141" s="15" t="s">
        <v>144</v>
      </c>
      <c r="N141" s="16">
        <v>45853</v>
      </c>
      <c r="O141" s="12" t="s">
        <v>1378</v>
      </c>
      <c r="P141" s="14" t="s">
        <v>1381</v>
      </c>
      <c r="Q141" s="17" t="s">
        <v>137</v>
      </c>
      <c r="R141" s="17" t="s">
        <v>146</v>
      </c>
    </row>
    <row r="142" spans="1:18" x14ac:dyDescent="0.3">
      <c r="A142" s="12" t="s">
        <v>1395</v>
      </c>
      <c r="B142" s="12" t="s">
        <v>12</v>
      </c>
      <c r="C142" s="12"/>
      <c r="D142" s="12" t="s">
        <v>12</v>
      </c>
      <c r="E142" s="12" t="s">
        <v>1360</v>
      </c>
      <c r="F142" s="12" t="s">
        <v>1270</v>
      </c>
      <c r="G142" s="12" t="s">
        <v>1362</v>
      </c>
      <c r="H142" s="12" t="s">
        <v>36</v>
      </c>
      <c r="I142" s="12" t="s">
        <v>26</v>
      </c>
      <c r="J142" s="13" t="s">
        <v>1363</v>
      </c>
      <c r="K142" s="14" t="s">
        <v>1396</v>
      </c>
      <c r="L142" s="15">
        <v>3</v>
      </c>
      <c r="M142" s="15" t="s">
        <v>144</v>
      </c>
      <c r="N142" s="16">
        <v>45679</v>
      </c>
      <c r="O142" s="12" t="s">
        <v>1397</v>
      </c>
      <c r="P142" s="14" t="s">
        <v>1398</v>
      </c>
      <c r="Q142" s="17" t="s">
        <v>137</v>
      </c>
      <c r="R142" s="17" t="s">
        <v>146</v>
      </c>
    </row>
    <row r="143" spans="1:18" x14ac:dyDescent="0.3">
      <c r="A143" s="12" t="s">
        <v>1399</v>
      </c>
      <c r="B143" s="12" t="s">
        <v>12</v>
      </c>
      <c r="C143" s="12"/>
      <c r="D143" s="12" t="s">
        <v>12</v>
      </c>
      <c r="E143" s="12" t="s">
        <v>1400</v>
      </c>
      <c r="F143" s="12"/>
      <c r="G143" s="12" t="s">
        <v>1362</v>
      </c>
      <c r="H143" s="12" t="s">
        <v>36</v>
      </c>
      <c r="I143" s="12" t="s">
        <v>26</v>
      </c>
      <c r="J143" s="13" t="s">
        <v>1363</v>
      </c>
      <c r="K143" s="14" t="s">
        <v>1401</v>
      </c>
      <c r="L143" s="15">
        <v>2</v>
      </c>
      <c r="M143" s="15" t="s">
        <v>144</v>
      </c>
      <c r="N143" s="16">
        <v>44763</v>
      </c>
      <c r="O143" s="12" t="s">
        <v>1399</v>
      </c>
      <c r="P143" s="14" t="s">
        <v>1402</v>
      </c>
      <c r="Q143" s="17" t="s">
        <v>137</v>
      </c>
      <c r="R143" s="17" t="s">
        <v>146</v>
      </c>
    </row>
    <row r="144" spans="1:18" x14ac:dyDescent="0.3">
      <c r="A144" s="12" t="s">
        <v>1413</v>
      </c>
      <c r="B144" s="12" t="s">
        <v>12</v>
      </c>
      <c r="C144" s="12"/>
      <c r="D144" s="12" t="s">
        <v>12</v>
      </c>
      <c r="E144" s="12" t="s">
        <v>1414</v>
      </c>
      <c r="F144" s="12" t="s">
        <v>843</v>
      </c>
      <c r="G144" s="12" t="s">
        <v>1362</v>
      </c>
      <c r="H144" s="12" t="s">
        <v>36</v>
      </c>
      <c r="I144" s="12" t="s">
        <v>26</v>
      </c>
      <c r="J144" s="13" t="s">
        <v>1386</v>
      </c>
      <c r="K144" s="14" t="s">
        <v>1415</v>
      </c>
      <c r="L144" s="15">
        <v>1</v>
      </c>
      <c r="M144" s="15" t="s">
        <v>144</v>
      </c>
      <c r="N144" s="16">
        <v>44629</v>
      </c>
      <c r="O144" s="12" t="s">
        <v>1413</v>
      </c>
      <c r="P144" s="14" t="s">
        <v>1416</v>
      </c>
      <c r="Q144" s="17" t="s">
        <v>137</v>
      </c>
      <c r="R144" s="17" t="s">
        <v>146</v>
      </c>
    </row>
    <row r="145" spans="1:18" x14ac:dyDescent="0.3">
      <c r="A145" s="12" t="s">
        <v>1417</v>
      </c>
      <c r="B145" s="12" t="s">
        <v>12</v>
      </c>
      <c r="C145" s="12"/>
      <c r="D145" s="12" t="s">
        <v>12</v>
      </c>
      <c r="E145" s="12" t="s">
        <v>1418</v>
      </c>
      <c r="F145" s="12"/>
      <c r="G145" s="12" t="s">
        <v>1362</v>
      </c>
      <c r="H145" s="12" t="s">
        <v>36</v>
      </c>
      <c r="I145" s="12" t="s">
        <v>26</v>
      </c>
      <c r="J145" s="13" t="s">
        <v>1363</v>
      </c>
      <c r="K145" s="14" t="s">
        <v>1419</v>
      </c>
      <c r="L145" s="15">
        <v>0</v>
      </c>
      <c r="M145" s="15" t="s">
        <v>144</v>
      </c>
      <c r="N145" s="16">
        <v>46220</v>
      </c>
      <c r="O145" s="12" t="s">
        <v>1417</v>
      </c>
      <c r="P145" s="14" t="s">
        <v>1420</v>
      </c>
      <c r="Q145" s="17" t="s">
        <v>137</v>
      </c>
      <c r="R145" s="17" t="s">
        <v>146</v>
      </c>
    </row>
    <row r="146" spans="1:18" x14ac:dyDescent="0.3">
      <c r="A146" s="12" t="s">
        <v>1422</v>
      </c>
      <c r="B146" s="12" t="s">
        <v>12</v>
      </c>
      <c r="C146" s="12"/>
      <c r="D146" s="12" t="s">
        <v>12</v>
      </c>
      <c r="E146" s="12" t="s">
        <v>1423</v>
      </c>
      <c r="F146" s="12" t="s">
        <v>1163</v>
      </c>
      <c r="G146" s="12" t="s">
        <v>1362</v>
      </c>
      <c r="H146" s="12" t="s">
        <v>36</v>
      </c>
      <c r="I146" s="12" t="s">
        <v>26</v>
      </c>
      <c r="J146" s="13" t="s">
        <v>1363</v>
      </c>
      <c r="K146" s="14" t="s">
        <v>1424</v>
      </c>
      <c r="L146" s="15">
        <v>1</v>
      </c>
      <c r="M146" s="15" t="s">
        <v>144</v>
      </c>
      <c r="N146" s="16">
        <v>44690</v>
      </c>
      <c r="O146" s="12" t="s">
        <v>1422</v>
      </c>
      <c r="P146" s="14" t="s">
        <v>1425</v>
      </c>
      <c r="Q146" s="17" t="s">
        <v>137</v>
      </c>
      <c r="R146" s="17" t="s">
        <v>146</v>
      </c>
    </row>
    <row r="147" spans="1:18" x14ac:dyDescent="0.3">
      <c r="A147" s="12" t="s">
        <v>1426</v>
      </c>
      <c r="B147" s="12" t="s">
        <v>12</v>
      </c>
      <c r="C147" s="12"/>
      <c r="D147" s="12" t="s">
        <v>12</v>
      </c>
      <c r="E147" s="12" t="s">
        <v>1360</v>
      </c>
      <c r="F147" s="12" t="s">
        <v>1163</v>
      </c>
      <c r="G147" s="12" t="s">
        <v>1362</v>
      </c>
      <c r="H147" s="12" t="s">
        <v>36</v>
      </c>
      <c r="I147" s="12" t="s">
        <v>26</v>
      </c>
      <c r="J147" s="13" t="s">
        <v>1363</v>
      </c>
      <c r="K147" s="14" t="s">
        <v>1412</v>
      </c>
      <c r="L147" s="15">
        <v>3</v>
      </c>
      <c r="M147" s="15" t="s">
        <v>144</v>
      </c>
      <c r="N147" s="16">
        <v>45625</v>
      </c>
      <c r="O147" s="12" t="s">
        <v>1426</v>
      </c>
      <c r="P147" s="14" t="s">
        <v>1427</v>
      </c>
      <c r="Q147" s="17" t="s">
        <v>137</v>
      </c>
      <c r="R147" s="17" t="s">
        <v>146</v>
      </c>
    </row>
    <row r="148" spans="1:18" x14ac:dyDescent="0.3">
      <c r="A148" s="12" t="s">
        <v>1428</v>
      </c>
      <c r="B148" s="12" t="s">
        <v>12</v>
      </c>
      <c r="C148" s="12"/>
      <c r="D148" s="12" t="s">
        <v>12</v>
      </c>
      <c r="E148" s="12" t="s">
        <v>1429</v>
      </c>
      <c r="F148" s="12"/>
      <c r="G148" s="12" t="s">
        <v>1430</v>
      </c>
      <c r="H148" s="12" t="s">
        <v>36</v>
      </c>
      <c r="I148" s="12" t="s">
        <v>26</v>
      </c>
      <c r="J148" s="13" t="s">
        <v>1431</v>
      </c>
      <c r="K148" s="14" t="s">
        <v>1432</v>
      </c>
      <c r="L148" s="15">
        <v>1</v>
      </c>
      <c r="M148" s="15" t="s">
        <v>144</v>
      </c>
      <c r="N148" s="16">
        <v>44719</v>
      </c>
      <c r="O148" s="12" t="s">
        <v>1428</v>
      </c>
      <c r="P148" s="14" t="s">
        <v>1433</v>
      </c>
      <c r="Q148" s="17" t="s">
        <v>137</v>
      </c>
      <c r="R148" s="17" t="s">
        <v>146</v>
      </c>
    </row>
    <row r="149" spans="1:18" x14ac:dyDescent="0.3">
      <c r="A149" s="12" t="s">
        <v>1439</v>
      </c>
      <c r="B149" s="12" t="s">
        <v>12</v>
      </c>
      <c r="C149" s="12"/>
      <c r="D149" s="12" t="s">
        <v>12</v>
      </c>
      <c r="E149" s="12" t="s">
        <v>1440</v>
      </c>
      <c r="F149" s="12" t="s">
        <v>1441</v>
      </c>
      <c r="G149" s="12" t="s">
        <v>367</v>
      </c>
      <c r="H149" s="12" t="s">
        <v>36</v>
      </c>
      <c r="I149" s="12" t="s">
        <v>26</v>
      </c>
      <c r="J149" s="13" t="s">
        <v>1442</v>
      </c>
      <c r="K149" s="14" t="s">
        <v>1443</v>
      </c>
      <c r="L149" s="15">
        <v>1</v>
      </c>
      <c r="M149" s="15" t="s">
        <v>144</v>
      </c>
      <c r="N149" s="16">
        <v>45065</v>
      </c>
      <c r="O149" s="12" t="s">
        <v>1439</v>
      </c>
      <c r="P149" s="14" t="s">
        <v>1444</v>
      </c>
      <c r="Q149" s="17" t="s">
        <v>137</v>
      </c>
      <c r="R149" s="17" t="s">
        <v>146</v>
      </c>
    </row>
    <row r="150" spans="1:18" x14ac:dyDescent="0.3">
      <c r="A150" s="12" t="s">
        <v>1470</v>
      </c>
      <c r="B150" s="12" t="s">
        <v>12</v>
      </c>
      <c r="C150" s="12"/>
      <c r="D150" s="12" t="s">
        <v>12</v>
      </c>
      <c r="E150" s="12" t="s">
        <v>1471</v>
      </c>
      <c r="F150" s="12"/>
      <c r="G150" s="12" t="s">
        <v>367</v>
      </c>
      <c r="H150" s="12" t="s">
        <v>36</v>
      </c>
      <c r="I150" s="12" t="s">
        <v>26</v>
      </c>
      <c r="J150" s="13" t="s">
        <v>1472</v>
      </c>
      <c r="K150" s="14" t="s">
        <v>1473</v>
      </c>
      <c r="L150" s="15">
        <v>2</v>
      </c>
      <c r="M150" s="15" t="s">
        <v>144</v>
      </c>
      <c r="N150" s="16">
        <v>45524</v>
      </c>
      <c r="O150" s="12" t="s">
        <v>1474</v>
      </c>
      <c r="P150" s="14" t="s">
        <v>1475</v>
      </c>
      <c r="Q150" s="17" t="s">
        <v>137</v>
      </c>
      <c r="R150" s="17" t="s">
        <v>146</v>
      </c>
    </row>
    <row r="151" spans="1:18" x14ac:dyDescent="0.3">
      <c r="A151" s="12" t="s">
        <v>1480</v>
      </c>
      <c r="B151" s="12" t="s">
        <v>12</v>
      </c>
      <c r="C151" s="12"/>
      <c r="D151" s="12" t="s">
        <v>12</v>
      </c>
      <c r="E151" s="12" t="s">
        <v>1481</v>
      </c>
      <c r="F151" s="12"/>
      <c r="G151" s="12" t="s">
        <v>367</v>
      </c>
      <c r="H151" s="12" t="s">
        <v>36</v>
      </c>
      <c r="I151" s="12" t="s">
        <v>26</v>
      </c>
      <c r="J151" s="13" t="s">
        <v>1482</v>
      </c>
      <c r="K151" s="14" t="s">
        <v>1483</v>
      </c>
      <c r="L151" s="15">
        <v>2</v>
      </c>
      <c r="M151" s="15" t="s">
        <v>144</v>
      </c>
      <c r="N151" s="16">
        <v>45915</v>
      </c>
      <c r="O151" s="12" t="s">
        <v>1484</v>
      </c>
      <c r="P151" s="14" t="s">
        <v>1485</v>
      </c>
      <c r="Q151" s="17" t="s">
        <v>137</v>
      </c>
      <c r="R151" s="17" t="s">
        <v>146</v>
      </c>
    </row>
    <row r="152" spans="1:18" x14ac:dyDescent="0.3">
      <c r="A152" s="12" t="s">
        <v>1489</v>
      </c>
      <c r="B152" s="12" t="s">
        <v>12</v>
      </c>
      <c r="C152" s="12"/>
      <c r="D152" s="12" t="s">
        <v>12</v>
      </c>
      <c r="E152" s="12" t="s">
        <v>1490</v>
      </c>
      <c r="F152" s="12" t="s">
        <v>1491</v>
      </c>
      <c r="G152" s="12" t="s">
        <v>367</v>
      </c>
      <c r="H152" s="12" t="s">
        <v>36</v>
      </c>
      <c r="I152" s="12" t="s">
        <v>26</v>
      </c>
      <c r="J152" s="13" t="s">
        <v>1492</v>
      </c>
      <c r="K152" s="14" t="s">
        <v>1493</v>
      </c>
      <c r="L152" s="15">
        <v>2</v>
      </c>
      <c r="M152" s="15" t="s">
        <v>144</v>
      </c>
      <c r="N152" s="16">
        <v>45132</v>
      </c>
      <c r="O152" s="12" t="s">
        <v>1494</v>
      </c>
      <c r="P152" s="14" t="s">
        <v>1495</v>
      </c>
      <c r="Q152" s="17" t="s">
        <v>137</v>
      </c>
      <c r="R152" s="17" t="s">
        <v>146</v>
      </c>
    </row>
    <row r="153" spans="1:18" x14ac:dyDescent="0.3">
      <c r="A153" s="12" t="s">
        <v>1496</v>
      </c>
      <c r="B153" s="12" t="s">
        <v>12</v>
      </c>
      <c r="C153" s="12"/>
      <c r="D153" s="12" t="s">
        <v>12</v>
      </c>
      <c r="E153" s="12" t="s">
        <v>1497</v>
      </c>
      <c r="F153" s="12"/>
      <c r="G153" s="12" t="s">
        <v>367</v>
      </c>
      <c r="H153" s="12" t="s">
        <v>36</v>
      </c>
      <c r="I153" s="12" t="s">
        <v>26</v>
      </c>
      <c r="J153" s="13" t="s">
        <v>1498</v>
      </c>
      <c r="K153" s="14" t="s">
        <v>1499</v>
      </c>
      <c r="L153" s="15">
        <v>0</v>
      </c>
      <c r="M153" s="15" t="s">
        <v>144</v>
      </c>
      <c r="N153" s="16">
        <v>45554</v>
      </c>
      <c r="O153" s="12" t="s">
        <v>1496</v>
      </c>
      <c r="P153" s="14" t="s">
        <v>1500</v>
      </c>
      <c r="Q153" s="17" t="s">
        <v>137</v>
      </c>
      <c r="R153" s="17" t="s">
        <v>146</v>
      </c>
    </row>
    <row r="154" spans="1:18" x14ac:dyDescent="0.3">
      <c r="A154" s="12" t="s">
        <v>1506</v>
      </c>
      <c r="B154" s="12" t="s">
        <v>12</v>
      </c>
      <c r="C154" s="12"/>
      <c r="D154" s="12" t="s">
        <v>12</v>
      </c>
      <c r="E154" s="12" t="s">
        <v>1507</v>
      </c>
      <c r="F154" s="12" t="s">
        <v>1508</v>
      </c>
      <c r="G154" s="12" t="s">
        <v>367</v>
      </c>
      <c r="H154" s="12" t="s">
        <v>36</v>
      </c>
      <c r="I154" s="12" t="s">
        <v>26</v>
      </c>
      <c r="J154" s="13" t="s">
        <v>1482</v>
      </c>
      <c r="K154" s="14" t="s">
        <v>1509</v>
      </c>
      <c r="L154" s="15">
        <v>2</v>
      </c>
      <c r="M154" s="15" t="s">
        <v>144</v>
      </c>
      <c r="N154" s="16">
        <v>45811</v>
      </c>
      <c r="O154" s="12" t="s">
        <v>1506</v>
      </c>
      <c r="P154" s="14" t="s">
        <v>1510</v>
      </c>
      <c r="Q154" s="17" t="s">
        <v>137</v>
      </c>
      <c r="R154" s="17" t="s">
        <v>146</v>
      </c>
    </row>
    <row r="155" spans="1:18" x14ac:dyDescent="0.3">
      <c r="A155" s="12" t="s">
        <v>1516</v>
      </c>
      <c r="B155" s="12" t="s">
        <v>12</v>
      </c>
      <c r="C155" s="12"/>
      <c r="D155" s="12" t="s">
        <v>12</v>
      </c>
      <c r="E155" s="12" t="s">
        <v>1517</v>
      </c>
      <c r="F155" s="12"/>
      <c r="G155" s="12" t="s">
        <v>367</v>
      </c>
      <c r="H155" s="12" t="s">
        <v>36</v>
      </c>
      <c r="I155" s="12" t="s">
        <v>26</v>
      </c>
      <c r="J155" s="13" t="s">
        <v>1518</v>
      </c>
      <c r="K155" s="14" t="s">
        <v>1519</v>
      </c>
      <c r="L155" s="15">
        <v>1</v>
      </c>
      <c r="M155" s="15" t="s">
        <v>144</v>
      </c>
      <c r="N155" s="16">
        <v>45705</v>
      </c>
      <c r="O155" s="12" t="s">
        <v>1516</v>
      </c>
      <c r="P155" s="14" t="s">
        <v>1520</v>
      </c>
      <c r="Q155" s="17" t="s">
        <v>137</v>
      </c>
      <c r="R155" s="17" t="s">
        <v>146</v>
      </c>
    </row>
    <row r="156" spans="1:18" x14ac:dyDescent="0.3">
      <c r="A156" s="12" t="s">
        <v>1521</v>
      </c>
      <c r="B156" s="12" t="s">
        <v>12</v>
      </c>
      <c r="C156" s="12"/>
      <c r="D156" s="12" t="s">
        <v>12</v>
      </c>
      <c r="E156" s="12" t="s">
        <v>1522</v>
      </c>
      <c r="F156" s="12" t="s">
        <v>510</v>
      </c>
      <c r="G156" s="12" t="s">
        <v>367</v>
      </c>
      <c r="H156" s="12" t="s">
        <v>36</v>
      </c>
      <c r="I156" s="12" t="s">
        <v>26</v>
      </c>
      <c r="J156" s="13" t="s">
        <v>1482</v>
      </c>
      <c r="K156" s="14" t="s">
        <v>1523</v>
      </c>
      <c r="L156" s="15">
        <v>0</v>
      </c>
      <c r="M156" s="15" t="s">
        <v>144</v>
      </c>
      <c r="N156" s="16">
        <v>45407</v>
      </c>
      <c r="O156" s="12" t="s">
        <v>1521</v>
      </c>
      <c r="P156" s="14" t="s">
        <v>1524</v>
      </c>
      <c r="Q156" s="17" t="s">
        <v>137</v>
      </c>
      <c r="R156" s="17" t="s">
        <v>146</v>
      </c>
    </row>
    <row r="157" spans="1:18" x14ac:dyDescent="0.3">
      <c r="A157" s="12" t="s">
        <v>1525</v>
      </c>
      <c r="B157" s="12" t="s">
        <v>12</v>
      </c>
      <c r="C157" s="12"/>
      <c r="D157" s="12" t="s">
        <v>12</v>
      </c>
      <c r="E157" s="12" t="s">
        <v>1526</v>
      </c>
      <c r="F157" s="12" t="s">
        <v>1527</v>
      </c>
      <c r="G157" s="12" t="s">
        <v>367</v>
      </c>
      <c r="H157" s="12" t="s">
        <v>36</v>
      </c>
      <c r="I157" s="12" t="s">
        <v>26</v>
      </c>
      <c r="J157" s="13" t="s">
        <v>1482</v>
      </c>
      <c r="K157" s="14" t="s">
        <v>1528</v>
      </c>
      <c r="L157" s="15">
        <v>4</v>
      </c>
      <c r="M157" s="15" t="s">
        <v>144</v>
      </c>
      <c r="N157" s="16">
        <v>45877</v>
      </c>
      <c r="O157" s="12" t="s">
        <v>1529</v>
      </c>
      <c r="P157" s="14" t="s">
        <v>1530</v>
      </c>
      <c r="Q157" s="17" t="s">
        <v>137</v>
      </c>
      <c r="R157" s="17" t="s">
        <v>146</v>
      </c>
    </row>
    <row r="158" spans="1:18" x14ac:dyDescent="0.3">
      <c r="A158" s="12" t="s">
        <v>1540</v>
      </c>
      <c r="B158" s="12" t="s">
        <v>12</v>
      </c>
      <c r="C158" s="12"/>
      <c r="D158" s="12" t="s">
        <v>12</v>
      </c>
      <c r="E158" s="12" t="s">
        <v>1541</v>
      </c>
      <c r="F158" s="12" t="s">
        <v>1542</v>
      </c>
      <c r="G158" s="12" t="s">
        <v>367</v>
      </c>
      <c r="H158" s="12" t="s">
        <v>36</v>
      </c>
      <c r="I158" s="12" t="s">
        <v>26</v>
      </c>
      <c r="J158" s="13" t="s">
        <v>1449</v>
      </c>
      <c r="K158" s="14" t="s">
        <v>1543</v>
      </c>
      <c r="L158" s="15">
        <v>1</v>
      </c>
      <c r="M158" s="15" t="s">
        <v>144</v>
      </c>
      <c r="N158" s="16">
        <v>45609</v>
      </c>
      <c r="O158" s="12" t="s">
        <v>1540</v>
      </c>
      <c r="P158" s="14" t="s">
        <v>1544</v>
      </c>
      <c r="Q158" s="17" t="s">
        <v>137</v>
      </c>
      <c r="R158" s="17" t="s">
        <v>146</v>
      </c>
    </row>
    <row r="159" spans="1:18" x14ac:dyDescent="0.3">
      <c r="A159" s="12" t="s">
        <v>1571</v>
      </c>
      <c r="B159" s="12" t="s">
        <v>12</v>
      </c>
      <c r="C159" s="12"/>
      <c r="D159" s="12" t="s">
        <v>12</v>
      </c>
      <c r="E159" s="12" t="s">
        <v>1572</v>
      </c>
      <c r="F159" s="12" t="s">
        <v>1573</v>
      </c>
      <c r="G159" s="12" t="s">
        <v>367</v>
      </c>
      <c r="H159" s="12" t="s">
        <v>36</v>
      </c>
      <c r="I159" s="12" t="s">
        <v>26</v>
      </c>
      <c r="J159" s="13" t="s">
        <v>1557</v>
      </c>
      <c r="K159" s="14" t="s">
        <v>1574</v>
      </c>
      <c r="L159" s="15">
        <v>7</v>
      </c>
      <c r="M159" s="15" t="s">
        <v>144</v>
      </c>
      <c r="N159" s="16">
        <v>46059</v>
      </c>
      <c r="O159" s="12" t="s">
        <v>1571</v>
      </c>
      <c r="P159" s="14" t="s">
        <v>1575</v>
      </c>
      <c r="Q159" s="17" t="s">
        <v>137</v>
      </c>
      <c r="R159" s="17" t="s">
        <v>146</v>
      </c>
    </row>
    <row r="160" spans="1:18" x14ac:dyDescent="0.3">
      <c r="A160" s="12" t="s">
        <v>1590</v>
      </c>
      <c r="B160" s="12" t="s">
        <v>12</v>
      </c>
      <c r="C160" s="12"/>
      <c r="D160" s="12" t="s">
        <v>12</v>
      </c>
      <c r="E160" s="12" t="s">
        <v>1591</v>
      </c>
      <c r="F160" s="12" t="s">
        <v>1592</v>
      </c>
      <c r="G160" s="12" t="s">
        <v>367</v>
      </c>
      <c r="H160" s="12" t="s">
        <v>36</v>
      </c>
      <c r="I160" s="12" t="s">
        <v>26</v>
      </c>
      <c r="J160" s="13" t="s">
        <v>1557</v>
      </c>
      <c r="K160" s="14" t="s">
        <v>1593</v>
      </c>
      <c r="L160" s="15">
        <v>2</v>
      </c>
      <c r="M160" s="15" t="s">
        <v>144</v>
      </c>
      <c r="N160" s="16">
        <v>45504</v>
      </c>
      <c r="O160" s="12" t="s">
        <v>1590</v>
      </c>
      <c r="P160" s="14" t="s">
        <v>1594</v>
      </c>
      <c r="Q160" s="17" t="s">
        <v>137</v>
      </c>
      <c r="R160" s="17" t="s">
        <v>146</v>
      </c>
    </row>
    <row r="161" spans="1:18" x14ac:dyDescent="0.3">
      <c r="A161" s="12" t="s">
        <v>1595</v>
      </c>
      <c r="B161" s="12" t="s">
        <v>12</v>
      </c>
      <c r="C161" s="12"/>
      <c r="D161" s="12" t="s">
        <v>12</v>
      </c>
      <c r="E161" s="12" t="s">
        <v>1596</v>
      </c>
      <c r="F161" s="12"/>
      <c r="G161" s="12" t="s">
        <v>367</v>
      </c>
      <c r="H161" s="12" t="s">
        <v>36</v>
      </c>
      <c r="I161" s="12" t="s">
        <v>26</v>
      </c>
      <c r="J161" s="13" t="s">
        <v>1456</v>
      </c>
      <c r="K161" s="14" t="s">
        <v>1597</v>
      </c>
      <c r="L161" s="15">
        <v>0</v>
      </c>
      <c r="M161" s="15" t="s">
        <v>144</v>
      </c>
      <c r="N161" s="16">
        <v>46079</v>
      </c>
      <c r="O161" s="12" t="s">
        <v>1595</v>
      </c>
      <c r="P161" s="14" t="s">
        <v>1598</v>
      </c>
      <c r="Q161" s="17" t="s">
        <v>137</v>
      </c>
      <c r="R161" s="17" t="s">
        <v>146</v>
      </c>
    </row>
    <row r="162" spans="1:18" x14ac:dyDescent="0.3">
      <c r="A162" s="12" t="s">
        <v>1604</v>
      </c>
      <c r="B162" s="12" t="s">
        <v>12</v>
      </c>
      <c r="C162" s="12"/>
      <c r="D162" s="12" t="s">
        <v>12</v>
      </c>
      <c r="E162" s="12" t="s">
        <v>1605</v>
      </c>
      <c r="F162" s="12"/>
      <c r="G162" s="12" t="s">
        <v>367</v>
      </c>
      <c r="H162" s="12" t="s">
        <v>36</v>
      </c>
      <c r="I162" s="12" t="s">
        <v>26</v>
      </c>
      <c r="J162" s="13" t="s">
        <v>1606</v>
      </c>
      <c r="K162" s="14" t="s">
        <v>1607</v>
      </c>
      <c r="L162" s="15">
        <v>2</v>
      </c>
      <c r="M162" s="15" t="s">
        <v>144</v>
      </c>
      <c r="N162" s="16">
        <v>44740</v>
      </c>
      <c r="O162" s="12" t="s">
        <v>1604</v>
      </c>
      <c r="P162" s="14" t="s">
        <v>1608</v>
      </c>
      <c r="Q162" s="17" t="s">
        <v>137</v>
      </c>
      <c r="R162" s="17" t="s">
        <v>146</v>
      </c>
    </row>
    <row r="163" spans="1:18" x14ac:dyDescent="0.3">
      <c r="A163" s="12" t="s">
        <v>1604</v>
      </c>
      <c r="B163" s="12" t="s">
        <v>12</v>
      </c>
      <c r="C163" s="12"/>
      <c r="D163" s="12" t="s">
        <v>12</v>
      </c>
      <c r="E163" s="12" t="s">
        <v>1609</v>
      </c>
      <c r="F163" s="12"/>
      <c r="G163" s="12" t="s">
        <v>367</v>
      </c>
      <c r="H163" s="12" t="s">
        <v>36</v>
      </c>
      <c r="I163" s="12" t="s">
        <v>26</v>
      </c>
      <c r="J163" s="13" t="s">
        <v>1606</v>
      </c>
      <c r="K163" s="14" t="s">
        <v>1610</v>
      </c>
      <c r="L163" s="15">
        <v>1</v>
      </c>
      <c r="M163" s="15" t="s">
        <v>144</v>
      </c>
      <c r="N163" s="16">
        <v>44740</v>
      </c>
      <c r="O163" s="12" t="s">
        <v>1604</v>
      </c>
      <c r="P163" s="14" t="s">
        <v>1608</v>
      </c>
      <c r="Q163" s="17" t="s">
        <v>137</v>
      </c>
      <c r="R163" s="17" t="s">
        <v>146</v>
      </c>
    </row>
    <row r="164" spans="1:18" x14ac:dyDescent="0.3">
      <c r="A164" s="12" t="s">
        <v>1611</v>
      </c>
      <c r="B164" s="12" t="s">
        <v>12</v>
      </c>
      <c r="C164" s="12"/>
      <c r="D164" s="12" t="s">
        <v>12</v>
      </c>
      <c r="E164" s="12" t="s">
        <v>1612</v>
      </c>
      <c r="F164" s="12"/>
      <c r="G164" s="12" t="s">
        <v>367</v>
      </c>
      <c r="H164" s="12" t="s">
        <v>36</v>
      </c>
      <c r="I164" s="12" t="s">
        <v>26</v>
      </c>
      <c r="J164" s="13" t="s">
        <v>1482</v>
      </c>
      <c r="K164" s="14" t="s">
        <v>1613</v>
      </c>
      <c r="L164" s="15">
        <v>0</v>
      </c>
      <c r="M164" s="15" t="s">
        <v>144</v>
      </c>
      <c r="N164" s="16">
        <v>46240</v>
      </c>
      <c r="O164" s="12" t="s">
        <v>1611</v>
      </c>
      <c r="P164" s="14" t="s">
        <v>1614</v>
      </c>
      <c r="Q164" s="17" t="s">
        <v>137</v>
      </c>
      <c r="R164" s="17" t="s">
        <v>146</v>
      </c>
    </row>
    <row r="165" spans="1:18" x14ac:dyDescent="0.3">
      <c r="A165" s="12" t="s">
        <v>1625</v>
      </c>
      <c r="B165" s="12" t="s">
        <v>12</v>
      </c>
      <c r="C165" s="12"/>
      <c r="D165" s="12" t="s">
        <v>12</v>
      </c>
      <c r="E165" s="12" t="s">
        <v>1626</v>
      </c>
      <c r="F165" s="12"/>
      <c r="G165" s="12" t="s">
        <v>367</v>
      </c>
      <c r="H165" s="12" t="s">
        <v>36</v>
      </c>
      <c r="I165" s="12" t="s">
        <v>26</v>
      </c>
      <c r="J165" s="13" t="s">
        <v>1564</v>
      </c>
      <c r="K165" s="14" t="s">
        <v>1627</v>
      </c>
      <c r="L165" s="15">
        <v>1</v>
      </c>
      <c r="M165" s="15" t="s">
        <v>144</v>
      </c>
      <c r="N165" s="16">
        <v>45540</v>
      </c>
      <c r="O165" s="12" t="s">
        <v>1625</v>
      </c>
      <c r="P165" s="14" t="s">
        <v>1628</v>
      </c>
      <c r="Q165" s="17" t="s">
        <v>137</v>
      </c>
      <c r="R165" s="17" t="s">
        <v>146</v>
      </c>
    </row>
    <row r="166" spans="1:18" x14ac:dyDescent="0.3">
      <c r="A166" s="12" t="s">
        <v>1652</v>
      </c>
      <c r="B166" s="12" t="s">
        <v>12</v>
      </c>
      <c r="C166" s="12"/>
      <c r="D166" s="12" t="s">
        <v>12</v>
      </c>
      <c r="E166" s="12" t="s">
        <v>1653</v>
      </c>
      <c r="F166" s="12" t="s">
        <v>188</v>
      </c>
      <c r="G166" s="12" t="s">
        <v>367</v>
      </c>
      <c r="H166" s="12" t="s">
        <v>36</v>
      </c>
      <c r="I166" s="12" t="s">
        <v>26</v>
      </c>
      <c r="J166" s="13" t="s">
        <v>1654</v>
      </c>
      <c r="K166" s="14" t="s">
        <v>1655</v>
      </c>
      <c r="L166" s="15">
        <v>1</v>
      </c>
      <c r="M166" s="15" t="s">
        <v>144</v>
      </c>
      <c r="N166" s="16">
        <v>45622</v>
      </c>
      <c r="O166" s="12" t="s">
        <v>1656</v>
      </c>
      <c r="P166" s="14" t="s">
        <v>1657</v>
      </c>
      <c r="Q166" s="17" t="s">
        <v>137</v>
      </c>
      <c r="R166" s="17" t="s">
        <v>146</v>
      </c>
    </row>
    <row r="167" spans="1:18" x14ac:dyDescent="0.3">
      <c r="A167" s="12" t="s">
        <v>1658</v>
      </c>
      <c r="B167" s="12" t="s">
        <v>12</v>
      </c>
      <c r="C167" s="12"/>
      <c r="D167" s="12" t="s">
        <v>12</v>
      </c>
      <c r="E167" s="12" t="s">
        <v>1659</v>
      </c>
      <c r="F167" s="12" t="s">
        <v>1660</v>
      </c>
      <c r="G167" s="12" t="s">
        <v>1661</v>
      </c>
      <c r="H167" s="12" t="s">
        <v>36</v>
      </c>
      <c r="I167" s="12" t="s">
        <v>26</v>
      </c>
      <c r="J167" s="13" t="s">
        <v>1662</v>
      </c>
      <c r="K167" s="14" t="s">
        <v>1663</v>
      </c>
      <c r="L167" s="15">
        <v>10</v>
      </c>
      <c r="M167" s="15" t="s">
        <v>144</v>
      </c>
      <c r="N167" s="16">
        <v>45779</v>
      </c>
      <c r="O167" s="12" t="s">
        <v>1658</v>
      </c>
      <c r="P167" s="14" t="s">
        <v>1664</v>
      </c>
      <c r="Q167" s="17" t="s">
        <v>137</v>
      </c>
      <c r="R167" s="17" t="s">
        <v>146</v>
      </c>
    </row>
    <row r="168" spans="1:18" x14ac:dyDescent="0.3">
      <c r="A168" s="12" t="s">
        <v>1674</v>
      </c>
      <c r="B168" s="12" t="s">
        <v>12</v>
      </c>
      <c r="C168" s="12"/>
      <c r="D168" s="12" t="s">
        <v>12</v>
      </c>
      <c r="E168" s="12" t="s">
        <v>1675</v>
      </c>
      <c r="F168" s="12"/>
      <c r="G168" s="12" t="s">
        <v>1661</v>
      </c>
      <c r="H168" s="12" t="s">
        <v>36</v>
      </c>
      <c r="I168" s="12" t="s">
        <v>26</v>
      </c>
      <c r="J168" s="13" t="s">
        <v>1342</v>
      </c>
      <c r="K168" s="14" t="s">
        <v>1676</v>
      </c>
      <c r="L168" s="15">
        <v>0</v>
      </c>
      <c r="M168" s="15" t="s">
        <v>144</v>
      </c>
      <c r="N168" s="16">
        <v>45603</v>
      </c>
      <c r="O168" s="12" t="s">
        <v>1677</v>
      </c>
      <c r="P168" s="14" t="s">
        <v>1678</v>
      </c>
      <c r="Q168" s="17" t="s">
        <v>137</v>
      </c>
      <c r="R168" s="17" t="s">
        <v>146</v>
      </c>
    </row>
    <row r="169" spans="1:18" x14ac:dyDescent="0.3">
      <c r="A169" s="12" t="s">
        <v>1687</v>
      </c>
      <c r="B169" s="12" t="s">
        <v>12</v>
      </c>
      <c r="C169" s="12"/>
      <c r="D169" s="12" t="s">
        <v>12</v>
      </c>
      <c r="E169" s="12" t="s">
        <v>1688</v>
      </c>
      <c r="F169" s="12" t="s">
        <v>447</v>
      </c>
      <c r="G169" s="12" t="s">
        <v>1661</v>
      </c>
      <c r="H169" s="12" t="s">
        <v>36</v>
      </c>
      <c r="I169" s="12" t="s">
        <v>26</v>
      </c>
      <c r="J169" s="13" t="s">
        <v>1681</v>
      </c>
      <c r="K169" s="14" t="s">
        <v>1689</v>
      </c>
      <c r="L169" s="15">
        <v>1</v>
      </c>
      <c r="M169" s="15" t="s">
        <v>144</v>
      </c>
      <c r="N169" s="16">
        <v>45449</v>
      </c>
      <c r="O169" s="12" t="s">
        <v>1690</v>
      </c>
      <c r="P169" s="14" t="s">
        <v>1691</v>
      </c>
      <c r="Q169" s="17" t="s">
        <v>137</v>
      </c>
      <c r="R169" s="17" t="s">
        <v>146</v>
      </c>
    </row>
    <row r="170" spans="1:18" x14ac:dyDescent="0.3">
      <c r="A170" s="12" t="s">
        <v>1700</v>
      </c>
      <c r="B170" s="12" t="s">
        <v>12</v>
      </c>
      <c r="C170" s="12"/>
      <c r="D170" s="12" t="s">
        <v>12</v>
      </c>
      <c r="E170" s="12" t="s">
        <v>1701</v>
      </c>
      <c r="F170" s="12" t="s">
        <v>1702</v>
      </c>
      <c r="G170" s="12" t="s">
        <v>1661</v>
      </c>
      <c r="H170" s="12" t="s">
        <v>36</v>
      </c>
      <c r="I170" s="12" t="s">
        <v>26</v>
      </c>
      <c r="J170" s="13" t="s">
        <v>1342</v>
      </c>
      <c r="K170" s="14" t="s">
        <v>1703</v>
      </c>
      <c r="L170" s="15">
        <v>1</v>
      </c>
      <c r="M170" s="15" t="s">
        <v>144</v>
      </c>
      <c r="N170" s="16">
        <v>45247</v>
      </c>
      <c r="O170" s="12" t="s">
        <v>1700</v>
      </c>
      <c r="P170" s="14" t="s">
        <v>1704</v>
      </c>
      <c r="Q170" s="17" t="s">
        <v>137</v>
      </c>
      <c r="R170" s="17" t="s">
        <v>146</v>
      </c>
    </row>
    <row r="171" spans="1:18" x14ac:dyDescent="0.3">
      <c r="A171" s="12" t="s">
        <v>1706</v>
      </c>
      <c r="B171" s="12" t="s">
        <v>12</v>
      </c>
      <c r="C171" s="12"/>
      <c r="D171" s="12" t="s">
        <v>12</v>
      </c>
      <c r="E171" s="12" t="s">
        <v>1707</v>
      </c>
      <c r="F171" s="12" t="s">
        <v>1708</v>
      </c>
      <c r="G171" s="12" t="s">
        <v>1661</v>
      </c>
      <c r="H171" s="12" t="s">
        <v>36</v>
      </c>
      <c r="I171" s="12" t="s">
        <v>26</v>
      </c>
      <c r="J171" s="13" t="s">
        <v>1662</v>
      </c>
      <c r="K171" s="14" t="s">
        <v>1709</v>
      </c>
      <c r="L171" s="15">
        <v>6</v>
      </c>
      <c r="M171" s="15" t="s">
        <v>144</v>
      </c>
      <c r="N171" s="16">
        <v>45834</v>
      </c>
      <c r="O171" s="12" t="s">
        <v>1710</v>
      </c>
      <c r="P171" s="14" t="s">
        <v>1711</v>
      </c>
      <c r="Q171" s="17" t="s">
        <v>137</v>
      </c>
      <c r="R171" s="17" t="s">
        <v>146</v>
      </c>
    </row>
    <row r="172" spans="1:18" x14ac:dyDescent="0.3">
      <c r="A172" s="12" t="s">
        <v>1713</v>
      </c>
      <c r="B172" s="12" t="s">
        <v>12</v>
      </c>
      <c r="C172" s="12"/>
      <c r="D172" s="12" t="s">
        <v>12</v>
      </c>
      <c r="E172" s="12" t="s">
        <v>1714</v>
      </c>
      <c r="F172" s="12" t="s">
        <v>293</v>
      </c>
      <c r="G172" s="12" t="s">
        <v>1661</v>
      </c>
      <c r="H172" s="12" t="s">
        <v>36</v>
      </c>
      <c r="I172" s="12" t="s">
        <v>26</v>
      </c>
      <c r="J172" s="13" t="s">
        <v>1662</v>
      </c>
      <c r="K172" s="14" t="s">
        <v>1715</v>
      </c>
      <c r="L172" s="15">
        <v>1</v>
      </c>
      <c r="M172" s="15" t="s">
        <v>144</v>
      </c>
      <c r="N172" s="16">
        <v>45533</v>
      </c>
      <c r="O172" s="12" t="s">
        <v>1716</v>
      </c>
      <c r="P172" s="14" t="s">
        <v>1717</v>
      </c>
      <c r="Q172" s="17" t="s">
        <v>137</v>
      </c>
      <c r="R172" s="17" t="s">
        <v>146</v>
      </c>
    </row>
    <row r="173" spans="1:18" x14ac:dyDescent="0.3">
      <c r="A173" s="12" t="s">
        <v>1731</v>
      </c>
      <c r="B173" s="12" t="s">
        <v>12</v>
      </c>
      <c r="C173" s="12"/>
      <c r="D173" s="12" t="s">
        <v>12</v>
      </c>
      <c r="E173" s="12" t="s">
        <v>1732</v>
      </c>
      <c r="F173" s="12"/>
      <c r="G173" s="12" t="s">
        <v>1733</v>
      </c>
      <c r="H173" s="12" t="s">
        <v>36</v>
      </c>
      <c r="I173" s="12" t="s">
        <v>26</v>
      </c>
      <c r="J173" s="13" t="s">
        <v>1734</v>
      </c>
      <c r="K173" s="14" t="s">
        <v>1735</v>
      </c>
      <c r="L173" s="15">
        <v>1</v>
      </c>
      <c r="M173" s="15" t="s">
        <v>144</v>
      </c>
      <c r="N173" s="16">
        <v>44908</v>
      </c>
      <c r="O173" s="12" t="s">
        <v>1736</v>
      </c>
      <c r="P173" s="14" t="s">
        <v>1737</v>
      </c>
      <c r="Q173" s="17" t="s">
        <v>137</v>
      </c>
      <c r="R173" s="17" t="s">
        <v>146</v>
      </c>
    </row>
    <row r="174" spans="1:18" x14ac:dyDescent="0.3">
      <c r="A174" s="12" t="s">
        <v>1738</v>
      </c>
      <c r="B174" s="12" t="s">
        <v>12</v>
      </c>
      <c r="C174" s="12"/>
      <c r="D174" s="12" t="s">
        <v>12</v>
      </c>
      <c r="E174" s="12" t="s">
        <v>1739</v>
      </c>
      <c r="F174" s="12" t="s">
        <v>1740</v>
      </c>
      <c r="G174" s="12" t="s">
        <v>1741</v>
      </c>
      <c r="H174" s="12" t="s">
        <v>36</v>
      </c>
      <c r="I174" s="12" t="s">
        <v>26</v>
      </c>
      <c r="J174" s="13" t="s">
        <v>1742</v>
      </c>
      <c r="K174" s="14" t="s">
        <v>1743</v>
      </c>
      <c r="L174" s="15">
        <v>4</v>
      </c>
      <c r="M174" s="15" t="s">
        <v>144</v>
      </c>
      <c r="N174" s="16">
        <v>45103</v>
      </c>
      <c r="O174" s="12" t="s">
        <v>1738</v>
      </c>
      <c r="P174" s="14" t="s">
        <v>1744</v>
      </c>
      <c r="Q174" s="17" t="s">
        <v>137</v>
      </c>
      <c r="R174" s="17" t="s">
        <v>146</v>
      </c>
    </row>
    <row r="175" spans="1:18" x14ac:dyDescent="0.3">
      <c r="A175" s="12" t="s">
        <v>869</v>
      </c>
      <c r="B175" s="12" t="s">
        <v>12</v>
      </c>
      <c r="C175" s="12" t="s">
        <v>14</v>
      </c>
      <c r="D175" s="12" t="s">
        <v>180</v>
      </c>
      <c r="E175" s="12" t="s">
        <v>1745</v>
      </c>
      <c r="F175" s="12"/>
      <c r="G175" s="12" t="s">
        <v>1746</v>
      </c>
      <c r="H175" s="12" t="s">
        <v>36</v>
      </c>
      <c r="I175" s="12" t="s">
        <v>26</v>
      </c>
      <c r="J175" s="13" t="s">
        <v>1363</v>
      </c>
      <c r="K175" s="14" t="s">
        <v>1747</v>
      </c>
      <c r="L175" s="15">
        <v>3</v>
      </c>
      <c r="M175" s="15" t="s">
        <v>144</v>
      </c>
      <c r="N175" s="16">
        <v>46198</v>
      </c>
      <c r="O175" s="12" t="s">
        <v>869</v>
      </c>
      <c r="P175" s="14" t="s">
        <v>873</v>
      </c>
      <c r="Q175" s="17" t="s">
        <v>137</v>
      </c>
      <c r="R175" s="17" t="s">
        <v>146</v>
      </c>
    </row>
    <row r="176" spans="1:18" x14ac:dyDescent="0.3">
      <c r="A176" s="12" t="s">
        <v>1748</v>
      </c>
      <c r="B176" s="12" t="s">
        <v>12</v>
      </c>
      <c r="C176" s="12"/>
      <c r="D176" s="12" t="s">
        <v>12</v>
      </c>
      <c r="E176" s="12" t="s">
        <v>1749</v>
      </c>
      <c r="F176" s="12" t="s">
        <v>164</v>
      </c>
      <c r="G176" s="12" t="s">
        <v>1750</v>
      </c>
      <c r="H176" s="12" t="s">
        <v>36</v>
      </c>
      <c r="I176" s="12" t="s">
        <v>26</v>
      </c>
      <c r="J176" s="13" t="s">
        <v>1751</v>
      </c>
      <c r="K176" s="14" t="s">
        <v>1752</v>
      </c>
      <c r="L176" s="15">
        <v>4</v>
      </c>
      <c r="M176" s="15" t="s">
        <v>144</v>
      </c>
      <c r="N176" s="16">
        <v>45952</v>
      </c>
      <c r="O176" s="12" t="s">
        <v>1748</v>
      </c>
      <c r="P176" s="14" t="s">
        <v>1753</v>
      </c>
      <c r="Q176" s="17" t="s">
        <v>137</v>
      </c>
      <c r="R176" s="17" t="s">
        <v>146</v>
      </c>
    </row>
    <row r="177" spans="1:18" x14ac:dyDescent="0.3">
      <c r="A177" s="12" t="s">
        <v>1480</v>
      </c>
      <c r="B177" s="12" t="s">
        <v>12</v>
      </c>
      <c r="C177" s="12"/>
      <c r="D177" s="12" t="s">
        <v>12</v>
      </c>
      <c r="E177" s="12" t="s">
        <v>1764</v>
      </c>
      <c r="F177" s="12" t="s">
        <v>1765</v>
      </c>
      <c r="G177" s="12" t="s">
        <v>1750</v>
      </c>
      <c r="H177" s="12" t="s">
        <v>36</v>
      </c>
      <c r="I177" s="12" t="s">
        <v>26</v>
      </c>
      <c r="J177" s="13" t="s">
        <v>1751</v>
      </c>
      <c r="K177" s="14" t="s">
        <v>1766</v>
      </c>
      <c r="L177" s="15">
        <v>1</v>
      </c>
      <c r="M177" s="15" t="s">
        <v>144</v>
      </c>
      <c r="N177" s="16">
        <v>45730</v>
      </c>
      <c r="O177" s="12" t="s">
        <v>1767</v>
      </c>
      <c r="P177" s="14" t="s">
        <v>1768</v>
      </c>
      <c r="Q177" s="17" t="s">
        <v>137</v>
      </c>
      <c r="R177" s="17" t="s">
        <v>146</v>
      </c>
    </row>
    <row r="178" spans="1:18" x14ac:dyDescent="0.3">
      <c r="A178" s="12" t="s">
        <v>1774</v>
      </c>
      <c r="B178" s="12" t="s">
        <v>12</v>
      </c>
      <c r="C178" s="12"/>
      <c r="D178" s="12" t="s">
        <v>12</v>
      </c>
      <c r="E178" s="12" t="s">
        <v>1775</v>
      </c>
      <c r="F178" s="12"/>
      <c r="G178" s="12" t="s">
        <v>1750</v>
      </c>
      <c r="H178" s="12" t="s">
        <v>36</v>
      </c>
      <c r="I178" s="12" t="s">
        <v>26</v>
      </c>
      <c r="J178" s="13" t="s">
        <v>1552</v>
      </c>
      <c r="K178" s="14" t="s">
        <v>1776</v>
      </c>
      <c r="L178" s="15">
        <v>1</v>
      </c>
      <c r="M178" s="15" t="s">
        <v>144</v>
      </c>
      <c r="N178" s="16">
        <v>45482</v>
      </c>
      <c r="O178" s="12" t="s">
        <v>1774</v>
      </c>
      <c r="P178" s="14" t="s">
        <v>1777</v>
      </c>
      <c r="Q178" s="17" t="s">
        <v>137</v>
      </c>
      <c r="R178" s="17" t="s">
        <v>146</v>
      </c>
    </row>
    <row r="179" spans="1:18" x14ac:dyDescent="0.3">
      <c r="A179" s="12" t="s">
        <v>1778</v>
      </c>
      <c r="B179" s="12" t="s">
        <v>12</v>
      </c>
      <c r="C179" s="12" t="s">
        <v>14</v>
      </c>
      <c r="D179" s="12" t="s">
        <v>180</v>
      </c>
      <c r="E179" s="12" t="s">
        <v>1779</v>
      </c>
      <c r="F179" s="12" t="s">
        <v>188</v>
      </c>
      <c r="G179" s="12" t="s">
        <v>1750</v>
      </c>
      <c r="H179" s="12" t="s">
        <v>36</v>
      </c>
      <c r="I179" s="12" t="s">
        <v>26</v>
      </c>
      <c r="J179" s="13" t="s">
        <v>1780</v>
      </c>
      <c r="K179" s="14" t="s">
        <v>1781</v>
      </c>
      <c r="L179" s="15">
        <v>3</v>
      </c>
      <c r="M179" s="15" t="s">
        <v>144</v>
      </c>
      <c r="N179" s="16">
        <v>45797</v>
      </c>
      <c r="O179" s="12" t="s">
        <v>1782</v>
      </c>
      <c r="P179" s="14" t="s">
        <v>1783</v>
      </c>
      <c r="Q179" s="17" t="s">
        <v>137</v>
      </c>
      <c r="R179" s="17" t="s">
        <v>146</v>
      </c>
    </row>
    <row r="180" spans="1:18" x14ac:dyDescent="0.3">
      <c r="A180" s="12" t="s">
        <v>1804</v>
      </c>
      <c r="B180" s="12" t="s">
        <v>12</v>
      </c>
      <c r="C180" s="12"/>
      <c r="D180" s="12" t="s">
        <v>12</v>
      </c>
      <c r="E180" s="12" t="s">
        <v>1800</v>
      </c>
      <c r="F180" s="12" t="s">
        <v>1805</v>
      </c>
      <c r="G180" s="12" t="s">
        <v>1750</v>
      </c>
      <c r="H180" s="12" t="s">
        <v>36</v>
      </c>
      <c r="I180" s="12" t="s">
        <v>26</v>
      </c>
      <c r="J180" s="13" t="s">
        <v>1751</v>
      </c>
      <c r="K180" s="14" t="s">
        <v>1806</v>
      </c>
      <c r="L180" s="15">
        <v>1</v>
      </c>
      <c r="M180" s="15" t="s">
        <v>144</v>
      </c>
      <c r="N180" s="16">
        <v>45596</v>
      </c>
      <c r="O180" s="12" t="s">
        <v>1807</v>
      </c>
      <c r="P180" s="14" t="s">
        <v>1808</v>
      </c>
      <c r="Q180" s="17" t="s">
        <v>137</v>
      </c>
      <c r="R180" s="17" t="s">
        <v>146</v>
      </c>
    </row>
    <row r="181" spans="1:18" x14ac:dyDescent="0.3">
      <c r="A181" s="12" t="s">
        <v>1812</v>
      </c>
      <c r="B181" s="12" t="s">
        <v>12</v>
      </c>
      <c r="C181" s="12"/>
      <c r="D181" s="12" t="s">
        <v>12</v>
      </c>
      <c r="E181" s="12" t="s">
        <v>1813</v>
      </c>
      <c r="F181" s="12" t="s">
        <v>1814</v>
      </c>
      <c r="G181" s="12" t="s">
        <v>1750</v>
      </c>
      <c r="H181" s="12" t="s">
        <v>36</v>
      </c>
      <c r="I181" s="12" t="s">
        <v>26</v>
      </c>
      <c r="J181" s="13" t="s">
        <v>1751</v>
      </c>
      <c r="K181" s="14" t="s">
        <v>1815</v>
      </c>
      <c r="L181" s="15">
        <v>6</v>
      </c>
      <c r="M181" s="15" t="s">
        <v>144</v>
      </c>
      <c r="N181" s="16">
        <v>45589</v>
      </c>
      <c r="O181" s="12" t="s">
        <v>1812</v>
      </c>
      <c r="P181" s="14" t="s">
        <v>1816</v>
      </c>
      <c r="Q181" s="17" t="s">
        <v>137</v>
      </c>
      <c r="R181" s="17" t="s">
        <v>146</v>
      </c>
    </row>
    <row r="182" spans="1:18" x14ac:dyDescent="0.3">
      <c r="A182" s="12" t="s">
        <v>1830</v>
      </c>
      <c r="B182" s="12" t="s">
        <v>12</v>
      </c>
      <c r="C182" s="12"/>
      <c r="D182" s="12" t="s">
        <v>12</v>
      </c>
      <c r="E182" s="12" t="s">
        <v>1790</v>
      </c>
      <c r="F182" s="12" t="s">
        <v>1831</v>
      </c>
      <c r="G182" s="12" t="s">
        <v>1750</v>
      </c>
      <c r="H182" s="12" t="s">
        <v>36</v>
      </c>
      <c r="I182" s="12" t="s">
        <v>26</v>
      </c>
      <c r="J182" s="13" t="s">
        <v>1552</v>
      </c>
      <c r="K182" s="14" t="s">
        <v>1832</v>
      </c>
      <c r="L182" s="15">
        <v>1</v>
      </c>
      <c r="M182" s="15" t="s">
        <v>144</v>
      </c>
      <c r="N182" s="16">
        <v>45300</v>
      </c>
      <c r="O182" s="12" t="s">
        <v>1830</v>
      </c>
      <c r="P182" s="14" t="s">
        <v>1833</v>
      </c>
      <c r="Q182" s="17" t="s">
        <v>137</v>
      </c>
      <c r="R182" s="17" t="s">
        <v>146</v>
      </c>
    </row>
    <row r="183" spans="1:18" x14ac:dyDescent="0.3">
      <c r="A183" s="12" t="s">
        <v>1834</v>
      </c>
      <c r="B183" s="12" t="s">
        <v>12</v>
      </c>
      <c r="C183" s="12"/>
      <c r="D183" s="12" t="s">
        <v>12</v>
      </c>
      <c r="E183" s="12" t="s">
        <v>1835</v>
      </c>
      <c r="F183" s="12"/>
      <c r="G183" s="12" t="s">
        <v>1836</v>
      </c>
      <c r="H183" s="12" t="s">
        <v>36</v>
      </c>
      <c r="I183" s="12" t="s">
        <v>26</v>
      </c>
      <c r="J183" s="13" t="s">
        <v>1837</v>
      </c>
      <c r="K183" s="14" t="s">
        <v>1838</v>
      </c>
      <c r="L183" s="15">
        <v>1</v>
      </c>
      <c r="M183" s="15" t="s">
        <v>144</v>
      </c>
      <c r="N183" s="16">
        <v>44776</v>
      </c>
      <c r="O183" s="12" t="s">
        <v>1839</v>
      </c>
      <c r="P183" s="14" t="s">
        <v>1840</v>
      </c>
      <c r="Q183" s="17" t="s">
        <v>137</v>
      </c>
      <c r="R183" s="17" t="s">
        <v>146</v>
      </c>
    </row>
    <row r="184" spans="1:18" x14ac:dyDescent="0.3">
      <c r="A184" s="12" t="s">
        <v>1849</v>
      </c>
      <c r="B184" s="12" t="s">
        <v>12</v>
      </c>
      <c r="C184" s="12"/>
      <c r="D184" s="12" t="s">
        <v>12</v>
      </c>
      <c r="E184" s="12" t="s">
        <v>1850</v>
      </c>
      <c r="F184" s="12" t="s">
        <v>520</v>
      </c>
      <c r="G184" s="12" t="s">
        <v>1836</v>
      </c>
      <c r="H184" s="12" t="s">
        <v>36</v>
      </c>
      <c r="I184" s="12" t="s">
        <v>26</v>
      </c>
      <c r="J184" s="13" t="s">
        <v>1837</v>
      </c>
      <c r="K184" s="14" t="s">
        <v>1851</v>
      </c>
      <c r="L184" s="15">
        <v>1</v>
      </c>
      <c r="M184" s="15" t="s">
        <v>144</v>
      </c>
      <c r="N184" s="16">
        <v>46111</v>
      </c>
      <c r="O184" s="12" t="s">
        <v>1849</v>
      </c>
      <c r="P184" s="14" t="s">
        <v>1852</v>
      </c>
      <c r="Q184" s="17" t="s">
        <v>137</v>
      </c>
      <c r="R184" s="17" t="s">
        <v>146</v>
      </c>
    </row>
    <row r="185" spans="1:18" x14ac:dyDescent="0.3">
      <c r="A185" s="12" t="s">
        <v>1875</v>
      </c>
      <c r="B185" s="12" t="s">
        <v>12</v>
      </c>
      <c r="C185" s="12"/>
      <c r="D185" s="12" t="s">
        <v>12</v>
      </c>
      <c r="E185" s="12" t="s">
        <v>1876</v>
      </c>
      <c r="F185" s="12" t="s">
        <v>372</v>
      </c>
      <c r="G185" s="12" t="s">
        <v>1863</v>
      </c>
      <c r="H185" s="12" t="s">
        <v>36</v>
      </c>
      <c r="I185" s="12" t="s">
        <v>26</v>
      </c>
      <c r="J185" s="13" t="s">
        <v>1864</v>
      </c>
      <c r="K185" s="14" t="s">
        <v>1877</v>
      </c>
      <c r="L185" s="15">
        <v>1</v>
      </c>
      <c r="M185" s="15" t="s">
        <v>144</v>
      </c>
      <c r="N185" s="16">
        <v>46057</v>
      </c>
      <c r="O185" s="12" t="s">
        <v>1875</v>
      </c>
      <c r="P185" s="14" t="s">
        <v>1878</v>
      </c>
      <c r="Q185" s="17" t="s">
        <v>137</v>
      </c>
      <c r="R185" s="17" t="s">
        <v>146</v>
      </c>
    </row>
    <row r="186" spans="1:18" x14ac:dyDescent="0.3">
      <c r="A186" s="12" t="s">
        <v>1882</v>
      </c>
      <c r="B186" s="12" t="s">
        <v>12</v>
      </c>
      <c r="C186" s="12" t="s">
        <v>14</v>
      </c>
      <c r="D186" s="12" t="s">
        <v>180</v>
      </c>
      <c r="E186" s="12" t="s">
        <v>1883</v>
      </c>
      <c r="F186" s="12" t="s">
        <v>188</v>
      </c>
      <c r="G186" s="12" t="s">
        <v>1884</v>
      </c>
      <c r="H186" s="12" t="s">
        <v>36</v>
      </c>
      <c r="I186" s="12" t="s">
        <v>26</v>
      </c>
      <c r="J186" s="13" t="s">
        <v>1624</v>
      </c>
      <c r="K186" s="14" t="s">
        <v>1885</v>
      </c>
      <c r="L186" s="15">
        <v>14</v>
      </c>
      <c r="M186" s="15" t="s">
        <v>144</v>
      </c>
      <c r="N186" s="16">
        <v>45911</v>
      </c>
      <c r="O186" s="12" t="s">
        <v>1882</v>
      </c>
      <c r="P186" s="14" t="s">
        <v>1886</v>
      </c>
      <c r="Q186" s="17" t="s">
        <v>137</v>
      </c>
      <c r="R186" s="17" t="s">
        <v>146</v>
      </c>
    </row>
    <row r="187" spans="1:18" x14ac:dyDescent="0.3">
      <c r="A187" s="12" t="s">
        <v>1896</v>
      </c>
      <c r="B187" s="12" t="s">
        <v>12</v>
      </c>
      <c r="C187" s="12"/>
      <c r="D187" s="12" t="s">
        <v>12</v>
      </c>
      <c r="E187" s="12" t="s">
        <v>1897</v>
      </c>
      <c r="F187" s="12" t="s">
        <v>1039</v>
      </c>
      <c r="G187" s="12" t="s">
        <v>1884</v>
      </c>
      <c r="H187" s="12" t="s">
        <v>36</v>
      </c>
      <c r="I187" s="12" t="s">
        <v>26</v>
      </c>
      <c r="J187" s="13" t="s">
        <v>1898</v>
      </c>
      <c r="K187" s="14" t="s">
        <v>1899</v>
      </c>
      <c r="L187" s="15">
        <v>1</v>
      </c>
      <c r="M187" s="15" t="s">
        <v>144</v>
      </c>
      <c r="N187" s="16">
        <v>44749</v>
      </c>
      <c r="O187" s="12" t="s">
        <v>1896</v>
      </c>
      <c r="P187" s="14" t="s">
        <v>1900</v>
      </c>
      <c r="Q187" s="17" t="s">
        <v>137</v>
      </c>
      <c r="R187" s="17" t="s">
        <v>146</v>
      </c>
    </row>
    <row r="188" spans="1:18" x14ac:dyDescent="0.3">
      <c r="A188" s="12" t="s">
        <v>1901</v>
      </c>
      <c r="B188" s="12" t="s">
        <v>12</v>
      </c>
      <c r="C188" s="12"/>
      <c r="D188" s="12" t="s">
        <v>12</v>
      </c>
      <c r="E188" s="12" t="s">
        <v>1902</v>
      </c>
      <c r="F188" s="12" t="s">
        <v>547</v>
      </c>
      <c r="G188" s="12" t="s">
        <v>1884</v>
      </c>
      <c r="H188" s="12" t="s">
        <v>36</v>
      </c>
      <c r="I188" s="12" t="s">
        <v>26</v>
      </c>
      <c r="J188" s="13" t="s">
        <v>1624</v>
      </c>
      <c r="K188" s="14" t="s">
        <v>1903</v>
      </c>
      <c r="L188" s="15">
        <v>1</v>
      </c>
      <c r="M188" s="15" t="s">
        <v>144</v>
      </c>
      <c r="N188" s="16">
        <v>45933</v>
      </c>
      <c r="O188" s="12" t="s">
        <v>1904</v>
      </c>
      <c r="P188" s="14" t="s">
        <v>1905</v>
      </c>
      <c r="Q188" s="17" t="s">
        <v>137</v>
      </c>
      <c r="R188" s="17" t="s">
        <v>146</v>
      </c>
    </row>
    <row r="189" spans="1:18" x14ac:dyDescent="0.3">
      <c r="A189" s="12" t="s">
        <v>1906</v>
      </c>
      <c r="B189" s="12" t="s">
        <v>12</v>
      </c>
      <c r="C189" s="12"/>
      <c r="D189" s="12" t="s">
        <v>12</v>
      </c>
      <c r="E189" s="12" t="s">
        <v>1907</v>
      </c>
      <c r="F189" s="12" t="s">
        <v>1908</v>
      </c>
      <c r="G189" s="12" t="s">
        <v>1884</v>
      </c>
      <c r="H189" s="12" t="s">
        <v>36</v>
      </c>
      <c r="I189" s="12" t="s">
        <v>26</v>
      </c>
      <c r="J189" s="13" t="s">
        <v>1624</v>
      </c>
      <c r="K189" s="14" t="s">
        <v>1909</v>
      </c>
      <c r="L189" s="15">
        <v>1</v>
      </c>
      <c r="M189" s="15" t="s">
        <v>144</v>
      </c>
      <c r="N189" s="16">
        <v>45265</v>
      </c>
      <c r="O189" s="12" t="s">
        <v>1906</v>
      </c>
      <c r="P189" s="14" t="s">
        <v>1910</v>
      </c>
      <c r="Q189" s="17" t="s">
        <v>137</v>
      </c>
      <c r="R189" s="17" t="s">
        <v>146</v>
      </c>
    </row>
    <row r="190" spans="1:18" x14ac:dyDescent="0.3">
      <c r="A190" s="12" t="s">
        <v>1930</v>
      </c>
      <c r="B190" s="12" t="s">
        <v>12</v>
      </c>
      <c r="C190" s="12" t="s">
        <v>14</v>
      </c>
      <c r="D190" s="12" t="s">
        <v>180</v>
      </c>
      <c r="E190" s="12" t="s">
        <v>1883</v>
      </c>
      <c r="F190" s="12" t="s">
        <v>188</v>
      </c>
      <c r="G190" s="12" t="s">
        <v>1884</v>
      </c>
      <c r="H190" s="12" t="s">
        <v>36</v>
      </c>
      <c r="I190" s="12" t="s">
        <v>26</v>
      </c>
      <c r="J190" s="13" t="s">
        <v>1624</v>
      </c>
      <c r="K190" s="14" t="s">
        <v>1931</v>
      </c>
      <c r="L190" s="15">
        <v>14</v>
      </c>
      <c r="M190" s="15" t="s">
        <v>144</v>
      </c>
      <c r="N190" s="16">
        <v>46198</v>
      </c>
      <c r="O190" s="12" t="s">
        <v>869</v>
      </c>
      <c r="P190" s="14" t="s">
        <v>873</v>
      </c>
      <c r="Q190" s="17" t="s">
        <v>137</v>
      </c>
      <c r="R190" s="17" t="s">
        <v>146</v>
      </c>
    </row>
    <row r="191" spans="1:18" x14ac:dyDescent="0.3">
      <c r="A191" s="12" t="s">
        <v>1934</v>
      </c>
      <c r="B191" s="12" t="s">
        <v>12</v>
      </c>
      <c r="C191" s="12"/>
      <c r="D191" s="12" t="s">
        <v>12</v>
      </c>
      <c r="E191" s="12" t="s">
        <v>1888</v>
      </c>
      <c r="F191" s="12" t="s">
        <v>1935</v>
      </c>
      <c r="G191" s="12" t="s">
        <v>1884</v>
      </c>
      <c r="H191" s="12" t="s">
        <v>36</v>
      </c>
      <c r="I191" s="12" t="s">
        <v>26</v>
      </c>
      <c r="J191" s="13" t="s">
        <v>1624</v>
      </c>
      <c r="K191" s="14" t="s">
        <v>1936</v>
      </c>
      <c r="L191" s="15">
        <v>9</v>
      </c>
      <c r="M191" s="15" t="s">
        <v>144</v>
      </c>
      <c r="N191" s="16">
        <v>44869</v>
      </c>
      <c r="O191" s="12" t="s">
        <v>1937</v>
      </c>
      <c r="P191" s="14" t="s">
        <v>1938</v>
      </c>
      <c r="Q191" s="17" t="s">
        <v>137</v>
      </c>
      <c r="R191" s="17" t="s">
        <v>146</v>
      </c>
    </row>
    <row r="192" spans="1:18" x14ac:dyDescent="0.3">
      <c r="A192" s="12" t="s">
        <v>1939</v>
      </c>
      <c r="B192" s="12" t="s">
        <v>12</v>
      </c>
      <c r="C192" s="12"/>
      <c r="D192" s="12" t="s">
        <v>12</v>
      </c>
      <c r="E192" s="12" t="s">
        <v>1940</v>
      </c>
      <c r="F192" s="12" t="s">
        <v>1765</v>
      </c>
      <c r="G192" s="12" t="s">
        <v>1941</v>
      </c>
      <c r="H192" s="12" t="s">
        <v>36</v>
      </c>
      <c r="I192" s="12" t="s">
        <v>26</v>
      </c>
      <c r="J192" s="13" t="s">
        <v>1624</v>
      </c>
      <c r="K192" s="14" t="s">
        <v>1909</v>
      </c>
      <c r="L192" s="15">
        <v>1</v>
      </c>
      <c r="M192" s="15" t="s">
        <v>144</v>
      </c>
      <c r="N192" s="16">
        <v>45911</v>
      </c>
      <c r="O192" s="12" t="s">
        <v>1939</v>
      </c>
      <c r="P192" s="14" t="s">
        <v>1942</v>
      </c>
      <c r="Q192" s="17" t="s">
        <v>137</v>
      </c>
      <c r="R192" s="17" t="s">
        <v>146</v>
      </c>
    </row>
    <row r="193" spans="1:18" x14ac:dyDescent="0.3">
      <c r="A193" s="12" t="s">
        <v>1943</v>
      </c>
      <c r="B193" s="12" t="s">
        <v>12</v>
      </c>
      <c r="C193" s="12"/>
      <c r="D193" s="12" t="s">
        <v>12</v>
      </c>
      <c r="E193" s="12" t="s">
        <v>1944</v>
      </c>
      <c r="F193" s="12" t="s">
        <v>1945</v>
      </c>
      <c r="G193" s="12" t="s">
        <v>1946</v>
      </c>
      <c r="H193" s="12" t="s">
        <v>36</v>
      </c>
      <c r="I193" s="12" t="s">
        <v>26</v>
      </c>
      <c r="J193" s="13" t="s">
        <v>1947</v>
      </c>
      <c r="K193" s="14" t="s">
        <v>1948</v>
      </c>
      <c r="L193" s="15">
        <v>1</v>
      </c>
      <c r="M193" s="15" t="s">
        <v>144</v>
      </c>
      <c r="N193" s="16">
        <v>45512</v>
      </c>
      <c r="O193" s="12" t="s">
        <v>1943</v>
      </c>
      <c r="P193" s="14" t="s">
        <v>1949</v>
      </c>
      <c r="Q193" s="17" t="s">
        <v>137</v>
      </c>
      <c r="R193" s="17" t="s">
        <v>146</v>
      </c>
    </row>
    <row r="194" spans="1:18" x14ac:dyDescent="0.3">
      <c r="A194" s="12" t="s">
        <v>1959</v>
      </c>
      <c r="B194" s="12" t="s">
        <v>12</v>
      </c>
      <c r="C194" s="12"/>
      <c r="D194" s="12" t="s">
        <v>12</v>
      </c>
      <c r="E194" s="12" t="s">
        <v>1960</v>
      </c>
      <c r="F194" s="12"/>
      <c r="G194" s="12" t="s">
        <v>1946</v>
      </c>
      <c r="H194" s="12" t="s">
        <v>36</v>
      </c>
      <c r="I194" s="12" t="s">
        <v>26</v>
      </c>
      <c r="J194" s="13" t="s">
        <v>1947</v>
      </c>
      <c r="K194" s="14" t="s">
        <v>1961</v>
      </c>
      <c r="L194" s="15">
        <v>0</v>
      </c>
      <c r="M194" s="15" t="s">
        <v>144</v>
      </c>
      <c r="N194" s="16">
        <v>45299</v>
      </c>
      <c r="O194" s="12" t="s">
        <v>1959</v>
      </c>
      <c r="P194" s="14" t="s">
        <v>1962</v>
      </c>
      <c r="Q194" s="17" t="s">
        <v>137</v>
      </c>
      <c r="R194" s="17" t="s">
        <v>146</v>
      </c>
    </row>
    <row r="195" spans="1:18" x14ac:dyDescent="0.3">
      <c r="A195" s="12" t="s">
        <v>1972</v>
      </c>
      <c r="B195" s="12" t="s">
        <v>12</v>
      </c>
      <c r="C195" s="12"/>
      <c r="D195" s="12" t="s">
        <v>12</v>
      </c>
      <c r="E195" s="12" t="s">
        <v>1973</v>
      </c>
      <c r="F195" s="12"/>
      <c r="G195" s="12" t="s">
        <v>1974</v>
      </c>
      <c r="H195" s="12" t="s">
        <v>66</v>
      </c>
      <c r="I195" s="12" t="s">
        <v>26</v>
      </c>
      <c r="J195" s="13" t="s">
        <v>1975</v>
      </c>
      <c r="K195" s="14" t="s">
        <v>1976</v>
      </c>
      <c r="L195" s="15">
        <v>7</v>
      </c>
      <c r="M195" s="15" t="s">
        <v>144</v>
      </c>
      <c r="N195" s="16">
        <v>45583</v>
      </c>
      <c r="O195" s="12" t="s">
        <v>1977</v>
      </c>
      <c r="P195" s="14" t="s">
        <v>1978</v>
      </c>
      <c r="Q195" s="17" t="s">
        <v>137</v>
      </c>
      <c r="R195" s="17" t="s">
        <v>146</v>
      </c>
    </row>
    <row r="196" spans="1:18" x14ac:dyDescent="0.3">
      <c r="A196" s="12" t="s">
        <v>1986</v>
      </c>
      <c r="B196" s="12" t="s">
        <v>12</v>
      </c>
      <c r="C196" s="12"/>
      <c r="D196" s="12" t="s">
        <v>12</v>
      </c>
      <c r="E196" s="12" t="s">
        <v>1987</v>
      </c>
      <c r="F196" s="12" t="s">
        <v>1988</v>
      </c>
      <c r="G196" s="12" t="s">
        <v>66</v>
      </c>
      <c r="H196" s="12" t="s">
        <v>66</v>
      </c>
      <c r="I196" s="12" t="s">
        <v>26</v>
      </c>
      <c r="J196" s="13" t="s">
        <v>1989</v>
      </c>
      <c r="K196" s="14" t="s">
        <v>1990</v>
      </c>
      <c r="L196" s="15">
        <v>2</v>
      </c>
      <c r="M196" s="15" t="s">
        <v>144</v>
      </c>
      <c r="N196" s="16">
        <v>46244</v>
      </c>
      <c r="O196" s="12" t="s">
        <v>1986</v>
      </c>
      <c r="P196" s="14" t="s">
        <v>1991</v>
      </c>
      <c r="Q196" s="17" t="s">
        <v>137</v>
      </c>
      <c r="R196" s="17" t="s">
        <v>146</v>
      </c>
    </row>
    <row r="197" spans="1:18" x14ac:dyDescent="0.3">
      <c r="A197" s="12" t="s">
        <v>1999</v>
      </c>
      <c r="B197" s="12" t="s">
        <v>12</v>
      </c>
      <c r="C197" s="12"/>
      <c r="D197" s="12" t="s">
        <v>12</v>
      </c>
      <c r="E197" s="12" t="s">
        <v>2000</v>
      </c>
      <c r="F197" s="12" t="s">
        <v>595</v>
      </c>
      <c r="G197" s="12" t="s">
        <v>1994</v>
      </c>
      <c r="H197" s="12" t="s">
        <v>37</v>
      </c>
      <c r="I197" s="12" t="s">
        <v>26</v>
      </c>
      <c r="J197" s="13" t="s">
        <v>2001</v>
      </c>
      <c r="K197" s="14" t="s">
        <v>2002</v>
      </c>
      <c r="L197" s="15">
        <v>1</v>
      </c>
      <c r="M197" s="15" t="s">
        <v>144</v>
      </c>
      <c r="N197" s="16">
        <v>46007</v>
      </c>
      <c r="O197" s="12" t="s">
        <v>1999</v>
      </c>
      <c r="P197" s="14" t="s">
        <v>2003</v>
      </c>
      <c r="Q197" s="17" t="s">
        <v>137</v>
      </c>
      <c r="R197" s="17" t="s">
        <v>146</v>
      </c>
    </row>
    <row r="198" spans="1:18" x14ac:dyDescent="0.3">
      <c r="A198" s="12" t="s">
        <v>2004</v>
      </c>
      <c r="B198" s="12" t="s">
        <v>12</v>
      </c>
      <c r="C198" s="12"/>
      <c r="D198" s="12" t="s">
        <v>12</v>
      </c>
      <c r="E198" s="12" t="s">
        <v>2005</v>
      </c>
      <c r="F198" s="12" t="s">
        <v>195</v>
      </c>
      <c r="G198" s="12" t="s">
        <v>2006</v>
      </c>
      <c r="H198" s="12" t="s">
        <v>37</v>
      </c>
      <c r="I198" s="12" t="s">
        <v>26</v>
      </c>
      <c r="J198" s="13" t="s">
        <v>2007</v>
      </c>
      <c r="K198" s="14" t="s">
        <v>2008</v>
      </c>
      <c r="L198" s="15">
        <v>2</v>
      </c>
      <c r="M198" s="15" t="s">
        <v>144</v>
      </c>
      <c r="N198" s="16">
        <v>45379</v>
      </c>
      <c r="O198" s="12" t="s">
        <v>2004</v>
      </c>
      <c r="P198" s="14" t="s">
        <v>2009</v>
      </c>
      <c r="Q198" s="17" t="s">
        <v>137</v>
      </c>
      <c r="R198" s="17" t="s">
        <v>146</v>
      </c>
    </row>
    <row r="199" spans="1:18" x14ac:dyDescent="0.3">
      <c r="A199" s="12" t="s">
        <v>2010</v>
      </c>
      <c r="B199" s="12" t="s">
        <v>12</v>
      </c>
      <c r="C199" s="12"/>
      <c r="D199" s="12" t="s">
        <v>12</v>
      </c>
      <c r="E199" s="12" t="s">
        <v>2011</v>
      </c>
      <c r="F199" s="12" t="s">
        <v>2012</v>
      </c>
      <c r="G199" s="12" t="s">
        <v>2006</v>
      </c>
      <c r="H199" s="12" t="s">
        <v>37</v>
      </c>
      <c r="I199" s="12" t="s">
        <v>26</v>
      </c>
      <c r="J199" s="13" t="s">
        <v>2007</v>
      </c>
      <c r="K199" s="14" t="s">
        <v>2013</v>
      </c>
      <c r="L199" s="15">
        <v>4</v>
      </c>
      <c r="M199" s="15" t="s">
        <v>144</v>
      </c>
      <c r="N199" s="16">
        <v>45998</v>
      </c>
      <c r="O199" s="12" t="s">
        <v>2010</v>
      </c>
      <c r="P199" s="14" t="s">
        <v>2014</v>
      </c>
      <c r="Q199" s="17" t="s">
        <v>137</v>
      </c>
      <c r="R199" s="17" t="s">
        <v>146</v>
      </c>
    </row>
    <row r="200" spans="1:18" x14ac:dyDescent="0.3">
      <c r="A200" s="12" t="s">
        <v>2018</v>
      </c>
      <c r="B200" s="12" t="s">
        <v>12</v>
      </c>
      <c r="C200" s="12"/>
      <c r="D200" s="12" t="s">
        <v>12</v>
      </c>
      <c r="E200" s="12" t="s">
        <v>2019</v>
      </c>
      <c r="F200" s="12" t="s">
        <v>2020</v>
      </c>
      <c r="G200" s="12" t="s">
        <v>2006</v>
      </c>
      <c r="H200" s="12" t="s">
        <v>37</v>
      </c>
      <c r="I200" s="12" t="s">
        <v>26</v>
      </c>
      <c r="J200" s="13" t="s">
        <v>2007</v>
      </c>
      <c r="K200" s="14" t="s">
        <v>2021</v>
      </c>
      <c r="L200" s="15">
        <v>0</v>
      </c>
      <c r="M200" s="15" t="s">
        <v>144</v>
      </c>
      <c r="N200" s="16">
        <v>46262</v>
      </c>
      <c r="O200" s="12" t="s">
        <v>2018</v>
      </c>
      <c r="P200" s="14" t="s">
        <v>2022</v>
      </c>
      <c r="Q200" s="17" t="s">
        <v>137</v>
      </c>
      <c r="R200" s="17" t="s">
        <v>146</v>
      </c>
    </row>
    <row r="201" spans="1:18" x14ac:dyDescent="0.3">
      <c r="A201" s="12" t="s">
        <v>2027</v>
      </c>
      <c r="B201" s="12" t="s">
        <v>10</v>
      </c>
      <c r="C201" s="12" t="s">
        <v>180</v>
      </c>
      <c r="D201" s="12" t="s">
        <v>283</v>
      </c>
      <c r="E201" s="12" t="s">
        <v>2028</v>
      </c>
      <c r="F201" s="12" t="s">
        <v>547</v>
      </c>
      <c r="G201" s="12" t="s">
        <v>2006</v>
      </c>
      <c r="H201" s="12" t="s">
        <v>37</v>
      </c>
      <c r="I201" s="12" t="s">
        <v>26</v>
      </c>
      <c r="J201" s="13" t="s">
        <v>2007</v>
      </c>
      <c r="K201" s="14" t="s">
        <v>2029</v>
      </c>
      <c r="L201" s="15">
        <v>0</v>
      </c>
      <c r="M201" s="15" t="s">
        <v>144</v>
      </c>
      <c r="N201" s="16">
        <v>45911</v>
      </c>
      <c r="O201" s="12" t="s">
        <v>2027</v>
      </c>
      <c r="P201" s="14" t="s">
        <v>2030</v>
      </c>
      <c r="Q201" s="17" t="s">
        <v>137</v>
      </c>
      <c r="R201" s="17" t="s">
        <v>146</v>
      </c>
    </row>
    <row r="202" spans="1:18" x14ac:dyDescent="0.3">
      <c r="A202" s="12" t="s">
        <v>2031</v>
      </c>
      <c r="B202" s="12" t="s">
        <v>12</v>
      </c>
      <c r="C202" s="12"/>
      <c r="D202" s="12" t="s">
        <v>12</v>
      </c>
      <c r="E202" s="12" t="s">
        <v>2032</v>
      </c>
      <c r="F202" s="12"/>
      <c r="G202" s="12" t="s">
        <v>2006</v>
      </c>
      <c r="H202" s="12" t="s">
        <v>37</v>
      </c>
      <c r="I202" s="12" t="s">
        <v>26</v>
      </c>
      <c r="J202" s="13" t="s">
        <v>2007</v>
      </c>
      <c r="K202" s="14" t="s">
        <v>2033</v>
      </c>
      <c r="L202" s="15">
        <v>3</v>
      </c>
      <c r="M202" s="15" t="s">
        <v>144</v>
      </c>
      <c r="N202" s="16">
        <v>44945</v>
      </c>
      <c r="O202" s="12" t="s">
        <v>2031</v>
      </c>
      <c r="P202" s="14" t="s">
        <v>2034</v>
      </c>
      <c r="Q202" s="17" t="s">
        <v>137</v>
      </c>
      <c r="R202" s="17" t="s">
        <v>146</v>
      </c>
    </row>
    <row r="203" spans="1:18" x14ac:dyDescent="0.3">
      <c r="A203" s="12" t="s">
        <v>779</v>
      </c>
      <c r="B203" s="12" t="s">
        <v>12</v>
      </c>
      <c r="C203" s="12"/>
      <c r="D203" s="12" t="s">
        <v>12</v>
      </c>
      <c r="E203" s="12" t="s">
        <v>2041</v>
      </c>
      <c r="F203" s="12" t="s">
        <v>2042</v>
      </c>
      <c r="G203" s="12" t="s">
        <v>2006</v>
      </c>
      <c r="H203" s="12" t="s">
        <v>37</v>
      </c>
      <c r="I203" s="12" t="s">
        <v>26</v>
      </c>
      <c r="J203" s="13" t="s">
        <v>2007</v>
      </c>
      <c r="K203" s="14" t="s">
        <v>781</v>
      </c>
      <c r="L203" s="15">
        <v>0</v>
      </c>
      <c r="M203" s="15" t="s">
        <v>144</v>
      </c>
      <c r="N203" s="16">
        <v>46053</v>
      </c>
      <c r="O203" s="12" t="s">
        <v>779</v>
      </c>
      <c r="P203" s="14" t="s">
        <v>782</v>
      </c>
      <c r="Q203" s="17" t="s">
        <v>137</v>
      </c>
      <c r="R203" s="17" t="s">
        <v>146</v>
      </c>
    </row>
    <row r="204" spans="1:18" x14ac:dyDescent="0.3">
      <c r="A204" s="12" t="s">
        <v>2067</v>
      </c>
      <c r="B204" s="12" t="s">
        <v>12</v>
      </c>
      <c r="C204" s="12"/>
      <c r="D204" s="12" t="s">
        <v>12</v>
      </c>
      <c r="E204" s="12" t="s">
        <v>2068</v>
      </c>
      <c r="F204" s="12" t="s">
        <v>843</v>
      </c>
      <c r="G204" s="12" t="s">
        <v>2069</v>
      </c>
      <c r="H204" s="12" t="s">
        <v>37</v>
      </c>
      <c r="I204" s="12" t="s">
        <v>26</v>
      </c>
      <c r="J204" s="13" t="s">
        <v>2070</v>
      </c>
      <c r="K204" s="14" t="s">
        <v>2071</v>
      </c>
      <c r="L204" s="15">
        <v>0</v>
      </c>
      <c r="M204" s="15" t="s">
        <v>144</v>
      </c>
      <c r="N204" s="16">
        <v>46128</v>
      </c>
      <c r="O204" s="12" t="s">
        <v>2067</v>
      </c>
      <c r="P204" s="14" t="s">
        <v>2072</v>
      </c>
      <c r="Q204" s="17" t="s">
        <v>137</v>
      </c>
      <c r="R204" s="17" t="s">
        <v>146</v>
      </c>
    </row>
    <row r="205" spans="1:18" x14ac:dyDescent="0.3">
      <c r="A205" s="12" t="s">
        <v>2083</v>
      </c>
      <c r="B205" s="12" t="s">
        <v>12</v>
      </c>
      <c r="C205" s="12"/>
      <c r="D205" s="12" t="s">
        <v>12</v>
      </c>
      <c r="E205" s="12" t="s">
        <v>2084</v>
      </c>
      <c r="F205" s="12" t="s">
        <v>744</v>
      </c>
      <c r="G205" s="12" t="s">
        <v>2069</v>
      </c>
      <c r="H205" s="12" t="s">
        <v>37</v>
      </c>
      <c r="I205" s="12" t="s">
        <v>26</v>
      </c>
      <c r="J205" s="13" t="s">
        <v>2070</v>
      </c>
      <c r="K205" s="14" t="s">
        <v>2085</v>
      </c>
      <c r="L205" s="15">
        <v>0</v>
      </c>
      <c r="M205" s="15" t="s">
        <v>144</v>
      </c>
      <c r="N205" s="16">
        <v>45883</v>
      </c>
      <c r="O205" s="12" t="s">
        <v>2086</v>
      </c>
      <c r="P205" s="14" t="s">
        <v>2087</v>
      </c>
      <c r="Q205" s="17" t="s">
        <v>137</v>
      </c>
      <c r="R205" s="17" t="s">
        <v>146</v>
      </c>
    </row>
    <row r="206" spans="1:18" x14ac:dyDescent="0.3">
      <c r="A206" s="12" t="s">
        <v>2107</v>
      </c>
      <c r="B206" s="12" t="s">
        <v>12</v>
      </c>
      <c r="C206" s="12" t="s">
        <v>14</v>
      </c>
      <c r="D206" s="12" t="s">
        <v>180</v>
      </c>
      <c r="E206" s="12" t="s">
        <v>2108</v>
      </c>
      <c r="F206" s="12" t="s">
        <v>188</v>
      </c>
      <c r="G206" s="12" t="s">
        <v>876</v>
      </c>
      <c r="H206" s="12" t="s">
        <v>37</v>
      </c>
      <c r="I206" s="12" t="s">
        <v>26</v>
      </c>
      <c r="J206" s="13" t="s">
        <v>2109</v>
      </c>
      <c r="K206" s="14" t="s">
        <v>1225</v>
      </c>
      <c r="L206" s="15">
        <v>13</v>
      </c>
      <c r="M206" s="15" t="s">
        <v>144</v>
      </c>
      <c r="N206" s="16">
        <v>45665</v>
      </c>
      <c r="O206" s="12" t="s">
        <v>2107</v>
      </c>
      <c r="P206" s="14" t="s">
        <v>2110</v>
      </c>
      <c r="Q206" s="17" t="s">
        <v>137</v>
      </c>
      <c r="R206" s="17" t="s">
        <v>146</v>
      </c>
    </row>
    <row r="207" spans="1:18" x14ac:dyDescent="0.3">
      <c r="A207" s="12" t="s">
        <v>2111</v>
      </c>
      <c r="B207" s="12" t="s">
        <v>12</v>
      </c>
      <c r="C207" s="12"/>
      <c r="D207" s="12" t="s">
        <v>12</v>
      </c>
      <c r="E207" s="12" t="s">
        <v>2112</v>
      </c>
      <c r="F207" s="12"/>
      <c r="G207" s="12" t="s">
        <v>876</v>
      </c>
      <c r="H207" s="12" t="s">
        <v>37</v>
      </c>
      <c r="I207" s="12" t="s">
        <v>26</v>
      </c>
      <c r="J207" s="13" t="s">
        <v>2102</v>
      </c>
      <c r="K207" s="14" t="s">
        <v>2113</v>
      </c>
      <c r="L207" s="15">
        <v>1</v>
      </c>
      <c r="M207" s="15" t="s">
        <v>144</v>
      </c>
      <c r="N207" s="16">
        <v>44999</v>
      </c>
      <c r="O207" s="12" t="s">
        <v>2114</v>
      </c>
      <c r="P207" s="14" t="s">
        <v>2115</v>
      </c>
      <c r="Q207" s="17" t="s">
        <v>137</v>
      </c>
      <c r="R207" s="17" t="s">
        <v>146</v>
      </c>
    </row>
    <row r="208" spans="1:18" x14ac:dyDescent="0.3">
      <c r="A208" s="12" t="s">
        <v>2121</v>
      </c>
      <c r="B208" s="12" t="s">
        <v>12</v>
      </c>
      <c r="C208" s="12"/>
      <c r="D208" s="12" t="s">
        <v>12</v>
      </c>
      <c r="E208" s="12" t="s">
        <v>2122</v>
      </c>
      <c r="F208" s="12" t="s">
        <v>843</v>
      </c>
      <c r="G208" s="12" t="s">
        <v>876</v>
      </c>
      <c r="H208" s="12" t="s">
        <v>37</v>
      </c>
      <c r="I208" s="12" t="s">
        <v>26</v>
      </c>
      <c r="J208" s="13" t="s">
        <v>2123</v>
      </c>
      <c r="K208" s="14" t="s">
        <v>2124</v>
      </c>
      <c r="L208" s="15">
        <v>1</v>
      </c>
      <c r="M208" s="15" t="s">
        <v>144</v>
      </c>
      <c r="N208" s="16">
        <v>44932</v>
      </c>
      <c r="O208" s="12" t="s">
        <v>2121</v>
      </c>
      <c r="P208" s="14" t="s">
        <v>2125</v>
      </c>
      <c r="Q208" s="17" t="s">
        <v>137</v>
      </c>
      <c r="R208" s="17" t="s">
        <v>146</v>
      </c>
    </row>
    <row r="209" spans="1:18" x14ac:dyDescent="0.3">
      <c r="A209" s="12" t="s">
        <v>2126</v>
      </c>
      <c r="B209" s="12" t="s">
        <v>12</v>
      </c>
      <c r="C209" s="12"/>
      <c r="D209" s="12" t="s">
        <v>12</v>
      </c>
      <c r="E209" s="12" t="s">
        <v>2127</v>
      </c>
      <c r="F209" s="12" t="s">
        <v>2128</v>
      </c>
      <c r="G209" s="12" t="s">
        <v>876</v>
      </c>
      <c r="H209" s="12" t="s">
        <v>37</v>
      </c>
      <c r="I209" s="12" t="s">
        <v>26</v>
      </c>
      <c r="J209" s="13" t="s">
        <v>2102</v>
      </c>
      <c r="K209" s="14" t="s">
        <v>2129</v>
      </c>
      <c r="L209" s="15">
        <v>2</v>
      </c>
      <c r="M209" s="15" t="s">
        <v>144</v>
      </c>
      <c r="N209" s="16">
        <v>44578</v>
      </c>
      <c r="O209" s="12" t="s">
        <v>2130</v>
      </c>
      <c r="P209" s="14" t="s">
        <v>2131</v>
      </c>
      <c r="Q209" s="17" t="s">
        <v>137</v>
      </c>
      <c r="R209" s="17" t="s">
        <v>146</v>
      </c>
    </row>
    <row r="210" spans="1:18" x14ac:dyDescent="0.3">
      <c r="A210" s="12" t="s">
        <v>2132</v>
      </c>
      <c r="B210" s="12" t="s">
        <v>12</v>
      </c>
      <c r="C210" s="12"/>
      <c r="D210" s="12" t="s">
        <v>12</v>
      </c>
      <c r="E210" s="12" t="s">
        <v>2127</v>
      </c>
      <c r="F210" s="12" t="s">
        <v>510</v>
      </c>
      <c r="G210" s="12" t="s">
        <v>876</v>
      </c>
      <c r="H210" s="12" t="s">
        <v>37</v>
      </c>
      <c r="I210" s="12" t="s">
        <v>26</v>
      </c>
      <c r="J210" s="13" t="s">
        <v>2102</v>
      </c>
      <c r="K210" s="14" t="s">
        <v>2133</v>
      </c>
      <c r="L210" s="15">
        <v>2</v>
      </c>
      <c r="M210" s="15" t="s">
        <v>144</v>
      </c>
      <c r="N210" s="16">
        <v>46226</v>
      </c>
      <c r="O210" s="12" t="s">
        <v>2132</v>
      </c>
      <c r="P210" s="14" t="s">
        <v>2134</v>
      </c>
      <c r="Q210" s="17" t="s">
        <v>137</v>
      </c>
      <c r="R210" s="17" t="s">
        <v>146</v>
      </c>
    </row>
    <row r="211" spans="1:18" x14ac:dyDescent="0.3">
      <c r="A211" s="12" t="s">
        <v>2163</v>
      </c>
      <c r="B211" s="12" t="s">
        <v>12</v>
      </c>
      <c r="C211" s="12"/>
      <c r="D211" s="12" t="s">
        <v>12</v>
      </c>
      <c r="E211" s="12" t="s">
        <v>2164</v>
      </c>
      <c r="F211" s="12"/>
      <c r="G211" s="12" t="s">
        <v>876</v>
      </c>
      <c r="H211" s="12" t="s">
        <v>37</v>
      </c>
      <c r="I211" s="12" t="s">
        <v>26</v>
      </c>
      <c r="J211" s="13" t="s">
        <v>2001</v>
      </c>
      <c r="K211" s="14" t="s">
        <v>2165</v>
      </c>
      <c r="L211" s="15">
        <v>1</v>
      </c>
      <c r="M211" s="15" t="s">
        <v>144</v>
      </c>
      <c r="N211" s="16">
        <v>45258</v>
      </c>
      <c r="O211" s="12" t="s">
        <v>2163</v>
      </c>
      <c r="P211" s="14" t="s">
        <v>2166</v>
      </c>
      <c r="Q211" s="17" t="s">
        <v>137</v>
      </c>
      <c r="R211" s="17" t="s">
        <v>146</v>
      </c>
    </row>
    <row r="212" spans="1:18" x14ac:dyDescent="0.3">
      <c r="A212" s="12" t="s">
        <v>2181</v>
      </c>
      <c r="B212" s="12" t="s">
        <v>12</v>
      </c>
      <c r="C212" s="12"/>
      <c r="D212" s="12" t="s">
        <v>12</v>
      </c>
      <c r="E212" s="12" t="s">
        <v>2182</v>
      </c>
      <c r="F212" s="12" t="s">
        <v>2183</v>
      </c>
      <c r="G212" s="12" t="s">
        <v>876</v>
      </c>
      <c r="H212" s="12" t="s">
        <v>37</v>
      </c>
      <c r="I212" s="12" t="s">
        <v>26</v>
      </c>
      <c r="J212" s="13" t="s">
        <v>2184</v>
      </c>
      <c r="K212" s="14" t="s">
        <v>2185</v>
      </c>
      <c r="L212" s="15">
        <v>2</v>
      </c>
      <c r="M212" s="15" t="s">
        <v>144</v>
      </c>
      <c r="N212" s="16">
        <v>45911</v>
      </c>
      <c r="O212" s="12" t="s">
        <v>2186</v>
      </c>
      <c r="P212" s="14" t="s">
        <v>2187</v>
      </c>
      <c r="Q212" s="17" t="s">
        <v>137</v>
      </c>
      <c r="R212" s="17" t="s">
        <v>146</v>
      </c>
    </row>
    <row r="213" spans="1:18" x14ac:dyDescent="0.3">
      <c r="A213" s="12" t="s">
        <v>593</v>
      </c>
      <c r="B213" s="12" t="s">
        <v>12</v>
      </c>
      <c r="C213" s="12" t="s">
        <v>14</v>
      </c>
      <c r="D213" s="12" t="s">
        <v>180</v>
      </c>
      <c r="E213" s="12" t="s">
        <v>2193</v>
      </c>
      <c r="F213" s="12" t="s">
        <v>2194</v>
      </c>
      <c r="G213" s="12" t="s">
        <v>876</v>
      </c>
      <c r="H213" s="12" t="s">
        <v>37</v>
      </c>
      <c r="I213" s="12" t="s">
        <v>26</v>
      </c>
      <c r="J213" s="13" t="s">
        <v>2195</v>
      </c>
      <c r="K213" s="14" t="s">
        <v>2196</v>
      </c>
      <c r="L213" s="15">
        <v>8</v>
      </c>
      <c r="M213" s="15" t="s">
        <v>144</v>
      </c>
      <c r="N213" s="16">
        <v>46161</v>
      </c>
      <c r="O213" s="12" t="s">
        <v>593</v>
      </c>
      <c r="P213" s="14" t="s">
        <v>598</v>
      </c>
      <c r="Q213" s="17" t="s">
        <v>137</v>
      </c>
      <c r="R213" s="17" t="s">
        <v>146</v>
      </c>
    </row>
    <row r="214" spans="1:18" x14ac:dyDescent="0.3">
      <c r="A214" s="12" t="s">
        <v>602</v>
      </c>
      <c r="B214" s="12" t="s">
        <v>14</v>
      </c>
      <c r="C214" s="12" t="s">
        <v>12</v>
      </c>
      <c r="D214" s="12" t="s">
        <v>180</v>
      </c>
      <c r="E214" s="12" t="s">
        <v>2193</v>
      </c>
      <c r="F214" s="12" t="s">
        <v>2194</v>
      </c>
      <c r="G214" s="12" t="s">
        <v>876</v>
      </c>
      <c r="H214" s="12" t="s">
        <v>37</v>
      </c>
      <c r="I214" s="12" t="s">
        <v>26</v>
      </c>
      <c r="J214" s="13" t="s">
        <v>2195</v>
      </c>
      <c r="K214" s="14" t="s">
        <v>597</v>
      </c>
      <c r="L214" s="15">
        <v>8</v>
      </c>
      <c r="M214" s="15" t="s">
        <v>144</v>
      </c>
      <c r="N214" s="16">
        <v>46148</v>
      </c>
      <c r="O214" s="12" t="s">
        <v>602</v>
      </c>
      <c r="P214" s="14" t="s">
        <v>603</v>
      </c>
      <c r="Q214" s="17" t="s">
        <v>137</v>
      </c>
      <c r="R214" s="17" t="s">
        <v>146</v>
      </c>
    </row>
    <row r="215" spans="1:18" x14ac:dyDescent="0.3">
      <c r="A215" s="12" t="s">
        <v>2197</v>
      </c>
      <c r="B215" s="12" t="s">
        <v>12</v>
      </c>
      <c r="C215" s="12"/>
      <c r="D215" s="12" t="s">
        <v>12</v>
      </c>
      <c r="E215" s="12" t="s">
        <v>2198</v>
      </c>
      <c r="F215" s="12"/>
      <c r="G215" s="12" t="s">
        <v>876</v>
      </c>
      <c r="H215" s="12" t="s">
        <v>37</v>
      </c>
      <c r="I215" s="12" t="s">
        <v>26</v>
      </c>
      <c r="J215" s="13" t="s">
        <v>2070</v>
      </c>
      <c r="K215" s="14" t="s">
        <v>2199</v>
      </c>
      <c r="L215" s="15">
        <v>2</v>
      </c>
      <c r="M215" s="15" t="s">
        <v>144</v>
      </c>
      <c r="N215" s="16">
        <v>45343</v>
      </c>
      <c r="O215" s="12" t="s">
        <v>2197</v>
      </c>
      <c r="P215" s="14" t="s">
        <v>2200</v>
      </c>
      <c r="Q215" s="17" t="s">
        <v>137</v>
      </c>
      <c r="R215" s="17" t="s">
        <v>146</v>
      </c>
    </row>
    <row r="216" spans="1:18" x14ac:dyDescent="0.3">
      <c r="A216" s="12" t="s">
        <v>2205</v>
      </c>
      <c r="B216" s="12" t="s">
        <v>12</v>
      </c>
      <c r="C216" s="12"/>
      <c r="D216" s="12" t="s">
        <v>12</v>
      </c>
      <c r="E216" s="12" t="s">
        <v>2206</v>
      </c>
      <c r="F216" s="12"/>
      <c r="G216" s="12" t="s">
        <v>876</v>
      </c>
      <c r="H216" s="12" t="s">
        <v>37</v>
      </c>
      <c r="I216" s="12" t="s">
        <v>26</v>
      </c>
      <c r="J216" s="13" t="s">
        <v>2184</v>
      </c>
      <c r="K216" s="14" t="s">
        <v>2207</v>
      </c>
      <c r="L216" s="15">
        <v>2</v>
      </c>
      <c r="M216" s="15" t="s">
        <v>144</v>
      </c>
      <c r="N216" s="16">
        <v>45756</v>
      </c>
      <c r="O216" s="12" t="s">
        <v>2205</v>
      </c>
      <c r="P216" s="14" t="s">
        <v>2208</v>
      </c>
      <c r="Q216" s="17" t="s">
        <v>137</v>
      </c>
      <c r="R216" s="17" t="s">
        <v>146</v>
      </c>
    </row>
    <row r="217" spans="1:18" x14ac:dyDescent="0.3">
      <c r="A217" s="12" t="s">
        <v>2222</v>
      </c>
      <c r="B217" s="12" t="s">
        <v>12</v>
      </c>
      <c r="C217" s="12"/>
      <c r="D217" s="12" t="s">
        <v>12</v>
      </c>
      <c r="E217" s="12" t="s">
        <v>2223</v>
      </c>
      <c r="F217" s="12" t="s">
        <v>832</v>
      </c>
      <c r="G217" s="12" t="s">
        <v>876</v>
      </c>
      <c r="H217" s="12" t="s">
        <v>37</v>
      </c>
      <c r="I217" s="12" t="s">
        <v>26</v>
      </c>
      <c r="J217" s="13" t="s">
        <v>2195</v>
      </c>
      <c r="K217" s="14" t="s">
        <v>2224</v>
      </c>
      <c r="L217" s="15">
        <v>1</v>
      </c>
      <c r="M217" s="15" t="s">
        <v>144</v>
      </c>
      <c r="N217" s="16">
        <v>45951</v>
      </c>
      <c r="O217" s="12" t="s">
        <v>2222</v>
      </c>
      <c r="P217" s="14" t="s">
        <v>2225</v>
      </c>
      <c r="Q217" s="17" t="s">
        <v>137</v>
      </c>
      <c r="R217" s="17" t="s">
        <v>146</v>
      </c>
    </row>
    <row r="218" spans="1:18" x14ac:dyDescent="0.3">
      <c r="A218" s="12" t="s">
        <v>2226</v>
      </c>
      <c r="B218" s="12" t="s">
        <v>12</v>
      </c>
      <c r="C218" s="12"/>
      <c r="D218" s="12" t="s">
        <v>12</v>
      </c>
      <c r="E218" s="12" t="s">
        <v>2227</v>
      </c>
      <c r="F218" s="12"/>
      <c r="G218" s="12" t="s">
        <v>876</v>
      </c>
      <c r="H218" s="12" t="s">
        <v>37</v>
      </c>
      <c r="I218" s="12" t="s">
        <v>26</v>
      </c>
      <c r="J218" s="13" t="s">
        <v>1995</v>
      </c>
      <c r="K218" s="14" t="s">
        <v>2228</v>
      </c>
      <c r="L218" s="15">
        <v>1</v>
      </c>
      <c r="M218" s="15" t="s">
        <v>144</v>
      </c>
      <c r="N218" s="16">
        <v>45680</v>
      </c>
      <c r="O218" s="12" t="s">
        <v>2226</v>
      </c>
      <c r="P218" s="14" t="s">
        <v>2229</v>
      </c>
      <c r="Q218" s="17" t="s">
        <v>137</v>
      </c>
      <c r="R218" s="17" t="s">
        <v>146</v>
      </c>
    </row>
    <row r="219" spans="1:18" x14ac:dyDescent="0.3">
      <c r="A219" s="12" t="s">
        <v>2234</v>
      </c>
      <c r="B219" s="12" t="s">
        <v>12</v>
      </c>
      <c r="C219" s="12"/>
      <c r="D219" s="12" t="s">
        <v>12</v>
      </c>
      <c r="E219" s="12" t="s">
        <v>2235</v>
      </c>
      <c r="F219" s="12" t="s">
        <v>547</v>
      </c>
      <c r="G219" s="12" t="s">
        <v>876</v>
      </c>
      <c r="H219" s="12" t="s">
        <v>37</v>
      </c>
      <c r="I219" s="12" t="s">
        <v>26</v>
      </c>
      <c r="J219" s="13" t="s">
        <v>2157</v>
      </c>
      <c r="K219" s="14" t="s">
        <v>2236</v>
      </c>
      <c r="L219" s="15">
        <v>1</v>
      </c>
      <c r="M219" s="15" t="s">
        <v>144</v>
      </c>
      <c r="N219" s="16">
        <v>45765</v>
      </c>
      <c r="O219" s="12" t="s">
        <v>2234</v>
      </c>
      <c r="P219" s="14" t="s">
        <v>2237</v>
      </c>
      <c r="Q219" s="17" t="s">
        <v>137</v>
      </c>
      <c r="R219" s="17" t="s">
        <v>146</v>
      </c>
    </row>
    <row r="220" spans="1:18" x14ac:dyDescent="0.3">
      <c r="A220" s="12" t="s">
        <v>2238</v>
      </c>
      <c r="B220" s="12" t="s">
        <v>12</v>
      </c>
      <c r="C220" s="12"/>
      <c r="D220" s="12" t="s">
        <v>12</v>
      </c>
      <c r="E220" s="12" t="s">
        <v>2239</v>
      </c>
      <c r="F220" s="12"/>
      <c r="G220" s="12" t="s">
        <v>876</v>
      </c>
      <c r="H220" s="12" t="s">
        <v>37</v>
      </c>
      <c r="I220" s="12" t="s">
        <v>26</v>
      </c>
      <c r="J220" s="13" t="s">
        <v>2178</v>
      </c>
      <c r="K220" s="14" t="s">
        <v>2240</v>
      </c>
      <c r="L220" s="15">
        <v>0</v>
      </c>
      <c r="M220" s="15" t="s">
        <v>144</v>
      </c>
      <c r="N220" s="16">
        <v>44603</v>
      </c>
      <c r="O220" s="12" t="s">
        <v>2238</v>
      </c>
      <c r="P220" s="14" t="s">
        <v>2241</v>
      </c>
      <c r="Q220" s="17" t="s">
        <v>137</v>
      </c>
      <c r="R220" s="17" t="s">
        <v>146</v>
      </c>
    </row>
    <row r="221" spans="1:18" x14ac:dyDescent="0.3">
      <c r="A221" s="12" t="s">
        <v>2242</v>
      </c>
      <c r="B221" s="12" t="s">
        <v>12</v>
      </c>
      <c r="C221" s="12"/>
      <c r="D221" s="12" t="s">
        <v>12</v>
      </c>
      <c r="E221" s="12" t="s">
        <v>2243</v>
      </c>
      <c r="F221" s="12"/>
      <c r="G221" s="12" t="s">
        <v>876</v>
      </c>
      <c r="H221" s="12" t="s">
        <v>37</v>
      </c>
      <c r="I221" s="12" t="s">
        <v>26</v>
      </c>
      <c r="J221" s="13" t="s">
        <v>2184</v>
      </c>
      <c r="K221" s="14" t="s">
        <v>1593</v>
      </c>
      <c r="L221" s="15">
        <v>3</v>
      </c>
      <c r="M221" s="15" t="s">
        <v>144</v>
      </c>
      <c r="N221" s="16">
        <v>45236</v>
      </c>
      <c r="O221" s="12" t="s">
        <v>2242</v>
      </c>
      <c r="P221" s="14" t="s">
        <v>2244</v>
      </c>
      <c r="Q221" s="17" t="s">
        <v>137</v>
      </c>
      <c r="R221" s="17" t="s">
        <v>146</v>
      </c>
    </row>
    <row r="222" spans="1:18" x14ac:dyDescent="0.3">
      <c r="A222" s="12" t="s">
        <v>2245</v>
      </c>
      <c r="B222" s="12" t="s">
        <v>12</v>
      </c>
      <c r="C222" s="12"/>
      <c r="D222" s="12" t="s">
        <v>12</v>
      </c>
      <c r="E222" s="12" t="s">
        <v>2246</v>
      </c>
      <c r="F222" s="12"/>
      <c r="G222" s="12" t="s">
        <v>876</v>
      </c>
      <c r="H222" s="12" t="s">
        <v>37</v>
      </c>
      <c r="I222" s="12" t="s">
        <v>26</v>
      </c>
      <c r="J222" s="13" t="s">
        <v>2123</v>
      </c>
      <c r="K222" s="14" t="s">
        <v>2247</v>
      </c>
      <c r="L222" s="15">
        <v>2</v>
      </c>
      <c r="M222" s="15" t="s">
        <v>144</v>
      </c>
      <c r="N222" s="16">
        <v>45373</v>
      </c>
      <c r="O222" s="12" t="s">
        <v>2245</v>
      </c>
      <c r="P222" s="14" t="s">
        <v>2248</v>
      </c>
      <c r="Q222" s="17" t="s">
        <v>137</v>
      </c>
      <c r="R222" s="17" t="s">
        <v>146</v>
      </c>
    </row>
    <row r="223" spans="1:18" x14ac:dyDescent="0.3">
      <c r="A223" s="12" t="s">
        <v>2249</v>
      </c>
      <c r="B223" s="12" t="s">
        <v>12</v>
      </c>
      <c r="C223" s="12"/>
      <c r="D223" s="12" t="s">
        <v>12</v>
      </c>
      <c r="E223" s="12" t="s">
        <v>2250</v>
      </c>
      <c r="F223" s="12" t="s">
        <v>2251</v>
      </c>
      <c r="G223" s="12" t="s">
        <v>876</v>
      </c>
      <c r="H223" s="12" t="s">
        <v>37</v>
      </c>
      <c r="I223" s="12" t="s">
        <v>26</v>
      </c>
      <c r="J223" s="13" t="s">
        <v>2007</v>
      </c>
      <c r="K223" s="14" t="s">
        <v>2252</v>
      </c>
      <c r="L223" s="15">
        <v>0</v>
      </c>
      <c r="M223" s="15" t="s">
        <v>144</v>
      </c>
      <c r="N223" s="16">
        <v>45205</v>
      </c>
      <c r="O223" s="12" t="s">
        <v>2249</v>
      </c>
      <c r="P223" s="14" t="s">
        <v>2253</v>
      </c>
      <c r="Q223" s="17" t="s">
        <v>137</v>
      </c>
      <c r="R223" s="17" t="s">
        <v>146</v>
      </c>
    </row>
    <row r="224" spans="1:18" x14ac:dyDescent="0.3">
      <c r="A224" s="12" t="s">
        <v>2254</v>
      </c>
      <c r="B224" s="12" t="s">
        <v>12</v>
      </c>
      <c r="C224" s="12"/>
      <c r="D224" s="12" t="s">
        <v>12</v>
      </c>
      <c r="E224" s="12" t="s">
        <v>2127</v>
      </c>
      <c r="F224" s="12" t="s">
        <v>510</v>
      </c>
      <c r="G224" s="12" t="s">
        <v>876</v>
      </c>
      <c r="H224" s="12" t="s">
        <v>37</v>
      </c>
      <c r="I224" s="12" t="s">
        <v>26</v>
      </c>
      <c r="J224" s="13" t="s">
        <v>2102</v>
      </c>
      <c r="K224" s="14" t="s">
        <v>2255</v>
      </c>
      <c r="L224" s="15">
        <v>2</v>
      </c>
      <c r="M224" s="15" t="s">
        <v>144</v>
      </c>
      <c r="N224" s="16">
        <v>46042</v>
      </c>
      <c r="O224" s="12" t="s">
        <v>2254</v>
      </c>
      <c r="P224" s="14" t="s">
        <v>2256</v>
      </c>
      <c r="Q224" s="17" t="s">
        <v>137</v>
      </c>
      <c r="R224" s="17" t="s">
        <v>146</v>
      </c>
    </row>
    <row r="225" spans="1:18" x14ac:dyDescent="0.3">
      <c r="A225" s="12" t="s">
        <v>2264</v>
      </c>
      <c r="B225" s="12" t="s">
        <v>12</v>
      </c>
      <c r="C225" s="12"/>
      <c r="D225" s="12" t="s">
        <v>12</v>
      </c>
      <c r="E225" s="12" t="s">
        <v>2265</v>
      </c>
      <c r="F225" s="12"/>
      <c r="G225" s="12" t="s">
        <v>876</v>
      </c>
      <c r="H225" s="12" t="s">
        <v>37</v>
      </c>
      <c r="I225" s="12" t="s">
        <v>26</v>
      </c>
      <c r="J225" s="13" t="s">
        <v>2184</v>
      </c>
      <c r="K225" s="14" t="s">
        <v>2266</v>
      </c>
      <c r="L225" s="15">
        <v>1</v>
      </c>
      <c r="M225" s="15" t="s">
        <v>144</v>
      </c>
      <c r="N225" s="16">
        <v>44762</v>
      </c>
      <c r="O225" s="12" t="s">
        <v>2264</v>
      </c>
      <c r="P225" s="14" t="s">
        <v>2267</v>
      </c>
      <c r="Q225" s="17" t="s">
        <v>137</v>
      </c>
      <c r="R225" s="17" t="s">
        <v>146</v>
      </c>
    </row>
    <row r="226" spans="1:18" x14ac:dyDescent="0.3">
      <c r="A226" s="12" t="s">
        <v>2273</v>
      </c>
      <c r="B226" s="12" t="s">
        <v>12</v>
      </c>
      <c r="C226" s="12"/>
      <c r="D226" s="12" t="s">
        <v>12</v>
      </c>
      <c r="E226" s="12" t="s">
        <v>2274</v>
      </c>
      <c r="F226" s="12"/>
      <c r="G226" s="12" t="s">
        <v>876</v>
      </c>
      <c r="H226" s="12" t="s">
        <v>37</v>
      </c>
      <c r="I226" s="12" t="s">
        <v>26</v>
      </c>
      <c r="J226" s="13" t="s">
        <v>2184</v>
      </c>
      <c r="K226" s="14" t="s">
        <v>2275</v>
      </c>
      <c r="L226" s="15">
        <v>5</v>
      </c>
      <c r="M226" s="15" t="s">
        <v>144</v>
      </c>
      <c r="N226" s="16">
        <v>46268</v>
      </c>
      <c r="O226" s="12" t="s">
        <v>2273</v>
      </c>
      <c r="P226" s="14" t="s">
        <v>2276</v>
      </c>
      <c r="Q226" s="17" t="s">
        <v>137</v>
      </c>
      <c r="R226" s="17" t="s">
        <v>146</v>
      </c>
    </row>
    <row r="227" spans="1:18" x14ac:dyDescent="0.3">
      <c r="A227" s="12" t="s">
        <v>2284</v>
      </c>
      <c r="B227" s="12" t="s">
        <v>12</v>
      </c>
      <c r="C227" s="12"/>
      <c r="D227" s="12" t="s">
        <v>12</v>
      </c>
      <c r="E227" s="12" t="s">
        <v>2285</v>
      </c>
      <c r="F227" s="12"/>
      <c r="G227" s="12" t="s">
        <v>876</v>
      </c>
      <c r="H227" s="12" t="s">
        <v>37</v>
      </c>
      <c r="I227" s="12" t="s">
        <v>26</v>
      </c>
      <c r="J227" s="13" t="s">
        <v>2184</v>
      </c>
      <c r="K227" s="14" t="s">
        <v>2286</v>
      </c>
      <c r="L227" s="15">
        <v>1</v>
      </c>
      <c r="M227" s="15" t="s">
        <v>144</v>
      </c>
      <c r="N227" s="16">
        <v>45021</v>
      </c>
      <c r="O227" s="12" t="s">
        <v>2284</v>
      </c>
      <c r="P227" s="14" t="s">
        <v>2287</v>
      </c>
      <c r="Q227" s="17" t="s">
        <v>137</v>
      </c>
      <c r="R227" s="17" t="s">
        <v>146</v>
      </c>
    </row>
    <row r="228" spans="1:18" x14ac:dyDescent="0.3">
      <c r="A228" s="12" t="s">
        <v>2300</v>
      </c>
      <c r="B228" s="12" t="s">
        <v>12</v>
      </c>
      <c r="C228" s="12"/>
      <c r="D228" s="12" t="s">
        <v>12</v>
      </c>
      <c r="E228" s="12" t="s">
        <v>2301</v>
      </c>
      <c r="F228" s="12" t="s">
        <v>644</v>
      </c>
      <c r="G228" s="12" t="s">
        <v>876</v>
      </c>
      <c r="H228" s="12" t="s">
        <v>37</v>
      </c>
      <c r="I228" s="12" t="s">
        <v>26</v>
      </c>
      <c r="J228" s="13" t="s">
        <v>2302</v>
      </c>
      <c r="K228" s="14" t="s">
        <v>2303</v>
      </c>
      <c r="L228" s="15">
        <v>1</v>
      </c>
      <c r="M228" s="15" t="s">
        <v>144</v>
      </c>
      <c r="N228" s="16">
        <v>46220</v>
      </c>
      <c r="O228" s="12" t="s">
        <v>2300</v>
      </c>
      <c r="P228" s="14" t="s">
        <v>2304</v>
      </c>
      <c r="Q228" s="17" t="s">
        <v>137</v>
      </c>
      <c r="R228" s="17" t="s">
        <v>146</v>
      </c>
    </row>
    <row r="229" spans="1:18" x14ac:dyDescent="0.3">
      <c r="A229" s="12" t="s">
        <v>2305</v>
      </c>
      <c r="B229" s="12" t="s">
        <v>12</v>
      </c>
      <c r="C229" s="12"/>
      <c r="D229" s="12" t="s">
        <v>12</v>
      </c>
      <c r="E229" s="12" t="s">
        <v>2306</v>
      </c>
      <c r="F229" s="12" t="s">
        <v>2307</v>
      </c>
      <c r="G229" s="12" t="s">
        <v>876</v>
      </c>
      <c r="H229" s="12" t="s">
        <v>37</v>
      </c>
      <c r="I229" s="12" t="s">
        <v>26</v>
      </c>
      <c r="J229" s="13" t="s">
        <v>2118</v>
      </c>
      <c r="K229" s="14" t="s">
        <v>2308</v>
      </c>
      <c r="L229" s="15">
        <v>4</v>
      </c>
      <c r="M229" s="15" t="s">
        <v>144</v>
      </c>
      <c r="N229" s="16">
        <v>45394</v>
      </c>
      <c r="O229" s="12" t="s">
        <v>2305</v>
      </c>
      <c r="P229" s="14" t="s">
        <v>2309</v>
      </c>
      <c r="Q229" s="17" t="s">
        <v>137</v>
      </c>
      <c r="R229" s="17" t="s">
        <v>146</v>
      </c>
    </row>
    <row r="230" spans="1:18" x14ac:dyDescent="0.3">
      <c r="A230" s="12" t="s">
        <v>2322</v>
      </c>
      <c r="B230" s="12" t="s">
        <v>12</v>
      </c>
      <c r="C230" s="12"/>
      <c r="D230" s="12" t="s">
        <v>12</v>
      </c>
      <c r="E230" s="12" t="s">
        <v>2323</v>
      </c>
      <c r="F230" s="12"/>
      <c r="G230" s="12" t="s">
        <v>876</v>
      </c>
      <c r="H230" s="12" t="s">
        <v>37</v>
      </c>
      <c r="I230" s="12" t="s">
        <v>26</v>
      </c>
      <c r="J230" s="13" t="s">
        <v>2149</v>
      </c>
      <c r="K230" s="14" t="s">
        <v>2324</v>
      </c>
      <c r="L230" s="15">
        <v>1</v>
      </c>
      <c r="M230" s="15" t="s">
        <v>144</v>
      </c>
      <c r="N230" s="16">
        <v>45513</v>
      </c>
      <c r="O230" s="12" t="s">
        <v>2322</v>
      </c>
      <c r="P230" s="14" t="s">
        <v>2325</v>
      </c>
      <c r="Q230" s="17" t="s">
        <v>137</v>
      </c>
      <c r="R230" s="17" t="s">
        <v>146</v>
      </c>
    </row>
    <row r="231" spans="1:18" x14ac:dyDescent="0.3">
      <c r="A231" s="12" t="s">
        <v>2326</v>
      </c>
      <c r="B231" s="12" t="s">
        <v>12</v>
      </c>
      <c r="C231" s="12"/>
      <c r="D231" s="12" t="s">
        <v>12</v>
      </c>
      <c r="E231" s="12" t="s">
        <v>2327</v>
      </c>
      <c r="F231" s="12"/>
      <c r="G231" s="12" t="s">
        <v>876</v>
      </c>
      <c r="H231" s="12" t="s">
        <v>37</v>
      </c>
      <c r="I231" s="12" t="s">
        <v>26</v>
      </c>
      <c r="J231" s="13" t="s">
        <v>2149</v>
      </c>
      <c r="K231" s="14" t="s">
        <v>2328</v>
      </c>
      <c r="L231" s="15">
        <v>8</v>
      </c>
      <c r="M231" s="15" t="s">
        <v>144</v>
      </c>
      <c r="N231" s="16">
        <v>45644</v>
      </c>
      <c r="O231" s="12" t="s">
        <v>2329</v>
      </c>
      <c r="P231" s="14" t="s">
        <v>2330</v>
      </c>
      <c r="Q231" s="17" t="s">
        <v>137</v>
      </c>
      <c r="R231" s="17" t="s">
        <v>146</v>
      </c>
    </row>
    <row r="232" spans="1:18" x14ac:dyDescent="0.3">
      <c r="A232" s="12" t="s">
        <v>2340</v>
      </c>
      <c r="B232" s="12" t="s">
        <v>12</v>
      </c>
      <c r="C232" s="12"/>
      <c r="D232" s="12" t="s">
        <v>12</v>
      </c>
      <c r="E232" s="12" t="s">
        <v>2341</v>
      </c>
      <c r="F232" s="12"/>
      <c r="G232" s="12" t="s">
        <v>2333</v>
      </c>
      <c r="H232" s="12" t="s">
        <v>37</v>
      </c>
      <c r="I232" s="12" t="s">
        <v>26</v>
      </c>
      <c r="J232" s="13" t="s">
        <v>2334</v>
      </c>
      <c r="K232" s="14" t="s">
        <v>2342</v>
      </c>
      <c r="L232" s="15">
        <v>2</v>
      </c>
      <c r="M232" s="15" t="s">
        <v>144</v>
      </c>
      <c r="N232" s="16">
        <v>45748</v>
      </c>
      <c r="O232" s="12" t="s">
        <v>2340</v>
      </c>
      <c r="P232" s="14" t="s">
        <v>2343</v>
      </c>
      <c r="Q232" s="17" t="s">
        <v>137</v>
      </c>
      <c r="R232" s="17" t="s">
        <v>146</v>
      </c>
    </row>
    <row r="233" spans="1:18" x14ac:dyDescent="0.3">
      <c r="A233" s="12" t="s">
        <v>2346</v>
      </c>
      <c r="B233" s="12" t="s">
        <v>12</v>
      </c>
      <c r="C233" s="12"/>
      <c r="D233" s="12" t="s">
        <v>12</v>
      </c>
      <c r="E233" s="12" t="s">
        <v>2347</v>
      </c>
      <c r="F233" s="12" t="s">
        <v>2348</v>
      </c>
      <c r="G233" s="12" t="s">
        <v>2349</v>
      </c>
      <c r="H233" s="12" t="s">
        <v>37</v>
      </c>
      <c r="I233" s="12" t="s">
        <v>26</v>
      </c>
      <c r="J233" s="13" t="s">
        <v>2334</v>
      </c>
      <c r="K233" s="14" t="s">
        <v>2350</v>
      </c>
      <c r="L233" s="15">
        <v>0</v>
      </c>
      <c r="M233" s="15" t="s">
        <v>144</v>
      </c>
      <c r="N233" s="16">
        <v>44998</v>
      </c>
      <c r="O233" s="12" t="s">
        <v>2346</v>
      </c>
      <c r="P233" s="14" t="s">
        <v>2351</v>
      </c>
      <c r="Q233" s="17" t="s">
        <v>137</v>
      </c>
      <c r="R233" s="17" t="s">
        <v>146</v>
      </c>
    </row>
    <row r="234" spans="1:18" x14ac:dyDescent="0.3">
      <c r="A234" s="12" t="s">
        <v>2357</v>
      </c>
      <c r="B234" s="12" t="s">
        <v>12</v>
      </c>
      <c r="C234" s="12"/>
      <c r="D234" s="12" t="s">
        <v>12</v>
      </c>
      <c r="E234" s="12" t="s">
        <v>2358</v>
      </c>
      <c r="F234" s="12" t="s">
        <v>467</v>
      </c>
      <c r="G234" s="12" t="s">
        <v>2349</v>
      </c>
      <c r="H234" s="12" t="s">
        <v>37</v>
      </c>
      <c r="I234" s="12" t="s">
        <v>26</v>
      </c>
      <c r="J234" s="13" t="s">
        <v>2334</v>
      </c>
      <c r="K234" s="14" t="s">
        <v>2359</v>
      </c>
      <c r="L234" s="15">
        <v>1</v>
      </c>
      <c r="M234" s="15" t="s">
        <v>144</v>
      </c>
      <c r="N234" s="16">
        <v>45733</v>
      </c>
      <c r="O234" s="12" t="s">
        <v>2357</v>
      </c>
      <c r="P234" s="14" t="s">
        <v>2360</v>
      </c>
      <c r="Q234" s="17" t="s">
        <v>137</v>
      </c>
      <c r="R234" s="17" t="s">
        <v>146</v>
      </c>
    </row>
    <row r="235" spans="1:18" x14ac:dyDescent="0.3">
      <c r="A235" s="12" t="s">
        <v>2361</v>
      </c>
      <c r="B235" s="12" t="s">
        <v>12</v>
      </c>
      <c r="C235" s="12"/>
      <c r="D235" s="12" t="s">
        <v>12</v>
      </c>
      <c r="E235" s="12" t="s">
        <v>2362</v>
      </c>
      <c r="F235" s="12"/>
      <c r="G235" s="12" t="s">
        <v>2349</v>
      </c>
      <c r="H235" s="12" t="s">
        <v>37</v>
      </c>
      <c r="I235" s="12" t="s">
        <v>26</v>
      </c>
      <c r="J235" s="13" t="s">
        <v>2334</v>
      </c>
      <c r="K235" s="14" t="s">
        <v>2363</v>
      </c>
      <c r="L235" s="15">
        <v>0</v>
      </c>
      <c r="M235" s="15" t="s">
        <v>144</v>
      </c>
      <c r="N235" s="16">
        <v>45483</v>
      </c>
      <c r="O235" s="12" t="s">
        <v>2364</v>
      </c>
      <c r="P235" s="14" t="s">
        <v>2365</v>
      </c>
      <c r="Q235" s="17" t="s">
        <v>137</v>
      </c>
      <c r="R235" s="17" t="s">
        <v>146</v>
      </c>
    </row>
    <row r="236" spans="1:18" x14ac:dyDescent="0.3">
      <c r="A236" s="12" t="s">
        <v>2370</v>
      </c>
      <c r="B236" s="12" t="s">
        <v>12</v>
      </c>
      <c r="C236" s="12"/>
      <c r="D236" s="12" t="s">
        <v>12</v>
      </c>
      <c r="E236" s="12" t="s">
        <v>2371</v>
      </c>
      <c r="F236" s="12" t="s">
        <v>2372</v>
      </c>
      <c r="G236" s="12" t="s">
        <v>2349</v>
      </c>
      <c r="H236" s="12" t="s">
        <v>37</v>
      </c>
      <c r="I236" s="12" t="s">
        <v>26</v>
      </c>
      <c r="J236" s="13" t="s">
        <v>2334</v>
      </c>
      <c r="K236" s="14" t="s">
        <v>2373</v>
      </c>
      <c r="L236" s="15">
        <v>1</v>
      </c>
      <c r="M236" s="15" t="s">
        <v>144</v>
      </c>
      <c r="N236" s="16">
        <v>44937</v>
      </c>
      <c r="O236" s="12" t="s">
        <v>2370</v>
      </c>
      <c r="P236" s="14" t="s">
        <v>2374</v>
      </c>
      <c r="Q236" s="17" t="s">
        <v>137</v>
      </c>
      <c r="R236" s="17" t="s">
        <v>146</v>
      </c>
    </row>
    <row r="237" spans="1:18" x14ac:dyDescent="0.3">
      <c r="A237" s="12" t="s">
        <v>2379</v>
      </c>
      <c r="B237" s="12" t="s">
        <v>12</v>
      </c>
      <c r="C237" s="12"/>
      <c r="D237" s="12" t="s">
        <v>12</v>
      </c>
      <c r="E237" s="12" t="s">
        <v>2380</v>
      </c>
      <c r="F237" s="12" t="s">
        <v>447</v>
      </c>
      <c r="G237" s="12" t="s">
        <v>2349</v>
      </c>
      <c r="H237" s="12" t="s">
        <v>37</v>
      </c>
      <c r="I237" s="12" t="s">
        <v>26</v>
      </c>
      <c r="J237" s="13" t="s">
        <v>2334</v>
      </c>
      <c r="K237" s="14" t="s">
        <v>2381</v>
      </c>
      <c r="L237" s="15">
        <v>2</v>
      </c>
      <c r="M237" s="15" t="s">
        <v>144</v>
      </c>
      <c r="N237" s="16">
        <v>44761</v>
      </c>
      <c r="O237" s="12" t="s">
        <v>2382</v>
      </c>
      <c r="P237" s="14" t="s">
        <v>2383</v>
      </c>
      <c r="Q237" s="17" t="s">
        <v>137</v>
      </c>
      <c r="R237" s="17" t="s">
        <v>146</v>
      </c>
    </row>
    <row r="238" spans="1:18" x14ac:dyDescent="0.3">
      <c r="A238" s="12" t="s">
        <v>2384</v>
      </c>
      <c r="B238" s="12" t="s">
        <v>12</v>
      </c>
      <c r="C238" s="12"/>
      <c r="D238" s="12" t="s">
        <v>12</v>
      </c>
      <c r="E238" s="12" t="s">
        <v>2385</v>
      </c>
      <c r="F238" s="12"/>
      <c r="G238" s="12" t="s">
        <v>2386</v>
      </c>
      <c r="H238" s="12" t="s">
        <v>47</v>
      </c>
      <c r="I238" s="12" t="s">
        <v>26</v>
      </c>
      <c r="J238" s="13" t="s">
        <v>2387</v>
      </c>
      <c r="K238" s="14" t="s">
        <v>2388</v>
      </c>
      <c r="L238" s="15">
        <v>1</v>
      </c>
      <c r="M238" s="15" t="s">
        <v>144</v>
      </c>
      <c r="N238" s="16">
        <v>46254</v>
      </c>
      <c r="O238" s="12" t="s">
        <v>2384</v>
      </c>
      <c r="P238" s="14" t="s">
        <v>2389</v>
      </c>
      <c r="Q238" s="17" t="s">
        <v>137</v>
      </c>
      <c r="R238" s="17" t="s">
        <v>146</v>
      </c>
    </row>
    <row r="239" spans="1:18" x14ac:dyDescent="0.3">
      <c r="A239" s="12" t="s">
        <v>2390</v>
      </c>
      <c r="B239" s="12" t="s">
        <v>12</v>
      </c>
      <c r="C239" s="12"/>
      <c r="D239" s="12" t="s">
        <v>12</v>
      </c>
      <c r="E239" s="12" t="s">
        <v>2391</v>
      </c>
      <c r="F239" s="12"/>
      <c r="G239" s="12" t="s">
        <v>2392</v>
      </c>
      <c r="H239" s="12" t="s">
        <v>47</v>
      </c>
      <c r="I239" s="12" t="s">
        <v>26</v>
      </c>
      <c r="J239" s="13" t="s">
        <v>2393</v>
      </c>
      <c r="K239" s="14" t="s">
        <v>2394</v>
      </c>
      <c r="L239" s="15">
        <v>0</v>
      </c>
      <c r="M239" s="15" t="s">
        <v>144</v>
      </c>
      <c r="N239" s="16">
        <v>44573</v>
      </c>
      <c r="O239" s="12" t="s">
        <v>2390</v>
      </c>
      <c r="P239" s="14" t="s">
        <v>2395</v>
      </c>
      <c r="Q239" s="17" t="s">
        <v>137</v>
      </c>
      <c r="R239" s="17" t="s">
        <v>146</v>
      </c>
    </row>
    <row r="240" spans="1:18" x14ac:dyDescent="0.3">
      <c r="A240" s="12" t="s">
        <v>2396</v>
      </c>
      <c r="B240" s="12" t="s">
        <v>12</v>
      </c>
      <c r="C240" s="12"/>
      <c r="D240" s="12" t="s">
        <v>12</v>
      </c>
      <c r="E240" s="12" t="s">
        <v>2397</v>
      </c>
      <c r="F240" s="12" t="s">
        <v>1191</v>
      </c>
      <c r="G240" s="12" t="s">
        <v>2398</v>
      </c>
      <c r="H240" s="12" t="s">
        <v>47</v>
      </c>
      <c r="I240" s="12" t="s">
        <v>26</v>
      </c>
      <c r="J240" s="13" t="s">
        <v>2399</v>
      </c>
      <c r="K240" s="14" t="s">
        <v>2400</v>
      </c>
      <c r="L240" s="15">
        <v>1</v>
      </c>
      <c r="M240" s="15" t="s">
        <v>144</v>
      </c>
      <c r="N240" s="16">
        <v>45043</v>
      </c>
      <c r="O240" s="12" t="s">
        <v>2396</v>
      </c>
      <c r="P240" s="14" t="s">
        <v>2401</v>
      </c>
      <c r="Q240" s="17" t="s">
        <v>137</v>
      </c>
      <c r="R240" s="17" t="s">
        <v>146</v>
      </c>
    </row>
    <row r="241" spans="1:18" x14ac:dyDescent="0.3">
      <c r="A241" s="12" t="s">
        <v>2402</v>
      </c>
      <c r="B241" s="12" t="s">
        <v>12</v>
      </c>
      <c r="C241" s="12"/>
      <c r="D241" s="12" t="s">
        <v>12</v>
      </c>
      <c r="E241" s="12" t="s">
        <v>2403</v>
      </c>
      <c r="F241" s="12"/>
      <c r="G241" s="12" t="s">
        <v>2398</v>
      </c>
      <c r="H241" s="12" t="s">
        <v>47</v>
      </c>
      <c r="I241" s="12" t="s">
        <v>26</v>
      </c>
      <c r="J241" s="13" t="s">
        <v>2399</v>
      </c>
      <c r="K241" s="14" t="s">
        <v>2404</v>
      </c>
      <c r="L241" s="15">
        <v>1</v>
      </c>
      <c r="M241" s="15" t="s">
        <v>144</v>
      </c>
      <c r="N241" s="16">
        <v>45671</v>
      </c>
      <c r="O241" s="12" t="s">
        <v>2402</v>
      </c>
      <c r="P241" s="14" t="s">
        <v>2405</v>
      </c>
      <c r="Q241" s="17" t="s">
        <v>137</v>
      </c>
      <c r="R241" s="17" t="s">
        <v>146</v>
      </c>
    </row>
    <row r="242" spans="1:18" x14ac:dyDescent="0.3">
      <c r="A242" s="12" t="s">
        <v>2406</v>
      </c>
      <c r="B242" s="12" t="s">
        <v>12</v>
      </c>
      <c r="C242" s="12"/>
      <c r="D242" s="12" t="s">
        <v>12</v>
      </c>
      <c r="E242" s="12" t="s">
        <v>2407</v>
      </c>
      <c r="F242" s="12" t="s">
        <v>447</v>
      </c>
      <c r="G242" s="12" t="s">
        <v>2398</v>
      </c>
      <c r="H242" s="12" t="s">
        <v>47</v>
      </c>
      <c r="I242" s="12" t="s">
        <v>26</v>
      </c>
      <c r="J242" s="13" t="s">
        <v>2399</v>
      </c>
      <c r="K242" s="14" t="s">
        <v>2408</v>
      </c>
      <c r="L242" s="15">
        <v>2</v>
      </c>
      <c r="M242" s="15" t="s">
        <v>144</v>
      </c>
      <c r="N242" s="16">
        <v>45457</v>
      </c>
      <c r="O242" s="12" t="s">
        <v>2406</v>
      </c>
      <c r="P242" s="14" t="s">
        <v>2409</v>
      </c>
      <c r="Q242" s="17" t="s">
        <v>137</v>
      </c>
      <c r="R242" s="17" t="s">
        <v>146</v>
      </c>
    </row>
    <row r="243" spans="1:18" x14ac:dyDescent="0.3">
      <c r="A243" s="12" t="s">
        <v>2410</v>
      </c>
      <c r="B243" s="12" t="s">
        <v>12</v>
      </c>
      <c r="C243" s="12"/>
      <c r="D243" s="12" t="s">
        <v>12</v>
      </c>
      <c r="E243" s="12" t="s">
        <v>2411</v>
      </c>
      <c r="F243" s="12"/>
      <c r="G243" s="12" t="s">
        <v>2398</v>
      </c>
      <c r="H243" s="12" t="s">
        <v>47</v>
      </c>
      <c r="I243" s="12" t="s">
        <v>26</v>
      </c>
      <c r="J243" s="13" t="s">
        <v>2399</v>
      </c>
      <c r="K243" s="14" t="s">
        <v>2412</v>
      </c>
      <c r="L243" s="15">
        <v>0</v>
      </c>
      <c r="M243" s="15" t="s">
        <v>144</v>
      </c>
      <c r="N243" s="16">
        <v>45688</v>
      </c>
      <c r="O243" s="12" t="s">
        <v>2413</v>
      </c>
      <c r="P243" s="14" t="s">
        <v>2414</v>
      </c>
      <c r="Q243" s="17" t="s">
        <v>137</v>
      </c>
      <c r="R243" s="17" t="s">
        <v>146</v>
      </c>
    </row>
    <row r="244" spans="1:18" x14ac:dyDescent="0.3">
      <c r="A244" s="12" t="s">
        <v>2402</v>
      </c>
      <c r="B244" s="12" t="s">
        <v>12</v>
      </c>
      <c r="C244" s="12"/>
      <c r="D244" s="12" t="s">
        <v>12</v>
      </c>
      <c r="E244" s="12" t="s">
        <v>2421</v>
      </c>
      <c r="F244" s="12" t="s">
        <v>832</v>
      </c>
      <c r="G244" s="12" t="s">
        <v>2419</v>
      </c>
      <c r="H244" s="12" t="s">
        <v>47</v>
      </c>
      <c r="I244" s="12" t="s">
        <v>26</v>
      </c>
      <c r="J244" s="13" t="s">
        <v>2420</v>
      </c>
      <c r="K244" s="14" t="s">
        <v>2404</v>
      </c>
      <c r="L244" s="15">
        <v>2</v>
      </c>
      <c r="M244" s="15" t="s">
        <v>144</v>
      </c>
      <c r="N244" s="16">
        <v>45671</v>
      </c>
      <c r="O244" s="12" t="s">
        <v>2402</v>
      </c>
      <c r="P244" s="14" t="s">
        <v>2405</v>
      </c>
      <c r="Q244" s="17" t="s">
        <v>137</v>
      </c>
      <c r="R244" s="17" t="s">
        <v>146</v>
      </c>
    </row>
    <row r="245" spans="1:18" x14ac:dyDescent="0.3">
      <c r="A245" s="12" t="s">
        <v>2427</v>
      </c>
      <c r="B245" s="12" t="s">
        <v>12</v>
      </c>
      <c r="C245" s="12"/>
      <c r="D245" s="12" t="s">
        <v>12</v>
      </c>
      <c r="E245" s="12" t="s">
        <v>2428</v>
      </c>
      <c r="F245" s="12" t="s">
        <v>2218</v>
      </c>
      <c r="G245" s="12" t="s">
        <v>2419</v>
      </c>
      <c r="H245" s="12" t="s">
        <v>47</v>
      </c>
      <c r="I245" s="12" t="s">
        <v>26</v>
      </c>
      <c r="J245" s="13" t="s">
        <v>2420</v>
      </c>
      <c r="K245" s="14" t="s">
        <v>2429</v>
      </c>
      <c r="L245" s="15">
        <v>0</v>
      </c>
      <c r="M245" s="15" t="s">
        <v>144</v>
      </c>
      <c r="N245" s="16">
        <v>44587</v>
      </c>
      <c r="O245" s="12" t="s">
        <v>2427</v>
      </c>
      <c r="P245" s="14" t="s">
        <v>2430</v>
      </c>
      <c r="Q245" s="17" t="s">
        <v>137</v>
      </c>
      <c r="R245" s="17" t="s">
        <v>146</v>
      </c>
    </row>
    <row r="246" spans="1:18" x14ac:dyDescent="0.3">
      <c r="A246" s="12" t="s">
        <v>2441</v>
      </c>
      <c r="B246" s="12" t="s">
        <v>12</v>
      </c>
      <c r="C246" s="12"/>
      <c r="D246" s="12" t="s">
        <v>12</v>
      </c>
      <c r="E246" s="12" t="s">
        <v>2442</v>
      </c>
      <c r="F246" s="12"/>
      <c r="G246" s="12" t="s">
        <v>2435</v>
      </c>
      <c r="H246" s="12" t="s">
        <v>47</v>
      </c>
      <c r="I246" s="12" t="s">
        <v>26</v>
      </c>
      <c r="J246" s="13" t="s">
        <v>2436</v>
      </c>
      <c r="K246" s="14" t="s">
        <v>2443</v>
      </c>
      <c r="L246" s="15">
        <v>2</v>
      </c>
      <c r="M246" s="15" t="s">
        <v>144</v>
      </c>
      <c r="N246" s="16">
        <v>45770</v>
      </c>
      <c r="O246" s="12" t="s">
        <v>2441</v>
      </c>
      <c r="P246" s="14" t="s">
        <v>2444</v>
      </c>
      <c r="Q246" s="17" t="s">
        <v>137</v>
      </c>
      <c r="R246" s="17" t="s">
        <v>146</v>
      </c>
    </row>
    <row r="247" spans="1:18" x14ac:dyDescent="0.3">
      <c r="A247" s="12" t="s">
        <v>2457</v>
      </c>
      <c r="B247" s="12" t="s">
        <v>12</v>
      </c>
      <c r="C247" s="12"/>
      <c r="D247" s="12" t="s">
        <v>12</v>
      </c>
      <c r="E247" s="12" t="s">
        <v>2458</v>
      </c>
      <c r="F247" s="12"/>
      <c r="G247" s="12" t="s">
        <v>2454</v>
      </c>
      <c r="H247" s="12" t="s">
        <v>52</v>
      </c>
      <c r="I247" s="12" t="s">
        <v>26</v>
      </c>
      <c r="J247" s="13" t="s">
        <v>2455</v>
      </c>
      <c r="K247" s="14" t="s">
        <v>2459</v>
      </c>
      <c r="L247" s="15">
        <v>0</v>
      </c>
      <c r="M247" s="15" t="s">
        <v>144</v>
      </c>
      <c r="N247" s="16">
        <v>44763</v>
      </c>
      <c r="O247" s="12" t="s">
        <v>2457</v>
      </c>
      <c r="P247" s="14" t="s">
        <v>2460</v>
      </c>
      <c r="Q247" s="17" t="s">
        <v>137</v>
      </c>
      <c r="R247" s="17" t="s">
        <v>146</v>
      </c>
    </row>
    <row r="248" spans="1:18" x14ac:dyDescent="0.3">
      <c r="A248" s="12" t="s">
        <v>2466</v>
      </c>
      <c r="B248" s="12" t="s">
        <v>12</v>
      </c>
      <c r="C248" s="12"/>
      <c r="D248" s="12" t="s">
        <v>12</v>
      </c>
      <c r="E248" s="12" t="s">
        <v>2467</v>
      </c>
      <c r="F248" s="12" t="s">
        <v>372</v>
      </c>
      <c r="G248" s="12" t="s">
        <v>2463</v>
      </c>
      <c r="H248" s="12" t="s">
        <v>52</v>
      </c>
      <c r="I248" s="12" t="s">
        <v>26</v>
      </c>
      <c r="J248" s="13" t="s">
        <v>2464</v>
      </c>
      <c r="K248" s="14" t="s">
        <v>2468</v>
      </c>
      <c r="L248" s="15">
        <v>1</v>
      </c>
      <c r="M248" s="15" t="s">
        <v>144</v>
      </c>
      <c r="N248" s="16">
        <v>46036</v>
      </c>
      <c r="O248" s="12" t="s">
        <v>2469</v>
      </c>
      <c r="P248" s="14" t="s">
        <v>2470</v>
      </c>
      <c r="Q248" s="17" t="s">
        <v>137</v>
      </c>
      <c r="R248" s="17" t="s">
        <v>146</v>
      </c>
    </row>
    <row r="249" spans="1:18" x14ac:dyDescent="0.3">
      <c r="A249" s="12" t="s">
        <v>2475</v>
      </c>
      <c r="B249" s="12" t="s">
        <v>12</v>
      </c>
      <c r="C249" s="12"/>
      <c r="D249" s="12" t="s">
        <v>12</v>
      </c>
      <c r="E249" s="12" t="s">
        <v>2476</v>
      </c>
      <c r="F249" s="12"/>
      <c r="G249" s="12" t="s">
        <v>2463</v>
      </c>
      <c r="H249" s="12" t="s">
        <v>52</v>
      </c>
      <c r="I249" s="12" t="s">
        <v>26</v>
      </c>
      <c r="J249" s="13" t="s">
        <v>2464</v>
      </c>
      <c r="K249" s="14" t="s">
        <v>2477</v>
      </c>
      <c r="L249" s="15">
        <v>3</v>
      </c>
      <c r="M249" s="15" t="s">
        <v>144</v>
      </c>
      <c r="N249" s="16">
        <v>46018</v>
      </c>
      <c r="O249" s="12" t="s">
        <v>2475</v>
      </c>
      <c r="P249" s="14" t="s">
        <v>2478</v>
      </c>
      <c r="Q249" s="17" t="s">
        <v>137</v>
      </c>
      <c r="R249" s="17" t="s">
        <v>146</v>
      </c>
    </row>
    <row r="250" spans="1:18" x14ac:dyDescent="0.3">
      <c r="A250" s="12" t="s">
        <v>2482</v>
      </c>
      <c r="B250" s="12" t="s">
        <v>12</v>
      </c>
      <c r="C250" s="12"/>
      <c r="D250" s="12" t="s">
        <v>12</v>
      </c>
      <c r="E250" s="12" t="s">
        <v>2483</v>
      </c>
      <c r="F250" s="12" t="s">
        <v>188</v>
      </c>
      <c r="G250" s="12" t="s">
        <v>2463</v>
      </c>
      <c r="H250" s="12" t="s">
        <v>52</v>
      </c>
      <c r="I250" s="12" t="s">
        <v>26</v>
      </c>
      <c r="J250" s="13" t="s">
        <v>2464</v>
      </c>
      <c r="K250" s="14" t="s">
        <v>2484</v>
      </c>
      <c r="L250" s="15">
        <v>1</v>
      </c>
      <c r="M250" s="15" t="s">
        <v>144</v>
      </c>
      <c r="N250" s="16">
        <v>45736</v>
      </c>
      <c r="O250" s="12" t="s">
        <v>2482</v>
      </c>
      <c r="P250" s="14" t="s">
        <v>2485</v>
      </c>
      <c r="Q250" s="17" t="s">
        <v>137</v>
      </c>
      <c r="R250" s="17" t="s">
        <v>146</v>
      </c>
    </row>
    <row r="251" spans="1:18" x14ac:dyDescent="0.3">
      <c r="A251" s="12" t="s">
        <v>2457</v>
      </c>
      <c r="B251" s="12" t="s">
        <v>12</v>
      </c>
      <c r="C251" s="12"/>
      <c r="D251" s="12" t="s">
        <v>12</v>
      </c>
      <c r="E251" s="12" t="s">
        <v>2488</v>
      </c>
      <c r="F251" s="12"/>
      <c r="G251" s="12" t="s">
        <v>2463</v>
      </c>
      <c r="H251" s="12" t="s">
        <v>52</v>
      </c>
      <c r="I251" s="12" t="s">
        <v>26</v>
      </c>
      <c r="J251" s="13" t="s">
        <v>2464</v>
      </c>
      <c r="K251" s="14" t="s">
        <v>2489</v>
      </c>
      <c r="L251" s="15">
        <v>3</v>
      </c>
      <c r="M251" s="15" t="s">
        <v>144</v>
      </c>
      <c r="N251" s="16">
        <v>44763</v>
      </c>
      <c r="O251" s="12" t="s">
        <v>2457</v>
      </c>
      <c r="P251" s="14" t="s">
        <v>2460</v>
      </c>
      <c r="Q251" s="17" t="s">
        <v>137</v>
      </c>
      <c r="R251" s="17" t="s">
        <v>146</v>
      </c>
    </row>
    <row r="252" spans="1:18" x14ac:dyDescent="0.3">
      <c r="A252" s="12" t="s">
        <v>2496</v>
      </c>
      <c r="B252" s="12" t="s">
        <v>12</v>
      </c>
      <c r="C252" s="12"/>
      <c r="D252" s="12" t="s">
        <v>12</v>
      </c>
      <c r="E252" s="12" t="s">
        <v>2497</v>
      </c>
      <c r="F252" s="12" t="s">
        <v>188</v>
      </c>
      <c r="G252" s="12" t="s">
        <v>2492</v>
      </c>
      <c r="H252" s="12" t="s">
        <v>39</v>
      </c>
      <c r="I252" s="12" t="s">
        <v>26</v>
      </c>
      <c r="J252" s="13" t="s">
        <v>2493</v>
      </c>
      <c r="K252" s="14" t="s">
        <v>2498</v>
      </c>
      <c r="L252" s="15">
        <v>4</v>
      </c>
      <c r="M252" s="15" t="s">
        <v>144</v>
      </c>
      <c r="N252" s="16">
        <v>45693</v>
      </c>
      <c r="O252" s="12" t="s">
        <v>2499</v>
      </c>
      <c r="P252" s="14" t="s">
        <v>2500</v>
      </c>
      <c r="Q252" s="17" t="s">
        <v>137</v>
      </c>
      <c r="R252" s="17" t="s">
        <v>146</v>
      </c>
    </row>
    <row r="253" spans="1:18" x14ac:dyDescent="0.3">
      <c r="A253" s="12" t="s">
        <v>2501</v>
      </c>
      <c r="B253" s="12" t="s">
        <v>12</v>
      </c>
      <c r="C253" s="12"/>
      <c r="D253" s="12" t="s">
        <v>12</v>
      </c>
      <c r="E253" s="12" t="s">
        <v>2502</v>
      </c>
      <c r="F253" s="12" t="s">
        <v>359</v>
      </c>
      <c r="G253" s="12" t="s">
        <v>2492</v>
      </c>
      <c r="H253" s="12" t="s">
        <v>39</v>
      </c>
      <c r="I253" s="12" t="s">
        <v>26</v>
      </c>
      <c r="J253" s="13" t="s">
        <v>2493</v>
      </c>
      <c r="K253" s="14" t="s">
        <v>2503</v>
      </c>
      <c r="L253" s="15">
        <v>4</v>
      </c>
      <c r="M253" s="15" t="s">
        <v>144</v>
      </c>
      <c r="N253" s="16">
        <v>44993</v>
      </c>
      <c r="O253" s="12" t="s">
        <v>2501</v>
      </c>
      <c r="P253" s="14" t="s">
        <v>2504</v>
      </c>
      <c r="Q253" s="17" t="s">
        <v>137</v>
      </c>
      <c r="R253" s="17" t="s">
        <v>146</v>
      </c>
    </row>
    <row r="254" spans="1:18" x14ac:dyDescent="0.3">
      <c r="A254" s="12" t="s">
        <v>2520</v>
      </c>
      <c r="B254" s="12" t="s">
        <v>12</v>
      </c>
      <c r="C254" s="12"/>
      <c r="D254" s="12" t="s">
        <v>12</v>
      </c>
      <c r="E254" s="12" t="s">
        <v>2521</v>
      </c>
      <c r="F254" s="12"/>
      <c r="G254" s="12" t="s">
        <v>2517</v>
      </c>
      <c r="H254" s="12" t="s">
        <v>39</v>
      </c>
      <c r="I254" s="12" t="s">
        <v>26</v>
      </c>
      <c r="J254" s="13" t="s">
        <v>2518</v>
      </c>
      <c r="K254" s="14" t="s">
        <v>2522</v>
      </c>
      <c r="L254" s="15">
        <v>3</v>
      </c>
      <c r="M254" s="15" t="s">
        <v>144</v>
      </c>
      <c r="N254" s="16">
        <v>46268</v>
      </c>
      <c r="O254" s="12" t="s">
        <v>2523</v>
      </c>
      <c r="P254" s="14" t="s">
        <v>2524</v>
      </c>
      <c r="Q254" s="17" t="s">
        <v>137</v>
      </c>
      <c r="R254" s="17" t="s">
        <v>146</v>
      </c>
    </row>
    <row r="255" spans="1:18" x14ac:dyDescent="0.3">
      <c r="A255" s="12" t="s">
        <v>2542</v>
      </c>
      <c r="B255" s="12" t="s">
        <v>12</v>
      </c>
      <c r="C255" s="12"/>
      <c r="D255" s="12" t="s">
        <v>12</v>
      </c>
      <c r="E255" s="12" t="s">
        <v>2543</v>
      </c>
      <c r="F255" s="12"/>
      <c r="G255" s="12" t="s">
        <v>2544</v>
      </c>
      <c r="H255" s="12" t="s">
        <v>39</v>
      </c>
      <c r="I255" s="12" t="s">
        <v>26</v>
      </c>
      <c r="J255" s="13" t="s">
        <v>2545</v>
      </c>
      <c r="K255" s="14" t="s">
        <v>2546</v>
      </c>
      <c r="L255" s="15">
        <v>1</v>
      </c>
      <c r="M255" s="15" t="s">
        <v>144</v>
      </c>
      <c r="N255" s="16">
        <v>45655</v>
      </c>
      <c r="O255" s="12" t="s">
        <v>2542</v>
      </c>
      <c r="P255" s="14" t="s">
        <v>2547</v>
      </c>
      <c r="Q255" s="17" t="s">
        <v>137</v>
      </c>
      <c r="R255" s="17" t="s">
        <v>146</v>
      </c>
    </row>
    <row r="256" spans="1:18" x14ac:dyDescent="0.3">
      <c r="A256" s="12" t="s">
        <v>2553</v>
      </c>
      <c r="B256" s="12" t="s">
        <v>12</v>
      </c>
      <c r="C256" s="12"/>
      <c r="D256" s="12" t="s">
        <v>12</v>
      </c>
      <c r="E256" s="12" t="s">
        <v>2554</v>
      </c>
      <c r="F256" s="12"/>
      <c r="G256" s="12" t="s">
        <v>2544</v>
      </c>
      <c r="H256" s="12" t="s">
        <v>39</v>
      </c>
      <c r="I256" s="12" t="s">
        <v>26</v>
      </c>
      <c r="J256" s="13" t="s">
        <v>2545</v>
      </c>
      <c r="K256" s="14" t="s">
        <v>2555</v>
      </c>
      <c r="L256" s="15">
        <v>0</v>
      </c>
      <c r="M256" s="15" t="s">
        <v>144</v>
      </c>
      <c r="N256" s="16">
        <v>44775</v>
      </c>
      <c r="O256" s="12" t="s">
        <v>2553</v>
      </c>
      <c r="P256" s="14" t="s">
        <v>2556</v>
      </c>
      <c r="Q256" s="17" t="s">
        <v>137</v>
      </c>
      <c r="R256" s="17" t="s">
        <v>146</v>
      </c>
    </row>
    <row r="257" spans="1:18" x14ac:dyDescent="0.3">
      <c r="A257" s="12" t="s">
        <v>502</v>
      </c>
      <c r="B257" s="12" t="s">
        <v>12</v>
      </c>
      <c r="C257" s="12"/>
      <c r="D257" s="12" t="s">
        <v>12</v>
      </c>
      <c r="E257" s="12" t="s">
        <v>2557</v>
      </c>
      <c r="F257" s="12" t="s">
        <v>2558</v>
      </c>
      <c r="G257" s="12" t="s">
        <v>2559</v>
      </c>
      <c r="H257" s="12" t="s">
        <v>39</v>
      </c>
      <c r="I257" s="12" t="s">
        <v>26</v>
      </c>
      <c r="J257" s="13" t="s">
        <v>2560</v>
      </c>
      <c r="K257" s="14" t="s">
        <v>2561</v>
      </c>
      <c r="L257" s="15">
        <v>1</v>
      </c>
      <c r="M257" s="15" t="s">
        <v>144</v>
      </c>
      <c r="N257" s="16">
        <v>45464</v>
      </c>
      <c r="O257" s="12" t="s">
        <v>502</v>
      </c>
      <c r="P257" s="14" t="s">
        <v>507</v>
      </c>
      <c r="Q257" s="17" t="s">
        <v>137</v>
      </c>
      <c r="R257" s="17" t="s">
        <v>146</v>
      </c>
    </row>
    <row r="258" spans="1:18" x14ac:dyDescent="0.3">
      <c r="A258" s="12" t="s">
        <v>2562</v>
      </c>
      <c r="B258" s="12" t="s">
        <v>12</v>
      </c>
      <c r="C258" s="12"/>
      <c r="D258" s="12" t="s">
        <v>12</v>
      </c>
      <c r="E258" s="12" t="s">
        <v>2563</v>
      </c>
      <c r="F258" s="12"/>
      <c r="G258" s="12" t="s">
        <v>2564</v>
      </c>
      <c r="H258" s="12" t="s">
        <v>39</v>
      </c>
      <c r="I258" s="12" t="s">
        <v>26</v>
      </c>
      <c r="J258" s="13" t="s">
        <v>2565</v>
      </c>
      <c r="K258" s="14" t="s">
        <v>2566</v>
      </c>
      <c r="L258" s="15">
        <v>0</v>
      </c>
      <c r="M258" s="15" t="s">
        <v>144</v>
      </c>
      <c r="N258" s="16">
        <v>45105</v>
      </c>
      <c r="O258" s="12" t="s">
        <v>2567</v>
      </c>
      <c r="P258" s="14" t="s">
        <v>2568</v>
      </c>
      <c r="Q258" s="17" t="s">
        <v>137</v>
      </c>
      <c r="R258" s="17" t="s">
        <v>146</v>
      </c>
    </row>
    <row r="259" spans="1:18" x14ac:dyDescent="0.3">
      <c r="A259" s="12" t="s">
        <v>2569</v>
      </c>
      <c r="B259" s="12" t="s">
        <v>12</v>
      </c>
      <c r="C259" s="12"/>
      <c r="D259" s="12" t="s">
        <v>12</v>
      </c>
      <c r="E259" s="12" t="s">
        <v>2570</v>
      </c>
      <c r="F259" s="12"/>
      <c r="G259" s="12" t="s">
        <v>2564</v>
      </c>
      <c r="H259" s="12" t="s">
        <v>39</v>
      </c>
      <c r="I259" s="12" t="s">
        <v>26</v>
      </c>
      <c r="J259" s="13" t="s">
        <v>2565</v>
      </c>
      <c r="K259" s="14" t="s">
        <v>2571</v>
      </c>
      <c r="L259" s="15">
        <v>1</v>
      </c>
      <c r="M259" s="15" t="s">
        <v>144</v>
      </c>
      <c r="N259" s="16">
        <v>45412</v>
      </c>
      <c r="O259" s="12" t="s">
        <v>2572</v>
      </c>
      <c r="P259" s="14" t="s">
        <v>2573</v>
      </c>
      <c r="Q259" s="17" t="s">
        <v>137</v>
      </c>
      <c r="R259" s="17" t="s">
        <v>146</v>
      </c>
    </row>
    <row r="260" spans="1:18" x14ac:dyDescent="0.3">
      <c r="A260" s="12" t="s">
        <v>2581</v>
      </c>
      <c r="B260" s="12" t="s">
        <v>12</v>
      </c>
      <c r="C260" s="12"/>
      <c r="D260" s="12" t="s">
        <v>12</v>
      </c>
      <c r="E260" s="12" t="s">
        <v>2582</v>
      </c>
      <c r="F260" s="12"/>
      <c r="G260" s="12" t="s">
        <v>2583</v>
      </c>
      <c r="H260" s="12" t="s">
        <v>39</v>
      </c>
      <c r="I260" s="12" t="s">
        <v>26</v>
      </c>
      <c r="J260" s="13" t="s">
        <v>2584</v>
      </c>
      <c r="K260" s="14" t="s">
        <v>2585</v>
      </c>
      <c r="L260" s="15">
        <v>1</v>
      </c>
      <c r="M260" s="15" t="s">
        <v>144</v>
      </c>
      <c r="N260" s="16">
        <v>46272</v>
      </c>
      <c r="O260" s="12" t="s">
        <v>2586</v>
      </c>
      <c r="P260" s="14" t="s">
        <v>2587</v>
      </c>
      <c r="Q260" s="17" t="s">
        <v>137</v>
      </c>
      <c r="R260" s="17" t="s">
        <v>146</v>
      </c>
    </row>
    <row r="261" spans="1:18" x14ac:dyDescent="0.3">
      <c r="A261" s="12" t="s">
        <v>2595</v>
      </c>
      <c r="B261" s="12" t="s">
        <v>12</v>
      </c>
      <c r="C261" s="12"/>
      <c r="D261" s="12" t="s">
        <v>12</v>
      </c>
      <c r="E261" s="12" t="s">
        <v>2596</v>
      </c>
      <c r="F261" s="12" t="s">
        <v>2597</v>
      </c>
      <c r="G261" s="12" t="s">
        <v>2590</v>
      </c>
      <c r="H261" s="12" t="s">
        <v>39</v>
      </c>
      <c r="I261" s="12" t="s">
        <v>26</v>
      </c>
      <c r="J261" s="13" t="s">
        <v>2591</v>
      </c>
      <c r="K261" s="14" t="s">
        <v>2598</v>
      </c>
      <c r="L261" s="15">
        <v>2</v>
      </c>
      <c r="M261" s="15" t="s">
        <v>144</v>
      </c>
      <c r="N261" s="16">
        <v>45700</v>
      </c>
      <c r="O261" s="12" t="s">
        <v>2595</v>
      </c>
      <c r="P261" s="14" t="s">
        <v>2599</v>
      </c>
      <c r="Q261" s="17" t="s">
        <v>137</v>
      </c>
      <c r="R261" s="17" t="s">
        <v>146</v>
      </c>
    </row>
    <row r="262" spans="1:18" x14ac:dyDescent="0.3">
      <c r="A262" s="12" t="s">
        <v>2608</v>
      </c>
      <c r="B262" s="12" t="s">
        <v>12</v>
      </c>
      <c r="C262" s="12"/>
      <c r="D262" s="12" t="s">
        <v>12</v>
      </c>
      <c r="E262" s="12" t="s">
        <v>2609</v>
      </c>
      <c r="F262" s="12" t="s">
        <v>843</v>
      </c>
      <c r="G262" s="12" t="s">
        <v>2590</v>
      </c>
      <c r="H262" s="12" t="s">
        <v>39</v>
      </c>
      <c r="I262" s="12" t="s">
        <v>26</v>
      </c>
      <c r="J262" s="13" t="s">
        <v>2591</v>
      </c>
      <c r="K262" s="14" t="s">
        <v>2610</v>
      </c>
      <c r="L262" s="15">
        <v>2</v>
      </c>
      <c r="M262" s="15" t="s">
        <v>144</v>
      </c>
      <c r="N262" s="16">
        <v>46001</v>
      </c>
      <c r="O262" s="12" t="s">
        <v>2608</v>
      </c>
      <c r="P262" s="14" t="s">
        <v>2611</v>
      </c>
      <c r="Q262" s="17" t="s">
        <v>137</v>
      </c>
      <c r="R262" s="17" t="s">
        <v>146</v>
      </c>
    </row>
    <row r="263" spans="1:18" x14ac:dyDescent="0.3">
      <c r="A263" s="12" t="s">
        <v>2612</v>
      </c>
      <c r="B263" s="12" t="s">
        <v>12</v>
      </c>
      <c r="C263" s="12"/>
      <c r="D263" s="12" t="s">
        <v>12</v>
      </c>
      <c r="E263" s="12" t="s">
        <v>2613</v>
      </c>
      <c r="F263" s="12"/>
      <c r="G263" s="12" t="s">
        <v>2590</v>
      </c>
      <c r="H263" s="12" t="s">
        <v>39</v>
      </c>
      <c r="I263" s="12" t="s">
        <v>26</v>
      </c>
      <c r="J263" s="13" t="s">
        <v>2591</v>
      </c>
      <c r="K263" s="14" t="s">
        <v>2614</v>
      </c>
      <c r="L263" s="15">
        <v>1</v>
      </c>
      <c r="M263" s="15" t="s">
        <v>144</v>
      </c>
      <c r="N263" s="16">
        <v>46101</v>
      </c>
      <c r="O263" s="12" t="s">
        <v>2612</v>
      </c>
      <c r="P263" s="14" t="s">
        <v>2615</v>
      </c>
      <c r="Q263" s="17" t="s">
        <v>137</v>
      </c>
      <c r="R263" s="17" t="s">
        <v>146</v>
      </c>
    </row>
    <row r="264" spans="1:18" x14ac:dyDescent="0.3">
      <c r="A264" s="12" t="s">
        <v>2616</v>
      </c>
      <c r="B264" s="12" t="s">
        <v>12</v>
      </c>
      <c r="C264" s="12"/>
      <c r="D264" s="12" t="s">
        <v>12</v>
      </c>
      <c r="E264" s="12" t="s">
        <v>2617</v>
      </c>
      <c r="F264" s="12" t="s">
        <v>2618</v>
      </c>
      <c r="G264" s="12" t="s">
        <v>2590</v>
      </c>
      <c r="H264" s="12" t="s">
        <v>39</v>
      </c>
      <c r="I264" s="12" t="s">
        <v>26</v>
      </c>
      <c r="J264" s="13" t="s">
        <v>2591</v>
      </c>
      <c r="K264" s="14" t="s">
        <v>2619</v>
      </c>
      <c r="L264" s="15">
        <v>0</v>
      </c>
      <c r="M264" s="15" t="s">
        <v>144</v>
      </c>
      <c r="N264" s="16">
        <v>45974</v>
      </c>
      <c r="O264" s="12" t="s">
        <v>2616</v>
      </c>
      <c r="P264" s="14" t="s">
        <v>2620</v>
      </c>
      <c r="Q264" s="17" t="s">
        <v>137</v>
      </c>
      <c r="R264" s="17" t="s">
        <v>146</v>
      </c>
    </row>
    <row r="265" spans="1:18" x14ac:dyDescent="0.3">
      <c r="A265" s="12" t="s">
        <v>2621</v>
      </c>
      <c r="B265" s="12" t="s">
        <v>12</v>
      </c>
      <c r="C265" s="12"/>
      <c r="D265" s="12" t="s">
        <v>12</v>
      </c>
      <c r="E265" s="12" t="s">
        <v>2622</v>
      </c>
      <c r="F265" s="12"/>
      <c r="G265" s="12" t="s">
        <v>2590</v>
      </c>
      <c r="H265" s="12" t="s">
        <v>39</v>
      </c>
      <c r="I265" s="12" t="s">
        <v>26</v>
      </c>
      <c r="J265" s="13" t="s">
        <v>2591</v>
      </c>
      <c r="K265" s="14" t="s">
        <v>2623</v>
      </c>
      <c r="L265" s="15">
        <v>0</v>
      </c>
      <c r="M265" s="15" t="s">
        <v>144</v>
      </c>
      <c r="N265" s="16">
        <v>45399</v>
      </c>
      <c r="O265" s="12" t="s">
        <v>2621</v>
      </c>
      <c r="P265" s="14" t="s">
        <v>2624</v>
      </c>
      <c r="Q265" s="17" t="s">
        <v>137</v>
      </c>
      <c r="R265" s="17" t="s">
        <v>146</v>
      </c>
    </row>
    <row r="266" spans="1:18" x14ac:dyDescent="0.3">
      <c r="A266" s="12" t="s">
        <v>2639</v>
      </c>
      <c r="B266" s="12" t="s">
        <v>12</v>
      </c>
      <c r="C266" s="12"/>
      <c r="D266" s="12" t="s">
        <v>12</v>
      </c>
      <c r="E266" s="12" t="s">
        <v>2640</v>
      </c>
      <c r="F266" s="12"/>
      <c r="G266" s="12" t="s">
        <v>2636</v>
      </c>
      <c r="H266" s="12" t="s">
        <v>39</v>
      </c>
      <c r="I266" s="12" t="s">
        <v>26</v>
      </c>
      <c r="J266" s="13" t="s">
        <v>2578</v>
      </c>
      <c r="K266" s="14" t="s">
        <v>2641</v>
      </c>
      <c r="L266" s="15">
        <v>0</v>
      </c>
      <c r="M266" s="15" t="s">
        <v>144</v>
      </c>
      <c r="N266" s="16">
        <v>45691</v>
      </c>
      <c r="O266" s="12" t="s">
        <v>2639</v>
      </c>
      <c r="P266" s="14" t="s">
        <v>2642</v>
      </c>
      <c r="Q266" s="17" t="s">
        <v>137</v>
      </c>
      <c r="R266" s="17" t="s">
        <v>146</v>
      </c>
    </row>
    <row r="267" spans="1:18" x14ac:dyDescent="0.3">
      <c r="A267" s="12" t="s">
        <v>2653</v>
      </c>
      <c r="B267" s="12" t="s">
        <v>12</v>
      </c>
      <c r="C267" s="12"/>
      <c r="D267" s="12" t="s">
        <v>12</v>
      </c>
      <c r="E267" s="12" t="s">
        <v>2654</v>
      </c>
      <c r="F267" s="12" t="s">
        <v>2655</v>
      </c>
      <c r="G267" s="12" t="s">
        <v>2636</v>
      </c>
      <c r="H267" s="12" t="s">
        <v>39</v>
      </c>
      <c r="I267" s="12" t="s">
        <v>26</v>
      </c>
      <c r="J267" s="13" t="s">
        <v>2578</v>
      </c>
      <c r="K267" s="14" t="s">
        <v>2656</v>
      </c>
      <c r="L267" s="15">
        <v>2</v>
      </c>
      <c r="M267" s="15" t="s">
        <v>144</v>
      </c>
      <c r="N267" s="16">
        <v>45946</v>
      </c>
      <c r="O267" s="12" t="s">
        <v>2653</v>
      </c>
      <c r="P267" s="14" t="s">
        <v>2657</v>
      </c>
      <c r="Q267" s="17" t="s">
        <v>137</v>
      </c>
      <c r="R267" s="17" t="s">
        <v>146</v>
      </c>
    </row>
    <row r="268" spans="1:18" x14ac:dyDescent="0.3">
      <c r="A268" s="12" t="s">
        <v>2658</v>
      </c>
      <c r="B268" s="12" t="s">
        <v>12</v>
      </c>
      <c r="C268" s="12"/>
      <c r="D268" s="12" t="s">
        <v>12</v>
      </c>
      <c r="E268" s="12" t="s">
        <v>2644</v>
      </c>
      <c r="F268" s="12" t="s">
        <v>188</v>
      </c>
      <c r="G268" s="12" t="s">
        <v>2636</v>
      </c>
      <c r="H268" s="12" t="s">
        <v>39</v>
      </c>
      <c r="I268" s="12" t="s">
        <v>26</v>
      </c>
      <c r="J268" s="13" t="s">
        <v>2578</v>
      </c>
      <c r="K268" s="14" t="s">
        <v>2659</v>
      </c>
      <c r="L268" s="15">
        <v>6</v>
      </c>
      <c r="M268" s="15" t="s">
        <v>144</v>
      </c>
      <c r="N268" s="16">
        <v>45960</v>
      </c>
      <c r="O268" s="12" t="s">
        <v>2660</v>
      </c>
      <c r="P268" s="14" t="s">
        <v>2661</v>
      </c>
      <c r="Q268" s="17" t="s">
        <v>137</v>
      </c>
      <c r="R268" s="17" t="s">
        <v>146</v>
      </c>
    </row>
    <row r="269" spans="1:18" x14ac:dyDescent="0.3">
      <c r="A269" s="12" t="s">
        <v>2668</v>
      </c>
      <c r="B269" s="12" t="s">
        <v>12</v>
      </c>
      <c r="C269" s="12"/>
      <c r="D269" s="12" t="s">
        <v>12</v>
      </c>
      <c r="E269" s="12" t="s">
        <v>2669</v>
      </c>
      <c r="F269" s="12" t="s">
        <v>2670</v>
      </c>
      <c r="G269" s="12" t="s">
        <v>2636</v>
      </c>
      <c r="H269" s="12" t="s">
        <v>39</v>
      </c>
      <c r="I269" s="12" t="s">
        <v>26</v>
      </c>
      <c r="J269" s="13" t="s">
        <v>2578</v>
      </c>
      <c r="K269" s="14" t="s">
        <v>2671</v>
      </c>
      <c r="L269" s="15">
        <v>1</v>
      </c>
      <c r="M269" s="15" t="s">
        <v>144</v>
      </c>
      <c r="N269" s="16">
        <v>45735</v>
      </c>
      <c r="O269" s="12" t="s">
        <v>2668</v>
      </c>
      <c r="P269" s="14" t="s">
        <v>2672</v>
      </c>
      <c r="Q269" s="17" t="s">
        <v>137</v>
      </c>
      <c r="R269" s="17" t="s">
        <v>146</v>
      </c>
    </row>
    <row r="270" spans="1:18" x14ac:dyDescent="0.3">
      <c r="A270" s="12" t="s">
        <v>2678</v>
      </c>
      <c r="B270" s="12" t="s">
        <v>12</v>
      </c>
      <c r="C270" s="12"/>
      <c r="D270" s="12" t="s">
        <v>12</v>
      </c>
      <c r="E270" s="12" t="s">
        <v>2679</v>
      </c>
      <c r="F270" s="12" t="s">
        <v>248</v>
      </c>
      <c r="G270" s="12" t="s">
        <v>2636</v>
      </c>
      <c r="H270" s="12" t="s">
        <v>39</v>
      </c>
      <c r="I270" s="12" t="s">
        <v>26</v>
      </c>
      <c r="J270" s="13" t="s">
        <v>2578</v>
      </c>
      <c r="K270" s="14" t="s">
        <v>2680</v>
      </c>
      <c r="L270" s="15">
        <v>0</v>
      </c>
      <c r="M270" s="15" t="s">
        <v>144</v>
      </c>
      <c r="N270" s="16">
        <v>44868</v>
      </c>
      <c r="O270" s="12" t="s">
        <v>2678</v>
      </c>
      <c r="P270" s="14" t="s">
        <v>2681</v>
      </c>
      <c r="Q270" s="17" t="s">
        <v>137</v>
      </c>
      <c r="R270" s="17" t="s">
        <v>146</v>
      </c>
    </row>
    <row r="271" spans="1:18" x14ac:dyDescent="0.3">
      <c r="A271" s="12" t="s">
        <v>2694</v>
      </c>
      <c r="B271" s="12" t="s">
        <v>12</v>
      </c>
      <c r="C271" s="12"/>
      <c r="D271" s="12" t="s">
        <v>12</v>
      </c>
      <c r="E271" s="12" t="s">
        <v>2695</v>
      </c>
      <c r="F271" s="12" t="s">
        <v>2696</v>
      </c>
      <c r="G271" s="12" t="s">
        <v>2636</v>
      </c>
      <c r="H271" s="12" t="s">
        <v>39</v>
      </c>
      <c r="I271" s="12" t="s">
        <v>26</v>
      </c>
      <c r="J271" s="13" t="s">
        <v>2578</v>
      </c>
      <c r="K271" s="14" t="s">
        <v>2697</v>
      </c>
      <c r="L271" s="15">
        <v>2</v>
      </c>
      <c r="M271" s="15" t="s">
        <v>144</v>
      </c>
      <c r="N271" s="16">
        <v>45622</v>
      </c>
      <c r="O271" s="12" t="s">
        <v>2694</v>
      </c>
      <c r="P271" s="14" t="s">
        <v>2698</v>
      </c>
      <c r="Q271" s="17" t="s">
        <v>137</v>
      </c>
      <c r="R271" s="17" t="s">
        <v>146</v>
      </c>
    </row>
    <row r="272" spans="1:18" x14ac:dyDescent="0.3">
      <c r="A272" s="12" t="s">
        <v>2718</v>
      </c>
      <c r="B272" s="12" t="s">
        <v>12</v>
      </c>
      <c r="C272" s="12"/>
      <c r="D272" s="12" t="s">
        <v>12</v>
      </c>
      <c r="E272" s="12" t="s">
        <v>2644</v>
      </c>
      <c r="F272" s="12" t="s">
        <v>712</v>
      </c>
      <c r="G272" s="12" t="s">
        <v>2636</v>
      </c>
      <c r="H272" s="12" t="s">
        <v>39</v>
      </c>
      <c r="I272" s="12" t="s">
        <v>26</v>
      </c>
      <c r="J272" s="13" t="s">
        <v>2578</v>
      </c>
      <c r="K272" s="14" t="s">
        <v>2719</v>
      </c>
      <c r="L272" s="15">
        <v>6</v>
      </c>
      <c r="M272" s="15" t="s">
        <v>144</v>
      </c>
      <c r="N272" s="16">
        <v>44834</v>
      </c>
      <c r="O272" s="12" t="s">
        <v>2720</v>
      </c>
      <c r="P272" s="14" t="s">
        <v>2721</v>
      </c>
      <c r="Q272" s="17" t="s">
        <v>137</v>
      </c>
      <c r="R272" s="17" t="s">
        <v>146</v>
      </c>
    </row>
    <row r="273" spans="1:18" x14ac:dyDescent="0.3">
      <c r="A273" s="12" t="s">
        <v>2728</v>
      </c>
      <c r="B273" s="12" t="s">
        <v>12</v>
      </c>
      <c r="C273" s="12"/>
      <c r="D273" s="12" t="s">
        <v>12</v>
      </c>
      <c r="E273" s="12" t="s">
        <v>2729</v>
      </c>
      <c r="F273" s="12" t="s">
        <v>447</v>
      </c>
      <c r="G273" s="12" t="s">
        <v>2636</v>
      </c>
      <c r="H273" s="12" t="s">
        <v>39</v>
      </c>
      <c r="I273" s="12" t="s">
        <v>26</v>
      </c>
      <c r="J273" s="13" t="s">
        <v>2578</v>
      </c>
      <c r="K273" s="14" t="s">
        <v>2730</v>
      </c>
      <c r="L273" s="15">
        <v>2</v>
      </c>
      <c r="M273" s="15" t="s">
        <v>144</v>
      </c>
      <c r="N273" s="16">
        <v>44763</v>
      </c>
      <c r="O273" s="12" t="s">
        <v>2728</v>
      </c>
      <c r="P273" s="14" t="s">
        <v>2731</v>
      </c>
      <c r="Q273" s="17" t="s">
        <v>137</v>
      </c>
      <c r="R273" s="17" t="s">
        <v>146</v>
      </c>
    </row>
    <row r="274" spans="1:18" x14ac:dyDescent="0.3">
      <c r="A274" s="12" t="s">
        <v>2732</v>
      </c>
      <c r="B274" s="12" t="s">
        <v>12</v>
      </c>
      <c r="C274" s="12"/>
      <c r="D274" s="12" t="s">
        <v>12</v>
      </c>
      <c r="E274" s="12" t="s">
        <v>2733</v>
      </c>
      <c r="F274" s="12" t="s">
        <v>467</v>
      </c>
      <c r="G274" s="12" t="s">
        <v>2636</v>
      </c>
      <c r="H274" s="12" t="s">
        <v>39</v>
      </c>
      <c r="I274" s="12" t="s">
        <v>26</v>
      </c>
      <c r="J274" s="13" t="s">
        <v>2578</v>
      </c>
      <c r="K274" s="14" t="s">
        <v>2734</v>
      </c>
      <c r="L274" s="15">
        <v>1</v>
      </c>
      <c r="M274" s="15" t="s">
        <v>144</v>
      </c>
      <c r="N274" s="16">
        <v>45658</v>
      </c>
      <c r="O274" s="12" t="s">
        <v>2732</v>
      </c>
      <c r="P274" s="14" t="s">
        <v>2735</v>
      </c>
      <c r="Q274" s="17" t="s">
        <v>137</v>
      </c>
      <c r="R274" s="17" t="s">
        <v>146</v>
      </c>
    </row>
    <row r="275" spans="1:18" x14ac:dyDescent="0.3">
      <c r="A275" s="12" t="s">
        <v>2736</v>
      </c>
      <c r="B275" s="12" t="s">
        <v>12</v>
      </c>
      <c r="C275" s="12"/>
      <c r="D275" s="12" t="s">
        <v>12</v>
      </c>
      <c r="E275" s="12" t="s">
        <v>2737</v>
      </c>
      <c r="F275" s="12" t="s">
        <v>940</v>
      </c>
      <c r="G275" s="12" t="s">
        <v>2636</v>
      </c>
      <c r="H275" s="12" t="s">
        <v>39</v>
      </c>
      <c r="I275" s="12" t="s">
        <v>26</v>
      </c>
      <c r="J275" s="13" t="s">
        <v>2649</v>
      </c>
      <c r="K275" s="14" t="s">
        <v>2738</v>
      </c>
      <c r="L275" s="15">
        <v>9</v>
      </c>
      <c r="M275" s="15" t="s">
        <v>144</v>
      </c>
      <c r="N275" s="16">
        <v>45904</v>
      </c>
      <c r="O275" s="12" t="s">
        <v>2736</v>
      </c>
      <c r="P275" s="14" t="s">
        <v>2739</v>
      </c>
      <c r="Q275" s="17" t="s">
        <v>137</v>
      </c>
      <c r="R275" s="17" t="s">
        <v>146</v>
      </c>
    </row>
    <row r="276" spans="1:18" x14ac:dyDescent="0.3">
      <c r="A276" s="12" t="s">
        <v>2740</v>
      </c>
      <c r="B276" s="12" t="s">
        <v>12</v>
      </c>
      <c r="C276" s="12"/>
      <c r="D276" s="12" t="s">
        <v>12</v>
      </c>
      <c r="E276" s="12" t="s">
        <v>2741</v>
      </c>
      <c r="F276" s="12" t="s">
        <v>188</v>
      </c>
      <c r="G276" s="12" t="s">
        <v>2636</v>
      </c>
      <c r="H276" s="12" t="s">
        <v>39</v>
      </c>
      <c r="I276" s="12" t="s">
        <v>26</v>
      </c>
      <c r="J276" s="13" t="s">
        <v>2578</v>
      </c>
      <c r="K276" s="14" t="s">
        <v>2742</v>
      </c>
      <c r="L276" s="15">
        <v>5</v>
      </c>
      <c r="M276" s="15" t="s">
        <v>144</v>
      </c>
      <c r="N276" s="16">
        <v>45167</v>
      </c>
      <c r="O276" s="12" t="s">
        <v>2743</v>
      </c>
      <c r="P276" s="14" t="s">
        <v>2744</v>
      </c>
      <c r="Q276" s="17" t="s">
        <v>137</v>
      </c>
      <c r="R276" s="17" t="s">
        <v>146</v>
      </c>
    </row>
    <row r="277" spans="1:18" x14ac:dyDescent="0.3">
      <c r="A277" s="12" t="s">
        <v>2756</v>
      </c>
      <c r="B277" s="12" t="s">
        <v>12</v>
      </c>
      <c r="C277" s="12"/>
      <c r="D277" s="12" t="s">
        <v>12</v>
      </c>
      <c r="E277" s="12" t="s">
        <v>2757</v>
      </c>
      <c r="F277" s="12"/>
      <c r="G277" s="12" t="s">
        <v>2758</v>
      </c>
      <c r="H277" s="12" t="s">
        <v>43</v>
      </c>
      <c r="I277" s="12" t="s">
        <v>26</v>
      </c>
      <c r="J277" s="13" t="s">
        <v>2759</v>
      </c>
      <c r="K277" s="14" t="s">
        <v>2760</v>
      </c>
      <c r="L277" s="15">
        <v>1</v>
      </c>
      <c r="M277" s="15" t="s">
        <v>144</v>
      </c>
      <c r="N277" s="16">
        <v>46041</v>
      </c>
      <c r="O277" s="12" t="s">
        <v>2756</v>
      </c>
      <c r="P277" s="14" t="s">
        <v>2761</v>
      </c>
      <c r="Q277" s="17" t="s">
        <v>137</v>
      </c>
      <c r="R277" s="17" t="s">
        <v>146</v>
      </c>
    </row>
    <row r="278" spans="1:18" x14ac:dyDescent="0.3">
      <c r="A278" s="12" t="s">
        <v>2774</v>
      </c>
      <c r="B278" s="12" t="s">
        <v>12</v>
      </c>
      <c r="C278" s="12"/>
      <c r="D278" s="12" t="s">
        <v>12</v>
      </c>
      <c r="E278" s="12" t="s">
        <v>2775</v>
      </c>
      <c r="F278" s="12"/>
      <c r="G278" s="12" t="s">
        <v>2768</v>
      </c>
      <c r="H278" s="12" t="s">
        <v>43</v>
      </c>
      <c r="I278" s="12" t="s">
        <v>26</v>
      </c>
      <c r="J278" s="13" t="s">
        <v>2769</v>
      </c>
      <c r="K278" s="14" t="s">
        <v>2776</v>
      </c>
      <c r="L278" s="15">
        <v>0</v>
      </c>
      <c r="M278" s="15" t="s">
        <v>144</v>
      </c>
      <c r="N278" s="16">
        <v>45749</v>
      </c>
      <c r="O278" s="12" t="s">
        <v>2774</v>
      </c>
      <c r="P278" s="14" t="s">
        <v>2777</v>
      </c>
      <c r="Q278" s="17" t="s">
        <v>137</v>
      </c>
      <c r="R278" s="17" t="s">
        <v>146</v>
      </c>
    </row>
    <row r="279" spans="1:18" x14ac:dyDescent="0.3">
      <c r="A279" s="12" t="s">
        <v>2778</v>
      </c>
      <c r="B279" s="12" t="s">
        <v>12</v>
      </c>
      <c r="C279" s="12"/>
      <c r="D279" s="12" t="s">
        <v>12</v>
      </c>
      <c r="E279" s="12" t="s">
        <v>2779</v>
      </c>
      <c r="F279" s="12" t="s">
        <v>467</v>
      </c>
      <c r="G279" s="12" t="s">
        <v>2768</v>
      </c>
      <c r="H279" s="12" t="s">
        <v>43</v>
      </c>
      <c r="I279" s="12" t="s">
        <v>26</v>
      </c>
      <c r="J279" s="13" t="s">
        <v>2769</v>
      </c>
      <c r="K279" s="14" t="s">
        <v>2780</v>
      </c>
      <c r="L279" s="15">
        <v>1</v>
      </c>
      <c r="M279" s="15" t="s">
        <v>144</v>
      </c>
      <c r="N279" s="16">
        <v>45296</v>
      </c>
      <c r="O279" s="12" t="s">
        <v>2778</v>
      </c>
      <c r="P279" s="14" t="s">
        <v>2781</v>
      </c>
      <c r="Q279" s="17" t="s">
        <v>137</v>
      </c>
      <c r="R279" s="17" t="s">
        <v>146</v>
      </c>
    </row>
    <row r="280" spans="1:18" x14ac:dyDescent="0.3">
      <c r="A280" s="12" t="s">
        <v>2787</v>
      </c>
      <c r="B280" s="12" t="s">
        <v>12</v>
      </c>
      <c r="C280" s="12"/>
      <c r="D280" s="12" t="s">
        <v>12</v>
      </c>
      <c r="E280" s="12" t="s">
        <v>2788</v>
      </c>
      <c r="F280" s="12" t="s">
        <v>547</v>
      </c>
      <c r="G280" s="12" t="s">
        <v>2768</v>
      </c>
      <c r="H280" s="12" t="s">
        <v>43</v>
      </c>
      <c r="I280" s="12" t="s">
        <v>26</v>
      </c>
      <c r="J280" s="13" t="s">
        <v>2769</v>
      </c>
      <c r="K280" s="14" t="s">
        <v>2789</v>
      </c>
      <c r="L280" s="15">
        <v>2</v>
      </c>
      <c r="M280" s="15" t="s">
        <v>144</v>
      </c>
      <c r="N280" s="16">
        <v>45841</v>
      </c>
      <c r="O280" s="12" t="s">
        <v>2790</v>
      </c>
      <c r="P280" s="14" t="s">
        <v>2791</v>
      </c>
      <c r="Q280" s="17" t="s">
        <v>137</v>
      </c>
      <c r="R280" s="17" t="s">
        <v>146</v>
      </c>
    </row>
    <row r="281" spans="1:18" x14ac:dyDescent="0.3">
      <c r="A281" s="12" t="s">
        <v>2792</v>
      </c>
      <c r="B281" s="12" t="s">
        <v>12</v>
      </c>
      <c r="C281" s="12"/>
      <c r="D281" s="12" t="s">
        <v>12</v>
      </c>
      <c r="E281" s="12" t="s">
        <v>2793</v>
      </c>
      <c r="F281" s="12"/>
      <c r="G281" s="12" t="s">
        <v>2768</v>
      </c>
      <c r="H281" s="12" t="s">
        <v>43</v>
      </c>
      <c r="I281" s="12" t="s">
        <v>26</v>
      </c>
      <c r="J281" s="13" t="s">
        <v>2769</v>
      </c>
      <c r="K281" s="14" t="s">
        <v>2794</v>
      </c>
      <c r="L281" s="15">
        <v>1</v>
      </c>
      <c r="M281" s="15" t="s">
        <v>144</v>
      </c>
      <c r="N281" s="16">
        <v>44957</v>
      </c>
      <c r="O281" s="12" t="s">
        <v>2795</v>
      </c>
      <c r="P281" s="14" t="s">
        <v>2796</v>
      </c>
      <c r="Q281" s="17" t="s">
        <v>137</v>
      </c>
      <c r="R281" s="17" t="s">
        <v>146</v>
      </c>
    </row>
    <row r="282" spans="1:18" x14ac:dyDescent="0.3">
      <c r="A282" s="12" t="s">
        <v>2797</v>
      </c>
      <c r="B282" s="12" t="s">
        <v>12</v>
      </c>
      <c r="C282" s="12"/>
      <c r="D282" s="12" t="s">
        <v>12</v>
      </c>
      <c r="E282" s="12" t="s">
        <v>2779</v>
      </c>
      <c r="F282" s="12" t="s">
        <v>454</v>
      </c>
      <c r="G282" s="12" t="s">
        <v>2768</v>
      </c>
      <c r="H282" s="12" t="s">
        <v>43</v>
      </c>
      <c r="I282" s="12" t="s">
        <v>26</v>
      </c>
      <c r="J282" s="13" t="s">
        <v>2769</v>
      </c>
      <c r="K282" s="14" t="s">
        <v>2798</v>
      </c>
      <c r="L282" s="15">
        <v>1</v>
      </c>
      <c r="M282" s="15" t="s">
        <v>144</v>
      </c>
      <c r="N282" s="16">
        <v>46233</v>
      </c>
      <c r="O282" s="12" t="s">
        <v>2797</v>
      </c>
      <c r="P282" s="14" t="s">
        <v>2799</v>
      </c>
      <c r="Q282" s="17" t="s">
        <v>137</v>
      </c>
      <c r="R282" s="17" t="s">
        <v>146</v>
      </c>
    </row>
    <row r="283" spans="1:18" x14ac:dyDescent="0.3">
      <c r="A283" s="12" t="s">
        <v>2803</v>
      </c>
      <c r="B283" s="12" t="s">
        <v>12</v>
      </c>
      <c r="C283" s="12"/>
      <c r="D283" s="12" t="s">
        <v>12</v>
      </c>
      <c r="E283" s="12" t="s">
        <v>2804</v>
      </c>
      <c r="F283" s="12"/>
      <c r="G283" s="12" t="s">
        <v>2768</v>
      </c>
      <c r="H283" s="12" t="s">
        <v>43</v>
      </c>
      <c r="I283" s="12" t="s">
        <v>26</v>
      </c>
      <c r="J283" s="13" t="s">
        <v>2769</v>
      </c>
      <c r="K283" s="14" t="s">
        <v>2805</v>
      </c>
      <c r="L283" s="15">
        <v>3</v>
      </c>
      <c r="M283" s="15" t="s">
        <v>144</v>
      </c>
      <c r="N283" s="16">
        <v>45742</v>
      </c>
      <c r="O283" s="12" t="s">
        <v>2803</v>
      </c>
      <c r="P283" s="14" t="s">
        <v>2806</v>
      </c>
      <c r="Q283" s="17" t="s">
        <v>137</v>
      </c>
      <c r="R283" s="17" t="s">
        <v>146</v>
      </c>
    </row>
    <row r="284" spans="1:18" x14ac:dyDescent="0.3">
      <c r="A284" s="12" t="s">
        <v>2807</v>
      </c>
      <c r="B284" s="12" t="s">
        <v>12</v>
      </c>
      <c r="C284" s="12"/>
      <c r="D284" s="12" t="s">
        <v>12</v>
      </c>
      <c r="E284" s="12" t="s">
        <v>2808</v>
      </c>
      <c r="F284" s="12"/>
      <c r="G284" s="12" t="s">
        <v>2809</v>
      </c>
      <c r="H284" s="12" t="s">
        <v>43</v>
      </c>
      <c r="I284" s="12" t="s">
        <v>26</v>
      </c>
      <c r="J284" s="13" t="s">
        <v>2810</v>
      </c>
      <c r="K284" s="14" t="s">
        <v>2811</v>
      </c>
      <c r="L284" s="15">
        <v>1</v>
      </c>
      <c r="M284" s="15" t="s">
        <v>144</v>
      </c>
      <c r="N284" s="16">
        <v>45742</v>
      </c>
      <c r="O284" s="12" t="s">
        <v>2812</v>
      </c>
      <c r="P284" s="14" t="s">
        <v>2813</v>
      </c>
      <c r="Q284" s="17" t="s">
        <v>137</v>
      </c>
      <c r="R284" s="17" t="s">
        <v>146</v>
      </c>
    </row>
    <row r="285" spans="1:18" x14ac:dyDescent="0.3">
      <c r="A285" s="12" t="s">
        <v>2814</v>
      </c>
      <c r="B285" s="12" t="s">
        <v>12</v>
      </c>
      <c r="C285" s="12"/>
      <c r="D285" s="12" t="s">
        <v>12</v>
      </c>
      <c r="E285" s="12" t="s">
        <v>2815</v>
      </c>
      <c r="F285" s="12"/>
      <c r="G285" s="12" t="s">
        <v>2809</v>
      </c>
      <c r="H285" s="12" t="s">
        <v>43</v>
      </c>
      <c r="I285" s="12" t="s">
        <v>26</v>
      </c>
      <c r="J285" s="13" t="s">
        <v>2810</v>
      </c>
      <c r="K285" s="14" t="s">
        <v>2816</v>
      </c>
      <c r="L285" s="15">
        <v>2</v>
      </c>
      <c r="M285" s="15" t="s">
        <v>144</v>
      </c>
      <c r="N285" s="16">
        <v>46141</v>
      </c>
      <c r="O285" s="12" t="s">
        <v>2814</v>
      </c>
      <c r="P285" s="14" t="s">
        <v>2817</v>
      </c>
      <c r="Q285" s="17" t="s">
        <v>137</v>
      </c>
      <c r="R285" s="17" t="s">
        <v>146</v>
      </c>
    </row>
    <row r="286" spans="1:18" x14ac:dyDescent="0.3">
      <c r="A286" s="12" t="s">
        <v>2818</v>
      </c>
      <c r="B286" s="12" t="s">
        <v>12</v>
      </c>
      <c r="C286" s="12"/>
      <c r="D286" s="12" t="s">
        <v>12</v>
      </c>
      <c r="E286" s="12" t="s">
        <v>2819</v>
      </c>
      <c r="F286" s="12" t="s">
        <v>2820</v>
      </c>
      <c r="G286" s="12" t="s">
        <v>2821</v>
      </c>
      <c r="H286" s="12" t="s">
        <v>43</v>
      </c>
      <c r="I286" s="12" t="s">
        <v>26</v>
      </c>
      <c r="J286" s="13" t="s">
        <v>2822</v>
      </c>
      <c r="K286" s="14" t="s">
        <v>2823</v>
      </c>
      <c r="L286" s="15">
        <v>0</v>
      </c>
      <c r="M286" s="15" t="s">
        <v>144</v>
      </c>
      <c r="N286" s="16">
        <v>45209</v>
      </c>
      <c r="O286" s="12" t="s">
        <v>2818</v>
      </c>
      <c r="P286" s="14" t="s">
        <v>2824</v>
      </c>
      <c r="Q286" s="17" t="s">
        <v>137</v>
      </c>
      <c r="R286" s="17" t="s">
        <v>146</v>
      </c>
    </row>
    <row r="287" spans="1:18" x14ac:dyDescent="0.3">
      <c r="A287" s="12" t="s">
        <v>2829</v>
      </c>
      <c r="B287" s="12" t="s">
        <v>12</v>
      </c>
      <c r="C287" s="12"/>
      <c r="D287" s="12" t="s">
        <v>12</v>
      </c>
      <c r="E287" s="12" t="s">
        <v>2830</v>
      </c>
      <c r="F287" s="12"/>
      <c r="G287" s="12" t="s">
        <v>2826</v>
      </c>
      <c r="H287" s="12" t="s">
        <v>43</v>
      </c>
      <c r="I287" s="12" t="s">
        <v>26</v>
      </c>
      <c r="J287" s="13" t="s">
        <v>2827</v>
      </c>
      <c r="K287" s="14" t="s">
        <v>2831</v>
      </c>
      <c r="L287" s="15">
        <v>1</v>
      </c>
      <c r="M287" s="15" t="s">
        <v>144</v>
      </c>
      <c r="N287" s="16">
        <v>44735</v>
      </c>
      <c r="O287" s="12" t="s">
        <v>2829</v>
      </c>
      <c r="P287" s="14" t="s">
        <v>2832</v>
      </c>
      <c r="Q287" s="17" t="s">
        <v>137</v>
      </c>
      <c r="R287" s="17" t="s">
        <v>146</v>
      </c>
    </row>
    <row r="288" spans="1:18" x14ac:dyDescent="0.3">
      <c r="A288" s="12" t="s">
        <v>2841</v>
      </c>
      <c r="B288" s="12" t="s">
        <v>12</v>
      </c>
      <c r="C288" s="12"/>
      <c r="D288" s="12" t="s">
        <v>12</v>
      </c>
      <c r="E288" s="12" t="s">
        <v>2842</v>
      </c>
      <c r="F288" s="12" t="s">
        <v>1270</v>
      </c>
      <c r="G288" s="12" t="s">
        <v>2837</v>
      </c>
      <c r="H288" s="12" t="s">
        <v>43</v>
      </c>
      <c r="I288" s="12" t="s">
        <v>26</v>
      </c>
      <c r="J288" s="13" t="s">
        <v>2464</v>
      </c>
      <c r="K288" s="14" t="s">
        <v>2843</v>
      </c>
      <c r="L288" s="15">
        <v>0</v>
      </c>
      <c r="M288" s="15" t="s">
        <v>144</v>
      </c>
      <c r="N288" s="16">
        <v>44992</v>
      </c>
      <c r="O288" s="12" t="s">
        <v>2844</v>
      </c>
      <c r="P288" s="14" t="s">
        <v>2845</v>
      </c>
      <c r="Q288" s="17" t="s">
        <v>137</v>
      </c>
      <c r="R288" s="17" t="s">
        <v>146</v>
      </c>
    </row>
    <row r="289" spans="1:18" x14ac:dyDescent="0.3">
      <c r="A289" s="12" t="s">
        <v>2850</v>
      </c>
      <c r="B289" s="12" t="s">
        <v>12</v>
      </c>
      <c r="C289" s="12"/>
      <c r="D289" s="12" t="s">
        <v>12</v>
      </c>
      <c r="E289" s="12" t="s">
        <v>2851</v>
      </c>
      <c r="F289" s="12" t="s">
        <v>258</v>
      </c>
      <c r="G289" s="12" t="s">
        <v>2852</v>
      </c>
      <c r="H289" s="12" t="s">
        <v>80</v>
      </c>
      <c r="I289" s="12" t="s">
        <v>27</v>
      </c>
      <c r="J289" s="13" t="s">
        <v>2853</v>
      </c>
      <c r="K289" s="14" t="s">
        <v>2854</v>
      </c>
      <c r="L289" s="15">
        <v>0</v>
      </c>
      <c r="M289" s="15" t="s">
        <v>144</v>
      </c>
      <c r="N289" s="16">
        <v>44763</v>
      </c>
      <c r="O289" s="12" t="s">
        <v>2855</v>
      </c>
      <c r="P289" s="14" t="s">
        <v>2856</v>
      </c>
      <c r="Q289" s="17" t="s">
        <v>137</v>
      </c>
      <c r="R289" s="17" t="s">
        <v>146</v>
      </c>
    </row>
    <row r="290" spans="1:18" x14ac:dyDescent="0.3">
      <c r="A290" s="12" t="s">
        <v>2862</v>
      </c>
      <c r="B290" s="12" t="s">
        <v>12</v>
      </c>
      <c r="C290" s="12"/>
      <c r="D290" s="12" t="s">
        <v>12</v>
      </c>
      <c r="E290" s="12" t="s">
        <v>2863</v>
      </c>
      <c r="F290" s="12" t="s">
        <v>467</v>
      </c>
      <c r="G290" s="12" t="s">
        <v>2864</v>
      </c>
      <c r="H290" s="12" t="s">
        <v>97</v>
      </c>
      <c r="I290" s="12" t="s">
        <v>27</v>
      </c>
      <c r="J290" s="13" t="s">
        <v>2865</v>
      </c>
      <c r="K290" s="14" t="s">
        <v>2866</v>
      </c>
      <c r="L290" s="15">
        <v>1</v>
      </c>
      <c r="M290" s="15" t="s">
        <v>144</v>
      </c>
      <c r="N290" s="16">
        <v>46258</v>
      </c>
      <c r="O290" s="12" t="s">
        <v>2862</v>
      </c>
      <c r="P290" s="14" t="s">
        <v>2867</v>
      </c>
      <c r="Q290" s="17" t="s">
        <v>137</v>
      </c>
      <c r="R290" s="17" t="s">
        <v>146</v>
      </c>
    </row>
    <row r="291" spans="1:18" x14ac:dyDescent="0.3">
      <c r="A291" s="12" t="s">
        <v>2868</v>
      </c>
      <c r="B291" s="12" t="s">
        <v>12</v>
      </c>
      <c r="C291" s="12"/>
      <c r="D291" s="12" t="s">
        <v>12</v>
      </c>
      <c r="E291" s="12" t="s">
        <v>2869</v>
      </c>
      <c r="F291" s="12"/>
      <c r="G291" s="12" t="s">
        <v>2870</v>
      </c>
      <c r="H291" s="12" t="s">
        <v>58</v>
      </c>
      <c r="I291" s="12" t="s">
        <v>27</v>
      </c>
      <c r="J291" s="13" t="s">
        <v>2871</v>
      </c>
      <c r="K291" s="14" t="s">
        <v>2872</v>
      </c>
      <c r="L291" s="15">
        <v>0</v>
      </c>
      <c r="M291" s="15" t="s">
        <v>144</v>
      </c>
      <c r="N291" s="16">
        <v>44892</v>
      </c>
      <c r="O291" s="12" t="s">
        <v>2873</v>
      </c>
      <c r="P291" s="14" t="s">
        <v>2874</v>
      </c>
      <c r="Q291" s="17" t="s">
        <v>137</v>
      </c>
      <c r="R291" s="17" t="s">
        <v>146</v>
      </c>
    </row>
    <row r="292" spans="1:18" x14ac:dyDescent="0.3">
      <c r="A292" s="12" t="s">
        <v>2868</v>
      </c>
      <c r="B292" s="12" t="s">
        <v>12</v>
      </c>
      <c r="C292" s="12"/>
      <c r="D292" s="12" t="s">
        <v>12</v>
      </c>
      <c r="E292" s="12" t="s">
        <v>2875</v>
      </c>
      <c r="F292" s="12"/>
      <c r="G292" s="12" t="s">
        <v>2870</v>
      </c>
      <c r="H292" s="12" t="s">
        <v>58</v>
      </c>
      <c r="I292" s="12" t="s">
        <v>27</v>
      </c>
      <c r="J292" s="13" t="s">
        <v>2871</v>
      </c>
      <c r="K292" s="14" t="s">
        <v>2876</v>
      </c>
      <c r="L292" s="15">
        <v>0</v>
      </c>
      <c r="M292" s="15" t="s">
        <v>144</v>
      </c>
      <c r="N292" s="16">
        <v>44892</v>
      </c>
      <c r="O292" s="12" t="s">
        <v>2873</v>
      </c>
      <c r="P292" s="14" t="s">
        <v>2874</v>
      </c>
      <c r="Q292" s="17" t="s">
        <v>137</v>
      </c>
      <c r="R292" s="17" t="s">
        <v>146</v>
      </c>
    </row>
    <row r="293" spans="1:18" x14ac:dyDescent="0.3">
      <c r="A293" s="12" t="s">
        <v>2877</v>
      </c>
      <c r="B293" s="12" t="s">
        <v>12</v>
      </c>
      <c r="C293" s="12"/>
      <c r="D293" s="12" t="s">
        <v>12</v>
      </c>
      <c r="E293" s="12" t="s">
        <v>2869</v>
      </c>
      <c r="F293" s="12"/>
      <c r="G293" s="12" t="s">
        <v>2870</v>
      </c>
      <c r="H293" s="12" t="s">
        <v>58</v>
      </c>
      <c r="I293" s="12" t="s">
        <v>27</v>
      </c>
      <c r="J293" s="13" t="s">
        <v>2871</v>
      </c>
      <c r="K293" s="14" t="s">
        <v>2872</v>
      </c>
      <c r="L293" s="15">
        <v>0</v>
      </c>
      <c r="M293" s="15" t="s">
        <v>144</v>
      </c>
      <c r="N293" s="16">
        <v>44739</v>
      </c>
      <c r="O293" s="12" t="s">
        <v>2873</v>
      </c>
      <c r="P293" s="14" t="s">
        <v>2878</v>
      </c>
      <c r="Q293" s="17" t="s">
        <v>137</v>
      </c>
      <c r="R293" s="17" t="s">
        <v>146</v>
      </c>
    </row>
    <row r="294" spans="1:18" x14ac:dyDescent="0.3">
      <c r="A294" s="12" t="s">
        <v>2879</v>
      </c>
      <c r="B294" s="12" t="s">
        <v>12</v>
      </c>
      <c r="C294" s="12" t="s">
        <v>14</v>
      </c>
      <c r="D294" s="12" t="s">
        <v>180</v>
      </c>
      <c r="E294" s="12" t="s">
        <v>2880</v>
      </c>
      <c r="F294" s="12" t="s">
        <v>372</v>
      </c>
      <c r="G294" s="12" t="s">
        <v>2870</v>
      </c>
      <c r="H294" s="12" t="s">
        <v>58</v>
      </c>
      <c r="I294" s="12" t="s">
        <v>27</v>
      </c>
      <c r="J294" s="13" t="s">
        <v>2871</v>
      </c>
      <c r="K294" s="14" t="s">
        <v>2881</v>
      </c>
      <c r="L294" s="15">
        <v>1</v>
      </c>
      <c r="M294" s="15" t="s">
        <v>144</v>
      </c>
      <c r="N294" s="16">
        <v>45810</v>
      </c>
      <c r="O294" s="12" t="s">
        <v>2879</v>
      </c>
      <c r="P294" s="14" t="s">
        <v>2882</v>
      </c>
      <c r="Q294" s="17" t="s">
        <v>137</v>
      </c>
      <c r="R294" s="17" t="s">
        <v>146</v>
      </c>
    </row>
    <row r="295" spans="1:18" x14ac:dyDescent="0.3">
      <c r="A295" s="12" t="s">
        <v>2879</v>
      </c>
      <c r="B295" s="12" t="s">
        <v>12</v>
      </c>
      <c r="C295" s="12" t="s">
        <v>14</v>
      </c>
      <c r="D295" s="12" t="s">
        <v>180</v>
      </c>
      <c r="E295" s="12" t="s">
        <v>2883</v>
      </c>
      <c r="F295" s="12" t="s">
        <v>2884</v>
      </c>
      <c r="G295" s="12" t="s">
        <v>2870</v>
      </c>
      <c r="H295" s="12" t="s">
        <v>58</v>
      </c>
      <c r="I295" s="12" t="s">
        <v>27</v>
      </c>
      <c r="J295" s="13" t="s">
        <v>2871</v>
      </c>
      <c r="K295" s="14" t="s">
        <v>2881</v>
      </c>
      <c r="L295" s="15">
        <v>1</v>
      </c>
      <c r="M295" s="15" t="s">
        <v>144</v>
      </c>
      <c r="N295" s="16">
        <v>45810</v>
      </c>
      <c r="O295" s="12" t="s">
        <v>2879</v>
      </c>
      <c r="P295" s="14" t="s">
        <v>2882</v>
      </c>
      <c r="Q295" s="17" t="s">
        <v>137</v>
      </c>
      <c r="R295" s="17" t="s">
        <v>146</v>
      </c>
    </row>
    <row r="296" spans="1:18" x14ac:dyDescent="0.3">
      <c r="A296" s="12" t="s">
        <v>2891</v>
      </c>
      <c r="B296" s="12" t="s">
        <v>12</v>
      </c>
      <c r="C296" s="12"/>
      <c r="D296" s="12" t="s">
        <v>12</v>
      </c>
      <c r="E296" s="12" t="s">
        <v>2892</v>
      </c>
      <c r="F296" s="12" t="s">
        <v>467</v>
      </c>
      <c r="G296" s="12" t="s">
        <v>2887</v>
      </c>
      <c r="H296" s="12" t="s">
        <v>58</v>
      </c>
      <c r="I296" s="12" t="s">
        <v>27</v>
      </c>
      <c r="J296" s="13" t="s">
        <v>2888</v>
      </c>
      <c r="K296" s="14" t="s">
        <v>2893</v>
      </c>
      <c r="L296" s="15">
        <v>1</v>
      </c>
      <c r="M296" s="15" t="s">
        <v>144</v>
      </c>
      <c r="N296" s="16">
        <v>45762</v>
      </c>
      <c r="O296" s="12" t="s">
        <v>2891</v>
      </c>
      <c r="P296" s="14" t="s">
        <v>2894</v>
      </c>
      <c r="Q296" s="17" t="s">
        <v>137</v>
      </c>
      <c r="R296" s="17" t="s">
        <v>146</v>
      </c>
    </row>
    <row r="297" spans="1:18" x14ac:dyDescent="0.3">
      <c r="A297" s="12" t="s">
        <v>2895</v>
      </c>
      <c r="B297" s="12" t="s">
        <v>12</v>
      </c>
      <c r="C297" s="12"/>
      <c r="D297" s="12" t="s">
        <v>12</v>
      </c>
      <c r="E297" s="12" t="s">
        <v>2896</v>
      </c>
      <c r="F297" s="12"/>
      <c r="G297" s="12" t="s">
        <v>2897</v>
      </c>
      <c r="H297" s="12" t="s">
        <v>77</v>
      </c>
      <c r="I297" s="12" t="s">
        <v>27</v>
      </c>
      <c r="J297" s="13" t="s">
        <v>2898</v>
      </c>
      <c r="K297" s="14" t="s">
        <v>2899</v>
      </c>
      <c r="L297" s="15">
        <v>3</v>
      </c>
      <c r="M297" s="15" t="s">
        <v>144</v>
      </c>
      <c r="N297" s="16">
        <v>45565</v>
      </c>
      <c r="O297" s="12" t="s">
        <v>2895</v>
      </c>
      <c r="P297" s="14" t="s">
        <v>2900</v>
      </c>
      <c r="Q297" s="17" t="s">
        <v>137</v>
      </c>
      <c r="R297" s="17" t="s">
        <v>146</v>
      </c>
    </row>
    <row r="298" spans="1:18" x14ac:dyDescent="0.3">
      <c r="A298" s="12" t="s">
        <v>2895</v>
      </c>
      <c r="B298" s="12" t="s">
        <v>12</v>
      </c>
      <c r="C298" s="12"/>
      <c r="D298" s="12" t="s">
        <v>12</v>
      </c>
      <c r="E298" s="12" t="s">
        <v>2901</v>
      </c>
      <c r="F298" s="12"/>
      <c r="G298" s="12" t="s">
        <v>2897</v>
      </c>
      <c r="H298" s="12" t="s">
        <v>77</v>
      </c>
      <c r="I298" s="12" t="s">
        <v>27</v>
      </c>
      <c r="J298" s="13" t="s">
        <v>2898</v>
      </c>
      <c r="K298" s="14" t="s">
        <v>2899</v>
      </c>
      <c r="L298" s="15">
        <v>2</v>
      </c>
      <c r="M298" s="15" t="s">
        <v>144</v>
      </c>
      <c r="N298" s="16">
        <v>45565</v>
      </c>
      <c r="O298" s="12" t="s">
        <v>2895</v>
      </c>
      <c r="P298" s="14" t="s">
        <v>2900</v>
      </c>
      <c r="Q298" s="17" t="s">
        <v>137</v>
      </c>
      <c r="R298" s="17" t="s">
        <v>146</v>
      </c>
    </row>
    <row r="299" spans="1:18" x14ac:dyDescent="0.3">
      <c r="A299" s="12" t="s">
        <v>2902</v>
      </c>
      <c r="B299" s="12" t="s">
        <v>12</v>
      </c>
      <c r="C299" s="12"/>
      <c r="D299" s="12" t="s">
        <v>12</v>
      </c>
      <c r="E299" s="12" t="s">
        <v>2903</v>
      </c>
      <c r="F299" s="12" t="s">
        <v>2904</v>
      </c>
      <c r="G299" s="12" t="s">
        <v>2897</v>
      </c>
      <c r="H299" s="12" t="s">
        <v>77</v>
      </c>
      <c r="I299" s="12" t="s">
        <v>27</v>
      </c>
      <c r="J299" s="13" t="s">
        <v>2898</v>
      </c>
      <c r="K299" s="14" t="s">
        <v>2905</v>
      </c>
      <c r="L299" s="15">
        <v>4</v>
      </c>
      <c r="M299" s="15" t="s">
        <v>144</v>
      </c>
      <c r="N299" s="16">
        <v>45819</v>
      </c>
      <c r="O299" s="12" t="s">
        <v>2906</v>
      </c>
      <c r="P299" s="14" t="s">
        <v>2907</v>
      </c>
      <c r="Q299" s="17" t="s">
        <v>137</v>
      </c>
      <c r="R299" s="17" t="s">
        <v>146</v>
      </c>
    </row>
    <row r="300" spans="1:18" x14ac:dyDescent="0.3">
      <c r="A300" s="12" t="s">
        <v>2908</v>
      </c>
      <c r="B300" s="12" t="s">
        <v>12</v>
      </c>
      <c r="C300" s="12"/>
      <c r="D300" s="12" t="s">
        <v>12</v>
      </c>
      <c r="E300" s="12" t="s">
        <v>2909</v>
      </c>
      <c r="F300" s="12"/>
      <c r="G300" s="12" t="s">
        <v>2910</v>
      </c>
      <c r="H300" s="12" t="s">
        <v>85</v>
      </c>
      <c r="I300" s="12" t="s">
        <v>27</v>
      </c>
      <c r="J300" s="13" t="s">
        <v>2911</v>
      </c>
      <c r="K300" s="14" t="s">
        <v>2912</v>
      </c>
      <c r="L300" s="15">
        <v>3</v>
      </c>
      <c r="M300" s="15" t="s">
        <v>144</v>
      </c>
      <c r="N300" s="16">
        <v>45856</v>
      </c>
      <c r="O300" s="12" t="s">
        <v>2913</v>
      </c>
      <c r="P300" s="14" t="s">
        <v>2914</v>
      </c>
      <c r="Q300" s="17" t="s">
        <v>137</v>
      </c>
      <c r="R300" s="17" t="s">
        <v>146</v>
      </c>
    </row>
    <row r="301" spans="1:18" x14ac:dyDescent="0.3">
      <c r="A301" s="12" t="s">
        <v>2915</v>
      </c>
      <c r="B301" s="12" t="s">
        <v>12</v>
      </c>
      <c r="C301" s="12"/>
      <c r="D301" s="12" t="s">
        <v>12</v>
      </c>
      <c r="E301" s="12" t="s">
        <v>2916</v>
      </c>
      <c r="F301" s="12" t="s">
        <v>1542</v>
      </c>
      <c r="G301" s="12" t="s">
        <v>2917</v>
      </c>
      <c r="H301" s="12" t="s">
        <v>85</v>
      </c>
      <c r="I301" s="12" t="s">
        <v>27</v>
      </c>
      <c r="J301" s="13" t="s">
        <v>2918</v>
      </c>
      <c r="K301" s="14" t="s">
        <v>2919</v>
      </c>
      <c r="L301" s="15">
        <v>0</v>
      </c>
      <c r="M301" s="15" t="s">
        <v>144</v>
      </c>
      <c r="N301" s="16">
        <v>45790</v>
      </c>
      <c r="O301" s="12" t="s">
        <v>2915</v>
      </c>
      <c r="P301" s="14" t="s">
        <v>2920</v>
      </c>
      <c r="Q301" s="17" t="s">
        <v>137</v>
      </c>
      <c r="R301" s="17" t="s">
        <v>146</v>
      </c>
    </row>
    <row r="302" spans="1:18" x14ac:dyDescent="0.3">
      <c r="A302" s="12" t="s">
        <v>2929</v>
      </c>
      <c r="B302" s="12" t="s">
        <v>12</v>
      </c>
      <c r="C302" s="12"/>
      <c r="D302" s="12" t="s">
        <v>12</v>
      </c>
      <c r="E302" s="12" t="s">
        <v>2930</v>
      </c>
      <c r="F302" s="12"/>
      <c r="G302" s="12" t="s">
        <v>2931</v>
      </c>
      <c r="H302" s="12" t="s">
        <v>44</v>
      </c>
      <c r="I302" s="12" t="s">
        <v>27</v>
      </c>
      <c r="J302" s="13" t="s">
        <v>2932</v>
      </c>
      <c r="K302" s="14" t="s">
        <v>2933</v>
      </c>
      <c r="L302" s="15">
        <v>2</v>
      </c>
      <c r="M302" s="15" t="s">
        <v>144</v>
      </c>
      <c r="N302" s="16">
        <v>45260</v>
      </c>
      <c r="O302" s="12" t="s">
        <v>2929</v>
      </c>
      <c r="P302" s="14" t="s">
        <v>2934</v>
      </c>
      <c r="Q302" s="17" t="s">
        <v>137</v>
      </c>
      <c r="R302" s="17" t="s">
        <v>146</v>
      </c>
    </row>
    <row r="303" spans="1:18" x14ac:dyDescent="0.3">
      <c r="A303" s="12" t="s">
        <v>2960</v>
      </c>
      <c r="B303" s="12" t="s">
        <v>12</v>
      </c>
      <c r="C303" s="12" t="s">
        <v>14</v>
      </c>
      <c r="D303" s="12" t="s">
        <v>180</v>
      </c>
      <c r="E303" s="12" t="s">
        <v>2956</v>
      </c>
      <c r="F303" s="12" t="s">
        <v>2961</v>
      </c>
      <c r="G303" s="12" t="s">
        <v>2937</v>
      </c>
      <c r="H303" s="12" t="s">
        <v>44</v>
      </c>
      <c r="I303" s="12" t="s">
        <v>27</v>
      </c>
      <c r="J303" s="13" t="s">
        <v>2938</v>
      </c>
      <c r="K303" s="14" t="s">
        <v>2962</v>
      </c>
      <c r="L303" s="15">
        <v>5</v>
      </c>
      <c r="M303" s="15" t="s">
        <v>144</v>
      </c>
      <c r="N303" s="16">
        <v>46097</v>
      </c>
      <c r="O303" s="12" t="s">
        <v>2963</v>
      </c>
      <c r="P303" s="14" t="s">
        <v>2964</v>
      </c>
      <c r="Q303" s="17" t="s">
        <v>137</v>
      </c>
      <c r="R303" s="17" t="s">
        <v>146</v>
      </c>
    </row>
    <row r="304" spans="1:18" x14ac:dyDescent="0.3">
      <c r="A304" s="12" t="s">
        <v>2965</v>
      </c>
      <c r="B304" s="12" t="s">
        <v>12</v>
      </c>
      <c r="C304" s="12"/>
      <c r="D304" s="12" t="s">
        <v>12</v>
      </c>
      <c r="E304" s="12" t="s">
        <v>2966</v>
      </c>
      <c r="F304" s="12"/>
      <c r="G304" s="12" t="s">
        <v>2967</v>
      </c>
      <c r="H304" s="12" t="s">
        <v>44</v>
      </c>
      <c r="I304" s="12" t="s">
        <v>27</v>
      </c>
      <c r="J304" s="13" t="s">
        <v>2968</v>
      </c>
      <c r="K304" s="14" t="s">
        <v>2969</v>
      </c>
      <c r="L304" s="15">
        <v>6</v>
      </c>
      <c r="M304" s="15" t="s">
        <v>144</v>
      </c>
      <c r="N304" s="16">
        <v>45701</v>
      </c>
      <c r="O304" s="12" t="s">
        <v>2965</v>
      </c>
      <c r="P304" s="14" t="s">
        <v>2970</v>
      </c>
      <c r="Q304" s="17" t="s">
        <v>137</v>
      </c>
      <c r="R304" s="17" t="s">
        <v>146</v>
      </c>
    </row>
    <row r="305" spans="1:18" x14ac:dyDescent="0.3">
      <c r="A305" s="12" t="s">
        <v>2971</v>
      </c>
      <c r="B305" s="12" t="s">
        <v>12</v>
      </c>
      <c r="C305" s="12"/>
      <c r="D305" s="12" t="s">
        <v>12</v>
      </c>
      <c r="E305" s="12" t="s">
        <v>2972</v>
      </c>
      <c r="F305" s="12"/>
      <c r="G305" s="12" t="s">
        <v>2973</v>
      </c>
      <c r="H305" s="12" t="s">
        <v>44</v>
      </c>
      <c r="I305" s="12" t="s">
        <v>27</v>
      </c>
      <c r="J305" s="13" t="s">
        <v>2974</v>
      </c>
      <c r="K305" s="14" t="s">
        <v>2975</v>
      </c>
      <c r="L305" s="15">
        <v>1</v>
      </c>
      <c r="M305" s="15" t="s">
        <v>144</v>
      </c>
      <c r="N305" s="16">
        <v>45818</v>
      </c>
      <c r="O305" s="12" t="s">
        <v>2976</v>
      </c>
      <c r="P305" s="14" t="s">
        <v>2977</v>
      </c>
      <c r="Q305" s="17" t="s">
        <v>137</v>
      </c>
      <c r="R305" s="17" t="s">
        <v>146</v>
      </c>
    </row>
    <row r="306" spans="1:18" x14ac:dyDescent="0.3">
      <c r="A306" s="12" t="s">
        <v>2994</v>
      </c>
      <c r="B306" s="12" t="s">
        <v>12</v>
      </c>
      <c r="C306" s="12"/>
      <c r="D306" s="12" t="s">
        <v>12</v>
      </c>
      <c r="E306" s="12" t="s">
        <v>2995</v>
      </c>
      <c r="F306" s="12" t="s">
        <v>516</v>
      </c>
      <c r="G306" s="12" t="s">
        <v>2973</v>
      </c>
      <c r="H306" s="12" t="s">
        <v>44</v>
      </c>
      <c r="I306" s="12" t="s">
        <v>27</v>
      </c>
      <c r="J306" s="13" t="s">
        <v>2974</v>
      </c>
      <c r="K306" s="14" t="s">
        <v>2996</v>
      </c>
      <c r="L306" s="15">
        <v>5</v>
      </c>
      <c r="M306" s="15" t="s">
        <v>144</v>
      </c>
      <c r="N306" s="16">
        <v>45049</v>
      </c>
      <c r="O306" s="12" t="s">
        <v>2994</v>
      </c>
      <c r="P306" s="14" t="s">
        <v>2997</v>
      </c>
      <c r="Q306" s="17" t="s">
        <v>137</v>
      </c>
      <c r="R306" s="17" t="s">
        <v>146</v>
      </c>
    </row>
    <row r="307" spans="1:18" x14ac:dyDescent="0.3">
      <c r="A307" s="12" t="s">
        <v>3011</v>
      </c>
      <c r="B307" s="12" t="s">
        <v>12</v>
      </c>
      <c r="C307" s="12"/>
      <c r="D307" s="12" t="s">
        <v>12</v>
      </c>
      <c r="E307" s="12" t="s">
        <v>3012</v>
      </c>
      <c r="F307" s="12" t="s">
        <v>164</v>
      </c>
      <c r="G307" s="12" t="s">
        <v>2973</v>
      </c>
      <c r="H307" s="12" t="s">
        <v>44</v>
      </c>
      <c r="I307" s="12" t="s">
        <v>27</v>
      </c>
      <c r="J307" s="13" t="s">
        <v>2980</v>
      </c>
      <c r="K307" s="14" t="s">
        <v>3013</v>
      </c>
      <c r="L307" s="15">
        <v>1</v>
      </c>
      <c r="M307" s="15" t="s">
        <v>144</v>
      </c>
      <c r="N307" s="16">
        <v>44841</v>
      </c>
      <c r="O307" s="12" t="s">
        <v>3011</v>
      </c>
      <c r="P307" s="14" t="s">
        <v>3014</v>
      </c>
      <c r="Q307" s="17" t="s">
        <v>137</v>
      </c>
      <c r="R307" s="17" t="s">
        <v>146</v>
      </c>
    </row>
    <row r="308" spans="1:18" x14ac:dyDescent="0.3">
      <c r="A308" s="12" t="s">
        <v>3015</v>
      </c>
      <c r="B308" s="12" t="s">
        <v>12</v>
      </c>
      <c r="C308" s="12"/>
      <c r="D308" s="12" t="s">
        <v>12</v>
      </c>
      <c r="E308" s="12" t="s">
        <v>3016</v>
      </c>
      <c r="F308" s="12"/>
      <c r="G308" s="12" t="s">
        <v>3017</v>
      </c>
      <c r="H308" s="12" t="s">
        <v>44</v>
      </c>
      <c r="I308" s="12" t="s">
        <v>27</v>
      </c>
      <c r="J308" s="13" t="s">
        <v>3018</v>
      </c>
      <c r="K308" s="14" t="s">
        <v>3019</v>
      </c>
      <c r="L308" s="15">
        <v>1</v>
      </c>
      <c r="M308" s="15" t="s">
        <v>144</v>
      </c>
      <c r="N308" s="16">
        <v>45425</v>
      </c>
      <c r="O308" s="12" t="s">
        <v>3015</v>
      </c>
      <c r="P308" s="14" t="s">
        <v>3020</v>
      </c>
      <c r="Q308" s="17" t="s">
        <v>137</v>
      </c>
      <c r="R308" s="17" t="s">
        <v>146</v>
      </c>
    </row>
    <row r="309" spans="1:18" x14ac:dyDescent="0.3">
      <c r="A309" s="12" t="s">
        <v>3021</v>
      </c>
      <c r="B309" s="12" t="s">
        <v>12</v>
      </c>
      <c r="C309" s="12"/>
      <c r="D309" s="12" t="s">
        <v>12</v>
      </c>
      <c r="E309" s="12" t="s">
        <v>3022</v>
      </c>
      <c r="F309" s="12"/>
      <c r="G309" s="12" t="s">
        <v>3023</v>
      </c>
      <c r="H309" s="12" t="s">
        <v>44</v>
      </c>
      <c r="I309" s="12" t="s">
        <v>27</v>
      </c>
      <c r="J309" s="13" t="s">
        <v>3024</v>
      </c>
      <c r="K309" s="14" t="s">
        <v>3025</v>
      </c>
      <c r="L309" s="15">
        <v>1</v>
      </c>
      <c r="M309" s="15" t="s">
        <v>144</v>
      </c>
      <c r="N309" s="16">
        <v>44837</v>
      </c>
      <c r="O309" s="12" t="s">
        <v>3021</v>
      </c>
      <c r="P309" s="14" t="s">
        <v>3026</v>
      </c>
      <c r="Q309" s="17" t="s">
        <v>137</v>
      </c>
      <c r="R309" s="17" t="s">
        <v>146</v>
      </c>
    </row>
    <row r="310" spans="1:18" x14ac:dyDescent="0.3">
      <c r="A310" s="12" t="s">
        <v>3032</v>
      </c>
      <c r="B310" s="12" t="s">
        <v>12</v>
      </c>
      <c r="C310" s="12"/>
      <c r="D310" s="12" t="s">
        <v>12</v>
      </c>
      <c r="E310" s="12" t="s">
        <v>3033</v>
      </c>
      <c r="F310" s="12"/>
      <c r="G310" s="12" t="s">
        <v>3034</v>
      </c>
      <c r="H310" s="12" t="s">
        <v>91</v>
      </c>
      <c r="I310" s="12" t="s">
        <v>28</v>
      </c>
      <c r="J310" s="13" t="s">
        <v>3035</v>
      </c>
      <c r="K310" s="14" t="s">
        <v>3036</v>
      </c>
      <c r="L310" s="15">
        <v>1</v>
      </c>
      <c r="M310" s="15" t="s">
        <v>144</v>
      </c>
      <c r="N310" s="16">
        <v>45964</v>
      </c>
      <c r="O310" s="12" t="s">
        <v>3037</v>
      </c>
      <c r="P310" s="14" t="s">
        <v>3038</v>
      </c>
      <c r="Q310" s="17" t="s">
        <v>137</v>
      </c>
      <c r="R310" s="17" t="s">
        <v>146</v>
      </c>
    </row>
    <row r="311" spans="1:18" x14ac:dyDescent="0.3">
      <c r="A311" s="12" t="s">
        <v>3046</v>
      </c>
      <c r="B311" s="12" t="s">
        <v>12</v>
      </c>
      <c r="C311" s="12"/>
      <c r="D311" s="12" t="s">
        <v>12</v>
      </c>
      <c r="E311" s="12" t="s">
        <v>3047</v>
      </c>
      <c r="F311" s="12"/>
      <c r="G311" s="12" t="s">
        <v>3041</v>
      </c>
      <c r="H311" s="12" t="s">
        <v>71</v>
      </c>
      <c r="I311" s="12" t="s">
        <v>28</v>
      </c>
      <c r="J311" s="13" t="s">
        <v>3042</v>
      </c>
      <c r="K311" s="14" t="s">
        <v>3048</v>
      </c>
      <c r="L311" s="15">
        <v>2</v>
      </c>
      <c r="M311" s="15" t="s">
        <v>144</v>
      </c>
      <c r="N311" s="16">
        <v>44925</v>
      </c>
      <c r="O311" s="12" t="s">
        <v>3046</v>
      </c>
      <c r="P311" s="14" t="s">
        <v>3049</v>
      </c>
      <c r="Q311" s="17" t="s">
        <v>137</v>
      </c>
      <c r="R311" s="17" t="s">
        <v>146</v>
      </c>
    </row>
    <row r="312" spans="1:18" x14ac:dyDescent="0.3">
      <c r="A312" s="12" t="s">
        <v>3052</v>
      </c>
      <c r="B312" s="12" t="s">
        <v>12</v>
      </c>
      <c r="C312" s="12"/>
      <c r="D312" s="12" t="s">
        <v>12</v>
      </c>
      <c r="E312" s="12" t="s">
        <v>3053</v>
      </c>
      <c r="F312" s="12"/>
      <c r="G312" s="12" t="s">
        <v>3054</v>
      </c>
      <c r="H312" s="12" t="s">
        <v>49</v>
      </c>
      <c r="I312" s="12" t="s">
        <v>28</v>
      </c>
      <c r="J312" s="13" t="s">
        <v>3055</v>
      </c>
      <c r="K312" s="14" t="s">
        <v>3056</v>
      </c>
      <c r="L312" s="15">
        <v>3</v>
      </c>
      <c r="M312" s="15" t="s">
        <v>144</v>
      </c>
      <c r="N312" s="16">
        <v>44763</v>
      </c>
      <c r="O312" s="12" t="s">
        <v>3052</v>
      </c>
      <c r="P312" s="14" t="s">
        <v>3057</v>
      </c>
      <c r="Q312" s="17" t="s">
        <v>137</v>
      </c>
      <c r="R312" s="17" t="s">
        <v>146</v>
      </c>
    </row>
    <row r="313" spans="1:18" x14ac:dyDescent="0.3">
      <c r="A313" s="12" t="s">
        <v>3062</v>
      </c>
      <c r="B313" s="12" t="s">
        <v>12</v>
      </c>
      <c r="C313" s="12"/>
      <c r="D313" s="12" t="s">
        <v>12</v>
      </c>
      <c r="E313" s="12" t="s">
        <v>3063</v>
      </c>
      <c r="F313" s="12"/>
      <c r="G313" s="12" t="s">
        <v>3054</v>
      </c>
      <c r="H313" s="12" t="s">
        <v>49</v>
      </c>
      <c r="I313" s="12" t="s">
        <v>28</v>
      </c>
      <c r="J313" s="13" t="s">
        <v>3055</v>
      </c>
      <c r="K313" s="14" t="s">
        <v>3064</v>
      </c>
      <c r="L313" s="15">
        <v>2</v>
      </c>
      <c r="M313" s="15" t="s">
        <v>144</v>
      </c>
      <c r="N313" s="16">
        <v>46118</v>
      </c>
      <c r="O313" s="12" t="s">
        <v>3065</v>
      </c>
      <c r="P313" s="14" t="s">
        <v>3066</v>
      </c>
      <c r="Q313" s="17" t="s">
        <v>137</v>
      </c>
      <c r="R313" s="17" t="s">
        <v>146</v>
      </c>
    </row>
    <row r="314" spans="1:18" x14ac:dyDescent="0.3">
      <c r="A314" s="12" t="s">
        <v>3067</v>
      </c>
      <c r="B314" s="12" t="s">
        <v>12</v>
      </c>
      <c r="C314" s="12"/>
      <c r="D314" s="12" t="s">
        <v>12</v>
      </c>
      <c r="E314" s="12" t="s">
        <v>3068</v>
      </c>
      <c r="F314" s="12" t="s">
        <v>2012</v>
      </c>
      <c r="G314" s="12" t="s">
        <v>3054</v>
      </c>
      <c r="H314" s="12" t="s">
        <v>49</v>
      </c>
      <c r="I314" s="12" t="s">
        <v>28</v>
      </c>
      <c r="J314" s="13" t="s">
        <v>3055</v>
      </c>
      <c r="K314" s="14" t="s">
        <v>3069</v>
      </c>
      <c r="L314" s="15">
        <v>1</v>
      </c>
      <c r="M314" s="15" t="s">
        <v>144</v>
      </c>
      <c r="N314" s="16">
        <v>46010</v>
      </c>
      <c r="O314" s="12" t="s">
        <v>3067</v>
      </c>
      <c r="P314" s="14" t="s">
        <v>3070</v>
      </c>
      <c r="Q314" s="17" t="s">
        <v>137</v>
      </c>
      <c r="R314" s="17" t="s">
        <v>146</v>
      </c>
    </row>
    <row r="315" spans="1:18" x14ac:dyDescent="0.3">
      <c r="A315" s="12" t="s">
        <v>3071</v>
      </c>
      <c r="B315" s="12" t="s">
        <v>12</v>
      </c>
      <c r="C315" s="12"/>
      <c r="D315" s="12" t="s">
        <v>12</v>
      </c>
      <c r="E315" s="12" t="s">
        <v>3072</v>
      </c>
      <c r="F315" s="12"/>
      <c r="G315" s="12" t="s">
        <v>3054</v>
      </c>
      <c r="H315" s="12" t="s">
        <v>49</v>
      </c>
      <c r="I315" s="12" t="s">
        <v>28</v>
      </c>
      <c r="J315" s="13" t="s">
        <v>3055</v>
      </c>
      <c r="K315" s="14" t="s">
        <v>3073</v>
      </c>
      <c r="L315" s="15">
        <v>0</v>
      </c>
      <c r="M315" s="15" t="s">
        <v>144</v>
      </c>
      <c r="N315" s="16">
        <v>45243</v>
      </c>
      <c r="O315" s="12" t="s">
        <v>3071</v>
      </c>
      <c r="P315" s="14" t="s">
        <v>3074</v>
      </c>
      <c r="Q315" s="17" t="s">
        <v>137</v>
      </c>
      <c r="R315" s="17" t="s">
        <v>146</v>
      </c>
    </row>
    <row r="316" spans="1:18" x14ac:dyDescent="0.3">
      <c r="A316" s="12" t="s">
        <v>3075</v>
      </c>
      <c r="B316" s="12" t="s">
        <v>12</v>
      </c>
      <c r="C316" s="12"/>
      <c r="D316" s="12" t="s">
        <v>12</v>
      </c>
      <c r="E316" s="12" t="s">
        <v>3076</v>
      </c>
      <c r="F316" s="12" t="s">
        <v>372</v>
      </c>
      <c r="G316" s="12" t="s">
        <v>3054</v>
      </c>
      <c r="H316" s="12" t="s">
        <v>49</v>
      </c>
      <c r="I316" s="12" t="s">
        <v>28</v>
      </c>
      <c r="J316" s="13" t="s">
        <v>3055</v>
      </c>
      <c r="K316" s="14" t="s">
        <v>3077</v>
      </c>
      <c r="L316" s="15">
        <v>1</v>
      </c>
      <c r="M316" s="15" t="s">
        <v>144</v>
      </c>
      <c r="N316" s="16">
        <v>46042</v>
      </c>
      <c r="O316" s="12" t="s">
        <v>3075</v>
      </c>
      <c r="P316" s="14" t="s">
        <v>3078</v>
      </c>
      <c r="Q316" s="17" t="s">
        <v>137</v>
      </c>
      <c r="R316" s="17" t="s">
        <v>146</v>
      </c>
    </row>
    <row r="317" spans="1:18" x14ac:dyDescent="0.3">
      <c r="A317" s="12" t="s">
        <v>3079</v>
      </c>
      <c r="B317" s="12" t="s">
        <v>12</v>
      </c>
      <c r="C317" s="12"/>
      <c r="D317" s="12" t="s">
        <v>12</v>
      </c>
      <c r="E317" s="12" t="s">
        <v>3080</v>
      </c>
      <c r="F317" s="12" t="s">
        <v>3081</v>
      </c>
      <c r="G317" s="12" t="s">
        <v>3054</v>
      </c>
      <c r="H317" s="12" t="s">
        <v>49</v>
      </c>
      <c r="I317" s="12" t="s">
        <v>28</v>
      </c>
      <c r="J317" s="13" t="s">
        <v>3055</v>
      </c>
      <c r="K317" s="14" t="s">
        <v>3082</v>
      </c>
      <c r="L317" s="15">
        <v>2</v>
      </c>
      <c r="M317" s="15" t="s">
        <v>144</v>
      </c>
      <c r="N317" s="16">
        <v>45806</v>
      </c>
      <c r="O317" s="12" t="s">
        <v>3079</v>
      </c>
      <c r="P317" s="14" t="s">
        <v>3083</v>
      </c>
      <c r="Q317" s="17" t="s">
        <v>137</v>
      </c>
      <c r="R317" s="17" t="s">
        <v>146</v>
      </c>
    </row>
    <row r="318" spans="1:18" x14ac:dyDescent="0.3">
      <c r="A318" s="12" t="s">
        <v>3101</v>
      </c>
      <c r="B318" s="12" t="s">
        <v>12</v>
      </c>
      <c r="C318" s="12"/>
      <c r="D318" s="12" t="s">
        <v>12</v>
      </c>
      <c r="E318" s="12" t="s">
        <v>3102</v>
      </c>
      <c r="F318" s="12"/>
      <c r="G318" s="12" t="s">
        <v>3103</v>
      </c>
      <c r="H318" s="12" t="s">
        <v>49</v>
      </c>
      <c r="I318" s="12" t="s">
        <v>28</v>
      </c>
      <c r="J318" s="13" t="s">
        <v>3104</v>
      </c>
      <c r="K318" s="14" t="s">
        <v>3105</v>
      </c>
      <c r="L318" s="15">
        <v>1</v>
      </c>
      <c r="M318" s="15" t="s">
        <v>144</v>
      </c>
      <c r="N318" s="16">
        <v>45309</v>
      </c>
      <c r="O318" s="12" t="s">
        <v>3101</v>
      </c>
      <c r="P318" s="14" t="s">
        <v>3106</v>
      </c>
      <c r="Q318" s="17" t="s">
        <v>137</v>
      </c>
      <c r="R318" s="17" t="s">
        <v>146</v>
      </c>
    </row>
    <row r="319" spans="1:18" x14ac:dyDescent="0.3">
      <c r="A319" s="12" t="s">
        <v>3107</v>
      </c>
      <c r="B319" s="12" t="s">
        <v>12</v>
      </c>
      <c r="C319" s="12"/>
      <c r="D319" s="12" t="s">
        <v>12</v>
      </c>
      <c r="E319" s="12" t="s">
        <v>3108</v>
      </c>
      <c r="F319" s="12"/>
      <c r="G319" s="12" t="s">
        <v>3109</v>
      </c>
      <c r="H319" s="12" t="s">
        <v>60</v>
      </c>
      <c r="I319" s="12" t="s">
        <v>28</v>
      </c>
      <c r="J319" s="13" t="s">
        <v>3110</v>
      </c>
      <c r="K319" s="14" t="s">
        <v>3111</v>
      </c>
      <c r="L319" s="15">
        <v>5</v>
      </c>
      <c r="M319" s="15" t="s">
        <v>144</v>
      </c>
      <c r="N319" s="16">
        <v>45580</v>
      </c>
      <c r="O319" s="12" t="s">
        <v>3112</v>
      </c>
      <c r="P319" s="14" t="s">
        <v>3113</v>
      </c>
      <c r="Q319" s="17" t="s">
        <v>137</v>
      </c>
      <c r="R319" s="17" t="s">
        <v>146</v>
      </c>
    </row>
    <row r="320" spans="1:18" x14ac:dyDescent="0.3">
      <c r="A320" s="12" t="s">
        <v>2915</v>
      </c>
      <c r="B320" s="12" t="s">
        <v>12</v>
      </c>
      <c r="C320" s="12"/>
      <c r="D320" s="12" t="s">
        <v>12</v>
      </c>
      <c r="E320" s="12" t="s">
        <v>3123</v>
      </c>
      <c r="F320" s="12"/>
      <c r="G320" s="12" t="s">
        <v>3124</v>
      </c>
      <c r="H320" s="12" t="s">
        <v>60</v>
      </c>
      <c r="I320" s="12" t="s">
        <v>28</v>
      </c>
      <c r="J320" s="13" t="s">
        <v>3125</v>
      </c>
      <c r="K320" s="14" t="s">
        <v>3126</v>
      </c>
      <c r="L320" s="15">
        <v>0</v>
      </c>
      <c r="M320" s="15" t="s">
        <v>144</v>
      </c>
      <c r="N320" s="16">
        <v>45790</v>
      </c>
      <c r="O320" s="12" t="s">
        <v>2915</v>
      </c>
      <c r="P320" s="14" t="s">
        <v>3127</v>
      </c>
      <c r="Q320" s="17" t="s">
        <v>137</v>
      </c>
      <c r="R320" s="17" t="s">
        <v>146</v>
      </c>
    </row>
    <row r="321" spans="1:18" x14ac:dyDescent="0.3">
      <c r="A321" s="12" t="s">
        <v>3130</v>
      </c>
      <c r="B321" s="12" t="s">
        <v>12</v>
      </c>
      <c r="C321" s="12"/>
      <c r="D321" s="12" t="s">
        <v>12</v>
      </c>
      <c r="E321" s="12" t="s">
        <v>3131</v>
      </c>
      <c r="F321" s="12"/>
      <c r="G321" s="12" t="s">
        <v>3132</v>
      </c>
      <c r="H321" s="12" t="s">
        <v>93</v>
      </c>
      <c r="I321" s="12" t="s">
        <v>28</v>
      </c>
      <c r="J321" s="13" t="s">
        <v>3133</v>
      </c>
      <c r="K321" s="14" t="s">
        <v>3134</v>
      </c>
      <c r="L321" s="15">
        <v>1</v>
      </c>
      <c r="M321" s="15" t="s">
        <v>144</v>
      </c>
      <c r="N321" s="16">
        <v>44763</v>
      </c>
      <c r="O321" s="12" t="s">
        <v>3130</v>
      </c>
      <c r="P321" s="14" t="s">
        <v>3135</v>
      </c>
      <c r="Q321" s="17" t="s">
        <v>137</v>
      </c>
      <c r="R321" s="17" t="s">
        <v>146</v>
      </c>
    </row>
    <row r="322" spans="1:18" x14ac:dyDescent="0.3">
      <c r="A322" s="12" t="s">
        <v>3136</v>
      </c>
      <c r="B322" s="12" t="s">
        <v>12</v>
      </c>
      <c r="C322" s="12"/>
      <c r="D322" s="12" t="s">
        <v>12</v>
      </c>
      <c r="E322" s="12" t="s">
        <v>3137</v>
      </c>
      <c r="F322" s="12"/>
      <c r="G322" s="12" t="s">
        <v>3138</v>
      </c>
      <c r="H322" s="12" t="s">
        <v>94</v>
      </c>
      <c r="I322" s="12" t="s">
        <v>28</v>
      </c>
      <c r="J322" s="13" t="s">
        <v>3139</v>
      </c>
      <c r="K322" s="14" t="s">
        <v>3140</v>
      </c>
      <c r="L322" s="15">
        <v>1</v>
      </c>
      <c r="M322" s="15" t="s">
        <v>144</v>
      </c>
      <c r="N322" s="16">
        <v>46129</v>
      </c>
      <c r="O322" s="12" t="s">
        <v>3136</v>
      </c>
      <c r="P322" s="14" t="s">
        <v>3141</v>
      </c>
      <c r="Q322" s="17" t="s">
        <v>137</v>
      </c>
      <c r="R322" s="17" t="s">
        <v>146</v>
      </c>
    </row>
    <row r="323" spans="1:18" x14ac:dyDescent="0.3">
      <c r="A323" s="12" t="s">
        <v>3148</v>
      </c>
      <c r="B323" s="12" t="s">
        <v>12</v>
      </c>
      <c r="C323" s="12"/>
      <c r="D323" s="12" t="s">
        <v>12</v>
      </c>
      <c r="E323" s="12" t="s">
        <v>3149</v>
      </c>
      <c r="F323" s="12" t="s">
        <v>467</v>
      </c>
      <c r="G323" s="12" t="s">
        <v>3144</v>
      </c>
      <c r="H323" s="12" t="s">
        <v>54</v>
      </c>
      <c r="I323" s="12" t="s">
        <v>28</v>
      </c>
      <c r="J323" s="13" t="s">
        <v>3145</v>
      </c>
      <c r="K323" s="14" t="s">
        <v>3150</v>
      </c>
      <c r="L323" s="15">
        <v>0</v>
      </c>
      <c r="M323" s="15" t="s">
        <v>144</v>
      </c>
      <c r="N323" s="16">
        <v>46052</v>
      </c>
      <c r="O323" s="12" t="s">
        <v>3151</v>
      </c>
      <c r="P323" s="14" t="s">
        <v>3152</v>
      </c>
      <c r="Q323" s="17" t="s">
        <v>137</v>
      </c>
      <c r="R323" s="17" t="s">
        <v>146</v>
      </c>
    </row>
    <row r="324" spans="1:18" x14ac:dyDescent="0.3">
      <c r="A324" s="12" t="s">
        <v>3153</v>
      </c>
      <c r="B324" s="12" t="s">
        <v>12</v>
      </c>
      <c r="C324" s="12"/>
      <c r="D324" s="12" t="s">
        <v>12</v>
      </c>
      <c r="E324" s="12" t="s">
        <v>3154</v>
      </c>
      <c r="F324" s="12" t="s">
        <v>164</v>
      </c>
      <c r="G324" s="12" t="s">
        <v>3144</v>
      </c>
      <c r="H324" s="12" t="s">
        <v>54</v>
      </c>
      <c r="I324" s="12" t="s">
        <v>28</v>
      </c>
      <c r="J324" s="13" t="s">
        <v>3145</v>
      </c>
      <c r="K324" s="14" t="s">
        <v>3155</v>
      </c>
      <c r="L324" s="15">
        <v>0</v>
      </c>
      <c r="M324" s="15" t="s">
        <v>144</v>
      </c>
      <c r="N324" s="16">
        <v>44763</v>
      </c>
      <c r="O324" s="12" t="s">
        <v>3153</v>
      </c>
      <c r="P324" s="14" t="s">
        <v>3156</v>
      </c>
      <c r="Q324" s="17" t="s">
        <v>137</v>
      </c>
      <c r="R324" s="17" t="s">
        <v>146</v>
      </c>
    </row>
    <row r="325" spans="1:18" x14ac:dyDescent="0.3">
      <c r="A325" s="12" t="s">
        <v>3157</v>
      </c>
      <c r="B325" s="12" t="s">
        <v>12</v>
      </c>
      <c r="C325" s="12"/>
      <c r="D325" s="12" t="s">
        <v>12</v>
      </c>
      <c r="E325" s="12" t="s">
        <v>3158</v>
      </c>
      <c r="F325" s="12"/>
      <c r="G325" s="12" t="s">
        <v>3159</v>
      </c>
      <c r="H325" s="12" t="s">
        <v>54</v>
      </c>
      <c r="I325" s="12" t="s">
        <v>28</v>
      </c>
      <c r="J325" s="13" t="s">
        <v>3160</v>
      </c>
      <c r="K325" s="14" t="s">
        <v>3161</v>
      </c>
      <c r="L325" s="15">
        <v>4</v>
      </c>
      <c r="M325" s="15" t="s">
        <v>144</v>
      </c>
      <c r="N325" s="16">
        <v>45405</v>
      </c>
      <c r="O325" s="12" t="s">
        <v>3162</v>
      </c>
      <c r="P325" s="14" t="s">
        <v>3163</v>
      </c>
      <c r="Q325" s="17" t="s">
        <v>137</v>
      </c>
      <c r="R325" s="17" t="s">
        <v>146</v>
      </c>
    </row>
    <row r="326" spans="1:18" x14ac:dyDescent="0.3">
      <c r="A326" s="12" t="s">
        <v>3168</v>
      </c>
      <c r="B326" s="12" t="s">
        <v>12</v>
      </c>
      <c r="C326" s="12"/>
      <c r="D326" s="12" t="s">
        <v>12</v>
      </c>
      <c r="E326" s="12" t="s">
        <v>3169</v>
      </c>
      <c r="F326" s="12"/>
      <c r="G326" s="12" t="s">
        <v>3159</v>
      </c>
      <c r="H326" s="12" t="s">
        <v>54</v>
      </c>
      <c r="I326" s="12" t="s">
        <v>28</v>
      </c>
      <c r="J326" s="13" t="s">
        <v>3160</v>
      </c>
      <c r="K326" s="14" t="s">
        <v>3170</v>
      </c>
      <c r="L326" s="15">
        <v>1</v>
      </c>
      <c r="M326" s="15" t="s">
        <v>144</v>
      </c>
      <c r="N326" s="16">
        <v>45596</v>
      </c>
      <c r="O326" s="12" t="s">
        <v>3171</v>
      </c>
      <c r="P326" s="14" t="s">
        <v>3172</v>
      </c>
      <c r="Q326" s="17" t="s">
        <v>137</v>
      </c>
      <c r="R326" s="17" t="s">
        <v>146</v>
      </c>
    </row>
    <row r="327" spans="1:18" x14ac:dyDescent="0.3">
      <c r="A327" s="12" t="s">
        <v>3173</v>
      </c>
      <c r="B327" s="12" t="s">
        <v>12</v>
      </c>
      <c r="C327" s="12"/>
      <c r="D327" s="12" t="s">
        <v>12</v>
      </c>
      <c r="E327" s="12" t="s">
        <v>3174</v>
      </c>
      <c r="F327" s="12" t="s">
        <v>1542</v>
      </c>
      <c r="G327" s="12" t="s">
        <v>3175</v>
      </c>
      <c r="H327" s="12" t="s">
        <v>54</v>
      </c>
      <c r="I327" s="12" t="s">
        <v>28</v>
      </c>
      <c r="J327" s="13" t="s">
        <v>3176</v>
      </c>
      <c r="K327" s="14" t="s">
        <v>3177</v>
      </c>
      <c r="L327" s="15">
        <v>0</v>
      </c>
      <c r="M327" s="15" t="s">
        <v>144</v>
      </c>
      <c r="N327" s="16">
        <v>44656</v>
      </c>
      <c r="O327" s="12" t="s">
        <v>3173</v>
      </c>
      <c r="P327" s="14" t="s">
        <v>3178</v>
      </c>
      <c r="Q327" s="17" t="s">
        <v>137</v>
      </c>
      <c r="R327" s="17" t="s">
        <v>146</v>
      </c>
    </row>
    <row r="328" spans="1:18" x14ac:dyDescent="0.3">
      <c r="A328" s="12" t="s">
        <v>3192</v>
      </c>
      <c r="B328" s="12" t="s">
        <v>12</v>
      </c>
      <c r="C328" s="12"/>
      <c r="D328" s="12" t="s">
        <v>12</v>
      </c>
      <c r="E328" s="12" t="s">
        <v>3193</v>
      </c>
      <c r="F328" s="12"/>
      <c r="G328" s="12" t="s">
        <v>3187</v>
      </c>
      <c r="H328" s="12" t="s">
        <v>64</v>
      </c>
      <c r="I328" s="12" t="s">
        <v>28</v>
      </c>
      <c r="J328" s="13" t="s">
        <v>3188</v>
      </c>
      <c r="K328" s="14" t="s">
        <v>3194</v>
      </c>
      <c r="L328" s="15">
        <v>1</v>
      </c>
      <c r="M328" s="15" t="s">
        <v>144</v>
      </c>
      <c r="N328" s="16">
        <v>44810</v>
      </c>
      <c r="O328" s="12" t="s">
        <v>3192</v>
      </c>
      <c r="P328" s="14" t="s">
        <v>3195</v>
      </c>
      <c r="Q328" s="17" t="s">
        <v>137</v>
      </c>
      <c r="R328" s="17" t="s">
        <v>146</v>
      </c>
    </row>
    <row r="329" spans="1:18" x14ac:dyDescent="0.3">
      <c r="A329" s="12" t="s">
        <v>3196</v>
      </c>
      <c r="B329" s="12" t="s">
        <v>12</v>
      </c>
      <c r="C329" s="12"/>
      <c r="D329" s="12" t="s">
        <v>12</v>
      </c>
      <c r="E329" s="12" t="s">
        <v>3197</v>
      </c>
      <c r="F329" s="12"/>
      <c r="G329" s="12" t="s">
        <v>3187</v>
      </c>
      <c r="H329" s="12" t="s">
        <v>64</v>
      </c>
      <c r="I329" s="12" t="s">
        <v>28</v>
      </c>
      <c r="J329" s="13" t="s">
        <v>3188</v>
      </c>
      <c r="K329" s="14" t="s">
        <v>3198</v>
      </c>
      <c r="L329" s="15">
        <v>1</v>
      </c>
      <c r="M329" s="15" t="s">
        <v>144</v>
      </c>
      <c r="N329" s="16">
        <v>45518</v>
      </c>
      <c r="O329" s="12" t="s">
        <v>3196</v>
      </c>
      <c r="P329" s="14" t="s">
        <v>3199</v>
      </c>
      <c r="Q329" s="17" t="s">
        <v>137</v>
      </c>
      <c r="R329" s="17" t="s">
        <v>146</v>
      </c>
    </row>
    <row r="330" spans="1:18" x14ac:dyDescent="0.3">
      <c r="A330" s="12" t="s">
        <v>3200</v>
      </c>
      <c r="B330" s="12" t="s">
        <v>12</v>
      </c>
      <c r="C330" s="12"/>
      <c r="D330" s="12" t="s">
        <v>12</v>
      </c>
      <c r="E330" s="12" t="s">
        <v>3201</v>
      </c>
      <c r="F330" s="12"/>
      <c r="G330" s="12" t="s">
        <v>3187</v>
      </c>
      <c r="H330" s="12" t="s">
        <v>64</v>
      </c>
      <c r="I330" s="12" t="s">
        <v>28</v>
      </c>
      <c r="J330" s="13" t="s">
        <v>3188</v>
      </c>
      <c r="K330" s="14" t="s">
        <v>3202</v>
      </c>
      <c r="L330" s="15">
        <v>0</v>
      </c>
      <c r="M330" s="15" t="s">
        <v>144</v>
      </c>
      <c r="N330" s="16">
        <v>45127</v>
      </c>
      <c r="O330" s="12" t="s">
        <v>3200</v>
      </c>
      <c r="P330" s="14" t="s">
        <v>3203</v>
      </c>
      <c r="Q330" s="17" t="s">
        <v>137</v>
      </c>
      <c r="R330" s="17" t="s">
        <v>146</v>
      </c>
    </row>
    <row r="331" spans="1:18" x14ac:dyDescent="0.3">
      <c r="A331" s="12" t="s">
        <v>3200</v>
      </c>
      <c r="B331" s="12" t="s">
        <v>12</v>
      </c>
      <c r="C331" s="12"/>
      <c r="D331" s="12" t="s">
        <v>12</v>
      </c>
      <c r="E331" s="12" t="s">
        <v>3204</v>
      </c>
      <c r="F331" s="12"/>
      <c r="G331" s="12" t="s">
        <v>3187</v>
      </c>
      <c r="H331" s="12" t="s">
        <v>64</v>
      </c>
      <c r="I331" s="12" t="s">
        <v>28</v>
      </c>
      <c r="J331" s="13" t="s">
        <v>3188</v>
      </c>
      <c r="K331" s="14" t="s">
        <v>3205</v>
      </c>
      <c r="L331" s="15">
        <v>0</v>
      </c>
      <c r="M331" s="15" t="s">
        <v>144</v>
      </c>
      <c r="N331" s="16">
        <v>45127</v>
      </c>
      <c r="O331" s="12" t="s">
        <v>3200</v>
      </c>
      <c r="P331" s="14" t="s">
        <v>3203</v>
      </c>
      <c r="Q331" s="17" t="s">
        <v>137</v>
      </c>
      <c r="R331" s="17" t="s">
        <v>146</v>
      </c>
    </row>
    <row r="332" spans="1:18" x14ac:dyDescent="0.3">
      <c r="A332" s="12" t="s">
        <v>3206</v>
      </c>
      <c r="B332" s="12" t="s">
        <v>12</v>
      </c>
      <c r="C332" s="12"/>
      <c r="D332" s="12" t="s">
        <v>12</v>
      </c>
      <c r="E332" s="12" t="s">
        <v>3207</v>
      </c>
      <c r="F332" s="12"/>
      <c r="G332" s="12" t="s">
        <v>3208</v>
      </c>
      <c r="H332" s="12" t="s">
        <v>51</v>
      </c>
      <c r="I332" s="12" t="s">
        <v>28</v>
      </c>
      <c r="J332" s="13" t="s">
        <v>3209</v>
      </c>
      <c r="K332" s="14" t="s">
        <v>3210</v>
      </c>
      <c r="L332" s="15">
        <v>1</v>
      </c>
      <c r="M332" s="15" t="s">
        <v>144</v>
      </c>
      <c r="N332" s="16">
        <v>44972</v>
      </c>
      <c r="O332" s="12" t="s">
        <v>3206</v>
      </c>
      <c r="P332" s="14" t="s">
        <v>3211</v>
      </c>
      <c r="Q332" s="17" t="s">
        <v>137</v>
      </c>
      <c r="R332" s="17" t="s">
        <v>146</v>
      </c>
    </row>
    <row r="333" spans="1:18" x14ac:dyDescent="0.3">
      <c r="A333" s="12" t="s">
        <v>3212</v>
      </c>
      <c r="B333" s="12" t="s">
        <v>12</v>
      </c>
      <c r="C333" s="12"/>
      <c r="D333" s="12" t="s">
        <v>12</v>
      </c>
      <c r="E333" s="12" t="s">
        <v>3213</v>
      </c>
      <c r="F333" s="12" t="s">
        <v>366</v>
      </c>
      <c r="G333" s="12" t="s">
        <v>3214</v>
      </c>
      <c r="H333" s="12" t="s">
        <v>51</v>
      </c>
      <c r="I333" s="12" t="s">
        <v>28</v>
      </c>
      <c r="J333" s="13" t="s">
        <v>3215</v>
      </c>
      <c r="K333" s="14" t="s">
        <v>3216</v>
      </c>
      <c r="L333" s="15">
        <v>0</v>
      </c>
      <c r="M333" s="15" t="s">
        <v>144</v>
      </c>
      <c r="N333" s="16">
        <v>46028</v>
      </c>
      <c r="O333" s="12" t="s">
        <v>3212</v>
      </c>
      <c r="P333" s="14" t="s">
        <v>3217</v>
      </c>
      <c r="Q333" s="17" t="s">
        <v>137</v>
      </c>
      <c r="R333" s="17" t="s">
        <v>146</v>
      </c>
    </row>
    <row r="334" spans="1:18" x14ac:dyDescent="0.3">
      <c r="A334" s="12" t="s">
        <v>3218</v>
      </c>
      <c r="B334" s="12" t="s">
        <v>12</v>
      </c>
      <c r="C334" s="12"/>
      <c r="D334" s="12" t="s">
        <v>12</v>
      </c>
      <c r="E334" s="12" t="s">
        <v>3219</v>
      </c>
      <c r="F334" s="12" t="s">
        <v>3220</v>
      </c>
      <c r="G334" s="12" t="s">
        <v>3214</v>
      </c>
      <c r="H334" s="12" t="s">
        <v>51</v>
      </c>
      <c r="I334" s="12" t="s">
        <v>28</v>
      </c>
      <c r="J334" s="13" t="s">
        <v>3215</v>
      </c>
      <c r="K334" s="14" t="s">
        <v>3221</v>
      </c>
      <c r="L334" s="15">
        <v>0</v>
      </c>
      <c r="M334" s="15" t="s">
        <v>144</v>
      </c>
      <c r="N334" s="16">
        <v>44615</v>
      </c>
      <c r="O334" s="12" t="s">
        <v>3222</v>
      </c>
      <c r="P334" s="14" t="s">
        <v>3223</v>
      </c>
      <c r="Q334" s="17" t="s">
        <v>137</v>
      </c>
      <c r="R334" s="17" t="s">
        <v>146</v>
      </c>
    </row>
    <row r="335" spans="1:18" x14ac:dyDescent="0.3">
      <c r="A335" s="12" t="s">
        <v>3233</v>
      </c>
      <c r="B335" s="12" t="s">
        <v>12</v>
      </c>
      <c r="C335" s="12"/>
      <c r="D335" s="12" t="s">
        <v>12</v>
      </c>
      <c r="E335" s="12" t="s">
        <v>3234</v>
      </c>
      <c r="F335" s="12" t="s">
        <v>366</v>
      </c>
      <c r="G335" s="12" t="s">
        <v>3214</v>
      </c>
      <c r="H335" s="12" t="s">
        <v>51</v>
      </c>
      <c r="I335" s="12" t="s">
        <v>28</v>
      </c>
      <c r="J335" s="13" t="s">
        <v>3215</v>
      </c>
      <c r="K335" s="14" t="s">
        <v>3235</v>
      </c>
      <c r="L335" s="15">
        <v>2</v>
      </c>
      <c r="M335" s="15" t="s">
        <v>144</v>
      </c>
      <c r="N335" s="16">
        <v>45532</v>
      </c>
      <c r="O335" s="12" t="s">
        <v>3233</v>
      </c>
      <c r="P335" s="14" t="s">
        <v>3236</v>
      </c>
      <c r="Q335" s="17" t="s">
        <v>137</v>
      </c>
      <c r="R335" s="17" t="s">
        <v>146</v>
      </c>
    </row>
    <row r="336" spans="1:18" x14ac:dyDescent="0.3">
      <c r="A336" s="12" t="s">
        <v>3237</v>
      </c>
      <c r="B336" s="12" t="s">
        <v>12</v>
      </c>
      <c r="C336" s="12"/>
      <c r="D336" s="12" t="s">
        <v>12</v>
      </c>
      <c r="E336" s="12" t="s">
        <v>3238</v>
      </c>
      <c r="F336" s="12" t="s">
        <v>345</v>
      </c>
      <c r="G336" s="12" t="s">
        <v>3214</v>
      </c>
      <c r="H336" s="12" t="s">
        <v>51</v>
      </c>
      <c r="I336" s="12" t="s">
        <v>28</v>
      </c>
      <c r="J336" s="13" t="s">
        <v>3215</v>
      </c>
      <c r="K336" s="14" t="s">
        <v>3239</v>
      </c>
      <c r="L336" s="15">
        <v>1</v>
      </c>
      <c r="M336" s="15" t="s">
        <v>144</v>
      </c>
      <c r="N336" s="16">
        <v>45714</v>
      </c>
      <c r="O336" s="12" t="s">
        <v>3240</v>
      </c>
      <c r="P336" s="14" t="s">
        <v>3241</v>
      </c>
      <c r="Q336" s="17" t="s">
        <v>137</v>
      </c>
      <c r="R336" s="17" t="s">
        <v>146</v>
      </c>
    </row>
    <row r="337" spans="1:18" x14ac:dyDescent="0.3">
      <c r="A337" s="12" t="s">
        <v>3242</v>
      </c>
      <c r="B337" s="12" t="s">
        <v>12</v>
      </c>
      <c r="C337" s="12"/>
      <c r="D337" s="12" t="s">
        <v>12</v>
      </c>
      <c r="E337" s="12" t="s">
        <v>3238</v>
      </c>
      <c r="F337" s="12" t="s">
        <v>345</v>
      </c>
      <c r="G337" s="12" t="s">
        <v>3214</v>
      </c>
      <c r="H337" s="12" t="s">
        <v>51</v>
      </c>
      <c r="I337" s="12" t="s">
        <v>28</v>
      </c>
      <c r="J337" s="13" t="s">
        <v>3215</v>
      </c>
      <c r="K337" s="14" t="s">
        <v>3239</v>
      </c>
      <c r="L337" s="15">
        <v>1</v>
      </c>
      <c r="M337" s="15" t="s">
        <v>144</v>
      </c>
      <c r="N337" s="16">
        <v>46182</v>
      </c>
      <c r="O337" s="12" t="s">
        <v>3242</v>
      </c>
      <c r="P337" s="14" t="s">
        <v>3243</v>
      </c>
      <c r="Q337" s="17" t="s">
        <v>137</v>
      </c>
      <c r="R337" s="17" t="s">
        <v>146</v>
      </c>
    </row>
    <row r="338" spans="1:18" x14ac:dyDescent="0.3">
      <c r="A338" s="12" t="s">
        <v>3244</v>
      </c>
      <c r="B338" s="12" t="s">
        <v>12</v>
      </c>
      <c r="C338" s="12"/>
      <c r="D338" s="12" t="s">
        <v>12</v>
      </c>
      <c r="E338" s="12" t="s">
        <v>3245</v>
      </c>
      <c r="F338" s="12" t="s">
        <v>520</v>
      </c>
      <c r="G338" s="12" t="s">
        <v>3214</v>
      </c>
      <c r="H338" s="12" t="s">
        <v>51</v>
      </c>
      <c r="I338" s="12" t="s">
        <v>28</v>
      </c>
      <c r="J338" s="13" t="s">
        <v>3215</v>
      </c>
      <c r="K338" s="14" t="s">
        <v>3246</v>
      </c>
      <c r="L338" s="15">
        <v>2</v>
      </c>
      <c r="M338" s="15" t="s">
        <v>144</v>
      </c>
      <c r="N338" s="16">
        <v>44705</v>
      </c>
      <c r="O338" s="12" t="s">
        <v>3244</v>
      </c>
      <c r="P338" s="14" t="s">
        <v>3247</v>
      </c>
      <c r="Q338" s="17" t="s">
        <v>137</v>
      </c>
      <c r="R338" s="17" t="s">
        <v>146</v>
      </c>
    </row>
    <row r="339" spans="1:18" x14ac:dyDescent="0.3">
      <c r="A339" s="12" t="s">
        <v>3248</v>
      </c>
      <c r="B339" s="12" t="s">
        <v>12</v>
      </c>
      <c r="C339" s="12"/>
      <c r="D339" s="12" t="s">
        <v>12</v>
      </c>
      <c r="E339" s="12" t="s">
        <v>3249</v>
      </c>
      <c r="F339" s="12" t="s">
        <v>3250</v>
      </c>
      <c r="G339" s="12" t="s">
        <v>3214</v>
      </c>
      <c r="H339" s="12" t="s">
        <v>51</v>
      </c>
      <c r="I339" s="12" t="s">
        <v>28</v>
      </c>
      <c r="J339" s="13" t="s">
        <v>3215</v>
      </c>
      <c r="K339" s="14" t="s">
        <v>3251</v>
      </c>
      <c r="L339" s="15">
        <v>0</v>
      </c>
      <c r="M339" s="15" t="s">
        <v>144</v>
      </c>
      <c r="N339" s="16">
        <v>45145</v>
      </c>
      <c r="O339" s="12" t="s">
        <v>3248</v>
      </c>
      <c r="P339" s="14" t="s">
        <v>3252</v>
      </c>
      <c r="Q339" s="17" t="s">
        <v>137</v>
      </c>
      <c r="R339" s="17" t="s">
        <v>146</v>
      </c>
    </row>
    <row r="340" spans="1:18" x14ac:dyDescent="0.3">
      <c r="A340" s="12" t="s">
        <v>3294</v>
      </c>
      <c r="B340" s="12" t="s">
        <v>12</v>
      </c>
      <c r="C340" s="12" t="s">
        <v>14</v>
      </c>
      <c r="D340" s="12" t="s">
        <v>180</v>
      </c>
      <c r="E340" s="12" t="s">
        <v>3295</v>
      </c>
      <c r="F340" s="12"/>
      <c r="G340" s="12" t="s">
        <v>3269</v>
      </c>
      <c r="H340" s="12" t="s">
        <v>41</v>
      </c>
      <c r="I340" s="12" t="s">
        <v>28</v>
      </c>
      <c r="J340" s="13" t="s">
        <v>3296</v>
      </c>
      <c r="K340" s="14" t="s">
        <v>3297</v>
      </c>
      <c r="L340" s="15">
        <v>4</v>
      </c>
      <c r="M340" s="15" t="s">
        <v>144</v>
      </c>
      <c r="N340" s="16">
        <v>46238</v>
      </c>
      <c r="O340" s="12" t="s">
        <v>3294</v>
      </c>
      <c r="P340" s="14" t="s">
        <v>3298</v>
      </c>
      <c r="Q340" s="17" t="s">
        <v>137</v>
      </c>
      <c r="R340" s="17" t="s">
        <v>146</v>
      </c>
    </row>
    <row r="341" spans="1:18" x14ac:dyDescent="0.3">
      <c r="A341" s="12" t="s">
        <v>3299</v>
      </c>
      <c r="B341" s="12" t="s">
        <v>12</v>
      </c>
      <c r="C341" s="12"/>
      <c r="D341" s="12" t="s">
        <v>12</v>
      </c>
      <c r="E341" s="12" t="s">
        <v>3295</v>
      </c>
      <c r="F341" s="12"/>
      <c r="G341" s="12" t="s">
        <v>3269</v>
      </c>
      <c r="H341" s="12" t="s">
        <v>41</v>
      </c>
      <c r="I341" s="12" t="s">
        <v>28</v>
      </c>
      <c r="J341" s="13" t="s">
        <v>3296</v>
      </c>
      <c r="K341" s="14" t="s">
        <v>3300</v>
      </c>
      <c r="L341" s="15">
        <v>4</v>
      </c>
      <c r="M341" s="15" t="s">
        <v>144</v>
      </c>
      <c r="N341" s="16">
        <v>45015</v>
      </c>
      <c r="O341" s="12" t="s">
        <v>3299</v>
      </c>
      <c r="P341" s="14" t="s">
        <v>3301</v>
      </c>
      <c r="Q341" s="17" t="s">
        <v>137</v>
      </c>
      <c r="R341" s="17" t="s">
        <v>146</v>
      </c>
    </row>
    <row r="342" spans="1:18" x14ac:dyDescent="0.3">
      <c r="A342" s="12" t="s">
        <v>3307</v>
      </c>
      <c r="B342" s="12" t="s">
        <v>12</v>
      </c>
      <c r="C342" s="12"/>
      <c r="D342" s="12" t="s">
        <v>12</v>
      </c>
      <c r="E342" s="12" t="s">
        <v>3308</v>
      </c>
      <c r="F342" s="12"/>
      <c r="G342" s="12" t="s">
        <v>3269</v>
      </c>
      <c r="H342" s="12" t="s">
        <v>41</v>
      </c>
      <c r="I342" s="12" t="s">
        <v>28</v>
      </c>
      <c r="J342" s="13" t="s">
        <v>3309</v>
      </c>
      <c r="K342" s="14" t="s">
        <v>3310</v>
      </c>
      <c r="L342" s="15">
        <v>1</v>
      </c>
      <c r="M342" s="15" t="s">
        <v>144</v>
      </c>
      <c r="N342" s="16">
        <v>45463</v>
      </c>
      <c r="O342" s="12" t="s">
        <v>3307</v>
      </c>
      <c r="P342" s="14" t="s">
        <v>3311</v>
      </c>
      <c r="Q342" s="17" t="s">
        <v>137</v>
      </c>
      <c r="R342" s="17" t="s">
        <v>146</v>
      </c>
    </row>
    <row r="343" spans="1:18" x14ac:dyDescent="0.3">
      <c r="A343" s="12" t="s">
        <v>3312</v>
      </c>
      <c r="B343" s="12" t="s">
        <v>12</v>
      </c>
      <c r="C343" s="12"/>
      <c r="D343" s="12" t="s">
        <v>12</v>
      </c>
      <c r="E343" s="12" t="s">
        <v>3313</v>
      </c>
      <c r="F343" s="12"/>
      <c r="G343" s="12" t="s">
        <v>3269</v>
      </c>
      <c r="H343" s="12" t="s">
        <v>41</v>
      </c>
      <c r="I343" s="12" t="s">
        <v>28</v>
      </c>
      <c r="J343" s="13" t="s">
        <v>3314</v>
      </c>
      <c r="K343" s="14" t="s">
        <v>3315</v>
      </c>
      <c r="L343" s="15">
        <v>0</v>
      </c>
      <c r="M343" s="15" t="s">
        <v>144</v>
      </c>
      <c r="N343" s="16">
        <v>44648</v>
      </c>
      <c r="O343" s="12" t="s">
        <v>3312</v>
      </c>
      <c r="P343" s="14" t="s">
        <v>3316</v>
      </c>
      <c r="Q343" s="17" t="s">
        <v>137</v>
      </c>
      <c r="R343" s="17" t="s">
        <v>146</v>
      </c>
    </row>
    <row r="344" spans="1:18" x14ac:dyDescent="0.3">
      <c r="A344" s="12" t="s">
        <v>3312</v>
      </c>
      <c r="B344" s="12" t="s">
        <v>12</v>
      </c>
      <c r="C344" s="12"/>
      <c r="D344" s="12" t="s">
        <v>12</v>
      </c>
      <c r="E344" s="12" t="s">
        <v>3317</v>
      </c>
      <c r="F344" s="12"/>
      <c r="G344" s="12" t="s">
        <v>3269</v>
      </c>
      <c r="H344" s="12" t="s">
        <v>41</v>
      </c>
      <c r="I344" s="12" t="s">
        <v>28</v>
      </c>
      <c r="J344" s="13" t="s">
        <v>3314</v>
      </c>
      <c r="K344" s="14" t="s">
        <v>3315</v>
      </c>
      <c r="L344" s="15">
        <v>1</v>
      </c>
      <c r="M344" s="15" t="s">
        <v>144</v>
      </c>
      <c r="N344" s="16">
        <v>44648</v>
      </c>
      <c r="O344" s="12" t="s">
        <v>3312</v>
      </c>
      <c r="P344" s="14" t="s">
        <v>3316</v>
      </c>
      <c r="Q344" s="17" t="s">
        <v>137</v>
      </c>
      <c r="R344" s="17" t="s">
        <v>146</v>
      </c>
    </row>
    <row r="345" spans="1:18" x14ac:dyDescent="0.3">
      <c r="A345" s="12" t="s">
        <v>3323</v>
      </c>
      <c r="B345" s="12" t="s">
        <v>12</v>
      </c>
      <c r="C345" s="12"/>
      <c r="D345" s="12" t="s">
        <v>12</v>
      </c>
      <c r="E345" s="12" t="s">
        <v>3324</v>
      </c>
      <c r="F345" s="12"/>
      <c r="G345" s="12" t="s">
        <v>3269</v>
      </c>
      <c r="H345" s="12" t="s">
        <v>41</v>
      </c>
      <c r="I345" s="12" t="s">
        <v>28</v>
      </c>
      <c r="J345" s="13" t="s">
        <v>3288</v>
      </c>
      <c r="K345" s="14" t="s">
        <v>3325</v>
      </c>
      <c r="L345" s="15">
        <v>1</v>
      </c>
      <c r="M345" s="15" t="s">
        <v>144</v>
      </c>
      <c r="N345" s="16">
        <v>45056</v>
      </c>
      <c r="O345" s="12" t="s">
        <v>3326</v>
      </c>
      <c r="P345" s="14" t="s">
        <v>3327</v>
      </c>
      <c r="Q345" s="17" t="s">
        <v>137</v>
      </c>
      <c r="R345" s="17" t="s">
        <v>146</v>
      </c>
    </row>
    <row r="346" spans="1:18" x14ac:dyDescent="0.3">
      <c r="A346" s="12" t="s">
        <v>869</v>
      </c>
      <c r="B346" s="12" t="s">
        <v>12</v>
      </c>
      <c r="C346" s="12" t="s">
        <v>14</v>
      </c>
      <c r="D346" s="12" t="s">
        <v>180</v>
      </c>
      <c r="E346" s="12" t="s">
        <v>3328</v>
      </c>
      <c r="F346" s="12" t="s">
        <v>447</v>
      </c>
      <c r="G346" s="12" t="s">
        <v>3269</v>
      </c>
      <c r="H346" s="12" t="s">
        <v>41</v>
      </c>
      <c r="I346" s="12" t="s">
        <v>28</v>
      </c>
      <c r="J346" s="13" t="s">
        <v>3288</v>
      </c>
      <c r="K346" s="14" t="s">
        <v>3329</v>
      </c>
      <c r="L346" s="15">
        <v>4</v>
      </c>
      <c r="M346" s="15" t="s">
        <v>144</v>
      </c>
      <c r="N346" s="16">
        <v>46198</v>
      </c>
      <c r="O346" s="12" t="s">
        <v>869</v>
      </c>
      <c r="P346" s="14" t="s">
        <v>873</v>
      </c>
      <c r="Q346" s="17" t="s">
        <v>137</v>
      </c>
      <c r="R346" s="17" t="s">
        <v>146</v>
      </c>
    </row>
    <row r="347" spans="1:18" x14ac:dyDescent="0.3">
      <c r="A347" s="12" t="s">
        <v>3359</v>
      </c>
      <c r="B347" s="12" t="s">
        <v>12</v>
      </c>
      <c r="C347" s="12"/>
      <c r="D347" s="12" t="s">
        <v>12</v>
      </c>
      <c r="E347" s="12" t="s">
        <v>3360</v>
      </c>
      <c r="F347" s="12" t="s">
        <v>467</v>
      </c>
      <c r="G347" s="12" t="s">
        <v>3361</v>
      </c>
      <c r="H347" s="12" t="s">
        <v>41</v>
      </c>
      <c r="I347" s="12" t="s">
        <v>28</v>
      </c>
      <c r="J347" s="13" t="s">
        <v>3288</v>
      </c>
      <c r="K347" s="14" t="s">
        <v>3362</v>
      </c>
      <c r="L347" s="15">
        <v>1</v>
      </c>
      <c r="M347" s="15" t="s">
        <v>144</v>
      </c>
      <c r="N347" s="16">
        <v>45922</v>
      </c>
      <c r="O347" s="12" t="s">
        <v>3359</v>
      </c>
      <c r="P347" s="14" t="s">
        <v>3363</v>
      </c>
      <c r="Q347" s="17" t="s">
        <v>137</v>
      </c>
      <c r="R347" s="17" t="s">
        <v>146</v>
      </c>
    </row>
    <row r="348" spans="1:18" x14ac:dyDescent="0.3">
      <c r="A348" s="12" t="s">
        <v>3364</v>
      </c>
      <c r="B348" s="12" t="s">
        <v>12</v>
      </c>
      <c r="C348" s="12"/>
      <c r="D348" s="12" t="s">
        <v>12</v>
      </c>
      <c r="E348" s="12" t="s">
        <v>3365</v>
      </c>
      <c r="F348" s="12" t="s">
        <v>3366</v>
      </c>
      <c r="G348" s="12" t="s">
        <v>3361</v>
      </c>
      <c r="H348" s="12" t="s">
        <v>41</v>
      </c>
      <c r="I348" s="12" t="s">
        <v>28</v>
      </c>
      <c r="J348" s="13" t="s">
        <v>3288</v>
      </c>
      <c r="K348" s="14" t="s">
        <v>3367</v>
      </c>
      <c r="L348" s="15">
        <v>2</v>
      </c>
      <c r="M348" s="15" t="s">
        <v>144</v>
      </c>
      <c r="N348" s="16">
        <v>45021</v>
      </c>
      <c r="O348" s="12" t="s">
        <v>3364</v>
      </c>
      <c r="P348" s="14" t="s">
        <v>3368</v>
      </c>
      <c r="Q348" s="17" t="s">
        <v>137</v>
      </c>
      <c r="R348" s="17" t="s">
        <v>146</v>
      </c>
    </row>
    <row r="349" spans="1:18" x14ac:dyDescent="0.3">
      <c r="A349" s="12" t="s">
        <v>3387</v>
      </c>
      <c r="B349" s="12" t="s">
        <v>12</v>
      </c>
      <c r="C349" s="12"/>
      <c r="D349" s="12" t="s">
        <v>12</v>
      </c>
      <c r="E349" s="12" t="s">
        <v>3388</v>
      </c>
      <c r="F349" s="12"/>
      <c r="G349" s="12" t="s">
        <v>3389</v>
      </c>
      <c r="H349" s="12" t="s">
        <v>95</v>
      </c>
      <c r="I349" s="12" t="s">
        <v>29</v>
      </c>
      <c r="J349" s="13" t="s">
        <v>3390</v>
      </c>
      <c r="K349" s="14" t="s">
        <v>3391</v>
      </c>
      <c r="L349" s="15">
        <v>0</v>
      </c>
      <c r="M349" s="15" t="s">
        <v>144</v>
      </c>
      <c r="N349" s="16">
        <v>46141</v>
      </c>
      <c r="O349" s="12" t="s">
        <v>3387</v>
      </c>
      <c r="P349" s="14" t="s">
        <v>3392</v>
      </c>
      <c r="Q349" s="17" t="s">
        <v>137</v>
      </c>
      <c r="R349" s="17" t="s">
        <v>146</v>
      </c>
    </row>
    <row r="350" spans="1:18" x14ac:dyDescent="0.3">
      <c r="A350" s="12" t="s">
        <v>3399</v>
      </c>
      <c r="B350" s="12" t="s">
        <v>12</v>
      </c>
      <c r="C350" s="12" t="s">
        <v>14</v>
      </c>
      <c r="D350" s="12" t="s">
        <v>180</v>
      </c>
      <c r="E350" s="12" t="s">
        <v>3400</v>
      </c>
      <c r="F350" s="12"/>
      <c r="G350" s="12" t="s">
        <v>3401</v>
      </c>
      <c r="H350" s="12" t="s">
        <v>70</v>
      </c>
      <c r="I350" s="12" t="s">
        <v>29</v>
      </c>
      <c r="J350" s="13" t="s">
        <v>3402</v>
      </c>
      <c r="K350" s="14" t="s">
        <v>3403</v>
      </c>
      <c r="L350" s="15">
        <v>4</v>
      </c>
      <c r="M350" s="15" t="s">
        <v>144</v>
      </c>
      <c r="N350" s="16">
        <v>45911</v>
      </c>
      <c r="O350" s="12" t="s">
        <v>3044</v>
      </c>
      <c r="P350" s="14" t="s">
        <v>3404</v>
      </c>
      <c r="Q350" s="17" t="s">
        <v>137</v>
      </c>
      <c r="R350" s="17" t="s">
        <v>146</v>
      </c>
    </row>
    <row r="351" spans="1:18" x14ac:dyDescent="0.3">
      <c r="A351" s="12" t="s">
        <v>3413</v>
      </c>
      <c r="B351" s="12" t="s">
        <v>10</v>
      </c>
      <c r="C351" s="12" t="s">
        <v>12</v>
      </c>
      <c r="D351" s="12" t="s">
        <v>3414</v>
      </c>
      <c r="E351" s="12" t="s">
        <v>3415</v>
      </c>
      <c r="F351" s="12"/>
      <c r="G351" s="12" t="s">
        <v>3401</v>
      </c>
      <c r="H351" s="12" t="s">
        <v>70</v>
      </c>
      <c r="I351" s="12" t="s">
        <v>29</v>
      </c>
      <c r="J351" s="13" t="s">
        <v>3402</v>
      </c>
      <c r="K351" s="14" t="s">
        <v>3403</v>
      </c>
      <c r="L351" s="15">
        <v>2</v>
      </c>
      <c r="M351" s="15" t="s">
        <v>220</v>
      </c>
      <c r="N351" s="16">
        <v>46308</v>
      </c>
      <c r="O351" s="12" t="s">
        <v>3416</v>
      </c>
      <c r="P351" s="14" t="s">
        <v>3417</v>
      </c>
      <c r="Q351" s="17" t="s">
        <v>137</v>
      </c>
      <c r="R351" s="17" t="s">
        <v>146</v>
      </c>
    </row>
    <row r="352" spans="1:18" x14ac:dyDescent="0.3">
      <c r="A352" s="12" t="s">
        <v>3418</v>
      </c>
      <c r="B352" s="12" t="s">
        <v>12</v>
      </c>
      <c r="C352" s="12"/>
      <c r="D352" s="12" t="s">
        <v>12</v>
      </c>
      <c r="E352" s="12" t="s">
        <v>3419</v>
      </c>
      <c r="F352" s="12"/>
      <c r="G352" s="12" t="s">
        <v>3420</v>
      </c>
      <c r="H352" s="12" t="s">
        <v>59</v>
      </c>
      <c r="I352" s="12" t="s">
        <v>29</v>
      </c>
      <c r="J352" s="13" t="s">
        <v>3421</v>
      </c>
      <c r="K352" s="14" t="s">
        <v>3422</v>
      </c>
      <c r="L352" s="15">
        <v>2</v>
      </c>
      <c r="M352" s="15" t="s">
        <v>144</v>
      </c>
      <c r="N352" s="16">
        <v>45335</v>
      </c>
      <c r="O352" s="12" t="s">
        <v>3418</v>
      </c>
      <c r="P352" s="14" t="s">
        <v>3423</v>
      </c>
      <c r="Q352" s="17" t="s">
        <v>137</v>
      </c>
      <c r="R352" s="17" t="s">
        <v>146</v>
      </c>
    </row>
    <row r="353" spans="1:18" x14ac:dyDescent="0.3">
      <c r="A353" s="12" t="s">
        <v>3424</v>
      </c>
      <c r="B353" s="12" t="s">
        <v>12</v>
      </c>
      <c r="C353" s="12" t="s">
        <v>14</v>
      </c>
      <c r="D353" s="12" t="s">
        <v>180</v>
      </c>
      <c r="E353" s="12" t="s">
        <v>3425</v>
      </c>
      <c r="F353" s="12"/>
      <c r="G353" s="12" t="s">
        <v>3420</v>
      </c>
      <c r="H353" s="12" t="s">
        <v>59</v>
      </c>
      <c r="I353" s="12" t="s">
        <v>29</v>
      </c>
      <c r="J353" s="13" t="s">
        <v>3421</v>
      </c>
      <c r="K353" s="14" t="s">
        <v>3426</v>
      </c>
      <c r="L353" s="15">
        <v>3</v>
      </c>
      <c r="M353" s="15" t="s">
        <v>144</v>
      </c>
      <c r="N353" s="16">
        <v>46149</v>
      </c>
      <c r="O353" s="12" t="s">
        <v>3424</v>
      </c>
      <c r="P353" s="14" t="s">
        <v>3427</v>
      </c>
      <c r="Q353" s="17" t="s">
        <v>137</v>
      </c>
      <c r="R353" s="17" t="s">
        <v>146</v>
      </c>
    </row>
    <row r="354" spans="1:18" x14ac:dyDescent="0.3">
      <c r="A354" s="12" t="s">
        <v>3435</v>
      </c>
      <c r="B354" s="12" t="s">
        <v>12</v>
      </c>
      <c r="C354" s="12"/>
      <c r="D354" s="12" t="s">
        <v>12</v>
      </c>
      <c r="E354" s="12" t="s">
        <v>3436</v>
      </c>
      <c r="F354" s="12"/>
      <c r="G354" s="12" t="s">
        <v>3430</v>
      </c>
      <c r="H354" s="12" t="s">
        <v>59</v>
      </c>
      <c r="I354" s="12" t="s">
        <v>29</v>
      </c>
      <c r="J354" s="13" t="s">
        <v>3431</v>
      </c>
      <c r="K354" s="14" t="s">
        <v>3437</v>
      </c>
      <c r="L354" s="15">
        <v>0</v>
      </c>
      <c r="M354" s="15" t="s">
        <v>144</v>
      </c>
      <c r="N354" s="16">
        <v>46204</v>
      </c>
      <c r="O354" s="12" t="s">
        <v>3435</v>
      </c>
      <c r="P354" s="14" t="s">
        <v>3438</v>
      </c>
      <c r="Q354" s="17" t="s">
        <v>137</v>
      </c>
      <c r="R354" s="17" t="s">
        <v>146</v>
      </c>
    </row>
    <row r="355" spans="1:18" x14ac:dyDescent="0.3">
      <c r="A355" s="12" t="s">
        <v>3435</v>
      </c>
      <c r="B355" s="12" t="s">
        <v>12</v>
      </c>
      <c r="C355" s="12"/>
      <c r="D355" s="12" t="s">
        <v>12</v>
      </c>
      <c r="E355" s="12" t="s">
        <v>3439</v>
      </c>
      <c r="F355" s="12"/>
      <c r="G355" s="12" t="s">
        <v>3430</v>
      </c>
      <c r="H355" s="12" t="s">
        <v>59</v>
      </c>
      <c r="I355" s="12" t="s">
        <v>29</v>
      </c>
      <c r="J355" s="13" t="s">
        <v>3431</v>
      </c>
      <c r="K355" s="14" t="s">
        <v>3437</v>
      </c>
      <c r="L355" s="15">
        <v>0</v>
      </c>
      <c r="M355" s="15" t="s">
        <v>144</v>
      </c>
      <c r="N355" s="16">
        <v>46204</v>
      </c>
      <c r="O355" s="12" t="s">
        <v>3435</v>
      </c>
      <c r="P355" s="14" t="s">
        <v>3438</v>
      </c>
      <c r="Q355" s="17" t="s">
        <v>137</v>
      </c>
      <c r="R355" s="17" t="s">
        <v>146</v>
      </c>
    </row>
    <row r="356" spans="1:18" x14ac:dyDescent="0.3">
      <c r="A356" s="12" t="s">
        <v>3449</v>
      </c>
      <c r="B356" s="12" t="s">
        <v>12</v>
      </c>
      <c r="C356" s="12"/>
      <c r="D356" s="12" t="s">
        <v>12</v>
      </c>
      <c r="E356" s="12" t="s">
        <v>3450</v>
      </c>
      <c r="F356" s="12"/>
      <c r="G356" s="12" t="s">
        <v>87</v>
      </c>
      <c r="H356" s="12" t="s">
        <v>87</v>
      </c>
      <c r="I356" s="12" t="s">
        <v>29</v>
      </c>
      <c r="J356" s="13" t="s">
        <v>3451</v>
      </c>
      <c r="K356" s="14" t="s">
        <v>3452</v>
      </c>
      <c r="L356" s="15">
        <v>1</v>
      </c>
      <c r="M356" s="15" t="s">
        <v>144</v>
      </c>
      <c r="N356" s="16">
        <v>46286</v>
      </c>
      <c r="O356" s="12" t="s">
        <v>3453</v>
      </c>
      <c r="P356" s="14" t="s">
        <v>3454</v>
      </c>
      <c r="Q356" s="17" t="s">
        <v>137</v>
      </c>
      <c r="R356" s="17" t="s">
        <v>146</v>
      </c>
    </row>
    <row r="357" spans="1:18" x14ac:dyDescent="0.3">
      <c r="A357" s="12" t="s">
        <v>3468</v>
      </c>
      <c r="B357" s="12" t="s">
        <v>12</v>
      </c>
      <c r="C357" s="12"/>
      <c r="D357" s="12" t="s">
        <v>12</v>
      </c>
      <c r="E357" s="12" t="s">
        <v>3469</v>
      </c>
      <c r="F357" s="12"/>
      <c r="G357" s="12" t="s">
        <v>3464</v>
      </c>
      <c r="H357" s="12" t="s">
        <v>53</v>
      </c>
      <c r="I357" s="12" t="s">
        <v>30</v>
      </c>
      <c r="J357" s="13" t="s">
        <v>3465</v>
      </c>
      <c r="K357" s="14" t="s">
        <v>3470</v>
      </c>
      <c r="L357" s="15">
        <v>1</v>
      </c>
      <c r="M357" s="15" t="s">
        <v>144</v>
      </c>
      <c r="N357" s="16">
        <v>45002</v>
      </c>
      <c r="O357" s="12" t="s">
        <v>3468</v>
      </c>
      <c r="P357" s="14" t="s">
        <v>3471</v>
      </c>
      <c r="Q357" s="17" t="s">
        <v>137</v>
      </c>
      <c r="R357" s="17" t="s">
        <v>146</v>
      </c>
    </row>
    <row r="358" spans="1:18" x14ac:dyDescent="0.3">
      <c r="A358" s="12" t="s">
        <v>3472</v>
      </c>
      <c r="B358" s="12" t="s">
        <v>12</v>
      </c>
      <c r="C358" s="12"/>
      <c r="D358" s="12" t="s">
        <v>12</v>
      </c>
      <c r="E358" s="12" t="s">
        <v>3473</v>
      </c>
      <c r="F358" s="12"/>
      <c r="G358" s="12" t="s">
        <v>3474</v>
      </c>
      <c r="H358" s="12" t="s">
        <v>53</v>
      </c>
      <c r="I358" s="12" t="s">
        <v>30</v>
      </c>
      <c r="J358" s="13" t="s">
        <v>3475</v>
      </c>
      <c r="K358" s="14" t="s">
        <v>3476</v>
      </c>
      <c r="L358" s="15">
        <v>1</v>
      </c>
      <c r="M358" s="15" t="s">
        <v>144</v>
      </c>
      <c r="N358" s="16">
        <v>46231</v>
      </c>
      <c r="O358" s="12" t="s">
        <v>3472</v>
      </c>
      <c r="P358" s="14" t="s">
        <v>3477</v>
      </c>
      <c r="Q358" s="17" t="s">
        <v>137</v>
      </c>
      <c r="R358" s="17" t="s">
        <v>146</v>
      </c>
    </row>
    <row r="359" spans="1:18" x14ac:dyDescent="0.3">
      <c r="A359" s="12" t="s">
        <v>3483</v>
      </c>
      <c r="B359" s="12" t="s">
        <v>12</v>
      </c>
      <c r="C359" s="12" t="s">
        <v>14</v>
      </c>
      <c r="D359" s="12" t="s">
        <v>180</v>
      </c>
      <c r="E359" s="12" t="s">
        <v>3484</v>
      </c>
      <c r="F359" s="12" t="s">
        <v>3485</v>
      </c>
      <c r="G359" s="12" t="s">
        <v>3474</v>
      </c>
      <c r="H359" s="12" t="s">
        <v>53</v>
      </c>
      <c r="I359" s="12" t="s">
        <v>30</v>
      </c>
      <c r="J359" s="13" t="s">
        <v>3475</v>
      </c>
      <c r="K359" s="14" t="s">
        <v>3486</v>
      </c>
      <c r="L359" s="15">
        <v>4</v>
      </c>
      <c r="M359" s="15" t="s">
        <v>144</v>
      </c>
      <c r="N359" s="16">
        <v>46092</v>
      </c>
      <c r="O359" s="12" t="s">
        <v>3487</v>
      </c>
      <c r="P359" s="14" t="s">
        <v>3488</v>
      </c>
      <c r="Q359" s="17" t="s">
        <v>137</v>
      </c>
      <c r="R359" s="17" t="s">
        <v>146</v>
      </c>
    </row>
    <row r="360" spans="1:18" x14ac:dyDescent="0.3">
      <c r="A360" s="12" t="s">
        <v>3489</v>
      </c>
      <c r="B360" s="12" t="s">
        <v>12</v>
      </c>
      <c r="C360" s="12"/>
      <c r="D360" s="12" t="s">
        <v>12</v>
      </c>
      <c r="E360" s="12" t="s">
        <v>3473</v>
      </c>
      <c r="F360" s="12"/>
      <c r="G360" s="12" t="s">
        <v>3474</v>
      </c>
      <c r="H360" s="12" t="s">
        <v>53</v>
      </c>
      <c r="I360" s="12" t="s">
        <v>30</v>
      </c>
      <c r="J360" s="13" t="s">
        <v>3475</v>
      </c>
      <c r="K360" s="14" t="s">
        <v>3490</v>
      </c>
      <c r="L360" s="15">
        <v>1</v>
      </c>
      <c r="M360" s="15" t="s">
        <v>144</v>
      </c>
      <c r="N360" s="16">
        <v>45966</v>
      </c>
      <c r="O360" s="12" t="s">
        <v>3489</v>
      </c>
      <c r="P360" s="14" t="s">
        <v>3491</v>
      </c>
      <c r="Q360" s="17" t="s">
        <v>137</v>
      </c>
      <c r="R360" s="17" t="s">
        <v>146</v>
      </c>
    </row>
    <row r="361" spans="1:18" x14ac:dyDescent="0.3">
      <c r="A361" s="12" t="s">
        <v>3503</v>
      </c>
      <c r="B361" s="12" t="s">
        <v>12</v>
      </c>
      <c r="C361" s="12"/>
      <c r="D361" s="12" t="s">
        <v>12</v>
      </c>
      <c r="E361" s="12" t="s">
        <v>3504</v>
      </c>
      <c r="F361" s="12" t="s">
        <v>1698</v>
      </c>
      <c r="G361" s="12" t="s">
        <v>3505</v>
      </c>
      <c r="H361" s="12" t="s">
        <v>45</v>
      </c>
      <c r="I361" s="12" t="s">
        <v>30</v>
      </c>
      <c r="J361" s="13" t="s">
        <v>2944</v>
      </c>
      <c r="K361" s="14" t="s">
        <v>3506</v>
      </c>
      <c r="L361" s="15">
        <v>3</v>
      </c>
      <c r="M361" s="15" t="s">
        <v>144</v>
      </c>
      <c r="N361" s="16">
        <v>45796</v>
      </c>
      <c r="O361" s="12" t="s">
        <v>3503</v>
      </c>
      <c r="P361" s="14" t="s">
        <v>3507</v>
      </c>
      <c r="Q361" s="17" t="s">
        <v>137</v>
      </c>
      <c r="R361" s="17" t="s">
        <v>146</v>
      </c>
    </row>
    <row r="362" spans="1:18" x14ac:dyDescent="0.3">
      <c r="A362" s="12" t="s">
        <v>3529</v>
      </c>
      <c r="B362" s="12" t="s">
        <v>12</v>
      </c>
      <c r="C362" s="12"/>
      <c r="D362" s="12" t="s">
        <v>12</v>
      </c>
      <c r="E362" s="12" t="s">
        <v>3530</v>
      </c>
      <c r="F362" s="12" t="s">
        <v>164</v>
      </c>
      <c r="G362" s="12" t="s">
        <v>3505</v>
      </c>
      <c r="H362" s="12" t="s">
        <v>45</v>
      </c>
      <c r="I362" s="12" t="s">
        <v>30</v>
      </c>
      <c r="J362" s="13" t="s">
        <v>2944</v>
      </c>
      <c r="K362" s="14" t="s">
        <v>3531</v>
      </c>
      <c r="L362" s="15">
        <v>1</v>
      </c>
      <c r="M362" s="15" t="s">
        <v>144</v>
      </c>
      <c r="N362" s="16">
        <v>44581</v>
      </c>
      <c r="O362" s="12" t="s">
        <v>3529</v>
      </c>
      <c r="P362" s="14" t="s">
        <v>3532</v>
      </c>
      <c r="Q362" s="17" t="s">
        <v>137</v>
      </c>
      <c r="R362" s="17" t="s">
        <v>146</v>
      </c>
    </row>
    <row r="363" spans="1:18" x14ac:dyDescent="0.3">
      <c r="A363" s="12" t="s">
        <v>3533</v>
      </c>
      <c r="B363" s="12" t="s">
        <v>12</v>
      </c>
      <c r="C363" s="12"/>
      <c r="D363" s="12" t="s">
        <v>12</v>
      </c>
      <c r="E363" s="12" t="s">
        <v>3534</v>
      </c>
      <c r="F363" s="12" t="s">
        <v>188</v>
      </c>
      <c r="G363" s="12" t="s">
        <v>3505</v>
      </c>
      <c r="H363" s="12" t="s">
        <v>45</v>
      </c>
      <c r="I363" s="12" t="s">
        <v>30</v>
      </c>
      <c r="J363" s="13" t="s">
        <v>2944</v>
      </c>
      <c r="K363" s="14" t="s">
        <v>3535</v>
      </c>
      <c r="L363" s="15">
        <v>0</v>
      </c>
      <c r="M363" s="15" t="s">
        <v>144</v>
      </c>
      <c r="N363" s="16">
        <v>44763</v>
      </c>
      <c r="O363" s="12" t="s">
        <v>3536</v>
      </c>
      <c r="P363" s="14" t="s">
        <v>3537</v>
      </c>
      <c r="Q363" s="17" t="s">
        <v>137</v>
      </c>
      <c r="R363" s="17" t="s">
        <v>146</v>
      </c>
    </row>
    <row r="364" spans="1:18" x14ac:dyDescent="0.3">
      <c r="A364" s="12" t="s">
        <v>3553</v>
      </c>
      <c r="B364" s="12" t="s">
        <v>12</v>
      </c>
      <c r="C364" s="12"/>
      <c r="D364" s="12" t="s">
        <v>12</v>
      </c>
      <c r="E364" s="12" t="s">
        <v>3554</v>
      </c>
      <c r="F364" s="12" t="s">
        <v>3555</v>
      </c>
      <c r="G364" s="12" t="s">
        <v>3505</v>
      </c>
      <c r="H364" s="12" t="s">
        <v>45</v>
      </c>
      <c r="I364" s="12" t="s">
        <v>30</v>
      </c>
      <c r="J364" s="13" t="s">
        <v>2944</v>
      </c>
      <c r="K364" s="14" t="s">
        <v>3556</v>
      </c>
      <c r="L364" s="15">
        <v>1</v>
      </c>
      <c r="M364" s="15" t="s">
        <v>144</v>
      </c>
      <c r="N364" s="16">
        <v>45335</v>
      </c>
      <c r="O364" s="12" t="s">
        <v>3553</v>
      </c>
      <c r="P364" s="14" t="s">
        <v>3557</v>
      </c>
      <c r="Q364" s="17" t="s">
        <v>137</v>
      </c>
      <c r="R364" s="17" t="s">
        <v>146</v>
      </c>
    </row>
    <row r="365" spans="1:18" x14ac:dyDescent="0.3">
      <c r="A365" s="12" t="s">
        <v>3568</v>
      </c>
      <c r="B365" s="12" t="s">
        <v>12</v>
      </c>
      <c r="C365" s="12"/>
      <c r="D365" s="12" t="s">
        <v>12</v>
      </c>
      <c r="E365" s="12" t="s">
        <v>3569</v>
      </c>
      <c r="F365" s="12" t="s">
        <v>188</v>
      </c>
      <c r="G365" s="12" t="s">
        <v>3505</v>
      </c>
      <c r="H365" s="12" t="s">
        <v>45</v>
      </c>
      <c r="I365" s="12" t="s">
        <v>30</v>
      </c>
      <c r="J365" s="13" t="s">
        <v>2944</v>
      </c>
      <c r="K365" s="14" t="s">
        <v>3535</v>
      </c>
      <c r="L365" s="15">
        <v>0</v>
      </c>
      <c r="M365" s="15" t="s">
        <v>144</v>
      </c>
      <c r="N365" s="16">
        <v>44763</v>
      </c>
      <c r="O365" s="12" t="s">
        <v>3568</v>
      </c>
      <c r="P365" s="14" t="s">
        <v>3570</v>
      </c>
      <c r="Q365" s="17" t="s">
        <v>137</v>
      </c>
      <c r="R365" s="17" t="s">
        <v>146</v>
      </c>
    </row>
    <row r="366" spans="1:18" x14ac:dyDescent="0.3">
      <c r="A366" s="12" t="s">
        <v>3571</v>
      </c>
      <c r="B366" s="12" t="s">
        <v>12</v>
      </c>
      <c r="C366" s="12"/>
      <c r="D366" s="12" t="s">
        <v>12</v>
      </c>
      <c r="E366" s="12" t="s">
        <v>3572</v>
      </c>
      <c r="F366" s="12"/>
      <c r="G366" s="12" t="s">
        <v>3573</v>
      </c>
      <c r="H366" s="12" t="s">
        <v>45</v>
      </c>
      <c r="I366" s="12" t="s">
        <v>30</v>
      </c>
      <c r="J366" s="13" t="s">
        <v>3574</v>
      </c>
      <c r="K366" s="14" t="s">
        <v>3575</v>
      </c>
      <c r="L366" s="15">
        <v>0</v>
      </c>
      <c r="M366" s="15" t="s">
        <v>144</v>
      </c>
      <c r="N366" s="16">
        <v>45526</v>
      </c>
      <c r="O366" s="12" t="s">
        <v>3571</v>
      </c>
      <c r="P366" s="14" t="s">
        <v>3576</v>
      </c>
      <c r="Q366" s="17" t="s">
        <v>137</v>
      </c>
      <c r="R366" s="17" t="s">
        <v>146</v>
      </c>
    </row>
    <row r="367" spans="1:18" x14ac:dyDescent="0.3">
      <c r="A367" s="12" t="s">
        <v>3584</v>
      </c>
      <c r="B367" s="12" t="s">
        <v>12</v>
      </c>
      <c r="C367" s="12"/>
      <c r="D367" s="12" t="s">
        <v>12</v>
      </c>
      <c r="E367" s="12" t="s">
        <v>3585</v>
      </c>
      <c r="F367" s="12"/>
      <c r="G367" s="12" t="s">
        <v>3586</v>
      </c>
      <c r="H367" s="12" t="s">
        <v>48</v>
      </c>
      <c r="I367" s="12" t="s">
        <v>30</v>
      </c>
      <c r="J367" s="13" t="s">
        <v>3587</v>
      </c>
      <c r="K367" s="14" t="s">
        <v>3588</v>
      </c>
      <c r="L367" s="15">
        <v>1</v>
      </c>
      <c r="M367" s="15" t="s">
        <v>144</v>
      </c>
      <c r="N367" s="16">
        <v>44802</v>
      </c>
      <c r="O367" s="12" t="s">
        <v>3584</v>
      </c>
      <c r="P367" s="14" t="s">
        <v>3589</v>
      </c>
      <c r="Q367" s="17" t="s">
        <v>137</v>
      </c>
      <c r="R367" s="17" t="s">
        <v>146</v>
      </c>
    </row>
    <row r="368" spans="1:18" x14ac:dyDescent="0.3">
      <c r="A368" s="12" t="s">
        <v>3590</v>
      </c>
      <c r="B368" s="12" t="s">
        <v>12</v>
      </c>
      <c r="C368" s="12"/>
      <c r="D368" s="12" t="s">
        <v>12</v>
      </c>
      <c r="E368" s="12" t="s">
        <v>3591</v>
      </c>
      <c r="F368" s="12"/>
      <c r="G368" s="12" t="s">
        <v>3586</v>
      </c>
      <c r="H368" s="12" t="s">
        <v>48</v>
      </c>
      <c r="I368" s="12" t="s">
        <v>30</v>
      </c>
      <c r="J368" s="13" t="s">
        <v>3587</v>
      </c>
      <c r="K368" s="14" t="s">
        <v>3592</v>
      </c>
      <c r="L368" s="15">
        <v>0</v>
      </c>
      <c r="M368" s="15" t="s">
        <v>144</v>
      </c>
      <c r="N368" s="16">
        <v>44614</v>
      </c>
      <c r="O368" s="12" t="s">
        <v>3593</v>
      </c>
      <c r="P368" s="14" t="s">
        <v>3594</v>
      </c>
      <c r="Q368" s="17" t="s">
        <v>137</v>
      </c>
      <c r="R368" s="17" t="s">
        <v>146</v>
      </c>
    </row>
    <row r="369" spans="1:18" x14ac:dyDescent="0.3">
      <c r="A369" s="12" t="s">
        <v>3596</v>
      </c>
      <c r="B369" s="12" t="s">
        <v>12</v>
      </c>
      <c r="C369" s="12"/>
      <c r="D369" s="12" t="s">
        <v>12</v>
      </c>
      <c r="E369" s="12" t="s">
        <v>3585</v>
      </c>
      <c r="F369" s="12"/>
      <c r="G369" s="12" t="s">
        <v>3586</v>
      </c>
      <c r="H369" s="12" t="s">
        <v>48</v>
      </c>
      <c r="I369" s="12" t="s">
        <v>30</v>
      </c>
      <c r="J369" s="13" t="s">
        <v>3587</v>
      </c>
      <c r="K369" s="14" t="s">
        <v>3588</v>
      </c>
      <c r="L369" s="15">
        <v>1</v>
      </c>
      <c r="M369" s="15" t="s">
        <v>144</v>
      </c>
      <c r="N369" s="16">
        <v>46210</v>
      </c>
      <c r="O369" s="12" t="s">
        <v>3596</v>
      </c>
      <c r="P369" s="14" t="s">
        <v>3597</v>
      </c>
      <c r="Q369" s="17" t="s">
        <v>137</v>
      </c>
      <c r="R369" s="17" t="s">
        <v>146</v>
      </c>
    </row>
    <row r="370" spans="1:18" x14ac:dyDescent="0.3">
      <c r="A370" s="12" t="s">
        <v>3598</v>
      </c>
      <c r="B370" s="12" t="s">
        <v>12</v>
      </c>
      <c r="C370" s="12"/>
      <c r="D370" s="12" t="s">
        <v>12</v>
      </c>
      <c r="E370" s="12" t="s">
        <v>3599</v>
      </c>
      <c r="F370" s="12"/>
      <c r="G370" s="12" t="s">
        <v>3586</v>
      </c>
      <c r="H370" s="12" t="s">
        <v>48</v>
      </c>
      <c r="I370" s="12" t="s">
        <v>30</v>
      </c>
      <c r="J370" s="13" t="s">
        <v>3587</v>
      </c>
      <c r="K370" s="14" t="s">
        <v>3600</v>
      </c>
      <c r="L370" s="15">
        <v>1</v>
      </c>
      <c r="M370" s="15" t="s">
        <v>144</v>
      </c>
      <c r="N370" s="16">
        <v>46218</v>
      </c>
      <c r="O370" s="12" t="s">
        <v>3598</v>
      </c>
      <c r="P370" s="14" t="s">
        <v>3601</v>
      </c>
      <c r="Q370" s="17" t="s">
        <v>137</v>
      </c>
      <c r="R370" s="17" t="s">
        <v>146</v>
      </c>
    </row>
    <row r="371" spans="1:18" x14ac:dyDescent="0.3">
      <c r="A371" s="12" t="s">
        <v>3608</v>
      </c>
      <c r="B371" s="12" t="s">
        <v>12</v>
      </c>
      <c r="C371" s="12"/>
      <c r="D371" s="12" t="s">
        <v>12</v>
      </c>
      <c r="E371" s="12" t="s">
        <v>3609</v>
      </c>
      <c r="F371" s="12"/>
      <c r="G371" s="12" t="s">
        <v>3586</v>
      </c>
      <c r="H371" s="12" t="s">
        <v>48</v>
      </c>
      <c r="I371" s="12" t="s">
        <v>30</v>
      </c>
      <c r="J371" s="13" t="s">
        <v>3587</v>
      </c>
      <c r="K371" s="14" t="s">
        <v>3610</v>
      </c>
      <c r="L371" s="15">
        <v>1</v>
      </c>
      <c r="M371" s="15" t="s">
        <v>144</v>
      </c>
      <c r="N371" s="16">
        <v>45699</v>
      </c>
      <c r="O371" s="12" t="s">
        <v>3608</v>
      </c>
      <c r="P371" s="14" t="s">
        <v>3611</v>
      </c>
      <c r="Q371" s="17" t="s">
        <v>137</v>
      </c>
      <c r="R371" s="17" t="s">
        <v>146</v>
      </c>
    </row>
    <row r="372" spans="1:18" x14ac:dyDescent="0.3">
      <c r="A372" s="12" t="s">
        <v>3529</v>
      </c>
      <c r="B372" s="12" t="s">
        <v>12</v>
      </c>
      <c r="C372" s="12"/>
      <c r="D372" s="12" t="s">
        <v>12</v>
      </c>
      <c r="E372" s="12" t="s">
        <v>3627</v>
      </c>
      <c r="F372" s="12"/>
      <c r="G372" s="12" t="s">
        <v>3628</v>
      </c>
      <c r="H372" s="12" t="s">
        <v>100</v>
      </c>
      <c r="I372" s="12" t="s">
        <v>30</v>
      </c>
      <c r="J372" s="13" t="s">
        <v>3629</v>
      </c>
      <c r="K372" s="14" t="s">
        <v>3630</v>
      </c>
      <c r="L372" s="15">
        <v>3</v>
      </c>
      <c r="M372" s="15" t="s">
        <v>144</v>
      </c>
      <c r="N372" s="16">
        <v>44581</v>
      </c>
      <c r="O372" s="12" t="s">
        <v>3529</v>
      </c>
      <c r="P372" s="14" t="s">
        <v>3532</v>
      </c>
      <c r="Q372" s="17" t="s">
        <v>137</v>
      </c>
      <c r="R372" s="17" t="s">
        <v>146</v>
      </c>
    </row>
    <row r="373" spans="1:18" x14ac:dyDescent="0.3">
      <c r="A373" s="12" t="s">
        <v>3631</v>
      </c>
      <c r="B373" s="12" t="s">
        <v>12</v>
      </c>
      <c r="C373" s="12"/>
      <c r="D373" s="12" t="s">
        <v>12</v>
      </c>
      <c r="E373" s="12" t="s">
        <v>3632</v>
      </c>
      <c r="F373" s="12"/>
      <c r="G373" s="12" t="s">
        <v>3633</v>
      </c>
      <c r="H373" s="12" t="s">
        <v>88</v>
      </c>
      <c r="I373" s="12" t="s">
        <v>30</v>
      </c>
      <c r="J373" s="13" t="s">
        <v>3634</v>
      </c>
      <c r="K373" s="14" t="s">
        <v>3635</v>
      </c>
      <c r="L373" s="15">
        <v>2</v>
      </c>
      <c r="M373" s="15" t="s">
        <v>144</v>
      </c>
      <c r="N373" s="16">
        <v>44938</v>
      </c>
      <c r="O373" s="12" t="s">
        <v>3636</v>
      </c>
      <c r="P373" s="14" t="s">
        <v>3637</v>
      </c>
      <c r="Q373" s="17" t="s">
        <v>137</v>
      </c>
      <c r="R373" s="17" t="s">
        <v>146</v>
      </c>
    </row>
    <row r="374" spans="1:18" x14ac:dyDescent="0.3">
      <c r="A374" s="12" t="s">
        <v>3638</v>
      </c>
      <c r="B374" s="12" t="s">
        <v>12</v>
      </c>
      <c r="C374" s="12"/>
      <c r="D374" s="12" t="s">
        <v>12</v>
      </c>
      <c r="E374" s="12" t="s">
        <v>3632</v>
      </c>
      <c r="F374" s="12"/>
      <c r="G374" s="12" t="s">
        <v>3633</v>
      </c>
      <c r="H374" s="12" t="s">
        <v>88</v>
      </c>
      <c r="I374" s="12" t="s">
        <v>30</v>
      </c>
      <c r="J374" s="13" t="s">
        <v>3634</v>
      </c>
      <c r="K374" s="14" t="s">
        <v>3635</v>
      </c>
      <c r="L374" s="15">
        <v>2</v>
      </c>
      <c r="M374" s="15" t="s">
        <v>144</v>
      </c>
      <c r="N374" s="16">
        <v>46136</v>
      </c>
      <c r="O374" s="12" t="s">
        <v>3639</v>
      </c>
      <c r="P374" s="14" t="s">
        <v>3640</v>
      </c>
      <c r="Q374" s="17" t="s">
        <v>137</v>
      </c>
      <c r="R374" s="17" t="s">
        <v>146</v>
      </c>
    </row>
    <row r="375" spans="1:18" x14ac:dyDescent="0.3">
      <c r="A375" s="12" t="s">
        <v>3641</v>
      </c>
      <c r="B375" s="12" t="s">
        <v>12</v>
      </c>
      <c r="C375" s="12"/>
      <c r="D375" s="12" t="s">
        <v>12</v>
      </c>
      <c r="E375" s="12" t="s">
        <v>3642</v>
      </c>
      <c r="F375" s="12"/>
      <c r="G375" s="12" t="s">
        <v>3643</v>
      </c>
      <c r="H375" s="12" t="s">
        <v>50</v>
      </c>
      <c r="I375" s="12" t="s">
        <v>31</v>
      </c>
      <c r="J375" s="13" t="s">
        <v>3644</v>
      </c>
      <c r="K375" s="14" t="s">
        <v>3645</v>
      </c>
      <c r="L375" s="15">
        <v>2</v>
      </c>
      <c r="M375" s="15" t="s">
        <v>144</v>
      </c>
      <c r="N375" s="16">
        <v>46237</v>
      </c>
      <c r="O375" s="12" t="s">
        <v>3641</v>
      </c>
      <c r="P375" s="14" t="s">
        <v>3646</v>
      </c>
      <c r="Q375" s="17" t="s">
        <v>137</v>
      </c>
      <c r="R375" s="17" t="s">
        <v>146</v>
      </c>
    </row>
    <row r="376" spans="1:18" x14ac:dyDescent="0.3">
      <c r="A376" s="12" t="s">
        <v>3647</v>
      </c>
      <c r="B376" s="12" t="s">
        <v>12</v>
      </c>
      <c r="C376" s="12"/>
      <c r="D376" s="12" t="s">
        <v>12</v>
      </c>
      <c r="E376" s="12" t="s">
        <v>3648</v>
      </c>
      <c r="F376" s="12" t="s">
        <v>188</v>
      </c>
      <c r="G376" s="12" t="s">
        <v>3649</v>
      </c>
      <c r="H376" s="12" t="s">
        <v>50</v>
      </c>
      <c r="I376" s="12" t="s">
        <v>31</v>
      </c>
      <c r="J376" s="13" t="s">
        <v>3650</v>
      </c>
      <c r="K376" s="14" t="s">
        <v>3651</v>
      </c>
      <c r="L376" s="15">
        <v>0</v>
      </c>
      <c r="M376" s="15" t="s">
        <v>144</v>
      </c>
      <c r="N376" s="16">
        <v>46267</v>
      </c>
      <c r="O376" s="12" t="s">
        <v>3647</v>
      </c>
      <c r="P376" s="14" t="s">
        <v>3652</v>
      </c>
      <c r="Q376" s="17" t="s">
        <v>137</v>
      </c>
      <c r="R376" s="17" t="s">
        <v>146</v>
      </c>
    </row>
    <row r="377" spans="1:18" x14ac:dyDescent="0.3">
      <c r="A377" s="12" t="s">
        <v>3653</v>
      </c>
      <c r="B377" s="12" t="s">
        <v>12</v>
      </c>
      <c r="C377" s="12"/>
      <c r="D377" s="12" t="s">
        <v>12</v>
      </c>
      <c r="E377" s="12" t="s">
        <v>3654</v>
      </c>
      <c r="F377" s="12" t="s">
        <v>3655</v>
      </c>
      <c r="G377" s="12" t="s">
        <v>3649</v>
      </c>
      <c r="H377" s="12" t="s">
        <v>50</v>
      </c>
      <c r="I377" s="12" t="s">
        <v>31</v>
      </c>
      <c r="J377" s="13" t="s">
        <v>3650</v>
      </c>
      <c r="K377" s="14" t="s">
        <v>3656</v>
      </c>
      <c r="L377" s="15">
        <v>1</v>
      </c>
      <c r="M377" s="15" t="s">
        <v>144</v>
      </c>
      <c r="N377" s="16">
        <v>45372</v>
      </c>
      <c r="O377" s="12" t="s">
        <v>3657</v>
      </c>
      <c r="P377" s="14" t="s">
        <v>3658</v>
      </c>
      <c r="Q377" s="17" t="s">
        <v>137</v>
      </c>
      <c r="R377" s="17" t="s">
        <v>146</v>
      </c>
    </row>
    <row r="378" spans="1:18" x14ac:dyDescent="0.3">
      <c r="A378" s="12" t="s">
        <v>3664</v>
      </c>
      <c r="B378" s="12" t="s">
        <v>12</v>
      </c>
      <c r="C378" s="12"/>
      <c r="D378" s="12" t="s">
        <v>12</v>
      </c>
      <c r="E378" s="12" t="s">
        <v>3665</v>
      </c>
      <c r="F378" s="12" t="s">
        <v>359</v>
      </c>
      <c r="G378" s="12" t="s">
        <v>3649</v>
      </c>
      <c r="H378" s="12" t="s">
        <v>50</v>
      </c>
      <c r="I378" s="12" t="s">
        <v>31</v>
      </c>
      <c r="J378" s="13" t="s">
        <v>3650</v>
      </c>
      <c r="K378" s="14" t="s">
        <v>3666</v>
      </c>
      <c r="L378" s="15">
        <v>1</v>
      </c>
      <c r="M378" s="15" t="s">
        <v>144</v>
      </c>
      <c r="N378" s="16">
        <v>45702</v>
      </c>
      <c r="O378" s="12" t="s">
        <v>3664</v>
      </c>
      <c r="P378" s="14" t="s">
        <v>3667</v>
      </c>
      <c r="Q378" s="17" t="s">
        <v>137</v>
      </c>
      <c r="R378" s="17" t="s">
        <v>146</v>
      </c>
    </row>
    <row r="379" spans="1:18" x14ac:dyDescent="0.3">
      <c r="A379" s="12" t="s">
        <v>3668</v>
      </c>
      <c r="B379" s="12" t="s">
        <v>12</v>
      </c>
      <c r="C379" s="12"/>
      <c r="D379" s="12" t="s">
        <v>12</v>
      </c>
      <c r="E379" s="12" t="s">
        <v>3669</v>
      </c>
      <c r="F379" s="12" t="s">
        <v>516</v>
      </c>
      <c r="G379" s="12" t="s">
        <v>3649</v>
      </c>
      <c r="H379" s="12" t="s">
        <v>50</v>
      </c>
      <c r="I379" s="12" t="s">
        <v>31</v>
      </c>
      <c r="J379" s="13" t="s">
        <v>3650</v>
      </c>
      <c r="K379" s="14" t="s">
        <v>3670</v>
      </c>
      <c r="L379" s="15">
        <v>3</v>
      </c>
      <c r="M379" s="15" t="s">
        <v>144</v>
      </c>
      <c r="N379" s="16">
        <v>44739</v>
      </c>
      <c r="O379" s="12" t="s">
        <v>3671</v>
      </c>
      <c r="P379" s="14" t="s">
        <v>3672</v>
      </c>
      <c r="Q379" s="17" t="s">
        <v>137</v>
      </c>
      <c r="R379" s="17" t="s">
        <v>146</v>
      </c>
    </row>
    <row r="380" spans="1:18" x14ac:dyDescent="0.3">
      <c r="A380" s="12" t="s">
        <v>3678</v>
      </c>
      <c r="B380" s="12" t="s">
        <v>12</v>
      </c>
      <c r="C380" s="12"/>
      <c r="D380" s="12" t="s">
        <v>12</v>
      </c>
      <c r="E380" s="12" t="s">
        <v>3679</v>
      </c>
      <c r="F380" s="12" t="s">
        <v>1805</v>
      </c>
      <c r="G380" s="12" t="s">
        <v>3649</v>
      </c>
      <c r="H380" s="12" t="s">
        <v>50</v>
      </c>
      <c r="I380" s="12" t="s">
        <v>31</v>
      </c>
      <c r="J380" s="13" t="s">
        <v>3650</v>
      </c>
      <c r="K380" s="14" t="s">
        <v>3680</v>
      </c>
      <c r="L380" s="15">
        <v>1</v>
      </c>
      <c r="M380" s="15" t="s">
        <v>144</v>
      </c>
      <c r="N380" s="16">
        <v>45911</v>
      </c>
      <c r="O380" s="12" t="s">
        <v>3681</v>
      </c>
      <c r="P380" s="14" t="s">
        <v>3682</v>
      </c>
      <c r="Q380" s="17" t="s">
        <v>137</v>
      </c>
      <c r="R380" s="17" t="s">
        <v>146</v>
      </c>
    </row>
    <row r="381" spans="1:18" x14ac:dyDescent="0.3">
      <c r="A381" s="12" t="s">
        <v>3691</v>
      </c>
      <c r="B381" s="12" t="s">
        <v>12</v>
      </c>
      <c r="C381" s="12"/>
      <c r="D381" s="12" t="s">
        <v>12</v>
      </c>
      <c r="E381" s="12" t="s">
        <v>3669</v>
      </c>
      <c r="F381" s="12" t="s">
        <v>516</v>
      </c>
      <c r="G381" s="12" t="s">
        <v>3649</v>
      </c>
      <c r="H381" s="12" t="s">
        <v>50</v>
      </c>
      <c r="I381" s="12" t="s">
        <v>31</v>
      </c>
      <c r="J381" s="13" t="s">
        <v>3650</v>
      </c>
      <c r="K381" s="14" t="s">
        <v>3670</v>
      </c>
      <c r="L381" s="15">
        <v>3</v>
      </c>
      <c r="M381" s="15" t="s">
        <v>144</v>
      </c>
      <c r="N381" s="16">
        <v>45951</v>
      </c>
      <c r="O381" s="12" t="s">
        <v>3691</v>
      </c>
      <c r="P381" s="14" t="s">
        <v>3692</v>
      </c>
      <c r="Q381" s="17" t="s">
        <v>137</v>
      </c>
      <c r="R381" s="17" t="s">
        <v>146</v>
      </c>
    </row>
    <row r="382" spans="1:18" x14ac:dyDescent="0.3">
      <c r="A382" s="12" t="s">
        <v>3691</v>
      </c>
      <c r="B382" s="12" t="s">
        <v>12</v>
      </c>
      <c r="C382" s="12"/>
      <c r="D382" s="12" t="s">
        <v>12</v>
      </c>
      <c r="E382" s="12" t="s">
        <v>3693</v>
      </c>
      <c r="F382" s="12"/>
      <c r="G382" s="12" t="s">
        <v>3694</v>
      </c>
      <c r="H382" s="12" t="s">
        <v>50</v>
      </c>
      <c r="I382" s="12" t="s">
        <v>31</v>
      </c>
      <c r="J382" s="13" t="s">
        <v>3695</v>
      </c>
      <c r="K382" s="14" t="s">
        <v>3696</v>
      </c>
      <c r="L382" s="15">
        <v>2</v>
      </c>
      <c r="M382" s="15" t="s">
        <v>144</v>
      </c>
      <c r="N382" s="16">
        <v>45951</v>
      </c>
      <c r="O382" s="12" t="s">
        <v>3691</v>
      </c>
      <c r="P382" s="14" t="s">
        <v>3692</v>
      </c>
      <c r="Q382" s="17" t="s">
        <v>137</v>
      </c>
      <c r="R382" s="17" t="s">
        <v>146</v>
      </c>
    </row>
    <row r="383" spans="1:18" x14ac:dyDescent="0.3">
      <c r="A383" s="12" t="s">
        <v>3697</v>
      </c>
      <c r="B383" s="12" t="s">
        <v>12</v>
      </c>
      <c r="C383" s="12"/>
      <c r="D383" s="12" t="s">
        <v>12</v>
      </c>
      <c r="E383" s="12" t="s">
        <v>3698</v>
      </c>
      <c r="F383" s="12"/>
      <c r="G383" s="12" t="s">
        <v>3699</v>
      </c>
      <c r="H383" s="12" t="s">
        <v>72</v>
      </c>
      <c r="I383" s="12" t="s">
        <v>31</v>
      </c>
      <c r="J383" s="13" t="s">
        <v>3700</v>
      </c>
      <c r="K383" s="14" t="s">
        <v>3701</v>
      </c>
      <c r="L383" s="15">
        <v>2</v>
      </c>
      <c r="M383" s="15" t="s">
        <v>144</v>
      </c>
      <c r="N383" s="16">
        <v>45215</v>
      </c>
      <c r="O383" s="12" t="s">
        <v>3697</v>
      </c>
      <c r="P383" s="14" t="s">
        <v>3702</v>
      </c>
      <c r="Q383" s="17" t="s">
        <v>137</v>
      </c>
      <c r="R383" s="17" t="s">
        <v>146</v>
      </c>
    </row>
    <row r="384" spans="1:18" x14ac:dyDescent="0.3">
      <c r="A384" s="12" t="s">
        <v>3703</v>
      </c>
      <c r="B384" s="12" t="s">
        <v>12</v>
      </c>
      <c r="C384" s="12"/>
      <c r="D384" s="12" t="s">
        <v>12</v>
      </c>
      <c r="E384" s="12" t="s">
        <v>3704</v>
      </c>
      <c r="F384" s="12"/>
      <c r="G384" s="12" t="s">
        <v>3699</v>
      </c>
      <c r="H384" s="12" t="s">
        <v>72</v>
      </c>
      <c r="I384" s="12" t="s">
        <v>31</v>
      </c>
      <c r="J384" s="13" t="s">
        <v>3700</v>
      </c>
      <c r="K384" s="14" t="s">
        <v>3705</v>
      </c>
      <c r="L384" s="15">
        <v>1</v>
      </c>
      <c r="M384" s="15" t="s">
        <v>144</v>
      </c>
      <c r="N384" s="16">
        <v>45390</v>
      </c>
      <c r="O384" s="12" t="s">
        <v>3706</v>
      </c>
      <c r="P384" s="14" t="s">
        <v>3707</v>
      </c>
      <c r="Q384" s="17" t="s">
        <v>137</v>
      </c>
      <c r="R384" s="17" t="s">
        <v>146</v>
      </c>
    </row>
    <row r="385" spans="1:18" x14ac:dyDescent="0.3">
      <c r="A385" s="12" t="s">
        <v>3712</v>
      </c>
      <c r="B385" s="12" t="s">
        <v>12</v>
      </c>
      <c r="C385" s="12"/>
      <c r="D385" s="12" t="s">
        <v>12</v>
      </c>
      <c r="E385" s="12" t="s">
        <v>3713</v>
      </c>
      <c r="F385" s="12"/>
      <c r="G385" s="12" t="s">
        <v>3714</v>
      </c>
      <c r="H385" s="12" t="s">
        <v>74</v>
      </c>
      <c r="I385" s="12" t="s">
        <v>31</v>
      </c>
      <c r="J385" s="13" t="s">
        <v>3715</v>
      </c>
      <c r="K385" s="14" t="s">
        <v>3716</v>
      </c>
      <c r="L385" s="15">
        <v>1</v>
      </c>
      <c r="M385" s="15" t="s">
        <v>144</v>
      </c>
      <c r="N385" s="16">
        <v>45182</v>
      </c>
      <c r="O385" s="12" t="s">
        <v>3717</v>
      </c>
      <c r="P385" s="14" t="s">
        <v>3718</v>
      </c>
      <c r="Q385" s="17" t="s">
        <v>137</v>
      </c>
      <c r="R385" s="17" t="s">
        <v>146</v>
      </c>
    </row>
    <row r="386" spans="1:18" x14ac:dyDescent="0.3">
      <c r="A386" s="12" t="s">
        <v>3729</v>
      </c>
      <c r="B386" s="12" t="s">
        <v>12</v>
      </c>
      <c r="C386" s="12"/>
      <c r="D386" s="12" t="s">
        <v>12</v>
      </c>
      <c r="E386" s="12" t="s">
        <v>3730</v>
      </c>
      <c r="F386" s="12"/>
      <c r="G386" s="12" t="s">
        <v>50</v>
      </c>
      <c r="H386" s="12" t="s">
        <v>76</v>
      </c>
      <c r="I386" s="12" t="s">
        <v>31</v>
      </c>
      <c r="J386" s="13" t="s">
        <v>3731</v>
      </c>
      <c r="K386" s="14" t="s">
        <v>3732</v>
      </c>
      <c r="L386" s="15">
        <v>2</v>
      </c>
      <c r="M386" s="15" t="s">
        <v>144</v>
      </c>
      <c r="N386" s="16">
        <v>44582</v>
      </c>
      <c r="O386" s="12" t="s">
        <v>3729</v>
      </c>
      <c r="P386" s="14" t="s">
        <v>3733</v>
      </c>
      <c r="Q386" s="17" t="s">
        <v>137</v>
      </c>
      <c r="R386" s="17" t="s">
        <v>146</v>
      </c>
    </row>
    <row r="387" spans="1:18" x14ac:dyDescent="0.3">
      <c r="A387" s="12" t="s">
        <v>3734</v>
      </c>
      <c r="B387" s="12" t="s">
        <v>12</v>
      </c>
      <c r="C387" s="12"/>
      <c r="D387" s="12" t="s">
        <v>12</v>
      </c>
      <c r="E387" s="12" t="s">
        <v>3735</v>
      </c>
      <c r="F387" s="12"/>
      <c r="G387" s="12" t="s">
        <v>50</v>
      </c>
      <c r="H387" s="12" t="s">
        <v>76</v>
      </c>
      <c r="I387" s="12" t="s">
        <v>31</v>
      </c>
      <c r="J387" s="13" t="s">
        <v>3731</v>
      </c>
      <c r="K387" s="14" t="s">
        <v>3736</v>
      </c>
      <c r="L387" s="15">
        <v>1</v>
      </c>
      <c r="M387" s="15" t="s">
        <v>144</v>
      </c>
      <c r="N387" s="16">
        <v>44873</v>
      </c>
      <c r="O387" s="12" t="s">
        <v>3734</v>
      </c>
      <c r="P387" s="14" t="s">
        <v>3737</v>
      </c>
      <c r="Q387" s="17" t="s">
        <v>137</v>
      </c>
      <c r="R387" s="17" t="s">
        <v>146</v>
      </c>
    </row>
    <row r="388" spans="1:18" x14ac:dyDescent="0.3">
      <c r="A388" s="12" t="s">
        <v>3738</v>
      </c>
      <c r="B388" s="12" t="s">
        <v>12</v>
      </c>
      <c r="C388" s="12"/>
      <c r="D388" s="12" t="s">
        <v>12</v>
      </c>
      <c r="E388" s="12" t="s">
        <v>3739</v>
      </c>
      <c r="F388" s="12"/>
      <c r="G388" s="12" t="s">
        <v>3740</v>
      </c>
      <c r="H388" s="12" t="s">
        <v>76</v>
      </c>
      <c r="I388" s="12" t="s">
        <v>31</v>
      </c>
      <c r="J388" s="13" t="s">
        <v>3741</v>
      </c>
      <c r="K388" s="14" t="s">
        <v>3742</v>
      </c>
      <c r="L388" s="15">
        <v>1</v>
      </c>
      <c r="M388" s="15" t="s">
        <v>144</v>
      </c>
      <c r="N388" s="16">
        <v>46147</v>
      </c>
      <c r="O388" s="12" t="s">
        <v>3743</v>
      </c>
      <c r="P388" s="14" t="s">
        <v>3744</v>
      </c>
      <c r="Q388" s="17" t="s">
        <v>137</v>
      </c>
      <c r="R388" s="17" t="s">
        <v>146</v>
      </c>
    </row>
    <row r="389" spans="1:18" x14ac:dyDescent="0.3">
      <c r="A389" s="12" t="s">
        <v>3745</v>
      </c>
      <c r="B389" s="12" t="s">
        <v>12</v>
      </c>
      <c r="C389" s="12"/>
      <c r="D389" s="12" t="s">
        <v>12</v>
      </c>
      <c r="E389" s="12" t="s">
        <v>3746</v>
      </c>
      <c r="F389" s="12"/>
      <c r="G389" s="12" t="s">
        <v>62</v>
      </c>
      <c r="H389" s="12" t="s">
        <v>62</v>
      </c>
      <c r="I389" s="12" t="s">
        <v>31</v>
      </c>
      <c r="J389" s="13" t="s">
        <v>3747</v>
      </c>
      <c r="K389" s="14" t="s">
        <v>3748</v>
      </c>
      <c r="L389" s="15">
        <v>1</v>
      </c>
      <c r="M389" s="15" t="s">
        <v>144</v>
      </c>
      <c r="N389" s="16">
        <v>46185</v>
      </c>
      <c r="O389" s="12" t="s">
        <v>3745</v>
      </c>
      <c r="P389" s="14" t="s">
        <v>3749</v>
      </c>
      <c r="Q389" s="17" t="s">
        <v>137</v>
      </c>
      <c r="R389" s="17" t="s">
        <v>146</v>
      </c>
    </row>
    <row r="390" spans="1:18" x14ac:dyDescent="0.3">
      <c r="A390" s="12" t="s">
        <v>3754</v>
      </c>
      <c r="B390" s="12" t="s">
        <v>12</v>
      </c>
      <c r="C390" s="12"/>
      <c r="D390" s="12" t="s">
        <v>12</v>
      </c>
      <c r="E390" s="12" t="s">
        <v>3755</v>
      </c>
      <c r="F390" s="12"/>
      <c r="G390" s="12" t="s">
        <v>62</v>
      </c>
      <c r="H390" s="12" t="s">
        <v>62</v>
      </c>
      <c r="I390" s="12" t="s">
        <v>31</v>
      </c>
      <c r="J390" s="13" t="s">
        <v>3747</v>
      </c>
      <c r="K390" s="14" t="s">
        <v>3756</v>
      </c>
      <c r="L390" s="15">
        <v>2</v>
      </c>
      <c r="M390" s="15" t="s">
        <v>144</v>
      </c>
      <c r="N390" s="16">
        <v>45776</v>
      </c>
      <c r="O390" s="12" t="s">
        <v>3754</v>
      </c>
      <c r="P390" s="14" t="s">
        <v>3757</v>
      </c>
      <c r="Q390" s="17" t="s">
        <v>137</v>
      </c>
      <c r="R390" s="17" t="s">
        <v>146</v>
      </c>
    </row>
    <row r="391" spans="1:18" x14ac:dyDescent="0.3">
      <c r="A391" s="12" t="s">
        <v>3769</v>
      </c>
      <c r="B391" s="12" t="s">
        <v>12</v>
      </c>
      <c r="C391" s="12"/>
      <c r="D391" s="12" t="s">
        <v>12</v>
      </c>
      <c r="E391" s="12" t="s">
        <v>3770</v>
      </c>
      <c r="F391" s="12" t="s">
        <v>1708</v>
      </c>
      <c r="G391" s="12" t="s">
        <v>3771</v>
      </c>
      <c r="H391" s="12" t="s">
        <v>68</v>
      </c>
      <c r="I391" s="12" t="s">
        <v>31</v>
      </c>
      <c r="J391" s="13" t="s">
        <v>3772</v>
      </c>
      <c r="K391" s="14" t="s">
        <v>3773</v>
      </c>
      <c r="L391" s="15">
        <v>1</v>
      </c>
      <c r="M391" s="15" t="s">
        <v>144</v>
      </c>
      <c r="N391" s="16">
        <v>45789</v>
      </c>
      <c r="O391" s="12" t="s">
        <v>3769</v>
      </c>
      <c r="P391" s="14" t="s">
        <v>3774</v>
      </c>
      <c r="Q391" s="17" t="s">
        <v>137</v>
      </c>
      <c r="R391" s="17" t="s">
        <v>146</v>
      </c>
    </row>
    <row r="392" spans="1:18" x14ac:dyDescent="0.3">
      <c r="A392" s="12" t="s">
        <v>3775</v>
      </c>
      <c r="B392" s="12" t="s">
        <v>12</v>
      </c>
      <c r="C392" s="12"/>
      <c r="D392" s="12" t="s">
        <v>12</v>
      </c>
      <c r="E392" s="12" t="s">
        <v>3776</v>
      </c>
      <c r="F392" s="12"/>
      <c r="G392" s="12" t="s">
        <v>3771</v>
      </c>
      <c r="H392" s="12" t="s">
        <v>68</v>
      </c>
      <c r="I392" s="12" t="s">
        <v>31</v>
      </c>
      <c r="J392" s="13" t="s">
        <v>3772</v>
      </c>
      <c r="K392" s="14" t="s">
        <v>3777</v>
      </c>
      <c r="L392" s="15">
        <v>2</v>
      </c>
      <c r="M392" s="15" t="s">
        <v>144</v>
      </c>
      <c r="N392" s="16">
        <v>45482</v>
      </c>
      <c r="O392" s="12" t="s">
        <v>3775</v>
      </c>
      <c r="P392" s="14" t="s">
        <v>3778</v>
      </c>
      <c r="Q392" s="17" t="s">
        <v>137</v>
      </c>
      <c r="R392" s="17" t="s">
        <v>146</v>
      </c>
    </row>
    <row r="393" spans="1:18" x14ac:dyDescent="0.3">
      <c r="A393" s="12" t="s">
        <v>3779</v>
      </c>
      <c r="B393" s="12" t="s">
        <v>12</v>
      </c>
      <c r="C393" s="12"/>
      <c r="D393" s="12" t="s">
        <v>12</v>
      </c>
      <c r="E393" s="12" t="s">
        <v>3780</v>
      </c>
      <c r="F393" s="12"/>
      <c r="G393" s="12" t="s">
        <v>3771</v>
      </c>
      <c r="H393" s="12" t="s">
        <v>68</v>
      </c>
      <c r="I393" s="12" t="s">
        <v>31</v>
      </c>
      <c r="J393" s="13" t="s">
        <v>3772</v>
      </c>
      <c r="K393" s="14" t="s">
        <v>3781</v>
      </c>
      <c r="L393" s="15">
        <v>2</v>
      </c>
      <c r="M393" s="15" t="s">
        <v>144</v>
      </c>
      <c r="N393" s="16">
        <v>45078</v>
      </c>
      <c r="O393" s="12" t="s">
        <v>3779</v>
      </c>
      <c r="P393" s="14" t="s">
        <v>3782</v>
      </c>
      <c r="Q393" s="17" t="s">
        <v>137</v>
      </c>
      <c r="R393" s="17" t="s">
        <v>146</v>
      </c>
    </row>
    <row r="394" spans="1:18" x14ac:dyDescent="0.3">
      <c r="A394" s="12" t="s">
        <v>3799</v>
      </c>
      <c r="B394" s="12" t="s">
        <v>12</v>
      </c>
      <c r="C394" s="12"/>
      <c r="D394" s="12" t="s">
        <v>12</v>
      </c>
      <c r="E394" s="12" t="s">
        <v>3800</v>
      </c>
      <c r="F394" s="12"/>
      <c r="G394" s="12" t="s">
        <v>3795</v>
      </c>
      <c r="H394" s="12" t="s">
        <v>69</v>
      </c>
      <c r="I394" s="12" t="s">
        <v>31</v>
      </c>
      <c r="J394" s="13" t="s">
        <v>3796</v>
      </c>
      <c r="K394" s="14" t="s">
        <v>3801</v>
      </c>
      <c r="L394" s="15">
        <v>0</v>
      </c>
      <c r="M394" s="15" t="s">
        <v>144</v>
      </c>
      <c r="N394" s="16">
        <v>46267</v>
      </c>
      <c r="O394" s="12" t="s">
        <v>3799</v>
      </c>
      <c r="P394" s="14" t="s">
        <v>3802</v>
      </c>
      <c r="Q394" s="17" t="s">
        <v>137</v>
      </c>
      <c r="R394" s="17" t="s">
        <v>146</v>
      </c>
    </row>
    <row r="395" spans="1:18" x14ac:dyDescent="0.3">
      <c r="A395" s="12" t="s">
        <v>3803</v>
      </c>
      <c r="B395" s="12" t="s">
        <v>12</v>
      </c>
      <c r="C395" s="12"/>
      <c r="D395" s="12" t="s">
        <v>12</v>
      </c>
      <c r="E395" s="12" t="s">
        <v>3804</v>
      </c>
      <c r="F395" s="12"/>
      <c r="G395" s="12" t="s">
        <v>3805</v>
      </c>
      <c r="H395" s="12" t="s">
        <v>69</v>
      </c>
      <c r="I395" s="12" t="s">
        <v>31</v>
      </c>
      <c r="J395" s="13" t="s">
        <v>3806</v>
      </c>
      <c r="K395" s="14" t="s">
        <v>3807</v>
      </c>
      <c r="L395" s="15">
        <v>1</v>
      </c>
      <c r="M395" s="15" t="s">
        <v>144</v>
      </c>
      <c r="N395" s="16">
        <v>45509</v>
      </c>
      <c r="O395" s="12" t="s">
        <v>3803</v>
      </c>
      <c r="P395" s="14" t="s">
        <v>3808</v>
      </c>
      <c r="Q395" s="17" t="s">
        <v>137</v>
      </c>
      <c r="R395" s="17" t="s">
        <v>146</v>
      </c>
    </row>
    <row r="396" spans="1:18" x14ac:dyDescent="0.3">
      <c r="A396" s="12" t="s">
        <v>3809</v>
      </c>
      <c r="B396" s="12" t="s">
        <v>12</v>
      </c>
      <c r="C396" s="12"/>
      <c r="D396" s="12" t="s">
        <v>12</v>
      </c>
      <c r="E396" s="12" t="s">
        <v>3810</v>
      </c>
      <c r="F396" s="12"/>
      <c r="G396" s="12" t="s">
        <v>3805</v>
      </c>
      <c r="H396" s="12" t="s">
        <v>69</v>
      </c>
      <c r="I396" s="12" t="s">
        <v>31</v>
      </c>
      <c r="J396" s="13" t="s">
        <v>3806</v>
      </c>
      <c r="K396" s="14" t="s">
        <v>3811</v>
      </c>
      <c r="L396" s="15">
        <v>2</v>
      </c>
      <c r="M396" s="15" t="s">
        <v>144</v>
      </c>
      <c r="N396" s="16">
        <v>46125</v>
      </c>
      <c r="O396" s="12" t="s">
        <v>3809</v>
      </c>
      <c r="P396" s="14" t="s">
        <v>3812</v>
      </c>
      <c r="Q396" s="17" t="s">
        <v>137</v>
      </c>
      <c r="R396" s="17" t="s">
        <v>146</v>
      </c>
    </row>
    <row r="397" spans="1:18" x14ac:dyDescent="0.3">
      <c r="A397" s="12" t="s">
        <v>3712</v>
      </c>
      <c r="B397" s="12" t="s">
        <v>12</v>
      </c>
      <c r="C397" s="12"/>
      <c r="D397" s="12" t="s">
        <v>12</v>
      </c>
      <c r="E397" s="12" t="s">
        <v>3813</v>
      </c>
      <c r="F397" s="12"/>
      <c r="G397" s="12" t="s">
        <v>3814</v>
      </c>
      <c r="H397" s="12" t="s">
        <v>89</v>
      </c>
      <c r="I397" s="12" t="s">
        <v>31</v>
      </c>
      <c r="J397" s="13" t="s">
        <v>3815</v>
      </c>
      <c r="K397" s="14" t="s">
        <v>3716</v>
      </c>
      <c r="L397" s="15">
        <v>0</v>
      </c>
      <c r="M397" s="15" t="s">
        <v>144</v>
      </c>
      <c r="N397" s="16">
        <v>45182</v>
      </c>
      <c r="O397" s="12" t="s">
        <v>3717</v>
      </c>
      <c r="P397" s="14" t="s">
        <v>3718</v>
      </c>
      <c r="Q397" s="17" t="s">
        <v>137</v>
      </c>
      <c r="R397" s="17" t="s">
        <v>146</v>
      </c>
    </row>
    <row r="398" spans="1:18" x14ac:dyDescent="0.3">
      <c r="A398" s="12" t="s">
        <v>3832</v>
      </c>
      <c r="B398" s="12" t="s">
        <v>12</v>
      </c>
      <c r="C398" s="12"/>
      <c r="D398" s="12" t="s">
        <v>12</v>
      </c>
      <c r="E398" s="12" t="s">
        <v>3833</v>
      </c>
      <c r="F398" s="12"/>
      <c r="G398" s="12" t="s">
        <v>3834</v>
      </c>
      <c r="H398" s="12" t="s">
        <v>75</v>
      </c>
      <c r="I398" s="12" t="s">
        <v>32</v>
      </c>
      <c r="J398" s="13" t="s">
        <v>3835</v>
      </c>
      <c r="K398" s="14" t="s">
        <v>3836</v>
      </c>
      <c r="L398" s="15">
        <v>0</v>
      </c>
      <c r="M398" s="15" t="s">
        <v>144</v>
      </c>
      <c r="N398" s="16">
        <v>45527</v>
      </c>
      <c r="O398" s="12" t="s">
        <v>3837</v>
      </c>
      <c r="P398" s="14" t="s">
        <v>3838</v>
      </c>
      <c r="Q398" s="17" t="s">
        <v>137</v>
      </c>
      <c r="R398" s="17" t="s">
        <v>146</v>
      </c>
    </row>
    <row r="399" spans="1:18" x14ac:dyDescent="0.3">
      <c r="A399" s="12" t="s">
        <v>3839</v>
      </c>
      <c r="B399" s="12" t="s">
        <v>12</v>
      </c>
      <c r="C399" s="12"/>
      <c r="D399" s="12" t="s">
        <v>12</v>
      </c>
      <c r="E399" s="12" t="s">
        <v>3840</v>
      </c>
      <c r="F399" s="12"/>
      <c r="G399" s="12" t="s">
        <v>3841</v>
      </c>
      <c r="H399" s="12" t="s">
        <v>81</v>
      </c>
      <c r="I399" s="12" t="s">
        <v>32</v>
      </c>
      <c r="J399" s="13" t="s">
        <v>3842</v>
      </c>
      <c r="K399" s="14" t="s">
        <v>3843</v>
      </c>
      <c r="L399" s="15">
        <v>2</v>
      </c>
      <c r="M399" s="15" t="s">
        <v>144</v>
      </c>
      <c r="N399" s="16">
        <v>45119</v>
      </c>
      <c r="O399" s="12" t="s">
        <v>3839</v>
      </c>
      <c r="P399" s="14" t="s">
        <v>3844</v>
      </c>
      <c r="Q399" s="17" t="s">
        <v>137</v>
      </c>
      <c r="R399" s="17" t="s">
        <v>146</v>
      </c>
    </row>
    <row r="400" spans="1:18" x14ac:dyDescent="0.3">
      <c r="A400" s="12" t="s">
        <v>3845</v>
      </c>
      <c r="B400" s="12" t="s">
        <v>12</v>
      </c>
      <c r="C400" s="12"/>
      <c r="D400" s="12" t="s">
        <v>12</v>
      </c>
      <c r="E400" s="12" t="s">
        <v>3846</v>
      </c>
      <c r="F400" s="12"/>
      <c r="G400" s="12" t="s">
        <v>3847</v>
      </c>
      <c r="H400" s="12" t="s">
        <v>81</v>
      </c>
      <c r="I400" s="12" t="s">
        <v>32</v>
      </c>
      <c r="J400" s="13" t="s">
        <v>3848</v>
      </c>
      <c r="K400" s="14" t="s">
        <v>3849</v>
      </c>
      <c r="L400" s="15">
        <v>0</v>
      </c>
      <c r="M400" s="15" t="s">
        <v>144</v>
      </c>
      <c r="N400" s="16">
        <v>45999</v>
      </c>
      <c r="O400" s="12" t="s">
        <v>3845</v>
      </c>
      <c r="P400" s="14" t="s">
        <v>3850</v>
      </c>
      <c r="Q400" s="17" t="s">
        <v>137</v>
      </c>
      <c r="R400" s="17" t="s">
        <v>146</v>
      </c>
    </row>
    <row r="401" spans="1:18" x14ac:dyDescent="0.3">
      <c r="A401" s="12" t="s">
        <v>3851</v>
      </c>
      <c r="B401" s="12" t="s">
        <v>12</v>
      </c>
      <c r="C401" s="12"/>
      <c r="D401" s="12" t="s">
        <v>12</v>
      </c>
      <c r="E401" s="12" t="s">
        <v>3852</v>
      </c>
      <c r="F401" s="12"/>
      <c r="G401" s="12" t="s">
        <v>3853</v>
      </c>
      <c r="H401" s="12" t="s">
        <v>82</v>
      </c>
      <c r="I401" s="12" t="s">
        <v>32</v>
      </c>
      <c r="J401" s="13" t="s">
        <v>3854</v>
      </c>
      <c r="K401" s="14" t="s">
        <v>3855</v>
      </c>
      <c r="L401" s="15">
        <v>2</v>
      </c>
      <c r="M401" s="15" t="s">
        <v>144</v>
      </c>
      <c r="N401" s="16">
        <v>44948</v>
      </c>
      <c r="O401" s="12" t="s">
        <v>3856</v>
      </c>
      <c r="P401" s="14" t="s">
        <v>3857</v>
      </c>
      <c r="Q401" s="17" t="s">
        <v>137</v>
      </c>
      <c r="R401" s="17" t="s">
        <v>146</v>
      </c>
    </row>
    <row r="402" spans="1:18" x14ac:dyDescent="0.3">
      <c r="A402" s="12" t="s">
        <v>3868</v>
      </c>
      <c r="B402" s="12" t="s">
        <v>12</v>
      </c>
      <c r="C402" s="12"/>
      <c r="D402" s="12" t="s">
        <v>12</v>
      </c>
      <c r="E402" s="12" t="s">
        <v>3869</v>
      </c>
      <c r="F402" s="12"/>
      <c r="G402" s="12" t="s">
        <v>3870</v>
      </c>
      <c r="H402" s="12" t="s">
        <v>57</v>
      </c>
      <c r="I402" s="12" t="s">
        <v>32</v>
      </c>
      <c r="J402" s="13" t="s">
        <v>3871</v>
      </c>
      <c r="K402" s="14" t="s">
        <v>3872</v>
      </c>
      <c r="L402" s="15">
        <v>0</v>
      </c>
      <c r="M402" s="15" t="s">
        <v>144</v>
      </c>
      <c r="N402" s="16">
        <v>45099</v>
      </c>
      <c r="O402" s="12" t="s">
        <v>3873</v>
      </c>
      <c r="P402" s="14" t="s">
        <v>3874</v>
      </c>
      <c r="Q402" s="17" t="s">
        <v>137</v>
      </c>
      <c r="R402" s="17" t="s">
        <v>146</v>
      </c>
    </row>
    <row r="403" spans="1:18" x14ac:dyDescent="0.3">
      <c r="A403" s="12" t="s">
        <v>3880</v>
      </c>
      <c r="B403" s="12" t="s">
        <v>12</v>
      </c>
      <c r="C403" s="12"/>
      <c r="D403" s="12" t="s">
        <v>12</v>
      </c>
      <c r="E403" s="12" t="s">
        <v>3881</v>
      </c>
      <c r="F403" s="12" t="s">
        <v>1542</v>
      </c>
      <c r="G403" s="12" t="s">
        <v>3882</v>
      </c>
      <c r="H403" s="12" t="s">
        <v>57</v>
      </c>
      <c r="I403" s="12" t="s">
        <v>32</v>
      </c>
      <c r="J403" s="13" t="s">
        <v>3883</v>
      </c>
      <c r="K403" s="14" t="s">
        <v>3884</v>
      </c>
      <c r="L403" s="15">
        <v>1</v>
      </c>
      <c r="M403" s="15" t="s">
        <v>144</v>
      </c>
      <c r="N403" s="16">
        <v>45875</v>
      </c>
      <c r="O403" s="12" t="s">
        <v>3880</v>
      </c>
      <c r="P403" s="14" t="s">
        <v>3885</v>
      </c>
      <c r="Q403" s="17" t="s">
        <v>137</v>
      </c>
      <c r="R403" s="17" t="s">
        <v>146</v>
      </c>
    </row>
    <row r="404" spans="1:18" x14ac:dyDescent="0.3">
      <c r="A404" s="12" t="s">
        <v>3888</v>
      </c>
      <c r="B404" s="12" t="s">
        <v>12</v>
      </c>
      <c r="C404" s="12"/>
      <c r="D404" s="12" t="s">
        <v>12</v>
      </c>
      <c r="E404" s="12" t="s">
        <v>3889</v>
      </c>
      <c r="F404" s="12"/>
      <c r="G404" s="12" t="s">
        <v>3882</v>
      </c>
      <c r="H404" s="12" t="s">
        <v>57</v>
      </c>
      <c r="I404" s="12" t="s">
        <v>32</v>
      </c>
      <c r="J404" s="13" t="s">
        <v>3883</v>
      </c>
      <c r="K404" s="14" t="s">
        <v>3890</v>
      </c>
      <c r="L404" s="15">
        <v>0</v>
      </c>
      <c r="M404" s="15" t="s">
        <v>144</v>
      </c>
      <c r="N404" s="16">
        <v>45102</v>
      </c>
      <c r="O404" s="12" t="s">
        <v>3891</v>
      </c>
      <c r="P404" s="14" t="s">
        <v>3892</v>
      </c>
      <c r="Q404" s="17" t="s">
        <v>137</v>
      </c>
      <c r="R404" s="17" t="s">
        <v>146</v>
      </c>
    </row>
    <row r="405" spans="1:18" x14ac:dyDescent="0.3">
      <c r="A405" s="12" t="s">
        <v>3893</v>
      </c>
      <c r="B405" s="12" t="s">
        <v>12</v>
      </c>
      <c r="C405" s="12"/>
      <c r="D405" s="12" t="s">
        <v>12</v>
      </c>
      <c r="E405" s="12" t="s">
        <v>3894</v>
      </c>
      <c r="F405" s="12" t="s">
        <v>1542</v>
      </c>
      <c r="G405" s="12" t="s">
        <v>3895</v>
      </c>
      <c r="H405" s="12" t="s">
        <v>83</v>
      </c>
      <c r="I405" s="12" t="s">
        <v>32</v>
      </c>
      <c r="J405" s="13" t="s">
        <v>3896</v>
      </c>
      <c r="K405" s="14" t="s">
        <v>3897</v>
      </c>
      <c r="L405" s="15">
        <v>3</v>
      </c>
      <c r="M405" s="15" t="s">
        <v>144</v>
      </c>
      <c r="N405" s="16">
        <v>45911</v>
      </c>
      <c r="O405" s="12" t="s">
        <v>3893</v>
      </c>
      <c r="P405" s="14" t="s">
        <v>3898</v>
      </c>
      <c r="Q405" s="17" t="s">
        <v>137</v>
      </c>
      <c r="R405" s="17" t="s">
        <v>146</v>
      </c>
    </row>
    <row r="406" spans="1:18" x14ac:dyDescent="0.3">
      <c r="A406" s="12" t="s">
        <v>3899</v>
      </c>
      <c r="B406" s="12" t="s">
        <v>12</v>
      </c>
      <c r="C406" s="12"/>
      <c r="D406" s="12" t="s">
        <v>12</v>
      </c>
      <c r="E406" s="12" t="s">
        <v>3900</v>
      </c>
      <c r="F406" s="12"/>
      <c r="G406" s="12" t="s">
        <v>3895</v>
      </c>
      <c r="H406" s="12" t="s">
        <v>83</v>
      </c>
      <c r="I406" s="12" t="s">
        <v>32</v>
      </c>
      <c r="J406" s="13" t="s">
        <v>3896</v>
      </c>
      <c r="K406" s="14" t="s">
        <v>3901</v>
      </c>
      <c r="L406" s="15">
        <v>0</v>
      </c>
      <c r="M406" s="15" t="s">
        <v>144</v>
      </c>
      <c r="N406" s="16">
        <v>46253</v>
      </c>
      <c r="O406" s="12" t="s">
        <v>3899</v>
      </c>
      <c r="P406" s="14" t="s">
        <v>3902</v>
      </c>
      <c r="Q406" s="17" t="s">
        <v>137</v>
      </c>
      <c r="R406" s="17" t="s">
        <v>146</v>
      </c>
    </row>
    <row r="407" spans="1:18" x14ac:dyDescent="0.3">
      <c r="A407" s="12" t="s">
        <v>3903</v>
      </c>
      <c r="B407" s="12" t="s">
        <v>12</v>
      </c>
      <c r="C407" s="12"/>
      <c r="D407" s="12" t="s">
        <v>12</v>
      </c>
      <c r="E407" s="12" t="s">
        <v>3904</v>
      </c>
      <c r="F407" s="12"/>
      <c r="G407" s="12" t="s">
        <v>3905</v>
      </c>
      <c r="H407" s="12" t="s">
        <v>84</v>
      </c>
      <c r="I407" s="12" t="s">
        <v>32</v>
      </c>
      <c r="J407" s="13" t="s">
        <v>3906</v>
      </c>
      <c r="K407" s="14" t="s">
        <v>3907</v>
      </c>
      <c r="L407" s="15">
        <v>0</v>
      </c>
      <c r="M407" s="15" t="s">
        <v>144</v>
      </c>
      <c r="N407" s="16">
        <v>45208</v>
      </c>
      <c r="O407" s="12" t="s">
        <v>3903</v>
      </c>
      <c r="P407" s="14" t="s">
        <v>3908</v>
      </c>
      <c r="Q407" s="17" t="s">
        <v>137</v>
      </c>
      <c r="R407" s="17" t="s">
        <v>146</v>
      </c>
    </row>
    <row r="408" spans="1:18" x14ac:dyDescent="0.3">
      <c r="A408" s="12" t="s">
        <v>3909</v>
      </c>
      <c r="B408" s="12" t="s">
        <v>12</v>
      </c>
      <c r="C408" s="12"/>
      <c r="D408" s="12" t="s">
        <v>12</v>
      </c>
      <c r="E408" s="12" t="s">
        <v>3910</v>
      </c>
      <c r="F408" s="12"/>
      <c r="G408" s="12" t="s">
        <v>3911</v>
      </c>
      <c r="H408" s="12" t="s">
        <v>84</v>
      </c>
      <c r="I408" s="12" t="s">
        <v>32</v>
      </c>
      <c r="J408" s="13" t="s">
        <v>3912</v>
      </c>
      <c r="K408" s="14" t="s">
        <v>3913</v>
      </c>
      <c r="L408" s="15">
        <v>0</v>
      </c>
      <c r="M408" s="15" t="s">
        <v>144</v>
      </c>
      <c r="N408" s="16">
        <v>44599</v>
      </c>
      <c r="O408" s="12" t="s">
        <v>3909</v>
      </c>
      <c r="P408" s="14" t="s">
        <v>3914</v>
      </c>
      <c r="Q408" s="17" t="s">
        <v>137</v>
      </c>
      <c r="R408" s="17" t="s">
        <v>146</v>
      </c>
    </row>
    <row r="409" spans="1:18" x14ac:dyDescent="0.3">
      <c r="A409" s="12" t="s">
        <v>3915</v>
      </c>
      <c r="B409" s="12" t="s">
        <v>12</v>
      </c>
      <c r="C409" s="12"/>
      <c r="D409" s="12" t="s">
        <v>12</v>
      </c>
      <c r="E409" s="12" t="s">
        <v>3916</v>
      </c>
      <c r="F409" s="12"/>
      <c r="G409" s="12" t="s">
        <v>3917</v>
      </c>
      <c r="H409" s="12" t="s">
        <v>98</v>
      </c>
      <c r="I409" s="12" t="s">
        <v>32</v>
      </c>
      <c r="J409" s="13" t="s">
        <v>3918</v>
      </c>
      <c r="K409" s="14" t="s">
        <v>3919</v>
      </c>
      <c r="L409" s="15">
        <v>1</v>
      </c>
      <c r="M409" s="15" t="s">
        <v>144</v>
      </c>
      <c r="N409" s="16">
        <v>45182</v>
      </c>
      <c r="O409" s="12" t="s">
        <v>3915</v>
      </c>
      <c r="P409" s="14" t="s">
        <v>3920</v>
      </c>
      <c r="Q409" s="17" t="s">
        <v>137</v>
      </c>
      <c r="R409" s="17" t="s">
        <v>146</v>
      </c>
    </row>
    <row r="410" spans="1:18" x14ac:dyDescent="0.3">
      <c r="A410" s="12" t="s">
        <v>3931</v>
      </c>
      <c r="B410" s="12" t="s">
        <v>12</v>
      </c>
      <c r="C410" s="12"/>
      <c r="D410" s="12" t="s">
        <v>12</v>
      </c>
      <c r="E410" s="12" t="s">
        <v>3932</v>
      </c>
      <c r="F410" s="12" t="s">
        <v>3933</v>
      </c>
      <c r="G410" s="12" t="s">
        <v>3922</v>
      </c>
      <c r="H410" s="12" t="s">
        <v>42</v>
      </c>
      <c r="I410" s="12" t="s">
        <v>32</v>
      </c>
      <c r="J410" s="13" t="s">
        <v>3925</v>
      </c>
      <c r="K410" s="14" t="s">
        <v>3934</v>
      </c>
      <c r="L410" s="15">
        <v>2</v>
      </c>
      <c r="M410" s="15" t="s">
        <v>144</v>
      </c>
      <c r="N410" s="16">
        <v>45911</v>
      </c>
      <c r="O410" s="12" t="s">
        <v>3931</v>
      </c>
      <c r="P410" s="14" t="s">
        <v>3935</v>
      </c>
      <c r="Q410" s="17" t="s">
        <v>137</v>
      </c>
      <c r="R410" s="17" t="s">
        <v>146</v>
      </c>
    </row>
    <row r="411" spans="1:18" x14ac:dyDescent="0.3">
      <c r="A411" s="12" t="s">
        <v>3946</v>
      </c>
      <c r="B411" s="12" t="s">
        <v>12</v>
      </c>
      <c r="C411" s="12"/>
      <c r="D411" s="12" t="s">
        <v>12</v>
      </c>
      <c r="E411" s="12" t="s">
        <v>3947</v>
      </c>
      <c r="F411" s="12" t="s">
        <v>1765</v>
      </c>
      <c r="G411" s="12" t="s">
        <v>3922</v>
      </c>
      <c r="H411" s="12" t="s">
        <v>42</v>
      </c>
      <c r="I411" s="12" t="s">
        <v>32</v>
      </c>
      <c r="J411" s="13" t="s">
        <v>3925</v>
      </c>
      <c r="K411" s="14" t="s">
        <v>3948</v>
      </c>
      <c r="L411" s="15">
        <v>0</v>
      </c>
      <c r="M411" s="15" t="s">
        <v>144</v>
      </c>
      <c r="N411" s="16">
        <v>45603</v>
      </c>
      <c r="O411" s="12" t="s">
        <v>3946</v>
      </c>
      <c r="P411" s="14" t="s">
        <v>3949</v>
      </c>
      <c r="Q411" s="17" t="s">
        <v>137</v>
      </c>
      <c r="R411" s="17" t="s">
        <v>146</v>
      </c>
    </row>
    <row r="412" spans="1:18" x14ac:dyDescent="0.3">
      <c r="A412" s="12" t="s">
        <v>3950</v>
      </c>
      <c r="B412" s="12" t="s">
        <v>12</v>
      </c>
      <c r="C412" s="12"/>
      <c r="D412" s="12" t="s">
        <v>12</v>
      </c>
      <c r="E412" s="12" t="s">
        <v>3951</v>
      </c>
      <c r="F412" s="12"/>
      <c r="G412" s="12" t="s">
        <v>3922</v>
      </c>
      <c r="H412" s="12" t="s">
        <v>42</v>
      </c>
      <c r="I412" s="12" t="s">
        <v>32</v>
      </c>
      <c r="J412" s="13" t="s">
        <v>3925</v>
      </c>
      <c r="K412" s="14" t="s">
        <v>3952</v>
      </c>
      <c r="L412" s="15">
        <v>2</v>
      </c>
      <c r="M412" s="15" t="s">
        <v>144</v>
      </c>
      <c r="N412" s="16">
        <v>45554</v>
      </c>
      <c r="O412" s="12" t="s">
        <v>3950</v>
      </c>
      <c r="P412" s="14" t="s">
        <v>3953</v>
      </c>
      <c r="Q412" s="17" t="s">
        <v>137</v>
      </c>
      <c r="R412" s="17" t="s">
        <v>146</v>
      </c>
    </row>
    <row r="413" spans="1:18" x14ac:dyDescent="0.3">
      <c r="A413" s="12" t="s">
        <v>3954</v>
      </c>
      <c r="B413" s="12" t="s">
        <v>12</v>
      </c>
      <c r="C413" s="12"/>
      <c r="D413" s="12" t="s">
        <v>12</v>
      </c>
      <c r="E413" s="12" t="s">
        <v>3955</v>
      </c>
      <c r="F413" s="12" t="s">
        <v>1542</v>
      </c>
      <c r="G413" s="12" t="s">
        <v>3922</v>
      </c>
      <c r="H413" s="12" t="s">
        <v>42</v>
      </c>
      <c r="I413" s="12" t="s">
        <v>32</v>
      </c>
      <c r="J413" s="13" t="s">
        <v>3925</v>
      </c>
      <c r="K413" s="14" t="s">
        <v>3956</v>
      </c>
      <c r="L413" s="15">
        <v>3</v>
      </c>
      <c r="M413" s="15" t="s">
        <v>144</v>
      </c>
      <c r="N413" s="16">
        <v>45677</v>
      </c>
      <c r="O413" s="12" t="s">
        <v>3954</v>
      </c>
      <c r="P413" s="14" t="s">
        <v>3957</v>
      </c>
      <c r="Q413" s="17" t="s">
        <v>137</v>
      </c>
      <c r="R413" s="17" t="s">
        <v>146</v>
      </c>
    </row>
    <row r="414" spans="1:18" x14ac:dyDescent="0.3">
      <c r="A414" s="12" t="s">
        <v>3969</v>
      </c>
      <c r="B414" s="12" t="s">
        <v>12</v>
      </c>
      <c r="C414" s="12"/>
      <c r="D414" s="12" t="s">
        <v>12</v>
      </c>
      <c r="E414" s="12" t="s">
        <v>3970</v>
      </c>
      <c r="F414" s="12"/>
      <c r="G414" s="12" t="s">
        <v>3922</v>
      </c>
      <c r="H414" s="12" t="s">
        <v>42</v>
      </c>
      <c r="I414" s="12" t="s">
        <v>32</v>
      </c>
      <c r="J414" s="13" t="s">
        <v>3923</v>
      </c>
      <c r="K414" s="14" t="s">
        <v>3971</v>
      </c>
      <c r="L414" s="15">
        <v>0</v>
      </c>
      <c r="M414" s="15" t="s">
        <v>144</v>
      </c>
      <c r="N414" s="16">
        <v>44600</v>
      </c>
      <c r="O414" s="12" t="s">
        <v>3969</v>
      </c>
      <c r="P414" s="14" t="s">
        <v>3972</v>
      </c>
      <c r="Q414" s="17" t="s">
        <v>137</v>
      </c>
      <c r="R414" s="17" t="s">
        <v>146</v>
      </c>
    </row>
    <row r="415" spans="1:18" x14ac:dyDescent="0.3">
      <c r="A415" s="12" t="s">
        <v>3984</v>
      </c>
      <c r="B415" s="12" t="s">
        <v>12</v>
      </c>
      <c r="C415" s="12"/>
      <c r="D415" s="12" t="s">
        <v>12</v>
      </c>
      <c r="E415" s="12" t="s">
        <v>3985</v>
      </c>
      <c r="F415" s="12" t="s">
        <v>3986</v>
      </c>
      <c r="G415" s="12" t="s">
        <v>3922</v>
      </c>
      <c r="H415" s="12" t="s">
        <v>42</v>
      </c>
      <c r="I415" s="12" t="s">
        <v>32</v>
      </c>
      <c r="J415" s="13" t="s">
        <v>3965</v>
      </c>
      <c r="K415" s="14" t="s">
        <v>3987</v>
      </c>
      <c r="L415" s="15">
        <v>0</v>
      </c>
      <c r="M415" s="15" t="s">
        <v>144</v>
      </c>
      <c r="N415" s="16">
        <v>45028</v>
      </c>
      <c r="O415" s="12" t="s">
        <v>3984</v>
      </c>
      <c r="P415" s="14" t="s">
        <v>3988</v>
      </c>
      <c r="Q415" s="17" t="s">
        <v>137</v>
      </c>
      <c r="R415" s="17" t="s">
        <v>146</v>
      </c>
    </row>
    <row r="416" spans="1:18" x14ac:dyDescent="0.3">
      <c r="A416" s="12" t="s">
        <v>3989</v>
      </c>
      <c r="B416" s="12" t="s">
        <v>12</v>
      </c>
      <c r="C416" s="12"/>
      <c r="D416" s="12" t="s">
        <v>12</v>
      </c>
      <c r="E416" s="12" t="s">
        <v>3990</v>
      </c>
      <c r="F416" s="12" t="s">
        <v>372</v>
      </c>
      <c r="G416" s="12" t="s">
        <v>3922</v>
      </c>
      <c r="H416" s="12" t="s">
        <v>42</v>
      </c>
      <c r="I416" s="12" t="s">
        <v>32</v>
      </c>
      <c r="J416" s="13" t="s">
        <v>3925</v>
      </c>
      <c r="K416" s="14" t="s">
        <v>3991</v>
      </c>
      <c r="L416" s="15">
        <v>4</v>
      </c>
      <c r="M416" s="15" t="s">
        <v>144</v>
      </c>
      <c r="N416" s="16">
        <v>45327</v>
      </c>
      <c r="O416" s="12" t="s">
        <v>3989</v>
      </c>
      <c r="P416" s="14" t="s">
        <v>3992</v>
      </c>
      <c r="Q416" s="17" t="s">
        <v>137</v>
      </c>
      <c r="R416" s="17" t="s">
        <v>146</v>
      </c>
    </row>
    <row r="417" spans="1:18" x14ac:dyDescent="0.3">
      <c r="A417" s="12" t="s">
        <v>3998</v>
      </c>
      <c r="B417" s="12" t="s">
        <v>12</v>
      </c>
      <c r="C417" s="12"/>
      <c r="D417" s="12" t="s">
        <v>12</v>
      </c>
      <c r="E417" s="12" t="s">
        <v>3999</v>
      </c>
      <c r="F417" s="12"/>
      <c r="G417" s="12" t="s">
        <v>3922</v>
      </c>
      <c r="H417" s="12" t="s">
        <v>42</v>
      </c>
      <c r="I417" s="12" t="s">
        <v>32</v>
      </c>
      <c r="J417" s="13" t="s">
        <v>3925</v>
      </c>
      <c r="K417" s="14" t="s">
        <v>4000</v>
      </c>
      <c r="L417" s="15">
        <v>0</v>
      </c>
      <c r="M417" s="15" t="s">
        <v>144</v>
      </c>
      <c r="N417" s="16">
        <v>46008</v>
      </c>
      <c r="O417" s="12" t="s">
        <v>3998</v>
      </c>
      <c r="P417" s="14" t="s">
        <v>4001</v>
      </c>
      <c r="Q417" s="17" t="s">
        <v>137</v>
      </c>
      <c r="R417" s="17" t="s">
        <v>146</v>
      </c>
    </row>
    <row r="418" spans="1:18" x14ac:dyDescent="0.3">
      <c r="A418" s="12" t="s">
        <v>4017</v>
      </c>
      <c r="B418" s="12" t="s">
        <v>12</v>
      </c>
      <c r="C418" s="12"/>
      <c r="D418" s="12" t="s">
        <v>12</v>
      </c>
      <c r="E418" s="12" t="s">
        <v>4018</v>
      </c>
      <c r="F418" s="12"/>
      <c r="G418" s="12" t="s">
        <v>3922</v>
      </c>
      <c r="H418" s="12" t="s">
        <v>42</v>
      </c>
      <c r="I418" s="12" t="s">
        <v>32</v>
      </c>
      <c r="J418" s="13" t="s">
        <v>3923</v>
      </c>
      <c r="K418" s="14" t="s">
        <v>4019</v>
      </c>
      <c r="L418" s="15">
        <v>1</v>
      </c>
      <c r="M418" s="15" t="s">
        <v>144</v>
      </c>
      <c r="N418" s="16">
        <v>45045</v>
      </c>
      <c r="O418" s="12" t="s">
        <v>4017</v>
      </c>
      <c r="P418" s="14" t="s">
        <v>4020</v>
      </c>
      <c r="Q418" s="17" t="s">
        <v>137</v>
      </c>
      <c r="R418" s="17" t="s">
        <v>146</v>
      </c>
    </row>
    <row r="419" spans="1:18" x14ac:dyDescent="0.3">
      <c r="A419" s="12" t="s">
        <v>4043</v>
      </c>
      <c r="B419" s="12" t="s">
        <v>12</v>
      </c>
      <c r="C419" s="12"/>
      <c r="D419" s="12" t="s">
        <v>12</v>
      </c>
      <c r="E419" s="12" t="s">
        <v>4044</v>
      </c>
      <c r="F419" s="12"/>
      <c r="G419" s="12" t="s">
        <v>4040</v>
      </c>
      <c r="H419" s="12" t="s">
        <v>56</v>
      </c>
      <c r="I419" s="12" t="s">
        <v>32</v>
      </c>
      <c r="J419" s="13" t="s">
        <v>4041</v>
      </c>
      <c r="K419" s="14" t="s">
        <v>4045</v>
      </c>
      <c r="L419" s="15">
        <v>1</v>
      </c>
      <c r="M419" s="15" t="s">
        <v>144</v>
      </c>
      <c r="N419" s="16">
        <v>46233</v>
      </c>
      <c r="O419" s="12" t="s">
        <v>4043</v>
      </c>
      <c r="P419" s="14" t="s">
        <v>4046</v>
      </c>
      <c r="Q419" s="17" t="s">
        <v>137</v>
      </c>
      <c r="R419" s="17" t="s">
        <v>146</v>
      </c>
    </row>
    <row r="420" spans="1:18" x14ac:dyDescent="0.3">
      <c r="A420" s="12" t="s">
        <v>4047</v>
      </c>
      <c r="B420" s="12" t="s">
        <v>12</v>
      </c>
      <c r="C420" s="12"/>
      <c r="D420" s="12" t="s">
        <v>12</v>
      </c>
      <c r="E420" s="12" t="s">
        <v>4048</v>
      </c>
      <c r="F420" s="12" t="s">
        <v>4049</v>
      </c>
      <c r="G420" s="12" t="s">
        <v>4040</v>
      </c>
      <c r="H420" s="12" t="s">
        <v>56</v>
      </c>
      <c r="I420" s="12" t="s">
        <v>32</v>
      </c>
      <c r="J420" s="13" t="s">
        <v>4041</v>
      </c>
      <c r="K420" s="14" t="s">
        <v>4050</v>
      </c>
      <c r="L420" s="15">
        <v>3</v>
      </c>
      <c r="M420" s="15" t="s">
        <v>144</v>
      </c>
      <c r="N420" s="16">
        <v>46077</v>
      </c>
      <c r="O420" s="12" t="s">
        <v>4051</v>
      </c>
      <c r="P420" s="14" t="s">
        <v>4052</v>
      </c>
      <c r="Q420" s="17" t="s">
        <v>137</v>
      </c>
      <c r="R420" s="17" t="s">
        <v>146</v>
      </c>
    </row>
    <row r="421" spans="1:18" x14ac:dyDescent="0.3">
      <c r="A421" s="12" t="s">
        <v>4064</v>
      </c>
      <c r="B421" s="12" t="s">
        <v>12</v>
      </c>
      <c r="C421" s="12"/>
      <c r="D421" s="12" t="s">
        <v>12</v>
      </c>
      <c r="E421" s="12" t="s">
        <v>4065</v>
      </c>
      <c r="F421" s="12"/>
      <c r="G421" s="12" t="s">
        <v>4061</v>
      </c>
      <c r="H421" s="12" t="s">
        <v>63</v>
      </c>
      <c r="I421" s="12" t="s">
        <v>32</v>
      </c>
      <c r="J421" s="13" t="s">
        <v>4062</v>
      </c>
      <c r="K421" s="14" t="s">
        <v>4066</v>
      </c>
      <c r="L421" s="15">
        <v>0</v>
      </c>
      <c r="M421" s="15" t="s">
        <v>144</v>
      </c>
      <c r="N421" s="16">
        <v>44769</v>
      </c>
      <c r="O421" s="12" t="s">
        <v>4067</v>
      </c>
      <c r="P421" s="14" t="s">
        <v>4068</v>
      </c>
      <c r="Q421" s="17" t="s">
        <v>137</v>
      </c>
      <c r="R421" s="17" t="s">
        <v>146</v>
      </c>
    </row>
    <row r="422" spans="1:18" x14ac:dyDescent="0.3">
      <c r="A422" s="12" t="s">
        <v>4078</v>
      </c>
      <c r="B422" s="12" t="s">
        <v>12</v>
      </c>
      <c r="C422" s="12"/>
      <c r="D422" s="12" t="s">
        <v>12</v>
      </c>
      <c r="E422" s="12" t="s">
        <v>4079</v>
      </c>
      <c r="F422" s="12" t="s">
        <v>952</v>
      </c>
      <c r="G422" s="12" t="s">
        <v>4061</v>
      </c>
      <c r="H422" s="12" t="s">
        <v>63</v>
      </c>
      <c r="I422" s="12" t="s">
        <v>32</v>
      </c>
      <c r="J422" s="13" t="s">
        <v>4062</v>
      </c>
      <c r="K422" s="14" t="s">
        <v>4080</v>
      </c>
      <c r="L422" s="15">
        <v>1</v>
      </c>
      <c r="M422" s="15" t="s">
        <v>144</v>
      </c>
      <c r="N422" s="16">
        <v>44629</v>
      </c>
      <c r="O422" s="12" t="s">
        <v>4078</v>
      </c>
      <c r="P422" s="14" t="s">
        <v>4081</v>
      </c>
      <c r="Q422" s="17" t="s">
        <v>137</v>
      </c>
      <c r="R422" s="17" t="s">
        <v>146</v>
      </c>
    </row>
    <row r="423" spans="1:18" x14ac:dyDescent="0.3">
      <c r="A423" s="12" t="s">
        <v>4082</v>
      </c>
      <c r="B423" s="12" t="s">
        <v>12</v>
      </c>
      <c r="C423" s="12"/>
      <c r="D423" s="12" t="s">
        <v>12</v>
      </c>
      <c r="E423" s="12" t="s">
        <v>4083</v>
      </c>
      <c r="F423" s="12" t="s">
        <v>1542</v>
      </c>
      <c r="G423" s="12" t="s">
        <v>105</v>
      </c>
      <c r="H423" s="12" t="s">
        <v>105</v>
      </c>
      <c r="I423" s="12" t="s">
        <v>32</v>
      </c>
      <c r="J423" s="13" t="s">
        <v>4084</v>
      </c>
      <c r="K423" s="14" t="s">
        <v>4085</v>
      </c>
      <c r="L423" s="15">
        <v>1</v>
      </c>
      <c r="M423" s="15" t="s">
        <v>144</v>
      </c>
      <c r="N423" s="16">
        <v>45414</v>
      </c>
      <c r="O423" s="12" t="s">
        <v>4086</v>
      </c>
      <c r="P423" s="14" t="s">
        <v>4087</v>
      </c>
      <c r="Q423" s="17" t="s">
        <v>137</v>
      </c>
      <c r="R423" s="17" t="s">
        <v>146</v>
      </c>
    </row>
    <row r="424" spans="1:18" x14ac:dyDescent="0.3">
      <c r="A424" s="12" t="s">
        <v>4088</v>
      </c>
      <c r="B424" s="12" t="s">
        <v>12</v>
      </c>
      <c r="C424" s="12"/>
      <c r="D424" s="12" t="s">
        <v>12</v>
      </c>
      <c r="E424" s="12" t="s">
        <v>4089</v>
      </c>
      <c r="F424" s="12" t="s">
        <v>345</v>
      </c>
      <c r="G424" s="12" t="s">
        <v>90</v>
      </c>
      <c r="H424" s="12" t="s">
        <v>90</v>
      </c>
      <c r="I424" s="12" t="s">
        <v>32</v>
      </c>
      <c r="J424" s="13" t="s">
        <v>4090</v>
      </c>
      <c r="K424" s="14" t="s">
        <v>4091</v>
      </c>
      <c r="L424" s="15">
        <v>1</v>
      </c>
      <c r="M424" s="15" t="s">
        <v>144</v>
      </c>
      <c r="N424" s="16">
        <v>44757</v>
      </c>
      <c r="O424" s="12" t="s">
        <v>4088</v>
      </c>
      <c r="P424" s="14" t="s">
        <v>4092</v>
      </c>
      <c r="Q424" s="17" t="s">
        <v>137</v>
      </c>
      <c r="R424" s="17" t="s">
        <v>146</v>
      </c>
    </row>
    <row r="425" spans="1:18" x14ac:dyDescent="0.3">
      <c r="A425" s="12" t="s">
        <v>4093</v>
      </c>
      <c r="B425" s="12" t="s">
        <v>12</v>
      </c>
      <c r="C425" s="12"/>
      <c r="D425" s="12" t="s">
        <v>12</v>
      </c>
      <c r="E425" s="12" t="s">
        <v>4094</v>
      </c>
      <c r="F425" s="12"/>
      <c r="G425" s="12" t="s">
        <v>90</v>
      </c>
      <c r="H425" s="12" t="s">
        <v>90</v>
      </c>
      <c r="I425" s="12" t="s">
        <v>32</v>
      </c>
      <c r="J425" s="13" t="s">
        <v>4090</v>
      </c>
      <c r="K425" s="14" t="s">
        <v>4095</v>
      </c>
      <c r="L425" s="15">
        <v>2</v>
      </c>
      <c r="M425" s="15" t="s">
        <v>144</v>
      </c>
      <c r="N425" s="16">
        <v>45863</v>
      </c>
      <c r="O425" s="12" t="s">
        <v>4093</v>
      </c>
      <c r="P425" s="14" t="s">
        <v>4096</v>
      </c>
      <c r="Q425" s="17" t="s">
        <v>137</v>
      </c>
      <c r="R425" s="17" t="s">
        <v>146</v>
      </c>
    </row>
    <row r="426" spans="1:18" x14ac:dyDescent="0.3">
      <c r="A426" s="12" t="s">
        <v>4097</v>
      </c>
      <c r="B426" s="12" t="s">
        <v>12</v>
      </c>
      <c r="C426" s="12"/>
      <c r="D426" s="12" t="s">
        <v>12</v>
      </c>
      <c r="E426" s="12" t="s">
        <v>4098</v>
      </c>
      <c r="F426" s="12"/>
      <c r="G426" s="12" t="s">
        <v>4099</v>
      </c>
      <c r="H426" s="12" t="s">
        <v>92</v>
      </c>
      <c r="I426" s="12" t="s">
        <v>33</v>
      </c>
      <c r="J426" s="13" t="s">
        <v>4100</v>
      </c>
      <c r="K426" s="14" t="s">
        <v>4101</v>
      </c>
      <c r="L426" s="15">
        <v>1</v>
      </c>
      <c r="M426" s="15" t="s">
        <v>144</v>
      </c>
      <c r="N426" s="16">
        <v>46223</v>
      </c>
      <c r="O426" s="12" t="s">
        <v>4097</v>
      </c>
      <c r="P426" s="14" t="s">
        <v>4102</v>
      </c>
      <c r="Q426" s="17" t="s">
        <v>137</v>
      </c>
      <c r="R426" s="17" t="s">
        <v>146</v>
      </c>
    </row>
    <row r="427" spans="1:18" x14ac:dyDescent="0.3">
      <c r="A427" s="12" t="s">
        <v>4103</v>
      </c>
      <c r="B427" s="12" t="s">
        <v>12</v>
      </c>
      <c r="C427" s="12"/>
      <c r="D427" s="12" t="s">
        <v>12</v>
      </c>
      <c r="E427" s="12" t="s">
        <v>4104</v>
      </c>
      <c r="F427" s="12"/>
      <c r="G427" s="12" t="s">
        <v>4105</v>
      </c>
      <c r="H427" s="12" t="s">
        <v>73</v>
      </c>
      <c r="I427" s="12" t="s">
        <v>33</v>
      </c>
      <c r="J427" s="13" t="s">
        <v>4106</v>
      </c>
      <c r="K427" s="14" t="s">
        <v>4107</v>
      </c>
      <c r="L427" s="15">
        <v>5</v>
      </c>
      <c r="M427" s="15" t="s">
        <v>144</v>
      </c>
      <c r="N427" s="16">
        <v>45943</v>
      </c>
      <c r="O427" s="12" t="s">
        <v>4103</v>
      </c>
      <c r="P427" s="14" t="s">
        <v>4108</v>
      </c>
      <c r="Q427" s="17" t="s">
        <v>137</v>
      </c>
      <c r="R427" s="17" t="s">
        <v>146</v>
      </c>
    </row>
    <row r="428" spans="1:18" x14ac:dyDescent="0.3">
      <c r="A428" s="12" t="s">
        <v>4109</v>
      </c>
      <c r="B428" s="12" t="s">
        <v>12</v>
      </c>
      <c r="C428" s="12"/>
      <c r="D428" s="12" t="s">
        <v>12</v>
      </c>
      <c r="E428" s="12" t="s">
        <v>4110</v>
      </c>
      <c r="F428" s="12"/>
      <c r="G428" s="12" t="s">
        <v>4105</v>
      </c>
      <c r="H428" s="12" t="s">
        <v>73</v>
      </c>
      <c r="I428" s="12" t="s">
        <v>33</v>
      </c>
      <c r="J428" s="13" t="s">
        <v>4106</v>
      </c>
      <c r="K428" s="14" t="s">
        <v>4111</v>
      </c>
      <c r="L428" s="15">
        <v>1</v>
      </c>
      <c r="M428" s="15" t="s">
        <v>144</v>
      </c>
      <c r="N428" s="16">
        <v>45761</v>
      </c>
      <c r="O428" s="12" t="s">
        <v>4109</v>
      </c>
      <c r="P428" s="14" t="s">
        <v>4112</v>
      </c>
      <c r="Q428" s="17" t="s">
        <v>137</v>
      </c>
      <c r="R428" s="17" t="s">
        <v>146</v>
      </c>
    </row>
    <row r="429" spans="1:18" x14ac:dyDescent="0.3">
      <c r="A429" s="12" t="s">
        <v>4113</v>
      </c>
      <c r="B429" s="12" t="s">
        <v>12</v>
      </c>
      <c r="C429" s="12"/>
      <c r="D429" s="12" t="s">
        <v>12</v>
      </c>
      <c r="E429" s="12" t="s">
        <v>4114</v>
      </c>
      <c r="F429" s="12"/>
      <c r="G429" s="12" t="s">
        <v>4105</v>
      </c>
      <c r="H429" s="12" t="s">
        <v>73</v>
      </c>
      <c r="I429" s="12" t="s">
        <v>33</v>
      </c>
      <c r="J429" s="13" t="s">
        <v>4106</v>
      </c>
      <c r="K429" s="14" t="s">
        <v>4115</v>
      </c>
      <c r="L429" s="15">
        <v>1</v>
      </c>
      <c r="M429" s="15" t="s">
        <v>144</v>
      </c>
      <c r="N429" s="16">
        <v>44763</v>
      </c>
      <c r="O429" s="12" t="s">
        <v>4116</v>
      </c>
      <c r="P429" s="14" t="s">
        <v>4117</v>
      </c>
      <c r="Q429" s="17" t="s">
        <v>137</v>
      </c>
      <c r="R429" s="17" t="s">
        <v>146</v>
      </c>
    </row>
    <row r="430" spans="1:18" x14ac:dyDescent="0.3">
      <c r="A430" s="12" t="s">
        <v>4118</v>
      </c>
      <c r="B430" s="12" t="s">
        <v>12</v>
      </c>
      <c r="C430" s="12"/>
      <c r="D430" s="12" t="s">
        <v>12</v>
      </c>
      <c r="E430" s="12" t="s">
        <v>4119</v>
      </c>
      <c r="F430" s="12"/>
      <c r="G430" s="12" t="s">
        <v>4120</v>
      </c>
      <c r="H430" s="12" t="s">
        <v>67</v>
      </c>
      <c r="I430" s="12" t="s">
        <v>33</v>
      </c>
      <c r="J430" s="13" t="s">
        <v>4121</v>
      </c>
      <c r="K430" s="14" t="s">
        <v>4122</v>
      </c>
      <c r="L430" s="15">
        <v>1</v>
      </c>
      <c r="M430" s="15" t="s">
        <v>144</v>
      </c>
      <c r="N430" s="16">
        <v>45762</v>
      </c>
      <c r="O430" s="12" t="s">
        <v>4118</v>
      </c>
      <c r="P430" s="14" t="s">
        <v>4123</v>
      </c>
      <c r="Q430" s="17" t="s">
        <v>137</v>
      </c>
      <c r="R430" s="17" t="s">
        <v>146</v>
      </c>
    </row>
    <row r="431" spans="1:18" x14ac:dyDescent="0.3">
      <c r="A431" s="12" t="s">
        <v>4145</v>
      </c>
      <c r="B431" s="12" t="s">
        <v>12</v>
      </c>
      <c r="C431" s="12"/>
      <c r="D431" s="12" t="s">
        <v>12</v>
      </c>
      <c r="E431" s="12" t="s">
        <v>4146</v>
      </c>
      <c r="F431" s="12"/>
      <c r="G431" s="12" t="s">
        <v>96</v>
      </c>
      <c r="H431" s="12" t="s">
        <v>55</v>
      </c>
      <c r="I431" s="12" t="s">
        <v>33</v>
      </c>
      <c r="J431" s="13" t="s">
        <v>4136</v>
      </c>
      <c r="K431" s="14" t="s">
        <v>4147</v>
      </c>
      <c r="L431" s="15">
        <v>0</v>
      </c>
      <c r="M431" s="15" t="s">
        <v>144</v>
      </c>
      <c r="N431" s="16">
        <v>45785</v>
      </c>
      <c r="O431" s="12" t="s">
        <v>4145</v>
      </c>
      <c r="P431" s="14" t="s">
        <v>4148</v>
      </c>
      <c r="Q431" s="17" t="s">
        <v>137</v>
      </c>
      <c r="R431" s="17" t="s">
        <v>146</v>
      </c>
    </row>
    <row r="432" spans="1:18" x14ac:dyDescent="0.3">
      <c r="A432" s="12" t="s">
        <v>4149</v>
      </c>
      <c r="B432" s="12" t="s">
        <v>12</v>
      </c>
      <c r="C432" s="12"/>
      <c r="D432" s="12" t="s">
        <v>12</v>
      </c>
      <c r="E432" s="12" t="s">
        <v>4150</v>
      </c>
      <c r="F432" s="12"/>
      <c r="G432" s="12" t="s">
        <v>96</v>
      </c>
      <c r="H432" s="12" t="s">
        <v>55</v>
      </c>
      <c r="I432" s="12" t="s">
        <v>33</v>
      </c>
      <c r="J432" s="13" t="s">
        <v>4136</v>
      </c>
      <c r="K432" s="14" t="s">
        <v>4151</v>
      </c>
      <c r="L432" s="15">
        <v>5</v>
      </c>
      <c r="M432" s="15" t="s">
        <v>144</v>
      </c>
      <c r="N432" s="16">
        <v>45317</v>
      </c>
      <c r="O432" s="12" t="s">
        <v>4149</v>
      </c>
      <c r="P432" s="14" t="s">
        <v>4152</v>
      </c>
      <c r="Q432" s="17" t="s">
        <v>137</v>
      </c>
      <c r="R432" s="17" t="s">
        <v>146</v>
      </c>
    </row>
    <row r="433" spans="1:18" x14ac:dyDescent="0.3">
      <c r="A433" s="12" t="s">
        <v>4153</v>
      </c>
      <c r="B433" s="12" t="s">
        <v>12</v>
      </c>
      <c r="C433" s="12"/>
      <c r="D433" s="12" t="s">
        <v>12</v>
      </c>
      <c r="E433" s="12" t="s">
        <v>4154</v>
      </c>
      <c r="F433" s="12"/>
      <c r="G433" s="12" t="s">
        <v>96</v>
      </c>
      <c r="H433" s="12" t="s">
        <v>55</v>
      </c>
      <c r="I433" s="12" t="s">
        <v>33</v>
      </c>
      <c r="J433" s="13" t="s">
        <v>4136</v>
      </c>
      <c r="K433" s="14" t="s">
        <v>4155</v>
      </c>
      <c r="L433" s="15">
        <v>1</v>
      </c>
      <c r="M433" s="15" t="s">
        <v>144</v>
      </c>
      <c r="N433" s="16">
        <v>44844</v>
      </c>
      <c r="O433" s="12" t="s">
        <v>4156</v>
      </c>
      <c r="P433" s="14" t="s">
        <v>4157</v>
      </c>
      <c r="Q433" s="17" t="s">
        <v>137</v>
      </c>
      <c r="R433" s="17" t="s">
        <v>146</v>
      </c>
    </row>
    <row r="434" spans="1:18" x14ac:dyDescent="0.3">
      <c r="A434" s="12" t="s">
        <v>4158</v>
      </c>
      <c r="B434" s="12" t="s">
        <v>12</v>
      </c>
      <c r="C434" s="12"/>
      <c r="D434" s="12" t="s">
        <v>12</v>
      </c>
      <c r="E434" s="12" t="s">
        <v>4159</v>
      </c>
      <c r="F434" s="12"/>
      <c r="G434" s="12" t="s">
        <v>96</v>
      </c>
      <c r="H434" s="12" t="s">
        <v>55</v>
      </c>
      <c r="I434" s="12" t="s">
        <v>33</v>
      </c>
      <c r="J434" s="13" t="s">
        <v>4136</v>
      </c>
      <c r="K434" s="14" t="s">
        <v>4160</v>
      </c>
      <c r="L434" s="15">
        <v>2</v>
      </c>
      <c r="M434" s="15" t="s">
        <v>144</v>
      </c>
      <c r="N434" s="16">
        <v>45824</v>
      </c>
      <c r="O434" s="12" t="s">
        <v>4158</v>
      </c>
      <c r="P434" s="14" t="s">
        <v>4161</v>
      </c>
      <c r="Q434" s="17" t="s">
        <v>137</v>
      </c>
      <c r="R434" s="17" t="s">
        <v>146</v>
      </c>
    </row>
    <row r="435" spans="1:18" x14ac:dyDescent="0.3">
      <c r="A435" s="12" t="s">
        <v>4170</v>
      </c>
      <c r="B435" s="12" t="s">
        <v>12</v>
      </c>
      <c r="C435" s="12"/>
      <c r="D435" s="12" t="s">
        <v>12</v>
      </c>
      <c r="E435" s="12" t="s">
        <v>4171</v>
      </c>
      <c r="F435" s="12"/>
      <c r="G435" s="12" t="s">
        <v>4172</v>
      </c>
      <c r="H435" s="12" t="s">
        <v>65</v>
      </c>
      <c r="I435" s="12" t="s">
        <v>33</v>
      </c>
      <c r="J435" s="13" t="s">
        <v>4173</v>
      </c>
      <c r="K435" s="14" t="s">
        <v>4174</v>
      </c>
      <c r="L435" s="15">
        <v>1</v>
      </c>
      <c r="M435" s="15" t="s">
        <v>144</v>
      </c>
      <c r="N435" s="16">
        <v>44754</v>
      </c>
      <c r="O435" s="12" t="s">
        <v>4170</v>
      </c>
      <c r="P435" s="14" t="s">
        <v>4175</v>
      </c>
      <c r="Q435" s="17" t="s">
        <v>137</v>
      </c>
      <c r="R435" s="17" t="s">
        <v>146</v>
      </c>
    </row>
    <row r="436" spans="1:18" x14ac:dyDescent="0.3">
      <c r="A436" s="12" t="s">
        <v>4176</v>
      </c>
      <c r="B436" s="12" t="s">
        <v>12</v>
      </c>
      <c r="C436" s="12"/>
      <c r="D436" s="12" t="s">
        <v>12</v>
      </c>
      <c r="E436" s="12" t="s">
        <v>4177</v>
      </c>
      <c r="F436" s="12"/>
      <c r="G436" s="12" t="s">
        <v>4172</v>
      </c>
      <c r="H436" s="12" t="s">
        <v>65</v>
      </c>
      <c r="I436" s="12" t="s">
        <v>33</v>
      </c>
      <c r="J436" s="13" t="s">
        <v>4173</v>
      </c>
      <c r="K436" s="14" t="s">
        <v>4178</v>
      </c>
      <c r="L436" s="15">
        <v>1</v>
      </c>
      <c r="M436" s="15" t="s">
        <v>144</v>
      </c>
      <c r="N436" s="16">
        <v>45675</v>
      </c>
      <c r="O436" s="12" t="s">
        <v>4176</v>
      </c>
      <c r="P436" s="14" t="s">
        <v>4179</v>
      </c>
      <c r="Q436" s="17" t="s">
        <v>137</v>
      </c>
      <c r="R436" s="17" t="s">
        <v>146</v>
      </c>
    </row>
    <row r="437" spans="1:18" x14ac:dyDescent="0.3">
      <c r="A437" s="12" t="s">
        <v>4203</v>
      </c>
      <c r="B437" s="12" t="s">
        <v>12</v>
      </c>
      <c r="C437" s="12"/>
      <c r="D437" s="12" t="s">
        <v>12</v>
      </c>
      <c r="E437" s="12" t="s">
        <v>4204</v>
      </c>
      <c r="F437" s="12"/>
      <c r="G437" s="12" t="s">
        <v>4205</v>
      </c>
      <c r="H437" s="12" t="s">
        <v>101</v>
      </c>
      <c r="I437" s="12" t="s">
        <v>33</v>
      </c>
      <c r="J437" s="13" t="s">
        <v>4206</v>
      </c>
      <c r="K437" s="14" t="s">
        <v>4207</v>
      </c>
      <c r="L437" s="15">
        <v>4</v>
      </c>
      <c r="M437" s="15" t="s">
        <v>144</v>
      </c>
      <c r="N437" s="16">
        <v>45176</v>
      </c>
      <c r="O437" s="12" t="s">
        <v>4203</v>
      </c>
      <c r="P437" s="14" t="s">
        <v>4208</v>
      </c>
      <c r="Q437" s="17" t="s">
        <v>137</v>
      </c>
      <c r="R437" s="17" t="s">
        <v>146</v>
      </c>
    </row>
    <row r="438" spans="1:18" x14ac:dyDescent="0.3">
      <c r="A438" s="12" t="s">
        <v>4220</v>
      </c>
      <c r="B438" s="12" t="s">
        <v>12</v>
      </c>
      <c r="C438" s="12"/>
      <c r="D438" s="12" t="s">
        <v>12</v>
      </c>
      <c r="E438" s="12" t="s">
        <v>4221</v>
      </c>
      <c r="F438" s="12"/>
      <c r="G438" s="12" t="s">
        <v>4222</v>
      </c>
      <c r="H438" s="12" t="s">
        <v>102</v>
      </c>
      <c r="I438" s="12" t="s">
        <v>33</v>
      </c>
      <c r="J438" s="13" t="s">
        <v>4223</v>
      </c>
      <c r="K438" s="14" t="s">
        <v>4224</v>
      </c>
      <c r="L438" s="15">
        <v>1</v>
      </c>
      <c r="M438" s="15" t="s">
        <v>144</v>
      </c>
      <c r="N438" s="16">
        <v>45593</v>
      </c>
      <c r="O438" s="12" t="s">
        <v>4225</v>
      </c>
      <c r="P438" s="14" t="s">
        <v>4226</v>
      </c>
      <c r="Q438" s="17" t="s">
        <v>137</v>
      </c>
      <c r="R438" s="17" t="s">
        <v>146</v>
      </c>
    </row>
    <row r="439" spans="1:18" x14ac:dyDescent="0.3">
      <c r="A439" s="12" t="s">
        <v>4227</v>
      </c>
      <c r="B439" s="12" t="s">
        <v>12</v>
      </c>
      <c r="C439" s="12"/>
      <c r="D439" s="12" t="s">
        <v>12</v>
      </c>
      <c r="E439" s="12" t="s">
        <v>4228</v>
      </c>
      <c r="F439" s="12"/>
      <c r="G439" s="12" t="s">
        <v>4229</v>
      </c>
      <c r="H439" s="12" t="s">
        <v>103</v>
      </c>
      <c r="I439" s="12" t="s">
        <v>33</v>
      </c>
      <c r="J439" s="13" t="s">
        <v>4230</v>
      </c>
      <c r="K439" s="14" t="s">
        <v>4231</v>
      </c>
      <c r="L439" s="15">
        <v>2</v>
      </c>
      <c r="M439" s="15" t="s">
        <v>144</v>
      </c>
      <c r="N439" s="16">
        <v>45035</v>
      </c>
      <c r="O439" s="12" t="s">
        <v>4227</v>
      </c>
      <c r="P439" s="14" t="s">
        <v>4232</v>
      </c>
      <c r="Q439" s="17" t="s">
        <v>137</v>
      </c>
      <c r="R439" s="17" t="s">
        <v>146</v>
      </c>
    </row>
    <row r="440" spans="1:18" x14ac:dyDescent="0.3">
      <c r="A440" s="12" t="s">
        <v>4237</v>
      </c>
      <c r="B440" s="12" t="s">
        <v>12</v>
      </c>
      <c r="C440" s="12"/>
      <c r="D440" s="12" t="s">
        <v>12</v>
      </c>
      <c r="E440" s="12" t="s">
        <v>4238</v>
      </c>
      <c r="F440" s="12"/>
      <c r="G440" s="12" t="s">
        <v>4239</v>
      </c>
      <c r="H440" s="12" t="s">
        <v>79</v>
      </c>
      <c r="I440" s="12" t="s">
        <v>33</v>
      </c>
      <c r="J440" s="13" t="s">
        <v>4240</v>
      </c>
      <c r="K440" s="14" t="s">
        <v>4241</v>
      </c>
      <c r="L440" s="15">
        <v>2</v>
      </c>
      <c r="M440" s="15" t="s">
        <v>144</v>
      </c>
      <c r="N440" s="16">
        <v>44960</v>
      </c>
      <c r="O440" s="12" t="s">
        <v>4237</v>
      </c>
      <c r="P440" s="14" t="s">
        <v>4242</v>
      </c>
      <c r="Q440" s="17" t="s">
        <v>137</v>
      </c>
      <c r="R440" s="17" t="s">
        <v>146</v>
      </c>
    </row>
    <row r="441" spans="1:18" x14ac:dyDescent="0.3">
      <c r="A441" s="12" t="s">
        <v>4243</v>
      </c>
      <c r="B441" s="12" t="s">
        <v>12</v>
      </c>
      <c r="C441" s="12"/>
      <c r="D441" s="12" t="s">
        <v>12</v>
      </c>
      <c r="E441" s="12" t="s">
        <v>4244</v>
      </c>
      <c r="F441" s="12"/>
      <c r="G441" s="12" t="s">
        <v>4239</v>
      </c>
      <c r="H441" s="12" t="s">
        <v>79</v>
      </c>
      <c r="I441" s="12" t="s">
        <v>33</v>
      </c>
      <c r="J441" s="13" t="s">
        <v>4240</v>
      </c>
      <c r="K441" s="14" t="s">
        <v>4245</v>
      </c>
      <c r="L441" s="15">
        <v>0</v>
      </c>
      <c r="M441" s="15" t="s">
        <v>144</v>
      </c>
      <c r="N441" s="16">
        <v>45873</v>
      </c>
      <c r="O441" s="12" t="s">
        <v>4243</v>
      </c>
      <c r="P441" s="14" t="s">
        <v>4246</v>
      </c>
      <c r="Q441" s="17" t="s">
        <v>137</v>
      </c>
      <c r="R441" s="17" t="s">
        <v>146</v>
      </c>
    </row>
  </sheetData>
  <conditionalFormatting sqref="M2:M441">
    <cfRule type="expression" dxfId="9" priority="1">
      <formula>$M2="Yes"</formula>
    </cfRule>
  </conditionalFormatting>
  <hyperlinks>
    <hyperlink ref="Q2" r:id="rId1" xr:uid="{00000000-0004-0000-0300-000000000000}"/>
    <hyperlink ref="R2" r:id="rId2" xr:uid="{00000000-0004-0000-0300-000001000000}"/>
    <hyperlink ref="Q3" r:id="rId3" xr:uid="{00000000-0004-0000-0300-000002000000}"/>
    <hyperlink ref="R3" r:id="rId4" xr:uid="{00000000-0004-0000-0300-000003000000}"/>
    <hyperlink ref="Q4" r:id="rId5" xr:uid="{00000000-0004-0000-0300-000004000000}"/>
    <hyperlink ref="R4" r:id="rId6" xr:uid="{00000000-0004-0000-0300-000005000000}"/>
    <hyperlink ref="Q5" r:id="rId7" xr:uid="{00000000-0004-0000-0300-000006000000}"/>
    <hyperlink ref="R5" r:id="rId8" xr:uid="{00000000-0004-0000-0300-000007000000}"/>
    <hyperlink ref="Q6" r:id="rId9" xr:uid="{00000000-0004-0000-0300-000008000000}"/>
    <hyperlink ref="R6" r:id="rId10" xr:uid="{00000000-0004-0000-0300-000009000000}"/>
    <hyperlink ref="Q7" r:id="rId11" xr:uid="{00000000-0004-0000-0300-00000A000000}"/>
    <hyperlink ref="R7" r:id="rId12" xr:uid="{00000000-0004-0000-0300-00000B000000}"/>
    <hyperlink ref="Q8" r:id="rId13" xr:uid="{00000000-0004-0000-0300-00000C000000}"/>
    <hyperlink ref="R8" r:id="rId14" xr:uid="{00000000-0004-0000-0300-00000D000000}"/>
    <hyperlink ref="Q9" r:id="rId15" xr:uid="{00000000-0004-0000-0300-00000E000000}"/>
    <hyperlink ref="R9" r:id="rId16" xr:uid="{00000000-0004-0000-0300-00000F000000}"/>
    <hyperlink ref="Q10" r:id="rId17" xr:uid="{00000000-0004-0000-0300-000010000000}"/>
    <hyperlink ref="R10" r:id="rId18" xr:uid="{00000000-0004-0000-0300-000011000000}"/>
    <hyperlink ref="Q11" r:id="rId19" xr:uid="{00000000-0004-0000-0300-000012000000}"/>
    <hyperlink ref="R11" r:id="rId20" xr:uid="{00000000-0004-0000-0300-000013000000}"/>
    <hyperlink ref="Q12" r:id="rId21" xr:uid="{00000000-0004-0000-0300-000014000000}"/>
    <hyperlink ref="R12" r:id="rId22" xr:uid="{00000000-0004-0000-0300-000015000000}"/>
    <hyperlink ref="Q13" r:id="rId23" xr:uid="{00000000-0004-0000-0300-000016000000}"/>
    <hyperlink ref="R13" r:id="rId24" xr:uid="{00000000-0004-0000-0300-000017000000}"/>
    <hyperlink ref="Q14" r:id="rId25" xr:uid="{00000000-0004-0000-0300-000018000000}"/>
    <hyperlink ref="R14" r:id="rId26" xr:uid="{00000000-0004-0000-0300-000019000000}"/>
    <hyperlink ref="Q15" r:id="rId27" xr:uid="{00000000-0004-0000-0300-00001A000000}"/>
    <hyperlink ref="R15" r:id="rId28" xr:uid="{00000000-0004-0000-0300-00001B000000}"/>
    <hyperlink ref="Q16" r:id="rId29" xr:uid="{00000000-0004-0000-0300-00001C000000}"/>
    <hyperlink ref="R16" r:id="rId30" xr:uid="{00000000-0004-0000-0300-00001D000000}"/>
    <hyperlink ref="Q17" r:id="rId31" xr:uid="{00000000-0004-0000-0300-00001E000000}"/>
    <hyperlink ref="R17" r:id="rId32" xr:uid="{00000000-0004-0000-0300-00001F000000}"/>
    <hyperlink ref="Q18" r:id="rId33" xr:uid="{00000000-0004-0000-0300-000020000000}"/>
    <hyperlink ref="R18" r:id="rId34" xr:uid="{00000000-0004-0000-0300-000021000000}"/>
    <hyperlink ref="Q19" r:id="rId35" xr:uid="{00000000-0004-0000-0300-000022000000}"/>
    <hyperlink ref="R19" r:id="rId36" xr:uid="{00000000-0004-0000-0300-000023000000}"/>
    <hyperlink ref="Q20" r:id="rId37" xr:uid="{00000000-0004-0000-0300-000024000000}"/>
    <hyperlink ref="R20" r:id="rId38" xr:uid="{00000000-0004-0000-0300-000025000000}"/>
    <hyperlink ref="Q21" r:id="rId39" xr:uid="{00000000-0004-0000-0300-000026000000}"/>
    <hyperlink ref="R21" r:id="rId40" xr:uid="{00000000-0004-0000-0300-000027000000}"/>
    <hyperlink ref="Q22" r:id="rId41" xr:uid="{00000000-0004-0000-0300-000028000000}"/>
    <hyperlink ref="R22" r:id="rId42" xr:uid="{00000000-0004-0000-0300-000029000000}"/>
    <hyperlink ref="Q23" r:id="rId43" xr:uid="{00000000-0004-0000-0300-00002A000000}"/>
    <hyperlink ref="R23" r:id="rId44" xr:uid="{00000000-0004-0000-0300-00002B000000}"/>
    <hyperlink ref="Q24" r:id="rId45" xr:uid="{00000000-0004-0000-0300-00002C000000}"/>
    <hyperlink ref="R24" r:id="rId46" xr:uid="{00000000-0004-0000-0300-00002D000000}"/>
    <hyperlink ref="Q25" r:id="rId47" xr:uid="{00000000-0004-0000-0300-00002E000000}"/>
    <hyperlink ref="R25" r:id="rId48" xr:uid="{00000000-0004-0000-0300-00002F000000}"/>
    <hyperlink ref="Q26" r:id="rId49" xr:uid="{00000000-0004-0000-0300-000030000000}"/>
    <hyperlink ref="R26" r:id="rId50" xr:uid="{00000000-0004-0000-0300-000031000000}"/>
    <hyperlink ref="Q27" r:id="rId51" xr:uid="{00000000-0004-0000-0300-000032000000}"/>
    <hyperlink ref="R27" r:id="rId52" xr:uid="{00000000-0004-0000-0300-000033000000}"/>
    <hyperlink ref="Q28" r:id="rId53" xr:uid="{00000000-0004-0000-0300-000034000000}"/>
    <hyperlink ref="R28" r:id="rId54" xr:uid="{00000000-0004-0000-0300-000035000000}"/>
    <hyperlink ref="Q29" r:id="rId55" xr:uid="{00000000-0004-0000-0300-000036000000}"/>
    <hyperlink ref="R29" r:id="rId56" xr:uid="{00000000-0004-0000-0300-000037000000}"/>
    <hyperlink ref="Q30" r:id="rId57" xr:uid="{00000000-0004-0000-0300-000038000000}"/>
    <hyperlink ref="R30" r:id="rId58" xr:uid="{00000000-0004-0000-0300-000039000000}"/>
    <hyperlink ref="Q31" r:id="rId59" xr:uid="{00000000-0004-0000-0300-00003A000000}"/>
    <hyperlink ref="R31" r:id="rId60" xr:uid="{00000000-0004-0000-0300-00003B000000}"/>
    <hyperlink ref="Q32" r:id="rId61" xr:uid="{00000000-0004-0000-0300-00003C000000}"/>
    <hyperlink ref="R32" r:id="rId62" xr:uid="{00000000-0004-0000-0300-00003D000000}"/>
    <hyperlink ref="Q33" r:id="rId63" xr:uid="{00000000-0004-0000-0300-00003E000000}"/>
    <hyperlink ref="R33" r:id="rId64" xr:uid="{00000000-0004-0000-0300-00003F000000}"/>
    <hyperlink ref="Q34" r:id="rId65" xr:uid="{00000000-0004-0000-0300-000040000000}"/>
    <hyperlink ref="R34" r:id="rId66" xr:uid="{00000000-0004-0000-0300-000041000000}"/>
    <hyperlink ref="Q35" r:id="rId67" xr:uid="{00000000-0004-0000-0300-000042000000}"/>
    <hyperlink ref="R35" r:id="rId68" xr:uid="{00000000-0004-0000-0300-000043000000}"/>
    <hyperlink ref="Q36" r:id="rId69" xr:uid="{00000000-0004-0000-0300-000044000000}"/>
    <hyperlink ref="R36" r:id="rId70" xr:uid="{00000000-0004-0000-0300-000045000000}"/>
    <hyperlink ref="Q37" r:id="rId71" xr:uid="{00000000-0004-0000-0300-000046000000}"/>
    <hyperlink ref="R37" r:id="rId72" xr:uid="{00000000-0004-0000-0300-000047000000}"/>
    <hyperlink ref="Q38" r:id="rId73" xr:uid="{00000000-0004-0000-0300-000048000000}"/>
    <hyperlink ref="R38" r:id="rId74" xr:uid="{00000000-0004-0000-0300-000049000000}"/>
    <hyperlink ref="Q39" r:id="rId75" xr:uid="{00000000-0004-0000-0300-00004A000000}"/>
    <hyperlink ref="R39" r:id="rId76" xr:uid="{00000000-0004-0000-0300-00004B000000}"/>
    <hyperlink ref="Q40" r:id="rId77" xr:uid="{00000000-0004-0000-0300-00004C000000}"/>
    <hyperlink ref="R40" r:id="rId78" xr:uid="{00000000-0004-0000-0300-00004D000000}"/>
    <hyperlink ref="Q41" r:id="rId79" xr:uid="{00000000-0004-0000-0300-00004E000000}"/>
    <hyperlink ref="R41" r:id="rId80" xr:uid="{00000000-0004-0000-0300-00004F000000}"/>
    <hyperlink ref="Q42" r:id="rId81" xr:uid="{00000000-0004-0000-0300-000050000000}"/>
    <hyperlink ref="R42" r:id="rId82" xr:uid="{00000000-0004-0000-0300-000051000000}"/>
    <hyperlink ref="Q43" r:id="rId83" xr:uid="{00000000-0004-0000-0300-000052000000}"/>
    <hyperlink ref="R43" r:id="rId84" xr:uid="{00000000-0004-0000-0300-000053000000}"/>
    <hyperlink ref="Q44" r:id="rId85" xr:uid="{00000000-0004-0000-0300-000054000000}"/>
    <hyperlink ref="R44" r:id="rId86" xr:uid="{00000000-0004-0000-0300-000055000000}"/>
    <hyperlink ref="Q45" r:id="rId87" xr:uid="{00000000-0004-0000-0300-000056000000}"/>
    <hyperlink ref="R45" r:id="rId88" xr:uid="{00000000-0004-0000-0300-000057000000}"/>
    <hyperlink ref="Q46" r:id="rId89" xr:uid="{00000000-0004-0000-0300-000058000000}"/>
    <hyperlink ref="R46" r:id="rId90" xr:uid="{00000000-0004-0000-0300-000059000000}"/>
    <hyperlink ref="Q47" r:id="rId91" xr:uid="{00000000-0004-0000-0300-00005A000000}"/>
    <hyperlink ref="R47" r:id="rId92" xr:uid="{00000000-0004-0000-0300-00005B000000}"/>
    <hyperlink ref="Q48" r:id="rId93" xr:uid="{00000000-0004-0000-0300-00005C000000}"/>
    <hyperlink ref="R48" r:id="rId94" xr:uid="{00000000-0004-0000-0300-00005D000000}"/>
    <hyperlink ref="Q49" r:id="rId95" xr:uid="{00000000-0004-0000-0300-00005E000000}"/>
    <hyperlink ref="R49" r:id="rId96" xr:uid="{00000000-0004-0000-0300-00005F000000}"/>
    <hyperlink ref="Q50" r:id="rId97" xr:uid="{00000000-0004-0000-0300-000060000000}"/>
    <hyperlink ref="R50" r:id="rId98" xr:uid="{00000000-0004-0000-0300-000061000000}"/>
    <hyperlink ref="Q51" r:id="rId99" xr:uid="{00000000-0004-0000-0300-000062000000}"/>
    <hyperlink ref="R51" r:id="rId100" xr:uid="{00000000-0004-0000-0300-000063000000}"/>
    <hyperlink ref="Q52" r:id="rId101" xr:uid="{00000000-0004-0000-0300-000064000000}"/>
    <hyperlink ref="R52" r:id="rId102" xr:uid="{00000000-0004-0000-0300-000065000000}"/>
    <hyperlink ref="Q53" r:id="rId103" xr:uid="{00000000-0004-0000-0300-000066000000}"/>
    <hyperlink ref="R53" r:id="rId104" xr:uid="{00000000-0004-0000-0300-000067000000}"/>
    <hyperlink ref="Q54" r:id="rId105" xr:uid="{00000000-0004-0000-0300-000068000000}"/>
    <hyperlink ref="R54" r:id="rId106" xr:uid="{00000000-0004-0000-0300-000069000000}"/>
    <hyperlink ref="Q55" r:id="rId107" xr:uid="{00000000-0004-0000-0300-00006A000000}"/>
    <hyperlink ref="R55" r:id="rId108" xr:uid="{00000000-0004-0000-0300-00006B000000}"/>
    <hyperlink ref="Q56" r:id="rId109" xr:uid="{00000000-0004-0000-0300-00006C000000}"/>
    <hyperlink ref="R56" r:id="rId110" xr:uid="{00000000-0004-0000-0300-00006D000000}"/>
    <hyperlink ref="Q57" r:id="rId111" xr:uid="{00000000-0004-0000-0300-00006E000000}"/>
    <hyperlink ref="R57" r:id="rId112" xr:uid="{00000000-0004-0000-0300-00006F000000}"/>
    <hyperlink ref="Q58" r:id="rId113" xr:uid="{00000000-0004-0000-0300-000070000000}"/>
    <hyperlink ref="R58" r:id="rId114" xr:uid="{00000000-0004-0000-0300-000071000000}"/>
    <hyperlink ref="Q59" r:id="rId115" xr:uid="{00000000-0004-0000-0300-000072000000}"/>
    <hyperlink ref="R59" r:id="rId116" xr:uid="{00000000-0004-0000-0300-000073000000}"/>
    <hyperlink ref="Q60" r:id="rId117" xr:uid="{00000000-0004-0000-0300-000074000000}"/>
    <hyperlink ref="R60" r:id="rId118" xr:uid="{00000000-0004-0000-0300-000075000000}"/>
    <hyperlink ref="Q61" r:id="rId119" xr:uid="{00000000-0004-0000-0300-000076000000}"/>
    <hyperlink ref="R61" r:id="rId120" xr:uid="{00000000-0004-0000-0300-000077000000}"/>
    <hyperlink ref="Q62" r:id="rId121" xr:uid="{00000000-0004-0000-0300-000078000000}"/>
    <hyperlink ref="R62" r:id="rId122" xr:uid="{00000000-0004-0000-0300-000079000000}"/>
    <hyperlink ref="Q63" r:id="rId123" xr:uid="{00000000-0004-0000-0300-00007A000000}"/>
    <hyperlink ref="R63" r:id="rId124" xr:uid="{00000000-0004-0000-0300-00007B000000}"/>
    <hyperlink ref="Q64" r:id="rId125" xr:uid="{00000000-0004-0000-0300-00007C000000}"/>
    <hyperlink ref="R64" r:id="rId126" xr:uid="{00000000-0004-0000-0300-00007D000000}"/>
    <hyperlink ref="Q65" r:id="rId127" xr:uid="{00000000-0004-0000-0300-00007E000000}"/>
    <hyperlink ref="R65" r:id="rId128" xr:uid="{00000000-0004-0000-0300-00007F000000}"/>
    <hyperlink ref="Q66" r:id="rId129" xr:uid="{00000000-0004-0000-0300-000080000000}"/>
    <hyperlink ref="R66" r:id="rId130" xr:uid="{00000000-0004-0000-0300-000081000000}"/>
    <hyperlink ref="Q67" r:id="rId131" xr:uid="{00000000-0004-0000-0300-000082000000}"/>
    <hyperlink ref="R67" r:id="rId132" xr:uid="{00000000-0004-0000-0300-000083000000}"/>
    <hyperlink ref="Q68" r:id="rId133" xr:uid="{00000000-0004-0000-0300-000084000000}"/>
    <hyperlink ref="R68" r:id="rId134" xr:uid="{00000000-0004-0000-0300-000085000000}"/>
    <hyperlink ref="Q69" r:id="rId135" xr:uid="{00000000-0004-0000-0300-000086000000}"/>
    <hyperlink ref="R69" r:id="rId136" xr:uid="{00000000-0004-0000-0300-000087000000}"/>
    <hyperlink ref="Q70" r:id="rId137" xr:uid="{00000000-0004-0000-0300-000088000000}"/>
    <hyperlink ref="R70" r:id="rId138" xr:uid="{00000000-0004-0000-0300-000089000000}"/>
    <hyperlink ref="Q71" r:id="rId139" xr:uid="{00000000-0004-0000-0300-00008A000000}"/>
    <hyperlink ref="R71" r:id="rId140" xr:uid="{00000000-0004-0000-0300-00008B000000}"/>
    <hyperlink ref="Q72" r:id="rId141" xr:uid="{00000000-0004-0000-0300-00008C000000}"/>
    <hyperlink ref="R72" r:id="rId142" xr:uid="{00000000-0004-0000-0300-00008D000000}"/>
    <hyperlink ref="Q73" r:id="rId143" xr:uid="{00000000-0004-0000-0300-00008E000000}"/>
    <hyperlink ref="R73" r:id="rId144" xr:uid="{00000000-0004-0000-0300-00008F000000}"/>
    <hyperlink ref="Q74" r:id="rId145" xr:uid="{00000000-0004-0000-0300-000090000000}"/>
    <hyperlink ref="R74" r:id="rId146" xr:uid="{00000000-0004-0000-0300-000091000000}"/>
    <hyperlink ref="Q75" r:id="rId147" xr:uid="{00000000-0004-0000-0300-000092000000}"/>
    <hyperlink ref="R75" r:id="rId148" xr:uid="{00000000-0004-0000-0300-000093000000}"/>
    <hyperlink ref="Q76" r:id="rId149" xr:uid="{00000000-0004-0000-0300-000094000000}"/>
    <hyperlink ref="R76" r:id="rId150" xr:uid="{00000000-0004-0000-0300-000095000000}"/>
    <hyperlink ref="Q77" r:id="rId151" xr:uid="{00000000-0004-0000-0300-000096000000}"/>
    <hyperlink ref="R77" r:id="rId152" xr:uid="{00000000-0004-0000-0300-000097000000}"/>
    <hyperlink ref="Q78" r:id="rId153" xr:uid="{00000000-0004-0000-0300-000098000000}"/>
    <hyperlink ref="R78" r:id="rId154" xr:uid="{00000000-0004-0000-0300-000099000000}"/>
    <hyperlink ref="Q79" r:id="rId155" xr:uid="{00000000-0004-0000-0300-00009A000000}"/>
    <hyperlink ref="R79" r:id="rId156" xr:uid="{00000000-0004-0000-0300-00009B000000}"/>
    <hyperlink ref="Q80" r:id="rId157" xr:uid="{00000000-0004-0000-0300-00009C000000}"/>
    <hyperlink ref="R80" r:id="rId158" xr:uid="{00000000-0004-0000-0300-00009D000000}"/>
    <hyperlink ref="Q81" r:id="rId159" xr:uid="{00000000-0004-0000-0300-00009E000000}"/>
    <hyperlink ref="R81" r:id="rId160" xr:uid="{00000000-0004-0000-0300-00009F000000}"/>
    <hyperlink ref="Q82" r:id="rId161" xr:uid="{00000000-0004-0000-0300-0000A0000000}"/>
    <hyperlink ref="R82" r:id="rId162" xr:uid="{00000000-0004-0000-0300-0000A1000000}"/>
    <hyperlink ref="Q83" r:id="rId163" xr:uid="{00000000-0004-0000-0300-0000A2000000}"/>
    <hyperlink ref="R83" r:id="rId164" xr:uid="{00000000-0004-0000-0300-0000A3000000}"/>
    <hyperlink ref="Q84" r:id="rId165" xr:uid="{00000000-0004-0000-0300-0000A4000000}"/>
    <hyperlink ref="R84" r:id="rId166" xr:uid="{00000000-0004-0000-0300-0000A5000000}"/>
    <hyperlink ref="Q85" r:id="rId167" xr:uid="{00000000-0004-0000-0300-0000A6000000}"/>
    <hyperlink ref="R85" r:id="rId168" xr:uid="{00000000-0004-0000-0300-0000A7000000}"/>
    <hyperlink ref="Q86" r:id="rId169" xr:uid="{00000000-0004-0000-0300-0000A8000000}"/>
    <hyperlink ref="R86" r:id="rId170" xr:uid="{00000000-0004-0000-0300-0000A9000000}"/>
    <hyperlink ref="Q87" r:id="rId171" xr:uid="{00000000-0004-0000-0300-0000AA000000}"/>
    <hyperlink ref="R87" r:id="rId172" xr:uid="{00000000-0004-0000-0300-0000AB000000}"/>
    <hyperlink ref="Q88" r:id="rId173" xr:uid="{00000000-0004-0000-0300-0000AC000000}"/>
    <hyperlink ref="R88" r:id="rId174" xr:uid="{00000000-0004-0000-0300-0000AD000000}"/>
    <hyperlink ref="Q89" r:id="rId175" xr:uid="{00000000-0004-0000-0300-0000AE000000}"/>
    <hyperlink ref="R89" r:id="rId176" xr:uid="{00000000-0004-0000-0300-0000AF000000}"/>
    <hyperlink ref="Q90" r:id="rId177" xr:uid="{00000000-0004-0000-0300-0000B0000000}"/>
    <hyperlink ref="R90" r:id="rId178" xr:uid="{00000000-0004-0000-0300-0000B1000000}"/>
    <hyperlink ref="Q91" r:id="rId179" xr:uid="{00000000-0004-0000-0300-0000B2000000}"/>
    <hyperlink ref="R91" r:id="rId180" xr:uid="{00000000-0004-0000-0300-0000B3000000}"/>
    <hyperlink ref="Q92" r:id="rId181" xr:uid="{00000000-0004-0000-0300-0000B4000000}"/>
    <hyperlink ref="R92" r:id="rId182" xr:uid="{00000000-0004-0000-0300-0000B5000000}"/>
    <hyperlink ref="Q93" r:id="rId183" xr:uid="{00000000-0004-0000-0300-0000B6000000}"/>
    <hyperlink ref="R93" r:id="rId184" xr:uid="{00000000-0004-0000-0300-0000B7000000}"/>
    <hyperlink ref="Q94" r:id="rId185" xr:uid="{00000000-0004-0000-0300-0000B8000000}"/>
    <hyperlink ref="R94" r:id="rId186" xr:uid="{00000000-0004-0000-0300-0000B9000000}"/>
    <hyperlink ref="Q95" r:id="rId187" xr:uid="{00000000-0004-0000-0300-0000BA000000}"/>
    <hyperlink ref="R95" r:id="rId188" xr:uid="{00000000-0004-0000-0300-0000BB000000}"/>
    <hyperlink ref="Q96" r:id="rId189" xr:uid="{00000000-0004-0000-0300-0000BC000000}"/>
    <hyperlink ref="R96" r:id="rId190" xr:uid="{00000000-0004-0000-0300-0000BD000000}"/>
    <hyperlink ref="Q97" r:id="rId191" xr:uid="{00000000-0004-0000-0300-0000BE000000}"/>
    <hyperlink ref="R97" r:id="rId192" xr:uid="{00000000-0004-0000-0300-0000BF000000}"/>
    <hyperlink ref="Q98" r:id="rId193" xr:uid="{00000000-0004-0000-0300-0000C0000000}"/>
    <hyperlink ref="R98" r:id="rId194" xr:uid="{00000000-0004-0000-0300-0000C1000000}"/>
    <hyperlink ref="Q99" r:id="rId195" xr:uid="{00000000-0004-0000-0300-0000C2000000}"/>
    <hyperlink ref="R99" r:id="rId196" xr:uid="{00000000-0004-0000-0300-0000C3000000}"/>
    <hyperlink ref="Q100" r:id="rId197" xr:uid="{00000000-0004-0000-0300-0000C4000000}"/>
    <hyperlink ref="R100" r:id="rId198" xr:uid="{00000000-0004-0000-0300-0000C5000000}"/>
    <hyperlink ref="Q101" r:id="rId199" xr:uid="{00000000-0004-0000-0300-0000C6000000}"/>
    <hyperlink ref="R101" r:id="rId200" xr:uid="{00000000-0004-0000-0300-0000C7000000}"/>
    <hyperlink ref="Q102" r:id="rId201" xr:uid="{00000000-0004-0000-0300-0000C8000000}"/>
    <hyperlink ref="R102" r:id="rId202" xr:uid="{00000000-0004-0000-0300-0000C9000000}"/>
    <hyperlink ref="Q103" r:id="rId203" xr:uid="{00000000-0004-0000-0300-0000CA000000}"/>
    <hyperlink ref="R103" r:id="rId204" xr:uid="{00000000-0004-0000-0300-0000CB000000}"/>
    <hyperlink ref="Q104" r:id="rId205" xr:uid="{00000000-0004-0000-0300-0000CC000000}"/>
    <hyperlink ref="R104" r:id="rId206" xr:uid="{00000000-0004-0000-0300-0000CD000000}"/>
    <hyperlink ref="Q105" r:id="rId207" xr:uid="{00000000-0004-0000-0300-0000CE000000}"/>
    <hyperlink ref="R105" r:id="rId208" xr:uid="{00000000-0004-0000-0300-0000CF000000}"/>
    <hyperlink ref="Q106" r:id="rId209" xr:uid="{00000000-0004-0000-0300-0000D0000000}"/>
    <hyperlink ref="R106" r:id="rId210" xr:uid="{00000000-0004-0000-0300-0000D1000000}"/>
    <hyperlink ref="Q107" r:id="rId211" xr:uid="{00000000-0004-0000-0300-0000D2000000}"/>
    <hyperlink ref="R107" r:id="rId212" xr:uid="{00000000-0004-0000-0300-0000D3000000}"/>
    <hyperlink ref="Q108" r:id="rId213" xr:uid="{00000000-0004-0000-0300-0000D4000000}"/>
    <hyperlink ref="R108" r:id="rId214" xr:uid="{00000000-0004-0000-0300-0000D5000000}"/>
    <hyperlink ref="Q109" r:id="rId215" xr:uid="{00000000-0004-0000-0300-0000D6000000}"/>
    <hyperlink ref="R109" r:id="rId216" xr:uid="{00000000-0004-0000-0300-0000D7000000}"/>
    <hyperlink ref="Q110" r:id="rId217" xr:uid="{00000000-0004-0000-0300-0000D8000000}"/>
    <hyperlink ref="R110" r:id="rId218" xr:uid="{00000000-0004-0000-0300-0000D9000000}"/>
    <hyperlink ref="Q111" r:id="rId219" xr:uid="{00000000-0004-0000-0300-0000DA000000}"/>
    <hyperlink ref="R111" r:id="rId220" xr:uid="{00000000-0004-0000-0300-0000DB000000}"/>
    <hyperlink ref="Q112" r:id="rId221" xr:uid="{00000000-0004-0000-0300-0000DC000000}"/>
    <hyperlink ref="R112" r:id="rId222" xr:uid="{00000000-0004-0000-0300-0000DD000000}"/>
    <hyperlink ref="Q113" r:id="rId223" xr:uid="{00000000-0004-0000-0300-0000DE000000}"/>
    <hyperlink ref="R113" r:id="rId224" xr:uid="{00000000-0004-0000-0300-0000DF000000}"/>
    <hyperlink ref="Q114" r:id="rId225" xr:uid="{00000000-0004-0000-0300-0000E0000000}"/>
    <hyperlink ref="R114" r:id="rId226" xr:uid="{00000000-0004-0000-0300-0000E1000000}"/>
    <hyperlink ref="Q115" r:id="rId227" xr:uid="{00000000-0004-0000-0300-0000E2000000}"/>
    <hyperlink ref="R115" r:id="rId228" xr:uid="{00000000-0004-0000-0300-0000E3000000}"/>
    <hyperlink ref="Q116" r:id="rId229" xr:uid="{00000000-0004-0000-0300-0000E4000000}"/>
    <hyperlink ref="R116" r:id="rId230" xr:uid="{00000000-0004-0000-0300-0000E5000000}"/>
    <hyperlink ref="Q117" r:id="rId231" xr:uid="{00000000-0004-0000-0300-0000E6000000}"/>
    <hyperlink ref="R117" r:id="rId232" xr:uid="{00000000-0004-0000-0300-0000E7000000}"/>
    <hyperlink ref="Q118" r:id="rId233" xr:uid="{00000000-0004-0000-0300-0000E8000000}"/>
    <hyperlink ref="R118" r:id="rId234" xr:uid="{00000000-0004-0000-0300-0000E9000000}"/>
    <hyperlink ref="Q119" r:id="rId235" xr:uid="{00000000-0004-0000-0300-0000EA000000}"/>
    <hyperlink ref="R119" r:id="rId236" xr:uid="{00000000-0004-0000-0300-0000EB000000}"/>
    <hyperlink ref="Q120" r:id="rId237" xr:uid="{00000000-0004-0000-0300-0000EC000000}"/>
    <hyperlink ref="R120" r:id="rId238" xr:uid="{00000000-0004-0000-0300-0000ED000000}"/>
    <hyperlink ref="Q121" r:id="rId239" xr:uid="{00000000-0004-0000-0300-0000EE000000}"/>
    <hyperlink ref="R121" r:id="rId240" xr:uid="{00000000-0004-0000-0300-0000EF000000}"/>
    <hyperlink ref="Q122" r:id="rId241" xr:uid="{00000000-0004-0000-0300-0000F0000000}"/>
    <hyperlink ref="R122" r:id="rId242" xr:uid="{00000000-0004-0000-0300-0000F1000000}"/>
    <hyperlink ref="Q123" r:id="rId243" xr:uid="{00000000-0004-0000-0300-0000F2000000}"/>
    <hyperlink ref="R123" r:id="rId244" xr:uid="{00000000-0004-0000-0300-0000F3000000}"/>
    <hyperlink ref="Q124" r:id="rId245" xr:uid="{00000000-0004-0000-0300-0000F4000000}"/>
    <hyperlink ref="R124" r:id="rId246" xr:uid="{00000000-0004-0000-0300-0000F5000000}"/>
    <hyperlink ref="Q125" r:id="rId247" xr:uid="{00000000-0004-0000-0300-0000F6000000}"/>
    <hyperlink ref="R125" r:id="rId248" xr:uid="{00000000-0004-0000-0300-0000F7000000}"/>
    <hyperlink ref="Q126" r:id="rId249" xr:uid="{00000000-0004-0000-0300-0000F8000000}"/>
    <hyperlink ref="R126" r:id="rId250" xr:uid="{00000000-0004-0000-0300-0000F9000000}"/>
    <hyperlink ref="Q127" r:id="rId251" xr:uid="{00000000-0004-0000-0300-0000FA000000}"/>
    <hyperlink ref="R127" r:id="rId252" xr:uid="{00000000-0004-0000-0300-0000FB000000}"/>
    <hyperlink ref="Q128" r:id="rId253" xr:uid="{00000000-0004-0000-0300-0000FC000000}"/>
    <hyperlink ref="R128" r:id="rId254" xr:uid="{00000000-0004-0000-0300-0000FD000000}"/>
    <hyperlink ref="Q129" r:id="rId255" xr:uid="{00000000-0004-0000-0300-0000FE000000}"/>
    <hyperlink ref="R129" r:id="rId256" xr:uid="{00000000-0004-0000-0300-0000FF000000}"/>
    <hyperlink ref="Q130" r:id="rId257" xr:uid="{00000000-0004-0000-0300-000000010000}"/>
    <hyperlink ref="R130" r:id="rId258" xr:uid="{00000000-0004-0000-0300-000001010000}"/>
    <hyperlink ref="Q131" r:id="rId259" xr:uid="{00000000-0004-0000-0300-000002010000}"/>
    <hyperlink ref="R131" r:id="rId260" xr:uid="{00000000-0004-0000-0300-000003010000}"/>
    <hyperlink ref="Q132" r:id="rId261" xr:uid="{00000000-0004-0000-0300-000004010000}"/>
    <hyperlink ref="R132" r:id="rId262" xr:uid="{00000000-0004-0000-0300-000005010000}"/>
    <hyperlink ref="Q133" r:id="rId263" xr:uid="{00000000-0004-0000-0300-000006010000}"/>
    <hyperlink ref="R133" r:id="rId264" xr:uid="{00000000-0004-0000-0300-000007010000}"/>
    <hyperlink ref="Q134" r:id="rId265" xr:uid="{00000000-0004-0000-0300-000008010000}"/>
    <hyperlink ref="R134" r:id="rId266" xr:uid="{00000000-0004-0000-0300-000009010000}"/>
    <hyperlink ref="Q135" r:id="rId267" xr:uid="{00000000-0004-0000-0300-00000A010000}"/>
    <hyperlink ref="R135" r:id="rId268" xr:uid="{00000000-0004-0000-0300-00000B010000}"/>
    <hyperlink ref="Q136" r:id="rId269" xr:uid="{00000000-0004-0000-0300-00000C010000}"/>
    <hyperlink ref="R136" r:id="rId270" xr:uid="{00000000-0004-0000-0300-00000D010000}"/>
    <hyperlink ref="Q137" r:id="rId271" xr:uid="{00000000-0004-0000-0300-00000E010000}"/>
    <hyperlink ref="R137" r:id="rId272" xr:uid="{00000000-0004-0000-0300-00000F010000}"/>
    <hyperlink ref="Q138" r:id="rId273" xr:uid="{00000000-0004-0000-0300-000010010000}"/>
    <hyperlink ref="R138" r:id="rId274" xr:uid="{00000000-0004-0000-0300-000011010000}"/>
    <hyperlink ref="Q139" r:id="rId275" xr:uid="{00000000-0004-0000-0300-000012010000}"/>
    <hyperlink ref="R139" r:id="rId276" xr:uid="{00000000-0004-0000-0300-000013010000}"/>
    <hyperlink ref="Q140" r:id="rId277" xr:uid="{00000000-0004-0000-0300-000014010000}"/>
    <hyperlink ref="R140" r:id="rId278" xr:uid="{00000000-0004-0000-0300-000015010000}"/>
    <hyperlink ref="Q141" r:id="rId279" xr:uid="{00000000-0004-0000-0300-000016010000}"/>
    <hyperlink ref="R141" r:id="rId280" xr:uid="{00000000-0004-0000-0300-000017010000}"/>
    <hyperlink ref="Q142" r:id="rId281" xr:uid="{00000000-0004-0000-0300-000018010000}"/>
    <hyperlink ref="R142" r:id="rId282" xr:uid="{00000000-0004-0000-0300-000019010000}"/>
    <hyperlink ref="Q143" r:id="rId283" xr:uid="{00000000-0004-0000-0300-00001A010000}"/>
    <hyperlink ref="R143" r:id="rId284" xr:uid="{00000000-0004-0000-0300-00001B010000}"/>
    <hyperlink ref="Q144" r:id="rId285" xr:uid="{00000000-0004-0000-0300-00001C010000}"/>
    <hyperlink ref="R144" r:id="rId286" xr:uid="{00000000-0004-0000-0300-00001D010000}"/>
    <hyperlink ref="Q145" r:id="rId287" xr:uid="{00000000-0004-0000-0300-00001E010000}"/>
    <hyperlink ref="R145" r:id="rId288" xr:uid="{00000000-0004-0000-0300-00001F010000}"/>
    <hyperlink ref="Q146" r:id="rId289" xr:uid="{00000000-0004-0000-0300-000020010000}"/>
    <hyperlink ref="R146" r:id="rId290" xr:uid="{00000000-0004-0000-0300-000021010000}"/>
    <hyperlink ref="Q147" r:id="rId291" xr:uid="{00000000-0004-0000-0300-000022010000}"/>
    <hyperlink ref="R147" r:id="rId292" xr:uid="{00000000-0004-0000-0300-000023010000}"/>
    <hyperlink ref="Q148" r:id="rId293" xr:uid="{00000000-0004-0000-0300-000024010000}"/>
    <hyperlink ref="R148" r:id="rId294" xr:uid="{00000000-0004-0000-0300-000025010000}"/>
    <hyperlink ref="Q149" r:id="rId295" xr:uid="{00000000-0004-0000-0300-000026010000}"/>
    <hyperlink ref="R149" r:id="rId296" xr:uid="{00000000-0004-0000-0300-000027010000}"/>
    <hyperlink ref="Q150" r:id="rId297" xr:uid="{00000000-0004-0000-0300-000028010000}"/>
    <hyperlink ref="R150" r:id="rId298" xr:uid="{00000000-0004-0000-0300-000029010000}"/>
    <hyperlink ref="Q151" r:id="rId299" xr:uid="{00000000-0004-0000-0300-00002A010000}"/>
    <hyperlink ref="R151" r:id="rId300" xr:uid="{00000000-0004-0000-0300-00002B010000}"/>
    <hyperlink ref="Q152" r:id="rId301" xr:uid="{00000000-0004-0000-0300-00002C010000}"/>
    <hyperlink ref="R152" r:id="rId302" xr:uid="{00000000-0004-0000-0300-00002D010000}"/>
    <hyperlink ref="Q153" r:id="rId303" xr:uid="{00000000-0004-0000-0300-00002E010000}"/>
    <hyperlink ref="R153" r:id="rId304" xr:uid="{00000000-0004-0000-0300-00002F010000}"/>
    <hyperlink ref="Q154" r:id="rId305" xr:uid="{00000000-0004-0000-0300-000030010000}"/>
    <hyperlink ref="R154" r:id="rId306" xr:uid="{00000000-0004-0000-0300-000031010000}"/>
    <hyperlink ref="Q155" r:id="rId307" xr:uid="{00000000-0004-0000-0300-000032010000}"/>
    <hyperlink ref="R155" r:id="rId308" xr:uid="{00000000-0004-0000-0300-000033010000}"/>
    <hyperlink ref="Q156" r:id="rId309" xr:uid="{00000000-0004-0000-0300-000034010000}"/>
    <hyperlink ref="R156" r:id="rId310" xr:uid="{00000000-0004-0000-0300-000035010000}"/>
    <hyperlink ref="Q157" r:id="rId311" xr:uid="{00000000-0004-0000-0300-000036010000}"/>
    <hyperlink ref="R157" r:id="rId312" xr:uid="{00000000-0004-0000-0300-000037010000}"/>
    <hyperlink ref="Q158" r:id="rId313" xr:uid="{00000000-0004-0000-0300-000038010000}"/>
    <hyperlink ref="R158" r:id="rId314" xr:uid="{00000000-0004-0000-0300-000039010000}"/>
    <hyperlink ref="Q159" r:id="rId315" xr:uid="{00000000-0004-0000-0300-00003A010000}"/>
    <hyperlink ref="R159" r:id="rId316" xr:uid="{00000000-0004-0000-0300-00003B010000}"/>
    <hyperlink ref="Q160" r:id="rId317" xr:uid="{00000000-0004-0000-0300-00003C010000}"/>
    <hyperlink ref="R160" r:id="rId318" xr:uid="{00000000-0004-0000-0300-00003D010000}"/>
    <hyperlink ref="Q161" r:id="rId319" xr:uid="{00000000-0004-0000-0300-00003E010000}"/>
    <hyperlink ref="R161" r:id="rId320" xr:uid="{00000000-0004-0000-0300-00003F010000}"/>
    <hyperlink ref="Q162" r:id="rId321" xr:uid="{00000000-0004-0000-0300-000040010000}"/>
    <hyperlink ref="R162" r:id="rId322" xr:uid="{00000000-0004-0000-0300-000041010000}"/>
    <hyperlink ref="Q163" r:id="rId323" xr:uid="{00000000-0004-0000-0300-000042010000}"/>
    <hyperlink ref="R163" r:id="rId324" xr:uid="{00000000-0004-0000-0300-000043010000}"/>
    <hyperlink ref="Q164" r:id="rId325" xr:uid="{00000000-0004-0000-0300-000044010000}"/>
    <hyperlink ref="R164" r:id="rId326" xr:uid="{00000000-0004-0000-0300-000045010000}"/>
    <hyperlink ref="Q165" r:id="rId327" xr:uid="{00000000-0004-0000-0300-000046010000}"/>
    <hyperlink ref="R165" r:id="rId328" xr:uid="{00000000-0004-0000-0300-000047010000}"/>
    <hyperlink ref="Q166" r:id="rId329" xr:uid="{00000000-0004-0000-0300-000048010000}"/>
    <hyperlink ref="R166" r:id="rId330" xr:uid="{00000000-0004-0000-0300-000049010000}"/>
    <hyperlink ref="Q167" r:id="rId331" xr:uid="{00000000-0004-0000-0300-00004A010000}"/>
    <hyperlink ref="R167" r:id="rId332" xr:uid="{00000000-0004-0000-0300-00004B010000}"/>
    <hyperlink ref="Q168" r:id="rId333" xr:uid="{00000000-0004-0000-0300-00004C010000}"/>
    <hyperlink ref="R168" r:id="rId334" xr:uid="{00000000-0004-0000-0300-00004D010000}"/>
    <hyperlink ref="Q169" r:id="rId335" xr:uid="{00000000-0004-0000-0300-00004E010000}"/>
    <hyperlink ref="R169" r:id="rId336" xr:uid="{00000000-0004-0000-0300-00004F010000}"/>
    <hyperlink ref="Q170" r:id="rId337" xr:uid="{00000000-0004-0000-0300-000050010000}"/>
    <hyperlink ref="R170" r:id="rId338" xr:uid="{00000000-0004-0000-0300-000051010000}"/>
    <hyperlink ref="Q171" r:id="rId339" xr:uid="{00000000-0004-0000-0300-000052010000}"/>
    <hyperlink ref="R171" r:id="rId340" xr:uid="{00000000-0004-0000-0300-000053010000}"/>
    <hyperlink ref="Q172" r:id="rId341" xr:uid="{00000000-0004-0000-0300-000054010000}"/>
    <hyperlink ref="R172" r:id="rId342" xr:uid="{00000000-0004-0000-0300-000055010000}"/>
    <hyperlink ref="Q173" r:id="rId343" xr:uid="{00000000-0004-0000-0300-000056010000}"/>
    <hyperlink ref="R173" r:id="rId344" xr:uid="{00000000-0004-0000-0300-000057010000}"/>
    <hyperlink ref="Q174" r:id="rId345" xr:uid="{00000000-0004-0000-0300-000058010000}"/>
    <hyperlink ref="R174" r:id="rId346" xr:uid="{00000000-0004-0000-0300-000059010000}"/>
    <hyperlink ref="Q175" r:id="rId347" xr:uid="{00000000-0004-0000-0300-00005A010000}"/>
    <hyperlink ref="R175" r:id="rId348" xr:uid="{00000000-0004-0000-0300-00005B010000}"/>
    <hyperlink ref="Q176" r:id="rId349" xr:uid="{00000000-0004-0000-0300-00005C010000}"/>
    <hyperlink ref="R176" r:id="rId350" xr:uid="{00000000-0004-0000-0300-00005D010000}"/>
    <hyperlink ref="Q177" r:id="rId351" xr:uid="{00000000-0004-0000-0300-00005E010000}"/>
    <hyperlink ref="R177" r:id="rId352" xr:uid="{00000000-0004-0000-0300-00005F010000}"/>
    <hyperlink ref="Q178" r:id="rId353" xr:uid="{00000000-0004-0000-0300-000060010000}"/>
    <hyperlink ref="R178" r:id="rId354" xr:uid="{00000000-0004-0000-0300-000061010000}"/>
    <hyperlink ref="Q179" r:id="rId355" xr:uid="{00000000-0004-0000-0300-000062010000}"/>
    <hyperlink ref="R179" r:id="rId356" xr:uid="{00000000-0004-0000-0300-000063010000}"/>
    <hyperlink ref="Q180" r:id="rId357" xr:uid="{00000000-0004-0000-0300-000064010000}"/>
    <hyperlink ref="R180" r:id="rId358" xr:uid="{00000000-0004-0000-0300-000065010000}"/>
    <hyperlink ref="Q181" r:id="rId359" xr:uid="{00000000-0004-0000-0300-000066010000}"/>
    <hyperlink ref="R181" r:id="rId360" xr:uid="{00000000-0004-0000-0300-000067010000}"/>
    <hyperlink ref="Q182" r:id="rId361" xr:uid="{00000000-0004-0000-0300-000068010000}"/>
    <hyperlink ref="R182" r:id="rId362" xr:uid="{00000000-0004-0000-0300-000069010000}"/>
    <hyperlink ref="Q183" r:id="rId363" xr:uid="{00000000-0004-0000-0300-00006A010000}"/>
    <hyperlink ref="R183" r:id="rId364" xr:uid="{00000000-0004-0000-0300-00006B010000}"/>
    <hyperlink ref="Q184" r:id="rId365" xr:uid="{00000000-0004-0000-0300-00006C010000}"/>
    <hyperlink ref="R184" r:id="rId366" xr:uid="{00000000-0004-0000-0300-00006D010000}"/>
    <hyperlink ref="Q185" r:id="rId367" xr:uid="{00000000-0004-0000-0300-00006E010000}"/>
    <hyperlink ref="R185" r:id="rId368" xr:uid="{00000000-0004-0000-0300-00006F010000}"/>
    <hyperlink ref="Q186" r:id="rId369" xr:uid="{00000000-0004-0000-0300-000070010000}"/>
    <hyperlink ref="R186" r:id="rId370" xr:uid="{00000000-0004-0000-0300-000071010000}"/>
    <hyperlink ref="Q187" r:id="rId371" xr:uid="{00000000-0004-0000-0300-000072010000}"/>
    <hyperlink ref="R187" r:id="rId372" xr:uid="{00000000-0004-0000-0300-000073010000}"/>
    <hyperlink ref="Q188" r:id="rId373" xr:uid="{00000000-0004-0000-0300-000074010000}"/>
    <hyperlink ref="R188" r:id="rId374" xr:uid="{00000000-0004-0000-0300-000075010000}"/>
    <hyperlink ref="Q189" r:id="rId375" xr:uid="{00000000-0004-0000-0300-000076010000}"/>
    <hyperlink ref="R189" r:id="rId376" xr:uid="{00000000-0004-0000-0300-000077010000}"/>
    <hyperlink ref="Q190" r:id="rId377" xr:uid="{00000000-0004-0000-0300-000078010000}"/>
    <hyperlink ref="R190" r:id="rId378" xr:uid="{00000000-0004-0000-0300-000079010000}"/>
    <hyperlink ref="Q191" r:id="rId379" xr:uid="{00000000-0004-0000-0300-00007A010000}"/>
    <hyperlink ref="R191" r:id="rId380" xr:uid="{00000000-0004-0000-0300-00007B010000}"/>
    <hyperlink ref="Q192" r:id="rId381" xr:uid="{00000000-0004-0000-0300-00007C010000}"/>
    <hyperlink ref="R192" r:id="rId382" xr:uid="{00000000-0004-0000-0300-00007D010000}"/>
    <hyperlink ref="Q193" r:id="rId383" xr:uid="{00000000-0004-0000-0300-00007E010000}"/>
    <hyperlink ref="R193" r:id="rId384" xr:uid="{00000000-0004-0000-0300-00007F010000}"/>
    <hyperlink ref="Q194" r:id="rId385" xr:uid="{00000000-0004-0000-0300-000080010000}"/>
    <hyperlink ref="R194" r:id="rId386" xr:uid="{00000000-0004-0000-0300-000081010000}"/>
    <hyperlink ref="Q195" r:id="rId387" xr:uid="{00000000-0004-0000-0300-000082010000}"/>
    <hyperlink ref="R195" r:id="rId388" xr:uid="{00000000-0004-0000-0300-000083010000}"/>
    <hyperlink ref="Q196" r:id="rId389" xr:uid="{00000000-0004-0000-0300-000084010000}"/>
    <hyperlink ref="R196" r:id="rId390" xr:uid="{00000000-0004-0000-0300-000085010000}"/>
    <hyperlink ref="Q197" r:id="rId391" xr:uid="{00000000-0004-0000-0300-000086010000}"/>
    <hyperlink ref="R197" r:id="rId392" xr:uid="{00000000-0004-0000-0300-000087010000}"/>
    <hyperlink ref="Q198" r:id="rId393" xr:uid="{00000000-0004-0000-0300-000088010000}"/>
    <hyperlink ref="R198" r:id="rId394" xr:uid="{00000000-0004-0000-0300-000089010000}"/>
    <hyperlink ref="Q199" r:id="rId395" xr:uid="{00000000-0004-0000-0300-00008A010000}"/>
    <hyperlink ref="R199" r:id="rId396" xr:uid="{00000000-0004-0000-0300-00008B010000}"/>
    <hyperlink ref="Q200" r:id="rId397" xr:uid="{00000000-0004-0000-0300-00008C010000}"/>
    <hyperlink ref="R200" r:id="rId398" xr:uid="{00000000-0004-0000-0300-00008D010000}"/>
    <hyperlink ref="Q201" r:id="rId399" xr:uid="{00000000-0004-0000-0300-00008E010000}"/>
    <hyperlink ref="R201" r:id="rId400" xr:uid="{00000000-0004-0000-0300-00008F010000}"/>
    <hyperlink ref="Q202" r:id="rId401" xr:uid="{00000000-0004-0000-0300-000090010000}"/>
    <hyperlink ref="R202" r:id="rId402" xr:uid="{00000000-0004-0000-0300-000091010000}"/>
    <hyperlink ref="Q203" r:id="rId403" xr:uid="{00000000-0004-0000-0300-000092010000}"/>
    <hyperlink ref="R203" r:id="rId404" xr:uid="{00000000-0004-0000-0300-000093010000}"/>
    <hyperlink ref="Q204" r:id="rId405" xr:uid="{00000000-0004-0000-0300-000094010000}"/>
    <hyperlink ref="R204" r:id="rId406" xr:uid="{00000000-0004-0000-0300-000095010000}"/>
    <hyperlink ref="Q205" r:id="rId407" xr:uid="{00000000-0004-0000-0300-000096010000}"/>
    <hyperlink ref="R205" r:id="rId408" xr:uid="{00000000-0004-0000-0300-000097010000}"/>
    <hyperlink ref="Q206" r:id="rId409" xr:uid="{00000000-0004-0000-0300-000098010000}"/>
    <hyperlink ref="R206" r:id="rId410" xr:uid="{00000000-0004-0000-0300-000099010000}"/>
    <hyperlink ref="Q207" r:id="rId411" xr:uid="{00000000-0004-0000-0300-00009A010000}"/>
    <hyperlink ref="R207" r:id="rId412" xr:uid="{00000000-0004-0000-0300-00009B010000}"/>
    <hyperlink ref="Q208" r:id="rId413" xr:uid="{00000000-0004-0000-0300-00009C010000}"/>
    <hyperlink ref="R208" r:id="rId414" xr:uid="{00000000-0004-0000-0300-00009D010000}"/>
    <hyperlink ref="Q209" r:id="rId415" xr:uid="{00000000-0004-0000-0300-00009E010000}"/>
    <hyperlink ref="R209" r:id="rId416" xr:uid="{00000000-0004-0000-0300-00009F010000}"/>
    <hyperlink ref="Q210" r:id="rId417" xr:uid="{00000000-0004-0000-0300-0000A0010000}"/>
    <hyperlink ref="R210" r:id="rId418" xr:uid="{00000000-0004-0000-0300-0000A1010000}"/>
    <hyperlink ref="Q211" r:id="rId419" xr:uid="{00000000-0004-0000-0300-0000A2010000}"/>
    <hyperlink ref="R211" r:id="rId420" xr:uid="{00000000-0004-0000-0300-0000A3010000}"/>
    <hyperlink ref="Q212" r:id="rId421" xr:uid="{00000000-0004-0000-0300-0000A4010000}"/>
    <hyperlink ref="R212" r:id="rId422" xr:uid="{00000000-0004-0000-0300-0000A5010000}"/>
    <hyperlink ref="Q213" r:id="rId423" xr:uid="{00000000-0004-0000-0300-0000A6010000}"/>
    <hyperlink ref="R213" r:id="rId424" xr:uid="{00000000-0004-0000-0300-0000A7010000}"/>
    <hyperlink ref="Q214" r:id="rId425" xr:uid="{00000000-0004-0000-0300-0000A8010000}"/>
    <hyperlink ref="R214" r:id="rId426" xr:uid="{00000000-0004-0000-0300-0000A9010000}"/>
    <hyperlink ref="Q215" r:id="rId427" xr:uid="{00000000-0004-0000-0300-0000AA010000}"/>
    <hyperlink ref="R215" r:id="rId428" xr:uid="{00000000-0004-0000-0300-0000AB010000}"/>
    <hyperlink ref="Q216" r:id="rId429" xr:uid="{00000000-0004-0000-0300-0000AC010000}"/>
    <hyperlink ref="R216" r:id="rId430" xr:uid="{00000000-0004-0000-0300-0000AD010000}"/>
    <hyperlink ref="Q217" r:id="rId431" xr:uid="{00000000-0004-0000-0300-0000AE010000}"/>
    <hyperlink ref="R217" r:id="rId432" xr:uid="{00000000-0004-0000-0300-0000AF010000}"/>
    <hyperlink ref="Q218" r:id="rId433" xr:uid="{00000000-0004-0000-0300-0000B0010000}"/>
    <hyperlink ref="R218" r:id="rId434" xr:uid="{00000000-0004-0000-0300-0000B1010000}"/>
    <hyperlink ref="Q219" r:id="rId435" xr:uid="{00000000-0004-0000-0300-0000B2010000}"/>
    <hyperlink ref="R219" r:id="rId436" xr:uid="{00000000-0004-0000-0300-0000B3010000}"/>
    <hyperlink ref="Q220" r:id="rId437" xr:uid="{00000000-0004-0000-0300-0000B4010000}"/>
    <hyperlink ref="R220" r:id="rId438" xr:uid="{00000000-0004-0000-0300-0000B5010000}"/>
    <hyperlink ref="Q221" r:id="rId439" xr:uid="{00000000-0004-0000-0300-0000B6010000}"/>
    <hyperlink ref="R221" r:id="rId440" xr:uid="{00000000-0004-0000-0300-0000B7010000}"/>
    <hyperlink ref="Q222" r:id="rId441" xr:uid="{00000000-0004-0000-0300-0000B8010000}"/>
    <hyperlink ref="R222" r:id="rId442" xr:uid="{00000000-0004-0000-0300-0000B9010000}"/>
    <hyperlink ref="Q223" r:id="rId443" xr:uid="{00000000-0004-0000-0300-0000BA010000}"/>
    <hyperlink ref="R223" r:id="rId444" xr:uid="{00000000-0004-0000-0300-0000BB010000}"/>
    <hyperlink ref="Q224" r:id="rId445" xr:uid="{00000000-0004-0000-0300-0000BC010000}"/>
    <hyperlink ref="R224" r:id="rId446" xr:uid="{00000000-0004-0000-0300-0000BD010000}"/>
    <hyperlink ref="Q225" r:id="rId447" xr:uid="{00000000-0004-0000-0300-0000BE010000}"/>
    <hyperlink ref="R225" r:id="rId448" xr:uid="{00000000-0004-0000-0300-0000BF010000}"/>
    <hyperlink ref="Q226" r:id="rId449" xr:uid="{00000000-0004-0000-0300-0000C0010000}"/>
    <hyperlink ref="R226" r:id="rId450" xr:uid="{00000000-0004-0000-0300-0000C1010000}"/>
    <hyperlink ref="Q227" r:id="rId451" xr:uid="{00000000-0004-0000-0300-0000C2010000}"/>
    <hyperlink ref="R227" r:id="rId452" xr:uid="{00000000-0004-0000-0300-0000C3010000}"/>
    <hyperlink ref="Q228" r:id="rId453" xr:uid="{00000000-0004-0000-0300-0000C4010000}"/>
    <hyperlink ref="R228" r:id="rId454" xr:uid="{00000000-0004-0000-0300-0000C5010000}"/>
    <hyperlink ref="Q229" r:id="rId455" xr:uid="{00000000-0004-0000-0300-0000C6010000}"/>
    <hyperlink ref="R229" r:id="rId456" xr:uid="{00000000-0004-0000-0300-0000C7010000}"/>
    <hyperlink ref="Q230" r:id="rId457" xr:uid="{00000000-0004-0000-0300-0000C8010000}"/>
    <hyperlink ref="R230" r:id="rId458" xr:uid="{00000000-0004-0000-0300-0000C9010000}"/>
    <hyperlink ref="Q231" r:id="rId459" xr:uid="{00000000-0004-0000-0300-0000CA010000}"/>
    <hyperlink ref="R231" r:id="rId460" xr:uid="{00000000-0004-0000-0300-0000CB010000}"/>
    <hyperlink ref="Q232" r:id="rId461" xr:uid="{00000000-0004-0000-0300-0000CC010000}"/>
    <hyperlink ref="R232" r:id="rId462" xr:uid="{00000000-0004-0000-0300-0000CD010000}"/>
    <hyperlink ref="Q233" r:id="rId463" xr:uid="{00000000-0004-0000-0300-0000CE010000}"/>
    <hyperlink ref="R233" r:id="rId464" xr:uid="{00000000-0004-0000-0300-0000CF010000}"/>
    <hyperlink ref="Q234" r:id="rId465" xr:uid="{00000000-0004-0000-0300-0000D0010000}"/>
    <hyperlink ref="R234" r:id="rId466" xr:uid="{00000000-0004-0000-0300-0000D1010000}"/>
    <hyperlink ref="Q235" r:id="rId467" xr:uid="{00000000-0004-0000-0300-0000D2010000}"/>
    <hyperlink ref="R235" r:id="rId468" xr:uid="{00000000-0004-0000-0300-0000D3010000}"/>
    <hyperlink ref="Q236" r:id="rId469" xr:uid="{00000000-0004-0000-0300-0000D4010000}"/>
    <hyperlink ref="R236" r:id="rId470" xr:uid="{00000000-0004-0000-0300-0000D5010000}"/>
    <hyperlink ref="Q237" r:id="rId471" xr:uid="{00000000-0004-0000-0300-0000D6010000}"/>
    <hyperlink ref="R237" r:id="rId472" xr:uid="{00000000-0004-0000-0300-0000D7010000}"/>
    <hyperlink ref="Q238" r:id="rId473" xr:uid="{00000000-0004-0000-0300-0000D8010000}"/>
    <hyperlink ref="R238" r:id="rId474" xr:uid="{00000000-0004-0000-0300-0000D9010000}"/>
    <hyperlink ref="Q239" r:id="rId475" xr:uid="{00000000-0004-0000-0300-0000DA010000}"/>
    <hyperlink ref="R239" r:id="rId476" xr:uid="{00000000-0004-0000-0300-0000DB010000}"/>
    <hyperlink ref="Q240" r:id="rId477" xr:uid="{00000000-0004-0000-0300-0000DC010000}"/>
    <hyperlink ref="R240" r:id="rId478" xr:uid="{00000000-0004-0000-0300-0000DD010000}"/>
    <hyperlink ref="Q241" r:id="rId479" xr:uid="{00000000-0004-0000-0300-0000DE010000}"/>
    <hyperlink ref="R241" r:id="rId480" xr:uid="{00000000-0004-0000-0300-0000DF010000}"/>
    <hyperlink ref="Q242" r:id="rId481" xr:uid="{00000000-0004-0000-0300-0000E0010000}"/>
    <hyperlink ref="R242" r:id="rId482" xr:uid="{00000000-0004-0000-0300-0000E1010000}"/>
    <hyperlink ref="Q243" r:id="rId483" xr:uid="{00000000-0004-0000-0300-0000E2010000}"/>
    <hyperlink ref="R243" r:id="rId484" xr:uid="{00000000-0004-0000-0300-0000E3010000}"/>
    <hyperlink ref="Q244" r:id="rId485" xr:uid="{00000000-0004-0000-0300-0000E4010000}"/>
    <hyperlink ref="R244" r:id="rId486" xr:uid="{00000000-0004-0000-0300-0000E5010000}"/>
    <hyperlink ref="Q245" r:id="rId487" xr:uid="{00000000-0004-0000-0300-0000E6010000}"/>
    <hyperlink ref="R245" r:id="rId488" xr:uid="{00000000-0004-0000-0300-0000E7010000}"/>
    <hyperlink ref="Q246" r:id="rId489" xr:uid="{00000000-0004-0000-0300-0000E8010000}"/>
    <hyperlink ref="R246" r:id="rId490" xr:uid="{00000000-0004-0000-0300-0000E9010000}"/>
    <hyperlink ref="Q247" r:id="rId491" xr:uid="{00000000-0004-0000-0300-0000EA010000}"/>
    <hyperlink ref="R247" r:id="rId492" xr:uid="{00000000-0004-0000-0300-0000EB010000}"/>
    <hyperlink ref="Q248" r:id="rId493" xr:uid="{00000000-0004-0000-0300-0000EC010000}"/>
    <hyperlink ref="R248" r:id="rId494" xr:uid="{00000000-0004-0000-0300-0000ED010000}"/>
    <hyperlink ref="Q249" r:id="rId495" xr:uid="{00000000-0004-0000-0300-0000EE010000}"/>
    <hyperlink ref="R249" r:id="rId496" xr:uid="{00000000-0004-0000-0300-0000EF010000}"/>
    <hyperlink ref="Q250" r:id="rId497" xr:uid="{00000000-0004-0000-0300-0000F0010000}"/>
    <hyperlink ref="R250" r:id="rId498" xr:uid="{00000000-0004-0000-0300-0000F1010000}"/>
    <hyperlink ref="Q251" r:id="rId499" xr:uid="{00000000-0004-0000-0300-0000F2010000}"/>
    <hyperlink ref="R251" r:id="rId500" xr:uid="{00000000-0004-0000-0300-0000F3010000}"/>
    <hyperlink ref="Q252" r:id="rId501" xr:uid="{00000000-0004-0000-0300-0000F4010000}"/>
    <hyperlink ref="R252" r:id="rId502" xr:uid="{00000000-0004-0000-0300-0000F5010000}"/>
    <hyperlink ref="Q253" r:id="rId503" xr:uid="{00000000-0004-0000-0300-0000F6010000}"/>
    <hyperlink ref="R253" r:id="rId504" xr:uid="{00000000-0004-0000-0300-0000F7010000}"/>
    <hyperlink ref="Q254" r:id="rId505" xr:uid="{00000000-0004-0000-0300-0000F8010000}"/>
    <hyperlink ref="R254" r:id="rId506" xr:uid="{00000000-0004-0000-0300-0000F9010000}"/>
    <hyperlink ref="Q255" r:id="rId507" xr:uid="{00000000-0004-0000-0300-0000FA010000}"/>
    <hyperlink ref="R255" r:id="rId508" xr:uid="{00000000-0004-0000-0300-0000FB010000}"/>
    <hyperlink ref="Q256" r:id="rId509" xr:uid="{00000000-0004-0000-0300-0000FC010000}"/>
    <hyperlink ref="R256" r:id="rId510" xr:uid="{00000000-0004-0000-0300-0000FD010000}"/>
    <hyperlink ref="Q257" r:id="rId511" xr:uid="{00000000-0004-0000-0300-0000FE010000}"/>
    <hyperlink ref="R257" r:id="rId512" xr:uid="{00000000-0004-0000-0300-0000FF010000}"/>
    <hyperlink ref="Q258" r:id="rId513" xr:uid="{00000000-0004-0000-0300-000000020000}"/>
    <hyperlink ref="R258" r:id="rId514" xr:uid="{00000000-0004-0000-0300-000001020000}"/>
    <hyperlink ref="Q259" r:id="rId515" xr:uid="{00000000-0004-0000-0300-000002020000}"/>
    <hyperlink ref="R259" r:id="rId516" xr:uid="{00000000-0004-0000-0300-000003020000}"/>
    <hyperlink ref="Q260" r:id="rId517" xr:uid="{00000000-0004-0000-0300-000004020000}"/>
    <hyperlink ref="R260" r:id="rId518" xr:uid="{00000000-0004-0000-0300-000005020000}"/>
    <hyperlink ref="Q261" r:id="rId519" xr:uid="{00000000-0004-0000-0300-000006020000}"/>
    <hyperlink ref="R261" r:id="rId520" xr:uid="{00000000-0004-0000-0300-000007020000}"/>
    <hyperlink ref="Q262" r:id="rId521" xr:uid="{00000000-0004-0000-0300-000008020000}"/>
    <hyperlink ref="R262" r:id="rId522" xr:uid="{00000000-0004-0000-0300-000009020000}"/>
    <hyperlink ref="Q263" r:id="rId523" xr:uid="{00000000-0004-0000-0300-00000A020000}"/>
    <hyperlink ref="R263" r:id="rId524" xr:uid="{00000000-0004-0000-0300-00000B020000}"/>
    <hyperlink ref="Q264" r:id="rId525" xr:uid="{00000000-0004-0000-0300-00000C020000}"/>
    <hyperlink ref="R264" r:id="rId526" xr:uid="{00000000-0004-0000-0300-00000D020000}"/>
    <hyperlink ref="Q265" r:id="rId527" xr:uid="{00000000-0004-0000-0300-00000E020000}"/>
    <hyperlink ref="R265" r:id="rId528" xr:uid="{00000000-0004-0000-0300-00000F020000}"/>
    <hyperlink ref="Q266" r:id="rId529" xr:uid="{00000000-0004-0000-0300-000010020000}"/>
    <hyperlink ref="R266" r:id="rId530" xr:uid="{00000000-0004-0000-0300-000011020000}"/>
    <hyperlink ref="Q267" r:id="rId531" xr:uid="{00000000-0004-0000-0300-000012020000}"/>
    <hyperlink ref="R267" r:id="rId532" xr:uid="{00000000-0004-0000-0300-000013020000}"/>
    <hyperlink ref="Q268" r:id="rId533" xr:uid="{00000000-0004-0000-0300-000014020000}"/>
    <hyperlink ref="R268" r:id="rId534" xr:uid="{00000000-0004-0000-0300-000015020000}"/>
    <hyperlink ref="Q269" r:id="rId535" xr:uid="{00000000-0004-0000-0300-000016020000}"/>
    <hyperlink ref="R269" r:id="rId536" xr:uid="{00000000-0004-0000-0300-000017020000}"/>
    <hyperlink ref="Q270" r:id="rId537" xr:uid="{00000000-0004-0000-0300-000018020000}"/>
    <hyperlink ref="R270" r:id="rId538" xr:uid="{00000000-0004-0000-0300-000019020000}"/>
    <hyperlink ref="Q271" r:id="rId539" xr:uid="{00000000-0004-0000-0300-00001A020000}"/>
    <hyperlink ref="R271" r:id="rId540" xr:uid="{00000000-0004-0000-0300-00001B020000}"/>
    <hyperlink ref="Q272" r:id="rId541" xr:uid="{00000000-0004-0000-0300-00001C020000}"/>
    <hyperlink ref="R272" r:id="rId542" xr:uid="{00000000-0004-0000-0300-00001D020000}"/>
    <hyperlink ref="Q273" r:id="rId543" xr:uid="{00000000-0004-0000-0300-00001E020000}"/>
    <hyperlink ref="R273" r:id="rId544" xr:uid="{00000000-0004-0000-0300-00001F020000}"/>
    <hyperlink ref="Q274" r:id="rId545" xr:uid="{00000000-0004-0000-0300-000020020000}"/>
    <hyperlink ref="R274" r:id="rId546" xr:uid="{00000000-0004-0000-0300-000021020000}"/>
    <hyperlink ref="Q275" r:id="rId547" xr:uid="{00000000-0004-0000-0300-000022020000}"/>
    <hyperlink ref="R275" r:id="rId548" xr:uid="{00000000-0004-0000-0300-000023020000}"/>
    <hyperlink ref="Q276" r:id="rId549" xr:uid="{00000000-0004-0000-0300-000024020000}"/>
    <hyperlink ref="R276" r:id="rId550" xr:uid="{00000000-0004-0000-0300-000025020000}"/>
    <hyperlink ref="Q277" r:id="rId551" xr:uid="{00000000-0004-0000-0300-000026020000}"/>
    <hyperlink ref="R277" r:id="rId552" xr:uid="{00000000-0004-0000-0300-000027020000}"/>
    <hyperlink ref="Q278" r:id="rId553" xr:uid="{00000000-0004-0000-0300-000028020000}"/>
    <hyperlink ref="R278" r:id="rId554" xr:uid="{00000000-0004-0000-0300-000029020000}"/>
    <hyperlink ref="Q279" r:id="rId555" xr:uid="{00000000-0004-0000-0300-00002A020000}"/>
    <hyperlink ref="R279" r:id="rId556" xr:uid="{00000000-0004-0000-0300-00002B020000}"/>
    <hyperlink ref="Q280" r:id="rId557" xr:uid="{00000000-0004-0000-0300-00002C020000}"/>
    <hyperlink ref="R280" r:id="rId558" xr:uid="{00000000-0004-0000-0300-00002D020000}"/>
    <hyperlink ref="Q281" r:id="rId559" xr:uid="{00000000-0004-0000-0300-00002E020000}"/>
    <hyperlink ref="R281" r:id="rId560" xr:uid="{00000000-0004-0000-0300-00002F020000}"/>
    <hyperlink ref="Q282" r:id="rId561" xr:uid="{00000000-0004-0000-0300-000030020000}"/>
    <hyperlink ref="R282" r:id="rId562" xr:uid="{00000000-0004-0000-0300-000031020000}"/>
    <hyperlink ref="Q283" r:id="rId563" xr:uid="{00000000-0004-0000-0300-000032020000}"/>
    <hyperlink ref="R283" r:id="rId564" xr:uid="{00000000-0004-0000-0300-000033020000}"/>
    <hyperlink ref="Q284" r:id="rId565" xr:uid="{00000000-0004-0000-0300-000034020000}"/>
    <hyperlink ref="R284" r:id="rId566" xr:uid="{00000000-0004-0000-0300-000035020000}"/>
    <hyperlink ref="Q285" r:id="rId567" xr:uid="{00000000-0004-0000-0300-000036020000}"/>
    <hyperlink ref="R285" r:id="rId568" xr:uid="{00000000-0004-0000-0300-000037020000}"/>
    <hyperlink ref="Q286" r:id="rId569" xr:uid="{00000000-0004-0000-0300-000038020000}"/>
    <hyperlink ref="R286" r:id="rId570" xr:uid="{00000000-0004-0000-0300-000039020000}"/>
    <hyperlink ref="Q287" r:id="rId571" xr:uid="{00000000-0004-0000-0300-00003A020000}"/>
    <hyperlink ref="R287" r:id="rId572" xr:uid="{00000000-0004-0000-0300-00003B020000}"/>
    <hyperlink ref="Q288" r:id="rId573" xr:uid="{00000000-0004-0000-0300-00003C020000}"/>
    <hyperlink ref="R288" r:id="rId574" xr:uid="{00000000-0004-0000-0300-00003D020000}"/>
    <hyperlink ref="Q289" r:id="rId575" xr:uid="{00000000-0004-0000-0300-00003E020000}"/>
    <hyperlink ref="R289" r:id="rId576" xr:uid="{00000000-0004-0000-0300-00003F020000}"/>
    <hyperlink ref="Q290" r:id="rId577" xr:uid="{00000000-0004-0000-0300-000040020000}"/>
    <hyperlink ref="R290" r:id="rId578" xr:uid="{00000000-0004-0000-0300-000041020000}"/>
    <hyperlink ref="Q291" r:id="rId579" xr:uid="{00000000-0004-0000-0300-000042020000}"/>
    <hyperlink ref="R291" r:id="rId580" xr:uid="{00000000-0004-0000-0300-000043020000}"/>
    <hyperlink ref="Q292" r:id="rId581" xr:uid="{00000000-0004-0000-0300-000044020000}"/>
    <hyperlink ref="R292" r:id="rId582" xr:uid="{00000000-0004-0000-0300-000045020000}"/>
    <hyperlink ref="Q293" r:id="rId583" xr:uid="{00000000-0004-0000-0300-000046020000}"/>
    <hyperlink ref="R293" r:id="rId584" xr:uid="{00000000-0004-0000-0300-000047020000}"/>
    <hyperlink ref="Q294" r:id="rId585" xr:uid="{00000000-0004-0000-0300-000048020000}"/>
    <hyperlink ref="R294" r:id="rId586" xr:uid="{00000000-0004-0000-0300-000049020000}"/>
    <hyperlink ref="Q295" r:id="rId587" xr:uid="{00000000-0004-0000-0300-00004A020000}"/>
    <hyperlink ref="R295" r:id="rId588" xr:uid="{00000000-0004-0000-0300-00004B020000}"/>
    <hyperlink ref="Q296" r:id="rId589" xr:uid="{00000000-0004-0000-0300-00004C020000}"/>
    <hyperlink ref="R296" r:id="rId590" xr:uid="{00000000-0004-0000-0300-00004D020000}"/>
    <hyperlink ref="Q297" r:id="rId591" xr:uid="{00000000-0004-0000-0300-00004E020000}"/>
    <hyperlink ref="R297" r:id="rId592" xr:uid="{00000000-0004-0000-0300-00004F020000}"/>
    <hyperlink ref="Q298" r:id="rId593" xr:uid="{00000000-0004-0000-0300-000050020000}"/>
    <hyperlink ref="R298" r:id="rId594" xr:uid="{00000000-0004-0000-0300-000051020000}"/>
    <hyperlink ref="Q299" r:id="rId595" xr:uid="{00000000-0004-0000-0300-000052020000}"/>
    <hyperlink ref="R299" r:id="rId596" xr:uid="{00000000-0004-0000-0300-000053020000}"/>
    <hyperlink ref="Q300" r:id="rId597" xr:uid="{00000000-0004-0000-0300-000054020000}"/>
    <hyperlink ref="R300" r:id="rId598" xr:uid="{00000000-0004-0000-0300-000055020000}"/>
    <hyperlink ref="Q301" r:id="rId599" xr:uid="{00000000-0004-0000-0300-000056020000}"/>
    <hyperlink ref="R301" r:id="rId600" xr:uid="{00000000-0004-0000-0300-000057020000}"/>
    <hyperlink ref="Q302" r:id="rId601" xr:uid="{00000000-0004-0000-0300-000058020000}"/>
    <hyperlink ref="R302" r:id="rId602" xr:uid="{00000000-0004-0000-0300-000059020000}"/>
    <hyperlink ref="Q303" r:id="rId603" xr:uid="{00000000-0004-0000-0300-00005A020000}"/>
    <hyperlink ref="R303" r:id="rId604" xr:uid="{00000000-0004-0000-0300-00005B020000}"/>
    <hyperlink ref="Q304" r:id="rId605" xr:uid="{00000000-0004-0000-0300-00005C020000}"/>
    <hyperlink ref="R304" r:id="rId606" xr:uid="{00000000-0004-0000-0300-00005D020000}"/>
    <hyperlink ref="Q305" r:id="rId607" xr:uid="{00000000-0004-0000-0300-00005E020000}"/>
    <hyperlink ref="R305" r:id="rId608" xr:uid="{00000000-0004-0000-0300-00005F020000}"/>
    <hyperlink ref="Q306" r:id="rId609" xr:uid="{00000000-0004-0000-0300-000060020000}"/>
    <hyperlink ref="R306" r:id="rId610" xr:uid="{00000000-0004-0000-0300-000061020000}"/>
    <hyperlink ref="Q307" r:id="rId611" xr:uid="{00000000-0004-0000-0300-000062020000}"/>
    <hyperlink ref="R307" r:id="rId612" xr:uid="{00000000-0004-0000-0300-000063020000}"/>
    <hyperlink ref="Q308" r:id="rId613" xr:uid="{00000000-0004-0000-0300-000064020000}"/>
    <hyperlink ref="R308" r:id="rId614" xr:uid="{00000000-0004-0000-0300-000065020000}"/>
    <hyperlink ref="Q309" r:id="rId615" xr:uid="{00000000-0004-0000-0300-000066020000}"/>
    <hyperlink ref="R309" r:id="rId616" xr:uid="{00000000-0004-0000-0300-000067020000}"/>
    <hyperlink ref="Q310" r:id="rId617" xr:uid="{00000000-0004-0000-0300-000068020000}"/>
    <hyperlink ref="R310" r:id="rId618" xr:uid="{00000000-0004-0000-0300-000069020000}"/>
    <hyperlink ref="Q311" r:id="rId619" xr:uid="{00000000-0004-0000-0300-00006A020000}"/>
    <hyperlink ref="R311" r:id="rId620" xr:uid="{00000000-0004-0000-0300-00006B020000}"/>
    <hyperlink ref="Q312" r:id="rId621" xr:uid="{00000000-0004-0000-0300-00006C020000}"/>
    <hyperlink ref="R312" r:id="rId622" xr:uid="{00000000-0004-0000-0300-00006D020000}"/>
    <hyperlink ref="Q313" r:id="rId623" xr:uid="{00000000-0004-0000-0300-00006E020000}"/>
    <hyperlink ref="R313" r:id="rId624" xr:uid="{00000000-0004-0000-0300-00006F020000}"/>
    <hyperlink ref="Q314" r:id="rId625" xr:uid="{00000000-0004-0000-0300-000070020000}"/>
    <hyperlink ref="R314" r:id="rId626" xr:uid="{00000000-0004-0000-0300-000071020000}"/>
    <hyperlink ref="Q315" r:id="rId627" xr:uid="{00000000-0004-0000-0300-000072020000}"/>
    <hyperlink ref="R315" r:id="rId628" xr:uid="{00000000-0004-0000-0300-000073020000}"/>
    <hyperlink ref="Q316" r:id="rId629" xr:uid="{00000000-0004-0000-0300-000074020000}"/>
    <hyperlink ref="R316" r:id="rId630" xr:uid="{00000000-0004-0000-0300-000075020000}"/>
    <hyperlink ref="Q317" r:id="rId631" xr:uid="{00000000-0004-0000-0300-000076020000}"/>
    <hyperlink ref="R317" r:id="rId632" xr:uid="{00000000-0004-0000-0300-000077020000}"/>
    <hyperlink ref="Q318" r:id="rId633" xr:uid="{00000000-0004-0000-0300-000078020000}"/>
    <hyperlink ref="R318" r:id="rId634" xr:uid="{00000000-0004-0000-0300-000079020000}"/>
    <hyperlink ref="Q319" r:id="rId635" xr:uid="{00000000-0004-0000-0300-00007A020000}"/>
    <hyperlink ref="R319" r:id="rId636" xr:uid="{00000000-0004-0000-0300-00007B020000}"/>
    <hyperlink ref="Q320" r:id="rId637" xr:uid="{00000000-0004-0000-0300-00007C020000}"/>
    <hyperlink ref="R320" r:id="rId638" xr:uid="{00000000-0004-0000-0300-00007D020000}"/>
    <hyperlink ref="Q321" r:id="rId639" xr:uid="{00000000-0004-0000-0300-00007E020000}"/>
    <hyperlink ref="R321" r:id="rId640" xr:uid="{00000000-0004-0000-0300-00007F020000}"/>
    <hyperlink ref="Q322" r:id="rId641" xr:uid="{00000000-0004-0000-0300-000080020000}"/>
    <hyperlink ref="R322" r:id="rId642" xr:uid="{00000000-0004-0000-0300-000081020000}"/>
    <hyperlink ref="Q323" r:id="rId643" xr:uid="{00000000-0004-0000-0300-000082020000}"/>
    <hyperlink ref="R323" r:id="rId644" xr:uid="{00000000-0004-0000-0300-000083020000}"/>
    <hyperlink ref="Q324" r:id="rId645" xr:uid="{00000000-0004-0000-0300-000084020000}"/>
    <hyperlink ref="R324" r:id="rId646" xr:uid="{00000000-0004-0000-0300-000085020000}"/>
    <hyperlink ref="Q325" r:id="rId647" xr:uid="{00000000-0004-0000-0300-000086020000}"/>
    <hyperlink ref="R325" r:id="rId648" xr:uid="{00000000-0004-0000-0300-000087020000}"/>
    <hyperlink ref="Q326" r:id="rId649" xr:uid="{00000000-0004-0000-0300-000088020000}"/>
    <hyperlink ref="R326" r:id="rId650" xr:uid="{00000000-0004-0000-0300-000089020000}"/>
    <hyperlink ref="Q327" r:id="rId651" xr:uid="{00000000-0004-0000-0300-00008A020000}"/>
    <hyperlink ref="R327" r:id="rId652" xr:uid="{00000000-0004-0000-0300-00008B020000}"/>
    <hyperlink ref="Q328" r:id="rId653" xr:uid="{00000000-0004-0000-0300-00008C020000}"/>
    <hyperlink ref="R328" r:id="rId654" xr:uid="{00000000-0004-0000-0300-00008D020000}"/>
    <hyperlink ref="Q329" r:id="rId655" xr:uid="{00000000-0004-0000-0300-00008E020000}"/>
    <hyperlink ref="R329" r:id="rId656" xr:uid="{00000000-0004-0000-0300-00008F020000}"/>
    <hyperlink ref="Q330" r:id="rId657" xr:uid="{00000000-0004-0000-0300-000090020000}"/>
    <hyperlink ref="R330" r:id="rId658" xr:uid="{00000000-0004-0000-0300-000091020000}"/>
    <hyperlink ref="Q331" r:id="rId659" xr:uid="{00000000-0004-0000-0300-000092020000}"/>
    <hyperlink ref="R331" r:id="rId660" xr:uid="{00000000-0004-0000-0300-000093020000}"/>
    <hyperlink ref="Q332" r:id="rId661" xr:uid="{00000000-0004-0000-0300-000094020000}"/>
    <hyperlink ref="R332" r:id="rId662" xr:uid="{00000000-0004-0000-0300-000095020000}"/>
    <hyperlink ref="Q333" r:id="rId663" xr:uid="{00000000-0004-0000-0300-000096020000}"/>
    <hyperlink ref="R333" r:id="rId664" xr:uid="{00000000-0004-0000-0300-000097020000}"/>
    <hyperlink ref="Q334" r:id="rId665" xr:uid="{00000000-0004-0000-0300-000098020000}"/>
    <hyperlink ref="R334" r:id="rId666" xr:uid="{00000000-0004-0000-0300-000099020000}"/>
    <hyperlink ref="Q335" r:id="rId667" xr:uid="{00000000-0004-0000-0300-00009A020000}"/>
    <hyperlink ref="R335" r:id="rId668" xr:uid="{00000000-0004-0000-0300-00009B020000}"/>
    <hyperlink ref="Q336" r:id="rId669" xr:uid="{00000000-0004-0000-0300-00009C020000}"/>
    <hyperlink ref="R336" r:id="rId670" xr:uid="{00000000-0004-0000-0300-00009D020000}"/>
    <hyperlink ref="Q337" r:id="rId671" xr:uid="{00000000-0004-0000-0300-00009E020000}"/>
    <hyperlink ref="R337" r:id="rId672" xr:uid="{00000000-0004-0000-0300-00009F020000}"/>
    <hyperlink ref="Q338" r:id="rId673" xr:uid="{00000000-0004-0000-0300-0000A0020000}"/>
    <hyperlink ref="R338" r:id="rId674" xr:uid="{00000000-0004-0000-0300-0000A1020000}"/>
    <hyperlink ref="Q339" r:id="rId675" xr:uid="{00000000-0004-0000-0300-0000A2020000}"/>
    <hyperlink ref="R339" r:id="rId676" xr:uid="{00000000-0004-0000-0300-0000A3020000}"/>
    <hyperlink ref="Q340" r:id="rId677" xr:uid="{00000000-0004-0000-0300-0000A4020000}"/>
    <hyperlink ref="R340" r:id="rId678" xr:uid="{00000000-0004-0000-0300-0000A5020000}"/>
    <hyperlink ref="Q341" r:id="rId679" xr:uid="{00000000-0004-0000-0300-0000A6020000}"/>
    <hyperlink ref="R341" r:id="rId680" xr:uid="{00000000-0004-0000-0300-0000A7020000}"/>
    <hyperlink ref="Q342" r:id="rId681" xr:uid="{00000000-0004-0000-0300-0000A8020000}"/>
    <hyperlink ref="R342" r:id="rId682" xr:uid="{00000000-0004-0000-0300-0000A9020000}"/>
    <hyperlink ref="Q343" r:id="rId683" xr:uid="{00000000-0004-0000-0300-0000AA020000}"/>
    <hyperlink ref="R343" r:id="rId684" xr:uid="{00000000-0004-0000-0300-0000AB020000}"/>
    <hyperlink ref="Q344" r:id="rId685" xr:uid="{00000000-0004-0000-0300-0000AC020000}"/>
    <hyperlink ref="R344" r:id="rId686" xr:uid="{00000000-0004-0000-0300-0000AD020000}"/>
    <hyperlink ref="Q345" r:id="rId687" xr:uid="{00000000-0004-0000-0300-0000AE020000}"/>
    <hyperlink ref="R345" r:id="rId688" xr:uid="{00000000-0004-0000-0300-0000AF020000}"/>
    <hyperlink ref="Q346" r:id="rId689" xr:uid="{00000000-0004-0000-0300-0000B0020000}"/>
    <hyperlink ref="R346" r:id="rId690" xr:uid="{00000000-0004-0000-0300-0000B1020000}"/>
    <hyperlink ref="Q347" r:id="rId691" xr:uid="{00000000-0004-0000-0300-0000B2020000}"/>
    <hyperlink ref="R347" r:id="rId692" xr:uid="{00000000-0004-0000-0300-0000B3020000}"/>
    <hyperlink ref="Q348" r:id="rId693" xr:uid="{00000000-0004-0000-0300-0000B4020000}"/>
    <hyperlink ref="R348" r:id="rId694" xr:uid="{00000000-0004-0000-0300-0000B5020000}"/>
    <hyperlink ref="Q349" r:id="rId695" xr:uid="{00000000-0004-0000-0300-0000B6020000}"/>
    <hyperlink ref="R349" r:id="rId696" xr:uid="{00000000-0004-0000-0300-0000B7020000}"/>
    <hyperlink ref="Q350" r:id="rId697" xr:uid="{00000000-0004-0000-0300-0000B8020000}"/>
    <hyperlink ref="R350" r:id="rId698" xr:uid="{00000000-0004-0000-0300-0000B9020000}"/>
    <hyperlink ref="Q351" r:id="rId699" xr:uid="{00000000-0004-0000-0300-0000BA020000}"/>
    <hyperlink ref="R351" r:id="rId700" xr:uid="{00000000-0004-0000-0300-0000BB020000}"/>
    <hyperlink ref="Q352" r:id="rId701" xr:uid="{00000000-0004-0000-0300-0000BC020000}"/>
    <hyperlink ref="R352" r:id="rId702" xr:uid="{00000000-0004-0000-0300-0000BD020000}"/>
    <hyperlink ref="Q353" r:id="rId703" xr:uid="{00000000-0004-0000-0300-0000BE020000}"/>
    <hyperlink ref="R353" r:id="rId704" xr:uid="{00000000-0004-0000-0300-0000BF020000}"/>
    <hyperlink ref="Q354" r:id="rId705" xr:uid="{00000000-0004-0000-0300-0000C0020000}"/>
    <hyperlink ref="R354" r:id="rId706" xr:uid="{00000000-0004-0000-0300-0000C1020000}"/>
    <hyperlink ref="Q355" r:id="rId707" xr:uid="{00000000-0004-0000-0300-0000C2020000}"/>
    <hyperlink ref="R355" r:id="rId708" xr:uid="{00000000-0004-0000-0300-0000C3020000}"/>
    <hyperlink ref="Q356" r:id="rId709" xr:uid="{00000000-0004-0000-0300-0000C4020000}"/>
    <hyperlink ref="R356" r:id="rId710" xr:uid="{00000000-0004-0000-0300-0000C5020000}"/>
    <hyperlink ref="Q357" r:id="rId711" xr:uid="{00000000-0004-0000-0300-0000C6020000}"/>
    <hyperlink ref="R357" r:id="rId712" xr:uid="{00000000-0004-0000-0300-0000C7020000}"/>
    <hyperlink ref="Q358" r:id="rId713" xr:uid="{00000000-0004-0000-0300-0000C8020000}"/>
    <hyperlink ref="R358" r:id="rId714" xr:uid="{00000000-0004-0000-0300-0000C9020000}"/>
    <hyperlink ref="Q359" r:id="rId715" xr:uid="{00000000-0004-0000-0300-0000CA020000}"/>
    <hyperlink ref="R359" r:id="rId716" xr:uid="{00000000-0004-0000-0300-0000CB020000}"/>
    <hyperlink ref="Q360" r:id="rId717" xr:uid="{00000000-0004-0000-0300-0000CC020000}"/>
    <hyperlink ref="R360" r:id="rId718" xr:uid="{00000000-0004-0000-0300-0000CD020000}"/>
    <hyperlink ref="Q361" r:id="rId719" xr:uid="{00000000-0004-0000-0300-0000CE020000}"/>
    <hyperlink ref="R361" r:id="rId720" xr:uid="{00000000-0004-0000-0300-0000CF020000}"/>
    <hyperlink ref="Q362" r:id="rId721" xr:uid="{00000000-0004-0000-0300-0000D0020000}"/>
    <hyperlink ref="R362" r:id="rId722" xr:uid="{00000000-0004-0000-0300-0000D1020000}"/>
    <hyperlink ref="Q363" r:id="rId723" xr:uid="{00000000-0004-0000-0300-0000D2020000}"/>
    <hyperlink ref="R363" r:id="rId724" xr:uid="{00000000-0004-0000-0300-0000D3020000}"/>
    <hyperlink ref="Q364" r:id="rId725" xr:uid="{00000000-0004-0000-0300-0000D4020000}"/>
    <hyperlink ref="R364" r:id="rId726" xr:uid="{00000000-0004-0000-0300-0000D5020000}"/>
    <hyperlink ref="Q365" r:id="rId727" xr:uid="{00000000-0004-0000-0300-0000D6020000}"/>
    <hyperlink ref="R365" r:id="rId728" xr:uid="{00000000-0004-0000-0300-0000D7020000}"/>
    <hyperlink ref="Q366" r:id="rId729" xr:uid="{00000000-0004-0000-0300-0000D8020000}"/>
    <hyperlink ref="R366" r:id="rId730" xr:uid="{00000000-0004-0000-0300-0000D9020000}"/>
    <hyperlink ref="Q367" r:id="rId731" xr:uid="{00000000-0004-0000-0300-0000DA020000}"/>
    <hyperlink ref="R367" r:id="rId732" xr:uid="{00000000-0004-0000-0300-0000DB020000}"/>
    <hyperlink ref="Q368" r:id="rId733" xr:uid="{00000000-0004-0000-0300-0000DC020000}"/>
    <hyperlink ref="R368" r:id="rId734" xr:uid="{00000000-0004-0000-0300-0000DD020000}"/>
    <hyperlink ref="Q369" r:id="rId735" xr:uid="{00000000-0004-0000-0300-0000DE020000}"/>
    <hyperlink ref="R369" r:id="rId736" xr:uid="{00000000-0004-0000-0300-0000DF020000}"/>
    <hyperlink ref="Q370" r:id="rId737" xr:uid="{00000000-0004-0000-0300-0000E0020000}"/>
    <hyperlink ref="R370" r:id="rId738" xr:uid="{00000000-0004-0000-0300-0000E1020000}"/>
    <hyperlink ref="Q371" r:id="rId739" xr:uid="{00000000-0004-0000-0300-0000E2020000}"/>
    <hyperlink ref="R371" r:id="rId740" xr:uid="{00000000-0004-0000-0300-0000E3020000}"/>
    <hyperlink ref="Q372" r:id="rId741" xr:uid="{00000000-0004-0000-0300-0000E4020000}"/>
    <hyperlink ref="R372" r:id="rId742" xr:uid="{00000000-0004-0000-0300-0000E5020000}"/>
    <hyperlink ref="Q373" r:id="rId743" xr:uid="{00000000-0004-0000-0300-0000E6020000}"/>
    <hyperlink ref="R373" r:id="rId744" xr:uid="{00000000-0004-0000-0300-0000E7020000}"/>
    <hyperlink ref="Q374" r:id="rId745" xr:uid="{00000000-0004-0000-0300-0000E8020000}"/>
    <hyperlink ref="R374" r:id="rId746" xr:uid="{00000000-0004-0000-0300-0000E9020000}"/>
    <hyperlink ref="Q375" r:id="rId747" xr:uid="{00000000-0004-0000-0300-0000EA020000}"/>
    <hyperlink ref="R375" r:id="rId748" xr:uid="{00000000-0004-0000-0300-0000EB020000}"/>
    <hyperlink ref="Q376" r:id="rId749" xr:uid="{00000000-0004-0000-0300-0000EC020000}"/>
    <hyperlink ref="R376" r:id="rId750" xr:uid="{00000000-0004-0000-0300-0000ED020000}"/>
    <hyperlink ref="Q377" r:id="rId751" xr:uid="{00000000-0004-0000-0300-0000EE020000}"/>
    <hyperlink ref="R377" r:id="rId752" xr:uid="{00000000-0004-0000-0300-0000EF020000}"/>
    <hyperlink ref="Q378" r:id="rId753" xr:uid="{00000000-0004-0000-0300-0000F0020000}"/>
    <hyperlink ref="R378" r:id="rId754" xr:uid="{00000000-0004-0000-0300-0000F1020000}"/>
    <hyperlink ref="Q379" r:id="rId755" xr:uid="{00000000-0004-0000-0300-0000F2020000}"/>
    <hyperlink ref="R379" r:id="rId756" xr:uid="{00000000-0004-0000-0300-0000F3020000}"/>
    <hyperlink ref="Q380" r:id="rId757" xr:uid="{00000000-0004-0000-0300-0000F4020000}"/>
    <hyperlink ref="R380" r:id="rId758" xr:uid="{00000000-0004-0000-0300-0000F5020000}"/>
    <hyperlink ref="Q381" r:id="rId759" xr:uid="{00000000-0004-0000-0300-0000F6020000}"/>
    <hyperlink ref="R381" r:id="rId760" xr:uid="{00000000-0004-0000-0300-0000F7020000}"/>
    <hyperlink ref="Q382" r:id="rId761" xr:uid="{00000000-0004-0000-0300-0000F8020000}"/>
    <hyperlink ref="R382" r:id="rId762" xr:uid="{00000000-0004-0000-0300-0000F9020000}"/>
    <hyperlink ref="Q383" r:id="rId763" xr:uid="{00000000-0004-0000-0300-0000FA020000}"/>
    <hyperlink ref="R383" r:id="rId764" xr:uid="{00000000-0004-0000-0300-0000FB020000}"/>
    <hyperlink ref="Q384" r:id="rId765" xr:uid="{00000000-0004-0000-0300-0000FC020000}"/>
    <hyperlink ref="R384" r:id="rId766" xr:uid="{00000000-0004-0000-0300-0000FD020000}"/>
    <hyperlink ref="Q385" r:id="rId767" xr:uid="{00000000-0004-0000-0300-0000FE020000}"/>
    <hyperlink ref="R385" r:id="rId768" xr:uid="{00000000-0004-0000-0300-0000FF020000}"/>
    <hyperlink ref="Q386" r:id="rId769" xr:uid="{00000000-0004-0000-0300-000000030000}"/>
    <hyperlink ref="R386" r:id="rId770" xr:uid="{00000000-0004-0000-0300-000001030000}"/>
    <hyperlink ref="Q387" r:id="rId771" xr:uid="{00000000-0004-0000-0300-000002030000}"/>
    <hyperlink ref="R387" r:id="rId772" xr:uid="{00000000-0004-0000-0300-000003030000}"/>
    <hyperlink ref="Q388" r:id="rId773" xr:uid="{00000000-0004-0000-0300-000004030000}"/>
    <hyperlink ref="R388" r:id="rId774" xr:uid="{00000000-0004-0000-0300-000005030000}"/>
    <hyperlink ref="Q389" r:id="rId775" xr:uid="{00000000-0004-0000-0300-000006030000}"/>
    <hyperlink ref="R389" r:id="rId776" xr:uid="{00000000-0004-0000-0300-000007030000}"/>
    <hyperlink ref="Q390" r:id="rId777" xr:uid="{00000000-0004-0000-0300-000008030000}"/>
    <hyperlink ref="R390" r:id="rId778" xr:uid="{00000000-0004-0000-0300-000009030000}"/>
    <hyperlink ref="Q391" r:id="rId779" xr:uid="{00000000-0004-0000-0300-00000A030000}"/>
    <hyperlink ref="R391" r:id="rId780" xr:uid="{00000000-0004-0000-0300-00000B030000}"/>
    <hyperlink ref="Q392" r:id="rId781" xr:uid="{00000000-0004-0000-0300-00000C030000}"/>
    <hyperlink ref="R392" r:id="rId782" xr:uid="{00000000-0004-0000-0300-00000D030000}"/>
    <hyperlink ref="Q393" r:id="rId783" xr:uid="{00000000-0004-0000-0300-00000E030000}"/>
    <hyperlink ref="R393" r:id="rId784" xr:uid="{00000000-0004-0000-0300-00000F030000}"/>
    <hyperlink ref="Q394" r:id="rId785" xr:uid="{00000000-0004-0000-0300-000010030000}"/>
    <hyperlink ref="R394" r:id="rId786" xr:uid="{00000000-0004-0000-0300-000011030000}"/>
    <hyperlink ref="Q395" r:id="rId787" xr:uid="{00000000-0004-0000-0300-000012030000}"/>
    <hyperlink ref="R395" r:id="rId788" xr:uid="{00000000-0004-0000-0300-000013030000}"/>
    <hyperlink ref="Q396" r:id="rId789" xr:uid="{00000000-0004-0000-0300-000014030000}"/>
    <hyperlink ref="R396" r:id="rId790" xr:uid="{00000000-0004-0000-0300-000015030000}"/>
    <hyperlink ref="Q397" r:id="rId791" xr:uid="{00000000-0004-0000-0300-000016030000}"/>
    <hyperlink ref="R397" r:id="rId792" xr:uid="{00000000-0004-0000-0300-000017030000}"/>
    <hyperlink ref="Q398" r:id="rId793" xr:uid="{00000000-0004-0000-0300-000018030000}"/>
    <hyperlink ref="R398" r:id="rId794" xr:uid="{00000000-0004-0000-0300-000019030000}"/>
    <hyperlink ref="Q399" r:id="rId795" xr:uid="{00000000-0004-0000-0300-00001A030000}"/>
    <hyperlink ref="R399" r:id="rId796" xr:uid="{00000000-0004-0000-0300-00001B030000}"/>
    <hyperlink ref="Q400" r:id="rId797" xr:uid="{00000000-0004-0000-0300-00001C030000}"/>
    <hyperlink ref="R400" r:id="rId798" xr:uid="{00000000-0004-0000-0300-00001D030000}"/>
    <hyperlink ref="Q401" r:id="rId799" xr:uid="{00000000-0004-0000-0300-00001E030000}"/>
    <hyperlink ref="R401" r:id="rId800" xr:uid="{00000000-0004-0000-0300-00001F030000}"/>
    <hyperlink ref="Q402" r:id="rId801" xr:uid="{00000000-0004-0000-0300-000020030000}"/>
    <hyperlink ref="R402" r:id="rId802" xr:uid="{00000000-0004-0000-0300-000021030000}"/>
    <hyperlink ref="Q403" r:id="rId803" xr:uid="{00000000-0004-0000-0300-000022030000}"/>
    <hyperlink ref="R403" r:id="rId804" xr:uid="{00000000-0004-0000-0300-000023030000}"/>
    <hyperlink ref="Q404" r:id="rId805" xr:uid="{00000000-0004-0000-0300-000024030000}"/>
    <hyperlink ref="R404" r:id="rId806" xr:uid="{00000000-0004-0000-0300-000025030000}"/>
    <hyperlink ref="Q405" r:id="rId807" xr:uid="{00000000-0004-0000-0300-000026030000}"/>
    <hyperlink ref="R405" r:id="rId808" xr:uid="{00000000-0004-0000-0300-000027030000}"/>
    <hyperlink ref="Q406" r:id="rId809" xr:uid="{00000000-0004-0000-0300-000028030000}"/>
    <hyperlink ref="R406" r:id="rId810" xr:uid="{00000000-0004-0000-0300-000029030000}"/>
    <hyperlink ref="Q407" r:id="rId811" xr:uid="{00000000-0004-0000-0300-00002A030000}"/>
    <hyperlink ref="R407" r:id="rId812" xr:uid="{00000000-0004-0000-0300-00002B030000}"/>
    <hyperlink ref="Q408" r:id="rId813" xr:uid="{00000000-0004-0000-0300-00002C030000}"/>
    <hyperlink ref="R408" r:id="rId814" xr:uid="{00000000-0004-0000-0300-00002D030000}"/>
    <hyperlink ref="Q409" r:id="rId815" xr:uid="{00000000-0004-0000-0300-00002E030000}"/>
    <hyperlink ref="R409" r:id="rId816" xr:uid="{00000000-0004-0000-0300-00002F030000}"/>
    <hyperlink ref="Q410" r:id="rId817" xr:uid="{00000000-0004-0000-0300-000030030000}"/>
    <hyperlink ref="R410" r:id="rId818" xr:uid="{00000000-0004-0000-0300-000031030000}"/>
    <hyperlink ref="Q411" r:id="rId819" xr:uid="{00000000-0004-0000-0300-000032030000}"/>
    <hyperlink ref="R411" r:id="rId820" xr:uid="{00000000-0004-0000-0300-000033030000}"/>
    <hyperlink ref="Q412" r:id="rId821" xr:uid="{00000000-0004-0000-0300-000034030000}"/>
    <hyperlink ref="R412" r:id="rId822" xr:uid="{00000000-0004-0000-0300-000035030000}"/>
    <hyperlink ref="Q413" r:id="rId823" xr:uid="{00000000-0004-0000-0300-000036030000}"/>
    <hyperlink ref="R413" r:id="rId824" xr:uid="{00000000-0004-0000-0300-000037030000}"/>
    <hyperlink ref="Q414" r:id="rId825" xr:uid="{00000000-0004-0000-0300-000038030000}"/>
    <hyperlink ref="R414" r:id="rId826" xr:uid="{00000000-0004-0000-0300-000039030000}"/>
    <hyperlink ref="Q415" r:id="rId827" xr:uid="{00000000-0004-0000-0300-00003A030000}"/>
    <hyperlink ref="R415" r:id="rId828" xr:uid="{00000000-0004-0000-0300-00003B030000}"/>
    <hyperlink ref="Q416" r:id="rId829" xr:uid="{00000000-0004-0000-0300-00003C030000}"/>
    <hyperlink ref="R416" r:id="rId830" xr:uid="{00000000-0004-0000-0300-00003D030000}"/>
    <hyperlink ref="Q417" r:id="rId831" xr:uid="{00000000-0004-0000-0300-00003E030000}"/>
    <hyperlink ref="R417" r:id="rId832" xr:uid="{00000000-0004-0000-0300-00003F030000}"/>
    <hyperlink ref="Q418" r:id="rId833" xr:uid="{00000000-0004-0000-0300-000040030000}"/>
    <hyperlink ref="R418" r:id="rId834" xr:uid="{00000000-0004-0000-0300-000041030000}"/>
    <hyperlink ref="Q419" r:id="rId835" xr:uid="{00000000-0004-0000-0300-000042030000}"/>
    <hyperlink ref="R419" r:id="rId836" xr:uid="{00000000-0004-0000-0300-000043030000}"/>
    <hyperlink ref="Q420" r:id="rId837" xr:uid="{00000000-0004-0000-0300-000044030000}"/>
    <hyperlink ref="R420" r:id="rId838" xr:uid="{00000000-0004-0000-0300-000045030000}"/>
    <hyperlink ref="Q421" r:id="rId839" xr:uid="{00000000-0004-0000-0300-000046030000}"/>
    <hyperlink ref="R421" r:id="rId840" xr:uid="{00000000-0004-0000-0300-000047030000}"/>
    <hyperlink ref="Q422" r:id="rId841" xr:uid="{00000000-0004-0000-0300-000048030000}"/>
    <hyperlink ref="R422" r:id="rId842" xr:uid="{00000000-0004-0000-0300-000049030000}"/>
    <hyperlink ref="Q423" r:id="rId843" xr:uid="{00000000-0004-0000-0300-00004A030000}"/>
    <hyperlink ref="R423" r:id="rId844" xr:uid="{00000000-0004-0000-0300-00004B030000}"/>
    <hyperlink ref="Q424" r:id="rId845" xr:uid="{00000000-0004-0000-0300-00004C030000}"/>
    <hyperlink ref="R424" r:id="rId846" xr:uid="{00000000-0004-0000-0300-00004D030000}"/>
    <hyperlink ref="Q425" r:id="rId847" xr:uid="{00000000-0004-0000-0300-00004E030000}"/>
    <hyperlink ref="R425" r:id="rId848" xr:uid="{00000000-0004-0000-0300-00004F030000}"/>
    <hyperlink ref="Q426" r:id="rId849" xr:uid="{00000000-0004-0000-0300-000050030000}"/>
    <hyperlink ref="R426" r:id="rId850" xr:uid="{00000000-0004-0000-0300-000051030000}"/>
    <hyperlink ref="Q427" r:id="rId851" xr:uid="{00000000-0004-0000-0300-000052030000}"/>
    <hyperlink ref="R427" r:id="rId852" xr:uid="{00000000-0004-0000-0300-000053030000}"/>
    <hyperlink ref="Q428" r:id="rId853" xr:uid="{00000000-0004-0000-0300-000054030000}"/>
    <hyperlink ref="R428" r:id="rId854" xr:uid="{00000000-0004-0000-0300-000055030000}"/>
    <hyperlink ref="Q429" r:id="rId855" xr:uid="{00000000-0004-0000-0300-000056030000}"/>
    <hyperlink ref="R429" r:id="rId856" xr:uid="{00000000-0004-0000-0300-000057030000}"/>
    <hyperlink ref="Q430" r:id="rId857" xr:uid="{00000000-0004-0000-0300-000058030000}"/>
    <hyperlink ref="R430" r:id="rId858" xr:uid="{00000000-0004-0000-0300-000059030000}"/>
    <hyperlink ref="Q431" r:id="rId859" xr:uid="{00000000-0004-0000-0300-00005A030000}"/>
    <hyperlink ref="R431" r:id="rId860" xr:uid="{00000000-0004-0000-0300-00005B030000}"/>
    <hyperlink ref="Q432" r:id="rId861" xr:uid="{00000000-0004-0000-0300-00005C030000}"/>
    <hyperlink ref="R432" r:id="rId862" xr:uid="{00000000-0004-0000-0300-00005D030000}"/>
    <hyperlink ref="Q433" r:id="rId863" xr:uid="{00000000-0004-0000-0300-00005E030000}"/>
    <hyperlink ref="R433" r:id="rId864" xr:uid="{00000000-0004-0000-0300-00005F030000}"/>
    <hyperlink ref="Q434" r:id="rId865" xr:uid="{00000000-0004-0000-0300-000060030000}"/>
    <hyperlink ref="R434" r:id="rId866" xr:uid="{00000000-0004-0000-0300-000061030000}"/>
    <hyperlink ref="Q435" r:id="rId867" xr:uid="{00000000-0004-0000-0300-000062030000}"/>
    <hyperlink ref="R435" r:id="rId868" xr:uid="{00000000-0004-0000-0300-000063030000}"/>
    <hyperlink ref="Q436" r:id="rId869" xr:uid="{00000000-0004-0000-0300-000064030000}"/>
    <hyperlink ref="R436" r:id="rId870" xr:uid="{00000000-0004-0000-0300-000065030000}"/>
    <hyperlink ref="Q437" r:id="rId871" xr:uid="{00000000-0004-0000-0300-000066030000}"/>
    <hyperlink ref="R437" r:id="rId872" xr:uid="{00000000-0004-0000-0300-000067030000}"/>
    <hyperlink ref="Q438" r:id="rId873" xr:uid="{00000000-0004-0000-0300-000068030000}"/>
    <hyperlink ref="R438" r:id="rId874" xr:uid="{00000000-0004-0000-0300-000069030000}"/>
    <hyperlink ref="Q439" r:id="rId875" xr:uid="{00000000-0004-0000-0300-00006A030000}"/>
    <hyperlink ref="R439" r:id="rId876" xr:uid="{00000000-0004-0000-0300-00006B030000}"/>
    <hyperlink ref="Q440" r:id="rId877" xr:uid="{00000000-0004-0000-0300-00006C030000}"/>
    <hyperlink ref="R440" r:id="rId878" xr:uid="{00000000-0004-0000-0300-00006D030000}"/>
    <hyperlink ref="Q441" r:id="rId879" xr:uid="{00000000-0004-0000-0300-00006E030000}"/>
    <hyperlink ref="R441" r:id="rId880" xr:uid="{00000000-0004-0000-0300-00006F030000}"/>
  </hyperlinks>
  <pageMargins left="0.75" right="0.75" top="1" bottom="1" header="0.5" footer="0.5"/>
  <pageSetup fitToHeight="0" orientation="landscape"/>
  <tableParts count="1">
    <tablePart r:id="rId88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99"/>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147</v>
      </c>
      <c r="B2" s="12" t="s">
        <v>14</v>
      </c>
      <c r="C2" s="12"/>
      <c r="D2" s="12" t="s">
        <v>14</v>
      </c>
      <c r="E2" s="12" t="s">
        <v>148</v>
      </c>
      <c r="F2" s="12"/>
      <c r="G2" s="12" t="s">
        <v>141</v>
      </c>
      <c r="H2" s="12" t="s">
        <v>40</v>
      </c>
      <c r="I2" s="12" t="s">
        <v>26</v>
      </c>
      <c r="J2" s="13" t="s">
        <v>142</v>
      </c>
      <c r="K2" s="14" t="s">
        <v>149</v>
      </c>
      <c r="L2" s="15">
        <v>0</v>
      </c>
      <c r="M2" s="15" t="s">
        <v>144</v>
      </c>
      <c r="N2" s="16">
        <v>45408</v>
      </c>
      <c r="O2" s="12" t="s">
        <v>147</v>
      </c>
      <c r="P2" s="14" t="s">
        <v>150</v>
      </c>
      <c r="Q2" s="17" t="s">
        <v>137</v>
      </c>
      <c r="R2" s="17" t="s">
        <v>146</v>
      </c>
    </row>
    <row r="3" spans="1:18" x14ac:dyDescent="0.3">
      <c r="A3" s="12" t="s">
        <v>179</v>
      </c>
      <c r="B3" s="12" t="s">
        <v>12</v>
      </c>
      <c r="C3" s="12" t="s">
        <v>14</v>
      </c>
      <c r="D3" s="12" t="s">
        <v>180</v>
      </c>
      <c r="E3" s="12" t="s">
        <v>181</v>
      </c>
      <c r="F3" s="12" t="s">
        <v>182</v>
      </c>
      <c r="G3" s="12" t="s">
        <v>175</v>
      </c>
      <c r="H3" s="12" t="s">
        <v>40</v>
      </c>
      <c r="I3" s="12" t="s">
        <v>26</v>
      </c>
      <c r="J3" s="13" t="s">
        <v>183</v>
      </c>
      <c r="K3" s="14" t="s">
        <v>184</v>
      </c>
      <c r="L3" s="15">
        <v>3</v>
      </c>
      <c r="M3" s="15" t="s">
        <v>144</v>
      </c>
      <c r="N3" s="16">
        <v>45348</v>
      </c>
      <c r="O3" s="12" t="s">
        <v>179</v>
      </c>
      <c r="P3" s="14" t="s">
        <v>185</v>
      </c>
      <c r="Q3" s="17" t="s">
        <v>137</v>
      </c>
      <c r="R3" s="17" t="s">
        <v>146</v>
      </c>
    </row>
    <row r="4" spans="1:18" x14ac:dyDescent="0.3">
      <c r="A4" s="12" t="s">
        <v>186</v>
      </c>
      <c r="B4" s="12" t="s">
        <v>14</v>
      </c>
      <c r="C4" s="12"/>
      <c r="D4" s="12" t="s">
        <v>14</v>
      </c>
      <c r="E4" s="12" t="s">
        <v>187</v>
      </c>
      <c r="F4" s="12" t="s">
        <v>188</v>
      </c>
      <c r="G4" s="12" t="s">
        <v>175</v>
      </c>
      <c r="H4" s="12" t="s">
        <v>40</v>
      </c>
      <c r="I4" s="12" t="s">
        <v>26</v>
      </c>
      <c r="J4" s="13" t="s">
        <v>183</v>
      </c>
      <c r="K4" s="14" t="s">
        <v>189</v>
      </c>
      <c r="L4" s="15">
        <v>0</v>
      </c>
      <c r="M4" s="15" t="s">
        <v>144</v>
      </c>
      <c r="N4" s="16">
        <v>45827</v>
      </c>
      <c r="O4" s="12" t="s">
        <v>190</v>
      </c>
      <c r="P4" s="14" t="s">
        <v>191</v>
      </c>
      <c r="Q4" s="17" t="s">
        <v>137</v>
      </c>
      <c r="R4" s="17" t="s">
        <v>146</v>
      </c>
    </row>
    <row r="5" spans="1:18" x14ac:dyDescent="0.3">
      <c r="A5" s="12" t="s">
        <v>199</v>
      </c>
      <c r="B5" s="12" t="s">
        <v>14</v>
      </c>
      <c r="C5" s="12"/>
      <c r="D5" s="12" t="s">
        <v>14</v>
      </c>
      <c r="E5" s="12" t="s">
        <v>200</v>
      </c>
      <c r="F5" s="12" t="s">
        <v>201</v>
      </c>
      <c r="G5" s="12" t="s">
        <v>175</v>
      </c>
      <c r="H5" s="12" t="s">
        <v>40</v>
      </c>
      <c r="I5" s="12" t="s">
        <v>26</v>
      </c>
      <c r="J5" s="13" t="s">
        <v>176</v>
      </c>
      <c r="K5" s="14" t="s">
        <v>202</v>
      </c>
      <c r="L5" s="15">
        <v>10</v>
      </c>
      <c r="M5" s="15" t="s">
        <v>144</v>
      </c>
      <c r="N5" s="16">
        <v>45589</v>
      </c>
      <c r="O5" s="12" t="s">
        <v>203</v>
      </c>
      <c r="P5" s="14" t="s">
        <v>204</v>
      </c>
      <c r="Q5" s="17" t="s">
        <v>137</v>
      </c>
      <c r="R5" s="17" t="s">
        <v>146</v>
      </c>
    </row>
    <row r="6" spans="1:18" x14ac:dyDescent="0.3">
      <c r="A6" s="12" t="s">
        <v>186</v>
      </c>
      <c r="B6" s="12" t="s">
        <v>14</v>
      </c>
      <c r="C6" s="12"/>
      <c r="D6" s="12" t="s">
        <v>14</v>
      </c>
      <c r="E6" s="12" t="s">
        <v>247</v>
      </c>
      <c r="F6" s="12" t="s">
        <v>248</v>
      </c>
      <c r="G6" s="12" t="s">
        <v>233</v>
      </c>
      <c r="H6" s="12" t="s">
        <v>40</v>
      </c>
      <c r="I6" s="12" t="s">
        <v>26</v>
      </c>
      <c r="J6" s="13" t="s">
        <v>234</v>
      </c>
      <c r="K6" s="14" t="s">
        <v>249</v>
      </c>
      <c r="L6" s="15">
        <v>1</v>
      </c>
      <c r="M6" s="15" t="s">
        <v>144</v>
      </c>
      <c r="N6" s="16">
        <v>46211</v>
      </c>
      <c r="O6" s="12" t="s">
        <v>190</v>
      </c>
      <c r="P6" s="14" t="s">
        <v>250</v>
      </c>
      <c r="Q6" s="17" t="s">
        <v>137</v>
      </c>
      <c r="R6" s="17" t="s">
        <v>146</v>
      </c>
    </row>
    <row r="7" spans="1:18" x14ac:dyDescent="0.3">
      <c r="A7" s="12" t="s">
        <v>263</v>
      </c>
      <c r="B7" s="12" t="s">
        <v>14</v>
      </c>
      <c r="C7" s="12"/>
      <c r="D7" s="12" t="s">
        <v>14</v>
      </c>
      <c r="E7" s="12" t="s">
        <v>264</v>
      </c>
      <c r="F7" s="12"/>
      <c r="G7" s="12" t="s">
        <v>233</v>
      </c>
      <c r="H7" s="12" t="s">
        <v>40</v>
      </c>
      <c r="I7" s="12" t="s">
        <v>26</v>
      </c>
      <c r="J7" s="13" t="s">
        <v>259</v>
      </c>
      <c r="K7" s="14" t="s">
        <v>265</v>
      </c>
      <c r="L7" s="15">
        <v>4</v>
      </c>
      <c r="M7" s="15" t="s">
        <v>144</v>
      </c>
      <c r="N7" s="16">
        <v>44736</v>
      </c>
      <c r="O7" s="12" t="s">
        <v>263</v>
      </c>
      <c r="P7" s="14" t="s">
        <v>266</v>
      </c>
      <c r="Q7" s="17" t="s">
        <v>137</v>
      </c>
      <c r="R7" s="17" t="s">
        <v>146</v>
      </c>
    </row>
    <row r="8" spans="1:18" x14ac:dyDescent="0.3">
      <c r="A8" s="12" t="s">
        <v>199</v>
      </c>
      <c r="B8" s="12" t="s">
        <v>14</v>
      </c>
      <c r="C8" s="12"/>
      <c r="D8" s="12" t="s">
        <v>14</v>
      </c>
      <c r="E8" s="12" t="s">
        <v>276</v>
      </c>
      <c r="F8" s="12" t="s">
        <v>188</v>
      </c>
      <c r="G8" s="12" t="s">
        <v>233</v>
      </c>
      <c r="H8" s="12" t="s">
        <v>40</v>
      </c>
      <c r="I8" s="12" t="s">
        <v>26</v>
      </c>
      <c r="J8" s="13" t="s">
        <v>234</v>
      </c>
      <c r="K8" s="14" t="s">
        <v>277</v>
      </c>
      <c r="L8" s="15">
        <v>18</v>
      </c>
      <c r="M8" s="15" t="s">
        <v>144</v>
      </c>
      <c r="N8" s="16">
        <v>45593</v>
      </c>
      <c r="O8" s="12" t="s">
        <v>203</v>
      </c>
      <c r="P8" s="14" t="s">
        <v>278</v>
      </c>
      <c r="Q8" s="17" t="s">
        <v>137</v>
      </c>
      <c r="R8" s="17" t="s">
        <v>146</v>
      </c>
    </row>
    <row r="9" spans="1:18" x14ac:dyDescent="0.3">
      <c r="A9" s="12" t="s">
        <v>199</v>
      </c>
      <c r="B9" s="12" t="s">
        <v>14</v>
      </c>
      <c r="C9" s="12"/>
      <c r="D9" s="12" t="s">
        <v>14</v>
      </c>
      <c r="E9" s="12" t="s">
        <v>279</v>
      </c>
      <c r="F9" s="12"/>
      <c r="G9" s="12" t="s">
        <v>233</v>
      </c>
      <c r="H9" s="12" t="s">
        <v>40</v>
      </c>
      <c r="I9" s="12" t="s">
        <v>26</v>
      </c>
      <c r="J9" s="13" t="s">
        <v>259</v>
      </c>
      <c r="K9" s="14" t="s">
        <v>280</v>
      </c>
      <c r="L9" s="15">
        <v>4</v>
      </c>
      <c r="M9" s="15" t="s">
        <v>144</v>
      </c>
      <c r="N9" s="16">
        <v>45926</v>
      </c>
      <c r="O9" s="12" t="s">
        <v>203</v>
      </c>
      <c r="P9" s="14" t="s">
        <v>281</v>
      </c>
      <c r="Q9" s="17" t="s">
        <v>137</v>
      </c>
      <c r="R9" s="17" t="s">
        <v>146</v>
      </c>
    </row>
    <row r="10" spans="1:18" x14ac:dyDescent="0.3">
      <c r="A10" s="12" t="s">
        <v>282</v>
      </c>
      <c r="B10" s="12" t="s">
        <v>10</v>
      </c>
      <c r="C10" s="12" t="s">
        <v>180</v>
      </c>
      <c r="D10" s="12" t="s">
        <v>283</v>
      </c>
      <c r="E10" s="12" t="s">
        <v>284</v>
      </c>
      <c r="F10" s="12" t="s">
        <v>285</v>
      </c>
      <c r="G10" s="12" t="s">
        <v>233</v>
      </c>
      <c r="H10" s="12" t="s">
        <v>40</v>
      </c>
      <c r="I10" s="12" t="s">
        <v>26</v>
      </c>
      <c r="J10" s="13" t="s">
        <v>234</v>
      </c>
      <c r="K10" s="14" t="s">
        <v>286</v>
      </c>
      <c r="L10" s="15">
        <v>5</v>
      </c>
      <c r="M10" s="15" t="s">
        <v>144</v>
      </c>
      <c r="N10" s="16">
        <v>45911</v>
      </c>
      <c r="O10" s="12" t="s">
        <v>282</v>
      </c>
      <c r="P10" s="14" t="s">
        <v>287</v>
      </c>
      <c r="Q10" s="17" t="s">
        <v>137</v>
      </c>
      <c r="R10" s="17" t="s">
        <v>146</v>
      </c>
    </row>
    <row r="11" spans="1:18" x14ac:dyDescent="0.3">
      <c r="A11" s="12" t="s">
        <v>292</v>
      </c>
      <c r="B11" s="12" t="s">
        <v>14</v>
      </c>
      <c r="C11" s="12"/>
      <c r="D11" s="12" t="s">
        <v>14</v>
      </c>
      <c r="E11" s="12" t="s">
        <v>247</v>
      </c>
      <c r="F11" s="12" t="s">
        <v>293</v>
      </c>
      <c r="G11" s="12" t="s">
        <v>233</v>
      </c>
      <c r="H11" s="12" t="s">
        <v>40</v>
      </c>
      <c r="I11" s="12" t="s">
        <v>26</v>
      </c>
      <c r="J11" s="13" t="s">
        <v>234</v>
      </c>
      <c r="K11" s="14" t="s">
        <v>294</v>
      </c>
      <c r="L11" s="15">
        <v>1</v>
      </c>
      <c r="M11" s="15" t="s">
        <v>144</v>
      </c>
      <c r="N11" s="16">
        <v>45391</v>
      </c>
      <c r="O11" s="12" t="s">
        <v>292</v>
      </c>
      <c r="P11" s="14" t="s">
        <v>295</v>
      </c>
      <c r="Q11" s="17" t="s">
        <v>137</v>
      </c>
      <c r="R11" s="17" t="s">
        <v>146</v>
      </c>
    </row>
    <row r="12" spans="1:18" x14ac:dyDescent="0.3">
      <c r="A12" s="12" t="s">
        <v>305</v>
      </c>
      <c r="B12" s="12" t="s">
        <v>14</v>
      </c>
      <c r="C12" s="12"/>
      <c r="D12" s="12" t="s">
        <v>14</v>
      </c>
      <c r="E12" s="12" t="s">
        <v>264</v>
      </c>
      <c r="F12" s="12"/>
      <c r="G12" s="12" t="s">
        <v>233</v>
      </c>
      <c r="H12" s="12" t="s">
        <v>40</v>
      </c>
      <c r="I12" s="12" t="s">
        <v>26</v>
      </c>
      <c r="J12" s="13" t="s">
        <v>259</v>
      </c>
      <c r="K12" s="14" t="s">
        <v>265</v>
      </c>
      <c r="L12" s="15">
        <v>4</v>
      </c>
      <c r="M12" s="15" t="s">
        <v>144</v>
      </c>
      <c r="N12" s="16">
        <v>45370</v>
      </c>
      <c r="O12" s="12" t="s">
        <v>305</v>
      </c>
      <c r="P12" s="14" t="s">
        <v>306</v>
      </c>
      <c r="Q12" s="17" t="s">
        <v>137</v>
      </c>
      <c r="R12" s="17" t="s">
        <v>146</v>
      </c>
    </row>
    <row r="13" spans="1:18" x14ac:dyDescent="0.3">
      <c r="A13" s="12" t="s">
        <v>307</v>
      </c>
      <c r="B13" s="12" t="s">
        <v>14</v>
      </c>
      <c r="C13" s="12"/>
      <c r="D13" s="12" t="s">
        <v>14</v>
      </c>
      <c r="E13" s="12" t="s">
        <v>308</v>
      </c>
      <c r="F13" s="12" t="s">
        <v>188</v>
      </c>
      <c r="G13" s="12" t="s">
        <v>233</v>
      </c>
      <c r="H13" s="12" t="s">
        <v>40</v>
      </c>
      <c r="I13" s="12" t="s">
        <v>26</v>
      </c>
      <c r="J13" s="13" t="s">
        <v>234</v>
      </c>
      <c r="K13" s="14" t="s">
        <v>309</v>
      </c>
      <c r="L13" s="15">
        <v>6</v>
      </c>
      <c r="M13" s="15" t="s">
        <v>144</v>
      </c>
      <c r="N13" s="16">
        <v>46275</v>
      </c>
      <c r="O13" s="12" t="s">
        <v>307</v>
      </c>
      <c r="P13" s="14" t="s">
        <v>310</v>
      </c>
      <c r="Q13" s="17" t="s">
        <v>137</v>
      </c>
      <c r="R13" s="17" t="s">
        <v>146</v>
      </c>
    </row>
    <row r="14" spans="1:18" x14ac:dyDescent="0.3">
      <c r="A14" s="12" t="s">
        <v>199</v>
      </c>
      <c r="B14" s="12" t="s">
        <v>14</v>
      </c>
      <c r="C14" s="12"/>
      <c r="D14" s="12" t="s">
        <v>14</v>
      </c>
      <c r="E14" s="12" t="s">
        <v>328</v>
      </c>
      <c r="F14" s="12" t="s">
        <v>329</v>
      </c>
      <c r="G14" s="12" t="s">
        <v>320</v>
      </c>
      <c r="H14" s="12" t="s">
        <v>40</v>
      </c>
      <c r="I14" s="12" t="s">
        <v>26</v>
      </c>
      <c r="J14" s="13" t="s">
        <v>321</v>
      </c>
      <c r="K14" s="14" t="s">
        <v>330</v>
      </c>
      <c r="L14" s="15">
        <v>0</v>
      </c>
      <c r="M14" s="15" t="s">
        <v>144</v>
      </c>
      <c r="N14" s="16">
        <v>45951</v>
      </c>
      <c r="O14" s="12" t="s">
        <v>331</v>
      </c>
      <c r="P14" s="14" t="s">
        <v>332</v>
      </c>
      <c r="Q14" s="17" t="s">
        <v>137</v>
      </c>
      <c r="R14" s="17" t="s">
        <v>146</v>
      </c>
    </row>
    <row r="15" spans="1:18" x14ac:dyDescent="0.3">
      <c r="A15" s="12" t="s">
        <v>199</v>
      </c>
      <c r="B15" s="12" t="s">
        <v>14</v>
      </c>
      <c r="C15" s="12"/>
      <c r="D15" s="12" t="s">
        <v>14</v>
      </c>
      <c r="E15" s="12" t="s">
        <v>333</v>
      </c>
      <c r="F15" s="12" t="s">
        <v>334</v>
      </c>
      <c r="G15" s="12" t="s">
        <v>320</v>
      </c>
      <c r="H15" s="12" t="s">
        <v>40</v>
      </c>
      <c r="I15" s="12" t="s">
        <v>26</v>
      </c>
      <c r="J15" s="13" t="s">
        <v>321</v>
      </c>
      <c r="K15" s="14" t="s">
        <v>330</v>
      </c>
      <c r="L15" s="15">
        <v>3</v>
      </c>
      <c r="M15" s="15" t="s">
        <v>144</v>
      </c>
      <c r="N15" s="16">
        <v>45589</v>
      </c>
      <c r="O15" s="12" t="s">
        <v>203</v>
      </c>
      <c r="P15" s="14" t="s">
        <v>335</v>
      </c>
      <c r="Q15" s="17" t="s">
        <v>137</v>
      </c>
      <c r="R15" s="17" t="s">
        <v>146</v>
      </c>
    </row>
    <row r="16" spans="1:18" x14ac:dyDescent="0.3">
      <c r="A16" s="12" t="s">
        <v>376</v>
      </c>
      <c r="B16" s="12" t="s">
        <v>14</v>
      </c>
      <c r="C16" s="12"/>
      <c r="D16" s="12" t="s">
        <v>14</v>
      </c>
      <c r="E16" s="12" t="s">
        <v>377</v>
      </c>
      <c r="F16" s="12"/>
      <c r="G16" s="12" t="s">
        <v>37</v>
      </c>
      <c r="H16" s="12" t="s">
        <v>40</v>
      </c>
      <c r="I16" s="12" t="s">
        <v>26</v>
      </c>
      <c r="J16" s="13" t="s">
        <v>153</v>
      </c>
      <c r="K16" s="14" t="s">
        <v>378</v>
      </c>
      <c r="L16" s="15">
        <v>0</v>
      </c>
      <c r="M16" s="15" t="s">
        <v>144</v>
      </c>
      <c r="N16" s="16">
        <v>46107</v>
      </c>
      <c r="O16" s="12" t="s">
        <v>376</v>
      </c>
      <c r="P16" s="14" t="s">
        <v>379</v>
      </c>
      <c r="Q16" s="17" t="s">
        <v>137</v>
      </c>
      <c r="R16" s="17" t="s">
        <v>146</v>
      </c>
    </row>
    <row r="17" spans="1:18" x14ac:dyDescent="0.3">
      <c r="A17" s="12" t="s">
        <v>405</v>
      </c>
      <c r="B17" s="12" t="s">
        <v>14</v>
      </c>
      <c r="C17" s="12"/>
      <c r="D17" s="12" t="s">
        <v>14</v>
      </c>
      <c r="E17" s="12" t="s">
        <v>406</v>
      </c>
      <c r="F17" s="12" t="s">
        <v>407</v>
      </c>
      <c r="G17" s="12" t="s">
        <v>395</v>
      </c>
      <c r="H17" s="12" t="s">
        <v>46</v>
      </c>
      <c r="I17" s="12" t="s">
        <v>26</v>
      </c>
      <c r="J17" s="13" t="s">
        <v>396</v>
      </c>
      <c r="K17" s="14" t="s">
        <v>408</v>
      </c>
      <c r="L17" s="15">
        <v>0</v>
      </c>
      <c r="M17" s="15" t="s">
        <v>144</v>
      </c>
      <c r="N17" s="16">
        <v>46037</v>
      </c>
      <c r="O17" s="12" t="s">
        <v>405</v>
      </c>
      <c r="P17" s="14" t="s">
        <v>409</v>
      </c>
      <c r="Q17" s="17" t="s">
        <v>137</v>
      </c>
      <c r="R17" s="17" t="s">
        <v>146</v>
      </c>
    </row>
    <row r="18" spans="1:18" x14ac:dyDescent="0.3">
      <c r="A18" s="12" t="s">
        <v>307</v>
      </c>
      <c r="B18" s="12" t="s">
        <v>14</v>
      </c>
      <c r="C18" s="12"/>
      <c r="D18" s="12" t="s">
        <v>14</v>
      </c>
      <c r="E18" s="12" t="s">
        <v>410</v>
      </c>
      <c r="F18" s="12" t="s">
        <v>293</v>
      </c>
      <c r="G18" s="12" t="s">
        <v>395</v>
      </c>
      <c r="H18" s="12" t="s">
        <v>46</v>
      </c>
      <c r="I18" s="12" t="s">
        <v>26</v>
      </c>
      <c r="J18" s="13" t="s">
        <v>396</v>
      </c>
      <c r="K18" s="14" t="s">
        <v>411</v>
      </c>
      <c r="L18" s="15">
        <v>8</v>
      </c>
      <c r="M18" s="15" t="s">
        <v>144</v>
      </c>
      <c r="N18" s="16">
        <v>46275</v>
      </c>
      <c r="O18" s="12" t="s">
        <v>307</v>
      </c>
      <c r="P18" s="14" t="s">
        <v>310</v>
      </c>
      <c r="Q18" s="17" t="s">
        <v>137</v>
      </c>
      <c r="R18" s="17" t="s">
        <v>146</v>
      </c>
    </row>
    <row r="19" spans="1:18" x14ac:dyDescent="0.3">
      <c r="A19" s="12" t="s">
        <v>186</v>
      </c>
      <c r="B19" s="12" t="s">
        <v>14</v>
      </c>
      <c r="C19" s="12"/>
      <c r="D19" s="12" t="s">
        <v>14</v>
      </c>
      <c r="E19" s="12" t="s">
        <v>418</v>
      </c>
      <c r="F19" s="12" t="s">
        <v>188</v>
      </c>
      <c r="G19" s="12" t="s">
        <v>414</v>
      </c>
      <c r="H19" s="12" t="s">
        <v>46</v>
      </c>
      <c r="I19" s="12" t="s">
        <v>26</v>
      </c>
      <c r="J19" s="13" t="s">
        <v>415</v>
      </c>
      <c r="K19" s="14" t="s">
        <v>419</v>
      </c>
      <c r="L19" s="15">
        <v>2</v>
      </c>
      <c r="M19" s="15" t="s">
        <v>144</v>
      </c>
      <c r="N19" s="16">
        <v>45827</v>
      </c>
      <c r="O19" s="12" t="s">
        <v>190</v>
      </c>
      <c r="P19" s="14" t="s">
        <v>420</v>
      </c>
      <c r="Q19" s="17" t="s">
        <v>137</v>
      </c>
      <c r="R19" s="17" t="s">
        <v>146</v>
      </c>
    </row>
    <row r="20" spans="1:18" x14ac:dyDescent="0.3">
      <c r="A20" s="12" t="s">
        <v>426</v>
      </c>
      <c r="B20" s="12" t="s">
        <v>14</v>
      </c>
      <c r="C20" s="12"/>
      <c r="D20" s="12" t="s">
        <v>14</v>
      </c>
      <c r="E20" s="12" t="s">
        <v>422</v>
      </c>
      <c r="F20" s="12" t="s">
        <v>427</v>
      </c>
      <c r="G20" s="12" t="s">
        <v>414</v>
      </c>
      <c r="H20" s="12" t="s">
        <v>46</v>
      </c>
      <c r="I20" s="12" t="s">
        <v>26</v>
      </c>
      <c r="J20" s="13" t="s">
        <v>415</v>
      </c>
      <c r="K20" s="14" t="s">
        <v>428</v>
      </c>
      <c r="L20" s="15">
        <v>0</v>
      </c>
      <c r="M20" s="15" t="s">
        <v>144</v>
      </c>
      <c r="N20" s="16">
        <v>46177</v>
      </c>
      <c r="O20" s="12" t="s">
        <v>426</v>
      </c>
      <c r="P20" s="14" t="s">
        <v>429</v>
      </c>
      <c r="Q20" s="17" t="s">
        <v>137</v>
      </c>
      <c r="R20" s="17" t="s">
        <v>146</v>
      </c>
    </row>
    <row r="21" spans="1:18" x14ac:dyDescent="0.3">
      <c r="A21" s="12" t="s">
        <v>475</v>
      </c>
      <c r="B21" s="12" t="s">
        <v>14</v>
      </c>
      <c r="C21" s="12"/>
      <c r="D21" s="12" t="s">
        <v>14</v>
      </c>
      <c r="E21" s="12" t="s">
        <v>476</v>
      </c>
      <c r="F21" s="12"/>
      <c r="G21" s="12" t="s">
        <v>462</v>
      </c>
      <c r="H21" s="12" t="s">
        <v>46</v>
      </c>
      <c r="I21" s="12" t="s">
        <v>26</v>
      </c>
      <c r="J21" s="13" t="s">
        <v>463</v>
      </c>
      <c r="K21" s="14" t="s">
        <v>477</v>
      </c>
      <c r="L21" s="15">
        <v>3</v>
      </c>
      <c r="M21" s="15" t="s">
        <v>144</v>
      </c>
      <c r="N21" s="16">
        <v>45379</v>
      </c>
      <c r="O21" s="12" t="s">
        <v>475</v>
      </c>
      <c r="P21" s="14" t="s">
        <v>478</v>
      </c>
      <c r="Q21" s="17" t="s">
        <v>137</v>
      </c>
      <c r="R21" s="17" t="s">
        <v>146</v>
      </c>
    </row>
    <row r="22" spans="1:18" x14ac:dyDescent="0.3">
      <c r="A22" s="12" t="s">
        <v>525</v>
      </c>
      <c r="B22" s="12" t="s">
        <v>14</v>
      </c>
      <c r="C22" s="12"/>
      <c r="D22" s="12" t="s">
        <v>14</v>
      </c>
      <c r="E22" s="12" t="s">
        <v>526</v>
      </c>
      <c r="F22" s="12" t="s">
        <v>218</v>
      </c>
      <c r="G22" s="12" t="s">
        <v>521</v>
      </c>
      <c r="H22" s="12" t="s">
        <v>38</v>
      </c>
      <c r="I22" s="12" t="s">
        <v>26</v>
      </c>
      <c r="J22" s="13" t="s">
        <v>522</v>
      </c>
      <c r="K22" s="14" t="s">
        <v>527</v>
      </c>
      <c r="L22" s="15">
        <v>8</v>
      </c>
      <c r="M22" s="15" t="s">
        <v>144</v>
      </c>
      <c r="N22" s="16">
        <v>46141</v>
      </c>
      <c r="O22" s="12" t="s">
        <v>525</v>
      </c>
      <c r="P22" s="14" t="s">
        <v>528</v>
      </c>
      <c r="Q22" s="17" t="s">
        <v>137</v>
      </c>
      <c r="R22" s="17" t="s">
        <v>146</v>
      </c>
    </row>
    <row r="23" spans="1:18" x14ac:dyDescent="0.3">
      <c r="A23" s="12" t="s">
        <v>533</v>
      </c>
      <c r="B23" s="12" t="s">
        <v>14</v>
      </c>
      <c r="C23" s="12"/>
      <c r="D23" s="12" t="s">
        <v>14</v>
      </c>
      <c r="E23" s="12" t="s">
        <v>534</v>
      </c>
      <c r="F23" s="12"/>
      <c r="G23" s="12" t="s">
        <v>521</v>
      </c>
      <c r="H23" s="12" t="s">
        <v>38</v>
      </c>
      <c r="I23" s="12" t="s">
        <v>26</v>
      </c>
      <c r="J23" s="13" t="s">
        <v>522</v>
      </c>
      <c r="K23" s="14" t="s">
        <v>535</v>
      </c>
      <c r="L23" s="15">
        <v>0</v>
      </c>
      <c r="M23" s="15" t="s">
        <v>144</v>
      </c>
      <c r="N23" s="16">
        <v>44797</v>
      </c>
      <c r="O23" s="12" t="s">
        <v>533</v>
      </c>
      <c r="P23" s="14" t="s">
        <v>536</v>
      </c>
      <c r="Q23" s="17" t="s">
        <v>137</v>
      </c>
      <c r="R23" s="17" t="s">
        <v>146</v>
      </c>
    </row>
    <row r="24" spans="1:18" x14ac:dyDescent="0.3">
      <c r="A24" s="12" t="s">
        <v>541</v>
      </c>
      <c r="B24" s="12" t="s">
        <v>14</v>
      </c>
      <c r="C24" s="12"/>
      <c r="D24" s="12" t="s">
        <v>14</v>
      </c>
      <c r="E24" s="12" t="s">
        <v>538</v>
      </c>
      <c r="F24" s="12" t="s">
        <v>542</v>
      </c>
      <c r="G24" s="12" t="s">
        <v>521</v>
      </c>
      <c r="H24" s="12" t="s">
        <v>38</v>
      </c>
      <c r="I24" s="12" t="s">
        <v>26</v>
      </c>
      <c r="J24" s="13" t="s">
        <v>522</v>
      </c>
      <c r="K24" s="14" t="s">
        <v>543</v>
      </c>
      <c r="L24" s="15">
        <v>1</v>
      </c>
      <c r="M24" s="15" t="s">
        <v>144</v>
      </c>
      <c r="N24" s="16">
        <v>46031</v>
      </c>
      <c r="O24" s="12" t="s">
        <v>541</v>
      </c>
      <c r="P24" s="14" t="s">
        <v>544</v>
      </c>
      <c r="Q24" s="17" t="s">
        <v>137</v>
      </c>
      <c r="R24" s="17" t="s">
        <v>146</v>
      </c>
    </row>
    <row r="25" spans="1:18" x14ac:dyDescent="0.3">
      <c r="A25" s="12" t="s">
        <v>545</v>
      </c>
      <c r="B25" s="12" t="s">
        <v>14</v>
      </c>
      <c r="C25" s="12"/>
      <c r="D25" s="12" t="s">
        <v>14</v>
      </c>
      <c r="E25" s="12" t="s">
        <v>546</v>
      </c>
      <c r="F25" s="12" t="s">
        <v>547</v>
      </c>
      <c r="G25" s="12" t="s">
        <v>521</v>
      </c>
      <c r="H25" s="12" t="s">
        <v>38</v>
      </c>
      <c r="I25" s="12" t="s">
        <v>26</v>
      </c>
      <c r="J25" s="13" t="s">
        <v>522</v>
      </c>
      <c r="K25" s="14" t="s">
        <v>548</v>
      </c>
      <c r="L25" s="15">
        <v>0</v>
      </c>
      <c r="M25" s="15" t="s">
        <v>144</v>
      </c>
      <c r="N25" s="16">
        <v>46114</v>
      </c>
      <c r="O25" s="12" t="s">
        <v>545</v>
      </c>
      <c r="P25" s="14" t="s">
        <v>549</v>
      </c>
      <c r="Q25" s="17" t="s">
        <v>137</v>
      </c>
      <c r="R25" s="17" t="s">
        <v>146</v>
      </c>
    </row>
    <row r="26" spans="1:18" x14ac:dyDescent="0.3">
      <c r="A26" s="12" t="s">
        <v>199</v>
      </c>
      <c r="B26" s="12" t="s">
        <v>14</v>
      </c>
      <c r="C26" s="12"/>
      <c r="D26" s="12" t="s">
        <v>14</v>
      </c>
      <c r="E26" s="12" t="s">
        <v>550</v>
      </c>
      <c r="F26" s="12" t="s">
        <v>520</v>
      </c>
      <c r="G26" s="12" t="s">
        <v>521</v>
      </c>
      <c r="H26" s="12" t="s">
        <v>38</v>
      </c>
      <c r="I26" s="12" t="s">
        <v>26</v>
      </c>
      <c r="J26" s="13" t="s">
        <v>522</v>
      </c>
      <c r="K26" s="14" t="s">
        <v>551</v>
      </c>
      <c r="L26" s="15">
        <v>2</v>
      </c>
      <c r="M26" s="15" t="s">
        <v>144</v>
      </c>
      <c r="N26" s="16">
        <v>45951</v>
      </c>
      <c r="O26" s="12" t="s">
        <v>331</v>
      </c>
      <c r="P26" s="14" t="s">
        <v>552</v>
      </c>
      <c r="Q26" s="17" t="s">
        <v>137</v>
      </c>
      <c r="R26" s="17" t="s">
        <v>146</v>
      </c>
    </row>
    <row r="27" spans="1:18" x14ac:dyDescent="0.3">
      <c r="A27" s="12" t="s">
        <v>553</v>
      </c>
      <c r="B27" s="12" t="s">
        <v>14</v>
      </c>
      <c r="C27" s="12"/>
      <c r="D27" s="12" t="s">
        <v>14</v>
      </c>
      <c r="E27" s="12" t="s">
        <v>538</v>
      </c>
      <c r="F27" s="12" t="s">
        <v>542</v>
      </c>
      <c r="G27" s="12" t="s">
        <v>521</v>
      </c>
      <c r="H27" s="12" t="s">
        <v>38</v>
      </c>
      <c r="I27" s="12" t="s">
        <v>26</v>
      </c>
      <c r="J27" s="13" t="s">
        <v>522</v>
      </c>
      <c r="K27" s="14" t="s">
        <v>554</v>
      </c>
      <c r="L27" s="15">
        <v>1</v>
      </c>
      <c r="M27" s="15" t="s">
        <v>144</v>
      </c>
      <c r="N27" s="16">
        <v>46119</v>
      </c>
      <c r="O27" s="12" t="s">
        <v>553</v>
      </c>
      <c r="P27" s="14" t="s">
        <v>555</v>
      </c>
      <c r="Q27" s="17" t="s">
        <v>137</v>
      </c>
      <c r="R27" s="17" t="s">
        <v>146</v>
      </c>
    </row>
    <row r="28" spans="1:18" x14ac:dyDescent="0.3">
      <c r="A28" s="12" t="s">
        <v>307</v>
      </c>
      <c r="B28" s="12" t="s">
        <v>14</v>
      </c>
      <c r="C28" s="12"/>
      <c r="D28" s="12" t="s">
        <v>14</v>
      </c>
      <c r="E28" s="12" t="s">
        <v>556</v>
      </c>
      <c r="F28" s="12" t="s">
        <v>557</v>
      </c>
      <c r="G28" s="12" t="s">
        <v>521</v>
      </c>
      <c r="H28" s="12" t="s">
        <v>38</v>
      </c>
      <c r="I28" s="12" t="s">
        <v>26</v>
      </c>
      <c r="J28" s="13" t="s">
        <v>522</v>
      </c>
      <c r="K28" s="14" t="s">
        <v>558</v>
      </c>
      <c r="L28" s="15">
        <v>5</v>
      </c>
      <c r="M28" s="15" t="s">
        <v>144</v>
      </c>
      <c r="N28" s="16">
        <v>46275</v>
      </c>
      <c r="O28" s="12" t="s">
        <v>307</v>
      </c>
      <c r="P28" s="14" t="s">
        <v>310</v>
      </c>
      <c r="Q28" s="17" t="s">
        <v>137</v>
      </c>
      <c r="R28" s="17" t="s">
        <v>146</v>
      </c>
    </row>
    <row r="29" spans="1:18" x14ac:dyDescent="0.3">
      <c r="A29" s="12" t="s">
        <v>307</v>
      </c>
      <c r="B29" s="12" t="s">
        <v>14</v>
      </c>
      <c r="C29" s="12"/>
      <c r="D29" s="12" t="s">
        <v>14</v>
      </c>
      <c r="E29" s="12" t="s">
        <v>559</v>
      </c>
      <c r="F29" s="12" t="s">
        <v>560</v>
      </c>
      <c r="G29" s="12" t="s">
        <v>521</v>
      </c>
      <c r="H29" s="12" t="s">
        <v>38</v>
      </c>
      <c r="I29" s="12" t="s">
        <v>26</v>
      </c>
      <c r="J29" s="13" t="s">
        <v>522</v>
      </c>
      <c r="K29" s="14" t="s">
        <v>561</v>
      </c>
      <c r="L29" s="15">
        <v>2</v>
      </c>
      <c r="M29" s="15" t="s">
        <v>144</v>
      </c>
      <c r="N29" s="16">
        <v>46275</v>
      </c>
      <c r="O29" s="12" t="s">
        <v>307</v>
      </c>
      <c r="P29" s="14" t="s">
        <v>310</v>
      </c>
      <c r="Q29" s="17" t="s">
        <v>137</v>
      </c>
      <c r="R29" s="17" t="s">
        <v>146</v>
      </c>
    </row>
    <row r="30" spans="1:18" x14ac:dyDescent="0.3">
      <c r="A30" s="12" t="s">
        <v>593</v>
      </c>
      <c r="B30" s="12" t="s">
        <v>12</v>
      </c>
      <c r="C30" s="12" t="s">
        <v>14</v>
      </c>
      <c r="D30" s="12" t="s">
        <v>180</v>
      </c>
      <c r="E30" s="12" t="s">
        <v>594</v>
      </c>
      <c r="F30" s="12" t="s">
        <v>595</v>
      </c>
      <c r="G30" s="12" t="s">
        <v>569</v>
      </c>
      <c r="H30" s="12" t="s">
        <v>38</v>
      </c>
      <c r="I30" s="12" t="s">
        <v>26</v>
      </c>
      <c r="J30" s="13" t="s">
        <v>596</v>
      </c>
      <c r="K30" s="14" t="s">
        <v>597</v>
      </c>
      <c r="L30" s="15">
        <v>4</v>
      </c>
      <c r="M30" s="15" t="s">
        <v>144</v>
      </c>
      <c r="N30" s="16">
        <v>46161</v>
      </c>
      <c r="O30" s="12" t="s">
        <v>593</v>
      </c>
      <c r="P30" s="14" t="s">
        <v>598</v>
      </c>
      <c r="Q30" s="17" t="s">
        <v>137</v>
      </c>
      <c r="R30" s="17" t="s">
        <v>146</v>
      </c>
    </row>
    <row r="31" spans="1:18" x14ac:dyDescent="0.3">
      <c r="A31" s="12" t="s">
        <v>602</v>
      </c>
      <c r="B31" s="12" t="s">
        <v>14</v>
      </c>
      <c r="C31" s="12" t="s">
        <v>12</v>
      </c>
      <c r="D31" s="12" t="s">
        <v>180</v>
      </c>
      <c r="E31" s="12" t="s">
        <v>594</v>
      </c>
      <c r="F31" s="12" t="s">
        <v>595</v>
      </c>
      <c r="G31" s="12" t="s">
        <v>569</v>
      </c>
      <c r="H31" s="12" t="s">
        <v>38</v>
      </c>
      <c r="I31" s="12" t="s">
        <v>26</v>
      </c>
      <c r="J31" s="13" t="s">
        <v>596</v>
      </c>
      <c r="K31" s="14" t="s">
        <v>597</v>
      </c>
      <c r="L31" s="15">
        <v>4</v>
      </c>
      <c r="M31" s="15" t="s">
        <v>144</v>
      </c>
      <c r="N31" s="16">
        <v>46148</v>
      </c>
      <c r="O31" s="12" t="s">
        <v>602</v>
      </c>
      <c r="P31" s="14" t="s">
        <v>603</v>
      </c>
      <c r="Q31" s="17" t="s">
        <v>137</v>
      </c>
      <c r="R31" s="17" t="s">
        <v>146</v>
      </c>
    </row>
    <row r="32" spans="1:18" x14ac:dyDescent="0.3">
      <c r="A32" s="12" t="s">
        <v>618</v>
      </c>
      <c r="B32" s="12" t="s">
        <v>14</v>
      </c>
      <c r="C32" s="12"/>
      <c r="D32" s="12" t="s">
        <v>14</v>
      </c>
      <c r="E32" s="12" t="s">
        <v>574</v>
      </c>
      <c r="F32" s="12" t="s">
        <v>520</v>
      </c>
      <c r="G32" s="12" t="s">
        <v>569</v>
      </c>
      <c r="H32" s="12" t="s">
        <v>38</v>
      </c>
      <c r="I32" s="12" t="s">
        <v>26</v>
      </c>
      <c r="J32" s="13" t="s">
        <v>570</v>
      </c>
      <c r="K32" s="14" t="s">
        <v>600</v>
      </c>
      <c r="L32" s="15">
        <v>1</v>
      </c>
      <c r="M32" s="15" t="s">
        <v>144</v>
      </c>
      <c r="N32" s="16">
        <v>45169</v>
      </c>
      <c r="O32" s="12" t="s">
        <v>618</v>
      </c>
      <c r="P32" s="14" t="s">
        <v>619</v>
      </c>
      <c r="Q32" s="17" t="s">
        <v>137</v>
      </c>
      <c r="R32" s="17" t="s">
        <v>146</v>
      </c>
    </row>
    <row r="33" spans="1:18" x14ac:dyDescent="0.3">
      <c r="A33" s="12" t="s">
        <v>624</v>
      </c>
      <c r="B33" s="12" t="s">
        <v>10</v>
      </c>
      <c r="C33" s="12" t="s">
        <v>180</v>
      </c>
      <c r="D33" s="12" t="s">
        <v>283</v>
      </c>
      <c r="E33" s="12" t="s">
        <v>625</v>
      </c>
      <c r="F33" s="12" t="s">
        <v>626</v>
      </c>
      <c r="G33" s="12" t="s">
        <v>569</v>
      </c>
      <c r="H33" s="12" t="s">
        <v>38</v>
      </c>
      <c r="I33" s="12" t="s">
        <v>26</v>
      </c>
      <c r="J33" s="13" t="s">
        <v>570</v>
      </c>
      <c r="K33" s="14" t="s">
        <v>627</v>
      </c>
      <c r="L33" s="15">
        <v>1</v>
      </c>
      <c r="M33" s="15" t="s">
        <v>144</v>
      </c>
      <c r="N33" s="16">
        <v>45911</v>
      </c>
      <c r="O33" s="12" t="s">
        <v>624</v>
      </c>
      <c r="P33" s="14" t="s">
        <v>628</v>
      </c>
      <c r="Q33" s="17" t="s">
        <v>137</v>
      </c>
      <c r="R33" s="17" t="s">
        <v>146</v>
      </c>
    </row>
    <row r="34" spans="1:18" x14ac:dyDescent="0.3">
      <c r="A34" s="12" t="s">
        <v>307</v>
      </c>
      <c r="B34" s="12" t="s">
        <v>14</v>
      </c>
      <c r="C34" s="12"/>
      <c r="D34" s="12" t="s">
        <v>14</v>
      </c>
      <c r="E34" s="12" t="s">
        <v>659</v>
      </c>
      <c r="F34" s="12"/>
      <c r="G34" s="12" t="s">
        <v>569</v>
      </c>
      <c r="H34" s="12" t="s">
        <v>38</v>
      </c>
      <c r="I34" s="12" t="s">
        <v>26</v>
      </c>
      <c r="J34" s="13" t="s">
        <v>570</v>
      </c>
      <c r="K34" s="14" t="s">
        <v>558</v>
      </c>
      <c r="L34" s="15">
        <v>1</v>
      </c>
      <c r="M34" s="15" t="s">
        <v>144</v>
      </c>
      <c r="N34" s="16">
        <v>46275</v>
      </c>
      <c r="O34" s="12" t="s">
        <v>307</v>
      </c>
      <c r="P34" s="14" t="s">
        <v>310</v>
      </c>
      <c r="Q34" s="17" t="s">
        <v>137</v>
      </c>
      <c r="R34" s="17" t="s">
        <v>146</v>
      </c>
    </row>
    <row r="35" spans="1:18" x14ac:dyDescent="0.3">
      <c r="A35" s="12" t="s">
        <v>525</v>
      </c>
      <c r="B35" s="12" t="s">
        <v>14</v>
      </c>
      <c r="C35" s="12"/>
      <c r="D35" s="12" t="s">
        <v>14</v>
      </c>
      <c r="E35" s="12" t="s">
        <v>674</v>
      </c>
      <c r="F35" s="12" t="s">
        <v>188</v>
      </c>
      <c r="G35" s="12" t="s">
        <v>670</v>
      </c>
      <c r="H35" s="12" t="s">
        <v>38</v>
      </c>
      <c r="I35" s="12" t="s">
        <v>26</v>
      </c>
      <c r="J35" s="13" t="s">
        <v>675</v>
      </c>
      <c r="K35" s="14" t="s">
        <v>527</v>
      </c>
      <c r="L35" s="15">
        <v>7</v>
      </c>
      <c r="M35" s="15" t="s">
        <v>144</v>
      </c>
      <c r="N35" s="16">
        <v>46141</v>
      </c>
      <c r="O35" s="12" t="s">
        <v>525</v>
      </c>
      <c r="P35" s="14" t="s">
        <v>528</v>
      </c>
      <c r="Q35" s="17" t="s">
        <v>137</v>
      </c>
      <c r="R35" s="17" t="s">
        <v>146</v>
      </c>
    </row>
    <row r="36" spans="1:18" x14ac:dyDescent="0.3">
      <c r="A36" s="12" t="s">
        <v>186</v>
      </c>
      <c r="B36" s="12" t="s">
        <v>14</v>
      </c>
      <c r="C36" s="12"/>
      <c r="D36" s="12" t="s">
        <v>14</v>
      </c>
      <c r="E36" s="12" t="s">
        <v>682</v>
      </c>
      <c r="F36" s="12" t="s">
        <v>447</v>
      </c>
      <c r="G36" s="12" t="s">
        <v>670</v>
      </c>
      <c r="H36" s="12" t="s">
        <v>38</v>
      </c>
      <c r="I36" s="12" t="s">
        <v>26</v>
      </c>
      <c r="J36" s="13" t="s">
        <v>675</v>
      </c>
      <c r="K36" s="14" t="s">
        <v>683</v>
      </c>
      <c r="L36" s="15">
        <v>0</v>
      </c>
      <c r="M36" s="15" t="s">
        <v>144</v>
      </c>
      <c r="N36" s="16">
        <v>46211</v>
      </c>
      <c r="O36" s="12" t="s">
        <v>190</v>
      </c>
      <c r="P36" s="14" t="s">
        <v>684</v>
      </c>
      <c r="Q36" s="17" t="s">
        <v>137</v>
      </c>
      <c r="R36" s="17" t="s">
        <v>146</v>
      </c>
    </row>
    <row r="37" spans="1:18" x14ac:dyDescent="0.3">
      <c r="A37" s="12" t="s">
        <v>693</v>
      </c>
      <c r="B37" s="12" t="s">
        <v>14</v>
      </c>
      <c r="C37" s="12"/>
      <c r="D37" s="12" t="s">
        <v>14</v>
      </c>
      <c r="E37" s="12" t="s">
        <v>694</v>
      </c>
      <c r="F37" s="12" t="s">
        <v>225</v>
      </c>
      <c r="G37" s="12" t="s">
        <v>670</v>
      </c>
      <c r="H37" s="12" t="s">
        <v>38</v>
      </c>
      <c r="I37" s="12" t="s">
        <v>26</v>
      </c>
      <c r="J37" s="13" t="s">
        <v>675</v>
      </c>
      <c r="K37" s="14" t="s">
        <v>695</v>
      </c>
      <c r="L37" s="15">
        <v>12</v>
      </c>
      <c r="M37" s="15" t="s">
        <v>144</v>
      </c>
      <c r="N37" s="16">
        <v>45950</v>
      </c>
      <c r="O37" s="12" t="s">
        <v>508</v>
      </c>
      <c r="P37" s="14" t="s">
        <v>696</v>
      </c>
      <c r="Q37" s="17" t="s">
        <v>137</v>
      </c>
      <c r="R37" s="17" t="s">
        <v>146</v>
      </c>
    </row>
    <row r="38" spans="1:18" x14ac:dyDescent="0.3">
      <c r="A38" s="12" t="s">
        <v>697</v>
      </c>
      <c r="B38" s="12" t="s">
        <v>14</v>
      </c>
      <c r="C38" s="12"/>
      <c r="D38" s="12" t="s">
        <v>14</v>
      </c>
      <c r="E38" s="12" t="s">
        <v>698</v>
      </c>
      <c r="F38" s="12" t="s">
        <v>447</v>
      </c>
      <c r="G38" s="12" t="s">
        <v>670</v>
      </c>
      <c r="H38" s="12" t="s">
        <v>38</v>
      </c>
      <c r="I38" s="12" t="s">
        <v>26</v>
      </c>
      <c r="J38" s="13" t="s">
        <v>675</v>
      </c>
      <c r="K38" s="14" t="s">
        <v>699</v>
      </c>
      <c r="L38" s="15">
        <v>0</v>
      </c>
      <c r="M38" s="15" t="s">
        <v>144</v>
      </c>
      <c r="N38" s="16">
        <v>45674</v>
      </c>
      <c r="O38" s="12" t="s">
        <v>700</v>
      </c>
      <c r="P38" s="14" t="s">
        <v>701</v>
      </c>
      <c r="Q38" s="17" t="s">
        <v>137</v>
      </c>
      <c r="R38" s="17" t="s">
        <v>146</v>
      </c>
    </row>
    <row r="39" spans="1:18" x14ac:dyDescent="0.3">
      <c r="A39" s="12" t="s">
        <v>215</v>
      </c>
      <c r="B39" s="12" t="s">
        <v>10</v>
      </c>
      <c r="C39" s="12" t="s">
        <v>14</v>
      </c>
      <c r="D39" s="12" t="s">
        <v>702</v>
      </c>
      <c r="E39" s="12" t="s">
        <v>703</v>
      </c>
      <c r="F39" s="12"/>
      <c r="G39" s="12" t="s">
        <v>670</v>
      </c>
      <c r="H39" s="12" t="s">
        <v>38</v>
      </c>
      <c r="I39" s="12" t="s">
        <v>26</v>
      </c>
      <c r="J39" s="13" t="s">
        <v>675</v>
      </c>
      <c r="K39" s="14" t="s">
        <v>219</v>
      </c>
      <c r="L39" s="15">
        <v>23</v>
      </c>
      <c r="M39" s="15" t="s">
        <v>220</v>
      </c>
      <c r="N39" s="16">
        <v>45867</v>
      </c>
      <c r="O39" s="12" t="s">
        <v>215</v>
      </c>
      <c r="P39" s="14" t="s">
        <v>704</v>
      </c>
      <c r="Q39" s="17" t="s">
        <v>137</v>
      </c>
      <c r="R39" s="17" t="s">
        <v>146</v>
      </c>
    </row>
    <row r="40" spans="1:18" x14ac:dyDescent="0.3">
      <c r="A40" s="12" t="s">
        <v>307</v>
      </c>
      <c r="B40" s="12" t="s">
        <v>14</v>
      </c>
      <c r="C40" s="12"/>
      <c r="D40" s="12" t="s">
        <v>14</v>
      </c>
      <c r="E40" s="12" t="s">
        <v>677</v>
      </c>
      <c r="F40" s="12"/>
      <c r="G40" s="12" t="s">
        <v>670</v>
      </c>
      <c r="H40" s="12" t="s">
        <v>38</v>
      </c>
      <c r="I40" s="12" t="s">
        <v>26</v>
      </c>
      <c r="J40" s="13" t="s">
        <v>678</v>
      </c>
      <c r="K40" s="14" t="s">
        <v>710</v>
      </c>
      <c r="L40" s="15">
        <v>7</v>
      </c>
      <c r="M40" s="15" t="s">
        <v>144</v>
      </c>
      <c r="N40" s="16">
        <v>46275</v>
      </c>
      <c r="O40" s="12" t="s">
        <v>307</v>
      </c>
      <c r="P40" s="14" t="s">
        <v>310</v>
      </c>
      <c r="Q40" s="17" t="s">
        <v>137</v>
      </c>
      <c r="R40" s="17" t="s">
        <v>146</v>
      </c>
    </row>
    <row r="41" spans="1:18" x14ac:dyDescent="0.3">
      <c r="A41" s="12" t="s">
        <v>715</v>
      </c>
      <c r="B41" s="12" t="s">
        <v>14</v>
      </c>
      <c r="C41" s="12"/>
      <c r="D41" s="12" t="s">
        <v>14</v>
      </c>
      <c r="E41" s="12" t="s">
        <v>716</v>
      </c>
      <c r="F41" s="12"/>
      <c r="G41" s="12" t="s">
        <v>713</v>
      </c>
      <c r="H41" s="12" t="s">
        <v>38</v>
      </c>
      <c r="I41" s="12" t="s">
        <v>26</v>
      </c>
      <c r="J41" s="13" t="s">
        <v>714</v>
      </c>
      <c r="K41" s="14" t="s">
        <v>717</v>
      </c>
      <c r="L41" s="15">
        <v>1</v>
      </c>
      <c r="M41" s="15" t="s">
        <v>144</v>
      </c>
      <c r="N41" s="16">
        <v>45295</v>
      </c>
      <c r="O41" s="12" t="s">
        <v>715</v>
      </c>
      <c r="P41" s="14" t="s">
        <v>718</v>
      </c>
      <c r="Q41" s="17" t="s">
        <v>137</v>
      </c>
      <c r="R41" s="17" t="s">
        <v>146</v>
      </c>
    </row>
    <row r="42" spans="1:18" x14ac:dyDescent="0.3">
      <c r="A42" s="12" t="s">
        <v>739</v>
      </c>
      <c r="B42" s="12" t="s">
        <v>14</v>
      </c>
      <c r="C42" s="12"/>
      <c r="D42" s="12" t="s">
        <v>14</v>
      </c>
      <c r="E42" s="12" t="s">
        <v>740</v>
      </c>
      <c r="F42" s="12"/>
      <c r="G42" s="12" t="s">
        <v>722</v>
      </c>
      <c r="H42" s="12" t="s">
        <v>38</v>
      </c>
      <c r="I42" s="12" t="s">
        <v>26</v>
      </c>
      <c r="J42" s="13" t="s">
        <v>723</v>
      </c>
      <c r="K42" s="14" t="s">
        <v>741</v>
      </c>
      <c r="L42" s="15">
        <v>0</v>
      </c>
      <c r="M42" s="15" t="s">
        <v>144</v>
      </c>
      <c r="N42" s="16">
        <v>45012</v>
      </c>
      <c r="O42" s="12" t="s">
        <v>739</v>
      </c>
      <c r="P42" s="14" t="s">
        <v>742</v>
      </c>
      <c r="Q42" s="17" t="s">
        <v>137</v>
      </c>
      <c r="R42" s="17" t="s">
        <v>146</v>
      </c>
    </row>
    <row r="43" spans="1:18" x14ac:dyDescent="0.3">
      <c r="A43" s="12" t="s">
        <v>747</v>
      </c>
      <c r="B43" s="12" t="s">
        <v>14</v>
      </c>
      <c r="C43" s="12"/>
      <c r="D43" s="12" t="s">
        <v>14</v>
      </c>
      <c r="E43" s="12" t="s">
        <v>748</v>
      </c>
      <c r="F43" s="12"/>
      <c r="G43" s="12" t="s">
        <v>749</v>
      </c>
      <c r="H43" s="12" t="s">
        <v>38</v>
      </c>
      <c r="I43" s="12" t="s">
        <v>26</v>
      </c>
      <c r="J43" s="13" t="s">
        <v>750</v>
      </c>
      <c r="K43" s="14" t="s">
        <v>751</v>
      </c>
      <c r="L43" s="15">
        <v>0</v>
      </c>
      <c r="M43" s="15" t="s">
        <v>144</v>
      </c>
      <c r="N43" s="16">
        <v>45205</v>
      </c>
      <c r="O43" s="12" t="s">
        <v>752</v>
      </c>
      <c r="P43" s="14" t="s">
        <v>753</v>
      </c>
      <c r="Q43" s="17" t="s">
        <v>137</v>
      </c>
      <c r="R43" s="17" t="s">
        <v>146</v>
      </c>
    </row>
    <row r="44" spans="1:18" x14ac:dyDescent="0.3">
      <c r="A44" s="12" t="s">
        <v>754</v>
      </c>
      <c r="B44" s="12" t="s">
        <v>12</v>
      </c>
      <c r="C44" s="12" t="s">
        <v>14</v>
      </c>
      <c r="D44" s="12" t="s">
        <v>180</v>
      </c>
      <c r="E44" s="12" t="s">
        <v>755</v>
      </c>
      <c r="F44" s="12"/>
      <c r="G44" s="12" t="s">
        <v>749</v>
      </c>
      <c r="H44" s="12" t="s">
        <v>38</v>
      </c>
      <c r="I44" s="12" t="s">
        <v>26</v>
      </c>
      <c r="J44" s="13" t="s">
        <v>756</v>
      </c>
      <c r="K44" s="14" t="s">
        <v>757</v>
      </c>
      <c r="L44" s="15">
        <v>3</v>
      </c>
      <c r="M44" s="15" t="s">
        <v>144</v>
      </c>
      <c r="N44" s="16">
        <v>45622</v>
      </c>
      <c r="O44" s="12" t="s">
        <v>754</v>
      </c>
      <c r="P44" s="14" t="s">
        <v>758</v>
      </c>
      <c r="Q44" s="17" t="s">
        <v>137</v>
      </c>
      <c r="R44" s="17" t="s">
        <v>146</v>
      </c>
    </row>
    <row r="45" spans="1:18" x14ac:dyDescent="0.3">
      <c r="A45" s="12" t="s">
        <v>739</v>
      </c>
      <c r="B45" s="12" t="s">
        <v>14</v>
      </c>
      <c r="C45" s="12"/>
      <c r="D45" s="12" t="s">
        <v>14</v>
      </c>
      <c r="E45" s="12" t="s">
        <v>773</v>
      </c>
      <c r="F45" s="12"/>
      <c r="G45" s="12" t="s">
        <v>749</v>
      </c>
      <c r="H45" s="12" t="s">
        <v>38</v>
      </c>
      <c r="I45" s="12" t="s">
        <v>26</v>
      </c>
      <c r="J45" s="13" t="s">
        <v>756</v>
      </c>
      <c r="K45" s="14" t="s">
        <v>774</v>
      </c>
      <c r="L45" s="15">
        <v>6</v>
      </c>
      <c r="M45" s="15" t="s">
        <v>144</v>
      </c>
      <c r="N45" s="16">
        <v>45012</v>
      </c>
      <c r="O45" s="12" t="s">
        <v>739</v>
      </c>
      <c r="P45" s="14" t="s">
        <v>742</v>
      </c>
      <c r="Q45" s="17" t="s">
        <v>137</v>
      </c>
      <c r="R45" s="17" t="s">
        <v>146</v>
      </c>
    </row>
    <row r="46" spans="1:18" x14ac:dyDescent="0.3">
      <c r="A46" s="12" t="s">
        <v>806</v>
      </c>
      <c r="B46" s="12" t="s">
        <v>14</v>
      </c>
      <c r="C46" s="12"/>
      <c r="D46" s="12" t="s">
        <v>14</v>
      </c>
      <c r="E46" s="12" t="s">
        <v>807</v>
      </c>
      <c r="F46" s="12"/>
      <c r="G46" s="12" t="s">
        <v>785</v>
      </c>
      <c r="H46" s="12" t="s">
        <v>38</v>
      </c>
      <c r="I46" s="12" t="s">
        <v>26</v>
      </c>
      <c r="J46" s="13" t="s">
        <v>786</v>
      </c>
      <c r="K46" s="14" t="s">
        <v>808</v>
      </c>
      <c r="L46" s="15">
        <v>0</v>
      </c>
      <c r="M46" s="15" t="s">
        <v>144</v>
      </c>
      <c r="N46" s="16">
        <v>44995</v>
      </c>
      <c r="O46" s="12" t="s">
        <v>809</v>
      </c>
      <c r="P46" s="14" t="s">
        <v>810</v>
      </c>
      <c r="Q46" s="17" t="s">
        <v>137</v>
      </c>
      <c r="R46" s="17" t="s">
        <v>146</v>
      </c>
    </row>
    <row r="47" spans="1:18" x14ac:dyDescent="0.3">
      <c r="A47" s="12" t="s">
        <v>199</v>
      </c>
      <c r="B47" s="12" t="s">
        <v>14</v>
      </c>
      <c r="C47" s="12"/>
      <c r="D47" s="12" t="s">
        <v>14</v>
      </c>
      <c r="E47" s="12" t="s">
        <v>828</v>
      </c>
      <c r="F47" s="12" t="s">
        <v>359</v>
      </c>
      <c r="G47" s="12" t="s">
        <v>785</v>
      </c>
      <c r="H47" s="12" t="s">
        <v>38</v>
      </c>
      <c r="I47" s="12" t="s">
        <v>26</v>
      </c>
      <c r="J47" s="13" t="s">
        <v>786</v>
      </c>
      <c r="K47" s="14" t="s">
        <v>551</v>
      </c>
      <c r="L47" s="15">
        <v>5</v>
      </c>
      <c r="M47" s="15" t="s">
        <v>144</v>
      </c>
      <c r="N47" s="16">
        <v>45588</v>
      </c>
      <c r="O47" s="12" t="s">
        <v>203</v>
      </c>
      <c r="P47" s="14" t="s">
        <v>829</v>
      </c>
      <c r="Q47" s="17" t="s">
        <v>137</v>
      </c>
      <c r="R47" s="17" t="s">
        <v>146</v>
      </c>
    </row>
    <row r="48" spans="1:18" x14ac:dyDescent="0.3">
      <c r="A48" s="12" t="s">
        <v>186</v>
      </c>
      <c r="B48" s="12" t="s">
        <v>14</v>
      </c>
      <c r="C48" s="12"/>
      <c r="D48" s="12" t="s">
        <v>14</v>
      </c>
      <c r="E48" s="12" t="s">
        <v>842</v>
      </c>
      <c r="F48" s="12" t="s">
        <v>843</v>
      </c>
      <c r="G48" s="12" t="s">
        <v>844</v>
      </c>
      <c r="H48" s="12" t="s">
        <v>38</v>
      </c>
      <c r="I48" s="12" t="s">
        <v>26</v>
      </c>
      <c r="J48" s="13" t="s">
        <v>845</v>
      </c>
      <c r="K48" s="14" t="s">
        <v>846</v>
      </c>
      <c r="L48" s="15">
        <v>3</v>
      </c>
      <c r="M48" s="15" t="s">
        <v>144</v>
      </c>
      <c r="N48" s="16">
        <v>45827</v>
      </c>
      <c r="O48" s="12" t="s">
        <v>190</v>
      </c>
      <c r="P48" s="14" t="s">
        <v>847</v>
      </c>
      <c r="Q48" s="17" t="s">
        <v>137</v>
      </c>
      <c r="R48" s="17" t="s">
        <v>146</v>
      </c>
    </row>
    <row r="49" spans="1:18" x14ac:dyDescent="0.3">
      <c r="A49" s="12" t="s">
        <v>848</v>
      </c>
      <c r="B49" s="12" t="s">
        <v>14</v>
      </c>
      <c r="C49" s="12"/>
      <c r="D49" s="12" t="s">
        <v>14</v>
      </c>
      <c r="E49" s="12" t="s">
        <v>849</v>
      </c>
      <c r="F49" s="12"/>
      <c r="G49" s="12" t="s">
        <v>844</v>
      </c>
      <c r="H49" s="12" t="s">
        <v>38</v>
      </c>
      <c r="I49" s="12" t="s">
        <v>26</v>
      </c>
      <c r="J49" s="13" t="s">
        <v>850</v>
      </c>
      <c r="K49" s="14" t="s">
        <v>851</v>
      </c>
      <c r="L49" s="15">
        <v>0</v>
      </c>
      <c r="M49" s="15" t="s">
        <v>144</v>
      </c>
      <c r="N49" s="16">
        <v>45936</v>
      </c>
      <c r="O49" s="12" t="s">
        <v>848</v>
      </c>
      <c r="P49" s="14" t="s">
        <v>852</v>
      </c>
      <c r="Q49" s="17" t="s">
        <v>137</v>
      </c>
      <c r="R49" s="17" t="s">
        <v>146</v>
      </c>
    </row>
    <row r="50" spans="1:18" x14ac:dyDescent="0.3">
      <c r="A50" s="12" t="s">
        <v>861</v>
      </c>
      <c r="B50" s="12" t="s">
        <v>14</v>
      </c>
      <c r="C50" s="12"/>
      <c r="D50" s="12" t="s">
        <v>14</v>
      </c>
      <c r="E50" s="12" t="s">
        <v>862</v>
      </c>
      <c r="F50" s="12" t="s">
        <v>863</v>
      </c>
      <c r="G50" s="12" t="s">
        <v>844</v>
      </c>
      <c r="H50" s="12" t="s">
        <v>38</v>
      </c>
      <c r="I50" s="12" t="s">
        <v>26</v>
      </c>
      <c r="J50" s="13" t="s">
        <v>845</v>
      </c>
      <c r="K50" s="14" t="s">
        <v>864</v>
      </c>
      <c r="L50" s="15">
        <v>5</v>
      </c>
      <c r="M50" s="15" t="s">
        <v>144</v>
      </c>
      <c r="N50" s="16">
        <v>44860</v>
      </c>
      <c r="O50" s="12" t="s">
        <v>861</v>
      </c>
      <c r="P50" s="14" t="s">
        <v>865</v>
      </c>
      <c r="Q50" s="17" t="s">
        <v>137</v>
      </c>
      <c r="R50" s="17" t="s">
        <v>146</v>
      </c>
    </row>
    <row r="51" spans="1:18" x14ac:dyDescent="0.3">
      <c r="A51" s="12" t="s">
        <v>307</v>
      </c>
      <c r="B51" s="12" t="s">
        <v>14</v>
      </c>
      <c r="C51" s="12"/>
      <c r="D51" s="12" t="s">
        <v>14</v>
      </c>
      <c r="E51" s="12" t="s">
        <v>862</v>
      </c>
      <c r="F51" s="12" t="s">
        <v>863</v>
      </c>
      <c r="G51" s="12" t="s">
        <v>844</v>
      </c>
      <c r="H51" s="12" t="s">
        <v>38</v>
      </c>
      <c r="I51" s="12" t="s">
        <v>26</v>
      </c>
      <c r="J51" s="13" t="s">
        <v>845</v>
      </c>
      <c r="K51" s="14" t="s">
        <v>864</v>
      </c>
      <c r="L51" s="15">
        <v>5</v>
      </c>
      <c r="M51" s="15" t="s">
        <v>144</v>
      </c>
      <c r="N51" s="16">
        <v>46275</v>
      </c>
      <c r="O51" s="12" t="s">
        <v>307</v>
      </c>
      <c r="P51" s="14" t="s">
        <v>310</v>
      </c>
      <c r="Q51" s="17" t="s">
        <v>137</v>
      </c>
      <c r="R51" s="17" t="s">
        <v>146</v>
      </c>
    </row>
    <row r="52" spans="1:18" x14ac:dyDescent="0.3">
      <c r="A52" s="12" t="s">
        <v>869</v>
      </c>
      <c r="B52" s="12" t="s">
        <v>12</v>
      </c>
      <c r="C52" s="12" t="s">
        <v>14</v>
      </c>
      <c r="D52" s="12" t="s">
        <v>180</v>
      </c>
      <c r="E52" s="12" t="s">
        <v>870</v>
      </c>
      <c r="F52" s="12" t="s">
        <v>871</v>
      </c>
      <c r="G52" s="12" t="s">
        <v>867</v>
      </c>
      <c r="H52" s="12" t="s">
        <v>38</v>
      </c>
      <c r="I52" s="12" t="s">
        <v>26</v>
      </c>
      <c r="J52" s="13" t="s">
        <v>868</v>
      </c>
      <c r="K52" s="14" t="s">
        <v>872</v>
      </c>
      <c r="L52" s="15">
        <v>5</v>
      </c>
      <c r="M52" s="15" t="s">
        <v>144</v>
      </c>
      <c r="N52" s="16">
        <v>46198</v>
      </c>
      <c r="O52" s="12" t="s">
        <v>869</v>
      </c>
      <c r="P52" s="14" t="s">
        <v>873</v>
      </c>
      <c r="Q52" s="17" t="s">
        <v>137</v>
      </c>
      <c r="R52" s="17" t="s">
        <v>146</v>
      </c>
    </row>
    <row r="53" spans="1:18" x14ac:dyDescent="0.3">
      <c r="A53" s="12" t="s">
        <v>199</v>
      </c>
      <c r="B53" s="12" t="s">
        <v>14</v>
      </c>
      <c r="C53" s="12"/>
      <c r="D53" s="12" t="s">
        <v>14</v>
      </c>
      <c r="E53" s="12" t="s">
        <v>886</v>
      </c>
      <c r="F53" s="12" t="s">
        <v>887</v>
      </c>
      <c r="G53" s="12" t="s">
        <v>882</v>
      </c>
      <c r="H53" s="12" t="s">
        <v>38</v>
      </c>
      <c r="I53" s="12" t="s">
        <v>26</v>
      </c>
      <c r="J53" s="13" t="s">
        <v>850</v>
      </c>
      <c r="K53" s="14" t="s">
        <v>888</v>
      </c>
      <c r="L53" s="15">
        <v>8</v>
      </c>
      <c r="M53" s="15" t="s">
        <v>144</v>
      </c>
      <c r="N53" s="16">
        <v>45951</v>
      </c>
      <c r="O53" s="12" t="s">
        <v>889</v>
      </c>
      <c r="P53" s="14" t="s">
        <v>890</v>
      </c>
      <c r="Q53" s="17" t="s">
        <v>137</v>
      </c>
      <c r="R53" s="17" t="s">
        <v>146</v>
      </c>
    </row>
    <row r="54" spans="1:18" x14ac:dyDescent="0.3">
      <c r="A54" s="12" t="s">
        <v>928</v>
      </c>
      <c r="B54" s="12" t="s">
        <v>10</v>
      </c>
      <c r="C54" s="12" t="s">
        <v>929</v>
      </c>
      <c r="D54" s="12" t="s">
        <v>930</v>
      </c>
      <c r="E54" s="12" t="s">
        <v>931</v>
      </c>
      <c r="F54" s="12" t="s">
        <v>218</v>
      </c>
      <c r="G54" s="12" t="s">
        <v>898</v>
      </c>
      <c r="H54" s="12" t="s">
        <v>36</v>
      </c>
      <c r="I54" s="12" t="s">
        <v>26</v>
      </c>
      <c r="J54" s="13" t="s">
        <v>905</v>
      </c>
      <c r="K54" s="14" t="s">
        <v>932</v>
      </c>
      <c r="L54" s="15">
        <v>0</v>
      </c>
      <c r="M54" s="15" t="s">
        <v>220</v>
      </c>
      <c r="N54" s="16">
        <v>46177</v>
      </c>
      <c r="O54" s="12" t="s">
        <v>928</v>
      </c>
      <c r="P54" s="14" t="s">
        <v>933</v>
      </c>
      <c r="Q54" s="17" t="s">
        <v>137</v>
      </c>
      <c r="R54" s="17" t="s">
        <v>146</v>
      </c>
    </row>
    <row r="55" spans="1:18" x14ac:dyDescent="0.3">
      <c r="A55" s="12" t="s">
        <v>944</v>
      </c>
      <c r="B55" s="12" t="s">
        <v>10</v>
      </c>
      <c r="C55" s="12" t="s">
        <v>14</v>
      </c>
      <c r="D55" s="12" t="s">
        <v>945</v>
      </c>
      <c r="E55" s="12" t="s">
        <v>946</v>
      </c>
      <c r="F55" s="12" t="s">
        <v>947</v>
      </c>
      <c r="G55" s="12" t="s">
        <v>898</v>
      </c>
      <c r="H55" s="12" t="s">
        <v>36</v>
      </c>
      <c r="I55" s="12" t="s">
        <v>26</v>
      </c>
      <c r="J55" s="13" t="s">
        <v>899</v>
      </c>
      <c r="K55" s="14" t="s">
        <v>948</v>
      </c>
      <c r="L55" s="15">
        <v>19</v>
      </c>
      <c r="M55" s="15" t="s">
        <v>144</v>
      </c>
      <c r="N55" s="16">
        <v>44901</v>
      </c>
      <c r="O55" s="12" t="s">
        <v>944</v>
      </c>
      <c r="P55" s="14" t="s">
        <v>949</v>
      </c>
      <c r="Q55" s="17" t="s">
        <v>137</v>
      </c>
      <c r="R55" s="17" t="s">
        <v>146</v>
      </c>
    </row>
    <row r="56" spans="1:18" x14ac:dyDescent="0.3">
      <c r="A56" s="12" t="s">
        <v>960</v>
      </c>
      <c r="B56" s="12" t="s">
        <v>14</v>
      </c>
      <c r="C56" s="12"/>
      <c r="D56" s="12" t="s">
        <v>14</v>
      </c>
      <c r="E56" s="12" t="s">
        <v>946</v>
      </c>
      <c r="F56" s="12" t="s">
        <v>454</v>
      </c>
      <c r="G56" s="12" t="s">
        <v>898</v>
      </c>
      <c r="H56" s="12" t="s">
        <v>36</v>
      </c>
      <c r="I56" s="12" t="s">
        <v>26</v>
      </c>
      <c r="J56" s="13" t="s">
        <v>899</v>
      </c>
      <c r="K56" s="14" t="s">
        <v>961</v>
      </c>
      <c r="L56" s="15">
        <v>17</v>
      </c>
      <c r="M56" s="15" t="s">
        <v>144</v>
      </c>
      <c r="N56" s="16">
        <v>45609</v>
      </c>
      <c r="O56" s="12" t="s">
        <v>960</v>
      </c>
      <c r="P56" s="14" t="s">
        <v>962</v>
      </c>
      <c r="Q56" s="17" t="s">
        <v>137</v>
      </c>
      <c r="R56" s="17" t="s">
        <v>146</v>
      </c>
    </row>
    <row r="57" spans="1:18" x14ac:dyDescent="0.3">
      <c r="A57" s="12" t="s">
        <v>963</v>
      </c>
      <c r="B57" s="12" t="s">
        <v>14</v>
      </c>
      <c r="C57" s="12"/>
      <c r="D57" s="12" t="s">
        <v>14</v>
      </c>
      <c r="E57" s="12" t="s">
        <v>903</v>
      </c>
      <c r="F57" s="12" t="s">
        <v>964</v>
      </c>
      <c r="G57" s="12" t="s">
        <v>898</v>
      </c>
      <c r="H57" s="12" t="s">
        <v>36</v>
      </c>
      <c r="I57" s="12" t="s">
        <v>26</v>
      </c>
      <c r="J57" s="13" t="s">
        <v>905</v>
      </c>
      <c r="K57" s="14" t="s">
        <v>965</v>
      </c>
      <c r="L57" s="15">
        <v>6</v>
      </c>
      <c r="M57" s="15" t="s">
        <v>144</v>
      </c>
      <c r="N57" s="16">
        <v>45055</v>
      </c>
      <c r="O57" s="12" t="s">
        <v>963</v>
      </c>
      <c r="P57" s="14" t="s">
        <v>966</v>
      </c>
      <c r="Q57" s="17" t="s">
        <v>137</v>
      </c>
      <c r="R57" s="17" t="s">
        <v>146</v>
      </c>
    </row>
    <row r="58" spans="1:18" x14ac:dyDescent="0.3">
      <c r="A58" s="12" t="s">
        <v>971</v>
      </c>
      <c r="B58" s="12" t="s">
        <v>10</v>
      </c>
      <c r="C58" s="12" t="s">
        <v>14</v>
      </c>
      <c r="D58" s="12" t="s">
        <v>972</v>
      </c>
      <c r="E58" s="12" t="s">
        <v>973</v>
      </c>
      <c r="F58" s="12"/>
      <c r="G58" s="12" t="s">
        <v>898</v>
      </c>
      <c r="H58" s="12" t="s">
        <v>36</v>
      </c>
      <c r="I58" s="12" t="s">
        <v>26</v>
      </c>
      <c r="J58" s="13" t="s">
        <v>905</v>
      </c>
      <c r="K58" s="14" t="s">
        <v>974</v>
      </c>
      <c r="L58" s="15">
        <v>78</v>
      </c>
      <c r="M58" s="15" t="s">
        <v>220</v>
      </c>
      <c r="N58" s="16">
        <v>46237</v>
      </c>
      <c r="O58" s="12" t="s">
        <v>971</v>
      </c>
      <c r="P58" s="14" t="s">
        <v>975</v>
      </c>
      <c r="Q58" s="17" t="s">
        <v>137</v>
      </c>
      <c r="R58" s="17" t="s">
        <v>146</v>
      </c>
    </row>
    <row r="59" spans="1:18" x14ac:dyDescent="0.3">
      <c r="A59" s="12" t="s">
        <v>976</v>
      </c>
      <c r="B59" s="12" t="s">
        <v>10</v>
      </c>
      <c r="C59" s="12" t="s">
        <v>14</v>
      </c>
      <c r="D59" s="12" t="s">
        <v>972</v>
      </c>
      <c r="E59" s="12" t="s">
        <v>973</v>
      </c>
      <c r="F59" s="12"/>
      <c r="G59" s="12" t="s">
        <v>898</v>
      </c>
      <c r="H59" s="12" t="s">
        <v>36</v>
      </c>
      <c r="I59" s="12" t="s">
        <v>26</v>
      </c>
      <c r="J59" s="13" t="s">
        <v>905</v>
      </c>
      <c r="K59" s="14" t="s">
        <v>974</v>
      </c>
      <c r="L59" s="15">
        <v>78</v>
      </c>
      <c r="M59" s="15" t="s">
        <v>220</v>
      </c>
      <c r="N59" s="16">
        <v>46237</v>
      </c>
      <c r="O59" s="12" t="s">
        <v>971</v>
      </c>
      <c r="P59" s="14" t="s">
        <v>977</v>
      </c>
      <c r="Q59" s="17" t="s">
        <v>137</v>
      </c>
      <c r="R59" s="17" t="s">
        <v>146</v>
      </c>
    </row>
    <row r="60" spans="1:18" x14ac:dyDescent="0.3">
      <c r="A60" s="12" t="s">
        <v>978</v>
      </c>
      <c r="B60" s="12" t="s">
        <v>14</v>
      </c>
      <c r="C60" s="12"/>
      <c r="D60" s="12" t="s">
        <v>14</v>
      </c>
      <c r="E60" s="12" t="s">
        <v>979</v>
      </c>
      <c r="F60" s="12"/>
      <c r="G60" s="12" t="s">
        <v>898</v>
      </c>
      <c r="H60" s="12" t="s">
        <v>36</v>
      </c>
      <c r="I60" s="12" t="s">
        <v>26</v>
      </c>
      <c r="J60" s="13" t="s">
        <v>899</v>
      </c>
      <c r="K60" s="14" t="s">
        <v>980</v>
      </c>
      <c r="L60" s="15">
        <v>2</v>
      </c>
      <c r="M60" s="15" t="s">
        <v>144</v>
      </c>
      <c r="N60" s="16">
        <v>44687</v>
      </c>
      <c r="O60" s="12" t="s">
        <v>978</v>
      </c>
      <c r="P60" s="14" t="s">
        <v>981</v>
      </c>
      <c r="Q60" s="17" t="s">
        <v>137</v>
      </c>
      <c r="R60" s="17" t="s">
        <v>146</v>
      </c>
    </row>
    <row r="61" spans="1:18" x14ac:dyDescent="0.3">
      <c r="A61" s="12" t="s">
        <v>1004</v>
      </c>
      <c r="B61" s="12" t="s">
        <v>14</v>
      </c>
      <c r="C61" s="12"/>
      <c r="D61" s="12" t="s">
        <v>14</v>
      </c>
      <c r="E61" s="12" t="s">
        <v>1005</v>
      </c>
      <c r="F61" s="12"/>
      <c r="G61" s="12" t="s">
        <v>1000</v>
      </c>
      <c r="H61" s="12" t="s">
        <v>36</v>
      </c>
      <c r="I61" s="12" t="s">
        <v>26</v>
      </c>
      <c r="J61" s="13" t="s">
        <v>1006</v>
      </c>
      <c r="K61" s="14" t="s">
        <v>1007</v>
      </c>
      <c r="L61" s="15">
        <v>1</v>
      </c>
      <c r="M61" s="15" t="s">
        <v>144</v>
      </c>
      <c r="N61" s="16">
        <v>46097</v>
      </c>
      <c r="O61" s="12" t="s">
        <v>1004</v>
      </c>
      <c r="P61" s="14" t="s">
        <v>1008</v>
      </c>
      <c r="Q61" s="17" t="s">
        <v>137</v>
      </c>
      <c r="R61" s="17" t="s">
        <v>146</v>
      </c>
    </row>
    <row r="62" spans="1:18" x14ac:dyDescent="0.3">
      <c r="A62" s="12" t="s">
        <v>475</v>
      </c>
      <c r="B62" s="12" t="s">
        <v>14</v>
      </c>
      <c r="C62" s="12"/>
      <c r="D62" s="12" t="s">
        <v>14</v>
      </c>
      <c r="E62" s="12" t="s">
        <v>1045</v>
      </c>
      <c r="F62" s="12"/>
      <c r="G62" s="12" t="s">
        <v>395</v>
      </c>
      <c r="H62" s="12" t="s">
        <v>36</v>
      </c>
      <c r="I62" s="12" t="s">
        <v>26</v>
      </c>
      <c r="J62" s="13" t="s">
        <v>396</v>
      </c>
      <c r="K62" s="14" t="s">
        <v>477</v>
      </c>
      <c r="L62" s="15">
        <v>0</v>
      </c>
      <c r="M62" s="15" t="s">
        <v>144</v>
      </c>
      <c r="N62" s="16">
        <v>45379</v>
      </c>
      <c r="O62" s="12" t="s">
        <v>475</v>
      </c>
      <c r="P62" s="14" t="s">
        <v>478</v>
      </c>
      <c r="Q62" s="17" t="s">
        <v>137</v>
      </c>
      <c r="R62" s="17" t="s">
        <v>146</v>
      </c>
    </row>
    <row r="63" spans="1:18" x14ac:dyDescent="0.3">
      <c r="A63" s="12" t="s">
        <v>199</v>
      </c>
      <c r="B63" s="12" t="s">
        <v>14</v>
      </c>
      <c r="C63" s="12"/>
      <c r="D63" s="12" t="s">
        <v>14</v>
      </c>
      <c r="E63" s="12" t="s">
        <v>1046</v>
      </c>
      <c r="F63" s="12" t="s">
        <v>447</v>
      </c>
      <c r="G63" s="12" t="s">
        <v>1047</v>
      </c>
      <c r="H63" s="12" t="s">
        <v>36</v>
      </c>
      <c r="I63" s="12" t="s">
        <v>26</v>
      </c>
      <c r="J63" s="13" t="s">
        <v>925</v>
      </c>
      <c r="K63" s="14" t="s">
        <v>1048</v>
      </c>
      <c r="L63" s="15">
        <v>3</v>
      </c>
      <c r="M63" s="15" t="s">
        <v>144</v>
      </c>
      <c r="N63" s="16">
        <v>46106</v>
      </c>
      <c r="O63" s="12" t="s">
        <v>331</v>
      </c>
      <c r="P63" s="14" t="s">
        <v>1049</v>
      </c>
      <c r="Q63" s="17" t="s">
        <v>137</v>
      </c>
      <c r="R63" s="17" t="s">
        <v>146</v>
      </c>
    </row>
    <row r="64" spans="1:18" x14ac:dyDescent="0.3">
      <c r="A64" s="12" t="s">
        <v>1056</v>
      </c>
      <c r="B64" s="12" t="s">
        <v>14</v>
      </c>
      <c r="C64" s="12"/>
      <c r="D64" s="12" t="s">
        <v>14</v>
      </c>
      <c r="E64" s="12" t="s">
        <v>1057</v>
      </c>
      <c r="F64" s="12"/>
      <c r="G64" s="12" t="s">
        <v>1058</v>
      </c>
      <c r="H64" s="12" t="s">
        <v>36</v>
      </c>
      <c r="I64" s="12" t="s">
        <v>26</v>
      </c>
      <c r="J64" s="13" t="s">
        <v>1059</v>
      </c>
      <c r="K64" s="14" t="s">
        <v>1060</v>
      </c>
      <c r="L64" s="15">
        <v>3</v>
      </c>
      <c r="M64" s="15" t="s">
        <v>144</v>
      </c>
      <c r="N64" s="16">
        <v>44642</v>
      </c>
      <c r="O64" s="12" t="s">
        <v>1056</v>
      </c>
      <c r="P64" s="14" t="s">
        <v>1061</v>
      </c>
      <c r="Q64" s="17" t="s">
        <v>137</v>
      </c>
      <c r="R64" s="17" t="s">
        <v>146</v>
      </c>
    </row>
    <row r="65" spans="1:18" x14ac:dyDescent="0.3">
      <c r="A65" s="12" t="s">
        <v>1067</v>
      </c>
      <c r="B65" s="12" t="s">
        <v>14</v>
      </c>
      <c r="C65" s="12"/>
      <c r="D65" s="12" t="s">
        <v>14</v>
      </c>
      <c r="E65" s="12" t="s">
        <v>1068</v>
      </c>
      <c r="F65" s="12" t="s">
        <v>407</v>
      </c>
      <c r="G65" s="12" t="s">
        <v>1058</v>
      </c>
      <c r="H65" s="12" t="s">
        <v>36</v>
      </c>
      <c r="I65" s="12" t="s">
        <v>26</v>
      </c>
      <c r="J65" s="13" t="s">
        <v>1064</v>
      </c>
      <c r="K65" s="14" t="s">
        <v>1069</v>
      </c>
      <c r="L65" s="15">
        <v>0</v>
      </c>
      <c r="M65" s="15" t="s">
        <v>144</v>
      </c>
      <c r="N65" s="16">
        <v>46156</v>
      </c>
      <c r="O65" s="12" t="s">
        <v>1070</v>
      </c>
      <c r="P65" s="14" t="s">
        <v>1071</v>
      </c>
      <c r="Q65" s="17" t="s">
        <v>137</v>
      </c>
      <c r="R65" s="17" t="s">
        <v>146</v>
      </c>
    </row>
    <row r="66" spans="1:18" x14ac:dyDescent="0.3">
      <c r="A66" s="12" t="s">
        <v>1097</v>
      </c>
      <c r="B66" s="12" t="s">
        <v>14</v>
      </c>
      <c r="C66" s="12" t="s">
        <v>12</v>
      </c>
      <c r="D66" s="12" t="s">
        <v>180</v>
      </c>
      <c r="E66" s="12" t="s">
        <v>1098</v>
      </c>
      <c r="F66" s="12"/>
      <c r="G66" s="12" t="s">
        <v>1058</v>
      </c>
      <c r="H66" s="12" t="s">
        <v>36</v>
      </c>
      <c r="I66" s="12" t="s">
        <v>26</v>
      </c>
      <c r="J66" s="13" t="s">
        <v>1064</v>
      </c>
      <c r="K66" s="14" t="s">
        <v>1099</v>
      </c>
      <c r="L66" s="15">
        <v>1</v>
      </c>
      <c r="M66" s="15" t="s">
        <v>144</v>
      </c>
      <c r="N66" s="16">
        <v>45911</v>
      </c>
      <c r="O66" s="12" t="s">
        <v>1097</v>
      </c>
      <c r="P66" s="14" t="s">
        <v>1100</v>
      </c>
      <c r="Q66" s="17" t="s">
        <v>137</v>
      </c>
      <c r="R66" s="17" t="s">
        <v>146</v>
      </c>
    </row>
    <row r="67" spans="1:18" x14ac:dyDescent="0.3">
      <c r="A67" s="12" t="s">
        <v>593</v>
      </c>
      <c r="B67" s="12" t="s">
        <v>12</v>
      </c>
      <c r="C67" s="12" t="s">
        <v>14</v>
      </c>
      <c r="D67" s="12" t="s">
        <v>180</v>
      </c>
      <c r="E67" s="12" t="s">
        <v>1109</v>
      </c>
      <c r="F67" s="12" t="s">
        <v>188</v>
      </c>
      <c r="G67" s="12" t="s">
        <v>1058</v>
      </c>
      <c r="H67" s="12" t="s">
        <v>36</v>
      </c>
      <c r="I67" s="12" t="s">
        <v>26</v>
      </c>
      <c r="J67" s="13" t="s">
        <v>1064</v>
      </c>
      <c r="K67" s="14" t="s">
        <v>597</v>
      </c>
      <c r="L67" s="15">
        <v>23</v>
      </c>
      <c r="M67" s="15" t="s">
        <v>144</v>
      </c>
      <c r="N67" s="16">
        <v>46161</v>
      </c>
      <c r="O67" s="12" t="s">
        <v>593</v>
      </c>
      <c r="P67" s="14" t="s">
        <v>598</v>
      </c>
      <c r="Q67" s="17" t="s">
        <v>137</v>
      </c>
      <c r="R67" s="17" t="s">
        <v>146</v>
      </c>
    </row>
    <row r="68" spans="1:18" x14ac:dyDescent="0.3">
      <c r="A68" s="12" t="s">
        <v>602</v>
      </c>
      <c r="B68" s="12" t="s">
        <v>14</v>
      </c>
      <c r="C68" s="12" t="s">
        <v>12</v>
      </c>
      <c r="D68" s="12" t="s">
        <v>180</v>
      </c>
      <c r="E68" s="12" t="s">
        <v>1109</v>
      </c>
      <c r="F68" s="12" t="s">
        <v>188</v>
      </c>
      <c r="G68" s="12" t="s">
        <v>1058</v>
      </c>
      <c r="H68" s="12" t="s">
        <v>36</v>
      </c>
      <c r="I68" s="12" t="s">
        <v>26</v>
      </c>
      <c r="J68" s="13" t="s">
        <v>1064</v>
      </c>
      <c r="K68" s="14" t="s">
        <v>597</v>
      </c>
      <c r="L68" s="15">
        <v>23</v>
      </c>
      <c r="M68" s="15" t="s">
        <v>144</v>
      </c>
      <c r="N68" s="16">
        <v>46148</v>
      </c>
      <c r="O68" s="12" t="s">
        <v>602</v>
      </c>
      <c r="P68" s="14" t="s">
        <v>603</v>
      </c>
      <c r="Q68" s="17" t="s">
        <v>137</v>
      </c>
      <c r="R68" s="17" t="s">
        <v>146</v>
      </c>
    </row>
    <row r="69" spans="1:18" x14ac:dyDescent="0.3">
      <c r="A69" s="12" t="s">
        <v>1118</v>
      </c>
      <c r="B69" s="12" t="s">
        <v>14</v>
      </c>
      <c r="C69" s="12"/>
      <c r="D69" s="12" t="s">
        <v>14</v>
      </c>
      <c r="E69" s="12" t="s">
        <v>1119</v>
      </c>
      <c r="F69" s="12" t="s">
        <v>520</v>
      </c>
      <c r="G69" s="12" t="s">
        <v>1058</v>
      </c>
      <c r="H69" s="12" t="s">
        <v>36</v>
      </c>
      <c r="I69" s="12" t="s">
        <v>26</v>
      </c>
      <c r="J69" s="13" t="s">
        <v>1064</v>
      </c>
      <c r="K69" s="14" t="s">
        <v>1120</v>
      </c>
      <c r="L69" s="15">
        <v>10</v>
      </c>
      <c r="M69" s="15" t="s">
        <v>144</v>
      </c>
      <c r="N69" s="16">
        <v>44784</v>
      </c>
      <c r="O69" s="12" t="s">
        <v>1121</v>
      </c>
      <c r="P69" s="14" t="s">
        <v>1122</v>
      </c>
      <c r="Q69" s="17" t="s">
        <v>137</v>
      </c>
      <c r="R69" s="17" t="s">
        <v>146</v>
      </c>
    </row>
    <row r="70" spans="1:18" x14ac:dyDescent="0.3">
      <c r="A70" s="12" t="s">
        <v>1132</v>
      </c>
      <c r="B70" s="12" t="s">
        <v>14</v>
      </c>
      <c r="C70" s="12"/>
      <c r="D70" s="12" t="s">
        <v>14</v>
      </c>
      <c r="E70" s="12" t="s">
        <v>1133</v>
      </c>
      <c r="F70" s="12"/>
      <c r="G70" s="12" t="s">
        <v>1058</v>
      </c>
      <c r="H70" s="12" t="s">
        <v>36</v>
      </c>
      <c r="I70" s="12" t="s">
        <v>26</v>
      </c>
      <c r="J70" s="13" t="s">
        <v>1059</v>
      </c>
      <c r="K70" s="14" t="s">
        <v>1134</v>
      </c>
      <c r="L70" s="15">
        <v>0</v>
      </c>
      <c r="M70" s="15" t="s">
        <v>144</v>
      </c>
      <c r="N70" s="16">
        <v>44634</v>
      </c>
      <c r="O70" s="12" t="s">
        <v>1132</v>
      </c>
      <c r="P70" s="14" t="s">
        <v>1135</v>
      </c>
      <c r="Q70" s="17" t="s">
        <v>137</v>
      </c>
      <c r="R70" s="17" t="s">
        <v>146</v>
      </c>
    </row>
    <row r="71" spans="1:18" x14ac:dyDescent="0.3">
      <c r="A71" s="12" t="s">
        <v>1140</v>
      </c>
      <c r="B71" s="12" t="s">
        <v>14</v>
      </c>
      <c r="C71" s="12"/>
      <c r="D71" s="12" t="s">
        <v>14</v>
      </c>
      <c r="E71" s="12" t="s">
        <v>1141</v>
      </c>
      <c r="F71" s="12" t="s">
        <v>345</v>
      </c>
      <c r="G71" s="12" t="s">
        <v>1058</v>
      </c>
      <c r="H71" s="12" t="s">
        <v>36</v>
      </c>
      <c r="I71" s="12" t="s">
        <v>26</v>
      </c>
      <c r="J71" s="13" t="s">
        <v>1059</v>
      </c>
      <c r="K71" s="14" t="s">
        <v>1142</v>
      </c>
      <c r="L71" s="15">
        <v>1</v>
      </c>
      <c r="M71" s="15" t="s">
        <v>144</v>
      </c>
      <c r="N71" s="16">
        <v>46126</v>
      </c>
      <c r="O71" s="12" t="s">
        <v>1140</v>
      </c>
      <c r="P71" s="14" t="s">
        <v>1143</v>
      </c>
      <c r="Q71" s="17" t="s">
        <v>137</v>
      </c>
      <c r="R71" s="17" t="s">
        <v>146</v>
      </c>
    </row>
    <row r="72" spans="1:18" x14ac:dyDescent="0.3">
      <c r="A72" s="12" t="s">
        <v>307</v>
      </c>
      <c r="B72" s="12" t="s">
        <v>14</v>
      </c>
      <c r="C72" s="12"/>
      <c r="D72" s="12" t="s">
        <v>14</v>
      </c>
      <c r="E72" s="12" t="s">
        <v>1145</v>
      </c>
      <c r="F72" s="12" t="s">
        <v>520</v>
      </c>
      <c r="G72" s="12" t="s">
        <v>1058</v>
      </c>
      <c r="H72" s="12" t="s">
        <v>36</v>
      </c>
      <c r="I72" s="12" t="s">
        <v>26</v>
      </c>
      <c r="J72" s="13" t="s">
        <v>1064</v>
      </c>
      <c r="K72" s="14" t="s">
        <v>1147</v>
      </c>
      <c r="L72" s="15">
        <v>10</v>
      </c>
      <c r="M72" s="15" t="s">
        <v>144</v>
      </c>
      <c r="N72" s="16">
        <v>46275</v>
      </c>
      <c r="O72" s="12" t="s">
        <v>307</v>
      </c>
      <c r="P72" s="14" t="s">
        <v>310</v>
      </c>
      <c r="Q72" s="17" t="s">
        <v>137</v>
      </c>
      <c r="R72" s="17" t="s">
        <v>146</v>
      </c>
    </row>
    <row r="73" spans="1:18" x14ac:dyDescent="0.3">
      <c r="A73" s="12" t="s">
        <v>1156</v>
      </c>
      <c r="B73" s="12" t="s">
        <v>14</v>
      </c>
      <c r="C73" s="12"/>
      <c r="D73" s="12" t="s">
        <v>14</v>
      </c>
      <c r="E73" s="12" t="s">
        <v>1157</v>
      </c>
      <c r="F73" s="12" t="s">
        <v>293</v>
      </c>
      <c r="G73" s="12" t="s">
        <v>1158</v>
      </c>
      <c r="H73" s="12" t="s">
        <v>36</v>
      </c>
      <c r="I73" s="12" t="s">
        <v>26</v>
      </c>
      <c r="J73" s="13" t="s">
        <v>1159</v>
      </c>
      <c r="K73" s="14" t="s">
        <v>1160</v>
      </c>
      <c r="L73" s="15">
        <v>0</v>
      </c>
      <c r="M73" s="15" t="s">
        <v>144</v>
      </c>
      <c r="N73" s="16">
        <v>45366</v>
      </c>
      <c r="O73" s="12" t="s">
        <v>1156</v>
      </c>
      <c r="P73" s="14" t="s">
        <v>1161</v>
      </c>
      <c r="Q73" s="17" t="s">
        <v>137</v>
      </c>
      <c r="R73" s="17" t="s">
        <v>146</v>
      </c>
    </row>
    <row r="74" spans="1:18" x14ac:dyDescent="0.3">
      <c r="A74" s="12" t="s">
        <v>1168</v>
      </c>
      <c r="B74" s="12" t="s">
        <v>14</v>
      </c>
      <c r="C74" s="12"/>
      <c r="D74" s="12" t="s">
        <v>14</v>
      </c>
      <c r="E74" s="12" t="s">
        <v>1169</v>
      </c>
      <c r="F74" s="12" t="s">
        <v>188</v>
      </c>
      <c r="G74" s="12" t="s">
        <v>1158</v>
      </c>
      <c r="H74" s="12" t="s">
        <v>36</v>
      </c>
      <c r="I74" s="12" t="s">
        <v>26</v>
      </c>
      <c r="J74" s="13" t="s">
        <v>941</v>
      </c>
      <c r="K74" s="14" t="s">
        <v>1170</v>
      </c>
      <c r="L74" s="15">
        <v>1</v>
      </c>
      <c r="M74" s="15" t="s">
        <v>144</v>
      </c>
      <c r="N74" s="16">
        <v>46174</v>
      </c>
      <c r="O74" s="12" t="s">
        <v>1168</v>
      </c>
      <c r="P74" s="14" t="s">
        <v>1171</v>
      </c>
      <c r="Q74" s="17" t="s">
        <v>137</v>
      </c>
      <c r="R74" s="17" t="s">
        <v>146</v>
      </c>
    </row>
    <row r="75" spans="1:18" x14ac:dyDescent="0.3">
      <c r="A75" s="12" t="s">
        <v>1175</v>
      </c>
      <c r="B75" s="12" t="s">
        <v>14</v>
      </c>
      <c r="C75" s="12"/>
      <c r="D75" s="12" t="s">
        <v>14</v>
      </c>
      <c r="E75" s="12" t="s">
        <v>1176</v>
      </c>
      <c r="F75" s="12" t="s">
        <v>1177</v>
      </c>
      <c r="G75" s="12" t="s">
        <v>1158</v>
      </c>
      <c r="H75" s="12" t="s">
        <v>36</v>
      </c>
      <c r="I75" s="12" t="s">
        <v>26</v>
      </c>
      <c r="J75" s="13" t="s">
        <v>1178</v>
      </c>
      <c r="K75" s="14" t="s">
        <v>1179</v>
      </c>
      <c r="L75" s="15">
        <v>8</v>
      </c>
      <c r="M75" s="15" t="s">
        <v>144</v>
      </c>
      <c r="N75" s="16">
        <v>46059</v>
      </c>
      <c r="O75" s="12" t="s">
        <v>1175</v>
      </c>
      <c r="P75" s="14" t="s">
        <v>1180</v>
      </c>
      <c r="Q75" s="17" t="s">
        <v>137</v>
      </c>
      <c r="R75" s="17" t="s">
        <v>146</v>
      </c>
    </row>
    <row r="76" spans="1:18" x14ac:dyDescent="0.3">
      <c r="A76" s="12" t="s">
        <v>1198</v>
      </c>
      <c r="B76" s="12" t="s">
        <v>14</v>
      </c>
      <c r="C76" s="12"/>
      <c r="D76" s="12" t="s">
        <v>14</v>
      </c>
      <c r="E76" s="12" t="s">
        <v>1199</v>
      </c>
      <c r="F76" s="12"/>
      <c r="G76" s="12" t="s">
        <v>1158</v>
      </c>
      <c r="H76" s="12" t="s">
        <v>36</v>
      </c>
      <c r="I76" s="12" t="s">
        <v>26</v>
      </c>
      <c r="J76" s="13" t="s">
        <v>941</v>
      </c>
      <c r="K76" s="14" t="s">
        <v>1200</v>
      </c>
      <c r="L76" s="15">
        <v>0</v>
      </c>
      <c r="M76" s="15" t="s">
        <v>144</v>
      </c>
      <c r="N76" s="16">
        <v>45778</v>
      </c>
      <c r="O76" s="12" t="s">
        <v>1201</v>
      </c>
      <c r="P76" s="14" t="s">
        <v>1202</v>
      </c>
      <c r="Q76" s="17" t="s">
        <v>137</v>
      </c>
      <c r="R76" s="17" t="s">
        <v>146</v>
      </c>
    </row>
    <row r="77" spans="1:18" x14ac:dyDescent="0.3">
      <c r="A77" s="12" t="s">
        <v>1207</v>
      </c>
      <c r="B77" s="12" t="s">
        <v>14</v>
      </c>
      <c r="C77" s="12"/>
      <c r="D77" s="12" t="s">
        <v>14</v>
      </c>
      <c r="E77" s="12" t="s">
        <v>1208</v>
      </c>
      <c r="F77" s="12"/>
      <c r="G77" s="12" t="s">
        <v>1158</v>
      </c>
      <c r="H77" s="12" t="s">
        <v>36</v>
      </c>
      <c r="I77" s="12" t="s">
        <v>26</v>
      </c>
      <c r="J77" s="13" t="s">
        <v>1178</v>
      </c>
      <c r="K77" s="14" t="s">
        <v>1209</v>
      </c>
      <c r="L77" s="15">
        <v>0</v>
      </c>
      <c r="M77" s="15" t="s">
        <v>144</v>
      </c>
      <c r="N77" s="16">
        <v>45643</v>
      </c>
      <c r="O77" s="12" t="s">
        <v>1207</v>
      </c>
      <c r="P77" s="14" t="s">
        <v>1210</v>
      </c>
      <c r="Q77" s="17" t="s">
        <v>137</v>
      </c>
      <c r="R77" s="17" t="s">
        <v>146</v>
      </c>
    </row>
    <row r="78" spans="1:18" x14ac:dyDescent="0.3">
      <c r="A78" s="12" t="s">
        <v>593</v>
      </c>
      <c r="B78" s="12" t="s">
        <v>12</v>
      </c>
      <c r="C78" s="12" t="s">
        <v>14</v>
      </c>
      <c r="D78" s="12" t="s">
        <v>180</v>
      </c>
      <c r="E78" s="12" t="s">
        <v>1221</v>
      </c>
      <c r="F78" s="12" t="s">
        <v>1222</v>
      </c>
      <c r="G78" s="12" t="s">
        <v>1158</v>
      </c>
      <c r="H78" s="12" t="s">
        <v>36</v>
      </c>
      <c r="I78" s="12" t="s">
        <v>26</v>
      </c>
      <c r="J78" s="13" t="s">
        <v>1178</v>
      </c>
      <c r="K78" s="14" t="s">
        <v>597</v>
      </c>
      <c r="L78" s="15">
        <v>27</v>
      </c>
      <c r="M78" s="15" t="s">
        <v>144</v>
      </c>
      <c r="N78" s="16">
        <v>46161</v>
      </c>
      <c r="O78" s="12" t="s">
        <v>593</v>
      </c>
      <c r="P78" s="14" t="s">
        <v>598</v>
      </c>
      <c r="Q78" s="17" t="s">
        <v>137</v>
      </c>
      <c r="R78" s="17" t="s">
        <v>146</v>
      </c>
    </row>
    <row r="79" spans="1:18" x14ac:dyDescent="0.3">
      <c r="A79" s="12" t="s">
        <v>199</v>
      </c>
      <c r="B79" s="12" t="s">
        <v>14</v>
      </c>
      <c r="C79" s="12"/>
      <c r="D79" s="12" t="s">
        <v>14</v>
      </c>
      <c r="E79" s="12" t="s">
        <v>1250</v>
      </c>
      <c r="F79" s="12" t="s">
        <v>188</v>
      </c>
      <c r="G79" s="12" t="s">
        <v>1158</v>
      </c>
      <c r="H79" s="12" t="s">
        <v>36</v>
      </c>
      <c r="I79" s="12" t="s">
        <v>26</v>
      </c>
      <c r="J79" s="13" t="s">
        <v>1178</v>
      </c>
      <c r="K79" s="14" t="s">
        <v>1251</v>
      </c>
      <c r="L79" s="15">
        <v>8</v>
      </c>
      <c r="M79" s="15" t="s">
        <v>144</v>
      </c>
      <c r="N79" s="16">
        <v>45951</v>
      </c>
      <c r="O79" s="12" t="s">
        <v>331</v>
      </c>
      <c r="P79" s="14" t="s">
        <v>1049</v>
      </c>
      <c r="Q79" s="17" t="s">
        <v>137</v>
      </c>
      <c r="R79" s="17" t="s">
        <v>146</v>
      </c>
    </row>
    <row r="80" spans="1:18" x14ac:dyDescent="0.3">
      <c r="A80" s="12" t="s">
        <v>1263</v>
      </c>
      <c r="B80" s="12" t="s">
        <v>10</v>
      </c>
      <c r="C80" s="12" t="s">
        <v>180</v>
      </c>
      <c r="D80" s="12" t="s">
        <v>283</v>
      </c>
      <c r="E80" s="12" t="s">
        <v>1264</v>
      </c>
      <c r="F80" s="12" t="s">
        <v>1265</v>
      </c>
      <c r="G80" s="12" t="s">
        <v>1158</v>
      </c>
      <c r="H80" s="12" t="s">
        <v>36</v>
      </c>
      <c r="I80" s="12" t="s">
        <v>26</v>
      </c>
      <c r="J80" s="13" t="s">
        <v>1178</v>
      </c>
      <c r="K80" s="14" t="s">
        <v>1266</v>
      </c>
      <c r="L80" s="15">
        <v>41</v>
      </c>
      <c r="M80" s="15" t="s">
        <v>144</v>
      </c>
      <c r="N80" s="16">
        <v>45911</v>
      </c>
      <c r="O80" s="12" t="s">
        <v>1263</v>
      </c>
      <c r="P80" s="14" t="s">
        <v>1267</v>
      </c>
      <c r="Q80" s="17" t="s">
        <v>137</v>
      </c>
      <c r="R80" s="17" t="s">
        <v>146</v>
      </c>
    </row>
    <row r="81" spans="1:18" x14ac:dyDescent="0.3">
      <c r="A81" s="12" t="s">
        <v>1273</v>
      </c>
      <c r="B81" s="12" t="s">
        <v>12</v>
      </c>
      <c r="C81" s="12" t="s">
        <v>14</v>
      </c>
      <c r="D81" s="12" t="s">
        <v>180</v>
      </c>
      <c r="E81" s="12" t="s">
        <v>1274</v>
      </c>
      <c r="F81" s="12" t="s">
        <v>1275</v>
      </c>
      <c r="G81" s="12" t="s">
        <v>1158</v>
      </c>
      <c r="H81" s="12" t="s">
        <v>36</v>
      </c>
      <c r="I81" s="12" t="s">
        <v>26</v>
      </c>
      <c r="J81" s="13" t="s">
        <v>941</v>
      </c>
      <c r="K81" s="14" t="s">
        <v>1276</v>
      </c>
      <c r="L81" s="15">
        <v>0</v>
      </c>
      <c r="M81" s="15" t="s">
        <v>144</v>
      </c>
      <c r="N81" s="16">
        <v>44865</v>
      </c>
      <c r="O81" s="12" t="s">
        <v>1273</v>
      </c>
      <c r="P81" s="14" t="s">
        <v>1277</v>
      </c>
      <c r="Q81" s="17" t="s">
        <v>137</v>
      </c>
      <c r="R81" s="17" t="s">
        <v>146</v>
      </c>
    </row>
    <row r="82" spans="1:18" x14ac:dyDescent="0.3">
      <c r="A82" s="12" t="s">
        <v>1273</v>
      </c>
      <c r="B82" s="12" t="s">
        <v>14</v>
      </c>
      <c r="C82" s="12"/>
      <c r="D82" s="12" t="s">
        <v>14</v>
      </c>
      <c r="E82" s="12" t="s">
        <v>1278</v>
      </c>
      <c r="F82" s="12" t="s">
        <v>520</v>
      </c>
      <c r="G82" s="12" t="s">
        <v>1158</v>
      </c>
      <c r="H82" s="12" t="s">
        <v>36</v>
      </c>
      <c r="I82" s="12" t="s">
        <v>26</v>
      </c>
      <c r="J82" s="13" t="s">
        <v>1178</v>
      </c>
      <c r="K82" s="14" t="s">
        <v>1276</v>
      </c>
      <c r="L82" s="15">
        <v>0</v>
      </c>
      <c r="M82" s="15" t="s">
        <v>144</v>
      </c>
      <c r="N82" s="16">
        <v>45460</v>
      </c>
      <c r="O82" s="12" t="s">
        <v>1273</v>
      </c>
      <c r="P82" s="14" t="s">
        <v>1279</v>
      </c>
      <c r="Q82" s="17" t="s">
        <v>137</v>
      </c>
      <c r="R82" s="17" t="s">
        <v>146</v>
      </c>
    </row>
    <row r="83" spans="1:18" x14ac:dyDescent="0.3">
      <c r="A83" s="12" t="s">
        <v>307</v>
      </c>
      <c r="B83" s="12" t="s">
        <v>14</v>
      </c>
      <c r="C83" s="12"/>
      <c r="D83" s="12" t="s">
        <v>14</v>
      </c>
      <c r="E83" s="12" t="s">
        <v>1288</v>
      </c>
      <c r="F83" s="12"/>
      <c r="G83" s="12" t="s">
        <v>1158</v>
      </c>
      <c r="H83" s="12" t="s">
        <v>36</v>
      </c>
      <c r="I83" s="12" t="s">
        <v>26</v>
      </c>
      <c r="J83" s="13" t="s">
        <v>941</v>
      </c>
      <c r="K83" s="14" t="s">
        <v>1289</v>
      </c>
      <c r="L83" s="15">
        <v>4</v>
      </c>
      <c r="M83" s="15" t="s">
        <v>144</v>
      </c>
      <c r="N83" s="16">
        <v>46275</v>
      </c>
      <c r="O83" s="12" t="s">
        <v>307</v>
      </c>
      <c r="P83" s="14" t="s">
        <v>310</v>
      </c>
      <c r="Q83" s="17" t="s">
        <v>137</v>
      </c>
      <c r="R83" s="17" t="s">
        <v>146</v>
      </c>
    </row>
    <row r="84" spans="1:18" x14ac:dyDescent="0.3">
      <c r="A84" s="12" t="s">
        <v>307</v>
      </c>
      <c r="B84" s="12" t="s">
        <v>14</v>
      </c>
      <c r="C84" s="12"/>
      <c r="D84" s="12" t="s">
        <v>14</v>
      </c>
      <c r="E84" s="12" t="s">
        <v>1290</v>
      </c>
      <c r="F84" s="12"/>
      <c r="G84" s="12" t="s">
        <v>1158</v>
      </c>
      <c r="H84" s="12" t="s">
        <v>36</v>
      </c>
      <c r="I84" s="12" t="s">
        <v>26</v>
      </c>
      <c r="J84" s="13" t="s">
        <v>1217</v>
      </c>
      <c r="K84" s="14" t="s">
        <v>1291</v>
      </c>
      <c r="L84" s="15">
        <v>4</v>
      </c>
      <c r="M84" s="15" t="s">
        <v>144</v>
      </c>
      <c r="N84" s="16">
        <v>46275</v>
      </c>
      <c r="O84" s="12" t="s">
        <v>307</v>
      </c>
      <c r="P84" s="14" t="s">
        <v>310</v>
      </c>
      <c r="Q84" s="17" t="s">
        <v>137</v>
      </c>
      <c r="R84" s="17" t="s">
        <v>146</v>
      </c>
    </row>
    <row r="85" spans="1:18" x14ac:dyDescent="0.3">
      <c r="A85" s="12" t="s">
        <v>1321</v>
      </c>
      <c r="B85" s="12" t="s">
        <v>14</v>
      </c>
      <c r="C85" s="12"/>
      <c r="D85" s="12" t="s">
        <v>14</v>
      </c>
      <c r="E85" s="12" t="s">
        <v>1322</v>
      </c>
      <c r="F85" s="12"/>
      <c r="G85" s="12" t="s">
        <v>1316</v>
      </c>
      <c r="H85" s="12" t="s">
        <v>36</v>
      </c>
      <c r="I85" s="12" t="s">
        <v>26</v>
      </c>
      <c r="J85" s="13" t="s">
        <v>1323</v>
      </c>
      <c r="K85" s="14" t="s">
        <v>1324</v>
      </c>
      <c r="L85" s="15">
        <v>1</v>
      </c>
      <c r="M85" s="15" t="s">
        <v>144</v>
      </c>
      <c r="N85" s="16">
        <v>46028</v>
      </c>
      <c r="O85" s="12" t="s">
        <v>1325</v>
      </c>
      <c r="P85" s="14" t="s">
        <v>1326</v>
      </c>
      <c r="Q85" s="17" t="s">
        <v>137</v>
      </c>
      <c r="R85" s="17" t="s">
        <v>146</v>
      </c>
    </row>
    <row r="86" spans="1:18" x14ac:dyDescent="0.3">
      <c r="A86" s="12" t="s">
        <v>1339</v>
      </c>
      <c r="B86" s="12" t="s">
        <v>12</v>
      </c>
      <c r="C86" s="12" t="s">
        <v>14</v>
      </c>
      <c r="D86" s="12" t="s">
        <v>180</v>
      </c>
      <c r="E86" s="12" t="s">
        <v>1340</v>
      </c>
      <c r="F86" s="12" t="s">
        <v>248</v>
      </c>
      <c r="G86" s="12" t="s">
        <v>1341</v>
      </c>
      <c r="H86" s="12" t="s">
        <v>36</v>
      </c>
      <c r="I86" s="12" t="s">
        <v>26</v>
      </c>
      <c r="J86" s="13" t="s">
        <v>1342</v>
      </c>
      <c r="K86" s="14" t="s">
        <v>1343</v>
      </c>
      <c r="L86" s="15">
        <v>18</v>
      </c>
      <c r="M86" s="15" t="s">
        <v>144</v>
      </c>
      <c r="N86" s="16">
        <v>45908</v>
      </c>
      <c r="O86" s="12" t="s">
        <v>1339</v>
      </c>
      <c r="P86" s="14" t="s">
        <v>1344</v>
      </c>
      <c r="Q86" s="17" t="s">
        <v>137</v>
      </c>
      <c r="R86" s="17" t="s">
        <v>146</v>
      </c>
    </row>
    <row r="87" spans="1:18" x14ac:dyDescent="0.3">
      <c r="A87" s="12" t="s">
        <v>1369</v>
      </c>
      <c r="B87" s="12" t="s">
        <v>14</v>
      </c>
      <c r="C87" s="12"/>
      <c r="D87" s="12" t="s">
        <v>14</v>
      </c>
      <c r="E87" s="12" t="s">
        <v>1370</v>
      </c>
      <c r="F87" s="12" t="s">
        <v>188</v>
      </c>
      <c r="G87" s="12" t="s">
        <v>1362</v>
      </c>
      <c r="H87" s="12" t="s">
        <v>36</v>
      </c>
      <c r="I87" s="12" t="s">
        <v>26</v>
      </c>
      <c r="J87" s="13" t="s">
        <v>1363</v>
      </c>
      <c r="K87" s="14" t="s">
        <v>1371</v>
      </c>
      <c r="L87" s="15">
        <v>1</v>
      </c>
      <c r="M87" s="15" t="s">
        <v>144</v>
      </c>
      <c r="N87" s="16">
        <v>46196</v>
      </c>
      <c r="O87" s="12" t="s">
        <v>1369</v>
      </c>
      <c r="P87" s="14" t="s">
        <v>1372</v>
      </c>
      <c r="Q87" s="17" t="s">
        <v>137</v>
      </c>
      <c r="R87" s="17" t="s">
        <v>146</v>
      </c>
    </row>
    <row r="88" spans="1:18" x14ac:dyDescent="0.3">
      <c r="A88" s="12" t="s">
        <v>1373</v>
      </c>
      <c r="B88" s="12" t="s">
        <v>10</v>
      </c>
      <c r="C88" s="12" t="s">
        <v>14</v>
      </c>
      <c r="D88" s="12" t="s">
        <v>1374</v>
      </c>
      <c r="E88" s="12" t="s">
        <v>1375</v>
      </c>
      <c r="F88" s="12" t="s">
        <v>447</v>
      </c>
      <c r="G88" s="12" t="s">
        <v>1362</v>
      </c>
      <c r="H88" s="12" t="s">
        <v>36</v>
      </c>
      <c r="I88" s="12" t="s">
        <v>26</v>
      </c>
      <c r="J88" s="13" t="s">
        <v>1363</v>
      </c>
      <c r="K88" s="14" t="s">
        <v>1376</v>
      </c>
      <c r="L88" s="15">
        <v>7</v>
      </c>
      <c r="M88" s="15" t="s">
        <v>144</v>
      </c>
      <c r="N88" s="16">
        <v>46287</v>
      </c>
      <c r="O88" s="12" t="s">
        <v>1373</v>
      </c>
      <c r="P88" s="14" t="s">
        <v>1377</v>
      </c>
      <c r="Q88" s="17" t="s">
        <v>137</v>
      </c>
      <c r="R88" s="17" t="s">
        <v>146</v>
      </c>
    </row>
    <row r="89" spans="1:18" x14ac:dyDescent="0.3">
      <c r="A89" s="12" t="s">
        <v>1384</v>
      </c>
      <c r="B89" s="12" t="s">
        <v>14</v>
      </c>
      <c r="C89" s="12"/>
      <c r="D89" s="12" t="s">
        <v>14</v>
      </c>
      <c r="E89" s="12" t="s">
        <v>1385</v>
      </c>
      <c r="F89" s="12"/>
      <c r="G89" s="12" t="s">
        <v>1362</v>
      </c>
      <c r="H89" s="12" t="s">
        <v>36</v>
      </c>
      <c r="I89" s="12" t="s">
        <v>26</v>
      </c>
      <c r="J89" s="13" t="s">
        <v>1386</v>
      </c>
      <c r="K89" s="14" t="s">
        <v>1387</v>
      </c>
      <c r="L89" s="15">
        <v>0</v>
      </c>
      <c r="M89" s="15" t="s">
        <v>144</v>
      </c>
      <c r="N89" s="16">
        <v>46269</v>
      </c>
      <c r="O89" s="12" t="s">
        <v>1384</v>
      </c>
      <c r="P89" s="14" t="s">
        <v>1388</v>
      </c>
      <c r="Q89" s="17" t="s">
        <v>137</v>
      </c>
      <c r="R89" s="17" t="s">
        <v>146</v>
      </c>
    </row>
    <row r="90" spans="1:18" x14ac:dyDescent="0.3">
      <c r="A90" s="12" t="s">
        <v>199</v>
      </c>
      <c r="B90" s="12" t="s">
        <v>14</v>
      </c>
      <c r="C90" s="12"/>
      <c r="D90" s="12" t="s">
        <v>14</v>
      </c>
      <c r="E90" s="12" t="s">
        <v>1389</v>
      </c>
      <c r="F90" s="12"/>
      <c r="G90" s="12" t="s">
        <v>1362</v>
      </c>
      <c r="H90" s="12" t="s">
        <v>36</v>
      </c>
      <c r="I90" s="12" t="s">
        <v>26</v>
      </c>
      <c r="J90" s="13" t="s">
        <v>1386</v>
      </c>
      <c r="K90" s="14" t="s">
        <v>1390</v>
      </c>
      <c r="L90" s="15">
        <v>2</v>
      </c>
      <c r="M90" s="15" t="s">
        <v>144</v>
      </c>
      <c r="N90" s="16">
        <v>45926</v>
      </c>
      <c r="O90" s="12" t="s">
        <v>203</v>
      </c>
      <c r="P90" s="14" t="s">
        <v>1391</v>
      </c>
      <c r="Q90" s="17" t="s">
        <v>137</v>
      </c>
      <c r="R90" s="17" t="s">
        <v>146</v>
      </c>
    </row>
    <row r="91" spans="1:18" x14ac:dyDescent="0.3">
      <c r="A91" s="12" t="s">
        <v>960</v>
      </c>
      <c r="B91" s="12" t="s">
        <v>14</v>
      </c>
      <c r="C91" s="12"/>
      <c r="D91" s="12" t="s">
        <v>14</v>
      </c>
      <c r="E91" s="12" t="s">
        <v>1403</v>
      </c>
      <c r="F91" s="12" t="s">
        <v>1039</v>
      </c>
      <c r="G91" s="12" t="s">
        <v>1362</v>
      </c>
      <c r="H91" s="12" t="s">
        <v>36</v>
      </c>
      <c r="I91" s="12" t="s">
        <v>26</v>
      </c>
      <c r="J91" s="13" t="s">
        <v>1363</v>
      </c>
      <c r="K91" s="14" t="s">
        <v>1404</v>
      </c>
      <c r="L91" s="15">
        <v>10</v>
      </c>
      <c r="M91" s="15" t="s">
        <v>144</v>
      </c>
      <c r="N91" s="16">
        <v>45609</v>
      </c>
      <c r="O91" s="12" t="s">
        <v>960</v>
      </c>
      <c r="P91" s="14" t="s">
        <v>962</v>
      </c>
      <c r="Q91" s="17" t="s">
        <v>137</v>
      </c>
      <c r="R91" s="17" t="s">
        <v>146</v>
      </c>
    </row>
    <row r="92" spans="1:18" x14ac:dyDescent="0.3">
      <c r="A92" s="12" t="s">
        <v>475</v>
      </c>
      <c r="B92" s="12" t="s">
        <v>14</v>
      </c>
      <c r="C92" s="12"/>
      <c r="D92" s="12" t="s">
        <v>14</v>
      </c>
      <c r="E92" s="12" t="s">
        <v>1407</v>
      </c>
      <c r="F92" s="12"/>
      <c r="G92" s="12" t="s">
        <v>1362</v>
      </c>
      <c r="H92" s="12" t="s">
        <v>36</v>
      </c>
      <c r="I92" s="12" t="s">
        <v>26</v>
      </c>
      <c r="J92" s="13" t="s">
        <v>1363</v>
      </c>
      <c r="K92" s="14" t="s">
        <v>477</v>
      </c>
      <c r="L92" s="15">
        <v>0</v>
      </c>
      <c r="M92" s="15" t="s">
        <v>144</v>
      </c>
      <c r="N92" s="16">
        <v>45379</v>
      </c>
      <c r="O92" s="12" t="s">
        <v>475</v>
      </c>
      <c r="P92" s="14" t="s">
        <v>478</v>
      </c>
      <c r="Q92" s="17" t="s">
        <v>137</v>
      </c>
      <c r="R92" s="17" t="s">
        <v>146</v>
      </c>
    </row>
    <row r="93" spans="1:18" x14ac:dyDescent="0.3">
      <c r="A93" s="12" t="s">
        <v>307</v>
      </c>
      <c r="B93" s="12" t="s">
        <v>14</v>
      </c>
      <c r="C93" s="12"/>
      <c r="D93" s="12" t="s">
        <v>14</v>
      </c>
      <c r="E93" s="12" t="s">
        <v>1360</v>
      </c>
      <c r="F93" s="12" t="s">
        <v>1163</v>
      </c>
      <c r="G93" s="12" t="s">
        <v>1362</v>
      </c>
      <c r="H93" s="12" t="s">
        <v>36</v>
      </c>
      <c r="I93" s="12" t="s">
        <v>26</v>
      </c>
      <c r="J93" s="13" t="s">
        <v>1363</v>
      </c>
      <c r="K93" s="14" t="s">
        <v>1412</v>
      </c>
      <c r="L93" s="15">
        <v>7</v>
      </c>
      <c r="M93" s="15" t="s">
        <v>144</v>
      </c>
      <c r="N93" s="16">
        <v>46275</v>
      </c>
      <c r="O93" s="12" t="s">
        <v>307</v>
      </c>
      <c r="P93" s="14" t="s">
        <v>310</v>
      </c>
      <c r="Q93" s="17" t="s">
        <v>137</v>
      </c>
      <c r="R93" s="17" t="s">
        <v>146</v>
      </c>
    </row>
    <row r="94" spans="1:18" x14ac:dyDescent="0.3">
      <c r="A94" s="12" t="s">
        <v>1453</v>
      </c>
      <c r="B94" s="12" t="s">
        <v>14</v>
      </c>
      <c r="C94" s="12"/>
      <c r="D94" s="12" t="s">
        <v>14</v>
      </c>
      <c r="E94" s="12" t="s">
        <v>1454</v>
      </c>
      <c r="F94" s="12" t="s">
        <v>1455</v>
      </c>
      <c r="G94" s="12" t="s">
        <v>367</v>
      </c>
      <c r="H94" s="12" t="s">
        <v>36</v>
      </c>
      <c r="I94" s="12" t="s">
        <v>26</v>
      </c>
      <c r="J94" s="13" t="s">
        <v>1456</v>
      </c>
      <c r="K94" s="14" t="s">
        <v>1457</v>
      </c>
      <c r="L94" s="15">
        <v>0</v>
      </c>
      <c r="M94" s="15" t="s">
        <v>144</v>
      </c>
      <c r="N94" s="16">
        <v>46027</v>
      </c>
      <c r="O94" s="12" t="s">
        <v>1458</v>
      </c>
      <c r="P94" s="14" t="s">
        <v>1459</v>
      </c>
      <c r="Q94" s="17" t="s">
        <v>137</v>
      </c>
      <c r="R94" s="17" t="s">
        <v>146</v>
      </c>
    </row>
    <row r="95" spans="1:18" x14ac:dyDescent="0.3">
      <c r="A95" s="12" t="s">
        <v>1067</v>
      </c>
      <c r="B95" s="12" t="s">
        <v>14</v>
      </c>
      <c r="C95" s="12"/>
      <c r="D95" s="12" t="s">
        <v>14</v>
      </c>
      <c r="E95" s="12" t="s">
        <v>1460</v>
      </c>
      <c r="F95" s="12"/>
      <c r="G95" s="12" t="s">
        <v>367</v>
      </c>
      <c r="H95" s="12" t="s">
        <v>36</v>
      </c>
      <c r="I95" s="12" t="s">
        <v>26</v>
      </c>
      <c r="J95" s="13" t="s">
        <v>1217</v>
      </c>
      <c r="K95" s="14" t="s">
        <v>1069</v>
      </c>
      <c r="L95" s="15">
        <v>1</v>
      </c>
      <c r="M95" s="15" t="s">
        <v>144</v>
      </c>
      <c r="N95" s="16">
        <v>46156</v>
      </c>
      <c r="O95" s="12" t="s">
        <v>1070</v>
      </c>
      <c r="P95" s="14" t="s">
        <v>1071</v>
      </c>
      <c r="Q95" s="17" t="s">
        <v>137</v>
      </c>
      <c r="R95" s="17" t="s">
        <v>146</v>
      </c>
    </row>
    <row r="96" spans="1:18" x14ac:dyDescent="0.3">
      <c r="A96" s="12" t="s">
        <v>186</v>
      </c>
      <c r="B96" s="12" t="s">
        <v>14</v>
      </c>
      <c r="C96" s="12"/>
      <c r="D96" s="12" t="s">
        <v>14</v>
      </c>
      <c r="E96" s="12" t="s">
        <v>1476</v>
      </c>
      <c r="F96" s="12"/>
      <c r="G96" s="12" t="s">
        <v>367</v>
      </c>
      <c r="H96" s="12" t="s">
        <v>36</v>
      </c>
      <c r="I96" s="12" t="s">
        <v>26</v>
      </c>
      <c r="J96" s="13" t="s">
        <v>1477</v>
      </c>
      <c r="K96" s="14" t="s">
        <v>1478</v>
      </c>
      <c r="L96" s="15">
        <v>3</v>
      </c>
      <c r="M96" s="15" t="s">
        <v>144</v>
      </c>
      <c r="N96" s="16">
        <v>45827</v>
      </c>
      <c r="O96" s="12" t="s">
        <v>190</v>
      </c>
      <c r="P96" s="14" t="s">
        <v>1479</v>
      </c>
      <c r="Q96" s="17" t="s">
        <v>137</v>
      </c>
      <c r="R96" s="17" t="s">
        <v>146</v>
      </c>
    </row>
    <row r="97" spans="1:18" x14ac:dyDescent="0.3">
      <c r="A97" s="12" t="s">
        <v>1501</v>
      </c>
      <c r="B97" s="12" t="s">
        <v>14</v>
      </c>
      <c r="C97" s="12"/>
      <c r="D97" s="12" t="s">
        <v>14</v>
      </c>
      <c r="E97" s="12" t="s">
        <v>1502</v>
      </c>
      <c r="F97" s="12"/>
      <c r="G97" s="12" t="s">
        <v>367</v>
      </c>
      <c r="H97" s="12" t="s">
        <v>36</v>
      </c>
      <c r="I97" s="12" t="s">
        <v>26</v>
      </c>
      <c r="J97" s="13" t="s">
        <v>1503</v>
      </c>
      <c r="K97" s="14" t="s">
        <v>1504</v>
      </c>
      <c r="L97" s="15">
        <v>130</v>
      </c>
      <c r="M97" s="15" t="s">
        <v>220</v>
      </c>
      <c r="N97" s="16">
        <v>45898</v>
      </c>
      <c r="O97" s="12" t="s">
        <v>1501</v>
      </c>
      <c r="P97" s="14" t="s">
        <v>1505</v>
      </c>
      <c r="Q97" s="17" t="s">
        <v>137</v>
      </c>
      <c r="R97" s="17" t="s">
        <v>146</v>
      </c>
    </row>
    <row r="98" spans="1:18" x14ac:dyDescent="0.3">
      <c r="A98" s="12" t="s">
        <v>1545</v>
      </c>
      <c r="B98" s="12" t="s">
        <v>14</v>
      </c>
      <c r="C98" s="12"/>
      <c r="D98" s="12" t="s">
        <v>14</v>
      </c>
      <c r="E98" s="12" t="s">
        <v>1546</v>
      </c>
      <c r="F98" s="12"/>
      <c r="G98" s="12" t="s">
        <v>367</v>
      </c>
      <c r="H98" s="12" t="s">
        <v>36</v>
      </c>
      <c r="I98" s="12" t="s">
        <v>26</v>
      </c>
      <c r="J98" s="13" t="s">
        <v>1547</v>
      </c>
      <c r="K98" s="14" t="s">
        <v>1548</v>
      </c>
      <c r="L98" s="15">
        <v>0</v>
      </c>
      <c r="M98" s="15" t="s">
        <v>144</v>
      </c>
      <c r="N98" s="16">
        <v>44606</v>
      </c>
      <c r="O98" s="12" t="s">
        <v>1545</v>
      </c>
      <c r="P98" s="14" t="s">
        <v>1549</v>
      </c>
      <c r="Q98" s="17" t="s">
        <v>137</v>
      </c>
      <c r="R98" s="17" t="s">
        <v>146</v>
      </c>
    </row>
    <row r="99" spans="1:18" x14ac:dyDescent="0.3">
      <c r="A99" s="12" t="s">
        <v>1555</v>
      </c>
      <c r="B99" s="12" t="s">
        <v>14</v>
      </c>
      <c r="C99" s="12"/>
      <c r="D99" s="12" t="s">
        <v>14</v>
      </c>
      <c r="E99" s="12" t="s">
        <v>1556</v>
      </c>
      <c r="F99" s="12"/>
      <c r="G99" s="12" t="s">
        <v>367</v>
      </c>
      <c r="H99" s="12" t="s">
        <v>36</v>
      </c>
      <c r="I99" s="12" t="s">
        <v>26</v>
      </c>
      <c r="J99" s="13" t="s">
        <v>1557</v>
      </c>
      <c r="K99" s="14" t="s">
        <v>1558</v>
      </c>
      <c r="L99" s="15">
        <v>1</v>
      </c>
      <c r="M99" s="15" t="s">
        <v>144</v>
      </c>
      <c r="N99" s="16">
        <v>46021</v>
      </c>
      <c r="O99" s="12" t="s">
        <v>1555</v>
      </c>
      <c r="P99" s="14" t="s">
        <v>1559</v>
      </c>
      <c r="Q99" s="17" t="s">
        <v>137</v>
      </c>
      <c r="R99" s="17" t="s">
        <v>146</v>
      </c>
    </row>
    <row r="100" spans="1:18" x14ac:dyDescent="0.3">
      <c r="A100" s="12" t="s">
        <v>1586</v>
      </c>
      <c r="B100" s="12" t="s">
        <v>14</v>
      </c>
      <c r="C100" s="12"/>
      <c r="D100" s="12" t="s">
        <v>14</v>
      </c>
      <c r="E100" s="12" t="s">
        <v>1578</v>
      </c>
      <c r="F100" s="12" t="s">
        <v>1587</v>
      </c>
      <c r="G100" s="12" t="s">
        <v>367</v>
      </c>
      <c r="H100" s="12" t="s">
        <v>36</v>
      </c>
      <c r="I100" s="12" t="s">
        <v>26</v>
      </c>
      <c r="J100" s="13" t="s">
        <v>1492</v>
      </c>
      <c r="K100" s="14" t="s">
        <v>1588</v>
      </c>
      <c r="L100" s="15">
        <v>7</v>
      </c>
      <c r="M100" s="15" t="s">
        <v>144</v>
      </c>
      <c r="N100" s="16">
        <v>45616</v>
      </c>
      <c r="O100" s="12" t="s">
        <v>1586</v>
      </c>
      <c r="P100" s="14" t="s">
        <v>1589</v>
      </c>
      <c r="Q100" s="17" t="s">
        <v>137</v>
      </c>
      <c r="R100" s="17" t="s">
        <v>146</v>
      </c>
    </row>
    <row r="101" spans="1:18" x14ac:dyDescent="0.3">
      <c r="A101" s="12" t="s">
        <v>1599</v>
      </c>
      <c r="B101" s="12" t="s">
        <v>14</v>
      </c>
      <c r="C101" s="12"/>
      <c r="D101" s="12" t="s">
        <v>14</v>
      </c>
      <c r="E101" s="12" t="s">
        <v>1600</v>
      </c>
      <c r="F101" s="12" t="s">
        <v>1601</v>
      </c>
      <c r="G101" s="12" t="s">
        <v>367</v>
      </c>
      <c r="H101" s="12" t="s">
        <v>36</v>
      </c>
      <c r="I101" s="12" t="s">
        <v>26</v>
      </c>
      <c r="J101" s="13" t="s">
        <v>1482</v>
      </c>
      <c r="K101" s="14" t="s">
        <v>1602</v>
      </c>
      <c r="L101" s="15">
        <v>0</v>
      </c>
      <c r="M101" s="15" t="s">
        <v>144</v>
      </c>
      <c r="N101" s="16">
        <v>45957</v>
      </c>
      <c r="O101" s="12" t="s">
        <v>1599</v>
      </c>
      <c r="P101" s="14" t="s">
        <v>1603</v>
      </c>
      <c r="Q101" s="17" t="s">
        <v>137</v>
      </c>
      <c r="R101" s="17" t="s">
        <v>146</v>
      </c>
    </row>
    <row r="102" spans="1:18" x14ac:dyDescent="0.3">
      <c r="A102" s="12" t="s">
        <v>1615</v>
      </c>
      <c r="B102" s="12" t="s">
        <v>14</v>
      </c>
      <c r="C102" s="12"/>
      <c r="D102" s="12" t="s">
        <v>14</v>
      </c>
      <c r="E102" s="12" t="s">
        <v>1616</v>
      </c>
      <c r="F102" s="12"/>
      <c r="G102" s="12" t="s">
        <v>367</v>
      </c>
      <c r="H102" s="12" t="s">
        <v>36</v>
      </c>
      <c r="I102" s="12" t="s">
        <v>26</v>
      </c>
      <c r="J102" s="13" t="s">
        <v>1442</v>
      </c>
      <c r="K102" s="14" t="s">
        <v>1617</v>
      </c>
      <c r="L102" s="15">
        <v>1</v>
      </c>
      <c r="M102" s="15" t="s">
        <v>144</v>
      </c>
      <c r="N102" s="16">
        <v>44763</v>
      </c>
      <c r="O102" s="12" t="s">
        <v>1615</v>
      </c>
      <c r="P102" s="14" t="s">
        <v>1618</v>
      </c>
      <c r="Q102" s="17" t="s">
        <v>137</v>
      </c>
      <c r="R102" s="17" t="s">
        <v>146</v>
      </c>
    </row>
    <row r="103" spans="1:18" x14ac:dyDescent="0.3">
      <c r="A103" s="12" t="s">
        <v>1619</v>
      </c>
      <c r="B103" s="12" t="s">
        <v>14</v>
      </c>
      <c r="C103" s="12"/>
      <c r="D103" s="12" t="s">
        <v>14</v>
      </c>
      <c r="E103" s="12" t="s">
        <v>1556</v>
      </c>
      <c r="F103" s="12"/>
      <c r="G103" s="12" t="s">
        <v>367</v>
      </c>
      <c r="H103" s="12" t="s">
        <v>36</v>
      </c>
      <c r="I103" s="12" t="s">
        <v>26</v>
      </c>
      <c r="J103" s="13" t="s">
        <v>1557</v>
      </c>
      <c r="K103" s="14" t="s">
        <v>1620</v>
      </c>
      <c r="L103" s="15">
        <v>1</v>
      </c>
      <c r="M103" s="15" t="s">
        <v>144</v>
      </c>
      <c r="N103" s="16">
        <v>45194</v>
      </c>
      <c r="O103" s="12" t="s">
        <v>1619</v>
      </c>
      <c r="P103" s="14" t="s">
        <v>1621</v>
      </c>
      <c r="Q103" s="17" t="s">
        <v>137</v>
      </c>
      <c r="R103" s="17" t="s">
        <v>146</v>
      </c>
    </row>
    <row r="104" spans="1:18" x14ac:dyDescent="0.3">
      <c r="A104" s="12" t="s">
        <v>715</v>
      </c>
      <c r="B104" s="12" t="s">
        <v>14</v>
      </c>
      <c r="C104" s="12"/>
      <c r="D104" s="12" t="s">
        <v>14</v>
      </c>
      <c r="E104" s="12" t="s">
        <v>1629</v>
      </c>
      <c r="F104" s="12"/>
      <c r="G104" s="12" t="s">
        <v>367</v>
      </c>
      <c r="H104" s="12" t="s">
        <v>36</v>
      </c>
      <c r="I104" s="12" t="s">
        <v>26</v>
      </c>
      <c r="J104" s="13" t="s">
        <v>1630</v>
      </c>
      <c r="K104" s="14" t="s">
        <v>717</v>
      </c>
      <c r="L104" s="15">
        <v>1</v>
      </c>
      <c r="M104" s="15" t="s">
        <v>144</v>
      </c>
      <c r="N104" s="16">
        <v>45295</v>
      </c>
      <c r="O104" s="12" t="s">
        <v>715</v>
      </c>
      <c r="P104" s="14" t="s">
        <v>718</v>
      </c>
      <c r="Q104" s="17" t="s">
        <v>137</v>
      </c>
      <c r="R104" s="17" t="s">
        <v>146</v>
      </c>
    </row>
    <row r="105" spans="1:18" x14ac:dyDescent="0.3">
      <c r="A105" s="12" t="s">
        <v>307</v>
      </c>
      <c r="B105" s="12" t="s">
        <v>14</v>
      </c>
      <c r="C105" s="12"/>
      <c r="D105" s="12" t="s">
        <v>14</v>
      </c>
      <c r="E105" s="12" t="s">
        <v>1631</v>
      </c>
      <c r="F105" s="12" t="s">
        <v>218</v>
      </c>
      <c r="G105" s="12" t="s">
        <v>367</v>
      </c>
      <c r="H105" s="12" t="s">
        <v>36</v>
      </c>
      <c r="I105" s="12" t="s">
        <v>26</v>
      </c>
      <c r="J105" s="13" t="s">
        <v>1557</v>
      </c>
      <c r="K105" s="14" t="s">
        <v>1632</v>
      </c>
      <c r="L105" s="15">
        <v>7</v>
      </c>
      <c r="M105" s="15" t="s">
        <v>144</v>
      </c>
      <c r="N105" s="16">
        <v>46275</v>
      </c>
      <c r="O105" s="12" t="s">
        <v>307</v>
      </c>
      <c r="P105" s="14" t="s">
        <v>310</v>
      </c>
      <c r="Q105" s="17" t="s">
        <v>137</v>
      </c>
      <c r="R105" s="17" t="s">
        <v>146</v>
      </c>
    </row>
    <row r="106" spans="1:18" x14ac:dyDescent="0.3">
      <c r="A106" s="12" t="s">
        <v>1633</v>
      </c>
      <c r="B106" s="12" t="s">
        <v>14</v>
      </c>
      <c r="C106" s="12"/>
      <c r="D106" s="12" t="s">
        <v>14</v>
      </c>
      <c r="E106" s="12" t="s">
        <v>1634</v>
      </c>
      <c r="F106" s="12" t="s">
        <v>1635</v>
      </c>
      <c r="G106" s="12" t="s">
        <v>367</v>
      </c>
      <c r="H106" s="12" t="s">
        <v>36</v>
      </c>
      <c r="I106" s="12" t="s">
        <v>26</v>
      </c>
      <c r="J106" s="13" t="s">
        <v>1472</v>
      </c>
      <c r="K106" s="14" t="s">
        <v>1636</v>
      </c>
      <c r="L106" s="15">
        <v>1</v>
      </c>
      <c r="M106" s="15" t="s">
        <v>144</v>
      </c>
      <c r="N106" s="16">
        <v>45806</v>
      </c>
      <c r="O106" s="12" t="s">
        <v>1637</v>
      </c>
      <c r="P106" s="14" t="s">
        <v>1638</v>
      </c>
      <c r="Q106" s="17" t="s">
        <v>137</v>
      </c>
      <c r="R106" s="17" t="s">
        <v>146</v>
      </c>
    </row>
    <row r="107" spans="1:18" x14ac:dyDescent="0.3">
      <c r="A107" s="12" t="s">
        <v>199</v>
      </c>
      <c r="B107" s="12" t="s">
        <v>14</v>
      </c>
      <c r="C107" s="12"/>
      <c r="D107" s="12" t="s">
        <v>14</v>
      </c>
      <c r="E107" s="12" t="s">
        <v>1684</v>
      </c>
      <c r="F107" s="12" t="s">
        <v>447</v>
      </c>
      <c r="G107" s="12" t="s">
        <v>1661</v>
      </c>
      <c r="H107" s="12" t="s">
        <v>36</v>
      </c>
      <c r="I107" s="12" t="s">
        <v>26</v>
      </c>
      <c r="J107" s="13" t="s">
        <v>1662</v>
      </c>
      <c r="K107" s="14" t="s">
        <v>1685</v>
      </c>
      <c r="L107" s="15">
        <v>5</v>
      </c>
      <c r="M107" s="15" t="s">
        <v>144</v>
      </c>
      <c r="N107" s="16">
        <v>45589</v>
      </c>
      <c r="O107" s="12" t="s">
        <v>203</v>
      </c>
      <c r="P107" s="14" t="s">
        <v>1686</v>
      </c>
      <c r="Q107" s="17" t="s">
        <v>137</v>
      </c>
      <c r="R107" s="17" t="s">
        <v>146</v>
      </c>
    </row>
    <row r="108" spans="1:18" x14ac:dyDescent="0.3">
      <c r="A108" s="12" t="s">
        <v>1692</v>
      </c>
      <c r="B108" s="12" t="s">
        <v>14</v>
      </c>
      <c r="C108" s="12"/>
      <c r="D108" s="12" t="s">
        <v>14</v>
      </c>
      <c r="E108" s="12" t="s">
        <v>1693</v>
      </c>
      <c r="F108" s="12"/>
      <c r="G108" s="12" t="s">
        <v>1661</v>
      </c>
      <c r="H108" s="12" t="s">
        <v>36</v>
      </c>
      <c r="I108" s="12" t="s">
        <v>26</v>
      </c>
      <c r="J108" s="13" t="s">
        <v>1662</v>
      </c>
      <c r="K108" s="14" t="s">
        <v>1694</v>
      </c>
      <c r="L108" s="15">
        <v>3</v>
      </c>
      <c r="M108" s="15" t="s">
        <v>144</v>
      </c>
      <c r="N108" s="16">
        <v>44658</v>
      </c>
      <c r="O108" s="12" t="s">
        <v>1695</v>
      </c>
      <c r="P108" s="14" t="s">
        <v>1696</v>
      </c>
      <c r="Q108" s="17" t="s">
        <v>137</v>
      </c>
      <c r="R108" s="17" t="s">
        <v>146</v>
      </c>
    </row>
    <row r="109" spans="1:18" x14ac:dyDescent="0.3">
      <c r="A109" s="12" t="s">
        <v>215</v>
      </c>
      <c r="B109" s="12" t="s">
        <v>10</v>
      </c>
      <c r="C109" s="12" t="s">
        <v>14</v>
      </c>
      <c r="D109" s="12" t="s">
        <v>702</v>
      </c>
      <c r="E109" s="12" t="s">
        <v>1697</v>
      </c>
      <c r="F109" s="12" t="s">
        <v>1698</v>
      </c>
      <c r="G109" s="12" t="s">
        <v>1661</v>
      </c>
      <c r="H109" s="12" t="s">
        <v>36</v>
      </c>
      <c r="I109" s="12" t="s">
        <v>26</v>
      </c>
      <c r="J109" s="13" t="s">
        <v>1681</v>
      </c>
      <c r="K109" s="14" t="s">
        <v>294</v>
      </c>
      <c r="L109" s="15">
        <v>3</v>
      </c>
      <c r="M109" s="15" t="s">
        <v>220</v>
      </c>
      <c r="N109" s="16">
        <v>45818</v>
      </c>
      <c r="O109" s="12" t="s">
        <v>215</v>
      </c>
      <c r="P109" s="14" t="s">
        <v>1699</v>
      </c>
      <c r="Q109" s="17" t="s">
        <v>137</v>
      </c>
      <c r="R109" s="17" t="s">
        <v>146</v>
      </c>
    </row>
    <row r="110" spans="1:18" x14ac:dyDescent="0.3">
      <c r="A110" s="12" t="s">
        <v>475</v>
      </c>
      <c r="B110" s="12" t="s">
        <v>14</v>
      </c>
      <c r="C110" s="12"/>
      <c r="D110" s="12" t="s">
        <v>14</v>
      </c>
      <c r="E110" s="12" t="s">
        <v>1705</v>
      </c>
      <c r="F110" s="12"/>
      <c r="G110" s="12" t="s">
        <v>1661</v>
      </c>
      <c r="H110" s="12" t="s">
        <v>36</v>
      </c>
      <c r="I110" s="12" t="s">
        <v>26</v>
      </c>
      <c r="J110" s="13" t="s">
        <v>1681</v>
      </c>
      <c r="K110" s="14" t="s">
        <v>477</v>
      </c>
      <c r="L110" s="15">
        <v>0</v>
      </c>
      <c r="M110" s="15" t="s">
        <v>144</v>
      </c>
      <c r="N110" s="16">
        <v>45379</v>
      </c>
      <c r="O110" s="12" t="s">
        <v>475</v>
      </c>
      <c r="P110" s="14" t="s">
        <v>478</v>
      </c>
      <c r="Q110" s="17" t="s">
        <v>137</v>
      </c>
      <c r="R110" s="17" t="s">
        <v>146</v>
      </c>
    </row>
    <row r="111" spans="1:18" x14ac:dyDescent="0.3">
      <c r="A111" s="12" t="s">
        <v>1718</v>
      </c>
      <c r="B111" s="12" t="s">
        <v>14</v>
      </c>
      <c r="C111" s="12"/>
      <c r="D111" s="12" t="s">
        <v>14</v>
      </c>
      <c r="E111" s="12" t="s">
        <v>1719</v>
      </c>
      <c r="F111" s="12" t="s">
        <v>366</v>
      </c>
      <c r="G111" s="12" t="s">
        <v>1661</v>
      </c>
      <c r="H111" s="12" t="s">
        <v>36</v>
      </c>
      <c r="I111" s="12" t="s">
        <v>26</v>
      </c>
      <c r="J111" s="13" t="s">
        <v>1342</v>
      </c>
      <c r="K111" s="14" t="s">
        <v>1720</v>
      </c>
      <c r="L111" s="15">
        <v>6</v>
      </c>
      <c r="M111" s="15" t="s">
        <v>144</v>
      </c>
      <c r="N111" s="16">
        <v>45911</v>
      </c>
      <c r="O111" s="12" t="s">
        <v>1718</v>
      </c>
      <c r="P111" s="14" t="s">
        <v>1721</v>
      </c>
      <c r="Q111" s="17" t="s">
        <v>137</v>
      </c>
      <c r="R111" s="17" t="s">
        <v>146</v>
      </c>
    </row>
    <row r="112" spans="1:18" x14ac:dyDescent="0.3">
      <c r="A112" s="12" t="s">
        <v>307</v>
      </c>
      <c r="B112" s="12" t="s">
        <v>14</v>
      </c>
      <c r="C112" s="12"/>
      <c r="D112" s="12" t="s">
        <v>14</v>
      </c>
      <c r="E112" s="12" t="s">
        <v>1722</v>
      </c>
      <c r="F112" s="12" t="s">
        <v>195</v>
      </c>
      <c r="G112" s="12" t="s">
        <v>1661</v>
      </c>
      <c r="H112" s="12" t="s">
        <v>36</v>
      </c>
      <c r="I112" s="12" t="s">
        <v>26</v>
      </c>
      <c r="J112" s="13" t="s">
        <v>1342</v>
      </c>
      <c r="K112" s="14" t="s">
        <v>1289</v>
      </c>
      <c r="L112" s="15">
        <v>9</v>
      </c>
      <c r="M112" s="15" t="s">
        <v>144</v>
      </c>
      <c r="N112" s="16">
        <v>46275</v>
      </c>
      <c r="O112" s="12" t="s">
        <v>307</v>
      </c>
      <c r="P112" s="14" t="s">
        <v>310</v>
      </c>
      <c r="Q112" s="17" t="s">
        <v>137</v>
      </c>
      <c r="R112" s="17" t="s">
        <v>146</v>
      </c>
    </row>
    <row r="113" spans="1:18" x14ac:dyDescent="0.3">
      <c r="A113" s="12" t="s">
        <v>1723</v>
      </c>
      <c r="B113" s="12" t="s">
        <v>14</v>
      </c>
      <c r="C113" s="12"/>
      <c r="D113" s="12" t="s">
        <v>14</v>
      </c>
      <c r="E113" s="12" t="s">
        <v>1724</v>
      </c>
      <c r="F113" s="12"/>
      <c r="G113" s="12" t="s">
        <v>1661</v>
      </c>
      <c r="H113" s="12" t="s">
        <v>36</v>
      </c>
      <c r="I113" s="12" t="s">
        <v>26</v>
      </c>
      <c r="J113" s="13" t="s">
        <v>1662</v>
      </c>
      <c r="K113" s="14" t="s">
        <v>980</v>
      </c>
      <c r="L113" s="15">
        <v>12</v>
      </c>
      <c r="M113" s="15" t="s">
        <v>144</v>
      </c>
      <c r="N113" s="16">
        <v>44763</v>
      </c>
      <c r="O113" s="12" t="s">
        <v>1723</v>
      </c>
      <c r="P113" s="14" t="s">
        <v>1725</v>
      </c>
      <c r="Q113" s="17" t="s">
        <v>137</v>
      </c>
      <c r="R113" s="17" t="s">
        <v>146</v>
      </c>
    </row>
    <row r="114" spans="1:18" x14ac:dyDescent="0.3">
      <c r="A114" s="12" t="s">
        <v>869</v>
      </c>
      <c r="B114" s="12" t="s">
        <v>12</v>
      </c>
      <c r="C114" s="12" t="s">
        <v>14</v>
      </c>
      <c r="D114" s="12" t="s">
        <v>180</v>
      </c>
      <c r="E114" s="12" t="s">
        <v>1745</v>
      </c>
      <c r="F114" s="12"/>
      <c r="G114" s="12" t="s">
        <v>1746</v>
      </c>
      <c r="H114" s="12" t="s">
        <v>36</v>
      </c>
      <c r="I114" s="12" t="s">
        <v>26</v>
      </c>
      <c r="J114" s="13" t="s">
        <v>1363</v>
      </c>
      <c r="K114" s="14" t="s">
        <v>1747</v>
      </c>
      <c r="L114" s="15">
        <v>3</v>
      </c>
      <c r="M114" s="15" t="s">
        <v>144</v>
      </c>
      <c r="N114" s="16">
        <v>46198</v>
      </c>
      <c r="O114" s="12" t="s">
        <v>869</v>
      </c>
      <c r="P114" s="14" t="s">
        <v>873</v>
      </c>
      <c r="Q114" s="17" t="s">
        <v>137</v>
      </c>
      <c r="R114" s="17" t="s">
        <v>146</v>
      </c>
    </row>
    <row r="115" spans="1:18" x14ac:dyDescent="0.3">
      <c r="A115" s="12" t="s">
        <v>1778</v>
      </c>
      <c r="B115" s="12" t="s">
        <v>12</v>
      </c>
      <c r="C115" s="12" t="s">
        <v>14</v>
      </c>
      <c r="D115" s="12" t="s">
        <v>180</v>
      </c>
      <c r="E115" s="12" t="s">
        <v>1779</v>
      </c>
      <c r="F115" s="12" t="s">
        <v>188</v>
      </c>
      <c r="G115" s="12" t="s">
        <v>1750</v>
      </c>
      <c r="H115" s="12" t="s">
        <v>36</v>
      </c>
      <c r="I115" s="12" t="s">
        <v>26</v>
      </c>
      <c r="J115" s="13" t="s">
        <v>1780</v>
      </c>
      <c r="K115" s="14" t="s">
        <v>1781</v>
      </c>
      <c r="L115" s="15">
        <v>3</v>
      </c>
      <c r="M115" s="15" t="s">
        <v>144</v>
      </c>
      <c r="N115" s="16">
        <v>45797</v>
      </c>
      <c r="O115" s="12" t="s">
        <v>1782</v>
      </c>
      <c r="P115" s="14" t="s">
        <v>1783</v>
      </c>
      <c r="Q115" s="17" t="s">
        <v>137</v>
      </c>
      <c r="R115" s="17" t="s">
        <v>146</v>
      </c>
    </row>
    <row r="116" spans="1:18" x14ac:dyDescent="0.3">
      <c r="A116" s="12" t="s">
        <v>1789</v>
      </c>
      <c r="B116" s="12" t="s">
        <v>14</v>
      </c>
      <c r="C116" s="12"/>
      <c r="D116" s="12" t="s">
        <v>14</v>
      </c>
      <c r="E116" s="12" t="s">
        <v>1790</v>
      </c>
      <c r="F116" s="12" t="s">
        <v>447</v>
      </c>
      <c r="G116" s="12" t="s">
        <v>1750</v>
      </c>
      <c r="H116" s="12" t="s">
        <v>36</v>
      </c>
      <c r="I116" s="12" t="s">
        <v>26</v>
      </c>
      <c r="J116" s="13" t="s">
        <v>1552</v>
      </c>
      <c r="K116" s="14" t="s">
        <v>1791</v>
      </c>
      <c r="L116" s="15">
        <v>2</v>
      </c>
      <c r="M116" s="15" t="s">
        <v>144</v>
      </c>
      <c r="N116" s="16">
        <v>45300</v>
      </c>
      <c r="O116" s="12" t="s">
        <v>1789</v>
      </c>
      <c r="P116" s="14" t="s">
        <v>1792</v>
      </c>
      <c r="Q116" s="17" t="s">
        <v>137</v>
      </c>
      <c r="R116" s="17" t="s">
        <v>146</v>
      </c>
    </row>
    <row r="117" spans="1:18" x14ac:dyDescent="0.3">
      <c r="A117" s="12" t="s">
        <v>1799</v>
      </c>
      <c r="B117" s="12" t="s">
        <v>14</v>
      </c>
      <c r="C117" s="12"/>
      <c r="D117" s="12" t="s">
        <v>14</v>
      </c>
      <c r="E117" s="12" t="s">
        <v>1800</v>
      </c>
      <c r="F117" s="12" t="s">
        <v>1801</v>
      </c>
      <c r="G117" s="12" t="s">
        <v>1750</v>
      </c>
      <c r="H117" s="12" t="s">
        <v>36</v>
      </c>
      <c r="I117" s="12" t="s">
        <v>26</v>
      </c>
      <c r="J117" s="13" t="s">
        <v>1751</v>
      </c>
      <c r="K117" s="14" t="s">
        <v>1802</v>
      </c>
      <c r="L117" s="15">
        <v>1</v>
      </c>
      <c r="M117" s="15" t="s">
        <v>144</v>
      </c>
      <c r="N117" s="16">
        <v>44875</v>
      </c>
      <c r="O117" s="12" t="s">
        <v>1799</v>
      </c>
      <c r="P117" s="14" t="s">
        <v>1803</v>
      </c>
      <c r="Q117" s="17" t="s">
        <v>137</v>
      </c>
      <c r="R117" s="17" t="s">
        <v>146</v>
      </c>
    </row>
    <row r="118" spans="1:18" x14ac:dyDescent="0.3">
      <c r="A118" s="12" t="s">
        <v>199</v>
      </c>
      <c r="B118" s="12" t="s">
        <v>14</v>
      </c>
      <c r="C118" s="12"/>
      <c r="D118" s="12" t="s">
        <v>14</v>
      </c>
      <c r="E118" s="12" t="s">
        <v>1809</v>
      </c>
      <c r="F118" s="12" t="s">
        <v>516</v>
      </c>
      <c r="G118" s="12" t="s">
        <v>1750</v>
      </c>
      <c r="H118" s="12" t="s">
        <v>36</v>
      </c>
      <c r="I118" s="12" t="s">
        <v>26</v>
      </c>
      <c r="J118" s="13" t="s">
        <v>1552</v>
      </c>
      <c r="K118" s="14" t="s">
        <v>1810</v>
      </c>
      <c r="L118" s="15">
        <v>0</v>
      </c>
      <c r="M118" s="15" t="s">
        <v>144</v>
      </c>
      <c r="N118" s="16">
        <v>45593</v>
      </c>
      <c r="O118" s="12" t="s">
        <v>203</v>
      </c>
      <c r="P118" s="14" t="s">
        <v>1811</v>
      </c>
      <c r="Q118" s="17" t="s">
        <v>137</v>
      </c>
      <c r="R118" s="17" t="s">
        <v>146</v>
      </c>
    </row>
    <row r="119" spans="1:18" x14ac:dyDescent="0.3">
      <c r="A119" s="12" t="s">
        <v>1586</v>
      </c>
      <c r="B119" s="12" t="s">
        <v>14</v>
      </c>
      <c r="C119" s="12"/>
      <c r="D119" s="12" t="s">
        <v>14</v>
      </c>
      <c r="E119" s="12" t="s">
        <v>1817</v>
      </c>
      <c r="F119" s="12"/>
      <c r="G119" s="12" t="s">
        <v>1750</v>
      </c>
      <c r="H119" s="12" t="s">
        <v>36</v>
      </c>
      <c r="I119" s="12" t="s">
        <v>26</v>
      </c>
      <c r="J119" s="13" t="s">
        <v>1780</v>
      </c>
      <c r="K119" s="14" t="s">
        <v>1818</v>
      </c>
      <c r="L119" s="15">
        <v>2</v>
      </c>
      <c r="M119" s="15" t="s">
        <v>144</v>
      </c>
      <c r="N119" s="16">
        <v>45616</v>
      </c>
      <c r="O119" s="12" t="s">
        <v>1586</v>
      </c>
      <c r="P119" s="14" t="s">
        <v>1589</v>
      </c>
      <c r="Q119" s="17" t="s">
        <v>137</v>
      </c>
      <c r="R119" s="17" t="s">
        <v>146</v>
      </c>
    </row>
    <row r="120" spans="1:18" x14ac:dyDescent="0.3">
      <c r="A120" s="12" t="s">
        <v>1822</v>
      </c>
      <c r="B120" s="12" t="s">
        <v>14</v>
      </c>
      <c r="C120" s="12"/>
      <c r="D120" s="12" t="s">
        <v>14</v>
      </c>
      <c r="E120" s="12" t="s">
        <v>1823</v>
      </c>
      <c r="F120" s="12"/>
      <c r="G120" s="12" t="s">
        <v>1750</v>
      </c>
      <c r="H120" s="12" t="s">
        <v>36</v>
      </c>
      <c r="I120" s="12" t="s">
        <v>26</v>
      </c>
      <c r="J120" s="13" t="s">
        <v>1552</v>
      </c>
      <c r="K120" s="14" t="s">
        <v>1824</v>
      </c>
      <c r="L120" s="15">
        <v>3</v>
      </c>
      <c r="M120" s="15" t="s">
        <v>144</v>
      </c>
      <c r="N120" s="16">
        <v>45475</v>
      </c>
      <c r="O120" s="12" t="s">
        <v>1822</v>
      </c>
      <c r="P120" s="14" t="s">
        <v>1825</v>
      </c>
      <c r="Q120" s="17" t="s">
        <v>137</v>
      </c>
      <c r="R120" s="17" t="s">
        <v>146</v>
      </c>
    </row>
    <row r="121" spans="1:18" x14ac:dyDescent="0.3">
      <c r="A121" s="12" t="s">
        <v>307</v>
      </c>
      <c r="B121" s="12" t="s">
        <v>14</v>
      </c>
      <c r="C121" s="12"/>
      <c r="D121" s="12" t="s">
        <v>14</v>
      </c>
      <c r="E121" s="12" t="s">
        <v>1826</v>
      </c>
      <c r="F121" s="12"/>
      <c r="G121" s="12" t="s">
        <v>1750</v>
      </c>
      <c r="H121" s="12" t="s">
        <v>36</v>
      </c>
      <c r="I121" s="12" t="s">
        <v>26</v>
      </c>
      <c r="J121" s="13" t="s">
        <v>1552</v>
      </c>
      <c r="K121" s="14" t="s">
        <v>1827</v>
      </c>
      <c r="L121" s="15">
        <v>2</v>
      </c>
      <c r="M121" s="15" t="s">
        <v>144</v>
      </c>
      <c r="N121" s="16">
        <v>46275</v>
      </c>
      <c r="O121" s="12" t="s">
        <v>307</v>
      </c>
      <c r="P121" s="14" t="s">
        <v>310</v>
      </c>
      <c r="Q121" s="17" t="s">
        <v>137</v>
      </c>
      <c r="R121" s="17" t="s">
        <v>146</v>
      </c>
    </row>
    <row r="122" spans="1:18" x14ac:dyDescent="0.3">
      <c r="A122" s="12" t="s">
        <v>307</v>
      </c>
      <c r="B122" s="12" t="s">
        <v>14</v>
      </c>
      <c r="C122" s="12"/>
      <c r="D122" s="12" t="s">
        <v>14</v>
      </c>
      <c r="E122" s="12" t="s">
        <v>1828</v>
      </c>
      <c r="F122" s="12" t="s">
        <v>447</v>
      </c>
      <c r="G122" s="12" t="s">
        <v>1750</v>
      </c>
      <c r="H122" s="12" t="s">
        <v>36</v>
      </c>
      <c r="I122" s="12" t="s">
        <v>26</v>
      </c>
      <c r="J122" s="13" t="s">
        <v>1751</v>
      </c>
      <c r="K122" s="14" t="s">
        <v>1829</v>
      </c>
      <c r="L122" s="15">
        <v>8</v>
      </c>
      <c r="M122" s="15" t="s">
        <v>144</v>
      </c>
      <c r="N122" s="16">
        <v>46275</v>
      </c>
      <c r="O122" s="12" t="s">
        <v>307</v>
      </c>
      <c r="P122" s="14" t="s">
        <v>310</v>
      </c>
      <c r="Q122" s="17" t="s">
        <v>137</v>
      </c>
      <c r="R122" s="17" t="s">
        <v>146</v>
      </c>
    </row>
    <row r="123" spans="1:18" x14ac:dyDescent="0.3">
      <c r="A123" s="12" t="s">
        <v>1841</v>
      </c>
      <c r="B123" s="12" t="s">
        <v>14</v>
      </c>
      <c r="C123" s="12"/>
      <c r="D123" s="12" t="s">
        <v>14</v>
      </c>
      <c r="E123" s="12" t="s">
        <v>1842</v>
      </c>
      <c r="F123" s="12"/>
      <c r="G123" s="12" t="s">
        <v>1836</v>
      </c>
      <c r="H123" s="12" t="s">
        <v>36</v>
      </c>
      <c r="I123" s="12" t="s">
        <v>26</v>
      </c>
      <c r="J123" s="13" t="s">
        <v>1837</v>
      </c>
      <c r="K123" s="14" t="s">
        <v>1843</v>
      </c>
      <c r="L123" s="15">
        <v>0</v>
      </c>
      <c r="M123" s="15" t="s">
        <v>144</v>
      </c>
      <c r="N123" s="16">
        <v>44865</v>
      </c>
      <c r="O123" s="12" t="s">
        <v>1844</v>
      </c>
      <c r="P123" s="14" t="s">
        <v>1845</v>
      </c>
      <c r="Q123" s="17" t="s">
        <v>137</v>
      </c>
      <c r="R123" s="17" t="s">
        <v>146</v>
      </c>
    </row>
    <row r="124" spans="1:18" x14ac:dyDescent="0.3">
      <c r="A124" s="12" t="s">
        <v>199</v>
      </c>
      <c r="B124" s="12" t="s">
        <v>14</v>
      </c>
      <c r="C124" s="12"/>
      <c r="D124" s="12" t="s">
        <v>14</v>
      </c>
      <c r="E124" s="12" t="s">
        <v>1846</v>
      </c>
      <c r="F124" s="12"/>
      <c r="G124" s="12" t="s">
        <v>1836</v>
      </c>
      <c r="H124" s="12" t="s">
        <v>36</v>
      </c>
      <c r="I124" s="12" t="s">
        <v>26</v>
      </c>
      <c r="J124" s="13" t="s">
        <v>1837</v>
      </c>
      <c r="K124" s="14" t="s">
        <v>1847</v>
      </c>
      <c r="L124" s="15">
        <v>4</v>
      </c>
      <c r="M124" s="15" t="s">
        <v>144</v>
      </c>
      <c r="N124" s="16">
        <v>45926</v>
      </c>
      <c r="O124" s="12" t="s">
        <v>203</v>
      </c>
      <c r="P124" s="14" t="s">
        <v>1848</v>
      </c>
      <c r="Q124" s="17" t="s">
        <v>137</v>
      </c>
      <c r="R124" s="17" t="s">
        <v>146</v>
      </c>
    </row>
    <row r="125" spans="1:18" x14ac:dyDescent="0.3">
      <c r="A125" s="12" t="s">
        <v>186</v>
      </c>
      <c r="B125" s="12" t="s">
        <v>14</v>
      </c>
      <c r="C125" s="12"/>
      <c r="D125" s="12" t="s">
        <v>14</v>
      </c>
      <c r="E125" s="12" t="s">
        <v>1853</v>
      </c>
      <c r="F125" s="12" t="s">
        <v>447</v>
      </c>
      <c r="G125" s="12" t="s">
        <v>1854</v>
      </c>
      <c r="H125" s="12" t="s">
        <v>36</v>
      </c>
      <c r="I125" s="12" t="s">
        <v>26</v>
      </c>
      <c r="J125" s="13" t="s">
        <v>1323</v>
      </c>
      <c r="K125" s="14" t="s">
        <v>1855</v>
      </c>
      <c r="L125" s="15">
        <v>10</v>
      </c>
      <c r="M125" s="15" t="s">
        <v>144</v>
      </c>
      <c r="N125" s="16">
        <v>45827</v>
      </c>
      <c r="O125" s="12" t="s">
        <v>190</v>
      </c>
      <c r="P125" s="14" t="s">
        <v>1856</v>
      </c>
      <c r="Q125" s="17" t="s">
        <v>137</v>
      </c>
      <c r="R125" s="17" t="s">
        <v>146</v>
      </c>
    </row>
    <row r="126" spans="1:18" x14ac:dyDescent="0.3">
      <c r="A126" s="12" t="s">
        <v>1857</v>
      </c>
      <c r="B126" s="12" t="s">
        <v>14</v>
      </c>
      <c r="C126" s="12"/>
      <c r="D126" s="12" t="s">
        <v>14</v>
      </c>
      <c r="E126" s="12" t="s">
        <v>1858</v>
      </c>
      <c r="F126" s="12"/>
      <c r="G126" s="12" t="s">
        <v>1854</v>
      </c>
      <c r="H126" s="12" t="s">
        <v>36</v>
      </c>
      <c r="I126" s="12" t="s">
        <v>26</v>
      </c>
      <c r="J126" s="13" t="s">
        <v>1323</v>
      </c>
      <c r="K126" s="14" t="s">
        <v>1859</v>
      </c>
      <c r="L126" s="15">
        <v>1</v>
      </c>
      <c r="M126" s="15" t="s">
        <v>144</v>
      </c>
      <c r="N126" s="16">
        <v>45334</v>
      </c>
      <c r="O126" s="12" t="s">
        <v>1857</v>
      </c>
      <c r="P126" s="14" t="s">
        <v>1860</v>
      </c>
      <c r="Q126" s="17" t="s">
        <v>137</v>
      </c>
      <c r="R126" s="17" t="s">
        <v>146</v>
      </c>
    </row>
    <row r="127" spans="1:18" x14ac:dyDescent="0.3">
      <c r="A127" s="12" t="s">
        <v>1861</v>
      </c>
      <c r="B127" s="12" t="s">
        <v>14</v>
      </c>
      <c r="C127" s="12"/>
      <c r="D127" s="12" t="s">
        <v>14</v>
      </c>
      <c r="E127" s="12" t="s">
        <v>1862</v>
      </c>
      <c r="F127" s="12"/>
      <c r="G127" s="12" t="s">
        <v>1863</v>
      </c>
      <c r="H127" s="12" t="s">
        <v>36</v>
      </c>
      <c r="I127" s="12" t="s">
        <v>26</v>
      </c>
      <c r="J127" s="13" t="s">
        <v>1864</v>
      </c>
      <c r="K127" s="14" t="s">
        <v>1865</v>
      </c>
      <c r="L127" s="15">
        <v>1</v>
      </c>
      <c r="M127" s="15" t="s">
        <v>144</v>
      </c>
      <c r="N127" s="16">
        <v>44854</v>
      </c>
      <c r="O127" s="12" t="s">
        <v>1866</v>
      </c>
      <c r="P127" s="14" t="s">
        <v>1867</v>
      </c>
      <c r="Q127" s="17" t="s">
        <v>137</v>
      </c>
      <c r="R127" s="17" t="s">
        <v>146</v>
      </c>
    </row>
    <row r="128" spans="1:18" x14ac:dyDescent="0.3">
      <c r="A128" s="12" t="s">
        <v>1868</v>
      </c>
      <c r="B128" s="12" t="s">
        <v>14</v>
      </c>
      <c r="C128" s="12"/>
      <c r="D128" s="12" t="s">
        <v>14</v>
      </c>
      <c r="E128" s="12" t="s">
        <v>1869</v>
      </c>
      <c r="F128" s="12" t="s">
        <v>188</v>
      </c>
      <c r="G128" s="12" t="s">
        <v>1863</v>
      </c>
      <c r="H128" s="12" t="s">
        <v>36</v>
      </c>
      <c r="I128" s="12" t="s">
        <v>26</v>
      </c>
      <c r="J128" s="13" t="s">
        <v>1864</v>
      </c>
      <c r="K128" s="14" t="s">
        <v>1870</v>
      </c>
      <c r="L128" s="15">
        <v>1</v>
      </c>
      <c r="M128" s="15" t="s">
        <v>144</v>
      </c>
      <c r="N128" s="16">
        <v>45986</v>
      </c>
      <c r="O128" s="12" t="s">
        <v>1868</v>
      </c>
      <c r="P128" s="14" t="s">
        <v>1871</v>
      </c>
      <c r="Q128" s="17" t="s">
        <v>137</v>
      </c>
      <c r="R128" s="17" t="s">
        <v>146</v>
      </c>
    </row>
    <row r="129" spans="1:18" x14ac:dyDescent="0.3">
      <c r="A129" s="12" t="s">
        <v>199</v>
      </c>
      <c r="B129" s="12" t="s">
        <v>14</v>
      </c>
      <c r="C129" s="12"/>
      <c r="D129" s="12" t="s">
        <v>14</v>
      </c>
      <c r="E129" s="12" t="s">
        <v>1872</v>
      </c>
      <c r="F129" s="12"/>
      <c r="G129" s="12" t="s">
        <v>1863</v>
      </c>
      <c r="H129" s="12" t="s">
        <v>36</v>
      </c>
      <c r="I129" s="12" t="s">
        <v>26</v>
      </c>
      <c r="J129" s="13" t="s">
        <v>1864</v>
      </c>
      <c r="K129" s="14" t="s">
        <v>1873</v>
      </c>
      <c r="L129" s="15">
        <v>8</v>
      </c>
      <c r="M129" s="15" t="s">
        <v>144</v>
      </c>
      <c r="N129" s="16">
        <v>45951</v>
      </c>
      <c r="O129" s="12" t="s">
        <v>331</v>
      </c>
      <c r="P129" s="14" t="s">
        <v>1874</v>
      </c>
      <c r="Q129" s="17" t="s">
        <v>137</v>
      </c>
      <c r="R129" s="17" t="s">
        <v>146</v>
      </c>
    </row>
    <row r="130" spans="1:18" x14ac:dyDescent="0.3">
      <c r="A130" s="12" t="s">
        <v>307</v>
      </c>
      <c r="B130" s="12" t="s">
        <v>14</v>
      </c>
      <c r="C130" s="12"/>
      <c r="D130" s="12" t="s">
        <v>14</v>
      </c>
      <c r="E130" s="12" t="s">
        <v>1879</v>
      </c>
      <c r="F130" s="12"/>
      <c r="G130" s="12" t="s">
        <v>1880</v>
      </c>
      <c r="H130" s="12" t="s">
        <v>36</v>
      </c>
      <c r="I130" s="12" t="s">
        <v>26</v>
      </c>
      <c r="J130" s="13" t="s">
        <v>449</v>
      </c>
      <c r="K130" s="14" t="s">
        <v>1881</v>
      </c>
      <c r="L130" s="15">
        <v>1</v>
      </c>
      <c r="M130" s="15" t="s">
        <v>144</v>
      </c>
      <c r="N130" s="16">
        <v>46275</v>
      </c>
      <c r="O130" s="12" t="s">
        <v>307</v>
      </c>
      <c r="P130" s="14" t="s">
        <v>310</v>
      </c>
      <c r="Q130" s="17" t="s">
        <v>137</v>
      </c>
      <c r="R130" s="17" t="s">
        <v>146</v>
      </c>
    </row>
    <row r="131" spans="1:18" x14ac:dyDescent="0.3">
      <c r="A131" s="12" t="s">
        <v>1882</v>
      </c>
      <c r="B131" s="12" t="s">
        <v>12</v>
      </c>
      <c r="C131" s="12" t="s">
        <v>14</v>
      </c>
      <c r="D131" s="12" t="s">
        <v>180</v>
      </c>
      <c r="E131" s="12" t="s">
        <v>1883</v>
      </c>
      <c r="F131" s="12" t="s">
        <v>188</v>
      </c>
      <c r="G131" s="12" t="s">
        <v>1884</v>
      </c>
      <c r="H131" s="12" t="s">
        <v>36</v>
      </c>
      <c r="I131" s="12" t="s">
        <v>26</v>
      </c>
      <c r="J131" s="13" t="s">
        <v>1624</v>
      </c>
      <c r="K131" s="14" t="s">
        <v>1885</v>
      </c>
      <c r="L131" s="15">
        <v>14</v>
      </c>
      <c r="M131" s="15" t="s">
        <v>144</v>
      </c>
      <c r="N131" s="16">
        <v>45911</v>
      </c>
      <c r="O131" s="12" t="s">
        <v>1882</v>
      </c>
      <c r="P131" s="14" t="s">
        <v>1886</v>
      </c>
      <c r="Q131" s="17" t="s">
        <v>137</v>
      </c>
      <c r="R131" s="17" t="s">
        <v>146</v>
      </c>
    </row>
    <row r="132" spans="1:18" x14ac:dyDescent="0.3">
      <c r="A132" s="12" t="s">
        <v>1887</v>
      </c>
      <c r="B132" s="12" t="s">
        <v>14</v>
      </c>
      <c r="C132" s="12" t="s">
        <v>10</v>
      </c>
      <c r="D132" s="12" t="s">
        <v>945</v>
      </c>
      <c r="E132" s="12" t="s">
        <v>1888</v>
      </c>
      <c r="F132" s="12" t="s">
        <v>454</v>
      </c>
      <c r="G132" s="12" t="s">
        <v>1884</v>
      </c>
      <c r="H132" s="12" t="s">
        <v>36</v>
      </c>
      <c r="I132" s="12" t="s">
        <v>26</v>
      </c>
      <c r="J132" s="13" t="s">
        <v>1624</v>
      </c>
      <c r="K132" s="14" t="s">
        <v>1889</v>
      </c>
      <c r="L132" s="15">
        <v>2</v>
      </c>
      <c r="M132" s="15" t="s">
        <v>144</v>
      </c>
      <c r="N132" s="16">
        <v>45475</v>
      </c>
      <c r="O132" s="12" t="s">
        <v>1887</v>
      </c>
      <c r="P132" s="14" t="s">
        <v>1890</v>
      </c>
      <c r="Q132" s="17" t="s">
        <v>137</v>
      </c>
      <c r="R132" s="17" t="s">
        <v>146</v>
      </c>
    </row>
    <row r="133" spans="1:18" x14ac:dyDescent="0.3">
      <c r="A133" s="12" t="s">
        <v>1919</v>
      </c>
      <c r="B133" s="12" t="s">
        <v>14</v>
      </c>
      <c r="C133" s="12"/>
      <c r="D133" s="12" t="s">
        <v>14</v>
      </c>
      <c r="E133" s="12" t="s">
        <v>1920</v>
      </c>
      <c r="F133" s="12"/>
      <c r="G133" s="12" t="s">
        <v>1884</v>
      </c>
      <c r="H133" s="12" t="s">
        <v>36</v>
      </c>
      <c r="I133" s="12" t="s">
        <v>26</v>
      </c>
      <c r="J133" s="13" t="s">
        <v>1624</v>
      </c>
      <c r="K133" s="14" t="s">
        <v>1921</v>
      </c>
      <c r="L133" s="15">
        <v>2</v>
      </c>
      <c r="M133" s="15" t="s">
        <v>144</v>
      </c>
      <c r="N133" s="16">
        <v>45918</v>
      </c>
      <c r="O133" s="12" t="s">
        <v>1922</v>
      </c>
      <c r="P133" s="14" t="s">
        <v>1923</v>
      </c>
      <c r="Q133" s="17" t="s">
        <v>137</v>
      </c>
      <c r="R133" s="17" t="s">
        <v>146</v>
      </c>
    </row>
    <row r="134" spans="1:18" x14ac:dyDescent="0.3">
      <c r="A134" s="12" t="s">
        <v>199</v>
      </c>
      <c r="B134" s="12" t="s">
        <v>14</v>
      </c>
      <c r="C134" s="12"/>
      <c r="D134" s="12" t="s">
        <v>14</v>
      </c>
      <c r="E134" s="12" t="s">
        <v>1928</v>
      </c>
      <c r="F134" s="12" t="s">
        <v>188</v>
      </c>
      <c r="G134" s="12" t="s">
        <v>1884</v>
      </c>
      <c r="H134" s="12" t="s">
        <v>36</v>
      </c>
      <c r="I134" s="12" t="s">
        <v>26</v>
      </c>
      <c r="J134" s="13" t="s">
        <v>1624</v>
      </c>
      <c r="K134" s="14" t="s">
        <v>1929</v>
      </c>
      <c r="L134" s="15">
        <v>1</v>
      </c>
      <c r="M134" s="15" t="s">
        <v>144</v>
      </c>
      <c r="N134" s="16">
        <v>45951</v>
      </c>
      <c r="O134" s="12" t="s">
        <v>331</v>
      </c>
      <c r="P134" s="14" t="s">
        <v>1049</v>
      </c>
      <c r="Q134" s="17" t="s">
        <v>137</v>
      </c>
      <c r="R134" s="17" t="s">
        <v>146</v>
      </c>
    </row>
    <row r="135" spans="1:18" x14ac:dyDescent="0.3">
      <c r="A135" s="12" t="s">
        <v>1930</v>
      </c>
      <c r="B135" s="12" t="s">
        <v>12</v>
      </c>
      <c r="C135" s="12" t="s">
        <v>14</v>
      </c>
      <c r="D135" s="12" t="s">
        <v>180</v>
      </c>
      <c r="E135" s="12" t="s">
        <v>1883</v>
      </c>
      <c r="F135" s="12" t="s">
        <v>188</v>
      </c>
      <c r="G135" s="12" t="s">
        <v>1884</v>
      </c>
      <c r="H135" s="12" t="s">
        <v>36</v>
      </c>
      <c r="I135" s="12" t="s">
        <v>26</v>
      </c>
      <c r="J135" s="13" t="s">
        <v>1624</v>
      </c>
      <c r="K135" s="14" t="s">
        <v>1931</v>
      </c>
      <c r="L135" s="15">
        <v>14</v>
      </c>
      <c r="M135" s="15" t="s">
        <v>144</v>
      </c>
      <c r="N135" s="16">
        <v>46198</v>
      </c>
      <c r="O135" s="12" t="s">
        <v>869</v>
      </c>
      <c r="P135" s="14" t="s">
        <v>873</v>
      </c>
      <c r="Q135" s="17" t="s">
        <v>137</v>
      </c>
      <c r="R135" s="17" t="s">
        <v>146</v>
      </c>
    </row>
    <row r="136" spans="1:18" x14ac:dyDescent="0.3">
      <c r="A136" s="12" t="s">
        <v>1954</v>
      </c>
      <c r="B136" s="12" t="s">
        <v>14</v>
      </c>
      <c r="C136" s="12"/>
      <c r="D136" s="12" t="s">
        <v>14</v>
      </c>
      <c r="E136" s="12" t="s">
        <v>1955</v>
      </c>
      <c r="F136" s="12" t="s">
        <v>583</v>
      </c>
      <c r="G136" s="12" t="s">
        <v>1946</v>
      </c>
      <c r="H136" s="12" t="s">
        <v>36</v>
      </c>
      <c r="I136" s="12" t="s">
        <v>26</v>
      </c>
      <c r="J136" s="13" t="s">
        <v>1947</v>
      </c>
      <c r="K136" s="14" t="s">
        <v>1956</v>
      </c>
      <c r="L136" s="15">
        <v>2</v>
      </c>
      <c r="M136" s="15" t="s">
        <v>144</v>
      </c>
      <c r="N136" s="16">
        <v>44716</v>
      </c>
      <c r="O136" s="12" t="s">
        <v>1957</v>
      </c>
      <c r="P136" s="14" t="s">
        <v>1958</v>
      </c>
      <c r="Q136" s="17" t="s">
        <v>137</v>
      </c>
      <c r="R136" s="17" t="s">
        <v>146</v>
      </c>
    </row>
    <row r="137" spans="1:18" x14ac:dyDescent="0.3">
      <c r="A137" s="12" t="s">
        <v>2027</v>
      </c>
      <c r="B137" s="12" t="s">
        <v>10</v>
      </c>
      <c r="C137" s="12" t="s">
        <v>180</v>
      </c>
      <c r="D137" s="12" t="s">
        <v>283</v>
      </c>
      <c r="E137" s="12" t="s">
        <v>2028</v>
      </c>
      <c r="F137" s="12" t="s">
        <v>547</v>
      </c>
      <c r="G137" s="12" t="s">
        <v>2006</v>
      </c>
      <c r="H137" s="12" t="s">
        <v>37</v>
      </c>
      <c r="I137" s="12" t="s">
        <v>26</v>
      </c>
      <c r="J137" s="13" t="s">
        <v>2007</v>
      </c>
      <c r="K137" s="14" t="s">
        <v>2029</v>
      </c>
      <c r="L137" s="15">
        <v>0</v>
      </c>
      <c r="M137" s="15" t="s">
        <v>144</v>
      </c>
      <c r="N137" s="16">
        <v>45911</v>
      </c>
      <c r="O137" s="12" t="s">
        <v>2027</v>
      </c>
      <c r="P137" s="14" t="s">
        <v>2030</v>
      </c>
      <c r="Q137" s="17" t="s">
        <v>137</v>
      </c>
      <c r="R137" s="17" t="s">
        <v>146</v>
      </c>
    </row>
    <row r="138" spans="1:18" x14ac:dyDescent="0.3">
      <c r="A138" s="12" t="s">
        <v>2043</v>
      </c>
      <c r="B138" s="12" t="s">
        <v>14</v>
      </c>
      <c r="C138" s="12"/>
      <c r="D138" s="12" t="s">
        <v>14</v>
      </c>
      <c r="E138" s="12" t="s">
        <v>2044</v>
      </c>
      <c r="F138" s="12" t="s">
        <v>366</v>
      </c>
      <c r="G138" s="12" t="s">
        <v>367</v>
      </c>
      <c r="H138" s="12" t="s">
        <v>37</v>
      </c>
      <c r="I138" s="12" t="s">
        <v>26</v>
      </c>
      <c r="J138" s="13" t="s">
        <v>2045</v>
      </c>
      <c r="K138" s="14" t="s">
        <v>2046</v>
      </c>
      <c r="L138" s="15">
        <v>3</v>
      </c>
      <c r="M138" s="15" t="s">
        <v>144</v>
      </c>
      <c r="N138" s="16">
        <v>44942</v>
      </c>
      <c r="O138" s="12" t="s">
        <v>508</v>
      </c>
      <c r="P138" s="14" t="s">
        <v>2047</v>
      </c>
      <c r="Q138" s="17" t="s">
        <v>137</v>
      </c>
      <c r="R138" s="17" t="s">
        <v>146</v>
      </c>
    </row>
    <row r="139" spans="1:18" x14ac:dyDescent="0.3">
      <c r="A139" s="12" t="s">
        <v>2064</v>
      </c>
      <c r="B139" s="12" t="s">
        <v>14</v>
      </c>
      <c r="C139" s="12"/>
      <c r="D139" s="12" t="s">
        <v>14</v>
      </c>
      <c r="E139" s="12" t="s">
        <v>2061</v>
      </c>
      <c r="F139" s="12" t="s">
        <v>516</v>
      </c>
      <c r="G139" s="12" t="s">
        <v>2062</v>
      </c>
      <c r="H139" s="12" t="s">
        <v>37</v>
      </c>
      <c r="I139" s="12" t="s">
        <v>26</v>
      </c>
      <c r="J139" s="13" t="s">
        <v>2007</v>
      </c>
      <c r="K139" s="14" t="s">
        <v>2065</v>
      </c>
      <c r="L139" s="15">
        <v>1</v>
      </c>
      <c r="M139" s="15" t="s">
        <v>144</v>
      </c>
      <c r="N139" s="16">
        <v>45918</v>
      </c>
      <c r="O139" s="12" t="s">
        <v>2064</v>
      </c>
      <c r="P139" s="14" t="s">
        <v>2066</v>
      </c>
      <c r="Q139" s="17" t="s">
        <v>137</v>
      </c>
      <c r="R139" s="17" t="s">
        <v>146</v>
      </c>
    </row>
    <row r="140" spans="1:18" x14ac:dyDescent="0.3">
      <c r="A140" s="12" t="s">
        <v>199</v>
      </c>
      <c r="B140" s="12" t="s">
        <v>14</v>
      </c>
      <c r="C140" s="12"/>
      <c r="D140" s="12" t="s">
        <v>14</v>
      </c>
      <c r="E140" s="12" t="s">
        <v>2081</v>
      </c>
      <c r="F140" s="12"/>
      <c r="G140" s="12" t="s">
        <v>2069</v>
      </c>
      <c r="H140" s="12" t="s">
        <v>37</v>
      </c>
      <c r="I140" s="12" t="s">
        <v>26</v>
      </c>
      <c r="J140" s="13" t="s">
        <v>2070</v>
      </c>
      <c r="K140" s="14" t="s">
        <v>2082</v>
      </c>
      <c r="L140" s="15">
        <v>8</v>
      </c>
      <c r="M140" s="15" t="s">
        <v>144</v>
      </c>
      <c r="N140" s="16">
        <v>45951</v>
      </c>
      <c r="O140" s="12" t="s">
        <v>331</v>
      </c>
      <c r="P140" s="14" t="s">
        <v>1049</v>
      </c>
      <c r="Q140" s="17" t="s">
        <v>137</v>
      </c>
      <c r="R140" s="17" t="s">
        <v>146</v>
      </c>
    </row>
    <row r="141" spans="1:18" x14ac:dyDescent="0.3">
      <c r="A141" s="12" t="s">
        <v>2107</v>
      </c>
      <c r="B141" s="12" t="s">
        <v>12</v>
      </c>
      <c r="C141" s="12" t="s">
        <v>14</v>
      </c>
      <c r="D141" s="12" t="s">
        <v>180</v>
      </c>
      <c r="E141" s="12" t="s">
        <v>2108</v>
      </c>
      <c r="F141" s="12" t="s">
        <v>188</v>
      </c>
      <c r="G141" s="12" t="s">
        <v>876</v>
      </c>
      <c r="H141" s="12" t="s">
        <v>37</v>
      </c>
      <c r="I141" s="12" t="s">
        <v>26</v>
      </c>
      <c r="J141" s="13" t="s">
        <v>2109</v>
      </c>
      <c r="K141" s="14" t="s">
        <v>1225</v>
      </c>
      <c r="L141" s="15">
        <v>13</v>
      </c>
      <c r="M141" s="15" t="s">
        <v>144</v>
      </c>
      <c r="N141" s="16">
        <v>45665</v>
      </c>
      <c r="O141" s="12" t="s">
        <v>2107</v>
      </c>
      <c r="P141" s="14" t="s">
        <v>2110</v>
      </c>
      <c r="Q141" s="17" t="s">
        <v>137</v>
      </c>
      <c r="R141" s="17" t="s">
        <v>146</v>
      </c>
    </row>
    <row r="142" spans="1:18" x14ac:dyDescent="0.3">
      <c r="A142" s="12" t="s">
        <v>2116</v>
      </c>
      <c r="B142" s="12" t="s">
        <v>14</v>
      </c>
      <c r="C142" s="12"/>
      <c r="D142" s="12" t="s">
        <v>14</v>
      </c>
      <c r="E142" s="12" t="s">
        <v>2117</v>
      </c>
      <c r="F142" s="12"/>
      <c r="G142" s="12" t="s">
        <v>876</v>
      </c>
      <c r="H142" s="12" t="s">
        <v>37</v>
      </c>
      <c r="I142" s="12" t="s">
        <v>26</v>
      </c>
      <c r="J142" s="13" t="s">
        <v>2118</v>
      </c>
      <c r="K142" s="14" t="s">
        <v>2119</v>
      </c>
      <c r="L142" s="15">
        <v>0</v>
      </c>
      <c r="M142" s="15" t="s">
        <v>144</v>
      </c>
      <c r="N142" s="16">
        <v>46279</v>
      </c>
      <c r="O142" s="12" t="s">
        <v>2116</v>
      </c>
      <c r="P142" s="14" t="s">
        <v>2120</v>
      </c>
      <c r="Q142" s="17" t="s">
        <v>137</v>
      </c>
      <c r="R142" s="17" t="s">
        <v>146</v>
      </c>
    </row>
    <row r="143" spans="1:18" x14ac:dyDescent="0.3">
      <c r="A143" s="12" t="s">
        <v>186</v>
      </c>
      <c r="B143" s="12" t="s">
        <v>14</v>
      </c>
      <c r="C143" s="12"/>
      <c r="D143" s="12" t="s">
        <v>14</v>
      </c>
      <c r="E143" s="12" t="s">
        <v>2135</v>
      </c>
      <c r="F143" s="12"/>
      <c r="G143" s="12" t="s">
        <v>876</v>
      </c>
      <c r="H143" s="12" t="s">
        <v>37</v>
      </c>
      <c r="I143" s="12" t="s">
        <v>26</v>
      </c>
      <c r="J143" s="13" t="s">
        <v>2118</v>
      </c>
      <c r="K143" s="14" t="s">
        <v>2136</v>
      </c>
      <c r="L143" s="15">
        <v>10</v>
      </c>
      <c r="M143" s="15" t="s">
        <v>144</v>
      </c>
      <c r="N143" s="16">
        <v>46211</v>
      </c>
      <c r="O143" s="12" t="s">
        <v>190</v>
      </c>
      <c r="P143" s="14" t="s">
        <v>2137</v>
      </c>
      <c r="Q143" s="17" t="s">
        <v>137</v>
      </c>
      <c r="R143" s="17" t="s">
        <v>146</v>
      </c>
    </row>
    <row r="144" spans="1:18" x14ac:dyDescent="0.3">
      <c r="A144" s="12" t="s">
        <v>2147</v>
      </c>
      <c r="B144" s="12" t="s">
        <v>14</v>
      </c>
      <c r="C144" s="12"/>
      <c r="D144" s="12" t="s">
        <v>14</v>
      </c>
      <c r="E144" s="12" t="s">
        <v>2148</v>
      </c>
      <c r="F144" s="12"/>
      <c r="G144" s="12" t="s">
        <v>876</v>
      </c>
      <c r="H144" s="12" t="s">
        <v>37</v>
      </c>
      <c r="I144" s="12" t="s">
        <v>26</v>
      </c>
      <c r="J144" s="13" t="s">
        <v>2149</v>
      </c>
      <c r="K144" s="14" t="s">
        <v>2150</v>
      </c>
      <c r="L144" s="15">
        <v>1</v>
      </c>
      <c r="M144" s="15" t="s">
        <v>144</v>
      </c>
      <c r="N144" s="16">
        <v>46122</v>
      </c>
      <c r="O144" s="12" t="s">
        <v>2147</v>
      </c>
      <c r="P144" s="14" t="s">
        <v>2151</v>
      </c>
      <c r="Q144" s="17" t="s">
        <v>137</v>
      </c>
      <c r="R144" s="17" t="s">
        <v>146</v>
      </c>
    </row>
    <row r="145" spans="1:18" x14ac:dyDescent="0.3">
      <c r="A145" s="12" t="s">
        <v>2188</v>
      </c>
      <c r="B145" s="12" t="s">
        <v>10</v>
      </c>
      <c r="C145" s="12" t="s">
        <v>14</v>
      </c>
      <c r="D145" s="12" t="s">
        <v>945</v>
      </c>
      <c r="E145" s="12" t="s">
        <v>2189</v>
      </c>
      <c r="F145" s="12" t="s">
        <v>195</v>
      </c>
      <c r="G145" s="12" t="s">
        <v>876</v>
      </c>
      <c r="H145" s="12" t="s">
        <v>37</v>
      </c>
      <c r="I145" s="12" t="s">
        <v>26</v>
      </c>
      <c r="J145" s="13" t="s">
        <v>2118</v>
      </c>
      <c r="K145" s="14" t="s">
        <v>2190</v>
      </c>
      <c r="L145" s="15">
        <v>9</v>
      </c>
      <c r="M145" s="15" t="s">
        <v>144</v>
      </c>
      <c r="N145" s="16">
        <v>44925</v>
      </c>
      <c r="O145" s="12" t="s">
        <v>2191</v>
      </c>
      <c r="P145" s="14" t="s">
        <v>2192</v>
      </c>
      <c r="Q145" s="17" t="s">
        <v>137</v>
      </c>
      <c r="R145" s="17" t="s">
        <v>146</v>
      </c>
    </row>
    <row r="146" spans="1:18" x14ac:dyDescent="0.3">
      <c r="A146" s="12" t="s">
        <v>593</v>
      </c>
      <c r="B146" s="12" t="s">
        <v>12</v>
      </c>
      <c r="C146" s="12" t="s">
        <v>14</v>
      </c>
      <c r="D146" s="12" t="s">
        <v>180</v>
      </c>
      <c r="E146" s="12" t="s">
        <v>2193</v>
      </c>
      <c r="F146" s="12" t="s">
        <v>2194</v>
      </c>
      <c r="G146" s="12" t="s">
        <v>876</v>
      </c>
      <c r="H146" s="12" t="s">
        <v>37</v>
      </c>
      <c r="I146" s="12" t="s">
        <v>26</v>
      </c>
      <c r="J146" s="13" t="s">
        <v>2195</v>
      </c>
      <c r="K146" s="14" t="s">
        <v>2196</v>
      </c>
      <c r="L146" s="15">
        <v>8</v>
      </c>
      <c r="M146" s="15" t="s">
        <v>144</v>
      </c>
      <c r="N146" s="16">
        <v>46161</v>
      </c>
      <c r="O146" s="12" t="s">
        <v>593</v>
      </c>
      <c r="P146" s="14" t="s">
        <v>598</v>
      </c>
      <c r="Q146" s="17" t="s">
        <v>137</v>
      </c>
      <c r="R146" s="17" t="s">
        <v>146</v>
      </c>
    </row>
    <row r="147" spans="1:18" x14ac:dyDescent="0.3">
      <c r="A147" s="12" t="s">
        <v>602</v>
      </c>
      <c r="B147" s="12" t="s">
        <v>14</v>
      </c>
      <c r="C147" s="12" t="s">
        <v>12</v>
      </c>
      <c r="D147" s="12" t="s">
        <v>180</v>
      </c>
      <c r="E147" s="12" t="s">
        <v>2193</v>
      </c>
      <c r="F147" s="12" t="s">
        <v>2194</v>
      </c>
      <c r="G147" s="12" t="s">
        <v>876</v>
      </c>
      <c r="H147" s="12" t="s">
        <v>37</v>
      </c>
      <c r="I147" s="12" t="s">
        <v>26</v>
      </c>
      <c r="J147" s="13" t="s">
        <v>2195</v>
      </c>
      <c r="K147" s="14" t="s">
        <v>597</v>
      </c>
      <c r="L147" s="15">
        <v>8</v>
      </c>
      <c r="M147" s="15" t="s">
        <v>144</v>
      </c>
      <c r="N147" s="16">
        <v>46148</v>
      </c>
      <c r="O147" s="12" t="s">
        <v>602</v>
      </c>
      <c r="P147" s="14" t="s">
        <v>603</v>
      </c>
      <c r="Q147" s="17" t="s">
        <v>137</v>
      </c>
      <c r="R147" s="17" t="s">
        <v>146</v>
      </c>
    </row>
    <row r="148" spans="1:18" x14ac:dyDescent="0.3">
      <c r="A148" s="12" t="s">
        <v>2216</v>
      </c>
      <c r="B148" s="12" t="s">
        <v>14</v>
      </c>
      <c r="C148" s="12"/>
      <c r="D148" s="12" t="s">
        <v>14</v>
      </c>
      <c r="E148" s="12" t="s">
        <v>2217</v>
      </c>
      <c r="F148" s="12" t="s">
        <v>2218</v>
      </c>
      <c r="G148" s="12" t="s">
        <v>876</v>
      </c>
      <c r="H148" s="12" t="s">
        <v>37</v>
      </c>
      <c r="I148" s="12" t="s">
        <v>26</v>
      </c>
      <c r="J148" s="13" t="s">
        <v>2219</v>
      </c>
      <c r="K148" s="14" t="s">
        <v>2220</v>
      </c>
      <c r="L148" s="15">
        <v>7</v>
      </c>
      <c r="M148" s="15" t="s">
        <v>144</v>
      </c>
      <c r="N148" s="16">
        <v>46226</v>
      </c>
      <c r="O148" s="12" t="s">
        <v>2216</v>
      </c>
      <c r="P148" s="14" t="s">
        <v>2221</v>
      </c>
      <c r="Q148" s="17" t="s">
        <v>137</v>
      </c>
      <c r="R148" s="17" t="s">
        <v>146</v>
      </c>
    </row>
    <row r="149" spans="1:18" x14ac:dyDescent="0.3">
      <c r="A149" s="12" t="s">
        <v>199</v>
      </c>
      <c r="B149" s="12" t="s">
        <v>14</v>
      </c>
      <c r="C149" s="12"/>
      <c r="D149" s="12" t="s">
        <v>14</v>
      </c>
      <c r="E149" s="12" t="s">
        <v>2153</v>
      </c>
      <c r="F149" s="12"/>
      <c r="G149" s="12" t="s">
        <v>876</v>
      </c>
      <c r="H149" s="12" t="s">
        <v>37</v>
      </c>
      <c r="I149" s="12" t="s">
        <v>26</v>
      </c>
      <c r="J149" s="13" t="s">
        <v>2070</v>
      </c>
      <c r="K149" s="14" t="s">
        <v>2082</v>
      </c>
      <c r="L149" s="15">
        <v>0</v>
      </c>
      <c r="M149" s="15" t="s">
        <v>144</v>
      </c>
      <c r="N149" s="16">
        <v>45588</v>
      </c>
      <c r="O149" s="12" t="s">
        <v>203</v>
      </c>
      <c r="P149" s="14" t="s">
        <v>2230</v>
      </c>
      <c r="Q149" s="17" t="s">
        <v>137</v>
      </c>
      <c r="R149" s="17" t="s">
        <v>146</v>
      </c>
    </row>
    <row r="150" spans="1:18" x14ac:dyDescent="0.3">
      <c r="A150" s="12" t="s">
        <v>199</v>
      </c>
      <c r="B150" s="12" t="s">
        <v>14</v>
      </c>
      <c r="C150" s="12"/>
      <c r="D150" s="12" t="s">
        <v>14</v>
      </c>
      <c r="E150" s="12" t="s">
        <v>2231</v>
      </c>
      <c r="F150" s="12"/>
      <c r="G150" s="12" t="s">
        <v>876</v>
      </c>
      <c r="H150" s="12" t="s">
        <v>37</v>
      </c>
      <c r="I150" s="12" t="s">
        <v>26</v>
      </c>
      <c r="J150" s="13" t="s">
        <v>2157</v>
      </c>
      <c r="K150" s="14" t="s">
        <v>2232</v>
      </c>
      <c r="L150" s="15">
        <v>0</v>
      </c>
      <c r="M150" s="15" t="s">
        <v>144</v>
      </c>
      <c r="N150" s="16">
        <v>45926</v>
      </c>
      <c r="O150" s="12" t="s">
        <v>203</v>
      </c>
      <c r="P150" s="14" t="s">
        <v>2233</v>
      </c>
      <c r="Q150" s="17" t="s">
        <v>137</v>
      </c>
      <c r="R150" s="17" t="s">
        <v>146</v>
      </c>
    </row>
    <row r="151" spans="1:18" x14ac:dyDescent="0.3">
      <c r="A151" s="12" t="s">
        <v>2257</v>
      </c>
      <c r="B151" s="12" t="s">
        <v>14</v>
      </c>
      <c r="C151" s="12"/>
      <c r="D151" s="12" t="s">
        <v>14</v>
      </c>
      <c r="E151" s="12" t="s">
        <v>2258</v>
      </c>
      <c r="F151" s="12"/>
      <c r="G151" s="12" t="s">
        <v>876</v>
      </c>
      <c r="H151" s="12" t="s">
        <v>37</v>
      </c>
      <c r="I151" s="12" t="s">
        <v>26</v>
      </c>
      <c r="J151" s="13" t="s">
        <v>2149</v>
      </c>
      <c r="K151" s="14" t="s">
        <v>2259</v>
      </c>
      <c r="L151" s="15">
        <v>0</v>
      </c>
      <c r="M151" s="15" t="s">
        <v>144</v>
      </c>
      <c r="N151" s="16">
        <v>45926</v>
      </c>
      <c r="O151" s="12" t="s">
        <v>2257</v>
      </c>
      <c r="P151" s="14" t="s">
        <v>2260</v>
      </c>
      <c r="Q151" s="17" t="s">
        <v>137</v>
      </c>
      <c r="R151" s="17" t="s">
        <v>146</v>
      </c>
    </row>
    <row r="152" spans="1:18" x14ac:dyDescent="0.3">
      <c r="A152" s="12" t="s">
        <v>960</v>
      </c>
      <c r="B152" s="12" t="s">
        <v>14</v>
      </c>
      <c r="C152" s="12"/>
      <c r="D152" s="12" t="s">
        <v>14</v>
      </c>
      <c r="E152" s="12" t="s">
        <v>2261</v>
      </c>
      <c r="F152" s="12" t="s">
        <v>2262</v>
      </c>
      <c r="G152" s="12" t="s">
        <v>876</v>
      </c>
      <c r="H152" s="12" t="s">
        <v>37</v>
      </c>
      <c r="I152" s="12" t="s">
        <v>26</v>
      </c>
      <c r="J152" s="13" t="s">
        <v>2118</v>
      </c>
      <c r="K152" s="14" t="s">
        <v>2263</v>
      </c>
      <c r="L152" s="15">
        <v>2</v>
      </c>
      <c r="M152" s="15" t="s">
        <v>144</v>
      </c>
      <c r="N152" s="16">
        <v>45609</v>
      </c>
      <c r="O152" s="12" t="s">
        <v>960</v>
      </c>
      <c r="P152" s="14" t="s">
        <v>962</v>
      </c>
      <c r="Q152" s="17" t="s">
        <v>137</v>
      </c>
      <c r="R152" s="17" t="s">
        <v>146</v>
      </c>
    </row>
    <row r="153" spans="1:18" x14ac:dyDescent="0.3">
      <c r="A153" s="12" t="s">
        <v>215</v>
      </c>
      <c r="B153" s="12" t="s">
        <v>14</v>
      </c>
      <c r="C153" s="12" t="s">
        <v>16</v>
      </c>
      <c r="D153" s="12" t="s">
        <v>2277</v>
      </c>
      <c r="E153" s="12" t="s">
        <v>2135</v>
      </c>
      <c r="F153" s="12"/>
      <c r="G153" s="12" t="s">
        <v>876</v>
      </c>
      <c r="H153" s="12" t="s">
        <v>37</v>
      </c>
      <c r="I153" s="12" t="s">
        <v>26</v>
      </c>
      <c r="J153" s="13" t="s">
        <v>2118</v>
      </c>
      <c r="K153" s="14" t="s">
        <v>2278</v>
      </c>
      <c r="L153" s="15">
        <v>10</v>
      </c>
      <c r="M153" s="15" t="s">
        <v>144</v>
      </c>
      <c r="N153" s="16">
        <v>45818</v>
      </c>
      <c r="O153" s="12" t="s">
        <v>215</v>
      </c>
      <c r="P153" s="14" t="s">
        <v>2279</v>
      </c>
      <c r="Q153" s="17" t="s">
        <v>137</v>
      </c>
      <c r="R153" s="17" t="s">
        <v>146</v>
      </c>
    </row>
    <row r="154" spans="1:18" x14ac:dyDescent="0.3">
      <c r="A154" s="12" t="s">
        <v>2280</v>
      </c>
      <c r="B154" s="12" t="s">
        <v>14</v>
      </c>
      <c r="C154" s="12"/>
      <c r="D154" s="12" t="s">
        <v>14</v>
      </c>
      <c r="E154" s="12" t="s">
        <v>2281</v>
      </c>
      <c r="F154" s="12" t="s">
        <v>293</v>
      </c>
      <c r="G154" s="12" t="s">
        <v>876</v>
      </c>
      <c r="H154" s="12" t="s">
        <v>37</v>
      </c>
      <c r="I154" s="12" t="s">
        <v>26</v>
      </c>
      <c r="J154" s="13" t="s">
        <v>2195</v>
      </c>
      <c r="K154" s="14" t="s">
        <v>2282</v>
      </c>
      <c r="L154" s="15">
        <v>1</v>
      </c>
      <c r="M154" s="15" t="s">
        <v>144</v>
      </c>
      <c r="N154" s="16">
        <v>45971</v>
      </c>
      <c r="O154" s="12" t="s">
        <v>2280</v>
      </c>
      <c r="P154" s="14" t="s">
        <v>2283</v>
      </c>
      <c r="Q154" s="17" t="s">
        <v>137</v>
      </c>
      <c r="R154" s="17" t="s">
        <v>146</v>
      </c>
    </row>
    <row r="155" spans="1:18" x14ac:dyDescent="0.3">
      <c r="A155" s="12" t="s">
        <v>2288</v>
      </c>
      <c r="B155" s="12" t="s">
        <v>14</v>
      </c>
      <c r="C155" s="12"/>
      <c r="D155" s="12" t="s">
        <v>14</v>
      </c>
      <c r="E155" s="12" t="s">
        <v>2289</v>
      </c>
      <c r="F155" s="12" t="s">
        <v>940</v>
      </c>
      <c r="G155" s="12" t="s">
        <v>876</v>
      </c>
      <c r="H155" s="12" t="s">
        <v>37</v>
      </c>
      <c r="I155" s="12" t="s">
        <v>26</v>
      </c>
      <c r="J155" s="13" t="s">
        <v>2102</v>
      </c>
      <c r="K155" s="14" t="s">
        <v>2290</v>
      </c>
      <c r="L155" s="15">
        <v>2</v>
      </c>
      <c r="M155" s="15" t="s">
        <v>144</v>
      </c>
      <c r="N155" s="16">
        <v>45911</v>
      </c>
      <c r="O155" s="12" t="s">
        <v>2288</v>
      </c>
      <c r="P155" s="14" t="s">
        <v>2291</v>
      </c>
      <c r="Q155" s="17" t="s">
        <v>137</v>
      </c>
      <c r="R155" s="17" t="s">
        <v>146</v>
      </c>
    </row>
    <row r="156" spans="1:18" x14ac:dyDescent="0.3">
      <c r="A156" s="12" t="s">
        <v>307</v>
      </c>
      <c r="B156" s="12" t="s">
        <v>14</v>
      </c>
      <c r="C156" s="12"/>
      <c r="D156" s="12" t="s">
        <v>14</v>
      </c>
      <c r="E156" s="12" t="s">
        <v>2292</v>
      </c>
      <c r="F156" s="12" t="s">
        <v>188</v>
      </c>
      <c r="G156" s="12" t="s">
        <v>876</v>
      </c>
      <c r="H156" s="12" t="s">
        <v>37</v>
      </c>
      <c r="I156" s="12" t="s">
        <v>26</v>
      </c>
      <c r="J156" s="13" t="s">
        <v>2118</v>
      </c>
      <c r="K156" s="14" t="s">
        <v>1289</v>
      </c>
      <c r="L156" s="15">
        <v>17</v>
      </c>
      <c r="M156" s="15" t="s">
        <v>144</v>
      </c>
      <c r="N156" s="16">
        <v>46275</v>
      </c>
      <c r="O156" s="12" t="s">
        <v>307</v>
      </c>
      <c r="P156" s="14" t="s">
        <v>310</v>
      </c>
      <c r="Q156" s="17" t="s">
        <v>137</v>
      </c>
      <c r="R156" s="17" t="s">
        <v>146</v>
      </c>
    </row>
    <row r="157" spans="1:18" x14ac:dyDescent="0.3">
      <c r="A157" s="12" t="s">
        <v>307</v>
      </c>
      <c r="B157" s="12" t="s">
        <v>14</v>
      </c>
      <c r="C157" s="12"/>
      <c r="D157" s="12" t="s">
        <v>14</v>
      </c>
      <c r="E157" s="12" t="s">
        <v>2293</v>
      </c>
      <c r="F157" s="12" t="s">
        <v>2294</v>
      </c>
      <c r="G157" s="12" t="s">
        <v>876</v>
      </c>
      <c r="H157" s="12" t="s">
        <v>37</v>
      </c>
      <c r="I157" s="12" t="s">
        <v>26</v>
      </c>
      <c r="J157" s="13" t="s">
        <v>2102</v>
      </c>
      <c r="K157" s="14" t="s">
        <v>1289</v>
      </c>
      <c r="L157" s="15">
        <v>1</v>
      </c>
      <c r="M157" s="15" t="s">
        <v>144</v>
      </c>
      <c r="N157" s="16">
        <v>46275</v>
      </c>
      <c r="O157" s="12" t="s">
        <v>307</v>
      </c>
      <c r="P157" s="14" t="s">
        <v>310</v>
      </c>
      <c r="Q157" s="17" t="s">
        <v>137</v>
      </c>
      <c r="R157" s="17" t="s">
        <v>146</v>
      </c>
    </row>
    <row r="158" spans="1:18" x14ac:dyDescent="0.3">
      <c r="A158" s="12" t="s">
        <v>307</v>
      </c>
      <c r="B158" s="12" t="s">
        <v>14</v>
      </c>
      <c r="C158" s="12"/>
      <c r="D158" s="12" t="s">
        <v>14</v>
      </c>
      <c r="E158" s="12" t="s">
        <v>2295</v>
      </c>
      <c r="F158" s="12" t="s">
        <v>454</v>
      </c>
      <c r="G158" s="12" t="s">
        <v>876</v>
      </c>
      <c r="H158" s="12" t="s">
        <v>37</v>
      </c>
      <c r="I158" s="12" t="s">
        <v>26</v>
      </c>
      <c r="J158" s="13" t="s">
        <v>2102</v>
      </c>
      <c r="K158" s="14" t="s">
        <v>2296</v>
      </c>
      <c r="L158" s="15">
        <v>1</v>
      </c>
      <c r="M158" s="15" t="s">
        <v>144</v>
      </c>
      <c r="N158" s="16">
        <v>46275</v>
      </c>
      <c r="O158" s="12" t="s">
        <v>307</v>
      </c>
      <c r="P158" s="14" t="s">
        <v>310</v>
      </c>
      <c r="Q158" s="17" t="s">
        <v>137</v>
      </c>
      <c r="R158" s="17" t="s">
        <v>146</v>
      </c>
    </row>
    <row r="159" spans="1:18" x14ac:dyDescent="0.3">
      <c r="A159" s="12" t="s">
        <v>2297</v>
      </c>
      <c r="B159" s="12" t="s">
        <v>14</v>
      </c>
      <c r="C159" s="12"/>
      <c r="D159" s="12" t="s">
        <v>14</v>
      </c>
      <c r="E159" s="12" t="s">
        <v>2298</v>
      </c>
      <c r="F159" s="12"/>
      <c r="G159" s="12" t="s">
        <v>876</v>
      </c>
      <c r="H159" s="12" t="s">
        <v>37</v>
      </c>
      <c r="I159" s="12" t="s">
        <v>26</v>
      </c>
      <c r="J159" s="13" t="s">
        <v>2219</v>
      </c>
      <c r="K159" s="14" t="s">
        <v>974</v>
      </c>
      <c r="L159" s="15">
        <v>57</v>
      </c>
      <c r="M159" s="15" t="s">
        <v>144</v>
      </c>
      <c r="N159" s="16">
        <v>44904</v>
      </c>
      <c r="O159" s="12" t="s">
        <v>971</v>
      </c>
      <c r="P159" s="14" t="s">
        <v>2299</v>
      </c>
      <c r="Q159" s="17" t="s">
        <v>137</v>
      </c>
      <c r="R159" s="17" t="s">
        <v>146</v>
      </c>
    </row>
    <row r="160" spans="1:18" x14ac:dyDescent="0.3">
      <c r="A160" s="12" t="s">
        <v>1369</v>
      </c>
      <c r="B160" s="12" t="s">
        <v>14</v>
      </c>
      <c r="C160" s="12"/>
      <c r="D160" s="12" t="s">
        <v>14</v>
      </c>
      <c r="E160" s="12" t="s">
        <v>2336</v>
      </c>
      <c r="F160" s="12" t="s">
        <v>218</v>
      </c>
      <c r="G160" s="12" t="s">
        <v>2333</v>
      </c>
      <c r="H160" s="12" t="s">
        <v>37</v>
      </c>
      <c r="I160" s="12" t="s">
        <v>26</v>
      </c>
      <c r="J160" s="13" t="s">
        <v>2334</v>
      </c>
      <c r="K160" s="14" t="s">
        <v>2337</v>
      </c>
      <c r="L160" s="15">
        <v>1</v>
      </c>
      <c r="M160" s="15" t="s">
        <v>144</v>
      </c>
      <c r="N160" s="16">
        <v>46196</v>
      </c>
      <c r="O160" s="12" t="s">
        <v>1369</v>
      </c>
      <c r="P160" s="14" t="s">
        <v>1372</v>
      </c>
      <c r="Q160" s="17" t="s">
        <v>137</v>
      </c>
      <c r="R160" s="17" t="s">
        <v>146</v>
      </c>
    </row>
    <row r="161" spans="1:18" x14ac:dyDescent="0.3">
      <c r="A161" s="12" t="s">
        <v>199</v>
      </c>
      <c r="B161" s="12" t="s">
        <v>14</v>
      </c>
      <c r="C161" s="12"/>
      <c r="D161" s="12" t="s">
        <v>14</v>
      </c>
      <c r="E161" s="12" t="s">
        <v>2338</v>
      </c>
      <c r="F161" s="12" t="s">
        <v>520</v>
      </c>
      <c r="G161" s="12" t="s">
        <v>2333</v>
      </c>
      <c r="H161" s="12" t="s">
        <v>37</v>
      </c>
      <c r="I161" s="12" t="s">
        <v>26</v>
      </c>
      <c r="J161" s="13" t="s">
        <v>2056</v>
      </c>
      <c r="K161" s="14" t="s">
        <v>2339</v>
      </c>
      <c r="L161" s="15">
        <v>2</v>
      </c>
      <c r="M161" s="15" t="s">
        <v>144</v>
      </c>
      <c r="N161" s="16">
        <v>45951</v>
      </c>
      <c r="O161" s="12" t="s">
        <v>331</v>
      </c>
      <c r="P161" s="14" t="s">
        <v>1049</v>
      </c>
      <c r="Q161" s="17" t="s">
        <v>137</v>
      </c>
      <c r="R161" s="17" t="s">
        <v>146</v>
      </c>
    </row>
    <row r="162" spans="1:18" x14ac:dyDescent="0.3">
      <c r="A162" s="12" t="s">
        <v>215</v>
      </c>
      <c r="B162" s="12" t="s">
        <v>10</v>
      </c>
      <c r="C162" s="12" t="s">
        <v>14</v>
      </c>
      <c r="D162" s="12" t="s">
        <v>702</v>
      </c>
      <c r="E162" s="12" t="s">
        <v>2344</v>
      </c>
      <c r="F162" s="12"/>
      <c r="G162" s="12" t="s">
        <v>2333</v>
      </c>
      <c r="H162" s="12" t="s">
        <v>37</v>
      </c>
      <c r="I162" s="12" t="s">
        <v>26</v>
      </c>
      <c r="J162" s="13" t="s">
        <v>2056</v>
      </c>
      <c r="K162" s="14" t="s">
        <v>294</v>
      </c>
      <c r="L162" s="15">
        <v>45</v>
      </c>
      <c r="M162" s="15" t="s">
        <v>220</v>
      </c>
      <c r="N162" s="16">
        <v>45867</v>
      </c>
      <c r="O162" s="12" t="s">
        <v>215</v>
      </c>
      <c r="P162" s="14" t="s">
        <v>2345</v>
      </c>
      <c r="Q162" s="17" t="s">
        <v>137</v>
      </c>
      <c r="R162" s="17" t="s">
        <v>146</v>
      </c>
    </row>
    <row r="163" spans="1:18" x14ac:dyDescent="0.3">
      <c r="A163" s="12" t="s">
        <v>2366</v>
      </c>
      <c r="B163" s="12" t="s">
        <v>14</v>
      </c>
      <c r="C163" s="12"/>
      <c r="D163" s="12" t="s">
        <v>14</v>
      </c>
      <c r="E163" s="12" t="s">
        <v>2367</v>
      </c>
      <c r="F163" s="12" t="s">
        <v>195</v>
      </c>
      <c r="G163" s="12" t="s">
        <v>2349</v>
      </c>
      <c r="H163" s="12" t="s">
        <v>37</v>
      </c>
      <c r="I163" s="12" t="s">
        <v>26</v>
      </c>
      <c r="J163" s="13" t="s">
        <v>2056</v>
      </c>
      <c r="K163" s="14" t="s">
        <v>2368</v>
      </c>
      <c r="L163" s="15">
        <v>0</v>
      </c>
      <c r="M163" s="15" t="s">
        <v>144</v>
      </c>
      <c r="N163" s="16">
        <v>44788</v>
      </c>
      <c r="O163" s="12" t="s">
        <v>2366</v>
      </c>
      <c r="P163" s="14" t="s">
        <v>2369</v>
      </c>
      <c r="Q163" s="17" t="s">
        <v>137</v>
      </c>
      <c r="R163" s="17" t="s">
        <v>146</v>
      </c>
    </row>
    <row r="164" spans="1:18" x14ac:dyDescent="0.3">
      <c r="A164" s="12" t="s">
        <v>2375</v>
      </c>
      <c r="B164" s="12" t="s">
        <v>14</v>
      </c>
      <c r="C164" s="12"/>
      <c r="D164" s="12" t="s">
        <v>14</v>
      </c>
      <c r="E164" s="12" t="s">
        <v>2376</v>
      </c>
      <c r="F164" s="12"/>
      <c r="G164" s="12" t="s">
        <v>2349</v>
      </c>
      <c r="H164" s="12" t="s">
        <v>37</v>
      </c>
      <c r="I164" s="12" t="s">
        <v>26</v>
      </c>
      <c r="J164" s="13" t="s">
        <v>2334</v>
      </c>
      <c r="K164" s="14" t="s">
        <v>2377</v>
      </c>
      <c r="L164" s="15">
        <v>2</v>
      </c>
      <c r="M164" s="15" t="s">
        <v>144</v>
      </c>
      <c r="N164" s="16">
        <v>45911</v>
      </c>
      <c r="O164" s="12" t="s">
        <v>2375</v>
      </c>
      <c r="P164" s="14" t="s">
        <v>2378</v>
      </c>
      <c r="Q164" s="17" t="s">
        <v>137</v>
      </c>
      <c r="R164" s="17" t="s">
        <v>146</v>
      </c>
    </row>
    <row r="165" spans="1:18" x14ac:dyDescent="0.3">
      <c r="A165" s="12" t="s">
        <v>307</v>
      </c>
      <c r="B165" s="12" t="s">
        <v>14</v>
      </c>
      <c r="C165" s="12"/>
      <c r="D165" s="12" t="s">
        <v>14</v>
      </c>
      <c r="E165" s="12" t="s">
        <v>2415</v>
      </c>
      <c r="F165" s="12" t="s">
        <v>248</v>
      </c>
      <c r="G165" s="12" t="s">
        <v>2398</v>
      </c>
      <c r="H165" s="12" t="s">
        <v>47</v>
      </c>
      <c r="I165" s="12" t="s">
        <v>26</v>
      </c>
      <c r="J165" s="13" t="s">
        <v>2399</v>
      </c>
      <c r="K165" s="14" t="s">
        <v>1291</v>
      </c>
      <c r="L165" s="15">
        <v>1</v>
      </c>
      <c r="M165" s="15" t="s">
        <v>144</v>
      </c>
      <c r="N165" s="16">
        <v>46275</v>
      </c>
      <c r="O165" s="12" t="s">
        <v>307</v>
      </c>
      <c r="P165" s="14" t="s">
        <v>310</v>
      </c>
      <c r="Q165" s="17" t="s">
        <v>137</v>
      </c>
      <c r="R165" s="17" t="s">
        <v>146</v>
      </c>
    </row>
    <row r="166" spans="1:18" x14ac:dyDescent="0.3">
      <c r="A166" s="12" t="s">
        <v>2422</v>
      </c>
      <c r="B166" s="12" t="s">
        <v>14</v>
      </c>
      <c r="C166" s="12"/>
      <c r="D166" s="12" t="s">
        <v>14</v>
      </c>
      <c r="E166" s="12" t="s">
        <v>2423</v>
      </c>
      <c r="F166" s="12"/>
      <c r="G166" s="12" t="s">
        <v>2419</v>
      </c>
      <c r="H166" s="12" t="s">
        <v>47</v>
      </c>
      <c r="I166" s="12" t="s">
        <v>26</v>
      </c>
      <c r="J166" s="13" t="s">
        <v>2420</v>
      </c>
      <c r="K166" s="14" t="s">
        <v>2424</v>
      </c>
      <c r="L166" s="15">
        <v>0</v>
      </c>
      <c r="M166" s="15" t="s">
        <v>144</v>
      </c>
      <c r="N166" s="16">
        <v>45894</v>
      </c>
      <c r="O166" s="12" t="s">
        <v>2425</v>
      </c>
      <c r="P166" s="14" t="s">
        <v>2426</v>
      </c>
      <c r="Q166" s="17" t="s">
        <v>137</v>
      </c>
      <c r="R166" s="17" t="s">
        <v>146</v>
      </c>
    </row>
    <row r="167" spans="1:18" x14ac:dyDescent="0.3">
      <c r="A167" s="12" t="s">
        <v>186</v>
      </c>
      <c r="B167" s="12" t="s">
        <v>14</v>
      </c>
      <c r="C167" s="12"/>
      <c r="D167" s="12" t="s">
        <v>14</v>
      </c>
      <c r="E167" s="12" t="s">
        <v>2434</v>
      </c>
      <c r="F167" s="12"/>
      <c r="G167" s="12" t="s">
        <v>2435</v>
      </c>
      <c r="H167" s="12" t="s">
        <v>47</v>
      </c>
      <c r="I167" s="12" t="s">
        <v>26</v>
      </c>
      <c r="J167" s="13" t="s">
        <v>2436</v>
      </c>
      <c r="K167" s="14" t="s">
        <v>2437</v>
      </c>
      <c r="L167" s="15">
        <v>1</v>
      </c>
      <c r="M167" s="15" t="s">
        <v>144</v>
      </c>
      <c r="N167" s="16">
        <v>46211</v>
      </c>
      <c r="O167" s="12" t="s">
        <v>190</v>
      </c>
      <c r="P167" s="14" t="s">
        <v>2438</v>
      </c>
      <c r="Q167" s="17" t="s">
        <v>137</v>
      </c>
      <c r="R167" s="17" t="s">
        <v>146</v>
      </c>
    </row>
    <row r="168" spans="1:18" x14ac:dyDescent="0.3">
      <c r="A168" s="12" t="s">
        <v>2447</v>
      </c>
      <c r="B168" s="12" t="s">
        <v>14</v>
      </c>
      <c r="C168" s="12"/>
      <c r="D168" s="12" t="s">
        <v>14</v>
      </c>
      <c r="E168" s="12" t="s">
        <v>2448</v>
      </c>
      <c r="F168" s="12"/>
      <c r="G168" s="12" t="s">
        <v>71</v>
      </c>
      <c r="H168" s="12" t="s">
        <v>52</v>
      </c>
      <c r="I168" s="12" t="s">
        <v>26</v>
      </c>
      <c r="J168" s="13" t="s">
        <v>2449</v>
      </c>
      <c r="K168" s="14" t="s">
        <v>2450</v>
      </c>
      <c r="L168" s="15">
        <v>0</v>
      </c>
      <c r="M168" s="15" t="s">
        <v>144</v>
      </c>
      <c r="N168" s="16">
        <v>45832</v>
      </c>
      <c r="O168" s="12" t="s">
        <v>2447</v>
      </c>
      <c r="P168" s="14" t="s">
        <v>2451</v>
      </c>
      <c r="Q168" s="17" t="s">
        <v>137</v>
      </c>
      <c r="R168" s="17" t="s">
        <v>146</v>
      </c>
    </row>
    <row r="169" spans="1:18" x14ac:dyDescent="0.3">
      <c r="A169" s="12" t="s">
        <v>307</v>
      </c>
      <c r="B169" s="12" t="s">
        <v>14</v>
      </c>
      <c r="C169" s="12"/>
      <c r="D169" s="12" t="s">
        <v>14</v>
      </c>
      <c r="E169" s="12" t="s">
        <v>2452</v>
      </c>
      <c r="F169" s="12" t="s">
        <v>2453</v>
      </c>
      <c r="G169" s="12" t="s">
        <v>2454</v>
      </c>
      <c r="H169" s="12" t="s">
        <v>52</v>
      </c>
      <c r="I169" s="12" t="s">
        <v>26</v>
      </c>
      <c r="J169" s="13" t="s">
        <v>2455</v>
      </c>
      <c r="K169" s="14" t="s">
        <v>2456</v>
      </c>
      <c r="L169" s="15">
        <v>3</v>
      </c>
      <c r="M169" s="15" t="s">
        <v>144</v>
      </c>
      <c r="N169" s="16">
        <v>46275</v>
      </c>
      <c r="O169" s="12" t="s">
        <v>307</v>
      </c>
      <c r="P169" s="14" t="s">
        <v>310</v>
      </c>
      <c r="Q169" s="17" t="s">
        <v>137</v>
      </c>
      <c r="R169" s="17" t="s">
        <v>146</v>
      </c>
    </row>
    <row r="170" spans="1:18" x14ac:dyDescent="0.3">
      <c r="A170" s="12" t="s">
        <v>1778</v>
      </c>
      <c r="B170" s="12" t="s">
        <v>14</v>
      </c>
      <c r="C170" s="12"/>
      <c r="D170" s="12" t="s">
        <v>14</v>
      </c>
      <c r="E170" s="12" t="s">
        <v>2471</v>
      </c>
      <c r="F170" s="12" t="s">
        <v>1573</v>
      </c>
      <c r="G170" s="12" t="s">
        <v>2463</v>
      </c>
      <c r="H170" s="12" t="s">
        <v>52</v>
      </c>
      <c r="I170" s="12" t="s">
        <v>26</v>
      </c>
      <c r="J170" s="13" t="s">
        <v>2464</v>
      </c>
      <c r="K170" s="14" t="s">
        <v>2472</v>
      </c>
      <c r="L170" s="15">
        <v>5</v>
      </c>
      <c r="M170" s="15" t="s">
        <v>144</v>
      </c>
      <c r="N170" s="16">
        <v>45797</v>
      </c>
      <c r="O170" s="12" t="s">
        <v>2473</v>
      </c>
      <c r="P170" s="14" t="s">
        <v>2474</v>
      </c>
      <c r="Q170" s="17" t="s">
        <v>137</v>
      </c>
      <c r="R170" s="17" t="s">
        <v>146</v>
      </c>
    </row>
    <row r="171" spans="1:18" x14ac:dyDescent="0.3">
      <c r="A171" s="12" t="s">
        <v>199</v>
      </c>
      <c r="B171" s="12" t="s">
        <v>14</v>
      </c>
      <c r="C171" s="12"/>
      <c r="D171" s="12" t="s">
        <v>14</v>
      </c>
      <c r="E171" s="12" t="s">
        <v>2479</v>
      </c>
      <c r="F171" s="12" t="s">
        <v>372</v>
      </c>
      <c r="G171" s="12" t="s">
        <v>2463</v>
      </c>
      <c r="H171" s="12" t="s">
        <v>52</v>
      </c>
      <c r="I171" s="12" t="s">
        <v>26</v>
      </c>
      <c r="J171" s="13" t="s">
        <v>2464</v>
      </c>
      <c r="K171" s="14" t="s">
        <v>2480</v>
      </c>
      <c r="L171" s="15">
        <v>3</v>
      </c>
      <c r="M171" s="15" t="s">
        <v>144</v>
      </c>
      <c r="N171" s="16">
        <v>45589</v>
      </c>
      <c r="O171" s="12" t="s">
        <v>203</v>
      </c>
      <c r="P171" s="14" t="s">
        <v>2481</v>
      </c>
      <c r="Q171" s="17" t="s">
        <v>137</v>
      </c>
      <c r="R171" s="17" t="s">
        <v>146</v>
      </c>
    </row>
    <row r="172" spans="1:18" x14ac:dyDescent="0.3">
      <c r="A172" s="12" t="s">
        <v>2490</v>
      </c>
      <c r="B172" s="12" t="s">
        <v>14</v>
      </c>
      <c r="C172" s="12"/>
      <c r="D172" s="12" t="s">
        <v>14</v>
      </c>
      <c r="E172" s="12" t="s">
        <v>2491</v>
      </c>
      <c r="F172" s="12"/>
      <c r="G172" s="12" t="s">
        <v>2492</v>
      </c>
      <c r="H172" s="12" t="s">
        <v>39</v>
      </c>
      <c r="I172" s="12" t="s">
        <v>26</v>
      </c>
      <c r="J172" s="13" t="s">
        <v>2493</v>
      </c>
      <c r="K172" s="14" t="s">
        <v>2494</v>
      </c>
      <c r="L172" s="15">
        <v>0</v>
      </c>
      <c r="M172" s="15" t="s">
        <v>144</v>
      </c>
      <c r="N172" s="16">
        <v>45488</v>
      </c>
      <c r="O172" s="12" t="s">
        <v>2490</v>
      </c>
      <c r="P172" s="14" t="s">
        <v>2495</v>
      </c>
      <c r="Q172" s="17" t="s">
        <v>137</v>
      </c>
      <c r="R172" s="17" t="s">
        <v>146</v>
      </c>
    </row>
    <row r="173" spans="1:18" x14ac:dyDescent="0.3">
      <c r="A173" s="12" t="s">
        <v>2505</v>
      </c>
      <c r="B173" s="12" t="s">
        <v>14</v>
      </c>
      <c r="C173" s="12"/>
      <c r="D173" s="12" t="s">
        <v>14</v>
      </c>
      <c r="E173" s="12" t="s">
        <v>2506</v>
      </c>
      <c r="F173" s="12" t="s">
        <v>372</v>
      </c>
      <c r="G173" s="12" t="s">
        <v>313</v>
      </c>
      <c r="H173" s="12" t="s">
        <v>39</v>
      </c>
      <c r="I173" s="12" t="s">
        <v>26</v>
      </c>
      <c r="J173" s="13" t="s">
        <v>314</v>
      </c>
      <c r="K173" s="14" t="s">
        <v>2507</v>
      </c>
      <c r="L173" s="15">
        <v>1</v>
      </c>
      <c r="M173" s="15" t="s">
        <v>144</v>
      </c>
      <c r="N173" s="16">
        <v>46132</v>
      </c>
      <c r="O173" s="12" t="s">
        <v>2508</v>
      </c>
      <c r="P173" s="14" t="s">
        <v>2509</v>
      </c>
      <c r="Q173" s="17" t="s">
        <v>137</v>
      </c>
      <c r="R173" s="17" t="s">
        <v>146</v>
      </c>
    </row>
    <row r="174" spans="1:18" x14ac:dyDescent="0.3">
      <c r="A174" s="12" t="s">
        <v>2534</v>
      </c>
      <c r="B174" s="12" t="s">
        <v>14</v>
      </c>
      <c r="C174" s="12"/>
      <c r="D174" s="12" t="s">
        <v>14</v>
      </c>
      <c r="E174" s="12" t="s">
        <v>2535</v>
      </c>
      <c r="F174" s="12"/>
      <c r="G174" s="12" t="s">
        <v>2527</v>
      </c>
      <c r="H174" s="12" t="s">
        <v>39</v>
      </c>
      <c r="I174" s="12" t="s">
        <v>26</v>
      </c>
      <c r="J174" s="13" t="s">
        <v>2528</v>
      </c>
      <c r="K174" s="14" t="s">
        <v>2536</v>
      </c>
      <c r="L174" s="15">
        <v>1</v>
      </c>
      <c r="M174" s="15" t="s">
        <v>144</v>
      </c>
      <c r="N174" s="16">
        <v>45902</v>
      </c>
      <c r="O174" s="12" t="s">
        <v>2534</v>
      </c>
      <c r="P174" s="14" t="s">
        <v>2537</v>
      </c>
      <c r="Q174" s="17" t="s">
        <v>137</v>
      </c>
      <c r="R174" s="17" t="s">
        <v>146</v>
      </c>
    </row>
    <row r="175" spans="1:18" x14ac:dyDescent="0.3">
      <c r="A175" s="12" t="s">
        <v>2538</v>
      </c>
      <c r="B175" s="12" t="s">
        <v>14</v>
      </c>
      <c r="C175" s="12"/>
      <c r="D175" s="12" t="s">
        <v>14</v>
      </c>
      <c r="E175" s="12" t="s">
        <v>2539</v>
      </c>
      <c r="F175" s="12"/>
      <c r="G175" s="12" t="s">
        <v>2527</v>
      </c>
      <c r="H175" s="12" t="s">
        <v>39</v>
      </c>
      <c r="I175" s="12" t="s">
        <v>26</v>
      </c>
      <c r="J175" s="13" t="s">
        <v>2528</v>
      </c>
      <c r="K175" s="14" t="s">
        <v>2540</v>
      </c>
      <c r="L175" s="15">
        <v>2</v>
      </c>
      <c r="M175" s="15" t="s">
        <v>144</v>
      </c>
      <c r="N175" s="16">
        <v>45891</v>
      </c>
      <c r="O175" s="12" t="s">
        <v>2538</v>
      </c>
      <c r="P175" s="14" t="s">
        <v>2541</v>
      </c>
      <c r="Q175" s="17" t="s">
        <v>137</v>
      </c>
      <c r="R175" s="17" t="s">
        <v>146</v>
      </c>
    </row>
    <row r="176" spans="1:18" x14ac:dyDescent="0.3">
      <c r="A176" s="12" t="s">
        <v>2548</v>
      </c>
      <c r="B176" s="12" t="s">
        <v>14</v>
      </c>
      <c r="C176" s="12"/>
      <c r="D176" s="12" t="s">
        <v>14</v>
      </c>
      <c r="E176" s="12" t="s">
        <v>2549</v>
      </c>
      <c r="F176" s="12"/>
      <c r="G176" s="12" t="s">
        <v>2544</v>
      </c>
      <c r="H176" s="12" t="s">
        <v>39</v>
      </c>
      <c r="I176" s="12" t="s">
        <v>26</v>
      </c>
      <c r="J176" s="13" t="s">
        <v>2545</v>
      </c>
      <c r="K176" s="14" t="s">
        <v>2550</v>
      </c>
      <c r="L176" s="15">
        <v>6</v>
      </c>
      <c r="M176" s="15" t="s">
        <v>144</v>
      </c>
      <c r="N176" s="16">
        <v>44830</v>
      </c>
      <c r="O176" s="12" t="s">
        <v>2551</v>
      </c>
      <c r="P176" s="14" t="s">
        <v>2552</v>
      </c>
      <c r="Q176" s="17" t="s">
        <v>137</v>
      </c>
      <c r="R176" s="17" t="s">
        <v>146</v>
      </c>
    </row>
    <row r="177" spans="1:18" x14ac:dyDescent="0.3">
      <c r="A177" s="12" t="s">
        <v>978</v>
      </c>
      <c r="B177" s="12" t="s">
        <v>14</v>
      </c>
      <c r="C177" s="12"/>
      <c r="D177" s="12" t="s">
        <v>14</v>
      </c>
      <c r="E177" s="12" t="s">
        <v>2574</v>
      </c>
      <c r="F177" s="12" t="s">
        <v>164</v>
      </c>
      <c r="G177" s="12" t="s">
        <v>2564</v>
      </c>
      <c r="H177" s="12" t="s">
        <v>39</v>
      </c>
      <c r="I177" s="12" t="s">
        <v>26</v>
      </c>
      <c r="J177" s="13" t="s">
        <v>2565</v>
      </c>
      <c r="K177" s="14" t="s">
        <v>2575</v>
      </c>
      <c r="L177" s="15">
        <v>0</v>
      </c>
      <c r="M177" s="15" t="s">
        <v>144</v>
      </c>
      <c r="N177" s="16">
        <v>44687</v>
      </c>
      <c r="O177" s="12" t="s">
        <v>978</v>
      </c>
      <c r="P177" s="14" t="s">
        <v>981</v>
      </c>
      <c r="Q177" s="17" t="s">
        <v>137</v>
      </c>
      <c r="R177" s="17" t="s">
        <v>146</v>
      </c>
    </row>
    <row r="178" spans="1:18" x14ac:dyDescent="0.3">
      <c r="A178" s="12" t="s">
        <v>2576</v>
      </c>
      <c r="B178" s="12" t="s">
        <v>14</v>
      </c>
      <c r="C178" s="12"/>
      <c r="D178" s="12" t="s">
        <v>14</v>
      </c>
      <c r="E178" s="12" t="s">
        <v>2577</v>
      </c>
      <c r="F178" s="12" t="s">
        <v>359</v>
      </c>
      <c r="G178" s="12" t="s">
        <v>876</v>
      </c>
      <c r="H178" s="12" t="s">
        <v>39</v>
      </c>
      <c r="I178" s="12" t="s">
        <v>26</v>
      </c>
      <c r="J178" s="13" t="s">
        <v>2578</v>
      </c>
      <c r="K178" s="14" t="s">
        <v>2579</v>
      </c>
      <c r="L178" s="15">
        <v>1</v>
      </c>
      <c r="M178" s="15" t="s">
        <v>144</v>
      </c>
      <c r="N178" s="16">
        <v>46198</v>
      </c>
      <c r="O178" s="12" t="s">
        <v>2576</v>
      </c>
      <c r="P178" s="14" t="s">
        <v>2580</v>
      </c>
      <c r="Q178" s="17" t="s">
        <v>137</v>
      </c>
      <c r="R178" s="17" t="s">
        <v>146</v>
      </c>
    </row>
    <row r="179" spans="1:18" x14ac:dyDescent="0.3">
      <c r="A179" s="12" t="s">
        <v>2600</v>
      </c>
      <c r="B179" s="12" t="s">
        <v>14</v>
      </c>
      <c r="C179" s="12"/>
      <c r="D179" s="12" t="s">
        <v>14</v>
      </c>
      <c r="E179" s="12" t="s">
        <v>2601</v>
      </c>
      <c r="F179" s="12"/>
      <c r="G179" s="12" t="s">
        <v>2590</v>
      </c>
      <c r="H179" s="12" t="s">
        <v>39</v>
      </c>
      <c r="I179" s="12" t="s">
        <v>26</v>
      </c>
      <c r="J179" s="13" t="s">
        <v>2591</v>
      </c>
      <c r="K179" s="14" t="s">
        <v>2602</v>
      </c>
      <c r="L179" s="15">
        <v>0</v>
      </c>
      <c r="M179" s="15" t="s">
        <v>144</v>
      </c>
      <c r="N179" s="16">
        <v>45859</v>
      </c>
      <c r="O179" s="12" t="s">
        <v>2600</v>
      </c>
      <c r="P179" s="14" t="s">
        <v>2603</v>
      </c>
      <c r="Q179" s="17" t="s">
        <v>137</v>
      </c>
      <c r="R179" s="17" t="s">
        <v>146</v>
      </c>
    </row>
    <row r="180" spans="1:18" x14ac:dyDescent="0.3">
      <c r="A180" s="12" t="s">
        <v>2604</v>
      </c>
      <c r="B180" s="12" t="s">
        <v>14</v>
      </c>
      <c r="C180" s="12"/>
      <c r="D180" s="12" t="s">
        <v>14</v>
      </c>
      <c r="E180" s="12" t="s">
        <v>2605</v>
      </c>
      <c r="F180" s="12"/>
      <c r="G180" s="12" t="s">
        <v>2590</v>
      </c>
      <c r="H180" s="12" t="s">
        <v>39</v>
      </c>
      <c r="I180" s="12" t="s">
        <v>26</v>
      </c>
      <c r="J180" s="13" t="s">
        <v>2591</v>
      </c>
      <c r="K180" s="14" t="s">
        <v>2606</v>
      </c>
      <c r="L180" s="15">
        <v>0</v>
      </c>
      <c r="M180" s="15" t="s">
        <v>144</v>
      </c>
      <c r="N180" s="16">
        <v>45021</v>
      </c>
      <c r="O180" s="12" t="s">
        <v>2604</v>
      </c>
      <c r="P180" s="14" t="s">
        <v>2607</v>
      </c>
      <c r="Q180" s="17" t="s">
        <v>137</v>
      </c>
      <c r="R180" s="17" t="s">
        <v>146</v>
      </c>
    </row>
    <row r="181" spans="1:18" x14ac:dyDescent="0.3">
      <c r="A181" s="12" t="s">
        <v>2643</v>
      </c>
      <c r="B181" s="12" t="s">
        <v>14</v>
      </c>
      <c r="C181" s="12"/>
      <c r="D181" s="12" t="s">
        <v>14</v>
      </c>
      <c r="E181" s="12" t="s">
        <v>2644</v>
      </c>
      <c r="F181" s="12" t="s">
        <v>225</v>
      </c>
      <c r="G181" s="12" t="s">
        <v>2636</v>
      </c>
      <c r="H181" s="12" t="s">
        <v>39</v>
      </c>
      <c r="I181" s="12" t="s">
        <v>26</v>
      </c>
      <c r="J181" s="13" t="s">
        <v>2578</v>
      </c>
      <c r="K181" s="14" t="s">
        <v>2645</v>
      </c>
      <c r="L181" s="15">
        <v>1</v>
      </c>
      <c r="M181" s="15" t="s">
        <v>144</v>
      </c>
      <c r="N181" s="16">
        <v>45649</v>
      </c>
      <c r="O181" s="12" t="s">
        <v>2643</v>
      </c>
      <c r="P181" s="14" t="s">
        <v>2646</v>
      </c>
      <c r="Q181" s="17" t="s">
        <v>137</v>
      </c>
      <c r="R181" s="17" t="s">
        <v>146</v>
      </c>
    </row>
    <row r="182" spans="1:18" x14ac:dyDescent="0.3">
      <c r="A182" s="12" t="s">
        <v>2643</v>
      </c>
      <c r="B182" s="12" t="s">
        <v>14</v>
      </c>
      <c r="C182" s="12"/>
      <c r="D182" s="12" t="s">
        <v>14</v>
      </c>
      <c r="E182" s="12" t="s">
        <v>2647</v>
      </c>
      <c r="F182" s="12" t="s">
        <v>2648</v>
      </c>
      <c r="G182" s="12" t="s">
        <v>2636</v>
      </c>
      <c r="H182" s="12" t="s">
        <v>39</v>
      </c>
      <c r="I182" s="12" t="s">
        <v>26</v>
      </c>
      <c r="J182" s="13" t="s">
        <v>2649</v>
      </c>
      <c r="K182" s="14" t="s">
        <v>2650</v>
      </c>
      <c r="L182" s="15">
        <v>0</v>
      </c>
      <c r="M182" s="15" t="s">
        <v>144</v>
      </c>
      <c r="N182" s="16">
        <v>45649</v>
      </c>
      <c r="O182" s="12" t="s">
        <v>2643</v>
      </c>
      <c r="P182" s="14" t="s">
        <v>2646</v>
      </c>
      <c r="Q182" s="17" t="s">
        <v>137</v>
      </c>
      <c r="R182" s="17" t="s">
        <v>146</v>
      </c>
    </row>
    <row r="183" spans="1:18" x14ac:dyDescent="0.3">
      <c r="A183" s="12" t="s">
        <v>2643</v>
      </c>
      <c r="B183" s="12" t="s">
        <v>14</v>
      </c>
      <c r="C183" s="12"/>
      <c r="D183" s="12" t="s">
        <v>14</v>
      </c>
      <c r="E183" s="12" t="s">
        <v>2651</v>
      </c>
      <c r="F183" s="12" t="s">
        <v>2652</v>
      </c>
      <c r="G183" s="12" t="s">
        <v>2636</v>
      </c>
      <c r="H183" s="12" t="s">
        <v>39</v>
      </c>
      <c r="I183" s="12" t="s">
        <v>26</v>
      </c>
      <c r="J183" s="13" t="s">
        <v>2649</v>
      </c>
      <c r="K183" s="14" t="s">
        <v>2650</v>
      </c>
      <c r="L183" s="15">
        <v>0</v>
      </c>
      <c r="M183" s="15" t="s">
        <v>144</v>
      </c>
      <c r="N183" s="16">
        <v>45649</v>
      </c>
      <c r="O183" s="12" t="s">
        <v>2643</v>
      </c>
      <c r="P183" s="14" t="s">
        <v>2646</v>
      </c>
      <c r="Q183" s="17" t="s">
        <v>137</v>
      </c>
      <c r="R183" s="17" t="s">
        <v>146</v>
      </c>
    </row>
    <row r="184" spans="1:18" x14ac:dyDescent="0.3">
      <c r="A184" s="12" t="s">
        <v>2673</v>
      </c>
      <c r="B184" s="12" t="s">
        <v>14</v>
      </c>
      <c r="C184" s="12"/>
      <c r="D184" s="12" t="s">
        <v>14</v>
      </c>
      <c r="E184" s="12" t="s">
        <v>2674</v>
      </c>
      <c r="F184" s="12" t="s">
        <v>1039</v>
      </c>
      <c r="G184" s="12" t="s">
        <v>2636</v>
      </c>
      <c r="H184" s="12" t="s">
        <v>39</v>
      </c>
      <c r="I184" s="12" t="s">
        <v>26</v>
      </c>
      <c r="J184" s="13" t="s">
        <v>2578</v>
      </c>
      <c r="K184" s="14" t="s">
        <v>2675</v>
      </c>
      <c r="L184" s="15">
        <v>2</v>
      </c>
      <c r="M184" s="15" t="s">
        <v>144</v>
      </c>
      <c r="N184" s="16">
        <v>45778</v>
      </c>
      <c r="O184" s="12" t="s">
        <v>1201</v>
      </c>
      <c r="P184" s="14" t="s">
        <v>1202</v>
      </c>
      <c r="Q184" s="17" t="s">
        <v>137</v>
      </c>
      <c r="R184" s="17" t="s">
        <v>146</v>
      </c>
    </row>
    <row r="185" spans="1:18" x14ac:dyDescent="0.3">
      <c r="A185" s="12" t="s">
        <v>2686</v>
      </c>
      <c r="B185" s="12" t="s">
        <v>14</v>
      </c>
      <c r="C185" s="12"/>
      <c r="D185" s="12" t="s">
        <v>14</v>
      </c>
      <c r="E185" s="12" t="s">
        <v>2687</v>
      </c>
      <c r="F185" s="12" t="s">
        <v>2688</v>
      </c>
      <c r="G185" s="12" t="s">
        <v>2636</v>
      </c>
      <c r="H185" s="12" t="s">
        <v>39</v>
      </c>
      <c r="I185" s="12" t="s">
        <v>26</v>
      </c>
      <c r="J185" s="13" t="s">
        <v>2578</v>
      </c>
      <c r="K185" s="14" t="s">
        <v>2689</v>
      </c>
      <c r="L185" s="15">
        <v>0</v>
      </c>
      <c r="M185" s="15" t="s">
        <v>144</v>
      </c>
      <c r="N185" s="16">
        <v>46085</v>
      </c>
      <c r="O185" s="12" t="s">
        <v>2686</v>
      </c>
      <c r="P185" s="14" t="s">
        <v>2690</v>
      </c>
      <c r="Q185" s="17" t="s">
        <v>137</v>
      </c>
      <c r="R185" s="17" t="s">
        <v>146</v>
      </c>
    </row>
    <row r="186" spans="1:18" x14ac:dyDescent="0.3">
      <c r="A186" s="12" t="s">
        <v>215</v>
      </c>
      <c r="B186" s="12" t="s">
        <v>10</v>
      </c>
      <c r="C186" s="12" t="s">
        <v>14</v>
      </c>
      <c r="D186" s="12" t="s">
        <v>702</v>
      </c>
      <c r="E186" s="12" t="s">
        <v>2706</v>
      </c>
      <c r="F186" s="12" t="s">
        <v>447</v>
      </c>
      <c r="G186" s="12" t="s">
        <v>2636</v>
      </c>
      <c r="H186" s="12" t="s">
        <v>39</v>
      </c>
      <c r="I186" s="12" t="s">
        <v>26</v>
      </c>
      <c r="J186" s="13" t="s">
        <v>2578</v>
      </c>
      <c r="K186" s="14" t="s">
        <v>2707</v>
      </c>
      <c r="L186" s="15">
        <v>4</v>
      </c>
      <c r="M186" s="15" t="s">
        <v>220</v>
      </c>
      <c r="N186" s="16">
        <v>45818</v>
      </c>
      <c r="O186" s="12" t="s">
        <v>215</v>
      </c>
      <c r="P186" s="14" t="s">
        <v>2708</v>
      </c>
      <c r="Q186" s="17" t="s">
        <v>137</v>
      </c>
      <c r="R186" s="17" t="s">
        <v>146</v>
      </c>
    </row>
    <row r="187" spans="1:18" x14ac:dyDescent="0.3">
      <c r="A187" s="12" t="s">
        <v>307</v>
      </c>
      <c r="B187" s="12" t="s">
        <v>14</v>
      </c>
      <c r="C187" s="12"/>
      <c r="D187" s="12" t="s">
        <v>14</v>
      </c>
      <c r="E187" s="12" t="s">
        <v>2722</v>
      </c>
      <c r="F187" s="12"/>
      <c r="G187" s="12" t="s">
        <v>2636</v>
      </c>
      <c r="H187" s="12" t="s">
        <v>39</v>
      </c>
      <c r="I187" s="12" t="s">
        <v>26</v>
      </c>
      <c r="J187" s="13" t="s">
        <v>2578</v>
      </c>
      <c r="K187" s="14" t="s">
        <v>2723</v>
      </c>
      <c r="L187" s="15">
        <v>5</v>
      </c>
      <c r="M187" s="15" t="s">
        <v>144</v>
      </c>
      <c r="N187" s="16">
        <v>46275</v>
      </c>
      <c r="O187" s="12" t="s">
        <v>307</v>
      </c>
      <c r="P187" s="14" t="s">
        <v>310</v>
      </c>
      <c r="Q187" s="17" t="s">
        <v>137</v>
      </c>
      <c r="R187" s="17" t="s">
        <v>146</v>
      </c>
    </row>
    <row r="188" spans="1:18" x14ac:dyDescent="0.3">
      <c r="A188" s="12" t="s">
        <v>2745</v>
      </c>
      <c r="B188" s="12" t="s">
        <v>14</v>
      </c>
      <c r="C188" s="12"/>
      <c r="D188" s="12" t="s">
        <v>14</v>
      </c>
      <c r="E188" s="12" t="s">
        <v>2746</v>
      </c>
      <c r="F188" s="12"/>
      <c r="G188" s="12" t="s">
        <v>2747</v>
      </c>
      <c r="H188" s="12" t="s">
        <v>43</v>
      </c>
      <c r="I188" s="12" t="s">
        <v>26</v>
      </c>
      <c r="J188" s="13" t="s">
        <v>2748</v>
      </c>
      <c r="K188" s="14" t="s">
        <v>2749</v>
      </c>
      <c r="L188" s="15">
        <v>1</v>
      </c>
      <c r="M188" s="15" t="s">
        <v>144</v>
      </c>
      <c r="N188" s="16">
        <v>45714</v>
      </c>
      <c r="O188" s="12" t="s">
        <v>2745</v>
      </c>
      <c r="P188" s="14" t="s">
        <v>2750</v>
      </c>
      <c r="Q188" s="17" t="s">
        <v>137</v>
      </c>
      <c r="R188" s="17" t="s">
        <v>146</v>
      </c>
    </row>
    <row r="189" spans="1:18" x14ac:dyDescent="0.3">
      <c r="A189" s="12" t="s">
        <v>2751</v>
      </c>
      <c r="B189" s="12" t="s">
        <v>14</v>
      </c>
      <c r="C189" s="12"/>
      <c r="D189" s="12" t="s">
        <v>14</v>
      </c>
      <c r="E189" s="12" t="s">
        <v>2752</v>
      </c>
      <c r="F189" s="12" t="s">
        <v>372</v>
      </c>
      <c r="G189" s="12" t="s">
        <v>2747</v>
      </c>
      <c r="H189" s="12" t="s">
        <v>43</v>
      </c>
      <c r="I189" s="12" t="s">
        <v>26</v>
      </c>
      <c r="J189" s="13" t="s">
        <v>2748</v>
      </c>
      <c r="K189" s="14" t="s">
        <v>2753</v>
      </c>
      <c r="L189" s="15">
        <v>1</v>
      </c>
      <c r="M189" s="15" t="s">
        <v>144</v>
      </c>
      <c r="N189" s="16">
        <v>46190</v>
      </c>
      <c r="O189" s="12" t="s">
        <v>2754</v>
      </c>
      <c r="P189" s="14" t="s">
        <v>2755</v>
      </c>
      <c r="Q189" s="17" t="s">
        <v>137</v>
      </c>
      <c r="R189" s="17" t="s">
        <v>146</v>
      </c>
    </row>
    <row r="190" spans="1:18" x14ac:dyDescent="0.3">
      <c r="A190" s="12" t="s">
        <v>475</v>
      </c>
      <c r="B190" s="12" t="s">
        <v>14</v>
      </c>
      <c r="C190" s="12"/>
      <c r="D190" s="12" t="s">
        <v>14</v>
      </c>
      <c r="E190" s="12" t="s">
        <v>2752</v>
      </c>
      <c r="F190" s="12" t="s">
        <v>547</v>
      </c>
      <c r="G190" s="12" t="s">
        <v>2747</v>
      </c>
      <c r="H190" s="12" t="s">
        <v>43</v>
      </c>
      <c r="I190" s="12" t="s">
        <v>26</v>
      </c>
      <c r="J190" s="13" t="s">
        <v>2748</v>
      </c>
      <c r="K190" s="14" t="s">
        <v>477</v>
      </c>
      <c r="L190" s="15">
        <v>1</v>
      </c>
      <c r="M190" s="15" t="s">
        <v>144</v>
      </c>
      <c r="N190" s="16">
        <v>45379</v>
      </c>
      <c r="O190" s="12" t="s">
        <v>475</v>
      </c>
      <c r="P190" s="14" t="s">
        <v>478</v>
      </c>
      <c r="Q190" s="17" t="s">
        <v>137</v>
      </c>
      <c r="R190" s="17" t="s">
        <v>146</v>
      </c>
    </row>
    <row r="191" spans="1:18" x14ac:dyDescent="0.3">
      <c r="A191" s="12" t="s">
        <v>2762</v>
      </c>
      <c r="B191" s="12" t="s">
        <v>14</v>
      </c>
      <c r="C191" s="12"/>
      <c r="D191" s="12" t="s">
        <v>14</v>
      </c>
      <c r="E191" s="12" t="s">
        <v>2763</v>
      </c>
      <c r="F191" s="12"/>
      <c r="G191" s="12" t="s">
        <v>2758</v>
      </c>
      <c r="H191" s="12" t="s">
        <v>43</v>
      </c>
      <c r="I191" s="12" t="s">
        <v>26</v>
      </c>
      <c r="J191" s="13" t="s">
        <v>2759</v>
      </c>
      <c r="K191" s="14" t="s">
        <v>2764</v>
      </c>
      <c r="L191" s="15">
        <v>0</v>
      </c>
      <c r="M191" s="15" t="s">
        <v>144</v>
      </c>
      <c r="N191" s="16">
        <v>45625</v>
      </c>
      <c r="O191" s="12" t="s">
        <v>2762</v>
      </c>
      <c r="P191" s="14" t="s">
        <v>2765</v>
      </c>
      <c r="Q191" s="17" t="s">
        <v>137</v>
      </c>
      <c r="R191" s="17" t="s">
        <v>146</v>
      </c>
    </row>
    <row r="192" spans="1:18" x14ac:dyDescent="0.3">
      <c r="A192" s="12" t="s">
        <v>199</v>
      </c>
      <c r="B192" s="12" t="s">
        <v>14</v>
      </c>
      <c r="C192" s="12"/>
      <c r="D192" s="12" t="s">
        <v>14</v>
      </c>
      <c r="E192" s="12" t="s">
        <v>2800</v>
      </c>
      <c r="F192" s="12" t="s">
        <v>188</v>
      </c>
      <c r="G192" s="12" t="s">
        <v>2768</v>
      </c>
      <c r="H192" s="12" t="s">
        <v>43</v>
      </c>
      <c r="I192" s="12" t="s">
        <v>26</v>
      </c>
      <c r="J192" s="13" t="s">
        <v>2769</v>
      </c>
      <c r="K192" s="14" t="s">
        <v>2801</v>
      </c>
      <c r="L192" s="15">
        <v>6</v>
      </c>
      <c r="M192" s="15" t="s">
        <v>144</v>
      </c>
      <c r="N192" s="16">
        <v>45589</v>
      </c>
      <c r="O192" s="12" t="s">
        <v>203</v>
      </c>
      <c r="P192" s="14" t="s">
        <v>2802</v>
      </c>
      <c r="Q192" s="17" t="s">
        <v>137</v>
      </c>
      <c r="R192" s="17" t="s">
        <v>146</v>
      </c>
    </row>
    <row r="193" spans="1:18" x14ac:dyDescent="0.3">
      <c r="A193" s="12" t="s">
        <v>475</v>
      </c>
      <c r="B193" s="12" t="s">
        <v>14</v>
      </c>
      <c r="C193" s="12"/>
      <c r="D193" s="12" t="s">
        <v>14</v>
      </c>
      <c r="E193" s="12" t="s">
        <v>2833</v>
      </c>
      <c r="F193" s="12"/>
      <c r="G193" s="12" t="s">
        <v>2826</v>
      </c>
      <c r="H193" s="12" t="s">
        <v>43</v>
      </c>
      <c r="I193" s="12" t="s">
        <v>26</v>
      </c>
      <c r="J193" s="13" t="s">
        <v>2827</v>
      </c>
      <c r="K193" s="14" t="s">
        <v>477</v>
      </c>
      <c r="L193" s="15">
        <v>0</v>
      </c>
      <c r="M193" s="15" t="s">
        <v>144</v>
      </c>
      <c r="N193" s="16">
        <v>45379</v>
      </c>
      <c r="O193" s="12" t="s">
        <v>475</v>
      </c>
      <c r="P193" s="14" t="s">
        <v>478</v>
      </c>
      <c r="Q193" s="17" t="s">
        <v>137</v>
      </c>
      <c r="R193" s="17" t="s">
        <v>146</v>
      </c>
    </row>
    <row r="194" spans="1:18" x14ac:dyDescent="0.3">
      <c r="A194" s="12" t="s">
        <v>307</v>
      </c>
      <c r="B194" s="12" t="s">
        <v>14</v>
      </c>
      <c r="C194" s="12"/>
      <c r="D194" s="12" t="s">
        <v>14</v>
      </c>
      <c r="E194" s="12" t="s">
        <v>2834</v>
      </c>
      <c r="F194" s="12"/>
      <c r="G194" s="12" t="s">
        <v>2826</v>
      </c>
      <c r="H194" s="12" t="s">
        <v>43</v>
      </c>
      <c r="I194" s="12" t="s">
        <v>26</v>
      </c>
      <c r="J194" s="13" t="s">
        <v>2827</v>
      </c>
      <c r="K194" s="14" t="s">
        <v>2456</v>
      </c>
      <c r="L194" s="15">
        <v>0</v>
      </c>
      <c r="M194" s="15" t="s">
        <v>144</v>
      </c>
      <c r="N194" s="16">
        <v>46275</v>
      </c>
      <c r="O194" s="12" t="s">
        <v>307</v>
      </c>
      <c r="P194" s="14" t="s">
        <v>310</v>
      </c>
      <c r="Q194" s="17" t="s">
        <v>137</v>
      </c>
      <c r="R194" s="17" t="s">
        <v>146</v>
      </c>
    </row>
    <row r="195" spans="1:18" x14ac:dyDescent="0.3">
      <c r="A195" s="12" t="s">
        <v>307</v>
      </c>
      <c r="B195" s="12" t="s">
        <v>14</v>
      </c>
      <c r="C195" s="12"/>
      <c r="D195" s="12" t="s">
        <v>14</v>
      </c>
      <c r="E195" s="12" t="s">
        <v>2846</v>
      </c>
      <c r="F195" s="12" t="s">
        <v>467</v>
      </c>
      <c r="G195" s="12" t="s">
        <v>2847</v>
      </c>
      <c r="H195" s="12" t="s">
        <v>43</v>
      </c>
      <c r="I195" s="12" t="s">
        <v>26</v>
      </c>
      <c r="J195" s="13" t="s">
        <v>2848</v>
      </c>
      <c r="K195" s="14" t="s">
        <v>2849</v>
      </c>
      <c r="L195" s="15">
        <v>5</v>
      </c>
      <c r="M195" s="15" t="s">
        <v>144</v>
      </c>
      <c r="N195" s="16">
        <v>46275</v>
      </c>
      <c r="O195" s="12" t="s">
        <v>307</v>
      </c>
      <c r="P195" s="14" t="s">
        <v>310</v>
      </c>
      <c r="Q195" s="17" t="s">
        <v>137</v>
      </c>
      <c r="R195" s="17" t="s">
        <v>146</v>
      </c>
    </row>
    <row r="196" spans="1:18" x14ac:dyDescent="0.3">
      <c r="A196" s="12" t="s">
        <v>2857</v>
      </c>
      <c r="B196" s="12" t="s">
        <v>14</v>
      </c>
      <c r="C196" s="12"/>
      <c r="D196" s="12" t="s">
        <v>14</v>
      </c>
      <c r="E196" s="12" t="s">
        <v>2858</v>
      </c>
      <c r="F196" s="12"/>
      <c r="G196" s="12" t="s">
        <v>2852</v>
      </c>
      <c r="H196" s="12" t="s">
        <v>80</v>
      </c>
      <c r="I196" s="12" t="s">
        <v>27</v>
      </c>
      <c r="J196" s="13" t="s">
        <v>2853</v>
      </c>
      <c r="K196" s="14" t="s">
        <v>2859</v>
      </c>
      <c r="L196" s="15">
        <v>0</v>
      </c>
      <c r="M196" s="15" t="s">
        <v>144</v>
      </c>
      <c r="N196" s="16">
        <v>46183</v>
      </c>
      <c r="O196" s="12" t="s">
        <v>2860</v>
      </c>
      <c r="P196" s="14" t="s">
        <v>2861</v>
      </c>
      <c r="Q196" s="17" t="s">
        <v>137</v>
      </c>
      <c r="R196" s="17" t="s">
        <v>146</v>
      </c>
    </row>
    <row r="197" spans="1:18" x14ac:dyDescent="0.3">
      <c r="A197" s="12" t="s">
        <v>2879</v>
      </c>
      <c r="B197" s="12" t="s">
        <v>12</v>
      </c>
      <c r="C197" s="12" t="s">
        <v>14</v>
      </c>
      <c r="D197" s="12" t="s">
        <v>180</v>
      </c>
      <c r="E197" s="12" t="s">
        <v>2880</v>
      </c>
      <c r="F197" s="12" t="s">
        <v>372</v>
      </c>
      <c r="G197" s="12" t="s">
        <v>2870</v>
      </c>
      <c r="H197" s="12" t="s">
        <v>58</v>
      </c>
      <c r="I197" s="12" t="s">
        <v>27</v>
      </c>
      <c r="J197" s="13" t="s">
        <v>2871</v>
      </c>
      <c r="K197" s="14" t="s">
        <v>2881</v>
      </c>
      <c r="L197" s="15">
        <v>1</v>
      </c>
      <c r="M197" s="15" t="s">
        <v>144</v>
      </c>
      <c r="N197" s="16">
        <v>45810</v>
      </c>
      <c r="O197" s="12" t="s">
        <v>2879</v>
      </c>
      <c r="P197" s="14" t="s">
        <v>2882</v>
      </c>
      <c r="Q197" s="17" t="s">
        <v>137</v>
      </c>
      <c r="R197" s="17" t="s">
        <v>146</v>
      </c>
    </row>
    <row r="198" spans="1:18" x14ac:dyDescent="0.3">
      <c r="A198" s="12" t="s">
        <v>2879</v>
      </c>
      <c r="B198" s="12" t="s">
        <v>12</v>
      </c>
      <c r="C198" s="12" t="s">
        <v>14</v>
      </c>
      <c r="D198" s="12" t="s">
        <v>180</v>
      </c>
      <c r="E198" s="12" t="s">
        <v>2883</v>
      </c>
      <c r="F198" s="12" t="s">
        <v>2884</v>
      </c>
      <c r="G198" s="12" t="s">
        <v>2870</v>
      </c>
      <c r="H198" s="12" t="s">
        <v>58</v>
      </c>
      <c r="I198" s="12" t="s">
        <v>27</v>
      </c>
      <c r="J198" s="13" t="s">
        <v>2871</v>
      </c>
      <c r="K198" s="14" t="s">
        <v>2881</v>
      </c>
      <c r="L198" s="15">
        <v>1</v>
      </c>
      <c r="M198" s="15" t="s">
        <v>144</v>
      </c>
      <c r="N198" s="16">
        <v>45810</v>
      </c>
      <c r="O198" s="12" t="s">
        <v>2879</v>
      </c>
      <c r="P198" s="14" t="s">
        <v>2882</v>
      </c>
      <c r="Q198" s="17" t="s">
        <v>137</v>
      </c>
      <c r="R198" s="17" t="s">
        <v>146</v>
      </c>
    </row>
    <row r="199" spans="1:18" x14ac:dyDescent="0.3">
      <c r="A199" s="12" t="s">
        <v>2885</v>
      </c>
      <c r="B199" s="12" t="s">
        <v>14</v>
      </c>
      <c r="C199" s="12"/>
      <c r="D199" s="12" t="s">
        <v>14</v>
      </c>
      <c r="E199" s="12" t="s">
        <v>2886</v>
      </c>
      <c r="F199" s="12"/>
      <c r="G199" s="12" t="s">
        <v>2887</v>
      </c>
      <c r="H199" s="12" t="s">
        <v>58</v>
      </c>
      <c r="I199" s="12" t="s">
        <v>27</v>
      </c>
      <c r="J199" s="13" t="s">
        <v>2888</v>
      </c>
      <c r="K199" s="14" t="s">
        <v>2889</v>
      </c>
      <c r="L199" s="15">
        <v>1</v>
      </c>
      <c r="M199" s="15" t="s">
        <v>144</v>
      </c>
      <c r="N199" s="16">
        <v>46175</v>
      </c>
      <c r="O199" s="12" t="s">
        <v>2885</v>
      </c>
      <c r="P199" s="14" t="s">
        <v>2890</v>
      </c>
      <c r="Q199" s="17" t="s">
        <v>137</v>
      </c>
      <c r="R199" s="17" t="s">
        <v>146</v>
      </c>
    </row>
    <row r="200" spans="1:18" x14ac:dyDescent="0.3">
      <c r="A200" s="12" t="s">
        <v>199</v>
      </c>
      <c r="B200" s="12" t="s">
        <v>14</v>
      </c>
      <c r="C200" s="12"/>
      <c r="D200" s="12" t="s">
        <v>14</v>
      </c>
      <c r="E200" s="12" t="s">
        <v>2921</v>
      </c>
      <c r="F200" s="12"/>
      <c r="G200" s="12" t="s">
        <v>94</v>
      </c>
      <c r="H200" s="12" t="s">
        <v>44</v>
      </c>
      <c r="I200" s="12" t="s">
        <v>27</v>
      </c>
      <c r="J200" s="13" t="s">
        <v>2922</v>
      </c>
      <c r="K200" s="14" t="s">
        <v>2923</v>
      </c>
      <c r="L200" s="15">
        <v>2</v>
      </c>
      <c r="M200" s="15" t="s">
        <v>144</v>
      </c>
      <c r="N200" s="16">
        <v>46106</v>
      </c>
      <c r="O200" s="12" t="s">
        <v>203</v>
      </c>
      <c r="P200" s="14" t="s">
        <v>2924</v>
      </c>
      <c r="Q200" s="17" t="s">
        <v>137</v>
      </c>
      <c r="R200" s="17" t="s">
        <v>146</v>
      </c>
    </row>
    <row r="201" spans="1:18" x14ac:dyDescent="0.3">
      <c r="A201" s="12" t="s">
        <v>199</v>
      </c>
      <c r="B201" s="12" t="s">
        <v>14</v>
      </c>
      <c r="C201" s="12"/>
      <c r="D201" s="12" t="s">
        <v>14</v>
      </c>
      <c r="E201" s="12" t="s">
        <v>2925</v>
      </c>
      <c r="F201" s="12" t="s">
        <v>1988</v>
      </c>
      <c r="G201" s="12" t="s">
        <v>2926</v>
      </c>
      <c r="H201" s="12" t="s">
        <v>44</v>
      </c>
      <c r="I201" s="12" t="s">
        <v>27</v>
      </c>
      <c r="J201" s="13" t="s">
        <v>2927</v>
      </c>
      <c r="K201" s="14" t="s">
        <v>2801</v>
      </c>
      <c r="L201" s="15">
        <v>5</v>
      </c>
      <c r="M201" s="15" t="s">
        <v>144</v>
      </c>
      <c r="N201" s="16">
        <v>45589</v>
      </c>
      <c r="O201" s="12" t="s">
        <v>203</v>
      </c>
      <c r="P201" s="14" t="s">
        <v>2928</v>
      </c>
      <c r="Q201" s="17" t="s">
        <v>137</v>
      </c>
      <c r="R201" s="17" t="s">
        <v>146</v>
      </c>
    </row>
    <row r="202" spans="1:18" x14ac:dyDescent="0.3">
      <c r="A202" s="12" t="s">
        <v>2952</v>
      </c>
      <c r="B202" s="12" t="s">
        <v>14</v>
      </c>
      <c r="C202" s="12"/>
      <c r="D202" s="12" t="s">
        <v>14</v>
      </c>
      <c r="E202" s="12" t="s">
        <v>2953</v>
      </c>
      <c r="F202" s="12"/>
      <c r="G202" s="12" t="s">
        <v>2937</v>
      </c>
      <c r="H202" s="12" t="s">
        <v>44</v>
      </c>
      <c r="I202" s="12" t="s">
        <v>27</v>
      </c>
      <c r="J202" s="13" t="s">
        <v>2938</v>
      </c>
      <c r="K202" s="14" t="s">
        <v>2954</v>
      </c>
      <c r="L202" s="15">
        <v>0</v>
      </c>
      <c r="M202" s="15" t="s">
        <v>144</v>
      </c>
      <c r="N202" s="16">
        <v>45386</v>
      </c>
      <c r="O202" s="12" t="s">
        <v>2952</v>
      </c>
      <c r="P202" s="14" t="s">
        <v>2955</v>
      </c>
      <c r="Q202" s="17" t="s">
        <v>137</v>
      </c>
      <c r="R202" s="17" t="s">
        <v>146</v>
      </c>
    </row>
    <row r="203" spans="1:18" x14ac:dyDescent="0.3">
      <c r="A203" s="12" t="s">
        <v>199</v>
      </c>
      <c r="B203" s="12" t="s">
        <v>14</v>
      </c>
      <c r="C203" s="12"/>
      <c r="D203" s="12" t="s">
        <v>14</v>
      </c>
      <c r="E203" s="12" t="s">
        <v>2956</v>
      </c>
      <c r="F203" s="12" t="s">
        <v>2957</v>
      </c>
      <c r="G203" s="12" t="s">
        <v>2937</v>
      </c>
      <c r="H203" s="12" t="s">
        <v>44</v>
      </c>
      <c r="I203" s="12" t="s">
        <v>27</v>
      </c>
      <c r="J203" s="13" t="s">
        <v>2938</v>
      </c>
      <c r="K203" s="14" t="s">
        <v>2958</v>
      </c>
      <c r="L203" s="15">
        <v>4</v>
      </c>
      <c r="M203" s="15" t="s">
        <v>144</v>
      </c>
      <c r="N203" s="16">
        <v>45951</v>
      </c>
      <c r="O203" s="12" t="s">
        <v>331</v>
      </c>
      <c r="P203" s="14" t="s">
        <v>2959</v>
      </c>
      <c r="Q203" s="17" t="s">
        <v>137</v>
      </c>
      <c r="R203" s="17" t="s">
        <v>146</v>
      </c>
    </row>
    <row r="204" spans="1:18" x14ac:dyDescent="0.3">
      <c r="A204" s="12" t="s">
        <v>2960</v>
      </c>
      <c r="B204" s="12" t="s">
        <v>12</v>
      </c>
      <c r="C204" s="12" t="s">
        <v>14</v>
      </c>
      <c r="D204" s="12" t="s">
        <v>180</v>
      </c>
      <c r="E204" s="12" t="s">
        <v>2956</v>
      </c>
      <c r="F204" s="12" t="s">
        <v>2961</v>
      </c>
      <c r="G204" s="12" t="s">
        <v>2937</v>
      </c>
      <c r="H204" s="12" t="s">
        <v>44</v>
      </c>
      <c r="I204" s="12" t="s">
        <v>27</v>
      </c>
      <c r="J204" s="13" t="s">
        <v>2938</v>
      </c>
      <c r="K204" s="14" t="s">
        <v>2962</v>
      </c>
      <c r="L204" s="15">
        <v>5</v>
      </c>
      <c r="M204" s="15" t="s">
        <v>144</v>
      </c>
      <c r="N204" s="16">
        <v>46097</v>
      </c>
      <c r="O204" s="12" t="s">
        <v>2963</v>
      </c>
      <c r="P204" s="14" t="s">
        <v>2964</v>
      </c>
      <c r="Q204" s="17" t="s">
        <v>137</v>
      </c>
      <c r="R204" s="17" t="s">
        <v>146</v>
      </c>
    </row>
    <row r="205" spans="1:18" x14ac:dyDescent="0.3">
      <c r="A205" s="12" t="s">
        <v>2984</v>
      </c>
      <c r="B205" s="12" t="s">
        <v>14</v>
      </c>
      <c r="C205" s="12"/>
      <c r="D205" s="12" t="s">
        <v>14</v>
      </c>
      <c r="E205" s="12" t="s">
        <v>2985</v>
      </c>
      <c r="F205" s="12" t="s">
        <v>2986</v>
      </c>
      <c r="G205" s="12" t="s">
        <v>2973</v>
      </c>
      <c r="H205" s="12" t="s">
        <v>44</v>
      </c>
      <c r="I205" s="12" t="s">
        <v>27</v>
      </c>
      <c r="J205" s="13" t="s">
        <v>2974</v>
      </c>
      <c r="K205" s="14" t="s">
        <v>2987</v>
      </c>
      <c r="L205" s="15">
        <v>0</v>
      </c>
      <c r="M205" s="15" t="s">
        <v>144</v>
      </c>
      <c r="N205" s="16">
        <v>45963</v>
      </c>
      <c r="O205" s="12" t="s">
        <v>2984</v>
      </c>
      <c r="P205" s="14" t="s">
        <v>2988</v>
      </c>
      <c r="Q205" s="17" t="s">
        <v>137</v>
      </c>
      <c r="R205" s="17" t="s">
        <v>146</v>
      </c>
    </row>
    <row r="206" spans="1:18" x14ac:dyDescent="0.3">
      <c r="A206" s="12" t="s">
        <v>2989</v>
      </c>
      <c r="B206" s="12" t="s">
        <v>14</v>
      </c>
      <c r="C206" s="12"/>
      <c r="D206" s="12" t="s">
        <v>14</v>
      </c>
      <c r="E206" s="12" t="s">
        <v>2990</v>
      </c>
      <c r="F206" s="12"/>
      <c r="G206" s="12" t="s">
        <v>2973</v>
      </c>
      <c r="H206" s="12" t="s">
        <v>44</v>
      </c>
      <c r="I206" s="12" t="s">
        <v>27</v>
      </c>
      <c r="J206" s="13" t="s">
        <v>2974</v>
      </c>
      <c r="K206" s="14" t="s">
        <v>2991</v>
      </c>
      <c r="L206" s="15">
        <v>0</v>
      </c>
      <c r="M206" s="15" t="s">
        <v>144</v>
      </c>
      <c r="N206" s="16">
        <v>45528</v>
      </c>
      <c r="O206" s="12" t="s">
        <v>2992</v>
      </c>
      <c r="P206" s="14" t="s">
        <v>2993</v>
      </c>
      <c r="Q206" s="17" t="s">
        <v>137</v>
      </c>
      <c r="R206" s="17" t="s">
        <v>146</v>
      </c>
    </row>
    <row r="207" spans="1:18" x14ac:dyDescent="0.3">
      <c r="A207" s="12" t="s">
        <v>2998</v>
      </c>
      <c r="B207" s="12" t="s">
        <v>14</v>
      </c>
      <c r="C207" s="12"/>
      <c r="D207" s="12" t="s">
        <v>14</v>
      </c>
      <c r="E207" s="12" t="s">
        <v>2999</v>
      </c>
      <c r="F207" s="12"/>
      <c r="G207" s="12" t="s">
        <v>2973</v>
      </c>
      <c r="H207" s="12" t="s">
        <v>44</v>
      </c>
      <c r="I207" s="12" t="s">
        <v>27</v>
      </c>
      <c r="J207" s="13" t="s">
        <v>2980</v>
      </c>
      <c r="K207" s="14" t="s">
        <v>3000</v>
      </c>
      <c r="L207" s="15">
        <v>0</v>
      </c>
      <c r="M207" s="15" t="s">
        <v>144</v>
      </c>
      <c r="N207" s="16">
        <v>45307</v>
      </c>
      <c r="O207" s="12" t="s">
        <v>2998</v>
      </c>
      <c r="P207" s="14" t="s">
        <v>3001</v>
      </c>
      <c r="Q207" s="17" t="s">
        <v>137</v>
      </c>
      <c r="R207" s="17" t="s">
        <v>146</v>
      </c>
    </row>
    <row r="208" spans="1:18" x14ac:dyDescent="0.3">
      <c r="A208" s="12" t="s">
        <v>3002</v>
      </c>
      <c r="B208" s="12" t="s">
        <v>14</v>
      </c>
      <c r="C208" s="12"/>
      <c r="D208" s="12" t="s">
        <v>14</v>
      </c>
      <c r="E208" s="12" t="s">
        <v>3003</v>
      </c>
      <c r="F208" s="12" t="s">
        <v>3004</v>
      </c>
      <c r="G208" s="12" t="s">
        <v>2973</v>
      </c>
      <c r="H208" s="12" t="s">
        <v>44</v>
      </c>
      <c r="I208" s="12" t="s">
        <v>27</v>
      </c>
      <c r="J208" s="13" t="s">
        <v>2980</v>
      </c>
      <c r="K208" s="14" t="s">
        <v>3005</v>
      </c>
      <c r="L208" s="15">
        <v>2</v>
      </c>
      <c r="M208" s="15" t="s">
        <v>144</v>
      </c>
      <c r="N208" s="16">
        <v>44712</v>
      </c>
      <c r="O208" s="12" t="s">
        <v>3002</v>
      </c>
      <c r="P208" s="14" t="s">
        <v>3006</v>
      </c>
      <c r="Q208" s="17" t="s">
        <v>137</v>
      </c>
      <c r="R208" s="17" t="s">
        <v>146</v>
      </c>
    </row>
    <row r="209" spans="1:18" x14ac:dyDescent="0.3">
      <c r="A209" s="12" t="s">
        <v>3027</v>
      </c>
      <c r="B209" s="12" t="s">
        <v>14</v>
      </c>
      <c r="C209" s="12"/>
      <c r="D209" s="12" t="s">
        <v>14</v>
      </c>
      <c r="E209" s="12" t="s">
        <v>3028</v>
      </c>
      <c r="F209" s="12"/>
      <c r="G209" s="12" t="s">
        <v>104</v>
      </c>
      <c r="H209" s="12" t="s">
        <v>104</v>
      </c>
      <c r="I209" s="12" t="s">
        <v>27</v>
      </c>
      <c r="J209" s="13" t="s">
        <v>3029</v>
      </c>
      <c r="K209" s="14" t="s">
        <v>3030</v>
      </c>
      <c r="L209" s="15">
        <v>0</v>
      </c>
      <c r="M209" s="15" t="s">
        <v>144</v>
      </c>
      <c r="N209" s="16">
        <v>44609</v>
      </c>
      <c r="O209" s="12" t="s">
        <v>3027</v>
      </c>
      <c r="P209" s="14" t="s">
        <v>3031</v>
      </c>
      <c r="Q209" s="17" t="s">
        <v>137</v>
      </c>
      <c r="R209" s="17" t="s">
        <v>146</v>
      </c>
    </row>
    <row r="210" spans="1:18" x14ac:dyDescent="0.3">
      <c r="A210" s="12" t="s">
        <v>3039</v>
      </c>
      <c r="B210" s="12" t="s">
        <v>14</v>
      </c>
      <c r="C210" s="12"/>
      <c r="D210" s="12" t="s">
        <v>14</v>
      </c>
      <c r="E210" s="12" t="s">
        <v>3040</v>
      </c>
      <c r="F210" s="12"/>
      <c r="G210" s="12" t="s">
        <v>3041</v>
      </c>
      <c r="H210" s="12" t="s">
        <v>71</v>
      </c>
      <c r="I210" s="12" t="s">
        <v>28</v>
      </c>
      <c r="J210" s="13" t="s">
        <v>3042</v>
      </c>
      <c r="K210" s="14" t="s">
        <v>3043</v>
      </c>
      <c r="L210" s="15">
        <v>3</v>
      </c>
      <c r="M210" s="15" t="s">
        <v>144</v>
      </c>
      <c r="N210" s="16">
        <v>45911</v>
      </c>
      <c r="O210" s="12" t="s">
        <v>3044</v>
      </c>
      <c r="P210" s="14" t="s">
        <v>3045</v>
      </c>
      <c r="Q210" s="17" t="s">
        <v>137</v>
      </c>
      <c r="R210" s="17" t="s">
        <v>146</v>
      </c>
    </row>
    <row r="211" spans="1:18" x14ac:dyDescent="0.3">
      <c r="A211" s="12" t="s">
        <v>307</v>
      </c>
      <c r="B211" s="12" t="s">
        <v>14</v>
      </c>
      <c r="C211" s="12"/>
      <c r="D211" s="12" t="s">
        <v>14</v>
      </c>
      <c r="E211" s="12" t="s">
        <v>3050</v>
      </c>
      <c r="F211" s="12"/>
      <c r="G211" s="12" t="s">
        <v>3041</v>
      </c>
      <c r="H211" s="12" t="s">
        <v>71</v>
      </c>
      <c r="I211" s="12" t="s">
        <v>28</v>
      </c>
      <c r="J211" s="13" t="s">
        <v>3042</v>
      </c>
      <c r="K211" s="14" t="s">
        <v>3051</v>
      </c>
      <c r="L211" s="15">
        <v>2</v>
      </c>
      <c r="M211" s="15" t="s">
        <v>144</v>
      </c>
      <c r="N211" s="16">
        <v>46275</v>
      </c>
      <c r="O211" s="12" t="s">
        <v>307</v>
      </c>
      <c r="P211" s="14" t="s">
        <v>310</v>
      </c>
      <c r="Q211" s="17" t="s">
        <v>137</v>
      </c>
      <c r="R211" s="17" t="s">
        <v>146</v>
      </c>
    </row>
    <row r="212" spans="1:18" x14ac:dyDescent="0.3">
      <c r="A212" s="12" t="s">
        <v>3058</v>
      </c>
      <c r="B212" s="12" t="s">
        <v>14</v>
      </c>
      <c r="C212" s="12"/>
      <c r="D212" s="12" t="s">
        <v>14</v>
      </c>
      <c r="E212" s="12" t="s">
        <v>3059</v>
      </c>
      <c r="F212" s="12"/>
      <c r="G212" s="12" t="s">
        <v>3054</v>
      </c>
      <c r="H212" s="12" t="s">
        <v>49</v>
      </c>
      <c r="I212" s="12" t="s">
        <v>28</v>
      </c>
      <c r="J212" s="13" t="s">
        <v>3055</v>
      </c>
      <c r="K212" s="14" t="s">
        <v>3060</v>
      </c>
      <c r="L212" s="15">
        <v>24</v>
      </c>
      <c r="M212" s="15" t="s">
        <v>144</v>
      </c>
      <c r="N212" s="16">
        <v>45989</v>
      </c>
      <c r="O212" s="12" t="s">
        <v>3058</v>
      </c>
      <c r="P212" s="14" t="s">
        <v>3061</v>
      </c>
      <c r="Q212" s="17" t="s">
        <v>137</v>
      </c>
      <c r="R212" s="17" t="s">
        <v>146</v>
      </c>
    </row>
    <row r="213" spans="1:18" x14ac:dyDescent="0.3">
      <c r="A213" s="12" t="s">
        <v>3084</v>
      </c>
      <c r="B213" s="12" t="s">
        <v>14</v>
      </c>
      <c r="C213" s="12"/>
      <c r="D213" s="12" t="s">
        <v>14</v>
      </c>
      <c r="E213" s="12" t="s">
        <v>3085</v>
      </c>
      <c r="F213" s="12"/>
      <c r="G213" s="12" t="s">
        <v>3054</v>
      </c>
      <c r="H213" s="12" t="s">
        <v>49</v>
      </c>
      <c r="I213" s="12" t="s">
        <v>28</v>
      </c>
      <c r="J213" s="13" t="s">
        <v>3055</v>
      </c>
      <c r="K213" s="14" t="s">
        <v>3086</v>
      </c>
      <c r="L213" s="15">
        <v>0</v>
      </c>
      <c r="M213" s="15" t="s">
        <v>144</v>
      </c>
      <c r="N213" s="16">
        <v>46209</v>
      </c>
      <c r="O213" s="12" t="s">
        <v>3084</v>
      </c>
      <c r="P213" s="14" t="s">
        <v>3087</v>
      </c>
      <c r="Q213" s="17" t="s">
        <v>137</v>
      </c>
      <c r="R213" s="17" t="s">
        <v>146</v>
      </c>
    </row>
    <row r="214" spans="1:18" x14ac:dyDescent="0.3">
      <c r="A214" s="12" t="s">
        <v>3114</v>
      </c>
      <c r="B214" s="12" t="s">
        <v>14</v>
      </c>
      <c r="C214" s="12"/>
      <c r="D214" s="12" t="s">
        <v>14</v>
      </c>
      <c r="E214" s="12" t="s">
        <v>3115</v>
      </c>
      <c r="F214" s="12"/>
      <c r="G214" s="12" t="s">
        <v>3109</v>
      </c>
      <c r="H214" s="12" t="s">
        <v>60</v>
      </c>
      <c r="I214" s="12" t="s">
        <v>28</v>
      </c>
      <c r="J214" s="13" t="s">
        <v>3110</v>
      </c>
      <c r="K214" s="14" t="s">
        <v>3116</v>
      </c>
      <c r="L214" s="15">
        <v>1</v>
      </c>
      <c r="M214" s="15" t="s">
        <v>144</v>
      </c>
      <c r="N214" s="16">
        <v>46258</v>
      </c>
      <c r="O214" s="12" t="s">
        <v>3114</v>
      </c>
      <c r="P214" s="14" t="s">
        <v>3117</v>
      </c>
      <c r="Q214" s="17" t="s">
        <v>137</v>
      </c>
      <c r="R214" s="17" t="s">
        <v>146</v>
      </c>
    </row>
    <row r="215" spans="1:18" x14ac:dyDescent="0.3">
      <c r="A215" s="12" t="s">
        <v>307</v>
      </c>
      <c r="B215" s="12" t="s">
        <v>14</v>
      </c>
      <c r="C215" s="12"/>
      <c r="D215" s="12" t="s">
        <v>14</v>
      </c>
      <c r="E215" s="12" t="s">
        <v>3118</v>
      </c>
      <c r="F215" s="12"/>
      <c r="G215" s="12" t="s">
        <v>3119</v>
      </c>
      <c r="H215" s="12" t="s">
        <v>60</v>
      </c>
      <c r="I215" s="12" t="s">
        <v>28</v>
      </c>
      <c r="J215" s="13" t="s">
        <v>3120</v>
      </c>
      <c r="K215" s="14" t="s">
        <v>3121</v>
      </c>
      <c r="L215" s="15">
        <v>1</v>
      </c>
      <c r="M215" s="15" t="s">
        <v>144</v>
      </c>
      <c r="N215" s="16">
        <v>46275</v>
      </c>
      <c r="O215" s="12" t="s">
        <v>307</v>
      </c>
      <c r="P215" s="14" t="s">
        <v>310</v>
      </c>
      <c r="Q215" s="17" t="s">
        <v>137</v>
      </c>
      <c r="R215" s="17" t="s">
        <v>146</v>
      </c>
    </row>
    <row r="216" spans="1:18" x14ac:dyDescent="0.3">
      <c r="A216" s="12" t="s">
        <v>307</v>
      </c>
      <c r="B216" s="12" t="s">
        <v>14</v>
      </c>
      <c r="C216" s="12"/>
      <c r="D216" s="12" t="s">
        <v>14</v>
      </c>
      <c r="E216" s="12" t="s">
        <v>3122</v>
      </c>
      <c r="F216" s="12" t="s">
        <v>248</v>
      </c>
      <c r="G216" s="12" t="s">
        <v>3119</v>
      </c>
      <c r="H216" s="12" t="s">
        <v>60</v>
      </c>
      <c r="I216" s="12" t="s">
        <v>28</v>
      </c>
      <c r="J216" s="13" t="s">
        <v>3120</v>
      </c>
      <c r="K216" s="14" t="s">
        <v>3121</v>
      </c>
      <c r="L216" s="15">
        <v>1</v>
      </c>
      <c r="M216" s="15" t="s">
        <v>144</v>
      </c>
      <c r="N216" s="16">
        <v>46275</v>
      </c>
      <c r="O216" s="12" t="s">
        <v>307</v>
      </c>
      <c r="P216" s="14" t="s">
        <v>310</v>
      </c>
      <c r="Q216" s="17" t="s">
        <v>137</v>
      </c>
      <c r="R216" s="17" t="s">
        <v>146</v>
      </c>
    </row>
    <row r="217" spans="1:18" x14ac:dyDescent="0.3">
      <c r="A217" s="12" t="s">
        <v>307</v>
      </c>
      <c r="B217" s="12" t="s">
        <v>14</v>
      </c>
      <c r="C217" s="12"/>
      <c r="D217" s="12" t="s">
        <v>14</v>
      </c>
      <c r="E217" s="12" t="s">
        <v>3128</v>
      </c>
      <c r="F217" s="12" t="s">
        <v>467</v>
      </c>
      <c r="G217" s="12" t="s">
        <v>3124</v>
      </c>
      <c r="H217" s="12" t="s">
        <v>60</v>
      </c>
      <c r="I217" s="12" t="s">
        <v>28</v>
      </c>
      <c r="J217" s="13" t="s">
        <v>3125</v>
      </c>
      <c r="K217" s="14" t="s">
        <v>3129</v>
      </c>
      <c r="L217" s="15">
        <v>5</v>
      </c>
      <c r="M217" s="15" t="s">
        <v>144</v>
      </c>
      <c r="N217" s="16">
        <v>46275</v>
      </c>
      <c r="O217" s="12" t="s">
        <v>307</v>
      </c>
      <c r="P217" s="14" t="s">
        <v>310</v>
      </c>
      <c r="Q217" s="17" t="s">
        <v>137</v>
      </c>
      <c r="R217" s="17" t="s">
        <v>146</v>
      </c>
    </row>
    <row r="218" spans="1:18" x14ac:dyDescent="0.3">
      <c r="A218" s="12" t="s">
        <v>3142</v>
      </c>
      <c r="B218" s="12" t="s">
        <v>14</v>
      </c>
      <c r="C218" s="12"/>
      <c r="D218" s="12" t="s">
        <v>14</v>
      </c>
      <c r="E218" s="12" t="s">
        <v>3143</v>
      </c>
      <c r="F218" s="12" t="s">
        <v>1270</v>
      </c>
      <c r="G218" s="12" t="s">
        <v>3144</v>
      </c>
      <c r="H218" s="12" t="s">
        <v>54</v>
      </c>
      <c r="I218" s="12" t="s">
        <v>28</v>
      </c>
      <c r="J218" s="13" t="s">
        <v>3145</v>
      </c>
      <c r="K218" s="14" t="s">
        <v>3146</v>
      </c>
      <c r="L218" s="15">
        <v>3</v>
      </c>
      <c r="M218" s="15" t="s">
        <v>220</v>
      </c>
      <c r="N218" s="16">
        <v>44697</v>
      </c>
      <c r="O218" s="12" t="s">
        <v>3142</v>
      </c>
      <c r="P218" s="14" t="s">
        <v>3147</v>
      </c>
      <c r="Q218" s="17" t="s">
        <v>137</v>
      </c>
      <c r="R218" s="17" t="s">
        <v>146</v>
      </c>
    </row>
    <row r="219" spans="1:18" x14ac:dyDescent="0.3">
      <c r="A219" s="12" t="s">
        <v>3179</v>
      </c>
      <c r="B219" s="12" t="s">
        <v>14</v>
      </c>
      <c r="C219" s="12"/>
      <c r="D219" s="12" t="s">
        <v>14</v>
      </c>
      <c r="E219" s="12" t="s">
        <v>3180</v>
      </c>
      <c r="F219" s="12"/>
      <c r="G219" s="12" t="s">
        <v>3181</v>
      </c>
      <c r="H219" s="12" t="s">
        <v>54</v>
      </c>
      <c r="I219" s="12" t="s">
        <v>28</v>
      </c>
      <c r="J219" s="13" t="s">
        <v>3182</v>
      </c>
      <c r="K219" s="14" t="s">
        <v>3183</v>
      </c>
      <c r="L219" s="15">
        <v>1</v>
      </c>
      <c r="M219" s="15" t="s">
        <v>144</v>
      </c>
      <c r="N219" s="16">
        <v>46105</v>
      </c>
      <c r="O219" s="12" t="s">
        <v>3179</v>
      </c>
      <c r="P219" s="14" t="s">
        <v>3184</v>
      </c>
      <c r="Q219" s="17" t="s">
        <v>137</v>
      </c>
      <c r="R219" s="17" t="s">
        <v>146</v>
      </c>
    </row>
    <row r="220" spans="1:18" x14ac:dyDescent="0.3">
      <c r="A220" s="12" t="s">
        <v>3185</v>
      </c>
      <c r="B220" s="12" t="s">
        <v>14</v>
      </c>
      <c r="C220" s="12"/>
      <c r="D220" s="12" t="s">
        <v>14</v>
      </c>
      <c r="E220" s="12" t="s">
        <v>3186</v>
      </c>
      <c r="F220" s="12"/>
      <c r="G220" s="12" t="s">
        <v>3187</v>
      </c>
      <c r="H220" s="12" t="s">
        <v>64</v>
      </c>
      <c r="I220" s="12" t="s">
        <v>28</v>
      </c>
      <c r="J220" s="13" t="s">
        <v>3188</v>
      </c>
      <c r="K220" s="14" t="s">
        <v>3189</v>
      </c>
      <c r="L220" s="15">
        <v>2</v>
      </c>
      <c r="M220" s="15" t="s">
        <v>144</v>
      </c>
      <c r="N220" s="16">
        <v>45352</v>
      </c>
      <c r="O220" s="12" t="s">
        <v>3190</v>
      </c>
      <c r="P220" s="14" t="s">
        <v>3191</v>
      </c>
      <c r="Q220" s="17" t="s">
        <v>137</v>
      </c>
      <c r="R220" s="17" t="s">
        <v>146</v>
      </c>
    </row>
    <row r="221" spans="1:18" x14ac:dyDescent="0.3">
      <c r="A221" s="12" t="s">
        <v>3229</v>
      </c>
      <c r="B221" s="12" t="s">
        <v>14</v>
      </c>
      <c r="C221" s="12"/>
      <c r="D221" s="12" t="s">
        <v>14</v>
      </c>
      <c r="E221" s="12" t="s">
        <v>3230</v>
      </c>
      <c r="F221" s="12"/>
      <c r="G221" s="12" t="s">
        <v>3214</v>
      </c>
      <c r="H221" s="12" t="s">
        <v>51</v>
      </c>
      <c r="I221" s="12" t="s">
        <v>28</v>
      </c>
      <c r="J221" s="13" t="s">
        <v>3215</v>
      </c>
      <c r="K221" s="14" t="s">
        <v>3231</v>
      </c>
      <c r="L221" s="15">
        <v>0</v>
      </c>
      <c r="M221" s="15" t="s">
        <v>144</v>
      </c>
      <c r="N221" s="16">
        <v>45621</v>
      </c>
      <c r="O221" s="12" t="s">
        <v>3229</v>
      </c>
      <c r="P221" s="14" t="s">
        <v>3232</v>
      </c>
      <c r="Q221" s="17" t="s">
        <v>137</v>
      </c>
      <c r="R221" s="17" t="s">
        <v>146</v>
      </c>
    </row>
    <row r="222" spans="1:18" x14ac:dyDescent="0.3">
      <c r="A222" s="12" t="s">
        <v>307</v>
      </c>
      <c r="B222" s="12" t="s">
        <v>14</v>
      </c>
      <c r="C222" s="12"/>
      <c r="D222" s="12" t="s">
        <v>14</v>
      </c>
      <c r="E222" s="12" t="s">
        <v>3253</v>
      </c>
      <c r="F222" s="12"/>
      <c r="G222" s="12" t="s">
        <v>3214</v>
      </c>
      <c r="H222" s="12" t="s">
        <v>51</v>
      </c>
      <c r="I222" s="12" t="s">
        <v>28</v>
      </c>
      <c r="J222" s="13" t="s">
        <v>3215</v>
      </c>
      <c r="K222" s="14" t="s">
        <v>3254</v>
      </c>
      <c r="L222" s="15">
        <v>4</v>
      </c>
      <c r="M222" s="15" t="s">
        <v>144</v>
      </c>
      <c r="N222" s="16">
        <v>46275</v>
      </c>
      <c r="O222" s="12" t="s">
        <v>307</v>
      </c>
      <c r="P222" s="14" t="s">
        <v>310</v>
      </c>
      <c r="Q222" s="17" t="s">
        <v>137</v>
      </c>
      <c r="R222" s="17" t="s">
        <v>146</v>
      </c>
    </row>
    <row r="223" spans="1:18" x14ac:dyDescent="0.3">
      <c r="A223" s="12" t="s">
        <v>3255</v>
      </c>
      <c r="B223" s="12" t="s">
        <v>14</v>
      </c>
      <c r="C223" s="12"/>
      <c r="D223" s="12" t="s">
        <v>14</v>
      </c>
      <c r="E223" s="12" t="s">
        <v>3256</v>
      </c>
      <c r="F223" s="12"/>
      <c r="G223" s="12" t="s">
        <v>3257</v>
      </c>
      <c r="H223" s="12" t="s">
        <v>41</v>
      </c>
      <c r="I223" s="12" t="s">
        <v>28</v>
      </c>
      <c r="J223" s="13" t="s">
        <v>3258</v>
      </c>
      <c r="K223" s="14" t="s">
        <v>3259</v>
      </c>
      <c r="L223" s="15">
        <v>1</v>
      </c>
      <c r="M223" s="15" t="s">
        <v>144</v>
      </c>
      <c r="N223" s="16">
        <v>44700</v>
      </c>
      <c r="O223" s="12" t="s">
        <v>3255</v>
      </c>
      <c r="P223" s="14" t="s">
        <v>3260</v>
      </c>
      <c r="Q223" s="17" t="s">
        <v>137</v>
      </c>
      <c r="R223" s="17" t="s">
        <v>146</v>
      </c>
    </row>
    <row r="224" spans="1:18" x14ac:dyDescent="0.3">
      <c r="A224" s="12" t="s">
        <v>3261</v>
      </c>
      <c r="B224" s="12" t="s">
        <v>14</v>
      </c>
      <c r="C224" s="12"/>
      <c r="D224" s="12" t="s">
        <v>14</v>
      </c>
      <c r="E224" s="12" t="s">
        <v>3262</v>
      </c>
      <c r="F224" s="12"/>
      <c r="G224" s="12" t="s">
        <v>3263</v>
      </c>
      <c r="H224" s="12" t="s">
        <v>41</v>
      </c>
      <c r="I224" s="12" t="s">
        <v>28</v>
      </c>
      <c r="J224" s="13" t="s">
        <v>3264</v>
      </c>
      <c r="K224" s="14" t="s">
        <v>3265</v>
      </c>
      <c r="L224" s="15">
        <v>0</v>
      </c>
      <c r="M224" s="15" t="s">
        <v>144</v>
      </c>
      <c r="N224" s="16">
        <v>45484</v>
      </c>
      <c r="O224" s="12" t="s">
        <v>3261</v>
      </c>
      <c r="P224" s="14" t="s">
        <v>3266</v>
      </c>
      <c r="Q224" s="17" t="s">
        <v>137</v>
      </c>
      <c r="R224" s="17" t="s">
        <v>146</v>
      </c>
    </row>
    <row r="225" spans="1:18" x14ac:dyDescent="0.3">
      <c r="A225" s="12" t="s">
        <v>3286</v>
      </c>
      <c r="B225" s="12" t="s">
        <v>14</v>
      </c>
      <c r="C225" s="12"/>
      <c r="D225" s="12" t="s">
        <v>14</v>
      </c>
      <c r="E225" s="12" t="s">
        <v>3287</v>
      </c>
      <c r="F225" s="12"/>
      <c r="G225" s="12" t="s">
        <v>3269</v>
      </c>
      <c r="H225" s="12" t="s">
        <v>41</v>
      </c>
      <c r="I225" s="12" t="s">
        <v>28</v>
      </c>
      <c r="J225" s="13" t="s">
        <v>3288</v>
      </c>
      <c r="K225" s="14" t="s">
        <v>3289</v>
      </c>
      <c r="L225" s="15">
        <v>7</v>
      </c>
      <c r="M225" s="15" t="s">
        <v>144</v>
      </c>
      <c r="N225" s="16">
        <v>45475</v>
      </c>
      <c r="O225" s="12" t="s">
        <v>3286</v>
      </c>
      <c r="P225" s="14" t="s">
        <v>3290</v>
      </c>
      <c r="Q225" s="17" t="s">
        <v>137</v>
      </c>
      <c r="R225" s="17" t="s">
        <v>146</v>
      </c>
    </row>
    <row r="226" spans="1:18" x14ac:dyDescent="0.3">
      <c r="A226" s="12" t="s">
        <v>3294</v>
      </c>
      <c r="B226" s="12" t="s">
        <v>12</v>
      </c>
      <c r="C226" s="12" t="s">
        <v>14</v>
      </c>
      <c r="D226" s="12" t="s">
        <v>180</v>
      </c>
      <c r="E226" s="12" t="s">
        <v>3295</v>
      </c>
      <c r="F226" s="12"/>
      <c r="G226" s="12" t="s">
        <v>3269</v>
      </c>
      <c r="H226" s="12" t="s">
        <v>41</v>
      </c>
      <c r="I226" s="12" t="s">
        <v>28</v>
      </c>
      <c r="J226" s="13" t="s">
        <v>3296</v>
      </c>
      <c r="K226" s="14" t="s">
        <v>3297</v>
      </c>
      <c r="L226" s="15">
        <v>4</v>
      </c>
      <c r="M226" s="15" t="s">
        <v>144</v>
      </c>
      <c r="N226" s="16">
        <v>46238</v>
      </c>
      <c r="O226" s="12" t="s">
        <v>3294</v>
      </c>
      <c r="P226" s="14" t="s">
        <v>3298</v>
      </c>
      <c r="Q226" s="17" t="s">
        <v>137</v>
      </c>
      <c r="R226" s="17" t="s">
        <v>146</v>
      </c>
    </row>
    <row r="227" spans="1:18" x14ac:dyDescent="0.3">
      <c r="A227" s="12" t="s">
        <v>3302</v>
      </c>
      <c r="B227" s="12" t="s">
        <v>14</v>
      </c>
      <c r="C227" s="12"/>
      <c r="D227" s="12" t="s">
        <v>14</v>
      </c>
      <c r="E227" s="12" t="s">
        <v>3303</v>
      </c>
      <c r="F227" s="12"/>
      <c r="G227" s="12" t="s">
        <v>3269</v>
      </c>
      <c r="H227" s="12" t="s">
        <v>41</v>
      </c>
      <c r="I227" s="12" t="s">
        <v>28</v>
      </c>
      <c r="J227" s="13" t="s">
        <v>3304</v>
      </c>
      <c r="K227" s="14" t="s">
        <v>3305</v>
      </c>
      <c r="L227" s="15">
        <v>0</v>
      </c>
      <c r="M227" s="15" t="s">
        <v>144</v>
      </c>
      <c r="N227" s="16">
        <v>45542</v>
      </c>
      <c r="O227" s="12" t="s">
        <v>3302</v>
      </c>
      <c r="P227" s="14" t="s">
        <v>3306</v>
      </c>
      <c r="Q227" s="17" t="s">
        <v>137</v>
      </c>
      <c r="R227" s="17" t="s">
        <v>146</v>
      </c>
    </row>
    <row r="228" spans="1:18" x14ac:dyDescent="0.3">
      <c r="A228" s="12" t="s">
        <v>3318</v>
      </c>
      <c r="B228" s="12" t="s">
        <v>14</v>
      </c>
      <c r="C228" s="12"/>
      <c r="D228" s="12" t="s">
        <v>14</v>
      </c>
      <c r="E228" s="12" t="s">
        <v>3319</v>
      </c>
      <c r="F228" s="12"/>
      <c r="G228" s="12" t="s">
        <v>3269</v>
      </c>
      <c r="H228" s="12" t="s">
        <v>41</v>
      </c>
      <c r="I228" s="12" t="s">
        <v>28</v>
      </c>
      <c r="J228" s="13" t="s">
        <v>3320</v>
      </c>
      <c r="K228" s="14" t="s">
        <v>3321</v>
      </c>
      <c r="L228" s="15">
        <v>0</v>
      </c>
      <c r="M228" s="15" t="s">
        <v>144</v>
      </c>
      <c r="N228" s="16">
        <v>46231</v>
      </c>
      <c r="O228" s="12" t="s">
        <v>3318</v>
      </c>
      <c r="P228" s="14" t="s">
        <v>3322</v>
      </c>
      <c r="Q228" s="17" t="s">
        <v>137</v>
      </c>
      <c r="R228" s="17" t="s">
        <v>146</v>
      </c>
    </row>
    <row r="229" spans="1:18" x14ac:dyDescent="0.3">
      <c r="A229" s="12" t="s">
        <v>869</v>
      </c>
      <c r="B229" s="12" t="s">
        <v>12</v>
      </c>
      <c r="C229" s="12" t="s">
        <v>14</v>
      </c>
      <c r="D229" s="12" t="s">
        <v>180</v>
      </c>
      <c r="E229" s="12" t="s">
        <v>3328</v>
      </c>
      <c r="F229" s="12" t="s">
        <v>447</v>
      </c>
      <c r="G229" s="12" t="s">
        <v>3269</v>
      </c>
      <c r="H229" s="12" t="s">
        <v>41</v>
      </c>
      <c r="I229" s="12" t="s">
        <v>28</v>
      </c>
      <c r="J229" s="13" t="s">
        <v>3288</v>
      </c>
      <c r="K229" s="14" t="s">
        <v>3329</v>
      </c>
      <c r="L229" s="15">
        <v>4</v>
      </c>
      <c r="M229" s="15" t="s">
        <v>144</v>
      </c>
      <c r="N229" s="16">
        <v>46198</v>
      </c>
      <c r="O229" s="12" t="s">
        <v>869</v>
      </c>
      <c r="P229" s="14" t="s">
        <v>873</v>
      </c>
      <c r="Q229" s="17" t="s">
        <v>137</v>
      </c>
      <c r="R229" s="17" t="s">
        <v>146</v>
      </c>
    </row>
    <row r="230" spans="1:18" x14ac:dyDescent="0.3">
      <c r="A230" s="12" t="s">
        <v>3330</v>
      </c>
      <c r="B230" s="12" t="s">
        <v>14</v>
      </c>
      <c r="C230" s="12"/>
      <c r="D230" s="12" t="s">
        <v>14</v>
      </c>
      <c r="E230" s="12" t="s">
        <v>3331</v>
      </c>
      <c r="F230" s="12"/>
      <c r="G230" s="12" t="s">
        <v>3269</v>
      </c>
      <c r="H230" s="12" t="s">
        <v>41</v>
      </c>
      <c r="I230" s="12" t="s">
        <v>28</v>
      </c>
      <c r="J230" s="13" t="s">
        <v>3309</v>
      </c>
      <c r="K230" s="14" t="s">
        <v>3332</v>
      </c>
      <c r="L230" s="15">
        <v>0</v>
      </c>
      <c r="M230" s="15" t="s">
        <v>144</v>
      </c>
      <c r="N230" s="16">
        <v>45096</v>
      </c>
      <c r="O230" s="12" t="s">
        <v>3330</v>
      </c>
      <c r="P230" s="14" t="s">
        <v>3333</v>
      </c>
      <c r="Q230" s="17" t="s">
        <v>137</v>
      </c>
      <c r="R230" s="17" t="s">
        <v>146</v>
      </c>
    </row>
    <row r="231" spans="1:18" x14ac:dyDescent="0.3">
      <c r="A231" s="12" t="s">
        <v>307</v>
      </c>
      <c r="B231" s="12" t="s">
        <v>14</v>
      </c>
      <c r="C231" s="12"/>
      <c r="D231" s="12" t="s">
        <v>14</v>
      </c>
      <c r="E231" s="12" t="s">
        <v>3347</v>
      </c>
      <c r="F231" s="12"/>
      <c r="G231" s="12" t="s">
        <v>3269</v>
      </c>
      <c r="H231" s="12" t="s">
        <v>41</v>
      </c>
      <c r="I231" s="12" t="s">
        <v>28</v>
      </c>
      <c r="J231" s="13" t="s">
        <v>3304</v>
      </c>
      <c r="K231" s="14" t="s">
        <v>3348</v>
      </c>
      <c r="L231" s="15">
        <v>2</v>
      </c>
      <c r="M231" s="15" t="s">
        <v>144</v>
      </c>
      <c r="N231" s="16">
        <v>46275</v>
      </c>
      <c r="O231" s="12" t="s">
        <v>307</v>
      </c>
      <c r="P231" s="14" t="s">
        <v>310</v>
      </c>
      <c r="Q231" s="17" t="s">
        <v>137</v>
      </c>
      <c r="R231" s="17" t="s">
        <v>146</v>
      </c>
    </row>
    <row r="232" spans="1:18" x14ac:dyDescent="0.3">
      <c r="A232" s="12" t="s">
        <v>307</v>
      </c>
      <c r="B232" s="12" t="s">
        <v>14</v>
      </c>
      <c r="C232" s="12"/>
      <c r="D232" s="12" t="s">
        <v>14</v>
      </c>
      <c r="E232" s="12" t="s">
        <v>3349</v>
      </c>
      <c r="F232" s="12" t="s">
        <v>2012</v>
      </c>
      <c r="G232" s="12" t="s">
        <v>3269</v>
      </c>
      <c r="H232" s="12" t="s">
        <v>41</v>
      </c>
      <c r="I232" s="12" t="s">
        <v>28</v>
      </c>
      <c r="J232" s="13" t="s">
        <v>3288</v>
      </c>
      <c r="K232" s="14" t="s">
        <v>3350</v>
      </c>
      <c r="L232" s="15">
        <v>6</v>
      </c>
      <c r="M232" s="15" t="s">
        <v>144</v>
      </c>
      <c r="N232" s="16">
        <v>46275</v>
      </c>
      <c r="O232" s="12" t="s">
        <v>307</v>
      </c>
      <c r="P232" s="14" t="s">
        <v>310</v>
      </c>
      <c r="Q232" s="17" t="s">
        <v>137</v>
      </c>
      <c r="R232" s="17" t="s">
        <v>146</v>
      </c>
    </row>
    <row r="233" spans="1:18" x14ac:dyDescent="0.3">
      <c r="A233" s="12" t="s">
        <v>307</v>
      </c>
      <c r="B233" s="12" t="s">
        <v>14</v>
      </c>
      <c r="C233" s="12"/>
      <c r="D233" s="12" t="s">
        <v>14</v>
      </c>
      <c r="E233" s="12" t="s">
        <v>3351</v>
      </c>
      <c r="F233" s="12" t="s">
        <v>947</v>
      </c>
      <c r="G233" s="12" t="s">
        <v>3269</v>
      </c>
      <c r="H233" s="12" t="s">
        <v>41</v>
      </c>
      <c r="I233" s="12" t="s">
        <v>28</v>
      </c>
      <c r="J233" s="13" t="s">
        <v>3352</v>
      </c>
      <c r="K233" s="14" t="s">
        <v>3350</v>
      </c>
      <c r="L233" s="15">
        <v>12</v>
      </c>
      <c r="M233" s="15" t="s">
        <v>144</v>
      </c>
      <c r="N233" s="16">
        <v>46275</v>
      </c>
      <c r="O233" s="12" t="s">
        <v>307</v>
      </c>
      <c r="P233" s="14" t="s">
        <v>310</v>
      </c>
      <c r="Q233" s="17" t="s">
        <v>137</v>
      </c>
      <c r="R233" s="17" t="s">
        <v>146</v>
      </c>
    </row>
    <row r="234" spans="1:18" x14ac:dyDescent="0.3">
      <c r="A234" s="12" t="s">
        <v>307</v>
      </c>
      <c r="B234" s="12" t="s">
        <v>14</v>
      </c>
      <c r="C234" s="12"/>
      <c r="D234" s="12" t="s">
        <v>14</v>
      </c>
      <c r="E234" s="12" t="s">
        <v>3353</v>
      </c>
      <c r="F234" s="12"/>
      <c r="G234" s="12" t="s">
        <v>3269</v>
      </c>
      <c r="H234" s="12" t="s">
        <v>41</v>
      </c>
      <c r="I234" s="12" t="s">
        <v>28</v>
      </c>
      <c r="J234" s="13" t="s">
        <v>3288</v>
      </c>
      <c r="K234" s="14" t="s">
        <v>3354</v>
      </c>
      <c r="L234" s="15">
        <v>13</v>
      </c>
      <c r="M234" s="15" t="s">
        <v>144</v>
      </c>
      <c r="N234" s="16">
        <v>46275</v>
      </c>
      <c r="O234" s="12" t="s">
        <v>307</v>
      </c>
      <c r="P234" s="14" t="s">
        <v>310</v>
      </c>
      <c r="Q234" s="17" t="s">
        <v>137</v>
      </c>
      <c r="R234" s="17" t="s">
        <v>146</v>
      </c>
    </row>
    <row r="235" spans="1:18" x14ac:dyDescent="0.3">
      <c r="A235" s="12" t="s">
        <v>307</v>
      </c>
      <c r="B235" s="12" t="s">
        <v>14</v>
      </c>
      <c r="C235" s="12"/>
      <c r="D235" s="12" t="s">
        <v>14</v>
      </c>
      <c r="E235" s="12" t="s">
        <v>3355</v>
      </c>
      <c r="F235" s="12"/>
      <c r="G235" s="12" t="s">
        <v>3356</v>
      </c>
      <c r="H235" s="12" t="s">
        <v>41</v>
      </c>
      <c r="I235" s="12" t="s">
        <v>28</v>
      </c>
      <c r="J235" s="13" t="s">
        <v>3357</v>
      </c>
      <c r="K235" s="14" t="s">
        <v>3358</v>
      </c>
      <c r="L235" s="15">
        <v>1</v>
      </c>
      <c r="M235" s="15" t="s">
        <v>144</v>
      </c>
      <c r="N235" s="16">
        <v>46275</v>
      </c>
      <c r="O235" s="12" t="s">
        <v>307</v>
      </c>
      <c r="P235" s="14" t="s">
        <v>310</v>
      </c>
      <c r="Q235" s="17" t="s">
        <v>137</v>
      </c>
      <c r="R235" s="17" t="s">
        <v>146</v>
      </c>
    </row>
    <row r="236" spans="1:18" x14ac:dyDescent="0.3">
      <c r="A236" s="12" t="s">
        <v>307</v>
      </c>
      <c r="B236" s="12" t="s">
        <v>14</v>
      </c>
      <c r="C236" s="12"/>
      <c r="D236" s="12" t="s">
        <v>14</v>
      </c>
      <c r="E236" s="12" t="s">
        <v>3360</v>
      </c>
      <c r="F236" s="12" t="s">
        <v>467</v>
      </c>
      <c r="G236" s="12" t="s">
        <v>3361</v>
      </c>
      <c r="H236" s="12" t="s">
        <v>41</v>
      </c>
      <c r="I236" s="12" t="s">
        <v>28</v>
      </c>
      <c r="J236" s="13" t="s">
        <v>3288</v>
      </c>
      <c r="K236" s="14" t="s">
        <v>3362</v>
      </c>
      <c r="L236" s="15">
        <v>10</v>
      </c>
      <c r="M236" s="15" t="s">
        <v>144</v>
      </c>
      <c r="N236" s="16">
        <v>46275</v>
      </c>
      <c r="O236" s="12" t="s">
        <v>307</v>
      </c>
      <c r="P236" s="14" t="s">
        <v>310</v>
      </c>
      <c r="Q236" s="17" t="s">
        <v>137</v>
      </c>
      <c r="R236" s="17" t="s">
        <v>146</v>
      </c>
    </row>
    <row r="237" spans="1:18" x14ac:dyDescent="0.3">
      <c r="A237" s="12" t="s">
        <v>3375</v>
      </c>
      <c r="B237" s="12" t="s">
        <v>14</v>
      </c>
      <c r="C237" s="12"/>
      <c r="D237" s="12" t="s">
        <v>14</v>
      </c>
      <c r="E237" s="12" t="s">
        <v>3376</v>
      </c>
      <c r="F237" s="12"/>
      <c r="G237" s="12" t="s">
        <v>3371</v>
      </c>
      <c r="H237" s="12" t="s">
        <v>41</v>
      </c>
      <c r="I237" s="12" t="s">
        <v>28</v>
      </c>
      <c r="J237" s="13" t="s">
        <v>3372</v>
      </c>
      <c r="K237" s="14" t="s">
        <v>3377</v>
      </c>
      <c r="L237" s="15">
        <v>0</v>
      </c>
      <c r="M237" s="15" t="s">
        <v>144</v>
      </c>
      <c r="N237" s="16">
        <v>45454</v>
      </c>
      <c r="O237" s="12" t="s">
        <v>3375</v>
      </c>
      <c r="P237" s="14" t="s">
        <v>3378</v>
      </c>
      <c r="Q237" s="17" t="s">
        <v>137</v>
      </c>
      <c r="R237" s="17" t="s">
        <v>146</v>
      </c>
    </row>
    <row r="238" spans="1:18" x14ac:dyDescent="0.3">
      <c r="A238" s="12" t="s">
        <v>307</v>
      </c>
      <c r="B238" s="12" t="s">
        <v>14</v>
      </c>
      <c r="C238" s="12"/>
      <c r="D238" s="12" t="s">
        <v>14</v>
      </c>
      <c r="E238" s="12" t="s">
        <v>3379</v>
      </c>
      <c r="F238" s="12"/>
      <c r="G238" s="12" t="s">
        <v>3380</v>
      </c>
      <c r="H238" s="12" t="s">
        <v>41</v>
      </c>
      <c r="I238" s="12" t="s">
        <v>28</v>
      </c>
      <c r="J238" s="13" t="s">
        <v>3381</v>
      </c>
      <c r="K238" s="14" t="s">
        <v>3358</v>
      </c>
      <c r="L238" s="15">
        <v>2</v>
      </c>
      <c r="M238" s="15" t="s">
        <v>144</v>
      </c>
      <c r="N238" s="16">
        <v>46275</v>
      </c>
      <c r="O238" s="12" t="s">
        <v>307</v>
      </c>
      <c r="P238" s="14" t="s">
        <v>310</v>
      </c>
      <c r="Q238" s="17" t="s">
        <v>137</v>
      </c>
      <c r="R238" s="17" t="s">
        <v>146</v>
      </c>
    </row>
    <row r="239" spans="1:18" x14ac:dyDescent="0.3">
      <c r="A239" s="12" t="s">
        <v>3393</v>
      </c>
      <c r="B239" s="12" t="s">
        <v>14</v>
      </c>
      <c r="C239" s="12"/>
      <c r="D239" s="12" t="s">
        <v>14</v>
      </c>
      <c r="E239" s="12" t="s">
        <v>3394</v>
      </c>
      <c r="F239" s="12"/>
      <c r="G239" s="12" t="s">
        <v>3395</v>
      </c>
      <c r="H239" s="12" t="s">
        <v>96</v>
      </c>
      <c r="I239" s="12" t="s">
        <v>29</v>
      </c>
      <c r="J239" s="13" t="s">
        <v>3396</v>
      </c>
      <c r="K239" s="14" t="s">
        <v>3397</v>
      </c>
      <c r="L239" s="15">
        <v>0</v>
      </c>
      <c r="M239" s="15" t="s">
        <v>144</v>
      </c>
      <c r="N239" s="16">
        <v>46132</v>
      </c>
      <c r="O239" s="12" t="s">
        <v>3393</v>
      </c>
      <c r="P239" s="14" t="s">
        <v>3398</v>
      </c>
      <c r="Q239" s="17" t="s">
        <v>137</v>
      </c>
      <c r="R239" s="17" t="s">
        <v>146</v>
      </c>
    </row>
    <row r="240" spans="1:18" x14ac:dyDescent="0.3">
      <c r="A240" s="12" t="s">
        <v>3399</v>
      </c>
      <c r="B240" s="12" t="s">
        <v>12</v>
      </c>
      <c r="C240" s="12" t="s">
        <v>14</v>
      </c>
      <c r="D240" s="12" t="s">
        <v>180</v>
      </c>
      <c r="E240" s="12" t="s">
        <v>3400</v>
      </c>
      <c r="F240" s="12"/>
      <c r="G240" s="12" t="s">
        <v>3401</v>
      </c>
      <c r="H240" s="12" t="s">
        <v>70</v>
      </c>
      <c r="I240" s="12" t="s">
        <v>29</v>
      </c>
      <c r="J240" s="13" t="s">
        <v>3402</v>
      </c>
      <c r="K240" s="14" t="s">
        <v>3403</v>
      </c>
      <c r="L240" s="15">
        <v>4</v>
      </c>
      <c r="M240" s="15" t="s">
        <v>144</v>
      </c>
      <c r="N240" s="16">
        <v>45911</v>
      </c>
      <c r="O240" s="12" t="s">
        <v>3044</v>
      </c>
      <c r="P240" s="14" t="s">
        <v>3404</v>
      </c>
      <c r="Q240" s="17" t="s">
        <v>137</v>
      </c>
      <c r="R240" s="17" t="s">
        <v>146</v>
      </c>
    </row>
    <row r="241" spans="1:18" x14ac:dyDescent="0.3">
      <c r="A241" s="12" t="s">
        <v>3409</v>
      </c>
      <c r="B241" s="12" t="s">
        <v>14</v>
      </c>
      <c r="C241" s="12"/>
      <c r="D241" s="12" t="s">
        <v>14</v>
      </c>
      <c r="E241" s="12" t="s">
        <v>3410</v>
      </c>
      <c r="F241" s="12"/>
      <c r="G241" s="12" t="s">
        <v>3401</v>
      </c>
      <c r="H241" s="12" t="s">
        <v>70</v>
      </c>
      <c r="I241" s="12" t="s">
        <v>29</v>
      </c>
      <c r="J241" s="13" t="s">
        <v>3402</v>
      </c>
      <c r="K241" s="14" t="s">
        <v>3411</v>
      </c>
      <c r="L241" s="15">
        <v>1</v>
      </c>
      <c r="M241" s="15" t="s">
        <v>144</v>
      </c>
      <c r="N241" s="16">
        <v>45683</v>
      </c>
      <c r="O241" s="12" t="s">
        <v>3409</v>
      </c>
      <c r="P241" s="14" t="s">
        <v>3412</v>
      </c>
      <c r="Q241" s="17" t="s">
        <v>137</v>
      </c>
      <c r="R241" s="17" t="s">
        <v>146</v>
      </c>
    </row>
    <row r="242" spans="1:18" x14ac:dyDescent="0.3">
      <c r="A242" s="12" t="s">
        <v>3424</v>
      </c>
      <c r="B242" s="12" t="s">
        <v>12</v>
      </c>
      <c r="C242" s="12" t="s">
        <v>14</v>
      </c>
      <c r="D242" s="12" t="s">
        <v>180</v>
      </c>
      <c r="E242" s="12" t="s">
        <v>3425</v>
      </c>
      <c r="F242" s="12"/>
      <c r="G242" s="12" t="s">
        <v>3420</v>
      </c>
      <c r="H242" s="12" t="s">
        <v>59</v>
      </c>
      <c r="I242" s="12" t="s">
        <v>29</v>
      </c>
      <c r="J242" s="13" t="s">
        <v>3421</v>
      </c>
      <c r="K242" s="14" t="s">
        <v>3426</v>
      </c>
      <c r="L242" s="15">
        <v>3</v>
      </c>
      <c r="M242" s="15" t="s">
        <v>144</v>
      </c>
      <c r="N242" s="16">
        <v>46149</v>
      </c>
      <c r="O242" s="12" t="s">
        <v>3424</v>
      </c>
      <c r="P242" s="14" t="s">
        <v>3427</v>
      </c>
      <c r="Q242" s="17" t="s">
        <v>137</v>
      </c>
      <c r="R242" s="17" t="s">
        <v>146</v>
      </c>
    </row>
    <row r="243" spans="1:18" x14ac:dyDescent="0.3">
      <c r="A243" s="12" t="s">
        <v>3428</v>
      </c>
      <c r="B243" s="12" t="s">
        <v>14</v>
      </c>
      <c r="C243" s="12"/>
      <c r="D243" s="12" t="s">
        <v>14</v>
      </c>
      <c r="E243" s="12" t="s">
        <v>3429</v>
      </c>
      <c r="F243" s="12"/>
      <c r="G243" s="12" t="s">
        <v>3430</v>
      </c>
      <c r="H243" s="12" t="s">
        <v>59</v>
      </c>
      <c r="I243" s="12" t="s">
        <v>29</v>
      </c>
      <c r="J243" s="13" t="s">
        <v>3431</v>
      </c>
      <c r="K243" s="14" t="s">
        <v>3432</v>
      </c>
      <c r="L243" s="15">
        <v>3</v>
      </c>
      <c r="M243" s="15" t="s">
        <v>144</v>
      </c>
      <c r="N243" s="16">
        <v>46041</v>
      </c>
      <c r="O243" s="12" t="s">
        <v>3433</v>
      </c>
      <c r="P243" s="14" t="s">
        <v>3434</v>
      </c>
      <c r="Q243" s="17" t="s">
        <v>137</v>
      </c>
      <c r="R243" s="17" t="s">
        <v>146</v>
      </c>
    </row>
    <row r="244" spans="1:18" x14ac:dyDescent="0.3">
      <c r="A244" s="12" t="s">
        <v>3440</v>
      </c>
      <c r="B244" s="12" t="s">
        <v>14</v>
      </c>
      <c r="C244" s="12"/>
      <c r="D244" s="12" t="s">
        <v>14</v>
      </c>
      <c r="E244" s="12" t="s">
        <v>3441</v>
      </c>
      <c r="F244" s="12"/>
      <c r="G244" s="12" t="s">
        <v>3442</v>
      </c>
      <c r="H244" s="12" t="s">
        <v>59</v>
      </c>
      <c r="I244" s="12" t="s">
        <v>29</v>
      </c>
      <c r="J244" s="13" t="s">
        <v>3443</v>
      </c>
      <c r="K244" s="14" t="s">
        <v>3444</v>
      </c>
      <c r="L244" s="15">
        <v>0</v>
      </c>
      <c r="M244" s="15" t="s">
        <v>144</v>
      </c>
      <c r="N244" s="16">
        <v>45818</v>
      </c>
      <c r="O244" s="12" t="s">
        <v>3445</v>
      </c>
      <c r="P244" s="14" t="s">
        <v>3446</v>
      </c>
      <c r="Q244" s="17" t="s">
        <v>137</v>
      </c>
      <c r="R244" s="17" t="s">
        <v>146</v>
      </c>
    </row>
    <row r="245" spans="1:18" x14ac:dyDescent="0.3">
      <c r="A245" s="12" t="s">
        <v>3440</v>
      </c>
      <c r="B245" s="12" t="s">
        <v>14</v>
      </c>
      <c r="C245" s="12"/>
      <c r="D245" s="12" t="s">
        <v>14</v>
      </c>
      <c r="E245" s="12" t="s">
        <v>3447</v>
      </c>
      <c r="F245" s="12"/>
      <c r="G245" s="12" t="s">
        <v>3442</v>
      </c>
      <c r="H245" s="12" t="s">
        <v>59</v>
      </c>
      <c r="I245" s="12" t="s">
        <v>29</v>
      </c>
      <c r="J245" s="13" t="s">
        <v>3443</v>
      </c>
      <c r="K245" s="14" t="s">
        <v>3448</v>
      </c>
      <c r="L245" s="15">
        <v>0</v>
      </c>
      <c r="M245" s="15" t="s">
        <v>144</v>
      </c>
      <c r="N245" s="16">
        <v>45818</v>
      </c>
      <c r="O245" s="12" t="s">
        <v>3445</v>
      </c>
      <c r="P245" s="14" t="s">
        <v>3446</v>
      </c>
      <c r="Q245" s="17" t="s">
        <v>137</v>
      </c>
      <c r="R245" s="17" t="s">
        <v>146</v>
      </c>
    </row>
    <row r="246" spans="1:18" x14ac:dyDescent="0.3">
      <c r="A246" s="12" t="s">
        <v>3455</v>
      </c>
      <c r="B246" s="12" t="s">
        <v>14</v>
      </c>
      <c r="C246" s="12"/>
      <c r="D246" s="12" t="s">
        <v>14</v>
      </c>
      <c r="E246" s="12" t="s">
        <v>3456</v>
      </c>
      <c r="F246" s="12"/>
      <c r="G246" s="12" t="s">
        <v>3457</v>
      </c>
      <c r="H246" s="12" t="s">
        <v>87</v>
      </c>
      <c r="I246" s="12" t="s">
        <v>29</v>
      </c>
      <c r="J246" s="13" t="s">
        <v>3458</v>
      </c>
      <c r="K246" s="14" t="s">
        <v>3459</v>
      </c>
      <c r="L246" s="15">
        <v>1</v>
      </c>
      <c r="M246" s="15" t="s">
        <v>144</v>
      </c>
      <c r="N246" s="16">
        <v>44998</v>
      </c>
      <c r="O246" s="12" t="s">
        <v>3460</v>
      </c>
      <c r="P246" s="14" t="s">
        <v>3461</v>
      </c>
      <c r="Q246" s="17" t="s">
        <v>137</v>
      </c>
      <c r="R246" s="17" t="s">
        <v>146</v>
      </c>
    </row>
    <row r="247" spans="1:18" x14ac:dyDescent="0.3">
      <c r="A247" s="12" t="s">
        <v>3462</v>
      </c>
      <c r="B247" s="12" t="s">
        <v>14</v>
      </c>
      <c r="C247" s="12"/>
      <c r="D247" s="12" t="s">
        <v>14</v>
      </c>
      <c r="E247" s="12" t="s">
        <v>3463</v>
      </c>
      <c r="F247" s="12"/>
      <c r="G247" s="12" t="s">
        <v>3464</v>
      </c>
      <c r="H247" s="12" t="s">
        <v>53</v>
      </c>
      <c r="I247" s="12" t="s">
        <v>30</v>
      </c>
      <c r="J247" s="13" t="s">
        <v>3465</v>
      </c>
      <c r="K247" s="14" t="s">
        <v>3466</v>
      </c>
      <c r="L247" s="15">
        <v>2</v>
      </c>
      <c r="M247" s="15" t="s">
        <v>144</v>
      </c>
      <c r="N247" s="16">
        <v>46189</v>
      </c>
      <c r="O247" s="12" t="s">
        <v>3462</v>
      </c>
      <c r="P247" s="14" t="s">
        <v>3467</v>
      </c>
      <c r="Q247" s="17" t="s">
        <v>137</v>
      </c>
      <c r="R247" s="17" t="s">
        <v>146</v>
      </c>
    </row>
    <row r="248" spans="1:18" x14ac:dyDescent="0.3">
      <c r="A248" s="12" t="s">
        <v>3478</v>
      </c>
      <c r="B248" s="12" t="s">
        <v>14</v>
      </c>
      <c r="C248" s="12"/>
      <c r="D248" s="12" t="s">
        <v>14</v>
      </c>
      <c r="E248" s="12" t="s">
        <v>3479</v>
      </c>
      <c r="F248" s="12" t="s">
        <v>3480</v>
      </c>
      <c r="G248" s="12" t="s">
        <v>3474</v>
      </c>
      <c r="H248" s="12" t="s">
        <v>53</v>
      </c>
      <c r="I248" s="12" t="s">
        <v>30</v>
      </c>
      <c r="J248" s="13" t="s">
        <v>3475</v>
      </c>
      <c r="K248" s="14" t="s">
        <v>3481</v>
      </c>
      <c r="L248" s="15">
        <v>0</v>
      </c>
      <c r="M248" s="15" t="s">
        <v>144</v>
      </c>
      <c r="N248" s="16">
        <v>46009</v>
      </c>
      <c r="O248" s="12" t="s">
        <v>3478</v>
      </c>
      <c r="P248" s="14" t="s">
        <v>3482</v>
      </c>
      <c r="Q248" s="17" t="s">
        <v>137</v>
      </c>
      <c r="R248" s="17" t="s">
        <v>146</v>
      </c>
    </row>
    <row r="249" spans="1:18" x14ac:dyDescent="0.3">
      <c r="A249" s="12" t="s">
        <v>3483</v>
      </c>
      <c r="B249" s="12" t="s">
        <v>12</v>
      </c>
      <c r="C249" s="12" t="s">
        <v>14</v>
      </c>
      <c r="D249" s="12" t="s">
        <v>180</v>
      </c>
      <c r="E249" s="12" t="s">
        <v>3484</v>
      </c>
      <c r="F249" s="12" t="s">
        <v>3485</v>
      </c>
      <c r="G249" s="12" t="s">
        <v>3474</v>
      </c>
      <c r="H249" s="12" t="s">
        <v>53</v>
      </c>
      <c r="I249" s="12" t="s">
        <v>30</v>
      </c>
      <c r="J249" s="13" t="s">
        <v>3475</v>
      </c>
      <c r="K249" s="14" t="s">
        <v>3486</v>
      </c>
      <c r="L249" s="15">
        <v>4</v>
      </c>
      <c r="M249" s="15" t="s">
        <v>144</v>
      </c>
      <c r="N249" s="16">
        <v>46092</v>
      </c>
      <c r="O249" s="12" t="s">
        <v>3487</v>
      </c>
      <c r="P249" s="14" t="s">
        <v>3488</v>
      </c>
      <c r="Q249" s="17" t="s">
        <v>137</v>
      </c>
      <c r="R249" s="17" t="s">
        <v>146</v>
      </c>
    </row>
    <row r="250" spans="1:18" x14ac:dyDescent="0.3">
      <c r="A250" s="12" t="s">
        <v>3492</v>
      </c>
      <c r="B250" s="12" t="s">
        <v>14</v>
      </c>
      <c r="C250" s="12"/>
      <c r="D250" s="12" t="s">
        <v>14</v>
      </c>
      <c r="E250" s="12" t="s">
        <v>3493</v>
      </c>
      <c r="F250" s="12" t="s">
        <v>3485</v>
      </c>
      <c r="G250" s="12" t="s">
        <v>3474</v>
      </c>
      <c r="H250" s="12" t="s">
        <v>53</v>
      </c>
      <c r="I250" s="12" t="s">
        <v>30</v>
      </c>
      <c r="J250" s="13" t="s">
        <v>3475</v>
      </c>
      <c r="K250" s="14" t="s">
        <v>3494</v>
      </c>
      <c r="L250" s="15">
        <v>1</v>
      </c>
      <c r="M250" s="15" t="s">
        <v>144</v>
      </c>
      <c r="N250" s="16">
        <v>46255</v>
      </c>
      <c r="O250" s="12" t="s">
        <v>3495</v>
      </c>
      <c r="P250" s="14" t="s">
        <v>3496</v>
      </c>
      <c r="Q250" s="17" t="s">
        <v>137</v>
      </c>
      <c r="R250" s="17" t="s">
        <v>146</v>
      </c>
    </row>
    <row r="251" spans="1:18" x14ac:dyDescent="0.3">
      <c r="A251" s="12" t="s">
        <v>3492</v>
      </c>
      <c r="B251" s="12" t="s">
        <v>14</v>
      </c>
      <c r="C251" s="12"/>
      <c r="D251" s="12" t="s">
        <v>14</v>
      </c>
      <c r="E251" s="12" t="s">
        <v>3497</v>
      </c>
      <c r="F251" s="12"/>
      <c r="G251" s="12" t="s">
        <v>3474</v>
      </c>
      <c r="H251" s="12" t="s">
        <v>53</v>
      </c>
      <c r="I251" s="12" t="s">
        <v>30</v>
      </c>
      <c r="J251" s="13" t="s">
        <v>3475</v>
      </c>
      <c r="K251" s="14" t="s">
        <v>3486</v>
      </c>
      <c r="L251" s="15">
        <v>0</v>
      </c>
      <c r="M251" s="15" t="s">
        <v>144</v>
      </c>
      <c r="N251" s="16">
        <v>46255</v>
      </c>
      <c r="O251" s="12" t="s">
        <v>3495</v>
      </c>
      <c r="P251" s="14" t="s">
        <v>3496</v>
      </c>
      <c r="Q251" s="17" t="s">
        <v>137</v>
      </c>
      <c r="R251" s="17" t="s">
        <v>146</v>
      </c>
    </row>
    <row r="252" spans="1:18" x14ac:dyDescent="0.3">
      <c r="A252" s="12" t="s">
        <v>3498</v>
      </c>
      <c r="B252" s="12" t="s">
        <v>14</v>
      </c>
      <c r="C252" s="12"/>
      <c r="D252" s="12" t="s">
        <v>14</v>
      </c>
      <c r="E252" s="12" t="s">
        <v>3499</v>
      </c>
      <c r="F252" s="12"/>
      <c r="G252" s="12" t="s">
        <v>3474</v>
      </c>
      <c r="H252" s="12" t="s">
        <v>53</v>
      </c>
      <c r="I252" s="12" t="s">
        <v>30</v>
      </c>
      <c r="J252" s="13" t="s">
        <v>3475</v>
      </c>
      <c r="K252" s="14" t="s">
        <v>3500</v>
      </c>
      <c r="L252" s="15">
        <v>0</v>
      </c>
      <c r="M252" s="15" t="s">
        <v>144</v>
      </c>
      <c r="N252" s="16">
        <v>45898</v>
      </c>
      <c r="O252" s="12" t="s">
        <v>3501</v>
      </c>
      <c r="P252" s="14" t="s">
        <v>3502</v>
      </c>
      <c r="Q252" s="17" t="s">
        <v>137</v>
      </c>
      <c r="R252" s="17" t="s">
        <v>146</v>
      </c>
    </row>
    <row r="253" spans="1:18" x14ac:dyDescent="0.3">
      <c r="A253" s="12" t="s">
        <v>3508</v>
      </c>
      <c r="B253" s="12" t="s">
        <v>14</v>
      </c>
      <c r="C253" s="12"/>
      <c r="D253" s="12" t="s">
        <v>14</v>
      </c>
      <c r="E253" s="12" t="s">
        <v>3509</v>
      </c>
      <c r="F253" s="12" t="s">
        <v>447</v>
      </c>
      <c r="G253" s="12" t="s">
        <v>3505</v>
      </c>
      <c r="H253" s="12" t="s">
        <v>45</v>
      </c>
      <c r="I253" s="12" t="s">
        <v>30</v>
      </c>
      <c r="J253" s="13" t="s">
        <v>2944</v>
      </c>
      <c r="K253" s="14" t="s">
        <v>3510</v>
      </c>
      <c r="L253" s="15">
        <v>1</v>
      </c>
      <c r="M253" s="15" t="s">
        <v>144</v>
      </c>
      <c r="N253" s="16">
        <v>45891</v>
      </c>
      <c r="O253" s="12" t="s">
        <v>3508</v>
      </c>
      <c r="P253" s="14" t="s">
        <v>3511</v>
      </c>
      <c r="Q253" s="17" t="s">
        <v>137</v>
      </c>
      <c r="R253" s="17" t="s">
        <v>146</v>
      </c>
    </row>
    <row r="254" spans="1:18" x14ac:dyDescent="0.3">
      <c r="A254" s="12" t="s">
        <v>3512</v>
      </c>
      <c r="B254" s="12" t="s">
        <v>14</v>
      </c>
      <c r="C254" s="12"/>
      <c r="D254" s="12" t="s">
        <v>14</v>
      </c>
      <c r="E254" s="12" t="s">
        <v>3513</v>
      </c>
      <c r="F254" s="12"/>
      <c r="G254" s="12" t="s">
        <v>3505</v>
      </c>
      <c r="H254" s="12" t="s">
        <v>45</v>
      </c>
      <c r="I254" s="12" t="s">
        <v>30</v>
      </c>
      <c r="J254" s="13" t="s">
        <v>2944</v>
      </c>
      <c r="K254" s="14" t="s">
        <v>3514</v>
      </c>
      <c r="L254" s="15">
        <v>13</v>
      </c>
      <c r="M254" s="15" t="s">
        <v>144</v>
      </c>
      <c r="N254" s="16">
        <v>45937</v>
      </c>
      <c r="O254" s="12" t="s">
        <v>3512</v>
      </c>
      <c r="P254" s="14" t="s">
        <v>3515</v>
      </c>
      <c r="Q254" s="17" t="s">
        <v>137</v>
      </c>
      <c r="R254" s="17" t="s">
        <v>146</v>
      </c>
    </row>
    <row r="255" spans="1:18" x14ac:dyDescent="0.3">
      <c r="A255" s="12" t="s">
        <v>3516</v>
      </c>
      <c r="B255" s="12" t="s">
        <v>14</v>
      </c>
      <c r="C255" s="12"/>
      <c r="D255" s="12" t="s">
        <v>14</v>
      </c>
      <c r="E255" s="12" t="s">
        <v>3517</v>
      </c>
      <c r="F255" s="12"/>
      <c r="G255" s="12" t="s">
        <v>3505</v>
      </c>
      <c r="H255" s="12" t="s">
        <v>45</v>
      </c>
      <c r="I255" s="12" t="s">
        <v>30</v>
      </c>
      <c r="J255" s="13" t="s">
        <v>2944</v>
      </c>
      <c r="K255" s="14" t="s">
        <v>3518</v>
      </c>
      <c r="L255" s="15">
        <v>5</v>
      </c>
      <c r="M255" s="15" t="s">
        <v>144</v>
      </c>
      <c r="N255" s="16">
        <v>44680</v>
      </c>
      <c r="O255" s="12" t="s">
        <v>3516</v>
      </c>
      <c r="P255" s="14" t="s">
        <v>3519</v>
      </c>
      <c r="Q255" s="17" t="s">
        <v>137</v>
      </c>
      <c r="R255" s="17" t="s">
        <v>146</v>
      </c>
    </row>
    <row r="256" spans="1:18" x14ac:dyDescent="0.3">
      <c r="A256" s="12" t="s">
        <v>3544</v>
      </c>
      <c r="B256" s="12" t="s">
        <v>14</v>
      </c>
      <c r="C256" s="12"/>
      <c r="D256" s="12" t="s">
        <v>14</v>
      </c>
      <c r="E256" s="12" t="s">
        <v>3545</v>
      </c>
      <c r="F256" s="12" t="s">
        <v>1256</v>
      </c>
      <c r="G256" s="12" t="s">
        <v>3505</v>
      </c>
      <c r="H256" s="12" t="s">
        <v>45</v>
      </c>
      <c r="I256" s="12" t="s">
        <v>30</v>
      </c>
      <c r="J256" s="13" t="s">
        <v>2944</v>
      </c>
      <c r="K256" s="14" t="s">
        <v>3546</v>
      </c>
      <c r="L256" s="15">
        <v>0</v>
      </c>
      <c r="M256" s="15" t="s">
        <v>144</v>
      </c>
      <c r="N256" s="16">
        <v>45124</v>
      </c>
      <c r="O256" s="12" t="s">
        <v>3547</v>
      </c>
      <c r="P256" s="14" t="s">
        <v>3548</v>
      </c>
      <c r="Q256" s="17" t="s">
        <v>137</v>
      </c>
      <c r="R256" s="17" t="s">
        <v>146</v>
      </c>
    </row>
    <row r="257" spans="1:18" x14ac:dyDescent="0.3">
      <c r="A257" s="12" t="s">
        <v>3559</v>
      </c>
      <c r="B257" s="12" t="s">
        <v>14</v>
      </c>
      <c r="C257" s="12"/>
      <c r="D257" s="12" t="s">
        <v>14</v>
      </c>
      <c r="E257" s="12" t="s">
        <v>3545</v>
      </c>
      <c r="F257" s="12"/>
      <c r="G257" s="12" t="s">
        <v>3505</v>
      </c>
      <c r="H257" s="12" t="s">
        <v>45</v>
      </c>
      <c r="I257" s="12" t="s">
        <v>30</v>
      </c>
      <c r="J257" s="13" t="s">
        <v>2944</v>
      </c>
      <c r="K257" s="14" t="s">
        <v>3560</v>
      </c>
      <c r="L257" s="15">
        <v>0</v>
      </c>
      <c r="M257" s="15" t="s">
        <v>144</v>
      </c>
      <c r="N257" s="16">
        <v>44674</v>
      </c>
      <c r="O257" s="12" t="s">
        <v>3559</v>
      </c>
      <c r="P257" s="14" t="s">
        <v>3561</v>
      </c>
      <c r="Q257" s="17" t="s">
        <v>137</v>
      </c>
      <c r="R257" s="17" t="s">
        <v>146</v>
      </c>
    </row>
    <row r="258" spans="1:18" x14ac:dyDescent="0.3">
      <c r="A258" s="12" t="s">
        <v>3562</v>
      </c>
      <c r="B258" s="12" t="s">
        <v>14</v>
      </c>
      <c r="C258" s="12"/>
      <c r="D258" s="12" t="s">
        <v>14</v>
      </c>
      <c r="E258" s="12" t="s">
        <v>3563</v>
      </c>
      <c r="F258" s="12" t="s">
        <v>467</v>
      </c>
      <c r="G258" s="12" t="s">
        <v>3505</v>
      </c>
      <c r="H258" s="12" t="s">
        <v>45</v>
      </c>
      <c r="I258" s="12" t="s">
        <v>30</v>
      </c>
      <c r="J258" s="13" t="s">
        <v>2944</v>
      </c>
      <c r="K258" s="14" t="s">
        <v>3564</v>
      </c>
      <c r="L258" s="15">
        <v>0</v>
      </c>
      <c r="M258" s="15" t="s">
        <v>144</v>
      </c>
      <c r="N258" s="16">
        <v>44761</v>
      </c>
      <c r="O258" s="12" t="s">
        <v>3562</v>
      </c>
      <c r="P258" s="14" t="s">
        <v>3565</v>
      </c>
      <c r="Q258" s="17" t="s">
        <v>137</v>
      </c>
      <c r="R258" s="17" t="s">
        <v>146</v>
      </c>
    </row>
    <row r="259" spans="1:18" x14ac:dyDescent="0.3">
      <c r="A259" s="12" t="s">
        <v>978</v>
      </c>
      <c r="B259" s="12" t="s">
        <v>14</v>
      </c>
      <c r="C259" s="12"/>
      <c r="D259" s="12" t="s">
        <v>14</v>
      </c>
      <c r="E259" s="12" t="s">
        <v>3566</v>
      </c>
      <c r="F259" s="12"/>
      <c r="G259" s="12" t="s">
        <v>3505</v>
      </c>
      <c r="H259" s="12" t="s">
        <v>45</v>
      </c>
      <c r="I259" s="12" t="s">
        <v>30</v>
      </c>
      <c r="J259" s="13" t="s">
        <v>2944</v>
      </c>
      <c r="K259" s="14" t="s">
        <v>3567</v>
      </c>
      <c r="L259" s="15">
        <v>1</v>
      </c>
      <c r="M259" s="15" t="s">
        <v>144</v>
      </c>
      <c r="N259" s="16">
        <v>44687</v>
      </c>
      <c r="O259" s="12" t="s">
        <v>978</v>
      </c>
      <c r="P259" s="14" t="s">
        <v>981</v>
      </c>
      <c r="Q259" s="17" t="s">
        <v>137</v>
      </c>
      <c r="R259" s="17" t="s">
        <v>146</v>
      </c>
    </row>
    <row r="260" spans="1:18" x14ac:dyDescent="0.3">
      <c r="A260" s="12" t="s">
        <v>3577</v>
      </c>
      <c r="B260" s="12" t="s">
        <v>14</v>
      </c>
      <c r="C260" s="12"/>
      <c r="D260" s="12" t="s">
        <v>14</v>
      </c>
      <c r="E260" s="12" t="s">
        <v>3578</v>
      </c>
      <c r="F260" s="12"/>
      <c r="G260" s="12" t="s">
        <v>3579</v>
      </c>
      <c r="H260" s="12" t="s">
        <v>48</v>
      </c>
      <c r="I260" s="12" t="s">
        <v>30</v>
      </c>
      <c r="J260" s="13" t="s">
        <v>3580</v>
      </c>
      <c r="K260" s="14" t="s">
        <v>3581</v>
      </c>
      <c r="L260" s="15">
        <v>2</v>
      </c>
      <c r="M260" s="15" t="s">
        <v>144</v>
      </c>
      <c r="N260" s="16">
        <v>45945</v>
      </c>
      <c r="O260" s="12" t="s">
        <v>3582</v>
      </c>
      <c r="P260" s="14" t="s">
        <v>3583</v>
      </c>
      <c r="Q260" s="17" t="s">
        <v>137</v>
      </c>
      <c r="R260" s="17" t="s">
        <v>146</v>
      </c>
    </row>
    <row r="261" spans="1:18" x14ac:dyDescent="0.3">
      <c r="A261" s="12" t="s">
        <v>3577</v>
      </c>
      <c r="B261" s="12" t="s">
        <v>14</v>
      </c>
      <c r="C261" s="12"/>
      <c r="D261" s="12" t="s">
        <v>14</v>
      </c>
      <c r="E261" s="12" t="s">
        <v>3612</v>
      </c>
      <c r="F261" s="12"/>
      <c r="G261" s="12" t="s">
        <v>3613</v>
      </c>
      <c r="H261" s="12" t="s">
        <v>48</v>
      </c>
      <c r="I261" s="12" t="s">
        <v>30</v>
      </c>
      <c r="J261" s="13" t="s">
        <v>3614</v>
      </c>
      <c r="K261" s="14" t="s">
        <v>3615</v>
      </c>
      <c r="L261" s="15">
        <v>0</v>
      </c>
      <c r="M261" s="15" t="s">
        <v>144</v>
      </c>
      <c r="N261" s="16">
        <v>45945</v>
      </c>
      <c r="O261" s="12" t="s">
        <v>3582</v>
      </c>
      <c r="P261" s="14" t="s">
        <v>3583</v>
      </c>
      <c r="Q261" s="17" t="s">
        <v>137</v>
      </c>
      <c r="R261" s="17" t="s">
        <v>146</v>
      </c>
    </row>
    <row r="262" spans="1:18" x14ac:dyDescent="0.3">
      <c r="A262" s="12" t="s">
        <v>3462</v>
      </c>
      <c r="B262" s="12" t="s">
        <v>14</v>
      </c>
      <c r="C262" s="12"/>
      <c r="D262" s="12" t="s">
        <v>14</v>
      </c>
      <c r="E262" s="12" t="s">
        <v>3616</v>
      </c>
      <c r="F262" s="12"/>
      <c r="G262" s="12" t="s">
        <v>3617</v>
      </c>
      <c r="H262" s="12" t="s">
        <v>48</v>
      </c>
      <c r="I262" s="12" t="s">
        <v>30</v>
      </c>
      <c r="J262" s="13" t="s">
        <v>3618</v>
      </c>
      <c r="K262" s="14" t="s">
        <v>3619</v>
      </c>
      <c r="L262" s="15">
        <v>2</v>
      </c>
      <c r="M262" s="15" t="s">
        <v>144</v>
      </c>
      <c r="N262" s="16">
        <v>46189</v>
      </c>
      <c r="O262" s="12" t="s">
        <v>3462</v>
      </c>
      <c r="P262" s="14" t="s">
        <v>3467</v>
      </c>
      <c r="Q262" s="17" t="s">
        <v>137</v>
      </c>
      <c r="R262" s="17" t="s">
        <v>146</v>
      </c>
    </row>
    <row r="263" spans="1:18" x14ac:dyDescent="0.3">
      <c r="A263" s="12" t="s">
        <v>3620</v>
      </c>
      <c r="B263" s="12" t="s">
        <v>14</v>
      </c>
      <c r="C263" s="12"/>
      <c r="D263" s="12" t="s">
        <v>14</v>
      </c>
      <c r="E263" s="12" t="s">
        <v>3621</v>
      </c>
      <c r="F263" s="12"/>
      <c r="G263" s="12" t="s">
        <v>3622</v>
      </c>
      <c r="H263" s="12" t="s">
        <v>48</v>
      </c>
      <c r="I263" s="12" t="s">
        <v>30</v>
      </c>
      <c r="J263" s="13" t="s">
        <v>3623</v>
      </c>
      <c r="K263" s="14" t="s">
        <v>3624</v>
      </c>
      <c r="L263" s="15">
        <v>0</v>
      </c>
      <c r="M263" s="15" t="s">
        <v>144</v>
      </c>
      <c r="N263" s="16">
        <v>45862</v>
      </c>
      <c r="O263" s="12" t="s">
        <v>3620</v>
      </c>
      <c r="P263" s="14" t="s">
        <v>3625</v>
      </c>
      <c r="Q263" s="17" t="s">
        <v>137</v>
      </c>
      <c r="R263" s="17" t="s">
        <v>146</v>
      </c>
    </row>
    <row r="264" spans="1:18" x14ac:dyDescent="0.3">
      <c r="A264" s="12" t="s">
        <v>3750</v>
      </c>
      <c r="B264" s="12" t="s">
        <v>14</v>
      </c>
      <c r="C264" s="12"/>
      <c r="D264" s="12" t="s">
        <v>14</v>
      </c>
      <c r="E264" s="12" t="s">
        <v>3751</v>
      </c>
      <c r="F264" s="12"/>
      <c r="G264" s="12" t="s">
        <v>62</v>
      </c>
      <c r="H264" s="12" t="s">
        <v>62</v>
      </c>
      <c r="I264" s="12" t="s">
        <v>31</v>
      </c>
      <c r="J264" s="13" t="s">
        <v>3747</v>
      </c>
      <c r="K264" s="14" t="s">
        <v>3752</v>
      </c>
      <c r="L264" s="15">
        <v>0</v>
      </c>
      <c r="M264" s="15" t="s">
        <v>144</v>
      </c>
      <c r="N264" s="16">
        <v>44932</v>
      </c>
      <c r="O264" s="12" t="s">
        <v>3750</v>
      </c>
      <c r="P264" s="14" t="s">
        <v>3753</v>
      </c>
      <c r="Q264" s="17" t="s">
        <v>137</v>
      </c>
      <c r="R264" s="17" t="s">
        <v>146</v>
      </c>
    </row>
    <row r="265" spans="1:18" x14ac:dyDescent="0.3">
      <c r="A265" s="12" t="s">
        <v>3760</v>
      </c>
      <c r="B265" s="12" t="s">
        <v>14</v>
      </c>
      <c r="C265" s="12"/>
      <c r="D265" s="12" t="s">
        <v>14</v>
      </c>
      <c r="E265" s="12" t="s">
        <v>3761</v>
      </c>
      <c r="F265" s="12"/>
      <c r="G265" s="12" t="s">
        <v>3762</v>
      </c>
      <c r="H265" s="12" t="s">
        <v>62</v>
      </c>
      <c r="I265" s="12" t="s">
        <v>31</v>
      </c>
      <c r="J265" s="13" t="s">
        <v>3763</v>
      </c>
      <c r="K265" s="14" t="s">
        <v>3764</v>
      </c>
      <c r="L265" s="15">
        <v>0</v>
      </c>
      <c r="M265" s="15" t="s">
        <v>144</v>
      </c>
      <c r="N265" s="16">
        <v>45763</v>
      </c>
      <c r="O265" s="12" t="s">
        <v>3760</v>
      </c>
      <c r="P265" s="14" t="s">
        <v>3765</v>
      </c>
      <c r="Q265" s="17" t="s">
        <v>137</v>
      </c>
      <c r="R265" s="17" t="s">
        <v>146</v>
      </c>
    </row>
    <row r="266" spans="1:18" x14ac:dyDescent="0.3">
      <c r="A266" s="12" t="s">
        <v>3750</v>
      </c>
      <c r="B266" s="12" t="s">
        <v>14</v>
      </c>
      <c r="C266" s="12"/>
      <c r="D266" s="12" t="s">
        <v>14</v>
      </c>
      <c r="E266" s="12" t="s">
        <v>3766</v>
      </c>
      <c r="F266" s="12"/>
      <c r="G266" s="12" t="s">
        <v>3762</v>
      </c>
      <c r="H266" s="12" t="s">
        <v>62</v>
      </c>
      <c r="I266" s="12" t="s">
        <v>31</v>
      </c>
      <c r="J266" s="13" t="s">
        <v>3763</v>
      </c>
      <c r="K266" s="14" t="s">
        <v>3767</v>
      </c>
      <c r="L266" s="15">
        <v>0</v>
      </c>
      <c r="M266" s="15" t="s">
        <v>144</v>
      </c>
      <c r="N266" s="16">
        <v>44932</v>
      </c>
      <c r="O266" s="12" t="s">
        <v>3750</v>
      </c>
      <c r="P266" s="14" t="s">
        <v>3768</v>
      </c>
      <c r="Q266" s="17" t="s">
        <v>137</v>
      </c>
      <c r="R266" s="17" t="s">
        <v>146</v>
      </c>
    </row>
    <row r="267" spans="1:18" x14ac:dyDescent="0.3">
      <c r="A267" s="12" t="s">
        <v>3750</v>
      </c>
      <c r="B267" s="12" t="s">
        <v>14</v>
      </c>
      <c r="C267" s="12"/>
      <c r="D267" s="12" t="s">
        <v>14</v>
      </c>
      <c r="E267" s="12" t="s">
        <v>3783</v>
      </c>
      <c r="F267" s="12"/>
      <c r="G267" s="12" t="s">
        <v>3784</v>
      </c>
      <c r="H267" s="12" t="s">
        <v>68</v>
      </c>
      <c r="I267" s="12" t="s">
        <v>31</v>
      </c>
      <c r="J267" s="13" t="s">
        <v>3785</v>
      </c>
      <c r="K267" s="14" t="s">
        <v>3786</v>
      </c>
      <c r="L267" s="15">
        <v>0</v>
      </c>
      <c r="M267" s="15" t="s">
        <v>144</v>
      </c>
      <c r="N267" s="16">
        <v>44929</v>
      </c>
      <c r="O267" s="12" t="s">
        <v>3750</v>
      </c>
      <c r="P267" s="14" t="s">
        <v>3787</v>
      </c>
      <c r="Q267" s="17" t="s">
        <v>137</v>
      </c>
      <c r="R267" s="17" t="s">
        <v>146</v>
      </c>
    </row>
    <row r="268" spans="1:18" x14ac:dyDescent="0.3">
      <c r="A268" s="12" t="s">
        <v>3750</v>
      </c>
      <c r="B268" s="12" t="s">
        <v>14</v>
      </c>
      <c r="C268" s="12"/>
      <c r="D268" s="12" t="s">
        <v>14</v>
      </c>
      <c r="E268" s="12" t="s">
        <v>3788</v>
      </c>
      <c r="F268" s="12"/>
      <c r="G268" s="12" t="s">
        <v>3789</v>
      </c>
      <c r="H268" s="12" t="s">
        <v>99</v>
      </c>
      <c r="I268" s="12" t="s">
        <v>31</v>
      </c>
      <c r="J268" s="13" t="s">
        <v>3790</v>
      </c>
      <c r="K268" s="14" t="s">
        <v>3791</v>
      </c>
      <c r="L268" s="15">
        <v>0</v>
      </c>
      <c r="M268" s="15" t="s">
        <v>144</v>
      </c>
      <c r="N268" s="16">
        <v>44925</v>
      </c>
      <c r="O268" s="12" t="s">
        <v>3750</v>
      </c>
      <c r="P268" s="14" t="s">
        <v>3792</v>
      </c>
      <c r="Q268" s="17" t="s">
        <v>137</v>
      </c>
      <c r="R268" s="17" t="s">
        <v>146</v>
      </c>
    </row>
    <row r="269" spans="1:18" x14ac:dyDescent="0.3">
      <c r="A269" s="12" t="s">
        <v>3816</v>
      </c>
      <c r="B269" s="12" t="s">
        <v>14</v>
      </c>
      <c r="C269" s="12"/>
      <c r="D269" s="12" t="s">
        <v>14</v>
      </c>
      <c r="E269" s="12" t="s">
        <v>3817</v>
      </c>
      <c r="F269" s="12"/>
      <c r="G269" s="12" t="s">
        <v>3814</v>
      </c>
      <c r="H269" s="12" t="s">
        <v>89</v>
      </c>
      <c r="I269" s="12" t="s">
        <v>31</v>
      </c>
      <c r="J269" s="13" t="s">
        <v>3815</v>
      </c>
      <c r="K269" s="14" t="s">
        <v>3818</v>
      </c>
      <c r="L269" s="15">
        <v>2</v>
      </c>
      <c r="M269" s="15" t="s">
        <v>220</v>
      </c>
      <c r="N269" s="16">
        <v>46287</v>
      </c>
      <c r="O269" s="12" t="s">
        <v>3816</v>
      </c>
      <c r="P269" s="14" t="s">
        <v>3819</v>
      </c>
      <c r="Q269" s="17" t="s">
        <v>137</v>
      </c>
      <c r="R269" s="17" t="s">
        <v>146</v>
      </c>
    </row>
    <row r="270" spans="1:18" x14ac:dyDescent="0.3">
      <c r="A270" s="12" t="s">
        <v>3820</v>
      </c>
      <c r="B270" s="12" t="s">
        <v>14</v>
      </c>
      <c r="C270" s="12"/>
      <c r="D270" s="12" t="s">
        <v>14</v>
      </c>
      <c r="E270" s="12" t="s">
        <v>3821</v>
      </c>
      <c r="F270" s="12"/>
      <c r="G270" s="12" t="s">
        <v>3822</v>
      </c>
      <c r="H270" s="12" t="s">
        <v>75</v>
      </c>
      <c r="I270" s="12" t="s">
        <v>32</v>
      </c>
      <c r="J270" s="13" t="s">
        <v>3823</v>
      </c>
      <c r="K270" s="14" t="s">
        <v>3824</v>
      </c>
      <c r="L270" s="15">
        <v>0</v>
      </c>
      <c r="M270" s="15" t="s">
        <v>144</v>
      </c>
      <c r="N270" s="16">
        <v>44900</v>
      </c>
      <c r="O270" s="12" t="s">
        <v>3820</v>
      </c>
      <c r="P270" s="14" t="s">
        <v>3825</v>
      </c>
      <c r="Q270" s="17" t="s">
        <v>137</v>
      </c>
      <c r="R270" s="17" t="s">
        <v>146</v>
      </c>
    </row>
    <row r="271" spans="1:18" x14ac:dyDescent="0.3">
      <c r="A271" s="12" t="s">
        <v>3826</v>
      </c>
      <c r="B271" s="12" t="s">
        <v>14</v>
      </c>
      <c r="C271" s="12"/>
      <c r="D271" s="12" t="s">
        <v>14</v>
      </c>
      <c r="E271" s="12" t="s">
        <v>3827</v>
      </c>
      <c r="F271" s="12"/>
      <c r="G271" s="12" t="s">
        <v>3828</v>
      </c>
      <c r="H271" s="12" t="s">
        <v>75</v>
      </c>
      <c r="I271" s="12" t="s">
        <v>32</v>
      </c>
      <c r="J271" s="13" t="s">
        <v>3829</v>
      </c>
      <c r="K271" s="14" t="s">
        <v>3830</v>
      </c>
      <c r="L271" s="15">
        <v>0</v>
      </c>
      <c r="M271" s="15" t="s">
        <v>144</v>
      </c>
      <c r="N271" s="16">
        <v>45126</v>
      </c>
      <c r="O271" s="12" t="s">
        <v>3826</v>
      </c>
      <c r="P271" s="14" t="s">
        <v>3831</v>
      </c>
      <c r="Q271" s="17" t="s">
        <v>137</v>
      </c>
      <c r="R271" s="17" t="s">
        <v>146</v>
      </c>
    </row>
    <row r="272" spans="1:18" x14ac:dyDescent="0.3">
      <c r="A272" s="12" t="s">
        <v>3858</v>
      </c>
      <c r="B272" s="12" t="s">
        <v>14</v>
      </c>
      <c r="C272" s="12"/>
      <c r="D272" s="12" t="s">
        <v>14</v>
      </c>
      <c r="E272" s="12" t="s">
        <v>3859</v>
      </c>
      <c r="F272" s="12" t="s">
        <v>218</v>
      </c>
      <c r="G272" s="12" t="s">
        <v>3853</v>
      </c>
      <c r="H272" s="12" t="s">
        <v>82</v>
      </c>
      <c r="I272" s="12" t="s">
        <v>32</v>
      </c>
      <c r="J272" s="13" t="s">
        <v>3854</v>
      </c>
      <c r="K272" s="14" t="s">
        <v>3860</v>
      </c>
      <c r="L272" s="15">
        <v>6</v>
      </c>
      <c r="M272" s="15" t="s">
        <v>144</v>
      </c>
      <c r="N272" s="16">
        <v>44644</v>
      </c>
      <c r="O272" s="12" t="s">
        <v>3858</v>
      </c>
      <c r="P272" s="14" t="s">
        <v>3861</v>
      </c>
      <c r="Q272" s="17" t="s">
        <v>137</v>
      </c>
      <c r="R272" s="17" t="s">
        <v>146</v>
      </c>
    </row>
    <row r="273" spans="1:18" x14ac:dyDescent="0.3">
      <c r="A273" s="12" t="s">
        <v>3862</v>
      </c>
      <c r="B273" s="12" t="s">
        <v>14</v>
      </c>
      <c r="C273" s="12"/>
      <c r="D273" s="12" t="s">
        <v>14</v>
      </c>
      <c r="E273" s="12" t="s">
        <v>3863</v>
      </c>
      <c r="F273" s="12" t="s">
        <v>258</v>
      </c>
      <c r="G273" s="12" t="s">
        <v>3864</v>
      </c>
      <c r="H273" s="12" t="s">
        <v>57</v>
      </c>
      <c r="I273" s="12" t="s">
        <v>32</v>
      </c>
      <c r="J273" s="13" t="s">
        <v>3865</v>
      </c>
      <c r="K273" s="14" t="s">
        <v>3866</v>
      </c>
      <c r="L273" s="15">
        <v>1</v>
      </c>
      <c r="M273" s="15" t="s">
        <v>144</v>
      </c>
      <c r="N273" s="16">
        <v>45743</v>
      </c>
      <c r="O273" s="12" t="s">
        <v>3862</v>
      </c>
      <c r="P273" s="14" t="s">
        <v>3867</v>
      </c>
      <c r="Q273" s="17" t="s">
        <v>137</v>
      </c>
      <c r="R273" s="17" t="s">
        <v>146</v>
      </c>
    </row>
    <row r="274" spans="1:18" x14ac:dyDescent="0.3">
      <c r="A274" s="12" t="s">
        <v>3875</v>
      </c>
      <c r="B274" s="12" t="s">
        <v>14</v>
      </c>
      <c r="C274" s="12"/>
      <c r="D274" s="12" t="s">
        <v>14</v>
      </c>
      <c r="E274" s="12" t="s">
        <v>3876</v>
      </c>
      <c r="F274" s="12"/>
      <c r="G274" s="12" t="s">
        <v>3870</v>
      </c>
      <c r="H274" s="12" t="s">
        <v>57</v>
      </c>
      <c r="I274" s="12" t="s">
        <v>32</v>
      </c>
      <c r="J274" s="13" t="s">
        <v>3871</v>
      </c>
      <c r="K274" s="14" t="s">
        <v>3877</v>
      </c>
      <c r="L274" s="15">
        <v>0</v>
      </c>
      <c r="M274" s="15" t="s">
        <v>144</v>
      </c>
      <c r="N274" s="16">
        <v>45694</v>
      </c>
      <c r="O274" s="12" t="s">
        <v>3875</v>
      </c>
      <c r="P274" s="14" t="s">
        <v>3878</v>
      </c>
      <c r="Q274" s="17" t="s">
        <v>137</v>
      </c>
      <c r="R274" s="17" t="s">
        <v>146</v>
      </c>
    </row>
    <row r="275" spans="1:18" x14ac:dyDescent="0.3">
      <c r="A275" s="12" t="s">
        <v>307</v>
      </c>
      <c r="B275" s="12" t="s">
        <v>14</v>
      </c>
      <c r="C275" s="12"/>
      <c r="D275" s="12" t="s">
        <v>14</v>
      </c>
      <c r="E275" s="12" t="s">
        <v>3879</v>
      </c>
      <c r="F275" s="12"/>
      <c r="G275" s="12" t="s">
        <v>3870</v>
      </c>
      <c r="H275" s="12" t="s">
        <v>57</v>
      </c>
      <c r="I275" s="12" t="s">
        <v>32</v>
      </c>
      <c r="J275" s="13" t="s">
        <v>3871</v>
      </c>
      <c r="K275" s="14" t="s">
        <v>558</v>
      </c>
      <c r="L275" s="15">
        <v>1</v>
      </c>
      <c r="M275" s="15" t="s">
        <v>144</v>
      </c>
      <c r="N275" s="16">
        <v>46275</v>
      </c>
      <c r="O275" s="12" t="s">
        <v>307</v>
      </c>
      <c r="P275" s="14" t="s">
        <v>310</v>
      </c>
      <c r="Q275" s="17" t="s">
        <v>137</v>
      </c>
      <c r="R275" s="17" t="s">
        <v>146</v>
      </c>
    </row>
    <row r="276" spans="1:18" x14ac:dyDescent="0.3">
      <c r="A276" s="12" t="s">
        <v>307</v>
      </c>
      <c r="B276" s="12" t="s">
        <v>14</v>
      </c>
      <c r="C276" s="12"/>
      <c r="D276" s="12" t="s">
        <v>14</v>
      </c>
      <c r="E276" s="12" t="s">
        <v>3886</v>
      </c>
      <c r="F276" s="12" t="s">
        <v>1542</v>
      </c>
      <c r="G276" s="12" t="s">
        <v>3882</v>
      </c>
      <c r="H276" s="12" t="s">
        <v>57</v>
      </c>
      <c r="I276" s="12" t="s">
        <v>32</v>
      </c>
      <c r="J276" s="13" t="s">
        <v>3883</v>
      </c>
      <c r="K276" s="14" t="s">
        <v>3887</v>
      </c>
      <c r="L276" s="15">
        <v>1</v>
      </c>
      <c r="M276" s="15" t="s">
        <v>144</v>
      </c>
      <c r="N276" s="16">
        <v>46275</v>
      </c>
      <c r="O276" s="12" t="s">
        <v>307</v>
      </c>
      <c r="P276" s="14" t="s">
        <v>310</v>
      </c>
      <c r="Q276" s="17" t="s">
        <v>137</v>
      </c>
      <c r="R276" s="17" t="s">
        <v>146</v>
      </c>
    </row>
    <row r="277" spans="1:18" x14ac:dyDescent="0.3">
      <c r="A277" s="12" t="s">
        <v>3862</v>
      </c>
      <c r="B277" s="12" t="s">
        <v>14</v>
      </c>
      <c r="C277" s="12"/>
      <c r="D277" s="12" t="s">
        <v>14</v>
      </c>
      <c r="E277" s="12" t="s">
        <v>3921</v>
      </c>
      <c r="F277" s="12" t="s">
        <v>359</v>
      </c>
      <c r="G277" s="12" t="s">
        <v>3922</v>
      </c>
      <c r="H277" s="12" t="s">
        <v>42</v>
      </c>
      <c r="I277" s="12" t="s">
        <v>32</v>
      </c>
      <c r="J277" s="13" t="s">
        <v>3923</v>
      </c>
      <c r="K277" s="14" t="s">
        <v>3866</v>
      </c>
      <c r="L277" s="15">
        <v>0</v>
      </c>
      <c r="M277" s="15" t="s">
        <v>144</v>
      </c>
      <c r="N277" s="16">
        <v>45743</v>
      </c>
      <c r="O277" s="12" t="s">
        <v>3862</v>
      </c>
      <c r="P277" s="14" t="s">
        <v>3867</v>
      </c>
      <c r="Q277" s="17" t="s">
        <v>137</v>
      </c>
      <c r="R277" s="17" t="s">
        <v>146</v>
      </c>
    </row>
    <row r="278" spans="1:18" x14ac:dyDescent="0.3">
      <c r="A278" s="12" t="s">
        <v>3862</v>
      </c>
      <c r="B278" s="12" t="s">
        <v>14</v>
      </c>
      <c r="C278" s="12"/>
      <c r="D278" s="12" t="s">
        <v>14</v>
      </c>
      <c r="E278" s="12" t="s">
        <v>3924</v>
      </c>
      <c r="F278" s="12" t="s">
        <v>1270</v>
      </c>
      <c r="G278" s="12" t="s">
        <v>3922</v>
      </c>
      <c r="H278" s="12" t="s">
        <v>42</v>
      </c>
      <c r="I278" s="12" t="s">
        <v>32</v>
      </c>
      <c r="J278" s="13" t="s">
        <v>3925</v>
      </c>
      <c r="K278" s="14" t="s">
        <v>3926</v>
      </c>
      <c r="L278" s="15">
        <v>1</v>
      </c>
      <c r="M278" s="15" t="s">
        <v>144</v>
      </c>
      <c r="N278" s="16">
        <v>45743</v>
      </c>
      <c r="O278" s="12" t="s">
        <v>3862</v>
      </c>
      <c r="P278" s="14" t="s">
        <v>3867</v>
      </c>
      <c r="Q278" s="17" t="s">
        <v>137</v>
      </c>
      <c r="R278" s="17" t="s">
        <v>146</v>
      </c>
    </row>
    <row r="279" spans="1:18" x14ac:dyDescent="0.3">
      <c r="A279" s="12" t="s">
        <v>3927</v>
      </c>
      <c r="B279" s="12" t="s">
        <v>14</v>
      </c>
      <c r="C279" s="12"/>
      <c r="D279" s="12" t="s">
        <v>14</v>
      </c>
      <c r="E279" s="12" t="s">
        <v>3928</v>
      </c>
      <c r="F279" s="12"/>
      <c r="G279" s="12" t="s">
        <v>3922</v>
      </c>
      <c r="H279" s="12" t="s">
        <v>42</v>
      </c>
      <c r="I279" s="12" t="s">
        <v>32</v>
      </c>
      <c r="J279" s="13" t="s">
        <v>3923</v>
      </c>
      <c r="K279" s="14" t="s">
        <v>3929</v>
      </c>
      <c r="L279" s="15">
        <v>0</v>
      </c>
      <c r="M279" s="15" t="s">
        <v>144</v>
      </c>
      <c r="N279" s="16">
        <v>46100</v>
      </c>
      <c r="O279" s="12" t="s">
        <v>3927</v>
      </c>
      <c r="P279" s="14" t="s">
        <v>3930</v>
      </c>
      <c r="Q279" s="17" t="s">
        <v>137</v>
      </c>
      <c r="R279" s="17" t="s">
        <v>146</v>
      </c>
    </row>
    <row r="280" spans="1:18" x14ac:dyDescent="0.3">
      <c r="A280" s="12" t="s">
        <v>747</v>
      </c>
      <c r="B280" s="12" t="s">
        <v>14</v>
      </c>
      <c r="C280" s="12"/>
      <c r="D280" s="12" t="s">
        <v>14</v>
      </c>
      <c r="E280" s="12" t="s">
        <v>3936</v>
      </c>
      <c r="F280" s="12"/>
      <c r="G280" s="12" t="s">
        <v>3922</v>
      </c>
      <c r="H280" s="12" t="s">
        <v>42</v>
      </c>
      <c r="I280" s="12" t="s">
        <v>32</v>
      </c>
      <c r="J280" s="13" t="s">
        <v>3925</v>
      </c>
      <c r="K280" s="14" t="s">
        <v>3937</v>
      </c>
      <c r="L280" s="15">
        <v>0</v>
      </c>
      <c r="M280" s="15" t="s">
        <v>144</v>
      </c>
      <c r="N280" s="16">
        <v>45205</v>
      </c>
      <c r="O280" s="12" t="s">
        <v>752</v>
      </c>
      <c r="P280" s="14" t="s">
        <v>753</v>
      </c>
      <c r="Q280" s="17" t="s">
        <v>137</v>
      </c>
      <c r="R280" s="17" t="s">
        <v>146</v>
      </c>
    </row>
    <row r="281" spans="1:18" x14ac:dyDescent="0.3">
      <c r="A281" s="12" t="s">
        <v>3938</v>
      </c>
      <c r="B281" s="12" t="s">
        <v>14</v>
      </c>
      <c r="C281" s="12"/>
      <c r="D281" s="12" t="s">
        <v>14</v>
      </c>
      <c r="E281" s="12" t="s">
        <v>3939</v>
      </c>
      <c r="F281" s="12"/>
      <c r="G281" s="12" t="s">
        <v>3922</v>
      </c>
      <c r="H281" s="12" t="s">
        <v>42</v>
      </c>
      <c r="I281" s="12" t="s">
        <v>32</v>
      </c>
      <c r="J281" s="13" t="s">
        <v>3925</v>
      </c>
      <c r="K281" s="14" t="s">
        <v>3937</v>
      </c>
      <c r="L281" s="15">
        <v>0</v>
      </c>
      <c r="M281" s="15" t="s">
        <v>144</v>
      </c>
      <c r="N281" s="16">
        <v>44735</v>
      </c>
      <c r="O281" s="12" t="s">
        <v>3938</v>
      </c>
      <c r="P281" s="14" t="s">
        <v>3940</v>
      </c>
      <c r="Q281" s="17" t="s">
        <v>137</v>
      </c>
      <c r="R281" s="17" t="s">
        <v>146</v>
      </c>
    </row>
    <row r="282" spans="1:18" x14ac:dyDescent="0.3">
      <c r="A282" s="12" t="s">
        <v>3941</v>
      </c>
      <c r="B282" s="12" t="s">
        <v>14</v>
      </c>
      <c r="C282" s="12"/>
      <c r="D282" s="12" t="s">
        <v>14</v>
      </c>
      <c r="E282" s="12" t="s">
        <v>3942</v>
      </c>
      <c r="F282" s="12"/>
      <c r="G282" s="12" t="s">
        <v>3922</v>
      </c>
      <c r="H282" s="12" t="s">
        <v>42</v>
      </c>
      <c r="I282" s="12" t="s">
        <v>32</v>
      </c>
      <c r="J282" s="13" t="s">
        <v>3923</v>
      </c>
      <c r="K282" s="14" t="s">
        <v>3943</v>
      </c>
      <c r="L282" s="15">
        <v>8</v>
      </c>
      <c r="M282" s="15" t="s">
        <v>144</v>
      </c>
      <c r="N282" s="16">
        <v>45127</v>
      </c>
      <c r="O282" s="12" t="s">
        <v>3944</v>
      </c>
      <c r="P282" s="14" t="s">
        <v>3945</v>
      </c>
      <c r="Q282" s="17" t="s">
        <v>137</v>
      </c>
      <c r="R282" s="17" t="s">
        <v>146</v>
      </c>
    </row>
    <row r="283" spans="1:18" x14ac:dyDescent="0.3">
      <c r="A283" s="12" t="s">
        <v>307</v>
      </c>
      <c r="B283" s="12" t="s">
        <v>14</v>
      </c>
      <c r="C283" s="12"/>
      <c r="D283" s="12" t="s">
        <v>14</v>
      </c>
      <c r="E283" s="12" t="s">
        <v>4023</v>
      </c>
      <c r="F283" s="12"/>
      <c r="G283" s="12" t="s">
        <v>3922</v>
      </c>
      <c r="H283" s="12" t="s">
        <v>42</v>
      </c>
      <c r="I283" s="12" t="s">
        <v>32</v>
      </c>
      <c r="J283" s="13" t="s">
        <v>3925</v>
      </c>
      <c r="K283" s="14" t="s">
        <v>4024</v>
      </c>
      <c r="L283" s="15">
        <v>2</v>
      </c>
      <c r="M283" s="15" t="s">
        <v>144</v>
      </c>
      <c r="N283" s="16">
        <v>46275</v>
      </c>
      <c r="O283" s="12" t="s">
        <v>307</v>
      </c>
      <c r="P283" s="14" t="s">
        <v>310</v>
      </c>
      <c r="Q283" s="17" t="s">
        <v>137</v>
      </c>
      <c r="R283" s="17" t="s">
        <v>146</v>
      </c>
    </row>
    <row r="284" spans="1:18" x14ac:dyDescent="0.3">
      <c r="A284" s="12" t="s">
        <v>307</v>
      </c>
      <c r="B284" s="12" t="s">
        <v>14</v>
      </c>
      <c r="C284" s="12"/>
      <c r="D284" s="12" t="s">
        <v>14</v>
      </c>
      <c r="E284" s="12" t="s">
        <v>4025</v>
      </c>
      <c r="F284" s="12" t="s">
        <v>871</v>
      </c>
      <c r="G284" s="12" t="s">
        <v>3922</v>
      </c>
      <c r="H284" s="12" t="s">
        <v>42</v>
      </c>
      <c r="I284" s="12" t="s">
        <v>32</v>
      </c>
      <c r="J284" s="13" t="s">
        <v>4013</v>
      </c>
      <c r="K284" s="14" t="s">
        <v>4024</v>
      </c>
      <c r="L284" s="15">
        <v>1</v>
      </c>
      <c r="M284" s="15" t="s">
        <v>144</v>
      </c>
      <c r="N284" s="16">
        <v>46275</v>
      </c>
      <c r="O284" s="12" t="s">
        <v>307</v>
      </c>
      <c r="P284" s="14" t="s">
        <v>310</v>
      </c>
      <c r="Q284" s="17" t="s">
        <v>137</v>
      </c>
      <c r="R284" s="17" t="s">
        <v>146</v>
      </c>
    </row>
    <row r="285" spans="1:18" x14ac:dyDescent="0.3">
      <c r="A285" s="12" t="s">
        <v>4026</v>
      </c>
      <c r="B285" s="12" t="s">
        <v>14</v>
      </c>
      <c r="C285" s="12"/>
      <c r="D285" s="12" t="s">
        <v>14</v>
      </c>
      <c r="E285" s="12" t="s">
        <v>4027</v>
      </c>
      <c r="F285" s="12"/>
      <c r="G285" s="12" t="s">
        <v>3922</v>
      </c>
      <c r="H285" s="12" t="s">
        <v>42</v>
      </c>
      <c r="I285" s="12" t="s">
        <v>32</v>
      </c>
      <c r="J285" s="13" t="s">
        <v>3925</v>
      </c>
      <c r="K285" s="14" t="s">
        <v>4028</v>
      </c>
      <c r="L285" s="15">
        <v>0</v>
      </c>
      <c r="M285" s="15" t="s">
        <v>144</v>
      </c>
      <c r="N285" s="16">
        <v>46223</v>
      </c>
      <c r="O285" s="12" t="s">
        <v>4026</v>
      </c>
      <c r="P285" s="14" t="s">
        <v>4029</v>
      </c>
      <c r="Q285" s="17" t="s">
        <v>137</v>
      </c>
      <c r="R285" s="17" t="s">
        <v>146</v>
      </c>
    </row>
    <row r="286" spans="1:18" x14ac:dyDescent="0.3">
      <c r="A286" s="12" t="s">
        <v>307</v>
      </c>
      <c r="B286" s="12" t="s">
        <v>14</v>
      </c>
      <c r="C286" s="12"/>
      <c r="D286" s="12" t="s">
        <v>14</v>
      </c>
      <c r="E286" s="12" t="s">
        <v>4036</v>
      </c>
      <c r="F286" s="12" t="s">
        <v>547</v>
      </c>
      <c r="G286" s="12" t="s">
        <v>76</v>
      </c>
      <c r="H286" s="12" t="s">
        <v>56</v>
      </c>
      <c r="I286" s="12" t="s">
        <v>32</v>
      </c>
      <c r="J286" s="13" t="s">
        <v>4032</v>
      </c>
      <c r="K286" s="14" t="s">
        <v>4037</v>
      </c>
      <c r="L286" s="15">
        <v>12</v>
      </c>
      <c r="M286" s="15" t="s">
        <v>144</v>
      </c>
      <c r="N286" s="16">
        <v>46275</v>
      </c>
      <c r="O286" s="12" t="s">
        <v>307</v>
      </c>
      <c r="P286" s="14" t="s">
        <v>310</v>
      </c>
      <c r="Q286" s="17" t="s">
        <v>137</v>
      </c>
      <c r="R286" s="17" t="s">
        <v>146</v>
      </c>
    </row>
    <row r="287" spans="1:18" x14ac:dyDescent="0.3">
      <c r="A287" s="12" t="s">
        <v>3286</v>
      </c>
      <c r="B287" s="12" t="s">
        <v>14</v>
      </c>
      <c r="C287" s="12"/>
      <c r="D287" s="12" t="s">
        <v>14</v>
      </c>
      <c r="E287" s="12" t="s">
        <v>4038</v>
      </c>
      <c r="F287" s="12" t="s">
        <v>4039</v>
      </c>
      <c r="G287" s="12" t="s">
        <v>4040</v>
      </c>
      <c r="H287" s="12" t="s">
        <v>56</v>
      </c>
      <c r="I287" s="12" t="s">
        <v>32</v>
      </c>
      <c r="J287" s="13" t="s">
        <v>4041</v>
      </c>
      <c r="K287" s="14" t="s">
        <v>4042</v>
      </c>
      <c r="L287" s="15">
        <v>1</v>
      </c>
      <c r="M287" s="15" t="s">
        <v>144</v>
      </c>
      <c r="N287" s="16">
        <v>45475</v>
      </c>
      <c r="O287" s="12" t="s">
        <v>3286</v>
      </c>
      <c r="P287" s="14" t="s">
        <v>3290</v>
      </c>
      <c r="Q287" s="17" t="s">
        <v>137</v>
      </c>
      <c r="R287" s="17" t="s">
        <v>146</v>
      </c>
    </row>
    <row r="288" spans="1:18" x14ac:dyDescent="0.3">
      <c r="A288" s="12" t="s">
        <v>307</v>
      </c>
      <c r="B288" s="12" t="s">
        <v>14</v>
      </c>
      <c r="C288" s="12"/>
      <c r="D288" s="12" t="s">
        <v>14</v>
      </c>
      <c r="E288" s="12" t="s">
        <v>4057</v>
      </c>
      <c r="F288" s="12" t="s">
        <v>4058</v>
      </c>
      <c r="G288" s="12" t="s">
        <v>4040</v>
      </c>
      <c r="H288" s="12" t="s">
        <v>56</v>
      </c>
      <c r="I288" s="12" t="s">
        <v>32</v>
      </c>
      <c r="J288" s="13" t="s">
        <v>4041</v>
      </c>
      <c r="K288" s="14" t="s">
        <v>4059</v>
      </c>
      <c r="L288" s="15">
        <v>0</v>
      </c>
      <c r="M288" s="15" t="s">
        <v>144</v>
      </c>
      <c r="N288" s="16">
        <v>46275</v>
      </c>
      <c r="O288" s="12" t="s">
        <v>307</v>
      </c>
      <c r="P288" s="14" t="s">
        <v>310</v>
      </c>
      <c r="Q288" s="17" t="s">
        <v>137</v>
      </c>
      <c r="R288" s="17" t="s">
        <v>146</v>
      </c>
    </row>
    <row r="289" spans="1:18" x14ac:dyDescent="0.3">
      <c r="A289" s="12" t="s">
        <v>3286</v>
      </c>
      <c r="B289" s="12" t="s">
        <v>14</v>
      </c>
      <c r="C289" s="12"/>
      <c r="D289" s="12" t="s">
        <v>14</v>
      </c>
      <c r="E289" s="12" t="s">
        <v>4060</v>
      </c>
      <c r="F289" s="12"/>
      <c r="G289" s="12" t="s">
        <v>4061</v>
      </c>
      <c r="H289" s="12" t="s">
        <v>63</v>
      </c>
      <c r="I289" s="12" t="s">
        <v>32</v>
      </c>
      <c r="J289" s="13" t="s">
        <v>4062</v>
      </c>
      <c r="K289" s="14" t="s">
        <v>4063</v>
      </c>
      <c r="L289" s="15">
        <v>6</v>
      </c>
      <c r="M289" s="15" t="s">
        <v>144</v>
      </c>
      <c r="N289" s="16">
        <v>45475</v>
      </c>
      <c r="O289" s="12" t="s">
        <v>3286</v>
      </c>
      <c r="P289" s="14" t="s">
        <v>3290</v>
      </c>
      <c r="Q289" s="17" t="s">
        <v>137</v>
      </c>
      <c r="R289" s="17" t="s">
        <v>146</v>
      </c>
    </row>
    <row r="290" spans="1:18" x14ac:dyDescent="0.3">
      <c r="A290" s="12" t="s">
        <v>747</v>
      </c>
      <c r="B290" s="12" t="s">
        <v>14</v>
      </c>
      <c r="C290" s="12"/>
      <c r="D290" s="12" t="s">
        <v>14</v>
      </c>
      <c r="E290" s="12" t="s">
        <v>4069</v>
      </c>
      <c r="F290" s="12"/>
      <c r="G290" s="12" t="s">
        <v>4061</v>
      </c>
      <c r="H290" s="12" t="s">
        <v>63</v>
      </c>
      <c r="I290" s="12" t="s">
        <v>32</v>
      </c>
      <c r="J290" s="13" t="s">
        <v>4062</v>
      </c>
      <c r="K290" s="14" t="s">
        <v>3937</v>
      </c>
      <c r="L290" s="15">
        <v>0</v>
      </c>
      <c r="M290" s="15" t="s">
        <v>144</v>
      </c>
      <c r="N290" s="16">
        <v>45205</v>
      </c>
      <c r="O290" s="12" t="s">
        <v>752</v>
      </c>
      <c r="P290" s="14" t="s">
        <v>753</v>
      </c>
      <c r="Q290" s="17" t="s">
        <v>137</v>
      </c>
      <c r="R290" s="17" t="s">
        <v>146</v>
      </c>
    </row>
    <row r="291" spans="1:18" x14ac:dyDescent="0.3">
      <c r="A291" s="12" t="s">
        <v>4070</v>
      </c>
      <c r="B291" s="12" t="s">
        <v>14</v>
      </c>
      <c r="C291" s="12"/>
      <c r="D291" s="12" t="s">
        <v>14</v>
      </c>
      <c r="E291" s="12" t="s">
        <v>4071</v>
      </c>
      <c r="F291" s="12"/>
      <c r="G291" s="12" t="s">
        <v>4061</v>
      </c>
      <c r="H291" s="12" t="s">
        <v>63</v>
      </c>
      <c r="I291" s="12" t="s">
        <v>32</v>
      </c>
      <c r="J291" s="13" t="s">
        <v>4062</v>
      </c>
      <c r="K291" s="14" t="s">
        <v>4072</v>
      </c>
      <c r="L291" s="15">
        <v>1</v>
      </c>
      <c r="M291" s="15" t="s">
        <v>144</v>
      </c>
      <c r="N291" s="16">
        <v>46065</v>
      </c>
      <c r="O291" s="12" t="s">
        <v>4070</v>
      </c>
      <c r="P291" s="14" t="s">
        <v>4073</v>
      </c>
      <c r="Q291" s="17" t="s">
        <v>137</v>
      </c>
      <c r="R291" s="17" t="s">
        <v>146</v>
      </c>
    </row>
    <row r="292" spans="1:18" x14ac:dyDescent="0.3">
      <c r="A292" s="12" t="s">
        <v>4074</v>
      </c>
      <c r="B292" s="12" t="s">
        <v>14</v>
      </c>
      <c r="C292" s="12"/>
      <c r="D292" s="12" t="s">
        <v>14</v>
      </c>
      <c r="E292" s="12" t="s">
        <v>4075</v>
      </c>
      <c r="F292" s="12" t="s">
        <v>248</v>
      </c>
      <c r="G292" s="12" t="s">
        <v>4061</v>
      </c>
      <c r="H292" s="12" t="s">
        <v>63</v>
      </c>
      <c r="I292" s="12" t="s">
        <v>32</v>
      </c>
      <c r="J292" s="13" t="s">
        <v>4062</v>
      </c>
      <c r="K292" s="14" t="s">
        <v>4076</v>
      </c>
      <c r="L292" s="15">
        <v>20</v>
      </c>
      <c r="M292" s="15" t="s">
        <v>144</v>
      </c>
      <c r="N292" s="16">
        <v>45650</v>
      </c>
      <c r="O292" s="12" t="s">
        <v>4074</v>
      </c>
      <c r="P292" s="14" t="s">
        <v>4077</v>
      </c>
      <c r="Q292" s="17" t="s">
        <v>137</v>
      </c>
      <c r="R292" s="17" t="s">
        <v>146</v>
      </c>
    </row>
    <row r="293" spans="1:18" x14ac:dyDescent="0.3">
      <c r="A293" s="12" t="s">
        <v>4130</v>
      </c>
      <c r="B293" s="12" t="s">
        <v>14</v>
      </c>
      <c r="C293" s="12"/>
      <c r="D293" s="12" t="s">
        <v>14</v>
      </c>
      <c r="E293" s="12" t="s">
        <v>4124</v>
      </c>
      <c r="F293" s="12" t="s">
        <v>359</v>
      </c>
      <c r="G293" s="12" t="s">
        <v>4120</v>
      </c>
      <c r="H293" s="12" t="s">
        <v>67</v>
      </c>
      <c r="I293" s="12" t="s">
        <v>33</v>
      </c>
      <c r="J293" s="13" t="s">
        <v>4121</v>
      </c>
      <c r="K293" s="14" t="s">
        <v>4131</v>
      </c>
      <c r="L293" s="15">
        <v>1</v>
      </c>
      <c r="M293" s="15" t="s">
        <v>144</v>
      </c>
      <c r="N293" s="16">
        <v>45587</v>
      </c>
      <c r="O293" s="12" t="s">
        <v>4132</v>
      </c>
      <c r="P293" s="14" t="s">
        <v>4133</v>
      </c>
      <c r="Q293" s="17" t="s">
        <v>137</v>
      </c>
      <c r="R293" s="17" t="s">
        <v>146</v>
      </c>
    </row>
    <row r="294" spans="1:18" x14ac:dyDescent="0.3">
      <c r="A294" s="12" t="s">
        <v>4139</v>
      </c>
      <c r="B294" s="12" t="s">
        <v>14</v>
      </c>
      <c r="C294" s="12"/>
      <c r="D294" s="12" t="s">
        <v>14</v>
      </c>
      <c r="E294" s="12" t="s">
        <v>4140</v>
      </c>
      <c r="F294" s="12" t="s">
        <v>4141</v>
      </c>
      <c r="G294" s="12" t="s">
        <v>96</v>
      </c>
      <c r="H294" s="12" t="s">
        <v>55</v>
      </c>
      <c r="I294" s="12" t="s">
        <v>33</v>
      </c>
      <c r="J294" s="13" t="s">
        <v>4136</v>
      </c>
      <c r="K294" s="14" t="s">
        <v>4142</v>
      </c>
      <c r="L294" s="15">
        <v>14</v>
      </c>
      <c r="M294" s="15" t="s">
        <v>144</v>
      </c>
      <c r="N294" s="16">
        <v>44897</v>
      </c>
      <c r="O294" s="12" t="s">
        <v>4143</v>
      </c>
      <c r="P294" s="14" t="s">
        <v>4144</v>
      </c>
      <c r="Q294" s="17" t="s">
        <v>137</v>
      </c>
      <c r="R294" s="17" t="s">
        <v>146</v>
      </c>
    </row>
    <row r="295" spans="1:18" x14ac:dyDescent="0.3">
      <c r="A295" s="12" t="s">
        <v>3286</v>
      </c>
      <c r="B295" s="12" t="s">
        <v>14</v>
      </c>
      <c r="C295" s="12"/>
      <c r="D295" s="12" t="s">
        <v>14</v>
      </c>
      <c r="E295" s="12" t="s">
        <v>4162</v>
      </c>
      <c r="F295" s="12"/>
      <c r="G295" s="12" t="s">
        <v>4163</v>
      </c>
      <c r="H295" s="12" t="s">
        <v>55</v>
      </c>
      <c r="I295" s="12" t="s">
        <v>33</v>
      </c>
      <c r="J295" s="13" t="s">
        <v>4164</v>
      </c>
      <c r="K295" s="14" t="s">
        <v>4165</v>
      </c>
      <c r="L295" s="15">
        <v>5</v>
      </c>
      <c r="M295" s="15" t="s">
        <v>144</v>
      </c>
      <c r="N295" s="16">
        <v>45475</v>
      </c>
      <c r="O295" s="12" t="s">
        <v>3286</v>
      </c>
      <c r="P295" s="14" t="s">
        <v>3290</v>
      </c>
      <c r="Q295" s="17" t="s">
        <v>137</v>
      </c>
      <c r="R295" s="17" t="s">
        <v>146</v>
      </c>
    </row>
    <row r="296" spans="1:18" x14ac:dyDescent="0.3">
      <c r="A296" s="12" t="s">
        <v>4180</v>
      </c>
      <c r="B296" s="12" t="s">
        <v>14</v>
      </c>
      <c r="C296" s="12"/>
      <c r="D296" s="12" t="s">
        <v>14</v>
      </c>
      <c r="E296" s="12" t="s">
        <v>4181</v>
      </c>
      <c r="F296" s="12" t="s">
        <v>4182</v>
      </c>
      <c r="G296" s="12" t="s">
        <v>4172</v>
      </c>
      <c r="H296" s="12" t="s">
        <v>65</v>
      </c>
      <c r="I296" s="12" t="s">
        <v>33</v>
      </c>
      <c r="J296" s="13" t="s">
        <v>4173</v>
      </c>
      <c r="K296" s="14" t="s">
        <v>4183</v>
      </c>
      <c r="L296" s="15">
        <v>0</v>
      </c>
      <c r="M296" s="15" t="s">
        <v>144</v>
      </c>
      <c r="N296" s="16">
        <v>44798</v>
      </c>
      <c r="O296" s="12" t="s">
        <v>4180</v>
      </c>
      <c r="P296" s="14" t="s">
        <v>4184</v>
      </c>
      <c r="Q296" s="17" t="s">
        <v>137</v>
      </c>
      <c r="R296" s="17" t="s">
        <v>146</v>
      </c>
    </row>
    <row r="297" spans="1:18" x14ac:dyDescent="0.3">
      <c r="A297" s="12" t="s">
        <v>4180</v>
      </c>
      <c r="B297" s="12" t="s">
        <v>14</v>
      </c>
      <c r="C297" s="12"/>
      <c r="D297" s="12" t="s">
        <v>14</v>
      </c>
      <c r="E297" s="12" t="s">
        <v>4185</v>
      </c>
      <c r="F297" s="12"/>
      <c r="G297" s="12" t="s">
        <v>4172</v>
      </c>
      <c r="H297" s="12" t="s">
        <v>65</v>
      </c>
      <c r="I297" s="12" t="s">
        <v>33</v>
      </c>
      <c r="J297" s="13" t="s">
        <v>4173</v>
      </c>
      <c r="K297" s="14" t="s">
        <v>4186</v>
      </c>
      <c r="L297" s="15">
        <v>7</v>
      </c>
      <c r="M297" s="15" t="s">
        <v>144</v>
      </c>
      <c r="N297" s="16">
        <v>44925</v>
      </c>
      <c r="O297" s="12" t="s">
        <v>4180</v>
      </c>
      <c r="P297" s="14" t="s">
        <v>4187</v>
      </c>
      <c r="Q297" s="17" t="s">
        <v>137</v>
      </c>
      <c r="R297" s="17" t="s">
        <v>146</v>
      </c>
    </row>
    <row r="298" spans="1:18" x14ac:dyDescent="0.3">
      <c r="A298" s="12" t="s">
        <v>4199</v>
      </c>
      <c r="B298" s="12" t="s">
        <v>14</v>
      </c>
      <c r="C298" s="12"/>
      <c r="D298" s="12" t="s">
        <v>14</v>
      </c>
      <c r="E298" s="12" t="s">
        <v>4200</v>
      </c>
      <c r="F298" s="12"/>
      <c r="G298" s="12" t="s">
        <v>86</v>
      </c>
      <c r="H298" s="12" t="s">
        <v>86</v>
      </c>
      <c r="I298" s="12" t="s">
        <v>33</v>
      </c>
      <c r="J298" s="13" t="s">
        <v>4195</v>
      </c>
      <c r="K298" s="14" t="s">
        <v>4201</v>
      </c>
      <c r="L298" s="15">
        <v>1</v>
      </c>
      <c r="M298" s="15" t="s">
        <v>144</v>
      </c>
      <c r="N298" s="16">
        <v>44865</v>
      </c>
      <c r="O298" s="12" t="s">
        <v>4199</v>
      </c>
      <c r="P298" s="14" t="s">
        <v>4202</v>
      </c>
      <c r="Q298" s="17" t="s">
        <v>137</v>
      </c>
      <c r="R298" s="17" t="s">
        <v>146</v>
      </c>
    </row>
    <row r="299" spans="1:18" x14ac:dyDescent="0.3">
      <c r="A299" s="12" t="s">
        <v>3750</v>
      </c>
      <c r="B299" s="12" t="s">
        <v>14</v>
      </c>
      <c r="C299" s="12"/>
      <c r="D299" s="12" t="s">
        <v>14</v>
      </c>
      <c r="E299" s="12" t="s">
        <v>4209</v>
      </c>
      <c r="F299" s="12"/>
      <c r="G299" s="12" t="s">
        <v>4210</v>
      </c>
      <c r="H299" s="12" t="s">
        <v>78</v>
      </c>
      <c r="I299" s="12" t="s">
        <v>33</v>
      </c>
      <c r="J299" s="13" t="s">
        <v>4211</v>
      </c>
      <c r="K299" s="14" t="s">
        <v>4212</v>
      </c>
      <c r="L299" s="15">
        <v>1</v>
      </c>
      <c r="M299" s="15" t="s">
        <v>144</v>
      </c>
      <c r="N299" s="16">
        <v>44925</v>
      </c>
      <c r="O299" s="12" t="s">
        <v>3750</v>
      </c>
      <c r="P299" s="14" t="s">
        <v>4213</v>
      </c>
      <c r="Q299" s="17" t="s">
        <v>137</v>
      </c>
      <c r="R299" s="17" t="s">
        <v>146</v>
      </c>
    </row>
  </sheetData>
  <conditionalFormatting sqref="M2:M299">
    <cfRule type="expression" dxfId="8" priority="1">
      <formula>$M2="Yes"</formula>
    </cfRule>
  </conditionalFormatting>
  <hyperlinks>
    <hyperlink ref="Q2" r:id="rId1" xr:uid="{00000000-0004-0000-0400-000000000000}"/>
    <hyperlink ref="R2" r:id="rId2" xr:uid="{00000000-0004-0000-0400-000001000000}"/>
    <hyperlink ref="Q3" r:id="rId3" xr:uid="{00000000-0004-0000-0400-000002000000}"/>
    <hyperlink ref="R3" r:id="rId4" xr:uid="{00000000-0004-0000-0400-000003000000}"/>
    <hyperlink ref="Q4" r:id="rId5" xr:uid="{00000000-0004-0000-0400-000004000000}"/>
    <hyperlink ref="R4" r:id="rId6" xr:uid="{00000000-0004-0000-0400-000005000000}"/>
    <hyperlink ref="Q5" r:id="rId7" xr:uid="{00000000-0004-0000-0400-000006000000}"/>
    <hyperlink ref="R5" r:id="rId8" xr:uid="{00000000-0004-0000-0400-000007000000}"/>
    <hyperlink ref="Q6" r:id="rId9" xr:uid="{00000000-0004-0000-0400-000008000000}"/>
    <hyperlink ref="R6" r:id="rId10" xr:uid="{00000000-0004-0000-0400-000009000000}"/>
    <hyperlink ref="Q7" r:id="rId11" xr:uid="{00000000-0004-0000-0400-00000A000000}"/>
    <hyperlink ref="R7" r:id="rId12" xr:uid="{00000000-0004-0000-0400-00000B000000}"/>
    <hyperlink ref="Q8" r:id="rId13" xr:uid="{00000000-0004-0000-0400-00000C000000}"/>
    <hyperlink ref="R8" r:id="rId14" xr:uid="{00000000-0004-0000-0400-00000D000000}"/>
    <hyperlink ref="Q9" r:id="rId15" xr:uid="{00000000-0004-0000-0400-00000E000000}"/>
    <hyperlink ref="R9" r:id="rId16" xr:uid="{00000000-0004-0000-0400-00000F000000}"/>
    <hyperlink ref="Q10" r:id="rId17" xr:uid="{00000000-0004-0000-0400-000010000000}"/>
    <hyperlink ref="R10" r:id="rId18" xr:uid="{00000000-0004-0000-0400-000011000000}"/>
    <hyperlink ref="Q11" r:id="rId19" xr:uid="{00000000-0004-0000-0400-000012000000}"/>
    <hyperlink ref="R11" r:id="rId20" xr:uid="{00000000-0004-0000-0400-000013000000}"/>
    <hyperlink ref="Q12" r:id="rId21" xr:uid="{00000000-0004-0000-0400-000014000000}"/>
    <hyperlink ref="R12" r:id="rId22" xr:uid="{00000000-0004-0000-0400-000015000000}"/>
    <hyperlink ref="Q13" r:id="rId23" xr:uid="{00000000-0004-0000-0400-000016000000}"/>
    <hyperlink ref="R13" r:id="rId24" xr:uid="{00000000-0004-0000-0400-000017000000}"/>
    <hyperlink ref="Q14" r:id="rId25" xr:uid="{00000000-0004-0000-0400-000018000000}"/>
    <hyperlink ref="R14" r:id="rId26" xr:uid="{00000000-0004-0000-0400-000019000000}"/>
    <hyperlink ref="Q15" r:id="rId27" xr:uid="{00000000-0004-0000-0400-00001A000000}"/>
    <hyperlink ref="R15" r:id="rId28" xr:uid="{00000000-0004-0000-0400-00001B000000}"/>
    <hyperlink ref="Q16" r:id="rId29" xr:uid="{00000000-0004-0000-0400-00001C000000}"/>
    <hyperlink ref="R16" r:id="rId30" xr:uid="{00000000-0004-0000-0400-00001D000000}"/>
    <hyperlink ref="Q17" r:id="rId31" xr:uid="{00000000-0004-0000-0400-00001E000000}"/>
    <hyperlink ref="R17" r:id="rId32" xr:uid="{00000000-0004-0000-0400-00001F000000}"/>
    <hyperlink ref="Q18" r:id="rId33" xr:uid="{00000000-0004-0000-0400-000020000000}"/>
    <hyperlink ref="R18" r:id="rId34" xr:uid="{00000000-0004-0000-0400-000021000000}"/>
    <hyperlink ref="Q19" r:id="rId35" xr:uid="{00000000-0004-0000-0400-000022000000}"/>
    <hyperlink ref="R19" r:id="rId36" xr:uid="{00000000-0004-0000-0400-000023000000}"/>
    <hyperlink ref="Q20" r:id="rId37" xr:uid="{00000000-0004-0000-0400-000024000000}"/>
    <hyperlink ref="R20" r:id="rId38" xr:uid="{00000000-0004-0000-0400-000025000000}"/>
    <hyperlink ref="Q21" r:id="rId39" xr:uid="{00000000-0004-0000-0400-000026000000}"/>
    <hyperlink ref="R21" r:id="rId40" xr:uid="{00000000-0004-0000-0400-000027000000}"/>
    <hyperlink ref="Q22" r:id="rId41" xr:uid="{00000000-0004-0000-0400-000028000000}"/>
    <hyperlink ref="R22" r:id="rId42" xr:uid="{00000000-0004-0000-0400-000029000000}"/>
    <hyperlink ref="Q23" r:id="rId43" xr:uid="{00000000-0004-0000-0400-00002A000000}"/>
    <hyperlink ref="R23" r:id="rId44" xr:uid="{00000000-0004-0000-0400-00002B000000}"/>
    <hyperlink ref="Q24" r:id="rId45" xr:uid="{00000000-0004-0000-0400-00002C000000}"/>
    <hyperlink ref="R24" r:id="rId46" xr:uid="{00000000-0004-0000-0400-00002D000000}"/>
    <hyperlink ref="Q25" r:id="rId47" xr:uid="{00000000-0004-0000-0400-00002E000000}"/>
    <hyperlink ref="R25" r:id="rId48" xr:uid="{00000000-0004-0000-0400-00002F000000}"/>
    <hyperlink ref="Q26" r:id="rId49" xr:uid="{00000000-0004-0000-0400-000030000000}"/>
    <hyperlink ref="R26" r:id="rId50" xr:uid="{00000000-0004-0000-0400-000031000000}"/>
    <hyperlink ref="Q27" r:id="rId51" xr:uid="{00000000-0004-0000-0400-000032000000}"/>
    <hyperlink ref="R27" r:id="rId52" xr:uid="{00000000-0004-0000-0400-000033000000}"/>
    <hyperlink ref="Q28" r:id="rId53" xr:uid="{00000000-0004-0000-0400-000034000000}"/>
    <hyperlink ref="R28" r:id="rId54" xr:uid="{00000000-0004-0000-0400-000035000000}"/>
    <hyperlink ref="Q29" r:id="rId55" xr:uid="{00000000-0004-0000-0400-000036000000}"/>
    <hyperlink ref="R29" r:id="rId56" xr:uid="{00000000-0004-0000-0400-000037000000}"/>
    <hyperlink ref="Q30" r:id="rId57" xr:uid="{00000000-0004-0000-0400-000038000000}"/>
    <hyperlink ref="R30" r:id="rId58" xr:uid="{00000000-0004-0000-0400-000039000000}"/>
    <hyperlink ref="Q31" r:id="rId59" xr:uid="{00000000-0004-0000-0400-00003A000000}"/>
    <hyperlink ref="R31" r:id="rId60" xr:uid="{00000000-0004-0000-0400-00003B000000}"/>
    <hyperlink ref="Q32" r:id="rId61" xr:uid="{00000000-0004-0000-0400-00003C000000}"/>
    <hyperlink ref="R32" r:id="rId62" xr:uid="{00000000-0004-0000-0400-00003D000000}"/>
    <hyperlink ref="Q33" r:id="rId63" xr:uid="{00000000-0004-0000-0400-00003E000000}"/>
    <hyperlink ref="R33" r:id="rId64" xr:uid="{00000000-0004-0000-0400-00003F000000}"/>
    <hyperlink ref="Q34" r:id="rId65" xr:uid="{00000000-0004-0000-0400-000040000000}"/>
    <hyperlink ref="R34" r:id="rId66" xr:uid="{00000000-0004-0000-0400-000041000000}"/>
    <hyperlink ref="Q35" r:id="rId67" xr:uid="{00000000-0004-0000-0400-000042000000}"/>
    <hyperlink ref="R35" r:id="rId68" xr:uid="{00000000-0004-0000-0400-000043000000}"/>
    <hyperlink ref="Q36" r:id="rId69" xr:uid="{00000000-0004-0000-0400-000044000000}"/>
    <hyperlink ref="R36" r:id="rId70" xr:uid="{00000000-0004-0000-0400-000045000000}"/>
    <hyperlink ref="Q37" r:id="rId71" xr:uid="{00000000-0004-0000-0400-000046000000}"/>
    <hyperlink ref="R37" r:id="rId72" xr:uid="{00000000-0004-0000-0400-000047000000}"/>
    <hyperlink ref="Q38" r:id="rId73" xr:uid="{00000000-0004-0000-0400-000048000000}"/>
    <hyperlink ref="R38" r:id="rId74" xr:uid="{00000000-0004-0000-0400-000049000000}"/>
    <hyperlink ref="Q39" r:id="rId75" xr:uid="{00000000-0004-0000-0400-00004A000000}"/>
    <hyperlink ref="R39" r:id="rId76" xr:uid="{00000000-0004-0000-0400-00004B000000}"/>
    <hyperlink ref="Q40" r:id="rId77" xr:uid="{00000000-0004-0000-0400-00004C000000}"/>
    <hyperlink ref="R40" r:id="rId78" xr:uid="{00000000-0004-0000-0400-00004D000000}"/>
    <hyperlink ref="Q41" r:id="rId79" xr:uid="{00000000-0004-0000-0400-00004E000000}"/>
    <hyperlink ref="R41" r:id="rId80" xr:uid="{00000000-0004-0000-0400-00004F000000}"/>
    <hyperlink ref="Q42" r:id="rId81" xr:uid="{00000000-0004-0000-0400-000050000000}"/>
    <hyperlink ref="R42" r:id="rId82" xr:uid="{00000000-0004-0000-0400-000051000000}"/>
    <hyperlink ref="Q43" r:id="rId83" xr:uid="{00000000-0004-0000-0400-000052000000}"/>
    <hyperlink ref="R43" r:id="rId84" xr:uid="{00000000-0004-0000-0400-000053000000}"/>
    <hyperlink ref="Q44" r:id="rId85" xr:uid="{00000000-0004-0000-0400-000054000000}"/>
    <hyperlink ref="R44" r:id="rId86" xr:uid="{00000000-0004-0000-0400-000055000000}"/>
    <hyperlink ref="Q45" r:id="rId87" xr:uid="{00000000-0004-0000-0400-000056000000}"/>
    <hyperlink ref="R45" r:id="rId88" xr:uid="{00000000-0004-0000-0400-000057000000}"/>
    <hyperlink ref="Q46" r:id="rId89" xr:uid="{00000000-0004-0000-0400-000058000000}"/>
    <hyperlink ref="R46" r:id="rId90" xr:uid="{00000000-0004-0000-0400-000059000000}"/>
    <hyperlink ref="Q47" r:id="rId91" xr:uid="{00000000-0004-0000-0400-00005A000000}"/>
    <hyperlink ref="R47" r:id="rId92" xr:uid="{00000000-0004-0000-0400-00005B000000}"/>
    <hyperlink ref="Q48" r:id="rId93" xr:uid="{00000000-0004-0000-0400-00005C000000}"/>
    <hyperlink ref="R48" r:id="rId94" xr:uid="{00000000-0004-0000-0400-00005D000000}"/>
    <hyperlink ref="Q49" r:id="rId95" xr:uid="{00000000-0004-0000-0400-00005E000000}"/>
    <hyperlink ref="R49" r:id="rId96" xr:uid="{00000000-0004-0000-0400-00005F000000}"/>
    <hyperlink ref="Q50" r:id="rId97" xr:uid="{00000000-0004-0000-0400-000060000000}"/>
    <hyperlink ref="R50" r:id="rId98" xr:uid="{00000000-0004-0000-0400-000061000000}"/>
    <hyperlink ref="Q51" r:id="rId99" xr:uid="{00000000-0004-0000-0400-000062000000}"/>
    <hyperlink ref="R51" r:id="rId100" xr:uid="{00000000-0004-0000-0400-000063000000}"/>
    <hyperlink ref="Q52" r:id="rId101" xr:uid="{00000000-0004-0000-0400-000064000000}"/>
    <hyperlink ref="R52" r:id="rId102" xr:uid="{00000000-0004-0000-0400-000065000000}"/>
    <hyperlink ref="Q53" r:id="rId103" xr:uid="{00000000-0004-0000-0400-000066000000}"/>
    <hyperlink ref="R53" r:id="rId104" xr:uid="{00000000-0004-0000-0400-000067000000}"/>
    <hyperlink ref="Q54" r:id="rId105" xr:uid="{00000000-0004-0000-0400-000068000000}"/>
    <hyperlink ref="R54" r:id="rId106" xr:uid="{00000000-0004-0000-0400-000069000000}"/>
    <hyperlink ref="Q55" r:id="rId107" xr:uid="{00000000-0004-0000-0400-00006A000000}"/>
    <hyperlink ref="R55" r:id="rId108" xr:uid="{00000000-0004-0000-0400-00006B000000}"/>
    <hyperlink ref="Q56" r:id="rId109" xr:uid="{00000000-0004-0000-0400-00006C000000}"/>
    <hyperlink ref="R56" r:id="rId110" xr:uid="{00000000-0004-0000-0400-00006D000000}"/>
    <hyperlink ref="Q57" r:id="rId111" xr:uid="{00000000-0004-0000-0400-00006E000000}"/>
    <hyperlink ref="R57" r:id="rId112" xr:uid="{00000000-0004-0000-0400-00006F000000}"/>
    <hyperlink ref="Q58" r:id="rId113" xr:uid="{00000000-0004-0000-0400-000070000000}"/>
    <hyperlink ref="R58" r:id="rId114" xr:uid="{00000000-0004-0000-0400-000071000000}"/>
    <hyperlink ref="Q59" r:id="rId115" xr:uid="{00000000-0004-0000-0400-000072000000}"/>
    <hyperlink ref="R59" r:id="rId116" xr:uid="{00000000-0004-0000-0400-000073000000}"/>
    <hyperlink ref="Q60" r:id="rId117" xr:uid="{00000000-0004-0000-0400-000074000000}"/>
    <hyperlink ref="R60" r:id="rId118" xr:uid="{00000000-0004-0000-0400-000075000000}"/>
    <hyperlink ref="Q61" r:id="rId119" xr:uid="{00000000-0004-0000-0400-000076000000}"/>
    <hyperlink ref="R61" r:id="rId120" xr:uid="{00000000-0004-0000-0400-000077000000}"/>
    <hyperlink ref="Q62" r:id="rId121" xr:uid="{00000000-0004-0000-0400-000078000000}"/>
    <hyperlink ref="R62" r:id="rId122" xr:uid="{00000000-0004-0000-0400-000079000000}"/>
    <hyperlink ref="Q63" r:id="rId123" xr:uid="{00000000-0004-0000-0400-00007A000000}"/>
    <hyperlink ref="R63" r:id="rId124" xr:uid="{00000000-0004-0000-0400-00007B000000}"/>
    <hyperlink ref="Q64" r:id="rId125" xr:uid="{00000000-0004-0000-0400-00007C000000}"/>
    <hyperlink ref="R64" r:id="rId126" xr:uid="{00000000-0004-0000-0400-00007D000000}"/>
    <hyperlink ref="Q65" r:id="rId127" xr:uid="{00000000-0004-0000-0400-00007E000000}"/>
    <hyperlink ref="R65" r:id="rId128" xr:uid="{00000000-0004-0000-0400-00007F000000}"/>
    <hyperlink ref="Q66" r:id="rId129" xr:uid="{00000000-0004-0000-0400-000080000000}"/>
    <hyperlink ref="R66" r:id="rId130" xr:uid="{00000000-0004-0000-0400-000081000000}"/>
    <hyperlink ref="Q67" r:id="rId131" xr:uid="{00000000-0004-0000-0400-000082000000}"/>
    <hyperlink ref="R67" r:id="rId132" xr:uid="{00000000-0004-0000-0400-000083000000}"/>
    <hyperlink ref="Q68" r:id="rId133" xr:uid="{00000000-0004-0000-0400-000084000000}"/>
    <hyperlink ref="R68" r:id="rId134" xr:uid="{00000000-0004-0000-0400-000085000000}"/>
    <hyperlink ref="Q69" r:id="rId135" xr:uid="{00000000-0004-0000-0400-000086000000}"/>
    <hyperlink ref="R69" r:id="rId136" xr:uid="{00000000-0004-0000-0400-000087000000}"/>
    <hyperlink ref="Q70" r:id="rId137" xr:uid="{00000000-0004-0000-0400-000088000000}"/>
    <hyperlink ref="R70" r:id="rId138" xr:uid="{00000000-0004-0000-0400-000089000000}"/>
    <hyperlink ref="Q71" r:id="rId139" xr:uid="{00000000-0004-0000-0400-00008A000000}"/>
    <hyperlink ref="R71" r:id="rId140" xr:uid="{00000000-0004-0000-0400-00008B000000}"/>
    <hyperlink ref="Q72" r:id="rId141" xr:uid="{00000000-0004-0000-0400-00008C000000}"/>
    <hyperlink ref="R72" r:id="rId142" xr:uid="{00000000-0004-0000-0400-00008D000000}"/>
    <hyperlink ref="Q73" r:id="rId143" xr:uid="{00000000-0004-0000-0400-00008E000000}"/>
    <hyperlink ref="R73" r:id="rId144" xr:uid="{00000000-0004-0000-0400-00008F000000}"/>
    <hyperlink ref="Q74" r:id="rId145" xr:uid="{00000000-0004-0000-0400-000090000000}"/>
    <hyperlink ref="R74" r:id="rId146" xr:uid="{00000000-0004-0000-0400-000091000000}"/>
    <hyperlink ref="Q75" r:id="rId147" xr:uid="{00000000-0004-0000-0400-000092000000}"/>
    <hyperlink ref="R75" r:id="rId148" xr:uid="{00000000-0004-0000-0400-000093000000}"/>
    <hyperlink ref="Q76" r:id="rId149" xr:uid="{00000000-0004-0000-0400-000094000000}"/>
    <hyperlink ref="R76" r:id="rId150" xr:uid="{00000000-0004-0000-0400-000095000000}"/>
    <hyperlink ref="Q77" r:id="rId151" xr:uid="{00000000-0004-0000-0400-000096000000}"/>
    <hyperlink ref="R77" r:id="rId152" xr:uid="{00000000-0004-0000-0400-000097000000}"/>
    <hyperlink ref="Q78" r:id="rId153" xr:uid="{00000000-0004-0000-0400-000098000000}"/>
    <hyperlink ref="R78" r:id="rId154" xr:uid="{00000000-0004-0000-0400-000099000000}"/>
    <hyperlink ref="Q79" r:id="rId155" xr:uid="{00000000-0004-0000-0400-00009A000000}"/>
    <hyperlink ref="R79" r:id="rId156" xr:uid="{00000000-0004-0000-0400-00009B000000}"/>
    <hyperlink ref="Q80" r:id="rId157" xr:uid="{00000000-0004-0000-0400-00009C000000}"/>
    <hyperlink ref="R80" r:id="rId158" xr:uid="{00000000-0004-0000-0400-00009D000000}"/>
    <hyperlink ref="Q81" r:id="rId159" xr:uid="{00000000-0004-0000-0400-00009E000000}"/>
    <hyperlink ref="R81" r:id="rId160" xr:uid="{00000000-0004-0000-0400-00009F000000}"/>
    <hyperlink ref="Q82" r:id="rId161" xr:uid="{00000000-0004-0000-0400-0000A0000000}"/>
    <hyperlink ref="R82" r:id="rId162" xr:uid="{00000000-0004-0000-0400-0000A1000000}"/>
    <hyperlink ref="Q83" r:id="rId163" xr:uid="{00000000-0004-0000-0400-0000A2000000}"/>
    <hyperlink ref="R83" r:id="rId164" xr:uid="{00000000-0004-0000-0400-0000A3000000}"/>
    <hyperlink ref="Q84" r:id="rId165" xr:uid="{00000000-0004-0000-0400-0000A4000000}"/>
    <hyperlink ref="R84" r:id="rId166" xr:uid="{00000000-0004-0000-0400-0000A5000000}"/>
    <hyperlink ref="Q85" r:id="rId167" xr:uid="{00000000-0004-0000-0400-0000A6000000}"/>
    <hyperlink ref="R85" r:id="rId168" xr:uid="{00000000-0004-0000-0400-0000A7000000}"/>
    <hyperlink ref="Q86" r:id="rId169" xr:uid="{00000000-0004-0000-0400-0000A8000000}"/>
    <hyperlink ref="R86" r:id="rId170" xr:uid="{00000000-0004-0000-0400-0000A9000000}"/>
    <hyperlink ref="Q87" r:id="rId171" xr:uid="{00000000-0004-0000-0400-0000AA000000}"/>
    <hyperlink ref="R87" r:id="rId172" xr:uid="{00000000-0004-0000-0400-0000AB000000}"/>
    <hyperlink ref="Q88" r:id="rId173" xr:uid="{00000000-0004-0000-0400-0000AC000000}"/>
    <hyperlink ref="R88" r:id="rId174" xr:uid="{00000000-0004-0000-0400-0000AD000000}"/>
    <hyperlink ref="Q89" r:id="rId175" xr:uid="{00000000-0004-0000-0400-0000AE000000}"/>
    <hyperlink ref="R89" r:id="rId176" xr:uid="{00000000-0004-0000-0400-0000AF000000}"/>
    <hyperlink ref="Q90" r:id="rId177" xr:uid="{00000000-0004-0000-0400-0000B0000000}"/>
    <hyperlink ref="R90" r:id="rId178" xr:uid="{00000000-0004-0000-0400-0000B1000000}"/>
    <hyperlink ref="Q91" r:id="rId179" xr:uid="{00000000-0004-0000-0400-0000B2000000}"/>
    <hyperlink ref="R91" r:id="rId180" xr:uid="{00000000-0004-0000-0400-0000B3000000}"/>
    <hyperlink ref="Q92" r:id="rId181" xr:uid="{00000000-0004-0000-0400-0000B4000000}"/>
    <hyperlink ref="R92" r:id="rId182" xr:uid="{00000000-0004-0000-0400-0000B5000000}"/>
    <hyperlink ref="Q93" r:id="rId183" xr:uid="{00000000-0004-0000-0400-0000B6000000}"/>
    <hyperlink ref="R93" r:id="rId184" xr:uid="{00000000-0004-0000-0400-0000B7000000}"/>
    <hyperlink ref="Q94" r:id="rId185" xr:uid="{00000000-0004-0000-0400-0000B8000000}"/>
    <hyperlink ref="R94" r:id="rId186" xr:uid="{00000000-0004-0000-0400-0000B9000000}"/>
    <hyperlink ref="Q95" r:id="rId187" xr:uid="{00000000-0004-0000-0400-0000BA000000}"/>
    <hyperlink ref="R95" r:id="rId188" xr:uid="{00000000-0004-0000-0400-0000BB000000}"/>
    <hyperlink ref="Q96" r:id="rId189" xr:uid="{00000000-0004-0000-0400-0000BC000000}"/>
    <hyperlink ref="R96" r:id="rId190" xr:uid="{00000000-0004-0000-0400-0000BD000000}"/>
    <hyperlink ref="Q97" r:id="rId191" xr:uid="{00000000-0004-0000-0400-0000BE000000}"/>
    <hyperlink ref="R97" r:id="rId192" xr:uid="{00000000-0004-0000-0400-0000BF000000}"/>
    <hyperlink ref="Q98" r:id="rId193" xr:uid="{00000000-0004-0000-0400-0000C0000000}"/>
    <hyperlink ref="R98" r:id="rId194" xr:uid="{00000000-0004-0000-0400-0000C1000000}"/>
    <hyperlink ref="Q99" r:id="rId195" xr:uid="{00000000-0004-0000-0400-0000C2000000}"/>
    <hyperlink ref="R99" r:id="rId196" xr:uid="{00000000-0004-0000-0400-0000C3000000}"/>
    <hyperlink ref="Q100" r:id="rId197" xr:uid="{00000000-0004-0000-0400-0000C4000000}"/>
    <hyperlink ref="R100" r:id="rId198" xr:uid="{00000000-0004-0000-0400-0000C5000000}"/>
    <hyperlink ref="Q101" r:id="rId199" xr:uid="{00000000-0004-0000-0400-0000C6000000}"/>
    <hyperlink ref="R101" r:id="rId200" xr:uid="{00000000-0004-0000-0400-0000C7000000}"/>
    <hyperlink ref="Q102" r:id="rId201" xr:uid="{00000000-0004-0000-0400-0000C8000000}"/>
    <hyperlink ref="R102" r:id="rId202" xr:uid="{00000000-0004-0000-0400-0000C9000000}"/>
    <hyperlink ref="Q103" r:id="rId203" xr:uid="{00000000-0004-0000-0400-0000CA000000}"/>
    <hyperlink ref="R103" r:id="rId204" xr:uid="{00000000-0004-0000-0400-0000CB000000}"/>
    <hyperlink ref="Q104" r:id="rId205" xr:uid="{00000000-0004-0000-0400-0000CC000000}"/>
    <hyperlink ref="R104" r:id="rId206" xr:uid="{00000000-0004-0000-0400-0000CD000000}"/>
    <hyperlink ref="Q105" r:id="rId207" xr:uid="{00000000-0004-0000-0400-0000CE000000}"/>
    <hyperlink ref="R105" r:id="rId208" xr:uid="{00000000-0004-0000-0400-0000CF000000}"/>
    <hyperlink ref="Q106" r:id="rId209" xr:uid="{00000000-0004-0000-0400-0000D0000000}"/>
    <hyperlink ref="R106" r:id="rId210" xr:uid="{00000000-0004-0000-0400-0000D1000000}"/>
    <hyperlink ref="Q107" r:id="rId211" xr:uid="{00000000-0004-0000-0400-0000D2000000}"/>
    <hyperlink ref="R107" r:id="rId212" xr:uid="{00000000-0004-0000-0400-0000D3000000}"/>
    <hyperlink ref="Q108" r:id="rId213" xr:uid="{00000000-0004-0000-0400-0000D4000000}"/>
    <hyperlink ref="R108" r:id="rId214" xr:uid="{00000000-0004-0000-0400-0000D5000000}"/>
    <hyperlink ref="Q109" r:id="rId215" xr:uid="{00000000-0004-0000-0400-0000D6000000}"/>
    <hyperlink ref="R109" r:id="rId216" xr:uid="{00000000-0004-0000-0400-0000D7000000}"/>
    <hyperlink ref="Q110" r:id="rId217" xr:uid="{00000000-0004-0000-0400-0000D8000000}"/>
    <hyperlink ref="R110" r:id="rId218" xr:uid="{00000000-0004-0000-0400-0000D9000000}"/>
    <hyperlink ref="Q111" r:id="rId219" xr:uid="{00000000-0004-0000-0400-0000DA000000}"/>
    <hyperlink ref="R111" r:id="rId220" xr:uid="{00000000-0004-0000-0400-0000DB000000}"/>
    <hyperlink ref="Q112" r:id="rId221" xr:uid="{00000000-0004-0000-0400-0000DC000000}"/>
    <hyperlink ref="R112" r:id="rId222" xr:uid="{00000000-0004-0000-0400-0000DD000000}"/>
    <hyperlink ref="Q113" r:id="rId223" xr:uid="{00000000-0004-0000-0400-0000DE000000}"/>
    <hyperlink ref="R113" r:id="rId224" xr:uid="{00000000-0004-0000-0400-0000DF000000}"/>
    <hyperlink ref="Q114" r:id="rId225" xr:uid="{00000000-0004-0000-0400-0000E0000000}"/>
    <hyperlink ref="R114" r:id="rId226" xr:uid="{00000000-0004-0000-0400-0000E1000000}"/>
    <hyperlink ref="Q115" r:id="rId227" xr:uid="{00000000-0004-0000-0400-0000E2000000}"/>
    <hyperlink ref="R115" r:id="rId228" xr:uid="{00000000-0004-0000-0400-0000E3000000}"/>
    <hyperlink ref="Q116" r:id="rId229" xr:uid="{00000000-0004-0000-0400-0000E4000000}"/>
    <hyperlink ref="R116" r:id="rId230" xr:uid="{00000000-0004-0000-0400-0000E5000000}"/>
    <hyperlink ref="Q117" r:id="rId231" xr:uid="{00000000-0004-0000-0400-0000E6000000}"/>
    <hyperlink ref="R117" r:id="rId232" xr:uid="{00000000-0004-0000-0400-0000E7000000}"/>
    <hyperlink ref="Q118" r:id="rId233" xr:uid="{00000000-0004-0000-0400-0000E8000000}"/>
    <hyperlink ref="R118" r:id="rId234" xr:uid="{00000000-0004-0000-0400-0000E9000000}"/>
    <hyperlink ref="Q119" r:id="rId235" xr:uid="{00000000-0004-0000-0400-0000EA000000}"/>
    <hyperlink ref="R119" r:id="rId236" xr:uid="{00000000-0004-0000-0400-0000EB000000}"/>
    <hyperlink ref="Q120" r:id="rId237" xr:uid="{00000000-0004-0000-0400-0000EC000000}"/>
    <hyperlink ref="R120" r:id="rId238" xr:uid="{00000000-0004-0000-0400-0000ED000000}"/>
    <hyperlink ref="Q121" r:id="rId239" xr:uid="{00000000-0004-0000-0400-0000EE000000}"/>
    <hyperlink ref="R121" r:id="rId240" xr:uid="{00000000-0004-0000-0400-0000EF000000}"/>
    <hyperlink ref="Q122" r:id="rId241" xr:uid="{00000000-0004-0000-0400-0000F0000000}"/>
    <hyperlink ref="R122" r:id="rId242" xr:uid="{00000000-0004-0000-0400-0000F1000000}"/>
    <hyperlink ref="Q123" r:id="rId243" xr:uid="{00000000-0004-0000-0400-0000F2000000}"/>
    <hyperlink ref="R123" r:id="rId244" xr:uid="{00000000-0004-0000-0400-0000F3000000}"/>
    <hyperlink ref="Q124" r:id="rId245" xr:uid="{00000000-0004-0000-0400-0000F4000000}"/>
    <hyperlink ref="R124" r:id="rId246" xr:uid="{00000000-0004-0000-0400-0000F5000000}"/>
    <hyperlink ref="Q125" r:id="rId247" xr:uid="{00000000-0004-0000-0400-0000F6000000}"/>
    <hyperlink ref="R125" r:id="rId248" xr:uid="{00000000-0004-0000-0400-0000F7000000}"/>
    <hyperlink ref="Q126" r:id="rId249" xr:uid="{00000000-0004-0000-0400-0000F8000000}"/>
    <hyperlink ref="R126" r:id="rId250" xr:uid="{00000000-0004-0000-0400-0000F9000000}"/>
    <hyperlink ref="Q127" r:id="rId251" xr:uid="{00000000-0004-0000-0400-0000FA000000}"/>
    <hyperlink ref="R127" r:id="rId252" xr:uid="{00000000-0004-0000-0400-0000FB000000}"/>
    <hyperlink ref="Q128" r:id="rId253" xr:uid="{00000000-0004-0000-0400-0000FC000000}"/>
    <hyperlink ref="R128" r:id="rId254" xr:uid="{00000000-0004-0000-0400-0000FD000000}"/>
    <hyperlink ref="Q129" r:id="rId255" xr:uid="{00000000-0004-0000-0400-0000FE000000}"/>
    <hyperlink ref="R129" r:id="rId256" xr:uid="{00000000-0004-0000-0400-0000FF000000}"/>
    <hyperlink ref="Q130" r:id="rId257" xr:uid="{00000000-0004-0000-0400-000000010000}"/>
    <hyperlink ref="R130" r:id="rId258" xr:uid="{00000000-0004-0000-0400-000001010000}"/>
    <hyperlink ref="Q131" r:id="rId259" xr:uid="{00000000-0004-0000-0400-000002010000}"/>
    <hyperlink ref="R131" r:id="rId260" xr:uid="{00000000-0004-0000-0400-000003010000}"/>
    <hyperlink ref="Q132" r:id="rId261" xr:uid="{00000000-0004-0000-0400-000004010000}"/>
    <hyperlink ref="R132" r:id="rId262" xr:uid="{00000000-0004-0000-0400-000005010000}"/>
    <hyperlink ref="Q133" r:id="rId263" xr:uid="{00000000-0004-0000-0400-000006010000}"/>
    <hyperlink ref="R133" r:id="rId264" xr:uid="{00000000-0004-0000-0400-000007010000}"/>
    <hyperlink ref="Q134" r:id="rId265" xr:uid="{00000000-0004-0000-0400-000008010000}"/>
    <hyperlink ref="R134" r:id="rId266" xr:uid="{00000000-0004-0000-0400-000009010000}"/>
    <hyperlink ref="Q135" r:id="rId267" xr:uid="{00000000-0004-0000-0400-00000A010000}"/>
    <hyperlink ref="R135" r:id="rId268" xr:uid="{00000000-0004-0000-0400-00000B010000}"/>
    <hyperlink ref="Q136" r:id="rId269" xr:uid="{00000000-0004-0000-0400-00000C010000}"/>
    <hyperlink ref="R136" r:id="rId270" xr:uid="{00000000-0004-0000-0400-00000D010000}"/>
    <hyperlink ref="Q137" r:id="rId271" xr:uid="{00000000-0004-0000-0400-00000E010000}"/>
    <hyperlink ref="R137" r:id="rId272" xr:uid="{00000000-0004-0000-0400-00000F010000}"/>
    <hyperlink ref="Q138" r:id="rId273" xr:uid="{00000000-0004-0000-0400-000010010000}"/>
    <hyperlink ref="R138" r:id="rId274" xr:uid="{00000000-0004-0000-0400-000011010000}"/>
    <hyperlink ref="Q139" r:id="rId275" xr:uid="{00000000-0004-0000-0400-000012010000}"/>
    <hyperlink ref="R139" r:id="rId276" xr:uid="{00000000-0004-0000-0400-000013010000}"/>
    <hyperlink ref="Q140" r:id="rId277" xr:uid="{00000000-0004-0000-0400-000014010000}"/>
    <hyperlink ref="R140" r:id="rId278" xr:uid="{00000000-0004-0000-0400-000015010000}"/>
    <hyperlink ref="Q141" r:id="rId279" xr:uid="{00000000-0004-0000-0400-000016010000}"/>
    <hyperlink ref="R141" r:id="rId280" xr:uid="{00000000-0004-0000-0400-000017010000}"/>
    <hyperlink ref="Q142" r:id="rId281" xr:uid="{00000000-0004-0000-0400-000018010000}"/>
    <hyperlink ref="R142" r:id="rId282" xr:uid="{00000000-0004-0000-0400-000019010000}"/>
    <hyperlink ref="Q143" r:id="rId283" xr:uid="{00000000-0004-0000-0400-00001A010000}"/>
    <hyperlink ref="R143" r:id="rId284" xr:uid="{00000000-0004-0000-0400-00001B010000}"/>
    <hyperlink ref="Q144" r:id="rId285" xr:uid="{00000000-0004-0000-0400-00001C010000}"/>
    <hyperlink ref="R144" r:id="rId286" xr:uid="{00000000-0004-0000-0400-00001D010000}"/>
    <hyperlink ref="Q145" r:id="rId287" xr:uid="{00000000-0004-0000-0400-00001E010000}"/>
    <hyperlink ref="R145" r:id="rId288" xr:uid="{00000000-0004-0000-0400-00001F010000}"/>
    <hyperlink ref="Q146" r:id="rId289" xr:uid="{00000000-0004-0000-0400-000020010000}"/>
    <hyperlink ref="R146" r:id="rId290" xr:uid="{00000000-0004-0000-0400-000021010000}"/>
    <hyperlink ref="Q147" r:id="rId291" xr:uid="{00000000-0004-0000-0400-000022010000}"/>
    <hyperlink ref="R147" r:id="rId292" xr:uid="{00000000-0004-0000-0400-000023010000}"/>
    <hyperlink ref="Q148" r:id="rId293" xr:uid="{00000000-0004-0000-0400-000024010000}"/>
    <hyperlink ref="R148" r:id="rId294" xr:uid="{00000000-0004-0000-0400-000025010000}"/>
    <hyperlink ref="Q149" r:id="rId295" xr:uid="{00000000-0004-0000-0400-000026010000}"/>
    <hyperlink ref="R149" r:id="rId296" xr:uid="{00000000-0004-0000-0400-000027010000}"/>
    <hyperlink ref="Q150" r:id="rId297" xr:uid="{00000000-0004-0000-0400-000028010000}"/>
    <hyperlink ref="R150" r:id="rId298" xr:uid="{00000000-0004-0000-0400-000029010000}"/>
    <hyperlink ref="Q151" r:id="rId299" xr:uid="{00000000-0004-0000-0400-00002A010000}"/>
    <hyperlink ref="R151" r:id="rId300" xr:uid="{00000000-0004-0000-0400-00002B010000}"/>
    <hyperlink ref="Q152" r:id="rId301" xr:uid="{00000000-0004-0000-0400-00002C010000}"/>
    <hyperlink ref="R152" r:id="rId302" xr:uid="{00000000-0004-0000-0400-00002D010000}"/>
    <hyperlink ref="Q153" r:id="rId303" xr:uid="{00000000-0004-0000-0400-00002E010000}"/>
    <hyperlink ref="R153" r:id="rId304" xr:uid="{00000000-0004-0000-0400-00002F010000}"/>
    <hyperlink ref="Q154" r:id="rId305" xr:uid="{00000000-0004-0000-0400-000030010000}"/>
    <hyperlink ref="R154" r:id="rId306" xr:uid="{00000000-0004-0000-0400-000031010000}"/>
    <hyperlink ref="Q155" r:id="rId307" xr:uid="{00000000-0004-0000-0400-000032010000}"/>
    <hyperlink ref="R155" r:id="rId308" xr:uid="{00000000-0004-0000-0400-000033010000}"/>
    <hyperlink ref="Q156" r:id="rId309" xr:uid="{00000000-0004-0000-0400-000034010000}"/>
    <hyperlink ref="R156" r:id="rId310" xr:uid="{00000000-0004-0000-0400-000035010000}"/>
    <hyperlink ref="Q157" r:id="rId311" xr:uid="{00000000-0004-0000-0400-000036010000}"/>
    <hyperlink ref="R157" r:id="rId312" xr:uid="{00000000-0004-0000-0400-000037010000}"/>
    <hyperlink ref="Q158" r:id="rId313" xr:uid="{00000000-0004-0000-0400-000038010000}"/>
    <hyperlink ref="R158" r:id="rId314" xr:uid="{00000000-0004-0000-0400-000039010000}"/>
    <hyperlink ref="Q159" r:id="rId315" xr:uid="{00000000-0004-0000-0400-00003A010000}"/>
    <hyperlink ref="R159" r:id="rId316" xr:uid="{00000000-0004-0000-0400-00003B010000}"/>
    <hyperlink ref="Q160" r:id="rId317" xr:uid="{00000000-0004-0000-0400-00003C010000}"/>
    <hyperlink ref="R160" r:id="rId318" xr:uid="{00000000-0004-0000-0400-00003D010000}"/>
    <hyperlink ref="Q161" r:id="rId319" xr:uid="{00000000-0004-0000-0400-00003E010000}"/>
    <hyperlink ref="R161" r:id="rId320" xr:uid="{00000000-0004-0000-0400-00003F010000}"/>
    <hyperlink ref="Q162" r:id="rId321" xr:uid="{00000000-0004-0000-0400-000040010000}"/>
    <hyperlink ref="R162" r:id="rId322" xr:uid="{00000000-0004-0000-0400-000041010000}"/>
    <hyperlink ref="Q163" r:id="rId323" xr:uid="{00000000-0004-0000-0400-000042010000}"/>
    <hyperlink ref="R163" r:id="rId324" xr:uid="{00000000-0004-0000-0400-000043010000}"/>
    <hyperlink ref="Q164" r:id="rId325" xr:uid="{00000000-0004-0000-0400-000044010000}"/>
    <hyperlink ref="R164" r:id="rId326" xr:uid="{00000000-0004-0000-0400-000045010000}"/>
    <hyperlink ref="Q165" r:id="rId327" xr:uid="{00000000-0004-0000-0400-000046010000}"/>
    <hyperlink ref="R165" r:id="rId328" xr:uid="{00000000-0004-0000-0400-000047010000}"/>
    <hyperlink ref="Q166" r:id="rId329" xr:uid="{00000000-0004-0000-0400-000048010000}"/>
    <hyperlink ref="R166" r:id="rId330" xr:uid="{00000000-0004-0000-0400-000049010000}"/>
    <hyperlink ref="Q167" r:id="rId331" xr:uid="{00000000-0004-0000-0400-00004A010000}"/>
    <hyperlink ref="R167" r:id="rId332" xr:uid="{00000000-0004-0000-0400-00004B010000}"/>
    <hyperlink ref="Q168" r:id="rId333" xr:uid="{00000000-0004-0000-0400-00004C010000}"/>
    <hyperlink ref="R168" r:id="rId334" xr:uid="{00000000-0004-0000-0400-00004D010000}"/>
    <hyperlink ref="Q169" r:id="rId335" xr:uid="{00000000-0004-0000-0400-00004E010000}"/>
    <hyperlink ref="R169" r:id="rId336" xr:uid="{00000000-0004-0000-0400-00004F010000}"/>
    <hyperlink ref="Q170" r:id="rId337" xr:uid="{00000000-0004-0000-0400-000050010000}"/>
    <hyperlink ref="R170" r:id="rId338" xr:uid="{00000000-0004-0000-0400-000051010000}"/>
    <hyperlink ref="Q171" r:id="rId339" xr:uid="{00000000-0004-0000-0400-000052010000}"/>
    <hyperlink ref="R171" r:id="rId340" xr:uid="{00000000-0004-0000-0400-000053010000}"/>
    <hyperlink ref="Q172" r:id="rId341" xr:uid="{00000000-0004-0000-0400-000054010000}"/>
    <hyperlink ref="R172" r:id="rId342" xr:uid="{00000000-0004-0000-0400-000055010000}"/>
    <hyperlink ref="Q173" r:id="rId343" xr:uid="{00000000-0004-0000-0400-000056010000}"/>
    <hyperlink ref="R173" r:id="rId344" xr:uid="{00000000-0004-0000-0400-000057010000}"/>
    <hyperlink ref="Q174" r:id="rId345" xr:uid="{00000000-0004-0000-0400-000058010000}"/>
    <hyperlink ref="R174" r:id="rId346" xr:uid="{00000000-0004-0000-0400-000059010000}"/>
    <hyperlink ref="Q175" r:id="rId347" xr:uid="{00000000-0004-0000-0400-00005A010000}"/>
    <hyperlink ref="R175" r:id="rId348" xr:uid="{00000000-0004-0000-0400-00005B010000}"/>
    <hyperlink ref="Q176" r:id="rId349" xr:uid="{00000000-0004-0000-0400-00005C010000}"/>
    <hyperlink ref="R176" r:id="rId350" xr:uid="{00000000-0004-0000-0400-00005D010000}"/>
    <hyperlink ref="Q177" r:id="rId351" xr:uid="{00000000-0004-0000-0400-00005E010000}"/>
    <hyperlink ref="R177" r:id="rId352" xr:uid="{00000000-0004-0000-0400-00005F010000}"/>
    <hyperlink ref="Q178" r:id="rId353" xr:uid="{00000000-0004-0000-0400-000060010000}"/>
    <hyperlink ref="R178" r:id="rId354" xr:uid="{00000000-0004-0000-0400-000061010000}"/>
    <hyperlink ref="Q179" r:id="rId355" xr:uid="{00000000-0004-0000-0400-000062010000}"/>
    <hyperlink ref="R179" r:id="rId356" xr:uid="{00000000-0004-0000-0400-000063010000}"/>
    <hyperlink ref="Q180" r:id="rId357" xr:uid="{00000000-0004-0000-0400-000064010000}"/>
    <hyperlink ref="R180" r:id="rId358" xr:uid="{00000000-0004-0000-0400-000065010000}"/>
    <hyperlink ref="Q181" r:id="rId359" xr:uid="{00000000-0004-0000-0400-000066010000}"/>
    <hyperlink ref="R181" r:id="rId360" xr:uid="{00000000-0004-0000-0400-000067010000}"/>
    <hyperlink ref="Q182" r:id="rId361" xr:uid="{00000000-0004-0000-0400-000068010000}"/>
    <hyperlink ref="R182" r:id="rId362" xr:uid="{00000000-0004-0000-0400-000069010000}"/>
    <hyperlink ref="Q183" r:id="rId363" xr:uid="{00000000-0004-0000-0400-00006A010000}"/>
    <hyperlink ref="R183" r:id="rId364" xr:uid="{00000000-0004-0000-0400-00006B010000}"/>
    <hyperlink ref="Q184" r:id="rId365" xr:uid="{00000000-0004-0000-0400-00006C010000}"/>
    <hyperlink ref="R184" r:id="rId366" xr:uid="{00000000-0004-0000-0400-00006D010000}"/>
    <hyperlink ref="Q185" r:id="rId367" xr:uid="{00000000-0004-0000-0400-00006E010000}"/>
    <hyperlink ref="R185" r:id="rId368" xr:uid="{00000000-0004-0000-0400-00006F010000}"/>
    <hyperlink ref="Q186" r:id="rId369" xr:uid="{00000000-0004-0000-0400-000070010000}"/>
    <hyperlink ref="R186" r:id="rId370" xr:uid="{00000000-0004-0000-0400-000071010000}"/>
    <hyperlink ref="Q187" r:id="rId371" xr:uid="{00000000-0004-0000-0400-000072010000}"/>
    <hyperlink ref="R187" r:id="rId372" xr:uid="{00000000-0004-0000-0400-000073010000}"/>
    <hyperlink ref="Q188" r:id="rId373" xr:uid="{00000000-0004-0000-0400-000074010000}"/>
    <hyperlink ref="R188" r:id="rId374" xr:uid="{00000000-0004-0000-0400-000075010000}"/>
    <hyperlink ref="Q189" r:id="rId375" xr:uid="{00000000-0004-0000-0400-000076010000}"/>
    <hyperlink ref="R189" r:id="rId376" xr:uid="{00000000-0004-0000-0400-000077010000}"/>
    <hyperlink ref="Q190" r:id="rId377" xr:uid="{00000000-0004-0000-0400-000078010000}"/>
    <hyperlink ref="R190" r:id="rId378" xr:uid="{00000000-0004-0000-0400-000079010000}"/>
    <hyperlink ref="Q191" r:id="rId379" xr:uid="{00000000-0004-0000-0400-00007A010000}"/>
    <hyperlink ref="R191" r:id="rId380" xr:uid="{00000000-0004-0000-0400-00007B010000}"/>
    <hyperlink ref="Q192" r:id="rId381" xr:uid="{00000000-0004-0000-0400-00007C010000}"/>
    <hyperlink ref="R192" r:id="rId382" xr:uid="{00000000-0004-0000-0400-00007D010000}"/>
    <hyperlink ref="Q193" r:id="rId383" xr:uid="{00000000-0004-0000-0400-00007E010000}"/>
    <hyperlink ref="R193" r:id="rId384" xr:uid="{00000000-0004-0000-0400-00007F010000}"/>
    <hyperlink ref="Q194" r:id="rId385" xr:uid="{00000000-0004-0000-0400-000080010000}"/>
    <hyperlink ref="R194" r:id="rId386" xr:uid="{00000000-0004-0000-0400-000081010000}"/>
    <hyperlink ref="Q195" r:id="rId387" xr:uid="{00000000-0004-0000-0400-000082010000}"/>
    <hyperlink ref="R195" r:id="rId388" xr:uid="{00000000-0004-0000-0400-000083010000}"/>
    <hyperlink ref="Q196" r:id="rId389" xr:uid="{00000000-0004-0000-0400-000084010000}"/>
    <hyperlink ref="R196" r:id="rId390" xr:uid="{00000000-0004-0000-0400-000085010000}"/>
    <hyperlink ref="Q197" r:id="rId391" xr:uid="{00000000-0004-0000-0400-000086010000}"/>
    <hyperlink ref="R197" r:id="rId392" xr:uid="{00000000-0004-0000-0400-000087010000}"/>
    <hyperlink ref="Q198" r:id="rId393" xr:uid="{00000000-0004-0000-0400-000088010000}"/>
    <hyperlink ref="R198" r:id="rId394" xr:uid="{00000000-0004-0000-0400-000089010000}"/>
    <hyperlink ref="Q199" r:id="rId395" xr:uid="{00000000-0004-0000-0400-00008A010000}"/>
    <hyperlink ref="R199" r:id="rId396" xr:uid="{00000000-0004-0000-0400-00008B010000}"/>
    <hyperlink ref="Q200" r:id="rId397" xr:uid="{00000000-0004-0000-0400-00008C010000}"/>
    <hyperlink ref="R200" r:id="rId398" xr:uid="{00000000-0004-0000-0400-00008D010000}"/>
    <hyperlink ref="Q201" r:id="rId399" xr:uid="{00000000-0004-0000-0400-00008E010000}"/>
    <hyperlink ref="R201" r:id="rId400" xr:uid="{00000000-0004-0000-0400-00008F010000}"/>
    <hyperlink ref="Q202" r:id="rId401" xr:uid="{00000000-0004-0000-0400-000090010000}"/>
    <hyperlink ref="R202" r:id="rId402" xr:uid="{00000000-0004-0000-0400-000091010000}"/>
    <hyperlink ref="Q203" r:id="rId403" xr:uid="{00000000-0004-0000-0400-000092010000}"/>
    <hyperlink ref="R203" r:id="rId404" xr:uid="{00000000-0004-0000-0400-000093010000}"/>
    <hyperlink ref="Q204" r:id="rId405" xr:uid="{00000000-0004-0000-0400-000094010000}"/>
    <hyperlink ref="R204" r:id="rId406" xr:uid="{00000000-0004-0000-0400-000095010000}"/>
    <hyperlink ref="Q205" r:id="rId407" xr:uid="{00000000-0004-0000-0400-000096010000}"/>
    <hyperlink ref="R205" r:id="rId408" xr:uid="{00000000-0004-0000-0400-000097010000}"/>
    <hyperlink ref="Q206" r:id="rId409" xr:uid="{00000000-0004-0000-0400-000098010000}"/>
    <hyperlink ref="R206" r:id="rId410" xr:uid="{00000000-0004-0000-0400-000099010000}"/>
    <hyperlink ref="Q207" r:id="rId411" xr:uid="{00000000-0004-0000-0400-00009A010000}"/>
    <hyperlink ref="R207" r:id="rId412" xr:uid="{00000000-0004-0000-0400-00009B010000}"/>
    <hyperlink ref="Q208" r:id="rId413" xr:uid="{00000000-0004-0000-0400-00009C010000}"/>
    <hyperlink ref="R208" r:id="rId414" xr:uid="{00000000-0004-0000-0400-00009D010000}"/>
    <hyperlink ref="Q209" r:id="rId415" xr:uid="{00000000-0004-0000-0400-00009E010000}"/>
    <hyperlink ref="R209" r:id="rId416" xr:uid="{00000000-0004-0000-0400-00009F010000}"/>
    <hyperlink ref="Q210" r:id="rId417" xr:uid="{00000000-0004-0000-0400-0000A0010000}"/>
    <hyperlink ref="R210" r:id="rId418" xr:uid="{00000000-0004-0000-0400-0000A1010000}"/>
    <hyperlink ref="Q211" r:id="rId419" xr:uid="{00000000-0004-0000-0400-0000A2010000}"/>
    <hyperlink ref="R211" r:id="rId420" xr:uid="{00000000-0004-0000-0400-0000A3010000}"/>
    <hyperlink ref="Q212" r:id="rId421" xr:uid="{00000000-0004-0000-0400-0000A4010000}"/>
    <hyperlink ref="R212" r:id="rId422" xr:uid="{00000000-0004-0000-0400-0000A5010000}"/>
    <hyperlink ref="Q213" r:id="rId423" xr:uid="{00000000-0004-0000-0400-0000A6010000}"/>
    <hyperlink ref="R213" r:id="rId424" xr:uid="{00000000-0004-0000-0400-0000A7010000}"/>
    <hyperlink ref="Q214" r:id="rId425" xr:uid="{00000000-0004-0000-0400-0000A8010000}"/>
    <hyperlink ref="R214" r:id="rId426" xr:uid="{00000000-0004-0000-0400-0000A9010000}"/>
    <hyperlink ref="Q215" r:id="rId427" xr:uid="{00000000-0004-0000-0400-0000AA010000}"/>
    <hyperlink ref="R215" r:id="rId428" xr:uid="{00000000-0004-0000-0400-0000AB010000}"/>
    <hyperlink ref="Q216" r:id="rId429" xr:uid="{00000000-0004-0000-0400-0000AC010000}"/>
    <hyperlink ref="R216" r:id="rId430" xr:uid="{00000000-0004-0000-0400-0000AD010000}"/>
    <hyperlink ref="Q217" r:id="rId431" xr:uid="{00000000-0004-0000-0400-0000AE010000}"/>
    <hyperlink ref="R217" r:id="rId432" xr:uid="{00000000-0004-0000-0400-0000AF010000}"/>
    <hyperlink ref="Q218" r:id="rId433" xr:uid="{00000000-0004-0000-0400-0000B0010000}"/>
    <hyperlink ref="R218" r:id="rId434" xr:uid="{00000000-0004-0000-0400-0000B1010000}"/>
    <hyperlink ref="Q219" r:id="rId435" xr:uid="{00000000-0004-0000-0400-0000B2010000}"/>
    <hyperlink ref="R219" r:id="rId436" xr:uid="{00000000-0004-0000-0400-0000B3010000}"/>
    <hyperlink ref="Q220" r:id="rId437" xr:uid="{00000000-0004-0000-0400-0000B4010000}"/>
    <hyperlink ref="R220" r:id="rId438" xr:uid="{00000000-0004-0000-0400-0000B5010000}"/>
    <hyperlink ref="Q221" r:id="rId439" xr:uid="{00000000-0004-0000-0400-0000B6010000}"/>
    <hyperlink ref="R221" r:id="rId440" xr:uid="{00000000-0004-0000-0400-0000B7010000}"/>
    <hyperlink ref="Q222" r:id="rId441" xr:uid="{00000000-0004-0000-0400-0000B8010000}"/>
    <hyperlink ref="R222" r:id="rId442" xr:uid="{00000000-0004-0000-0400-0000B9010000}"/>
    <hyperlink ref="Q223" r:id="rId443" xr:uid="{00000000-0004-0000-0400-0000BA010000}"/>
    <hyperlink ref="R223" r:id="rId444" xr:uid="{00000000-0004-0000-0400-0000BB010000}"/>
    <hyperlink ref="Q224" r:id="rId445" xr:uid="{00000000-0004-0000-0400-0000BC010000}"/>
    <hyperlink ref="R224" r:id="rId446" xr:uid="{00000000-0004-0000-0400-0000BD010000}"/>
    <hyperlink ref="Q225" r:id="rId447" xr:uid="{00000000-0004-0000-0400-0000BE010000}"/>
    <hyperlink ref="R225" r:id="rId448" xr:uid="{00000000-0004-0000-0400-0000BF010000}"/>
    <hyperlink ref="Q226" r:id="rId449" xr:uid="{00000000-0004-0000-0400-0000C0010000}"/>
    <hyperlink ref="R226" r:id="rId450" xr:uid="{00000000-0004-0000-0400-0000C1010000}"/>
    <hyperlink ref="Q227" r:id="rId451" xr:uid="{00000000-0004-0000-0400-0000C2010000}"/>
    <hyperlink ref="R227" r:id="rId452" xr:uid="{00000000-0004-0000-0400-0000C3010000}"/>
    <hyperlink ref="Q228" r:id="rId453" xr:uid="{00000000-0004-0000-0400-0000C4010000}"/>
    <hyperlink ref="R228" r:id="rId454" xr:uid="{00000000-0004-0000-0400-0000C5010000}"/>
    <hyperlink ref="Q229" r:id="rId455" xr:uid="{00000000-0004-0000-0400-0000C6010000}"/>
    <hyperlink ref="R229" r:id="rId456" xr:uid="{00000000-0004-0000-0400-0000C7010000}"/>
    <hyperlink ref="Q230" r:id="rId457" xr:uid="{00000000-0004-0000-0400-0000C8010000}"/>
    <hyperlink ref="R230" r:id="rId458" xr:uid="{00000000-0004-0000-0400-0000C9010000}"/>
    <hyperlink ref="Q231" r:id="rId459" xr:uid="{00000000-0004-0000-0400-0000CA010000}"/>
    <hyperlink ref="R231" r:id="rId460" xr:uid="{00000000-0004-0000-0400-0000CB010000}"/>
    <hyperlink ref="Q232" r:id="rId461" xr:uid="{00000000-0004-0000-0400-0000CC010000}"/>
    <hyperlink ref="R232" r:id="rId462" xr:uid="{00000000-0004-0000-0400-0000CD010000}"/>
    <hyperlink ref="Q233" r:id="rId463" xr:uid="{00000000-0004-0000-0400-0000CE010000}"/>
    <hyperlink ref="R233" r:id="rId464" xr:uid="{00000000-0004-0000-0400-0000CF010000}"/>
    <hyperlink ref="Q234" r:id="rId465" xr:uid="{00000000-0004-0000-0400-0000D0010000}"/>
    <hyperlink ref="R234" r:id="rId466" xr:uid="{00000000-0004-0000-0400-0000D1010000}"/>
    <hyperlink ref="Q235" r:id="rId467" xr:uid="{00000000-0004-0000-0400-0000D2010000}"/>
    <hyperlink ref="R235" r:id="rId468" xr:uid="{00000000-0004-0000-0400-0000D3010000}"/>
    <hyperlink ref="Q236" r:id="rId469" xr:uid="{00000000-0004-0000-0400-0000D4010000}"/>
    <hyperlink ref="R236" r:id="rId470" xr:uid="{00000000-0004-0000-0400-0000D5010000}"/>
    <hyperlink ref="Q237" r:id="rId471" xr:uid="{00000000-0004-0000-0400-0000D6010000}"/>
    <hyperlink ref="R237" r:id="rId472" xr:uid="{00000000-0004-0000-0400-0000D7010000}"/>
    <hyperlink ref="Q238" r:id="rId473" xr:uid="{00000000-0004-0000-0400-0000D8010000}"/>
    <hyperlink ref="R238" r:id="rId474" xr:uid="{00000000-0004-0000-0400-0000D9010000}"/>
    <hyperlink ref="Q239" r:id="rId475" xr:uid="{00000000-0004-0000-0400-0000DA010000}"/>
    <hyperlink ref="R239" r:id="rId476" xr:uid="{00000000-0004-0000-0400-0000DB010000}"/>
    <hyperlink ref="Q240" r:id="rId477" xr:uid="{00000000-0004-0000-0400-0000DC010000}"/>
    <hyperlink ref="R240" r:id="rId478" xr:uid="{00000000-0004-0000-0400-0000DD010000}"/>
    <hyperlink ref="Q241" r:id="rId479" xr:uid="{00000000-0004-0000-0400-0000DE010000}"/>
    <hyperlink ref="R241" r:id="rId480" xr:uid="{00000000-0004-0000-0400-0000DF010000}"/>
    <hyperlink ref="Q242" r:id="rId481" xr:uid="{00000000-0004-0000-0400-0000E0010000}"/>
    <hyperlink ref="R242" r:id="rId482" xr:uid="{00000000-0004-0000-0400-0000E1010000}"/>
    <hyperlink ref="Q243" r:id="rId483" xr:uid="{00000000-0004-0000-0400-0000E2010000}"/>
    <hyperlink ref="R243" r:id="rId484" xr:uid="{00000000-0004-0000-0400-0000E3010000}"/>
    <hyperlink ref="Q244" r:id="rId485" xr:uid="{00000000-0004-0000-0400-0000E4010000}"/>
    <hyperlink ref="R244" r:id="rId486" xr:uid="{00000000-0004-0000-0400-0000E5010000}"/>
    <hyperlink ref="Q245" r:id="rId487" xr:uid="{00000000-0004-0000-0400-0000E6010000}"/>
    <hyperlink ref="R245" r:id="rId488" xr:uid="{00000000-0004-0000-0400-0000E7010000}"/>
    <hyperlink ref="Q246" r:id="rId489" xr:uid="{00000000-0004-0000-0400-0000E8010000}"/>
    <hyperlink ref="R246" r:id="rId490" xr:uid="{00000000-0004-0000-0400-0000E9010000}"/>
    <hyperlink ref="Q247" r:id="rId491" xr:uid="{00000000-0004-0000-0400-0000EA010000}"/>
    <hyperlink ref="R247" r:id="rId492" xr:uid="{00000000-0004-0000-0400-0000EB010000}"/>
    <hyperlink ref="Q248" r:id="rId493" xr:uid="{00000000-0004-0000-0400-0000EC010000}"/>
    <hyperlink ref="R248" r:id="rId494" xr:uid="{00000000-0004-0000-0400-0000ED010000}"/>
    <hyperlink ref="Q249" r:id="rId495" xr:uid="{00000000-0004-0000-0400-0000EE010000}"/>
    <hyperlink ref="R249" r:id="rId496" xr:uid="{00000000-0004-0000-0400-0000EF010000}"/>
    <hyperlink ref="Q250" r:id="rId497" xr:uid="{00000000-0004-0000-0400-0000F0010000}"/>
    <hyperlink ref="R250" r:id="rId498" xr:uid="{00000000-0004-0000-0400-0000F1010000}"/>
    <hyperlink ref="Q251" r:id="rId499" xr:uid="{00000000-0004-0000-0400-0000F2010000}"/>
    <hyperlink ref="R251" r:id="rId500" xr:uid="{00000000-0004-0000-0400-0000F3010000}"/>
    <hyperlink ref="Q252" r:id="rId501" xr:uid="{00000000-0004-0000-0400-0000F4010000}"/>
    <hyperlink ref="R252" r:id="rId502" xr:uid="{00000000-0004-0000-0400-0000F5010000}"/>
    <hyperlink ref="Q253" r:id="rId503" xr:uid="{00000000-0004-0000-0400-0000F6010000}"/>
    <hyperlink ref="R253" r:id="rId504" xr:uid="{00000000-0004-0000-0400-0000F7010000}"/>
    <hyperlink ref="Q254" r:id="rId505" xr:uid="{00000000-0004-0000-0400-0000F8010000}"/>
    <hyperlink ref="R254" r:id="rId506" xr:uid="{00000000-0004-0000-0400-0000F9010000}"/>
    <hyperlink ref="Q255" r:id="rId507" xr:uid="{00000000-0004-0000-0400-0000FA010000}"/>
    <hyperlink ref="R255" r:id="rId508" xr:uid="{00000000-0004-0000-0400-0000FB010000}"/>
    <hyperlink ref="Q256" r:id="rId509" xr:uid="{00000000-0004-0000-0400-0000FC010000}"/>
    <hyperlink ref="R256" r:id="rId510" xr:uid="{00000000-0004-0000-0400-0000FD010000}"/>
    <hyperlink ref="Q257" r:id="rId511" xr:uid="{00000000-0004-0000-0400-0000FE010000}"/>
    <hyperlink ref="R257" r:id="rId512" xr:uid="{00000000-0004-0000-0400-0000FF010000}"/>
    <hyperlink ref="Q258" r:id="rId513" xr:uid="{00000000-0004-0000-0400-000000020000}"/>
    <hyperlink ref="R258" r:id="rId514" xr:uid="{00000000-0004-0000-0400-000001020000}"/>
    <hyperlink ref="Q259" r:id="rId515" xr:uid="{00000000-0004-0000-0400-000002020000}"/>
    <hyperlink ref="R259" r:id="rId516" xr:uid="{00000000-0004-0000-0400-000003020000}"/>
    <hyperlink ref="Q260" r:id="rId517" xr:uid="{00000000-0004-0000-0400-000004020000}"/>
    <hyperlink ref="R260" r:id="rId518" xr:uid="{00000000-0004-0000-0400-000005020000}"/>
    <hyperlink ref="Q261" r:id="rId519" xr:uid="{00000000-0004-0000-0400-000006020000}"/>
    <hyperlink ref="R261" r:id="rId520" xr:uid="{00000000-0004-0000-0400-000007020000}"/>
    <hyperlink ref="Q262" r:id="rId521" xr:uid="{00000000-0004-0000-0400-000008020000}"/>
    <hyperlink ref="R262" r:id="rId522" xr:uid="{00000000-0004-0000-0400-000009020000}"/>
    <hyperlink ref="Q263" r:id="rId523" xr:uid="{00000000-0004-0000-0400-00000A020000}"/>
    <hyperlink ref="R263" r:id="rId524" xr:uid="{00000000-0004-0000-0400-00000B020000}"/>
    <hyperlink ref="Q264" r:id="rId525" xr:uid="{00000000-0004-0000-0400-00000C020000}"/>
    <hyperlink ref="R264" r:id="rId526" xr:uid="{00000000-0004-0000-0400-00000D020000}"/>
    <hyperlink ref="Q265" r:id="rId527" xr:uid="{00000000-0004-0000-0400-00000E020000}"/>
    <hyperlink ref="R265" r:id="rId528" xr:uid="{00000000-0004-0000-0400-00000F020000}"/>
    <hyperlink ref="Q266" r:id="rId529" xr:uid="{00000000-0004-0000-0400-000010020000}"/>
    <hyperlink ref="R266" r:id="rId530" xr:uid="{00000000-0004-0000-0400-000011020000}"/>
    <hyperlink ref="Q267" r:id="rId531" xr:uid="{00000000-0004-0000-0400-000012020000}"/>
    <hyperlink ref="R267" r:id="rId532" xr:uid="{00000000-0004-0000-0400-000013020000}"/>
    <hyperlink ref="Q268" r:id="rId533" xr:uid="{00000000-0004-0000-0400-000014020000}"/>
    <hyperlink ref="R268" r:id="rId534" xr:uid="{00000000-0004-0000-0400-000015020000}"/>
    <hyperlink ref="Q269" r:id="rId535" xr:uid="{00000000-0004-0000-0400-000016020000}"/>
    <hyperlink ref="R269" r:id="rId536" xr:uid="{00000000-0004-0000-0400-000017020000}"/>
    <hyperlink ref="Q270" r:id="rId537" xr:uid="{00000000-0004-0000-0400-000018020000}"/>
    <hyperlink ref="R270" r:id="rId538" xr:uid="{00000000-0004-0000-0400-000019020000}"/>
    <hyperlink ref="Q271" r:id="rId539" xr:uid="{00000000-0004-0000-0400-00001A020000}"/>
    <hyperlink ref="R271" r:id="rId540" xr:uid="{00000000-0004-0000-0400-00001B020000}"/>
    <hyperlink ref="Q272" r:id="rId541" xr:uid="{00000000-0004-0000-0400-00001C020000}"/>
    <hyperlink ref="R272" r:id="rId542" xr:uid="{00000000-0004-0000-0400-00001D020000}"/>
    <hyperlink ref="Q273" r:id="rId543" xr:uid="{00000000-0004-0000-0400-00001E020000}"/>
    <hyperlink ref="R273" r:id="rId544" xr:uid="{00000000-0004-0000-0400-00001F020000}"/>
    <hyperlink ref="Q274" r:id="rId545" xr:uid="{00000000-0004-0000-0400-000020020000}"/>
    <hyperlink ref="R274" r:id="rId546" xr:uid="{00000000-0004-0000-0400-000021020000}"/>
    <hyperlink ref="Q275" r:id="rId547" xr:uid="{00000000-0004-0000-0400-000022020000}"/>
    <hyperlink ref="R275" r:id="rId548" xr:uid="{00000000-0004-0000-0400-000023020000}"/>
    <hyperlink ref="Q276" r:id="rId549" xr:uid="{00000000-0004-0000-0400-000024020000}"/>
    <hyperlink ref="R276" r:id="rId550" xr:uid="{00000000-0004-0000-0400-000025020000}"/>
    <hyperlink ref="Q277" r:id="rId551" xr:uid="{00000000-0004-0000-0400-000026020000}"/>
    <hyperlink ref="R277" r:id="rId552" xr:uid="{00000000-0004-0000-0400-000027020000}"/>
    <hyperlink ref="Q278" r:id="rId553" xr:uid="{00000000-0004-0000-0400-000028020000}"/>
    <hyperlink ref="R278" r:id="rId554" xr:uid="{00000000-0004-0000-0400-000029020000}"/>
    <hyperlink ref="Q279" r:id="rId555" xr:uid="{00000000-0004-0000-0400-00002A020000}"/>
    <hyperlink ref="R279" r:id="rId556" xr:uid="{00000000-0004-0000-0400-00002B020000}"/>
    <hyperlink ref="Q280" r:id="rId557" xr:uid="{00000000-0004-0000-0400-00002C020000}"/>
    <hyperlink ref="R280" r:id="rId558" xr:uid="{00000000-0004-0000-0400-00002D020000}"/>
    <hyperlink ref="Q281" r:id="rId559" xr:uid="{00000000-0004-0000-0400-00002E020000}"/>
    <hyperlink ref="R281" r:id="rId560" xr:uid="{00000000-0004-0000-0400-00002F020000}"/>
    <hyperlink ref="Q282" r:id="rId561" xr:uid="{00000000-0004-0000-0400-000030020000}"/>
    <hyperlink ref="R282" r:id="rId562" xr:uid="{00000000-0004-0000-0400-000031020000}"/>
    <hyperlink ref="Q283" r:id="rId563" xr:uid="{00000000-0004-0000-0400-000032020000}"/>
    <hyperlink ref="R283" r:id="rId564" xr:uid="{00000000-0004-0000-0400-000033020000}"/>
    <hyperlink ref="Q284" r:id="rId565" xr:uid="{00000000-0004-0000-0400-000034020000}"/>
    <hyperlink ref="R284" r:id="rId566" xr:uid="{00000000-0004-0000-0400-000035020000}"/>
    <hyperlink ref="Q285" r:id="rId567" xr:uid="{00000000-0004-0000-0400-000036020000}"/>
    <hyperlink ref="R285" r:id="rId568" xr:uid="{00000000-0004-0000-0400-000037020000}"/>
    <hyperlink ref="Q286" r:id="rId569" xr:uid="{00000000-0004-0000-0400-000038020000}"/>
    <hyperlink ref="R286" r:id="rId570" xr:uid="{00000000-0004-0000-0400-000039020000}"/>
    <hyperlink ref="Q287" r:id="rId571" xr:uid="{00000000-0004-0000-0400-00003A020000}"/>
    <hyperlink ref="R287" r:id="rId572" xr:uid="{00000000-0004-0000-0400-00003B020000}"/>
    <hyperlink ref="Q288" r:id="rId573" xr:uid="{00000000-0004-0000-0400-00003C020000}"/>
    <hyperlink ref="R288" r:id="rId574" xr:uid="{00000000-0004-0000-0400-00003D020000}"/>
    <hyperlink ref="Q289" r:id="rId575" xr:uid="{00000000-0004-0000-0400-00003E020000}"/>
    <hyperlink ref="R289" r:id="rId576" xr:uid="{00000000-0004-0000-0400-00003F020000}"/>
    <hyperlink ref="Q290" r:id="rId577" xr:uid="{00000000-0004-0000-0400-000040020000}"/>
    <hyperlink ref="R290" r:id="rId578" xr:uid="{00000000-0004-0000-0400-000041020000}"/>
    <hyperlink ref="Q291" r:id="rId579" xr:uid="{00000000-0004-0000-0400-000042020000}"/>
    <hyperlink ref="R291" r:id="rId580" xr:uid="{00000000-0004-0000-0400-000043020000}"/>
    <hyperlink ref="Q292" r:id="rId581" xr:uid="{00000000-0004-0000-0400-000044020000}"/>
    <hyperlink ref="R292" r:id="rId582" xr:uid="{00000000-0004-0000-0400-000045020000}"/>
    <hyperlink ref="Q293" r:id="rId583" xr:uid="{00000000-0004-0000-0400-000046020000}"/>
    <hyperlink ref="R293" r:id="rId584" xr:uid="{00000000-0004-0000-0400-000047020000}"/>
    <hyperlink ref="Q294" r:id="rId585" xr:uid="{00000000-0004-0000-0400-000048020000}"/>
    <hyperlink ref="R294" r:id="rId586" xr:uid="{00000000-0004-0000-0400-000049020000}"/>
    <hyperlink ref="Q295" r:id="rId587" xr:uid="{00000000-0004-0000-0400-00004A020000}"/>
    <hyperlink ref="R295" r:id="rId588" xr:uid="{00000000-0004-0000-0400-00004B020000}"/>
    <hyperlink ref="Q296" r:id="rId589" xr:uid="{00000000-0004-0000-0400-00004C020000}"/>
    <hyperlink ref="R296" r:id="rId590" xr:uid="{00000000-0004-0000-0400-00004D020000}"/>
    <hyperlink ref="Q297" r:id="rId591" xr:uid="{00000000-0004-0000-0400-00004E020000}"/>
    <hyperlink ref="R297" r:id="rId592" xr:uid="{00000000-0004-0000-0400-00004F020000}"/>
    <hyperlink ref="Q298" r:id="rId593" xr:uid="{00000000-0004-0000-0400-000050020000}"/>
    <hyperlink ref="R298" r:id="rId594" xr:uid="{00000000-0004-0000-0400-000051020000}"/>
    <hyperlink ref="Q299" r:id="rId595" xr:uid="{00000000-0004-0000-0400-000052020000}"/>
    <hyperlink ref="R299" r:id="rId596" xr:uid="{00000000-0004-0000-0400-000053020000}"/>
  </hyperlinks>
  <pageMargins left="0.75" right="0.75" top="1" bottom="1" header="0.5" footer="0.5"/>
  <pageSetup fitToHeight="0" orientation="landscape"/>
  <tableParts count="1">
    <tablePart r:id="rId59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17"/>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470</v>
      </c>
      <c r="B2" s="12" t="s">
        <v>16</v>
      </c>
      <c r="C2" s="12"/>
      <c r="D2" s="12" t="s">
        <v>471</v>
      </c>
      <c r="E2" s="12" t="s">
        <v>472</v>
      </c>
      <c r="F2" s="12"/>
      <c r="G2" s="12" t="s">
        <v>462</v>
      </c>
      <c r="H2" s="12" t="s">
        <v>46</v>
      </c>
      <c r="I2" s="12" t="s">
        <v>26</v>
      </c>
      <c r="J2" s="13" t="s">
        <v>463</v>
      </c>
      <c r="K2" s="14" t="s">
        <v>473</v>
      </c>
      <c r="L2" s="15">
        <v>3</v>
      </c>
      <c r="M2" s="15" t="s">
        <v>220</v>
      </c>
      <c r="N2" s="16">
        <v>45268</v>
      </c>
      <c r="O2" s="12" t="s">
        <v>470</v>
      </c>
      <c r="P2" s="14" t="s">
        <v>474</v>
      </c>
      <c r="Q2" s="17" t="s">
        <v>137</v>
      </c>
      <c r="R2" s="17" t="s">
        <v>146</v>
      </c>
    </row>
    <row r="3" spans="1:18" x14ac:dyDescent="0.3">
      <c r="A3" s="12" t="s">
        <v>215</v>
      </c>
      <c r="B3" s="12" t="s">
        <v>10</v>
      </c>
      <c r="C3" s="12" t="s">
        <v>16</v>
      </c>
      <c r="D3" s="12" t="s">
        <v>835</v>
      </c>
      <c r="E3" s="12" t="s">
        <v>836</v>
      </c>
      <c r="F3" s="12"/>
      <c r="G3" s="12" t="s">
        <v>785</v>
      </c>
      <c r="H3" s="12" t="s">
        <v>38</v>
      </c>
      <c r="I3" s="12" t="s">
        <v>26</v>
      </c>
      <c r="J3" s="13" t="s">
        <v>786</v>
      </c>
      <c r="K3" s="14" t="s">
        <v>294</v>
      </c>
      <c r="L3" s="15">
        <v>0</v>
      </c>
      <c r="M3" s="15" t="s">
        <v>144</v>
      </c>
      <c r="N3" s="16">
        <v>45818</v>
      </c>
      <c r="O3" s="12" t="s">
        <v>215</v>
      </c>
      <c r="P3" s="14" t="s">
        <v>837</v>
      </c>
      <c r="Q3" s="17" t="s">
        <v>137</v>
      </c>
      <c r="R3" s="17" t="s">
        <v>146</v>
      </c>
    </row>
    <row r="4" spans="1:18" x14ac:dyDescent="0.3">
      <c r="A4" s="12" t="s">
        <v>928</v>
      </c>
      <c r="B4" s="12" t="s">
        <v>10</v>
      </c>
      <c r="C4" s="12" t="s">
        <v>929</v>
      </c>
      <c r="D4" s="12" t="s">
        <v>930</v>
      </c>
      <c r="E4" s="12" t="s">
        <v>931</v>
      </c>
      <c r="F4" s="12" t="s">
        <v>218</v>
      </c>
      <c r="G4" s="12" t="s">
        <v>898</v>
      </c>
      <c r="H4" s="12" t="s">
        <v>36</v>
      </c>
      <c r="I4" s="12" t="s">
        <v>26</v>
      </c>
      <c r="J4" s="13" t="s">
        <v>905</v>
      </c>
      <c r="K4" s="14" t="s">
        <v>932</v>
      </c>
      <c r="L4" s="15">
        <v>0</v>
      </c>
      <c r="M4" s="15" t="s">
        <v>220</v>
      </c>
      <c r="N4" s="16">
        <v>46177</v>
      </c>
      <c r="O4" s="12" t="s">
        <v>928</v>
      </c>
      <c r="P4" s="14" t="s">
        <v>933</v>
      </c>
      <c r="Q4" s="17" t="s">
        <v>137</v>
      </c>
      <c r="R4" s="17" t="s">
        <v>146</v>
      </c>
    </row>
    <row r="5" spans="1:18" x14ac:dyDescent="0.3">
      <c r="A5" s="12" t="s">
        <v>992</v>
      </c>
      <c r="B5" s="12" t="s">
        <v>16</v>
      </c>
      <c r="C5" s="12"/>
      <c r="D5" s="12" t="s">
        <v>993</v>
      </c>
      <c r="E5" s="12" t="s">
        <v>994</v>
      </c>
      <c r="F5" s="12" t="s">
        <v>995</v>
      </c>
      <c r="G5" s="12" t="s">
        <v>988</v>
      </c>
      <c r="H5" s="12" t="s">
        <v>36</v>
      </c>
      <c r="I5" s="12" t="s">
        <v>26</v>
      </c>
      <c r="J5" s="13" t="s">
        <v>989</v>
      </c>
      <c r="K5" s="14" t="s">
        <v>996</v>
      </c>
      <c r="L5" s="15">
        <v>0</v>
      </c>
      <c r="M5" s="15" t="s">
        <v>144</v>
      </c>
      <c r="N5" s="16">
        <v>46198</v>
      </c>
      <c r="O5" s="12" t="s">
        <v>992</v>
      </c>
      <c r="P5" s="14" t="s">
        <v>997</v>
      </c>
      <c r="Q5" s="17" t="s">
        <v>137</v>
      </c>
      <c r="R5" s="17" t="s">
        <v>146</v>
      </c>
    </row>
    <row r="6" spans="1:18" x14ac:dyDescent="0.3">
      <c r="A6" s="12" t="s">
        <v>1128</v>
      </c>
      <c r="B6" s="12" t="s">
        <v>16</v>
      </c>
      <c r="C6" s="12"/>
      <c r="D6" s="12" t="s">
        <v>471</v>
      </c>
      <c r="E6" s="12" t="s">
        <v>1063</v>
      </c>
      <c r="F6" s="12" t="s">
        <v>712</v>
      </c>
      <c r="G6" s="12" t="s">
        <v>1058</v>
      </c>
      <c r="H6" s="12" t="s">
        <v>36</v>
      </c>
      <c r="I6" s="12" t="s">
        <v>26</v>
      </c>
      <c r="J6" s="13" t="s">
        <v>1064</v>
      </c>
      <c r="K6" s="14" t="s">
        <v>1129</v>
      </c>
      <c r="L6" s="15">
        <v>0</v>
      </c>
      <c r="M6" s="15" t="s">
        <v>144</v>
      </c>
      <c r="N6" s="16">
        <v>45931</v>
      </c>
      <c r="O6" s="12" t="s">
        <v>1130</v>
      </c>
      <c r="P6" s="14" t="s">
        <v>1131</v>
      </c>
      <c r="Q6" s="17" t="s">
        <v>137</v>
      </c>
      <c r="R6" s="17" t="s">
        <v>146</v>
      </c>
    </row>
    <row r="7" spans="1:18" x14ac:dyDescent="0.3">
      <c r="A7" s="12" t="s">
        <v>1185</v>
      </c>
      <c r="B7" s="12" t="s">
        <v>16</v>
      </c>
      <c r="C7" s="12"/>
      <c r="D7" s="12" t="s">
        <v>993</v>
      </c>
      <c r="E7" s="12" t="s">
        <v>1186</v>
      </c>
      <c r="F7" s="12"/>
      <c r="G7" s="12" t="s">
        <v>1158</v>
      </c>
      <c r="H7" s="12" t="s">
        <v>36</v>
      </c>
      <c r="I7" s="12" t="s">
        <v>26</v>
      </c>
      <c r="J7" s="13" t="s">
        <v>1178</v>
      </c>
      <c r="K7" s="14" t="s">
        <v>1187</v>
      </c>
      <c r="L7" s="15">
        <v>0</v>
      </c>
      <c r="M7" s="15" t="s">
        <v>144</v>
      </c>
      <c r="N7" s="16">
        <v>44763</v>
      </c>
      <c r="O7" s="12" t="s">
        <v>1185</v>
      </c>
      <c r="P7" s="14" t="s">
        <v>1188</v>
      </c>
      <c r="Q7" s="17" t="s">
        <v>137</v>
      </c>
      <c r="R7" s="17" t="s">
        <v>146</v>
      </c>
    </row>
    <row r="8" spans="1:18" x14ac:dyDescent="0.3">
      <c r="A8" s="12" t="s">
        <v>1144</v>
      </c>
      <c r="B8" s="12" t="s">
        <v>16</v>
      </c>
      <c r="C8" s="12"/>
      <c r="D8" s="12" t="s">
        <v>993</v>
      </c>
      <c r="E8" s="12" t="s">
        <v>1819</v>
      </c>
      <c r="F8" s="12"/>
      <c r="G8" s="12" t="s">
        <v>1750</v>
      </c>
      <c r="H8" s="12" t="s">
        <v>36</v>
      </c>
      <c r="I8" s="12" t="s">
        <v>26</v>
      </c>
      <c r="J8" s="13" t="s">
        <v>1820</v>
      </c>
      <c r="K8" s="14" t="s">
        <v>219</v>
      </c>
      <c r="L8" s="15">
        <v>0</v>
      </c>
      <c r="M8" s="15" t="s">
        <v>220</v>
      </c>
      <c r="N8" s="16">
        <v>45743</v>
      </c>
      <c r="O8" s="12" t="s">
        <v>1144</v>
      </c>
      <c r="P8" s="14" t="s">
        <v>1821</v>
      </c>
      <c r="Q8" s="17" t="s">
        <v>137</v>
      </c>
      <c r="R8" s="17" t="s">
        <v>146</v>
      </c>
    </row>
    <row r="9" spans="1:18" x14ac:dyDescent="0.3">
      <c r="A9" s="12" t="s">
        <v>1891</v>
      </c>
      <c r="B9" s="12" t="s">
        <v>16</v>
      </c>
      <c r="C9" s="12"/>
      <c r="D9" s="12" t="s">
        <v>471</v>
      </c>
      <c r="E9" s="12" t="s">
        <v>1892</v>
      </c>
      <c r="F9" s="12" t="s">
        <v>940</v>
      </c>
      <c r="G9" s="12" t="s">
        <v>1884</v>
      </c>
      <c r="H9" s="12" t="s">
        <v>36</v>
      </c>
      <c r="I9" s="12" t="s">
        <v>26</v>
      </c>
      <c r="J9" s="13" t="s">
        <v>1624</v>
      </c>
      <c r="K9" s="14" t="s">
        <v>1893</v>
      </c>
      <c r="L9" s="15">
        <v>27</v>
      </c>
      <c r="M9" s="15" t="s">
        <v>144</v>
      </c>
      <c r="N9" s="16">
        <v>44763</v>
      </c>
      <c r="O9" s="12" t="s">
        <v>1894</v>
      </c>
      <c r="P9" s="14" t="s">
        <v>1895</v>
      </c>
      <c r="Q9" s="17" t="s">
        <v>137</v>
      </c>
      <c r="R9" s="17" t="s">
        <v>146</v>
      </c>
    </row>
    <row r="10" spans="1:18" x14ac:dyDescent="0.3">
      <c r="A10" s="12" t="s">
        <v>1128</v>
      </c>
      <c r="B10" s="12" t="s">
        <v>16</v>
      </c>
      <c r="C10" s="12"/>
      <c r="D10" s="12" t="s">
        <v>471</v>
      </c>
      <c r="E10" s="12" t="s">
        <v>1892</v>
      </c>
      <c r="F10" s="12" t="s">
        <v>182</v>
      </c>
      <c r="G10" s="12" t="s">
        <v>1884</v>
      </c>
      <c r="H10" s="12" t="s">
        <v>36</v>
      </c>
      <c r="I10" s="12" t="s">
        <v>26</v>
      </c>
      <c r="J10" s="13" t="s">
        <v>1624</v>
      </c>
      <c r="K10" s="14" t="s">
        <v>1932</v>
      </c>
      <c r="L10" s="15">
        <v>27</v>
      </c>
      <c r="M10" s="15" t="s">
        <v>144</v>
      </c>
      <c r="N10" s="16">
        <v>46289</v>
      </c>
      <c r="O10" s="12" t="s">
        <v>1130</v>
      </c>
      <c r="P10" s="14" t="s">
        <v>1933</v>
      </c>
      <c r="Q10" s="17" t="s">
        <v>137</v>
      </c>
      <c r="R10" s="17" t="s">
        <v>146</v>
      </c>
    </row>
    <row r="11" spans="1:18" x14ac:dyDescent="0.3">
      <c r="A11" s="12" t="s">
        <v>2023</v>
      </c>
      <c r="B11" s="12" t="s">
        <v>16</v>
      </c>
      <c r="C11" s="12"/>
      <c r="D11" s="12" t="s">
        <v>471</v>
      </c>
      <c r="E11" s="12" t="s">
        <v>2024</v>
      </c>
      <c r="F11" s="12" t="s">
        <v>359</v>
      </c>
      <c r="G11" s="12" t="s">
        <v>2006</v>
      </c>
      <c r="H11" s="12" t="s">
        <v>37</v>
      </c>
      <c r="I11" s="12" t="s">
        <v>26</v>
      </c>
      <c r="J11" s="13" t="s">
        <v>2007</v>
      </c>
      <c r="K11" s="14" t="s">
        <v>2025</v>
      </c>
      <c r="L11" s="15">
        <v>0</v>
      </c>
      <c r="M11" s="15" t="s">
        <v>144</v>
      </c>
      <c r="N11" s="16">
        <v>44594</v>
      </c>
      <c r="O11" s="12" t="s">
        <v>2023</v>
      </c>
      <c r="P11" s="14" t="s">
        <v>2026</v>
      </c>
      <c r="Q11" s="17" t="s">
        <v>137</v>
      </c>
      <c r="R11" s="17" t="s">
        <v>146</v>
      </c>
    </row>
    <row r="12" spans="1:18" x14ac:dyDescent="0.3">
      <c r="A12" s="12" t="s">
        <v>2141</v>
      </c>
      <c r="B12" s="12" t="s">
        <v>16</v>
      </c>
      <c r="C12" s="12"/>
      <c r="D12" s="12" t="s">
        <v>2142</v>
      </c>
      <c r="E12" s="12" t="s">
        <v>2143</v>
      </c>
      <c r="F12" s="12" t="s">
        <v>467</v>
      </c>
      <c r="G12" s="12" t="s">
        <v>876</v>
      </c>
      <c r="H12" s="12" t="s">
        <v>37</v>
      </c>
      <c r="I12" s="12" t="s">
        <v>26</v>
      </c>
      <c r="J12" s="13" t="s">
        <v>2144</v>
      </c>
      <c r="K12" s="14" t="s">
        <v>2145</v>
      </c>
      <c r="L12" s="15">
        <v>0</v>
      </c>
      <c r="M12" s="15" t="s">
        <v>144</v>
      </c>
      <c r="N12" s="16">
        <v>46251</v>
      </c>
      <c r="O12" s="12" t="s">
        <v>2141</v>
      </c>
      <c r="P12" s="14" t="s">
        <v>2146</v>
      </c>
      <c r="Q12" s="17" t="s">
        <v>137</v>
      </c>
      <c r="R12" s="17" t="s">
        <v>146</v>
      </c>
    </row>
    <row r="13" spans="1:18" x14ac:dyDescent="0.3">
      <c r="A13" s="12" t="s">
        <v>215</v>
      </c>
      <c r="B13" s="12" t="s">
        <v>14</v>
      </c>
      <c r="C13" s="12" t="s">
        <v>16</v>
      </c>
      <c r="D13" s="12" t="s">
        <v>2277</v>
      </c>
      <c r="E13" s="12" t="s">
        <v>2135</v>
      </c>
      <c r="F13" s="12"/>
      <c r="G13" s="12" t="s">
        <v>876</v>
      </c>
      <c r="H13" s="12" t="s">
        <v>37</v>
      </c>
      <c r="I13" s="12" t="s">
        <v>26</v>
      </c>
      <c r="J13" s="13" t="s">
        <v>2118</v>
      </c>
      <c r="K13" s="14" t="s">
        <v>2278</v>
      </c>
      <c r="L13" s="15">
        <v>10</v>
      </c>
      <c r="M13" s="15" t="s">
        <v>144</v>
      </c>
      <c r="N13" s="16">
        <v>45818</v>
      </c>
      <c r="O13" s="12" t="s">
        <v>215</v>
      </c>
      <c r="P13" s="14" t="s">
        <v>2279</v>
      </c>
      <c r="Q13" s="17" t="s">
        <v>137</v>
      </c>
      <c r="R13" s="17" t="s">
        <v>146</v>
      </c>
    </row>
    <row r="14" spans="1:18" x14ac:dyDescent="0.3">
      <c r="A14" s="12" t="s">
        <v>2317</v>
      </c>
      <c r="B14" s="12" t="s">
        <v>16</v>
      </c>
      <c r="C14" s="12"/>
      <c r="D14" s="12" t="s">
        <v>471</v>
      </c>
      <c r="E14" s="12" t="s">
        <v>2318</v>
      </c>
      <c r="F14" s="12" t="s">
        <v>2319</v>
      </c>
      <c r="G14" s="12" t="s">
        <v>876</v>
      </c>
      <c r="H14" s="12" t="s">
        <v>37</v>
      </c>
      <c r="I14" s="12" t="s">
        <v>26</v>
      </c>
      <c r="J14" s="13" t="s">
        <v>2118</v>
      </c>
      <c r="K14" s="14" t="s">
        <v>2320</v>
      </c>
      <c r="L14" s="15">
        <v>0</v>
      </c>
      <c r="M14" s="15" t="s">
        <v>144</v>
      </c>
      <c r="N14" s="16">
        <v>45315</v>
      </c>
      <c r="O14" s="12" t="s">
        <v>2317</v>
      </c>
      <c r="P14" s="14" t="s">
        <v>2321</v>
      </c>
      <c r="Q14" s="17" t="s">
        <v>137</v>
      </c>
      <c r="R14" s="17" t="s">
        <v>146</v>
      </c>
    </row>
    <row r="15" spans="1:18" x14ac:dyDescent="0.3">
      <c r="A15" s="12" t="s">
        <v>3538</v>
      </c>
      <c r="B15" s="12" t="s">
        <v>16</v>
      </c>
      <c r="C15" s="12"/>
      <c r="D15" s="12" t="s">
        <v>471</v>
      </c>
      <c r="E15" s="12" t="s">
        <v>3513</v>
      </c>
      <c r="F15" s="12"/>
      <c r="G15" s="12" t="s">
        <v>3505</v>
      </c>
      <c r="H15" s="12" t="s">
        <v>45</v>
      </c>
      <c r="I15" s="12" t="s">
        <v>30</v>
      </c>
      <c r="J15" s="13" t="s">
        <v>2944</v>
      </c>
      <c r="K15" s="14" t="s">
        <v>3539</v>
      </c>
      <c r="L15" s="15">
        <v>2</v>
      </c>
      <c r="M15" s="15" t="s">
        <v>144</v>
      </c>
      <c r="N15" s="16">
        <v>46106</v>
      </c>
      <c r="O15" s="12" t="s">
        <v>3538</v>
      </c>
      <c r="P15" s="14" t="s">
        <v>3540</v>
      </c>
      <c r="Q15" s="17" t="s">
        <v>137</v>
      </c>
      <c r="R15" s="17" t="s">
        <v>146</v>
      </c>
    </row>
    <row r="16" spans="1:18" x14ac:dyDescent="0.3">
      <c r="A16" s="12" t="s">
        <v>3673</v>
      </c>
      <c r="B16" s="12" t="s">
        <v>10</v>
      </c>
      <c r="C16" s="12" t="s">
        <v>16</v>
      </c>
      <c r="D16" s="12" t="s">
        <v>3674</v>
      </c>
      <c r="E16" s="12" t="s">
        <v>3675</v>
      </c>
      <c r="F16" s="12"/>
      <c r="G16" s="12" t="s">
        <v>3649</v>
      </c>
      <c r="H16" s="12" t="s">
        <v>50</v>
      </c>
      <c r="I16" s="12" t="s">
        <v>31</v>
      </c>
      <c r="J16" s="13" t="s">
        <v>3650</v>
      </c>
      <c r="K16" s="14" t="s">
        <v>3676</v>
      </c>
      <c r="L16" s="15">
        <v>5</v>
      </c>
      <c r="M16" s="15" t="s">
        <v>144</v>
      </c>
      <c r="N16" s="16">
        <v>46038</v>
      </c>
      <c r="O16" s="12" t="s">
        <v>3673</v>
      </c>
      <c r="P16" s="14" t="s">
        <v>3677</v>
      </c>
      <c r="Q16" s="17" t="s">
        <v>137</v>
      </c>
      <c r="R16" s="17" t="s">
        <v>146</v>
      </c>
    </row>
    <row r="17" spans="1:18" x14ac:dyDescent="0.3">
      <c r="A17" s="12" t="s">
        <v>4216</v>
      </c>
      <c r="B17" s="12" t="s">
        <v>10</v>
      </c>
      <c r="C17" s="12" t="s">
        <v>16</v>
      </c>
      <c r="D17" s="12" t="s">
        <v>4217</v>
      </c>
      <c r="E17" s="12" t="s">
        <v>4214</v>
      </c>
      <c r="F17" s="12"/>
      <c r="G17" s="12" t="s">
        <v>4210</v>
      </c>
      <c r="H17" s="12" t="s">
        <v>78</v>
      </c>
      <c r="I17" s="12" t="s">
        <v>33</v>
      </c>
      <c r="J17" s="13" t="s">
        <v>4211</v>
      </c>
      <c r="K17" s="14" t="s">
        <v>4218</v>
      </c>
      <c r="L17" s="15">
        <v>0</v>
      </c>
      <c r="M17" s="15" t="s">
        <v>144</v>
      </c>
      <c r="N17" s="16">
        <v>45230</v>
      </c>
      <c r="O17" s="12" t="s">
        <v>4191</v>
      </c>
      <c r="P17" s="14" t="s">
        <v>4219</v>
      </c>
      <c r="Q17" s="17" t="s">
        <v>137</v>
      </c>
      <c r="R17" s="17" t="s">
        <v>146</v>
      </c>
    </row>
  </sheetData>
  <conditionalFormatting sqref="M2:M17">
    <cfRule type="expression" dxfId="7" priority="1">
      <formula>$M2="Yes"</formula>
    </cfRule>
  </conditionalFormatting>
  <hyperlinks>
    <hyperlink ref="Q2" r:id="rId1" xr:uid="{00000000-0004-0000-0500-000000000000}"/>
    <hyperlink ref="R2" r:id="rId2" xr:uid="{00000000-0004-0000-0500-000001000000}"/>
    <hyperlink ref="Q3" r:id="rId3" xr:uid="{00000000-0004-0000-0500-000002000000}"/>
    <hyperlink ref="R3" r:id="rId4" xr:uid="{00000000-0004-0000-0500-000003000000}"/>
    <hyperlink ref="Q4" r:id="rId5" xr:uid="{00000000-0004-0000-0500-000004000000}"/>
    <hyperlink ref="R4" r:id="rId6" xr:uid="{00000000-0004-0000-0500-000005000000}"/>
    <hyperlink ref="Q5" r:id="rId7" xr:uid="{00000000-0004-0000-0500-000006000000}"/>
    <hyperlink ref="R5" r:id="rId8" xr:uid="{00000000-0004-0000-0500-000007000000}"/>
    <hyperlink ref="Q6" r:id="rId9" xr:uid="{00000000-0004-0000-0500-000008000000}"/>
    <hyperlink ref="R6" r:id="rId10" xr:uid="{00000000-0004-0000-0500-000009000000}"/>
    <hyperlink ref="Q7" r:id="rId11" xr:uid="{00000000-0004-0000-0500-00000A000000}"/>
    <hyperlink ref="R7" r:id="rId12" xr:uid="{00000000-0004-0000-0500-00000B000000}"/>
    <hyperlink ref="Q8" r:id="rId13" xr:uid="{00000000-0004-0000-0500-00000C000000}"/>
    <hyperlink ref="R8" r:id="rId14" xr:uid="{00000000-0004-0000-0500-00000D000000}"/>
    <hyperlink ref="Q9" r:id="rId15" xr:uid="{00000000-0004-0000-0500-00000E000000}"/>
    <hyperlink ref="R9" r:id="rId16" xr:uid="{00000000-0004-0000-0500-00000F000000}"/>
    <hyperlink ref="Q10" r:id="rId17" xr:uid="{00000000-0004-0000-0500-000010000000}"/>
    <hyperlink ref="R10" r:id="rId18" xr:uid="{00000000-0004-0000-0500-000011000000}"/>
    <hyperlink ref="Q11" r:id="rId19" xr:uid="{00000000-0004-0000-0500-000012000000}"/>
    <hyperlink ref="R11" r:id="rId20" xr:uid="{00000000-0004-0000-0500-000013000000}"/>
    <hyperlink ref="Q12" r:id="rId21" xr:uid="{00000000-0004-0000-0500-000014000000}"/>
    <hyperlink ref="R12" r:id="rId22" xr:uid="{00000000-0004-0000-0500-000015000000}"/>
    <hyperlink ref="Q13" r:id="rId23" xr:uid="{00000000-0004-0000-0500-000016000000}"/>
    <hyperlink ref="R13" r:id="rId24" xr:uid="{00000000-0004-0000-0500-000017000000}"/>
    <hyperlink ref="Q14" r:id="rId25" xr:uid="{00000000-0004-0000-0500-000018000000}"/>
    <hyperlink ref="R14" r:id="rId26" xr:uid="{00000000-0004-0000-0500-000019000000}"/>
    <hyperlink ref="Q15" r:id="rId27" xr:uid="{00000000-0004-0000-0500-00001A000000}"/>
    <hyperlink ref="R15" r:id="rId28" xr:uid="{00000000-0004-0000-0500-00001B000000}"/>
    <hyperlink ref="Q16" r:id="rId29" xr:uid="{00000000-0004-0000-0500-00001C000000}"/>
    <hyperlink ref="R16" r:id="rId30" xr:uid="{00000000-0004-0000-0500-00001D000000}"/>
    <hyperlink ref="Q17" r:id="rId31" xr:uid="{00000000-0004-0000-0500-00001E000000}"/>
    <hyperlink ref="R17" r:id="rId32" xr:uid="{00000000-0004-0000-0500-00001F000000}"/>
  </hyperlinks>
  <pageMargins left="0.75" right="0.75" top="1" bottom="1" header="0.5" footer="0.5"/>
  <pageSetup fitToHeight="0" orientation="landscape"/>
  <tableParts count="1">
    <tablePart r:id="rId3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5" width="34" customWidth="1"/>
    <col min="6" max="6" width="30" customWidth="1"/>
    <col min="7" max="7" width="12" customWidth="1"/>
    <col min="8" max="8" width="18" customWidth="1"/>
    <col min="9" max="9" width="15" customWidth="1"/>
    <col min="10" max="10" width="22" customWidth="1"/>
    <col min="11" max="11" width="8" customWidth="1"/>
    <col min="12" max="12" width="15" customWidth="1"/>
    <col min="13" max="13" width="26" customWidth="1"/>
    <col min="14" max="14" width="12" customWidth="1"/>
    <col min="15" max="17" width="11" customWidth="1"/>
    <col min="18" max="18" width="46" customWidth="1"/>
    <col min="19" max="19" width="12" customWidth="1"/>
    <col min="20" max="20" width="8" customWidth="1"/>
    <col min="21" max="21" width="10" customWidth="1"/>
  </cols>
  <sheetData>
    <row r="1" spans="1:21" ht="30" customHeight="1" x14ac:dyDescent="0.3">
      <c r="A1" s="11" t="s">
        <v>123</v>
      </c>
      <c r="B1" s="11" t="s">
        <v>124</v>
      </c>
      <c r="C1" s="11" t="s">
        <v>125</v>
      </c>
      <c r="D1" s="11" t="s">
        <v>126</v>
      </c>
      <c r="E1" s="11" t="s">
        <v>4247</v>
      </c>
      <c r="F1" s="11" t="s">
        <v>127</v>
      </c>
      <c r="G1" s="11" t="s">
        <v>128</v>
      </c>
      <c r="H1" s="11" t="s">
        <v>129</v>
      </c>
      <c r="I1" s="11" t="s">
        <v>35</v>
      </c>
      <c r="J1" s="11" t="s">
        <v>24</v>
      </c>
      <c r="K1" s="11" t="s">
        <v>130</v>
      </c>
      <c r="L1" s="11" t="s">
        <v>131</v>
      </c>
      <c r="M1" s="11" t="s">
        <v>4248</v>
      </c>
      <c r="N1" s="11" t="s">
        <v>4249</v>
      </c>
      <c r="O1" s="11" t="s">
        <v>132</v>
      </c>
      <c r="P1" s="11" t="s">
        <v>133</v>
      </c>
      <c r="Q1" s="11" t="s">
        <v>134</v>
      </c>
      <c r="R1" s="11" t="s">
        <v>135</v>
      </c>
      <c r="S1" s="11" t="s">
        <v>136</v>
      </c>
      <c r="T1" s="11" t="s">
        <v>137</v>
      </c>
      <c r="U1" s="11" t="s">
        <v>138</v>
      </c>
    </row>
    <row r="2" spans="1:21" x14ac:dyDescent="0.3">
      <c r="A2" s="12" t="s">
        <v>222</v>
      </c>
      <c r="B2" s="12" t="s">
        <v>18</v>
      </c>
      <c r="C2" s="12"/>
      <c r="D2" s="12" t="s">
        <v>223</v>
      </c>
      <c r="E2" s="12" t="s">
        <v>4250</v>
      </c>
      <c r="F2" s="12" t="s">
        <v>224</v>
      </c>
      <c r="G2" s="12" t="s">
        <v>225</v>
      </c>
      <c r="H2" s="12" t="s">
        <v>175</v>
      </c>
      <c r="I2" s="12" t="s">
        <v>40</v>
      </c>
      <c r="J2" s="12" t="s">
        <v>26</v>
      </c>
      <c r="K2" s="13" t="s">
        <v>183</v>
      </c>
      <c r="L2" s="14" t="s">
        <v>226</v>
      </c>
      <c r="M2" s="18" t="s">
        <v>4251</v>
      </c>
      <c r="N2" s="15" t="s">
        <v>4252</v>
      </c>
      <c r="O2" s="15">
        <v>0</v>
      </c>
      <c r="P2" s="15" t="s">
        <v>144</v>
      </c>
      <c r="Q2" s="16">
        <v>46245</v>
      </c>
      <c r="R2" s="12" t="s">
        <v>227</v>
      </c>
      <c r="S2" s="14" t="s">
        <v>228</v>
      </c>
      <c r="T2" s="17" t="s">
        <v>137</v>
      </c>
      <c r="U2" s="17" t="s">
        <v>146</v>
      </c>
    </row>
    <row r="3" spans="1:21" x14ac:dyDescent="0.3">
      <c r="A3" s="12" t="s">
        <v>612</v>
      </c>
      <c r="B3" s="12" t="s">
        <v>18</v>
      </c>
      <c r="C3" s="12"/>
      <c r="D3" s="12" t="s">
        <v>613</v>
      </c>
      <c r="E3" s="12" t="s">
        <v>4253</v>
      </c>
      <c r="F3" s="12" t="s">
        <v>614</v>
      </c>
      <c r="G3" s="12" t="s">
        <v>615</v>
      </c>
      <c r="H3" s="12" t="s">
        <v>569</v>
      </c>
      <c r="I3" s="12" t="s">
        <v>38</v>
      </c>
      <c r="J3" s="12" t="s">
        <v>26</v>
      </c>
      <c r="K3" s="13" t="s">
        <v>570</v>
      </c>
      <c r="L3" s="14" t="s">
        <v>616</v>
      </c>
      <c r="M3" s="18" t="s">
        <v>4254</v>
      </c>
      <c r="N3" s="15" t="s">
        <v>4252</v>
      </c>
      <c r="O3" s="15">
        <v>4</v>
      </c>
      <c r="P3" s="15" t="s">
        <v>144</v>
      </c>
      <c r="Q3" s="16">
        <v>45490</v>
      </c>
      <c r="R3" s="12" t="s">
        <v>612</v>
      </c>
      <c r="S3" s="14" t="s">
        <v>617</v>
      </c>
      <c r="T3" s="17" t="s">
        <v>137</v>
      </c>
      <c r="U3" s="17" t="s">
        <v>146</v>
      </c>
    </row>
    <row r="4" spans="1:21" x14ac:dyDescent="0.3">
      <c r="A4" s="12" t="s">
        <v>222</v>
      </c>
      <c r="B4" s="12" t="s">
        <v>18</v>
      </c>
      <c r="C4" s="12"/>
      <c r="D4" s="12" t="s">
        <v>613</v>
      </c>
      <c r="E4" s="12" t="s">
        <v>4255</v>
      </c>
      <c r="F4" s="12" t="s">
        <v>653</v>
      </c>
      <c r="G4" s="12"/>
      <c r="H4" s="12" t="s">
        <v>569</v>
      </c>
      <c r="I4" s="12" t="s">
        <v>38</v>
      </c>
      <c r="J4" s="12" t="s">
        <v>26</v>
      </c>
      <c r="K4" s="13" t="s">
        <v>570</v>
      </c>
      <c r="L4" s="14" t="s">
        <v>656</v>
      </c>
      <c r="M4" s="18" t="s">
        <v>4251</v>
      </c>
      <c r="N4" s="15" t="s">
        <v>4252</v>
      </c>
      <c r="O4" s="15">
        <v>1</v>
      </c>
      <c r="P4" s="15" t="s">
        <v>144</v>
      </c>
      <c r="Q4" s="16">
        <v>44132</v>
      </c>
      <c r="R4" s="12" t="s">
        <v>657</v>
      </c>
      <c r="S4" s="14" t="s">
        <v>658</v>
      </c>
      <c r="T4" s="17" t="s">
        <v>137</v>
      </c>
      <c r="U4" s="17" t="s">
        <v>146</v>
      </c>
    </row>
    <row r="5" spans="1:21" x14ac:dyDescent="0.3">
      <c r="A5" s="12" t="s">
        <v>222</v>
      </c>
      <c r="B5" s="12" t="s">
        <v>18</v>
      </c>
      <c r="C5" s="12"/>
      <c r="D5" s="12" t="s">
        <v>967</v>
      </c>
      <c r="E5" s="12" t="s">
        <v>4255</v>
      </c>
      <c r="F5" s="12" t="s">
        <v>968</v>
      </c>
      <c r="G5" s="12" t="s">
        <v>188</v>
      </c>
      <c r="H5" s="12" t="s">
        <v>898</v>
      </c>
      <c r="I5" s="12" t="s">
        <v>36</v>
      </c>
      <c r="J5" s="12" t="s">
        <v>26</v>
      </c>
      <c r="K5" s="13" t="s">
        <v>899</v>
      </c>
      <c r="L5" s="14" t="s">
        <v>656</v>
      </c>
      <c r="M5" s="18" t="s">
        <v>4251</v>
      </c>
      <c r="N5" s="15" t="s">
        <v>4252</v>
      </c>
      <c r="O5" s="15">
        <v>1</v>
      </c>
      <c r="P5" s="15" t="s">
        <v>144</v>
      </c>
      <c r="Q5" s="16">
        <v>45545</v>
      </c>
      <c r="R5" s="12" t="s">
        <v>969</v>
      </c>
      <c r="S5" s="14" t="s">
        <v>970</v>
      </c>
      <c r="T5" s="17" t="s">
        <v>137</v>
      </c>
      <c r="U5" s="17" t="s">
        <v>146</v>
      </c>
    </row>
    <row r="6" spans="1:21" x14ac:dyDescent="0.3">
      <c r="A6" s="12" t="s">
        <v>1101</v>
      </c>
      <c r="B6" s="12" t="s">
        <v>18</v>
      </c>
      <c r="C6" s="12"/>
      <c r="D6" s="12" t="s">
        <v>223</v>
      </c>
      <c r="E6" s="12" t="s">
        <v>4256</v>
      </c>
      <c r="F6" s="12" t="s">
        <v>1092</v>
      </c>
      <c r="G6" s="12" t="s">
        <v>871</v>
      </c>
      <c r="H6" s="12" t="s">
        <v>1058</v>
      </c>
      <c r="I6" s="12" t="s">
        <v>36</v>
      </c>
      <c r="J6" s="12" t="s">
        <v>26</v>
      </c>
      <c r="K6" s="13" t="s">
        <v>1064</v>
      </c>
      <c r="L6" s="14" t="s">
        <v>1102</v>
      </c>
      <c r="M6" s="18" t="s">
        <v>4257</v>
      </c>
      <c r="N6" s="15" t="s">
        <v>4252</v>
      </c>
      <c r="O6" s="15">
        <v>0</v>
      </c>
      <c r="P6" s="15" t="s">
        <v>144</v>
      </c>
      <c r="Q6" s="16">
        <v>44065</v>
      </c>
      <c r="R6" s="12" t="s">
        <v>1103</v>
      </c>
      <c r="S6" s="14" t="s">
        <v>1104</v>
      </c>
      <c r="T6" s="17" t="s">
        <v>137</v>
      </c>
      <c r="U6" s="17" t="s">
        <v>146</v>
      </c>
    </row>
    <row r="7" spans="1:21" x14ac:dyDescent="0.3">
      <c r="A7" s="12" t="s">
        <v>1295</v>
      </c>
      <c r="B7" s="12" t="s">
        <v>18</v>
      </c>
      <c r="C7" s="12"/>
      <c r="D7" s="12" t="s">
        <v>613</v>
      </c>
      <c r="E7" s="12" t="s">
        <v>4258</v>
      </c>
      <c r="F7" s="12" t="s">
        <v>1290</v>
      </c>
      <c r="G7" s="12"/>
      <c r="H7" s="12" t="s">
        <v>1158</v>
      </c>
      <c r="I7" s="12" t="s">
        <v>36</v>
      </c>
      <c r="J7" s="12" t="s">
        <v>26</v>
      </c>
      <c r="K7" s="13" t="s">
        <v>1217</v>
      </c>
      <c r="L7" s="14" t="s">
        <v>1296</v>
      </c>
      <c r="M7" s="18" t="s">
        <v>4259</v>
      </c>
      <c r="N7" s="15" t="s">
        <v>4260</v>
      </c>
      <c r="O7" s="15">
        <v>0</v>
      </c>
      <c r="P7" s="15" t="s">
        <v>144</v>
      </c>
      <c r="Q7" s="16">
        <v>39548</v>
      </c>
      <c r="R7" s="12" t="s">
        <v>1297</v>
      </c>
      <c r="S7" s="14" t="s">
        <v>1298</v>
      </c>
      <c r="T7" s="17" t="s">
        <v>137</v>
      </c>
      <c r="U7" s="17" t="s">
        <v>146</v>
      </c>
    </row>
    <row r="8" spans="1:21" x14ac:dyDescent="0.3">
      <c r="A8" s="12" t="s">
        <v>1327</v>
      </c>
      <c r="B8" s="12" t="s">
        <v>18</v>
      </c>
      <c r="C8" s="12" t="s">
        <v>20</v>
      </c>
      <c r="D8" s="12" t="s">
        <v>1328</v>
      </c>
      <c r="E8" s="12" t="s">
        <v>4261</v>
      </c>
      <c r="F8" s="12" t="s">
        <v>1329</v>
      </c>
      <c r="G8" s="12" t="s">
        <v>1330</v>
      </c>
      <c r="H8" s="12" t="s">
        <v>1316</v>
      </c>
      <c r="I8" s="12" t="s">
        <v>36</v>
      </c>
      <c r="J8" s="12" t="s">
        <v>26</v>
      </c>
      <c r="K8" s="13" t="s">
        <v>1323</v>
      </c>
      <c r="L8" s="14" t="s">
        <v>1331</v>
      </c>
      <c r="M8" s="18" t="s">
        <v>4262</v>
      </c>
      <c r="N8" s="15" t="s">
        <v>4252</v>
      </c>
      <c r="O8" s="15">
        <v>1</v>
      </c>
      <c r="P8" s="15" t="s">
        <v>144</v>
      </c>
      <c r="Q8" s="16">
        <v>44721</v>
      </c>
      <c r="R8" s="12" t="s">
        <v>1327</v>
      </c>
      <c r="S8" s="14" t="s">
        <v>1332</v>
      </c>
      <c r="T8" s="17" t="s">
        <v>137</v>
      </c>
      <c r="U8" s="17" t="s">
        <v>146</v>
      </c>
    </row>
    <row r="9" spans="1:21" x14ac:dyDescent="0.3">
      <c r="A9" s="12" t="s">
        <v>1461</v>
      </c>
      <c r="B9" s="12" t="s">
        <v>18</v>
      </c>
      <c r="C9" s="12"/>
      <c r="D9" s="12" t="s">
        <v>1462</v>
      </c>
      <c r="E9" s="12"/>
      <c r="F9" s="12" t="s">
        <v>1463</v>
      </c>
      <c r="G9" s="12"/>
      <c r="H9" s="12" t="s">
        <v>367</v>
      </c>
      <c r="I9" s="12" t="s">
        <v>36</v>
      </c>
      <c r="J9" s="12" t="s">
        <v>26</v>
      </c>
      <c r="K9" s="13" t="s">
        <v>913</v>
      </c>
      <c r="L9" s="14" t="s">
        <v>1464</v>
      </c>
      <c r="N9" s="15" t="s">
        <v>4263</v>
      </c>
      <c r="O9" s="15">
        <v>0</v>
      </c>
      <c r="P9" s="15" t="s">
        <v>144</v>
      </c>
      <c r="Q9" s="16">
        <v>46106</v>
      </c>
      <c r="R9" s="12" t="s">
        <v>1461</v>
      </c>
      <c r="S9" s="14" t="s">
        <v>1465</v>
      </c>
      <c r="T9" s="17" t="s">
        <v>137</v>
      </c>
      <c r="U9" s="17" t="s">
        <v>146</v>
      </c>
    </row>
    <row r="10" spans="1:21" x14ac:dyDescent="0.3">
      <c r="A10" s="12" t="s">
        <v>1511</v>
      </c>
      <c r="B10" s="12" t="s">
        <v>18</v>
      </c>
      <c r="C10" s="12"/>
      <c r="D10" s="12" t="s">
        <v>967</v>
      </c>
      <c r="E10" s="12" t="s">
        <v>4264</v>
      </c>
      <c r="F10" s="12" t="s">
        <v>1512</v>
      </c>
      <c r="G10" s="12"/>
      <c r="H10" s="12" t="s">
        <v>367</v>
      </c>
      <c r="I10" s="12" t="s">
        <v>36</v>
      </c>
      <c r="J10" s="12" t="s">
        <v>26</v>
      </c>
      <c r="K10" s="13" t="s">
        <v>1442</v>
      </c>
      <c r="L10" s="14" t="s">
        <v>1513</v>
      </c>
      <c r="M10" s="18" t="s">
        <v>4265</v>
      </c>
      <c r="N10" s="15" t="s">
        <v>4252</v>
      </c>
      <c r="O10" s="15">
        <v>2</v>
      </c>
      <c r="P10" s="15" t="s">
        <v>144</v>
      </c>
      <c r="Q10" s="16">
        <v>45639</v>
      </c>
      <c r="R10" s="12" t="s">
        <v>1514</v>
      </c>
      <c r="S10" s="14" t="s">
        <v>1515</v>
      </c>
      <c r="T10" s="17" t="s">
        <v>137</v>
      </c>
      <c r="U10" s="17" t="s">
        <v>146</v>
      </c>
    </row>
    <row r="11" spans="1:21" x14ac:dyDescent="0.3">
      <c r="A11" s="12" t="s">
        <v>1531</v>
      </c>
      <c r="B11" s="12" t="s">
        <v>18</v>
      </c>
      <c r="C11" s="12"/>
      <c r="D11" s="12" t="s">
        <v>223</v>
      </c>
      <c r="E11" s="12" t="s">
        <v>4266</v>
      </c>
      <c r="F11" s="12" t="s">
        <v>1532</v>
      </c>
      <c r="G11" s="12" t="s">
        <v>1533</v>
      </c>
      <c r="H11" s="12" t="s">
        <v>367</v>
      </c>
      <c r="I11" s="12" t="s">
        <v>36</v>
      </c>
      <c r="J11" s="12" t="s">
        <v>26</v>
      </c>
      <c r="K11" s="13" t="s">
        <v>1534</v>
      </c>
      <c r="L11" s="14" t="s">
        <v>1535</v>
      </c>
      <c r="M11" s="18" t="s">
        <v>4267</v>
      </c>
      <c r="N11" s="15" t="s">
        <v>4252</v>
      </c>
      <c r="O11" s="15">
        <v>0</v>
      </c>
      <c r="P11" s="15" t="s">
        <v>144</v>
      </c>
      <c r="Q11" s="16"/>
      <c r="R11" s="12" t="s">
        <v>1531</v>
      </c>
      <c r="S11" s="14"/>
      <c r="T11" s="17" t="s">
        <v>137</v>
      </c>
      <c r="U11" s="15" t="s">
        <v>1536</v>
      </c>
    </row>
    <row r="12" spans="1:21" x14ac:dyDescent="0.3">
      <c r="A12" s="12" t="s">
        <v>222</v>
      </c>
      <c r="B12" s="12" t="s">
        <v>18</v>
      </c>
      <c r="C12" s="12"/>
      <c r="D12" s="12" t="s">
        <v>1622</v>
      </c>
      <c r="E12" s="12" t="s">
        <v>4255</v>
      </c>
      <c r="F12" s="12" t="s">
        <v>1623</v>
      </c>
      <c r="G12" s="12" t="s">
        <v>843</v>
      </c>
      <c r="H12" s="12" t="s">
        <v>367</v>
      </c>
      <c r="I12" s="12" t="s">
        <v>36</v>
      </c>
      <c r="J12" s="12" t="s">
        <v>26</v>
      </c>
      <c r="K12" s="13" t="s">
        <v>1624</v>
      </c>
      <c r="L12" s="14" t="s">
        <v>656</v>
      </c>
      <c r="M12" s="18" t="s">
        <v>4251</v>
      </c>
      <c r="N12" s="15" t="s">
        <v>4252</v>
      </c>
      <c r="O12" s="15">
        <v>1</v>
      </c>
      <c r="P12" s="15" t="s">
        <v>144</v>
      </c>
      <c r="Q12" s="16">
        <v>45545</v>
      </c>
      <c r="R12" s="12" t="s">
        <v>969</v>
      </c>
      <c r="S12" s="14" t="s">
        <v>970</v>
      </c>
      <c r="T12" s="17" t="s">
        <v>137</v>
      </c>
      <c r="U12" s="17" t="s">
        <v>146</v>
      </c>
    </row>
    <row r="13" spans="1:21" x14ac:dyDescent="0.3">
      <c r="A13" s="12" t="s">
        <v>1648</v>
      </c>
      <c r="B13" s="12" t="s">
        <v>18</v>
      </c>
      <c r="C13" s="12"/>
      <c r="D13" s="12" t="s">
        <v>1622</v>
      </c>
      <c r="E13" s="12" t="s">
        <v>4268</v>
      </c>
      <c r="F13" s="12" t="s">
        <v>1643</v>
      </c>
      <c r="G13" s="12" t="s">
        <v>1649</v>
      </c>
      <c r="H13" s="12" t="s">
        <v>367</v>
      </c>
      <c r="I13" s="12" t="s">
        <v>36</v>
      </c>
      <c r="J13" s="12" t="s">
        <v>26</v>
      </c>
      <c r="K13" s="13" t="s">
        <v>1534</v>
      </c>
      <c r="L13" s="14" t="s">
        <v>1650</v>
      </c>
      <c r="M13" s="18" t="s">
        <v>4269</v>
      </c>
      <c r="N13" s="15" t="s">
        <v>4252</v>
      </c>
      <c r="O13" s="15">
        <v>9</v>
      </c>
      <c r="P13" s="15" t="s">
        <v>144</v>
      </c>
      <c r="Q13" s="16">
        <v>45467</v>
      </c>
      <c r="R13" s="12" t="s">
        <v>1646</v>
      </c>
      <c r="S13" s="14" t="s">
        <v>1651</v>
      </c>
      <c r="T13" s="17" t="s">
        <v>137</v>
      </c>
      <c r="U13" s="17" t="s">
        <v>146</v>
      </c>
    </row>
    <row r="14" spans="1:21" x14ac:dyDescent="0.3">
      <c r="A14" s="12" t="s">
        <v>222</v>
      </c>
      <c r="B14" s="12" t="s">
        <v>18</v>
      </c>
      <c r="C14" s="12"/>
      <c r="D14" s="12" t="s">
        <v>223</v>
      </c>
      <c r="E14" s="12" t="s">
        <v>4250</v>
      </c>
      <c r="F14" s="12" t="s">
        <v>1712</v>
      </c>
      <c r="G14" s="12"/>
      <c r="H14" s="12" t="s">
        <v>1661</v>
      </c>
      <c r="I14" s="12" t="s">
        <v>36</v>
      </c>
      <c r="J14" s="12" t="s">
        <v>26</v>
      </c>
      <c r="K14" s="13" t="s">
        <v>1662</v>
      </c>
      <c r="L14" s="14" t="s">
        <v>656</v>
      </c>
      <c r="M14" s="18" t="s">
        <v>4251</v>
      </c>
      <c r="N14" s="15" t="s">
        <v>4252</v>
      </c>
      <c r="O14" s="15">
        <v>0</v>
      </c>
      <c r="P14" s="15" t="s">
        <v>144</v>
      </c>
      <c r="Q14" s="16">
        <v>46245</v>
      </c>
      <c r="R14" s="12" t="s">
        <v>227</v>
      </c>
      <c r="S14" s="14" t="s">
        <v>228</v>
      </c>
      <c r="T14" s="17" t="s">
        <v>137</v>
      </c>
      <c r="U14" s="17" t="s">
        <v>146</v>
      </c>
    </row>
    <row r="15" spans="1:21" x14ac:dyDescent="0.3">
      <c r="A15" s="12" t="s">
        <v>612</v>
      </c>
      <c r="B15" s="12" t="s">
        <v>18</v>
      </c>
      <c r="C15" s="12"/>
      <c r="D15" s="12" t="s">
        <v>613</v>
      </c>
      <c r="E15" s="12" t="s">
        <v>4270</v>
      </c>
      <c r="F15" s="12" t="s">
        <v>1551</v>
      </c>
      <c r="G15" s="12" t="s">
        <v>447</v>
      </c>
      <c r="H15" s="12" t="s">
        <v>1750</v>
      </c>
      <c r="I15" s="12" t="s">
        <v>36</v>
      </c>
      <c r="J15" s="12" t="s">
        <v>26</v>
      </c>
      <c r="K15" s="13" t="s">
        <v>1552</v>
      </c>
      <c r="L15" s="14" t="s">
        <v>1793</v>
      </c>
      <c r="M15" s="18" t="s">
        <v>4254</v>
      </c>
      <c r="N15" s="15" t="s">
        <v>4252</v>
      </c>
      <c r="O15" s="15">
        <v>3</v>
      </c>
      <c r="P15" s="15" t="s">
        <v>144</v>
      </c>
      <c r="Q15" s="16">
        <v>45490</v>
      </c>
      <c r="R15" s="12" t="s">
        <v>612</v>
      </c>
      <c r="S15" s="14" t="s">
        <v>1794</v>
      </c>
      <c r="T15" s="17" t="s">
        <v>137</v>
      </c>
      <c r="U15" s="17" t="s">
        <v>146</v>
      </c>
    </row>
    <row r="16" spans="1:21" x14ac:dyDescent="0.3">
      <c r="A16" s="12" t="s">
        <v>222</v>
      </c>
      <c r="B16" s="12" t="s">
        <v>18</v>
      </c>
      <c r="C16" s="12"/>
      <c r="D16" s="12" t="s">
        <v>2092</v>
      </c>
      <c r="E16" s="12" t="s">
        <v>4271</v>
      </c>
      <c r="F16" s="12" t="s">
        <v>2081</v>
      </c>
      <c r="G16" s="12" t="s">
        <v>447</v>
      </c>
      <c r="H16" s="12" t="s">
        <v>2069</v>
      </c>
      <c r="I16" s="12" t="s">
        <v>37</v>
      </c>
      <c r="J16" s="12" t="s">
        <v>26</v>
      </c>
      <c r="K16" s="13" t="s">
        <v>2070</v>
      </c>
      <c r="L16" s="14" t="s">
        <v>226</v>
      </c>
      <c r="M16" s="18" t="s">
        <v>4251</v>
      </c>
      <c r="N16" s="15" t="s">
        <v>4252</v>
      </c>
      <c r="O16" s="15">
        <v>1</v>
      </c>
      <c r="P16" s="15" t="s">
        <v>144</v>
      </c>
      <c r="Q16" s="16">
        <v>46245</v>
      </c>
      <c r="R16" s="12" t="s">
        <v>227</v>
      </c>
      <c r="S16" s="14" t="s">
        <v>228</v>
      </c>
      <c r="T16" s="17" t="s">
        <v>137</v>
      </c>
      <c r="U16" s="17" t="s">
        <v>146</v>
      </c>
    </row>
    <row r="17" spans="1:21" x14ac:dyDescent="0.3">
      <c r="A17" s="12" t="s">
        <v>2175</v>
      </c>
      <c r="B17" s="12" t="s">
        <v>18</v>
      </c>
      <c r="C17" s="12" t="s">
        <v>20</v>
      </c>
      <c r="D17" s="12" t="s">
        <v>2176</v>
      </c>
      <c r="E17" s="12"/>
      <c r="F17" s="12" t="s">
        <v>2177</v>
      </c>
      <c r="G17" s="12"/>
      <c r="H17" s="12" t="s">
        <v>876</v>
      </c>
      <c r="I17" s="12" t="s">
        <v>37</v>
      </c>
      <c r="J17" s="12" t="s">
        <v>26</v>
      </c>
      <c r="K17" s="13" t="s">
        <v>2178</v>
      </c>
      <c r="L17" s="14" t="s">
        <v>2179</v>
      </c>
      <c r="M17" s="18" t="s">
        <v>4272</v>
      </c>
      <c r="N17" s="15" t="s">
        <v>4252</v>
      </c>
      <c r="O17" s="15">
        <v>0</v>
      </c>
      <c r="P17" s="15" t="s">
        <v>144</v>
      </c>
      <c r="Q17" s="16">
        <v>46248</v>
      </c>
      <c r="R17" s="12" t="s">
        <v>160</v>
      </c>
      <c r="S17" s="14" t="s">
        <v>2180</v>
      </c>
      <c r="T17" s="17" t="s">
        <v>137</v>
      </c>
      <c r="U17" s="17" t="s">
        <v>146</v>
      </c>
    </row>
    <row r="18" spans="1:21" x14ac:dyDescent="0.3">
      <c r="A18" s="12" t="s">
        <v>2209</v>
      </c>
      <c r="B18" s="12" t="s">
        <v>18</v>
      </c>
      <c r="C18" s="12"/>
      <c r="D18" s="12" t="s">
        <v>613</v>
      </c>
      <c r="E18" s="12" t="s">
        <v>4273</v>
      </c>
      <c r="F18" s="12" t="s">
        <v>2193</v>
      </c>
      <c r="G18" s="12" t="s">
        <v>2194</v>
      </c>
      <c r="H18" s="12" t="s">
        <v>876</v>
      </c>
      <c r="I18" s="12" t="s">
        <v>37</v>
      </c>
      <c r="J18" s="12" t="s">
        <v>26</v>
      </c>
      <c r="K18" s="13" t="s">
        <v>2195</v>
      </c>
      <c r="L18" s="14" t="s">
        <v>2210</v>
      </c>
      <c r="M18" s="18" t="s">
        <v>4274</v>
      </c>
      <c r="N18" s="15" t="s">
        <v>4252</v>
      </c>
      <c r="O18" s="15">
        <v>4</v>
      </c>
      <c r="P18" s="15" t="s">
        <v>144</v>
      </c>
      <c r="Q18" s="16">
        <v>41543</v>
      </c>
      <c r="R18" s="12" t="s">
        <v>2211</v>
      </c>
      <c r="S18" s="14" t="s">
        <v>2212</v>
      </c>
      <c r="T18" s="17" t="s">
        <v>137</v>
      </c>
      <c r="U18" s="17" t="s">
        <v>146</v>
      </c>
    </row>
    <row r="19" spans="1:21" x14ac:dyDescent="0.3">
      <c r="A19" s="12" t="s">
        <v>612</v>
      </c>
      <c r="B19" s="12" t="s">
        <v>18</v>
      </c>
      <c r="C19" s="12"/>
      <c r="D19" s="12" t="s">
        <v>613</v>
      </c>
      <c r="E19" s="12" t="s">
        <v>4275</v>
      </c>
      <c r="F19" s="12" t="s">
        <v>2193</v>
      </c>
      <c r="G19" s="12" t="s">
        <v>2213</v>
      </c>
      <c r="H19" s="12" t="s">
        <v>876</v>
      </c>
      <c r="I19" s="12" t="s">
        <v>37</v>
      </c>
      <c r="J19" s="12" t="s">
        <v>26</v>
      </c>
      <c r="K19" s="13" t="s">
        <v>2195</v>
      </c>
      <c r="L19" s="14" t="s">
        <v>2214</v>
      </c>
      <c r="M19" s="18" t="s">
        <v>4254</v>
      </c>
      <c r="N19" s="15" t="s">
        <v>4252</v>
      </c>
      <c r="O19" s="15">
        <v>4</v>
      </c>
      <c r="P19" s="15" t="s">
        <v>144</v>
      </c>
      <c r="Q19" s="16">
        <v>45490</v>
      </c>
      <c r="R19" s="12" t="s">
        <v>612</v>
      </c>
      <c r="S19" s="14" t="s">
        <v>2215</v>
      </c>
      <c r="T19" s="17" t="s">
        <v>137</v>
      </c>
      <c r="U19" s="17" t="s">
        <v>146</v>
      </c>
    </row>
    <row r="20" spans="1:21" x14ac:dyDescent="0.3">
      <c r="A20" s="12" t="s">
        <v>2431</v>
      </c>
      <c r="B20" s="12" t="s">
        <v>18</v>
      </c>
      <c r="C20" s="12"/>
      <c r="D20" s="12" t="s">
        <v>223</v>
      </c>
      <c r="E20" s="12" t="s">
        <v>4276</v>
      </c>
      <c r="F20" s="12" t="s">
        <v>2432</v>
      </c>
      <c r="G20" s="12"/>
      <c r="H20" s="12" t="s">
        <v>2419</v>
      </c>
      <c r="I20" s="12" t="s">
        <v>47</v>
      </c>
      <c r="J20" s="12" t="s">
        <v>26</v>
      </c>
      <c r="K20" s="13" t="s">
        <v>2420</v>
      </c>
      <c r="L20" s="14" t="s">
        <v>2433</v>
      </c>
      <c r="M20" s="18" t="s">
        <v>4277</v>
      </c>
      <c r="N20" s="15" t="s">
        <v>4252</v>
      </c>
      <c r="O20" s="15">
        <v>0</v>
      </c>
      <c r="P20" s="15" t="s">
        <v>144</v>
      </c>
      <c r="Q20" s="16"/>
      <c r="R20" s="12" t="s">
        <v>2431</v>
      </c>
      <c r="S20" s="14"/>
      <c r="T20" s="17" t="s">
        <v>137</v>
      </c>
      <c r="U20" s="15" t="s">
        <v>1536</v>
      </c>
    </row>
    <row r="21" spans="1:21" x14ac:dyDescent="0.3">
      <c r="A21" s="12" t="s">
        <v>222</v>
      </c>
      <c r="B21" s="12" t="s">
        <v>18</v>
      </c>
      <c r="C21" s="12"/>
      <c r="D21" s="12" t="s">
        <v>967</v>
      </c>
      <c r="E21" s="12" t="s">
        <v>4255</v>
      </c>
      <c r="F21" s="12" t="s">
        <v>2446</v>
      </c>
      <c r="G21" s="12"/>
      <c r="H21" s="12" t="s">
        <v>2435</v>
      </c>
      <c r="I21" s="12" t="s">
        <v>47</v>
      </c>
      <c r="J21" s="12" t="s">
        <v>26</v>
      </c>
      <c r="K21" s="13" t="s">
        <v>2436</v>
      </c>
      <c r="L21" s="14" t="s">
        <v>656</v>
      </c>
      <c r="M21" s="18" t="s">
        <v>4251</v>
      </c>
      <c r="N21" s="15" t="s">
        <v>4252</v>
      </c>
      <c r="O21" s="15">
        <v>1</v>
      </c>
      <c r="P21" s="15" t="s">
        <v>144</v>
      </c>
      <c r="Q21" s="16">
        <v>45545</v>
      </c>
      <c r="R21" s="12" t="s">
        <v>969</v>
      </c>
      <c r="S21" s="14" t="s">
        <v>970</v>
      </c>
      <c r="T21" s="17" t="s">
        <v>137</v>
      </c>
      <c r="U21" s="17" t="s">
        <v>146</v>
      </c>
    </row>
    <row r="22" spans="1:21" x14ac:dyDescent="0.3">
      <c r="A22" s="12" t="s">
        <v>2510</v>
      </c>
      <c r="B22" s="12" t="s">
        <v>18</v>
      </c>
      <c r="C22" s="12"/>
      <c r="D22" s="12" t="s">
        <v>223</v>
      </c>
      <c r="E22" s="12"/>
      <c r="F22" s="12" t="s">
        <v>2511</v>
      </c>
      <c r="G22" s="12" t="s">
        <v>516</v>
      </c>
      <c r="H22" s="12" t="s">
        <v>313</v>
      </c>
      <c r="I22" s="12" t="s">
        <v>39</v>
      </c>
      <c r="J22" s="12" t="s">
        <v>26</v>
      </c>
      <c r="K22" s="13" t="s">
        <v>314</v>
      </c>
      <c r="L22" s="14" t="s">
        <v>2512</v>
      </c>
      <c r="M22" s="18" t="s">
        <v>4278</v>
      </c>
      <c r="N22" s="15" t="s">
        <v>4252</v>
      </c>
      <c r="O22" s="15">
        <v>0</v>
      </c>
      <c r="P22" s="15" t="s">
        <v>144</v>
      </c>
      <c r="Q22" s="16">
        <v>45295</v>
      </c>
      <c r="R22" s="12" t="s">
        <v>2513</v>
      </c>
      <c r="S22" s="14" t="s">
        <v>2514</v>
      </c>
      <c r="T22" s="17" t="s">
        <v>137</v>
      </c>
      <c r="U22" s="17" t="s">
        <v>146</v>
      </c>
    </row>
    <row r="23" spans="1:21" x14ac:dyDescent="0.3">
      <c r="A23" s="12" t="s">
        <v>2531</v>
      </c>
      <c r="B23" s="12" t="s">
        <v>18</v>
      </c>
      <c r="C23" s="12"/>
      <c r="D23" s="12" t="s">
        <v>1622</v>
      </c>
      <c r="E23" s="12" t="s">
        <v>4279</v>
      </c>
      <c r="F23" s="12" t="s">
        <v>2526</v>
      </c>
      <c r="G23" s="12" t="s">
        <v>447</v>
      </c>
      <c r="H23" s="12" t="s">
        <v>2527</v>
      </c>
      <c r="I23" s="12" t="s">
        <v>39</v>
      </c>
      <c r="J23" s="12" t="s">
        <v>26</v>
      </c>
      <c r="K23" s="13" t="s">
        <v>2528</v>
      </c>
      <c r="L23" s="14" t="s">
        <v>2532</v>
      </c>
      <c r="M23" s="18" t="s">
        <v>4272</v>
      </c>
      <c r="N23" s="15" t="s">
        <v>4252</v>
      </c>
      <c r="O23" s="15">
        <v>0</v>
      </c>
      <c r="P23" s="15" t="s">
        <v>144</v>
      </c>
      <c r="Q23" s="16">
        <v>46240</v>
      </c>
      <c r="R23" s="12" t="s">
        <v>160</v>
      </c>
      <c r="S23" s="14" t="s">
        <v>2533</v>
      </c>
      <c r="T23" s="17" t="s">
        <v>137</v>
      </c>
      <c r="U23" s="17" t="s">
        <v>146</v>
      </c>
    </row>
    <row r="24" spans="1:21" x14ac:dyDescent="0.3">
      <c r="A24" s="12" t="s">
        <v>2588</v>
      </c>
      <c r="B24" s="12" t="s">
        <v>18</v>
      </c>
      <c r="C24" s="12"/>
      <c r="D24" s="12" t="s">
        <v>223</v>
      </c>
      <c r="E24" s="12" t="s">
        <v>4280</v>
      </c>
      <c r="F24" s="12" t="s">
        <v>2589</v>
      </c>
      <c r="G24" s="12" t="s">
        <v>188</v>
      </c>
      <c r="H24" s="12" t="s">
        <v>2590</v>
      </c>
      <c r="I24" s="12" t="s">
        <v>39</v>
      </c>
      <c r="J24" s="12" t="s">
        <v>26</v>
      </c>
      <c r="K24" s="13" t="s">
        <v>2591</v>
      </c>
      <c r="L24" s="14" t="s">
        <v>2592</v>
      </c>
      <c r="M24" s="18" t="s">
        <v>4281</v>
      </c>
      <c r="N24" s="15" t="s">
        <v>4252</v>
      </c>
      <c r="O24" s="15">
        <v>0</v>
      </c>
      <c r="P24" s="15" t="s">
        <v>144</v>
      </c>
      <c r="Q24" s="16">
        <v>44992</v>
      </c>
      <c r="R24" s="12" t="s">
        <v>2593</v>
      </c>
      <c r="S24" s="14" t="s">
        <v>2594</v>
      </c>
      <c r="T24" s="17" t="s">
        <v>137</v>
      </c>
      <c r="U24" s="17" t="s">
        <v>146</v>
      </c>
    </row>
    <row r="25" spans="1:21" x14ac:dyDescent="0.3">
      <c r="A25" s="12" t="s">
        <v>612</v>
      </c>
      <c r="B25" s="12" t="s">
        <v>18</v>
      </c>
      <c r="C25" s="12"/>
      <c r="D25" s="12" t="s">
        <v>1622</v>
      </c>
      <c r="E25" s="12"/>
      <c r="F25" s="12" t="s">
        <v>2691</v>
      </c>
      <c r="G25" s="12" t="s">
        <v>188</v>
      </c>
      <c r="H25" s="12" t="s">
        <v>2636</v>
      </c>
      <c r="I25" s="12" t="s">
        <v>39</v>
      </c>
      <c r="J25" s="12" t="s">
        <v>26</v>
      </c>
      <c r="K25" s="13" t="s">
        <v>2578</v>
      </c>
      <c r="L25" s="14" t="s">
        <v>2214</v>
      </c>
      <c r="M25" s="18" t="s">
        <v>4254</v>
      </c>
      <c r="N25" s="15" t="s">
        <v>4252</v>
      </c>
      <c r="O25" s="15">
        <v>0</v>
      </c>
      <c r="P25" s="15" t="s">
        <v>144</v>
      </c>
      <c r="Q25" s="16">
        <v>46252</v>
      </c>
      <c r="R25" s="12" t="s">
        <v>612</v>
      </c>
      <c r="S25" s="14" t="s">
        <v>2692</v>
      </c>
      <c r="T25" s="17" t="s">
        <v>137</v>
      </c>
      <c r="U25" s="17" t="s">
        <v>146</v>
      </c>
    </row>
    <row r="26" spans="1:21" x14ac:dyDescent="0.3">
      <c r="A26" s="12" t="s">
        <v>222</v>
      </c>
      <c r="B26" s="12" t="s">
        <v>18</v>
      </c>
      <c r="C26" s="12"/>
      <c r="D26" s="12" t="s">
        <v>223</v>
      </c>
      <c r="E26" s="12" t="s">
        <v>4250</v>
      </c>
      <c r="F26" s="12" t="s">
        <v>2714</v>
      </c>
      <c r="G26" s="12"/>
      <c r="H26" s="12" t="s">
        <v>2636</v>
      </c>
      <c r="I26" s="12" t="s">
        <v>39</v>
      </c>
      <c r="J26" s="12" t="s">
        <v>26</v>
      </c>
      <c r="K26" s="13" t="s">
        <v>2578</v>
      </c>
      <c r="L26" s="14" t="s">
        <v>226</v>
      </c>
      <c r="M26" s="18" t="s">
        <v>4251</v>
      </c>
      <c r="N26" s="15" t="s">
        <v>4252</v>
      </c>
      <c r="O26" s="15">
        <v>0</v>
      </c>
      <c r="P26" s="15" t="s">
        <v>144</v>
      </c>
      <c r="Q26" s="16">
        <v>46245</v>
      </c>
      <c r="R26" s="12" t="s">
        <v>227</v>
      </c>
      <c r="S26" s="14" t="s">
        <v>228</v>
      </c>
      <c r="T26" s="17" t="s">
        <v>137</v>
      </c>
      <c r="U26" s="17" t="s">
        <v>146</v>
      </c>
    </row>
    <row r="27" spans="1:21" x14ac:dyDescent="0.3">
      <c r="A27" s="12" t="s">
        <v>2782</v>
      </c>
      <c r="B27" s="12" t="s">
        <v>18</v>
      </c>
      <c r="C27" s="12"/>
      <c r="D27" s="12" t="s">
        <v>223</v>
      </c>
      <c r="E27" s="12"/>
      <c r="F27" s="12" t="s">
        <v>2783</v>
      </c>
      <c r="G27" s="12" t="s">
        <v>1542</v>
      </c>
      <c r="H27" s="12" t="s">
        <v>2768</v>
      </c>
      <c r="I27" s="12" t="s">
        <v>43</v>
      </c>
      <c r="J27" s="12" t="s">
        <v>26</v>
      </c>
      <c r="K27" s="13" t="s">
        <v>2769</v>
      </c>
      <c r="L27" s="14" t="s">
        <v>2784</v>
      </c>
      <c r="M27" s="18" t="s">
        <v>4282</v>
      </c>
      <c r="N27" s="15" t="s">
        <v>4252</v>
      </c>
      <c r="O27" s="15">
        <v>0</v>
      </c>
      <c r="P27" s="15" t="s">
        <v>144</v>
      </c>
      <c r="Q27" s="16">
        <v>39729</v>
      </c>
      <c r="R27" s="12" t="s">
        <v>2785</v>
      </c>
      <c r="S27" s="14" t="s">
        <v>2786</v>
      </c>
      <c r="T27" s="17" t="s">
        <v>137</v>
      </c>
      <c r="U27" s="17" t="s">
        <v>146</v>
      </c>
    </row>
    <row r="28" spans="1:21" x14ac:dyDescent="0.3">
      <c r="A28" s="12" t="s">
        <v>2835</v>
      </c>
      <c r="B28" s="12" t="s">
        <v>18</v>
      </c>
      <c r="C28" s="12"/>
      <c r="D28" s="12" t="s">
        <v>223</v>
      </c>
      <c r="E28" s="12" t="s">
        <v>4283</v>
      </c>
      <c r="F28" s="12" t="s">
        <v>2836</v>
      </c>
      <c r="G28" s="12" t="s">
        <v>467</v>
      </c>
      <c r="H28" s="12" t="s">
        <v>2837</v>
      </c>
      <c r="I28" s="12" t="s">
        <v>43</v>
      </c>
      <c r="J28" s="12" t="s">
        <v>26</v>
      </c>
      <c r="K28" s="13" t="s">
        <v>2464</v>
      </c>
      <c r="L28" s="14" t="s">
        <v>2838</v>
      </c>
      <c r="M28" s="18" t="s">
        <v>4284</v>
      </c>
      <c r="N28" s="15" t="s">
        <v>4252</v>
      </c>
      <c r="O28" s="15">
        <v>0</v>
      </c>
      <c r="P28" s="15" t="s">
        <v>144</v>
      </c>
      <c r="Q28" s="16">
        <v>45483</v>
      </c>
      <c r="R28" s="12" t="s">
        <v>2839</v>
      </c>
      <c r="S28" s="14" t="s">
        <v>2840</v>
      </c>
      <c r="T28" s="17" t="s">
        <v>137</v>
      </c>
      <c r="U28" s="17" t="s">
        <v>146</v>
      </c>
    </row>
    <row r="29" spans="1:21" x14ac:dyDescent="0.3">
      <c r="A29" s="12" t="s">
        <v>3007</v>
      </c>
      <c r="B29" s="12" t="s">
        <v>18</v>
      </c>
      <c r="C29" s="12"/>
      <c r="D29" s="12" t="s">
        <v>1622</v>
      </c>
      <c r="E29" s="12" t="s">
        <v>4285</v>
      </c>
      <c r="F29" s="12" t="s">
        <v>3008</v>
      </c>
      <c r="G29" s="12"/>
      <c r="H29" s="12" t="s">
        <v>2973</v>
      </c>
      <c r="I29" s="12" t="s">
        <v>44</v>
      </c>
      <c r="J29" s="12" t="s">
        <v>27</v>
      </c>
      <c r="K29" s="13" t="s">
        <v>2974</v>
      </c>
      <c r="L29" s="14" t="s">
        <v>3009</v>
      </c>
      <c r="M29" s="18" t="s">
        <v>4254</v>
      </c>
      <c r="N29" s="15" t="s">
        <v>4252</v>
      </c>
      <c r="O29" s="15">
        <v>1</v>
      </c>
      <c r="P29" s="15" t="s">
        <v>144</v>
      </c>
      <c r="Q29" s="16">
        <v>45490</v>
      </c>
      <c r="R29" s="12" t="s">
        <v>612</v>
      </c>
      <c r="S29" s="14" t="s">
        <v>3010</v>
      </c>
      <c r="T29" s="17" t="s">
        <v>137</v>
      </c>
      <c r="U29" s="17" t="s">
        <v>146</v>
      </c>
    </row>
    <row r="30" spans="1:21" x14ac:dyDescent="0.3">
      <c r="A30" s="12" t="s">
        <v>3602</v>
      </c>
      <c r="B30" s="12" t="s">
        <v>18</v>
      </c>
      <c r="C30" s="12"/>
      <c r="D30" s="12" t="s">
        <v>223</v>
      </c>
      <c r="E30" s="12" t="s">
        <v>4286</v>
      </c>
      <c r="F30" s="12" t="s">
        <v>3603</v>
      </c>
      <c r="G30" s="12"/>
      <c r="H30" s="12" t="s">
        <v>3586</v>
      </c>
      <c r="I30" s="12" t="s">
        <v>48</v>
      </c>
      <c r="J30" s="12" t="s">
        <v>30</v>
      </c>
      <c r="K30" s="13" t="s">
        <v>3587</v>
      </c>
      <c r="L30" s="14" t="s">
        <v>3604</v>
      </c>
      <c r="N30" s="15" t="s">
        <v>4260</v>
      </c>
      <c r="O30" s="15">
        <v>0</v>
      </c>
      <c r="P30" s="15" t="s">
        <v>144</v>
      </c>
      <c r="Q30" s="16">
        <v>45257</v>
      </c>
      <c r="R30" s="12" t="s">
        <v>3605</v>
      </c>
      <c r="S30" s="14" t="s">
        <v>3606</v>
      </c>
      <c r="T30" s="17" t="s">
        <v>137</v>
      </c>
      <c r="U30" s="17" t="s">
        <v>146</v>
      </c>
    </row>
    <row r="31" spans="1:21" x14ac:dyDescent="0.3">
      <c r="A31" s="12" t="s">
        <v>3659</v>
      </c>
      <c r="B31" s="12" t="s">
        <v>18</v>
      </c>
      <c r="C31" s="12"/>
      <c r="D31" s="12" t="s">
        <v>223</v>
      </c>
      <c r="E31" s="12" t="s">
        <v>4287</v>
      </c>
      <c r="F31" s="12" t="s">
        <v>3660</v>
      </c>
      <c r="G31" s="12"/>
      <c r="H31" s="12" t="s">
        <v>3649</v>
      </c>
      <c r="I31" s="12" t="s">
        <v>50</v>
      </c>
      <c r="J31" s="12" t="s">
        <v>31</v>
      </c>
      <c r="K31" s="13" t="s">
        <v>3650</v>
      </c>
      <c r="L31" s="14" t="s">
        <v>3661</v>
      </c>
      <c r="M31" s="18" t="s">
        <v>4288</v>
      </c>
      <c r="N31" s="15" t="s">
        <v>4252</v>
      </c>
      <c r="O31" s="15">
        <v>0</v>
      </c>
      <c r="P31" s="15" t="s">
        <v>144</v>
      </c>
      <c r="Q31" s="16">
        <v>44916</v>
      </c>
      <c r="R31" s="12" t="s">
        <v>3662</v>
      </c>
      <c r="S31" s="14" t="s">
        <v>3663</v>
      </c>
      <c r="T31" s="17" t="s">
        <v>137</v>
      </c>
      <c r="U31" s="17" t="s">
        <v>146</v>
      </c>
    </row>
    <row r="32" spans="1:21" x14ac:dyDescent="0.3">
      <c r="A32" s="12" t="s">
        <v>3958</v>
      </c>
      <c r="B32" s="12" t="s">
        <v>18</v>
      </c>
      <c r="C32" s="12"/>
      <c r="D32" s="12" t="s">
        <v>223</v>
      </c>
      <c r="E32" s="12" t="s">
        <v>4289</v>
      </c>
      <c r="F32" s="12" t="s">
        <v>3959</v>
      </c>
      <c r="G32" s="12"/>
      <c r="H32" s="12" t="s">
        <v>3922</v>
      </c>
      <c r="I32" s="12" t="s">
        <v>42</v>
      </c>
      <c r="J32" s="12" t="s">
        <v>32</v>
      </c>
      <c r="K32" s="13" t="s">
        <v>3925</v>
      </c>
      <c r="L32" s="14" t="s">
        <v>3960</v>
      </c>
      <c r="M32" s="18" t="s">
        <v>4290</v>
      </c>
      <c r="N32" s="15" t="s">
        <v>4252</v>
      </c>
      <c r="O32" s="15">
        <v>0</v>
      </c>
      <c r="P32" s="15" t="s">
        <v>144</v>
      </c>
      <c r="Q32" s="16">
        <v>45821</v>
      </c>
      <c r="R32" s="12" t="s">
        <v>3961</v>
      </c>
      <c r="S32" s="14" t="s">
        <v>3962</v>
      </c>
      <c r="T32" s="17" t="s">
        <v>137</v>
      </c>
      <c r="U32" s="17" t="s">
        <v>146</v>
      </c>
    </row>
    <row r="33" spans="1:21" x14ac:dyDescent="0.3">
      <c r="A33" s="12" t="s">
        <v>3973</v>
      </c>
      <c r="B33" s="12" t="s">
        <v>18</v>
      </c>
      <c r="C33" s="12"/>
      <c r="D33" s="12" t="s">
        <v>967</v>
      </c>
      <c r="E33" s="12" t="s">
        <v>4291</v>
      </c>
      <c r="F33" s="12" t="s">
        <v>3974</v>
      </c>
      <c r="G33" s="12"/>
      <c r="H33" s="12" t="s">
        <v>3922</v>
      </c>
      <c r="I33" s="12" t="s">
        <v>42</v>
      </c>
      <c r="J33" s="12" t="s">
        <v>32</v>
      </c>
      <c r="K33" s="13" t="s">
        <v>3975</v>
      </c>
      <c r="L33" s="14" t="s">
        <v>3976</v>
      </c>
      <c r="M33" s="18" t="s">
        <v>4292</v>
      </c>
      <c r="N33" s="15" t="s">
        <v>4252</v>
      </c>
      <c r="O33" s="15">
        <v>1</v>
      </c>
      <c r="P33" s="15" t="s">
        <v>220</v>
      </c>
      <c r="Q33" s="16">
        <v>45383</v>
      </c>
      <c r="R33" s="12" t="s">
        <v>3977</v>
      </c>
      <c r="S33" s="14" t="s">
        <v>3978</v>
      </c>
      <c r="T33" s="17" t="s">
        <v>137</v>
      </c>
      <c r="U33" s="17" t="s">
        <v>146</v>
      </c>
    </row>
    <row r="34" spans="1:21" x14ac:dyDescent="0.3">
      <c r="A34" s="12" t="s">
        <v>4002</v>
      </c>
      <c r="B34" s="12" t="s">
        <v>18</v>
      </c>
      <c r="C34" s="12"/>
      <c r="D34" s="12" t="s">
        <v>223</v>
      </c>
      <c r="E34" s="12" t="s">
        <v>4293</v>
      </c>
      <c r="F34" s="12" t="s">
        <v>4003</v>
      </c>
      <c r="G34" s="12"/>
      <c r="H34" s="12" t="s">
        <v>3922</v>
      </c>
      <c r="I34" s="12" t="s">
        <v>42</v>
      </c>
      <c r="J34" s="12" t="s">
        <v>32</v>
      </c>
      <c r="K34" s="13" t="s">
        <v>3965</v>
      </c>
      <c r="L34" s="14" t="s">
        <v>4004</v>
      </c>
      <c r="M34" s="18" t="s">
        <v>4294</v>
      </c>
      <c r="N34" s="15" t="s">
        <v>4252</v>
      </c>
      <c r="O34" s="15">
        <v>0</v>
      </c>
      <c r="P34" s="15" t="s">
        <v>144</v>
      </c>
      <c r="Q34" s="16">
        <v>45965</v>
      </c>
      <c r="R34" s="12" t="s">
        <v>4005</v>
      </c>
      <c r="S34" s="14" t="s">
        <v>4006</v>
      </c>
      <c r="T34" s="17" t="s">
        <v>137</v>
      </c>
      <c r="U34" s="17" t="s">
        <v>146</v>
      </c>
    </row>
  </sheetData>
  <conditionalFormatting sqref="N2:N34">
    <cfRule type="expression" dxfId="6" priority="2">
      <formula>$N2="Confirmed"</formula>
    </cfRule>
    <cfRule type="expression" dxfId="5" priority="3">
      <formula>$N2="New address"</formula>
    </cfRule>
  </conditionalFormatting>
  <conditionalFormatting sqref="P2:P34">
    <cfRule type="expression" dxfId="4" priority="1">
      <formula>$P2="Yes"</formula>
    </cfRule>
  </conditionalFormatting>
  <hyperlinks>
    <hyperlink ref="M2" r:id="rId1" xr:uid="{00000000-0004-0000-0600-000000000000}"/>
    <hyperlink ref="T2" r:id="rId2" xr:uid="{00000000-0004-0000-0600-000001000000}"/>
    <hyperlink ref="U2" r:id="rId3" xr:uid="{00000000-0004-0000-0600-000002000000}"/>
    <hyperlink ref="M3" r:id="rId4" xr:uid="{00000000-0004-0000-0600-000003000000}"/>
    <hyperlink ref="T3" r:id="rId5" xr:uid="{00000000-0004-0000-0600-000004000000}"/>
    <hyperlink ref="U3" r:id="rId6" xr:uid="{00000000-0004-0000-0600-000005000000}"/>
    <hyperlink ref="M4" r:id="rId7" xr:uid="{00000000-0004-0000-0600-000006000000}"/>
    <hyperlink ref="T4" r:id="rId8" xr:uid="{00000000-0004-0000-0600-000007000000}"/>
    <hyperlink ref="U4" r:id="rId9" xr:uid="{00000000-0004-0000-0600-000008000000}"/>
    <hyperlink ref="M5" r:id="rId10" xr:uid="{00000000-0004-0000-0600-000009000000}"/>
    <hyperlink ref="T5" r:id="rId11" xr:uid="{00000000-0004-0000-0600-00000A000000}"/>
    <hyperlink ref="U5" r:id="rId12" xr:uid="{00000000-0004-0000-0600-00000B000000}"/>
    <hyperlink ref="M6" r:id="rId13" xr:uid="{00000000-0004-0000-0600-00000C000000}"/>
    <hyperlink ref="T6" r:id="rId14" xr:uid="{00000000-0004-0000-0600-00000D000000}"/>
    <hyperlink ref="U6" r:id="rId15" xr:uid="{00000000-0004-0000-0600-00000E000000}"/>
    <hyperlink ref="M7" r:id="rId16" xr:uid="{00000000-0004-0000-0600-00000F000000}"/>
    <hyperlink ref="T7" r:id="rId17" xr:uid="{00000000-0004-0000-0600-000010000000}"/>
    <hyperlink ref="U7" r:id="rId18" xr:uid="{00000000-0004-0000-0600-000011000000}"/>
    <hyperlink ref="M8" r:id="rId19" xr:uid="{00000000-0004-0000-0600-000012000000}"/>
    <hyperlink ref="T8" r:id="rId20" xr:uid="{00000000-0004-0000-0600-000013000000}"/>
    <hyperlink ref="U8" r:id="rId21" xr:uid="{00000000-0004-0000-0600-000014000000}"/>
    <hyperlink ref="T9" r:id="rId22" xr:uid="{00000000-0004-0000-0600-000015000000}"/>
    <hyperlink ref="U9" r:id="rId23" xr:uid="{00000000-0004-0000-0600-000016000000}"/>
    <hyperlink ref="M10" r:id="rId24" xr:uid="{00000000-0004-0000-0600-000017000000}"/>
    <hyperlink ref="T10" r:id="rId25" xr:uid="{00000000-0004-0000-0600-000018000000}"/>
    <hyperlink ref="U10" r:id="rId26" xr:uid="{00000000-0004-0000-0600-000019000000}"/>
    <hyperlink ref="M11" r:id="rId27" xr:uid="{00000000-0004-0000-0600-00001A000000}"/>
    <hyperlink ref="T11" r:id="rId28" xr:uid="{00000000-0004-0000-0600-00001B000000}"/>
    <hyperlink ref="M12" r:id="rId29" xr:uid="{00000000-0004-0000-0600-00001C000000}"/>
    <hyperlink ref="T12" r:id="rId30" xr:uid="{00000000-0004-0000-0600-00001D000000}"/>
    <hyperlink ref="U12" r:id="rId31" xr:uid="{00000000-0004-0000-0600-00001E000000}"/>
    <hyperlink ref="M13" r:id="rId32" xr:uid="{00000000-0004-0000-0600-00001F000000}"/>
    <hyperlink ref="T13" r:id="rId33" xr:uid="{00000000-0004-0000-0600-000020000000}"/>
    <hyperlink ref="U13" r:id="rId34" xr:uid="{00000000-0004-0000-0600-000021000000}"/>
    <hyperlink ref="M14" r:id="rId35" xr:uid="{00000000-0004-0000-0600-000022000000}"/>
    <hyperlink ref="T14" r:id="rId36" xr:uid="{00000000-0004-0000-0600-000023000000}"/>
    <hyperlink ref="U14" r:id="rId37" xr:uid="{00000000-0004-0000-0600-000024000000}"/>
    <hyperlink ref="M15" r:id="rId38" xr:uid="{00000000-0004-0000-0600-000025000000}"/>
    <hyperlink ref="T15" r:id="rId39" xr:uid="{00000000-0004-0000-0600-000026000000}"/>
    <hyperlink ref="U15" r:id="rId40" xr:uid="{00000000-0004-0000-0600-000027000000}"/>
    <hyperlink ref="M16" r:id="rId41" xr:uid="{00000000-0004-0000-0600-000028000000}"/>
    <hyperlink ref="T16" r:id="rId42" xr:uid="{00000000-0004-0000-0600-000029000000}"/>
    <hyperlink ref="U16" r:id="rId43" xr:uid="{00000000-0004-0000-0600-00002A000000}"/>
    <hyperlink ref="M17" r:id="rId44" xr:uid="{00000000-0004-0000-0600-00002B000000}"/>
    <hyperlink ref="T17" r:id="rId45" xr:uid="{00000000-0004-0000-0600-00002C000000}"/>
    <hyperlink ref="U17" r:id="rId46" xr:uid="{00000000-0004-0000-0600-00002D000000}"/>
    <hyperlink ref="M18" r:id="rId47" xr:uid="{00000000-0004-0000-0600-00002E000000}"/>
    <hyperlink ref="T18" r:id="rId48" xr:uid="{00000000-0004-0000-0600-00002F000000}"/>
    <hyperlink ref="U18" r:id="rId49" xr:uid="{00000000-0004-0000-0600-000030000000}"/>
    <hyperlink ref="M19" r:id="rId50" xr:uid="{00000000-0004-0000-0600-000031000000}"/>
    <hyperlink ref="T19" r:id="rId51" xr:uid="{00000000-0004-0000-0600-000032000000}"/>
    <hyperlink ref="U19" r:id="rId52" xr:uid="{00000000-0004-0000-0600-000033000000}"/>
    <hyperlink ref="M20" r:id="rId53" xr:uid="{00000000-0004-0000-0600-000034000000}"/>
    <hyperlink ref="T20" r:id="rId54" xr:uid="{00000000-0004-0000-0600-000035000000}"/>
    <hyperlink ref="M21" r:id="rId55" xr:uid="{00000000-0004-0000-0600-000036000000}"/>
    <hyperlink ref="T21" r:id="rId56" xr:uid="{00000000-0004-0000-0600-000037000000}"/>
    <hyperlink ref="U21" r:id="rId57" xr:uid="{00000000-0004-0000-0600-000038000000}"/>
    <hyperlink ref="M22" r:id="rId58" xr:uid="{00000000-0004-0000-0600-000039000000}"/>
    <hyperlink ref="T22" r:id="rId59" xr:uid="{00000000-0004-0000-0600-00003A000000}"/>
    <hyperlink ref="U22" r:id="rId60" xr:uid="{00000000-0004-0000-0600-00003B000000}"/>
    <hyperlink ref="M23" r:id="rId61" xr:uid="{00000000-0004-0000-0600-00003C000000}"/>
    <hyperlink ref="T23" r:id="rId62" xr:uid="{00000000-0004-0000-0600-00003D000000}"/>
    <hyperlink ref="U23" r:id="rId63" xr:uid="{00000000-0004-0000-0600-00003E000000}"/>
    <hyperlink ref="M24" r:id="rId64" xr:uid="{00000000-0004-0000-0600-00003F000000}"/>
    <hyperlink ref="T24" r:id="rId65" xr:uid="{00000000-0004-0000-0600-000040000000}"/>
    <hyperlink ref="U24" r:id="rId66" xr:uid="{00000000-0004-0000-0600-000041000000}"/>
    <hyperlink ref="M25" r:id="rId67" xr:uid="{00000000-0004-0000-0600-000042000000}"/>
    <hyperlink ref="T25" r:id="rId68" xr:uid="{00000000-0004-0000-0600-000043000000}"/>
    <hyperlink ref="U25" r:id="rId69" xr:uid="{00000000-0004-0000-0600-000044000000}"/>
    <hyperlink ref="M26" r:id="rId70" xr:uid="{00000000-0004-0000-0600-000045000000}"/>
    <hyperlink ref="T26" r:id="rId71" xr:uid="{00000000-0004-0000-0600-000046000000}"/>
    <hyperlink ref="U26" r:id="rId72" xr:uid="{00000000-0004-0000-0600-000047000000}"/>
    <hyperlink ref="M27" r:id="rId73" xr:uid="{00000000-0004-0000-0600-000048000000}"/>
    <hyperlink ref="T27" r:id="rId74" xr:uid="{00000000-0004-0000-0600-000049000000}"/>
    <hyperlink ref="U27" r:id="rId75" xr:uid="{00000000-0004-0000-0600-00004A000000}"/>
    <hyperlink ref="M28" r:id="rId76" xr:uid="{00000000-0004-0000-0600-00004B000000}"/>
    <hyperlink ref="T28" r:id="rId77" xr:uid="{00000000-0004-0000-0600-00004C000000}"/>
    <hyperlink ref="U28" r:id="rId78" xr:uid="{00000000-0004-0000-0600-00004D000000}"/>
    <hyperlink ref="M29" r:id="rId79" xr:uid="{00000000-0004-0000-0600-00004E000000}"/>
    <hyperlink ref="T29" r:id="rId80" xr:uid="{00000000-0004-0000-0600-00004F000000}"/>
    <hyperlink ref="U29" r:id="rId81" xr:uid="{00000000-0004-0000-0600-000050000000}"/>
    <hyperlink ref="T30" r:id="rId82" xr:uid="{00000000-0004-0000-0600-000051000000}"/>
    <hyperlink ref="U30" r:id="rId83" xr:uid="{00000000-0004-0000-0600-000052000000}"/>
    <hyperlink ref="M31" r:id="rId84" xr:uid="{00000000-0004-0000-0600-000053000000}"/>
    <hyperlink ref="T31" r:id="rId85" xr:uid="{00000000-0004-0000-0600-000054000000}"/>
    <hyperlink ref="U31" r:id="rId86" xr:uid="{00000000-0004-0000-0600-000055000000}"/>
    <hyperlink ref="M32" r:id="rId87" xr:uid="{00000000-0004-0000-0600-000056000000}"/>
    <hyperlink ref="T32" r:id="rId88" xr:uid="{00000000-0004-0000-0600-000057000000}"/>
    <hyperlink ref="U32" r:id="rId89" xr:uid="{00000000-0004-0000-0600-000058000000}"/>
    <hyperlink ref="M33" r:id="rId90" xr:uid="{00000000-0004-0000-0600-000059000000}"/>
    <hyperlink ref="T33" r:id="rId91" xr:uid="{00000000-0004-0000-0600-00005A000000}"/>
    <hyperlink ref="U33" r:id="rId92" xr:uid="{00000000-0004-0000-0600-00005B000000}"/>
    <hyperlink ref="M34" r:id="rId93" xr:uid="{00000000-0004-0000-0600-00005C000000}"/>
    <hyperlink ref="T34" r:id="rId94" xr:uid="{00000000-0004-0000-0600-00005D000000}"/>
    <hyperlink ref="U34" r:id="rId95" xr:uid="{00000000-0004-0000-0600-00005E000000}"/>
  </hyperlinks>
  <pageMargins left="0.75" right="0.75" top="1" bottom="1" header="0.5" footer="0.5"/>
  <pageSetup fitToHeight="0" orientation="landscape"/>
  <tableParts count="1">
    <tablePart r:id="rId9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V68"/>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5" width="34" customWidth="1"/>
    <col min="6" max="6" width="30" customWidth="1"/>
    <col min="7" max="7" width="12" customWidth="1"/>
    <col min="8" max="8" width="18" customWidth="1"/>
    <col min="9" max="9" width="15" customWidth="1"/>
    <col min="10" max="10" width="22" customWidth="1"/>
    <col min="11" max="11" width="8" customWidth="1"/>
    <col min="12" max="12" width="15" customWidth="1"/>
    <col min="13" max="13" width="26" customWidth="1"/>
    <col min="14" max="14" width="12" customWidth="1"/>
    <col min="15" max="15" width="9" customWidth="1"/>
    <col min="16" max="18" width="11" customWidth="1"/>
    <col min="19" max="19" width="46" customWidth="1"/>
    <col min="20" max="20" width="12" customWidth="1"/>
    <col min="21" max="21" width="8" customWidth="1"/>
    <col min="22" max="22" width="10" customWidth="1"/>
  </cols>
  <sheetData>
    <row r="1" spans="1:22" ht="30" customHeight="1" x14ac:dyDescent="0.3">
      <c r="A1" s="11" t="s">
        <v>123</v>
      </c>
      <c r="B1" s="11" t="s">
        <v>124</v>
      </c>
      <c r="C1" s="11" t="s">
        <v>125</v>
      </c>
      <c r="D1" s="11" t="s">
        <v>126</v>
      </c>
      <c r="E1" s="11" t="s">
        <v>4295</v>
      </c>
      <c r="F1" s="11" t="s">
        <v>127</v>
      </c>
      <c r="G1" s="11" t="s">
        <v>128</v>
      </c>
      <c r="H1" s="11" t="s">
        <v>129</v>
      </c>
      <c r="I1" s="11" t="s">
        <v>35</v>
      </c>
      <c r="J1" s="11" t="s">
        <v>24</v>
      </c>
      <c r="K1" s="11" t="s">
        <v>130</v>
      </c>
      <c r="L1" s="11" t="s">
        <v>131</v>
      </c>
      <c r="M1" s="11" t="s">
        <v>4248</v>
      </c>
      <c r="N1" s="11" t="s">
        <v>4249</v>
      </c>
      <c r="O1" s="11" t="s">
        <v>4296</v>
      </c>
      <c r="P1" s="11" t="s">
        <v>132</v>
      </c>
      <c r="Q1" s="11" t="s">
        <v>133</v>
      </c>
      <c r="R1" s="11" t="s">
        <v>134</v>
      </c>
      <c r="S1" s="11" t="s">
        <v>135</v>
      </c>
      <c r="T1" s="11" t="s">
        <v>136</v>
      </c>
      <c r="U1" s="11" t="s">
        <v>137</v>
      </c>
      <c r="V1" s="11" t="s">
        <v>138</v>
      </c>
    </row>
    <row r="2" spans="1:22" x14ac:dyDescent="0.3">
      <c r="A2" s="12" t="s">
        <v>192</v>
      </c>
      <c r="B2" s="12" t="s">
        <v>20</v>
      </c>
      <c r="C2" s="12"/>
      <c r="D2" s="12" t="s">
        <v>193</v>
      </c>
      <c r="E2" s="12"/>
      <c r="F2" s="12" t="s">
        <v>194</v>
      </c>
      <c r="G2" s="12" t="s">
        <v>195</v>
      </c>
      <c r="H2" s="12" t="s">
        <v>175</v>
      </c>
      <c r="I2" s="12" t="s">
        <v>40</v>
      </c>
      <c r="J2" s="12" t="s">
        <v>26</v>
      </c>
      <c r="K2" s="13" t="s">
        <v>176</v>
      </c>
      <c r="L2" s="14" t="s">
        <v>196</v>
      </c>
      <c r="N2" s="15" t="s">
        <v>4252</v>
      </c>
      <c r="O2" s="15"/>
      <c r="P2" s="15">
        <v>0</v>
      </c>
      <c r="Q2" s="15" t="s">
        <v>144</v>
      </c>
      <c r="R2" s="16">
        <v>44642</v>
      </c>
      <c r="S2" s="12" t="s">
        <v>197</v>
      </c>
      <c r="T2" s="14" t="s">
        <v>198</v>
      </c>
      <c r="U2" s="17" t="s">
        <v>137</v>
      </c>
      <c r="V2" s="17" t="s">
        <v>146</v>
      </c>
    </row>
    <row r="3" spans="1:22" x14ac:dyDescent="0.3">
      <c r="A3" s="12" t="s">
        <v>205</v>
      </c>
      <c r="B3" s="12" t="s">
        <v>20</v>
      </c>
      <c r="C3" s="12"/>
      <c r="D3" s="12" t="s">
        <v>193</v>
      </c>
      <c r="E3" s="12"/>
      <c r="F3" s="12" t="s">
        <v>206</v>
      </c>
      <c r="G3" s="12" t="s">
        <v>207</v>
      </c>
      <c r="H3" s="12" t="s">
        <v>175</v>
      </c>
      <c r="I3" s="12" t="s">
        <v>40</v>
      </c>
      <c r="J3" s="12" t="s">
        <v>26</v>
      </c>
      <c r="K3" s="13" t="s">
        <v>176</v>
      </c>
      <c r="L3" s="14" t="s">
        <v>208</v>
      </c>
      <c r="M3" s="18" t="s">
        <v>4297</v>
      </c>
      <c r="N3" s="15" t="s">
        <v>4260</v>
      </c>
      <c r="O3" s="15" t="s">
        <v>220</v>
      </c>
      <c r="P3" s="15">
        <v>0</v>
      </c>
      <c r="Q3" s="15" t="s">
        <v>144</v>
      </c>
      <c r="R3" s="16">
        <v>41849</v>
      </c>
      <c r="S3" s="12" t="s">
        <v>209</v>
      </c>
      <c r="T3" s="14" t="s">
        <v>210</v>
      </c>
      <c r="U3" s="17" t="s">
        <v>137</v>
      </c>
      <c r="V3" s="17" t="s">
        <v>146</v>
      </c>
    </row>
    <row r="4" spans="1:22" x14ac:dyDescent="0.3">
      <c r="A4" s="12" t="s">
        <v>238</v>
      </c>
      <c r="B4" s="12" t="s">
        <v>20</v>
      </c>
      <c r="C4" s="12"/>
      <c r="D4" s="12" t="s">
        <v>193</v>
      </c>
      <c r="E4" s="12"/>
      <c r="F4" s="12" t="s">
        <v>239</v>
      </c>
      <c r="G4" s="12"/>
      <c r="H4" s="12" t="s">
        <v>233</v>
      </c>
      <c r="I4" s="12" t="s">
        <v>40</v>
      </c>
      <c r="J4" s="12" t="s">
        <v>26</v>
      </c>
      <c r="K4" s="13" t="s">
        <v>234</v>
      </c>
      <c r="L4" s="14" t="s">
        <v>240</v>
      </c>
      <c r="M4" s="18" t="s">
        <v>4298</v>
      </c>
      <c r="N4" s="15" t="s">
        <v>4252</v>
      </c>
      <c r="O4" s="15" t="s">
        <v>220</v>
      </c>
      <c r="P4" s="15">
        <v>1</v>
      </c>
      <c r="Q4" s="15" t="s">
        <v>144</v>
      </c>
      <c r="R4" s="16">
        <v>45441</v>
      </c>
      <c r="S4" s="12" t="s">
        <v>241</v>
      </c>
      <c r="T4" s="14" t="s">
        <v>242</v>
      </c>
      <c r="U4" s="17" t="s">
        <v>137</v>
      </c>
      <c r="V4" s="17" t="s">
        <v>146</v>
      </c>
    </row>
    <row r="5" spans="1:22" x14ac:dyDescent="0.3">
      <c r="A5" s="12" t="s">
        <v>272</v>
      </c>
      <c r="B5" s="12" t="s">
        <v>20</v>
      </c>
      <c r="C5" s="12"/>
      <c r="D5" s="12" t="s">
        <v>193</v>
      </c>
      <c r="E5" s="12"/>
      <c r="F5" s="12" t="s">
        <v>273</v>
      </c>
      <c r="G5" s="12"/>
      <c r="H5" s="12" t="s">
        <v>233</v>
      </c>
      <c r="I5" s="12" t="s">
        <v>40</v>
      </c>
      <c r="J5" s="12" t="s">
        <v>26</v>
      </c>
      <c r="K5" s="13" t="s">
        <v>234</v>
      </c>
      <c r="L5" s="14" t="s">
        <v>274</v>
      </c>
      <c r="M5" s="18" t="s">
        <v>4299</v>
      </c>
      <c r="N5" s="15" t="s">
        <v>4252</v>
      </c>
      <c r="O5" s="15"/>
      <c r="P5" s="15">
        <v>1</v>
      </c>
      <c r="Q5" s="15" t="s">
        <v>144</v>
      </c>
      <c r="R5" s="16">
        <v>44369</v>
      </c>
      <c r="S5" s="12" t="s">
        <v>272</v>
      </c>
      <c r="T5" s="14" t="s">
        <v>275</v>
      </c>
      <c r="U5" s="17" t="s">
        <v>137</v>
      </c>
      <c r="V5" s="17" t="s">
        <v>146</v>
      </c>
    </row>
    <row r="6" spans="1:22" x14ac:dyDescent="0.3">
      <c r="A6" s="12" t="s">
        <v>296</v>
      </c>
      <c r="B6" s="12" t="s">
        <v>20</v>
      </c>
      <c r="C6" s="12"/>
      <c r="D6" s="12" t="s">
        <v>193</v>
      </c>
      <c r="E6" s="12"/>
      <c r="F6" s="12" t="s">
        <v>297</v>
      </c>
      <c r="G6" s="12"/>
      <c r="H6" s="12" t="s">
        <v>233</v>
      </c>
      <c r="I6" s="12" t="s">
        <v>40</v>
      </c>
      <c r="J6" s="12" t="s">
        <v>26</v>
      </c>
      <c r="K6" s="13" t="s">
        <v>259</v>
      </c>
      <c r="L6" s="14" t="s">
        <v>298</v>
      </c>
      <c r="M6" s="18" t="s">
        <v>4300</v>
      </c>
      <c r="N6" s="15" t="s">
        <v>4252</v>
      </c>
      <c r="O6" s="15" t="s">
        <v>144</v>
      </c>
      <c r="P6" s="15">
        <v>0</v>
      </c>
      <c r="Q6" s="15" t="s">
        <v>144</v>
      </c>
      <c r="R6" s="16">
        <v>44763</v>
      </c>
      <c r="S6" s="12" t="s">
        <v>299</v>
      </c>
      <c r="T6" s="14" t="s">
        <v>300</v>
      </c>
      <c r="U6" s="17" t="s">
        <v>137</v>
      </c>
      <c r="V6" s="17" t="s">
        <v>146</v>
      </c>
    </row>
    <row r="7" spans="1:22" x14ac:dyDescent="0.3">
      <c r="A7" s="12" t="s">
        <v>301</v>
      </c>
      <c r="B7" s="12" t="s">
        <v>20</v>
      </c>
      <c r="C7" s="12"/>
      <c r="D7" s="12" t="s">
        <v>193</v>
      </c>
      <c r="E7" s="12"/>
      <c r="F7" s="12" t="s">
        <v>302</v>
      </c>
      <c r="G7" s="12"/>
      <c r="H7" s="12" t="s">
        <v>233</v>
      </c>
      <c r="I7" s="12" t="s">
        <v>40</v>
      </c>
      <c r="J7" s="12" t="s">
        <v>26</v>
      </c>
      <c r="K7" s="13" t="s">
        <v>259</v>
      </c>
      <c r="L7" s="14" t="s">
        <v>303</v>
      </c>
      <c r="M7" s="18" t="s">
        <v>4300</v>
      </c>
      <c r="N7" s="15" t="s">
        <v>4260</v>
      </c>
      <c r="O7" s="15" t="s">
        <v>144</v>
      </c>
      <c r="P7" s="15">
        <v>0</v>
      </c>
      <c r="Q7" s="15" t="s">
        <v>144</v>
      </c>
      <c r="R7" s="16">
        <v>44132</v>
      </c>
      <c r="S7" s="12" t="s">
        <v>299</v>
      </c>
      <c r="T7" s="14" t="s">
        <v>304</v>
      </c>
      <c r="U7" s="17" t="s">
        <v>137</v>
      </c>
      <c r="V7" s="17" t="s">
        <v>146</v>
      </c>
    </row>
    <row r="8" spans="1:22" x14ac:dyDescent="0.3">
      <c r="A8" s="12" t="s">
        <v>205</v>
      </c>
      <c r="B8" s="12" t="s">
        <v>20</v>
      </c>
      <c r="C8" s="12"/>
      <c r="D8" s="12" t="s">
        <v>193</v>
      </c>
      <c r="E8" s="12"/>
      <c r="F8" s="12" t="s">
        <v>466</v>
      </c>
      <c r="G8" s="12" t="s">
        <v>467</v>
      </c>
      <c r="H8" s="12" t="s">
        <v>462</v>
      </c>
      <c r="I8" s="12" t="s">
        <v>46</v>
      </c>
      <c r="J8" s="12" t="s">
        <v>26</v>
      </c>
      <c r="K8" s="13" t="s">
        <v>463</v>
      </c>
      <c r="L8" s="14" t="s">
        <v>468</v>
      </c>
      <c r="M8" s="18" t="s">
        <v>4297</v>
      </c>
      <c r="N8" s="15" t="s">
        <v>4252</v>
      </c>
      <c r="O8" s="15" t="s">
        <v>220</v>
      </c>
      <c r="P8" s="15">
        <v>1</v>
      </c>
      <c r="Q8" s="15" t="s">
        <v>144</v>
      </c>
      <c r="R8" s="16">
        <v>41849</v>
      </c>
      <c r="S8" s="12" t="s">
        <v>209</v>
      </c>
      <c r="T8" s="14" t="s">
        <v>469</v>
      </c>
      <c r="U8" s="17" t="s">
        <v>137</v>
      </c>
      <c r="V8" s="17" t="s">
        <v>146</v>
      </c>
    </row>
    <row r="9" spans="1:22" x14ac:dyDescent="0.3">
      <c r="A9" s="12" t="s">
        <v>562</v>
      </c>
      <c r="B9" s="12" t="s">
        <v>20</v>
      </c>
      <c r="C9" s="12"/>
      <c r="D9" s="12" t="s">
        <v>193</v>
      </c>
      <c r="E9" s="12"/>
      <c r="F9" s="12" t="s">
        <v>526</v>
      </c>
      <c r="G9" s="12" t="s">
        <v>563</v>
      </c>
      <c r="H9" s="12" t="s">
        <v>521</v>
      </c>
      <c r="I9" s="12" t="s">
        <v>38</v>
      </c>
      <c r="J9" s="12" t="s">
        <v>26</v>
      </c>
      <c r="K9" s="13" t="s">
        <v>522</v>
      </c>
      <c r="L9" s="14" t="s">
        <v>564</v>
      </c>
      <c r="M9" s="18" t="s">
        <v>4301</v>
      </c>
      <c r="N9" s="15" t="s">
        <v>4252</v>
      </c>
      <c r="O9" s="15"/>
      <c r="P9" s="15">
        <v>0</v>
      </c>
      <c r="Q9" s="15" t="s">
        <v>144</v>
      </c>
      <c r="R9" s="16">
        <v>44065</v>
      </c>
      <c r="S9" s="12" t="s">
        <v>565</v>
      </c>
      <c r="T9" s="14" t="s">
        <v>566</v>
      </c>
      <c r="U9" s="17" t="s">
        <v>137</v>
      </c>
      <c r="V9" s="17" t="s">
        <v>146</v>
      </c>
    </row>
    <row r="10" spans="1:22" x14ac:dyDescent="0.3">
      <c r="A10" s="12" t="s">
        <v>608</v>
      </c>
      <c r="B10" s="12" t="s">
        <v>20</v>
      </c>
      <c r="C10" s="12"/>
      <c r="D10" s="12" t="s">
        <v>193</v>
      </c>
      <c r="E10" s="12"/>
      <c r="F10" s="12" t="s">
        <v>609</v>
      </c>
      <c r="G10" s="12"/>
      <c r="H10" s="12" t="s">
        <v>569</v>
      </c>
      <c r="I10" s="12" t="s">
        <v>38</v>
      </c>
      <c r="J10" s="12" t="s">
        <v>26</v>
      </c>
      <c r="K10" s="13" t="s">
        <v>596</v>
      </c>
      <c r="L10" s="14" t="s">
        <v>610</v>
      </c>
      <c r="M10" s="18" t="s">
        <v>4302</v>
      </c>
      <c r="N10" s="15" t="s">
        <v>4252</v>
      </c>
      <c r="O10" s="15" t="s">
        <v>144</v>
      </c>
      <c r="P10" s="15">
        <v>1</v>
      </c>
      <c r="Q10" s="15" t="s">
        <v>144</v>
      </c>
      <c r="R10" s="16">
        <v>44642</v>
      </c>
      <c r="S10" s="12" t="s">
        <v>197</v>
      </c>
      <c r="T10" s="14" t="s">
        <v>611</v>
      </c>
      <c r="U10" s="17" t="s">
        <v>137</v>
      </c>
      <c r="V10" s="17" t="s">
        <v>146</v>
      </c>
    </row>
    <row r="11" spans="1:22" x14ac:dyDescent="0.3">
      <c r="A11" s="12" t="s">
        <v>642</v>
      </c>
      <c r="B11" s="12" t="s">
        <v>20</v>
      </c>
      <c r="C11" s="12"/>
      <c r="D11" s="12" t="s">
        <v>193</v>
      </c>
      <c r="E11" s="12"/>
      <c r="F11" s="12" t="s">
        <v>643</v>
      </c>
      <c r="G11" s="12" t="s">
        <v>644</v>
      </c>
      <c r="H11" s="12" t="s">
        <v>569</v>
      </c>
      <c r="I11" s="12" t="s">
        <v>38</v>
      </c>
      <c r="J11" s="12" t="s">
        <v>26</v>
      </c>
      <c r="K11" s="13" t="s">
        <v>570</v>
      </c>
      <c r="L11" s="14" t="s">
        <v>645</v>
      </c>
      <c r="N11" s="15" t="s">
        <v>4252</v>
      </c>
      <c r="O11" s="15"/>
      <c r="P11" s="15">
        <v>0</v>
      </c>
      <c r="Q11" s="15" t="s">
        <v>144</v>
      </c>
      <c r="R11" s="16">
        <v>44065</v>
      </c>
      <c r="S11" s="12" t="s">
        <v>642</v>
      </c>
      <c r="T11" s="14" t="s">
        <v>646</v>
      </c>
      <c r="U11" s="17" t="s">
        <v>137</v>
      </c>
      <c r="V11" s="17" t="s">
        <v>146</v>
      </c>
    </row>
    <row r="12" spans="1:22" x14ac:dyDescent="0.3">
      <c r="A12" s="12" t="s">
        <v>652</v>
      </c>
      <c r="B12" s="12" t="s">
        <v>20</v>
      </c>
      <c r="C12" s="12"/>
      <c r="D12" s="12" t="s">
        <v>193</v>
      </c>
      <c r="E12" s="12"/>
      <c r="F12" s="12" t="s">
        <v>653</v>
      </c>
      <c r="G12" s="12"/>
      <c r="H12" s="12" t="s">
        <v>569</v>
      </c>
      <c r="I12" s="12" t="s">
        <v>38</v>
      </c>
      <c r="J12" s="12" t="s">
        <v>26</v>
      </c>
      <c r="K12" s="13" t="s">
        <v>570</v>
      </c>
      <c r="L12" s="14" t="s">
        <v>654</v>
      </c>
      <c r="M12" s="18" t="s">
        <v>4300</v>
      </c>
      <c r="N12" s="15" t="s">
        <v>4252</v>
      </c>
      <c r="O12" s="15" t="s">
        <v>144</v>
      </c>
      <c r="P12" s="15">
        <v>0</v>
      </c>
      <c r="Q12" s="15" t="s">
        <v>144</v>
      </c>
      <c r="R12" s="16">
        <v>44132</v>
      </c>
      <c r="S12" s="12" t="s">
        <v>299</v>
      </c>
      <c r="T12" s="14" t="s">
        <v>655</v>
      </c>
      <c r="U12" s="17" t="s">
        <v>137</v>
      </c>
      <c r="V12" s="17" t="s">
        <v>146</v>
      </c>
    </row>
    <row r="13" spans="1:22" x14ac:dyDescent="0.3">
      <c r="A13" s="12" t="s">
        <v>743</v>
      </c>
      <c r="B13" s="12" t="s">
        <v>20</v>
      </c>
      <c r="C13" s="12"/>
      <c r="D13" s="12" t="s">
        <v>193</v>
      </c>
      <c r="E13" s="12"/>
      <c r="F13" s="12" t="s">
        <v>736</v>
      </c>
      <c r="G13" s="12" t="s">
        <v>744</v>
      </c>
      <c r="H13" s="12" t="s">
        <v>722</v>
      </c>
      <c r="I13" s="12" t="s">
        <v>38</v>
      </c>
      <c r="J13" s="12" t="s">
        <v>26</v>
      </c>
      <c r="K13" s="13" t="s">
        <v>723</v>
      </c>
      <c r="L13" s="14" t="s">
        <v>745</v>
      </c>
      <c r="M13" s="18" t="s">
        <v>4301</v>
      </c>
      <c r="N13" s="15" t="s">
        <v>4252</v>
      </c>
      <c r="O13" s="15" t="s">
        <v>220</v>
      </c>
      <c r="P13" s="15">
        <v>0</v>
      </c>
      <c r="Q13" s="15" t="s">
        <v>144</v>
      </c>
      <c r="R13" s="16">
        <v>39771</v>
      </c>
      <c r="S13" s="12" t="s">
        <v>743</v>
      </c>
      <c r="T13" s="14" t="s">
        <v>746</v>
      </c>
      <c r="U13" s="17" t="s">
        <v>137</v>
      </c>
      <c r="V13" s="17" t="s">
        <v>146</v>
      </c>
    </row>
    <row r="14" spans="1:22" x14ac:dyDescent="0.3">
      <c r="A14" s="12" t="s">
        <v>783</v>
      </c>
      <c r="B14" s="12" t="s">
        <v>20</v>
      </c>
      <c r="C14" s="12"/>
      <c r="D14" s="12" t="s">
        <v>193</v>
      </c>
      <c r="E14" s="12"/>
      <c r="F14" s="12" t="s">
        <v>784</v>
      </c>
      <c r="G14" s="12"/>
      <c r="H14" s="12" t="s">
        <v>785</v>
      </c>
      <c r="I14" s="12" t="s">
        <v>38</v>
      </c>
      <c r="J14" s="12" t="s">
        <v>26</v>
      </c>
      <c r="K14" s="13" t="s">
        <v>786</v>
      </c>
      <c r="L14" s="14" t="s">
        <v>787</v>
      </c>
      <c r="M14" s="18" t="s">
        <v>4303</v>
      </c>
      <c r="N14" s="15" t="s">
        <v>4252</v>
      </c>
      <c r="O14" s="15" t="s">
        <v>144</v>
      </c>
      <c r="P14" s="15">
        <v>0</v>
      </c>
      <c r="Q14" s="15" t="s">
        <v>144</v>
      </c>
      <c r="R14" s="16">
        <v>43356</v>
      </c>
      <c r="S14" s="12" t="s">
        <v>788</v>
      </c>
      <c r="T14" s="14" t="s">
        <v>789</v>
      </c>
      <c r="U14" s="17" t="s">
        <v>137</v>
      </c>
      <c r="V14" s="17" t="s">
        <v>146</v>
      </c>
    </row>
    <row r="15" spans="1:22" x14ac:dyDescent="0.3">
      <c r="A15" s="12" t="s">
        <v>874</v>
      </c>
      <c r="B15" s="12" t="s">
        <v>20</v>
      </c>
      <c r="C15" s="12"/>
      <c r="D15" s="12" t="s">
        <v>193</v>
      </c>
      <c r="E15" s="12" t="s">
        <v>4304</v>
      </c>
      <c r="F15" s="12" t="s">
        <v>875</v>
      </c>
      <c r="G15" s="12" t="s">
        <v>188</v>
      </c>
      <c r="H15" s="12" t="s">
        <v>876</v>
      </c>
      <c r="I15" s="12" t="s">
        <v>38</v>
      </c>
      <c r="J15" s="12" t="s">
        <v>26</v>
      </c>
      <c r="K15" s="13" t="s">
        <v>678</v>
      </c>
      <c r="L15" s="14" t="s">
        <v>877</v>
      </c>
      <c r="M15" s="18" t="s">
        <v>4305</v>
      </c>
      <c r="N15" s="15" t="s">
        <v>4252</v>
      </c>
      <c r="O15" s="15" t="s">
        <v>144</v>
      </c>
      <c r="P15" s="15">
        <v>3</v>
      </c>
      <c r="Q15" s="15" t="s">
        <v>144</v>
      </c>
      <c r="R15" s="16">
        <v>44018</v>
      </c>
      <c r="S15" s="12" t="s">
        <v>874</v>
      </c>
      <c r="T15" s="14" t="s">
        <v>878</v>
      </c>
      <c r="U15" s="17" t="s">
        <v>137</v>
      </c>
      <c r="V15" s="17" t="s">
        <v>146</v>
      </c>
    </row>
    <row r="16" spans="1:22" x14ac:dyDescent="0.3">
      <c r="A16" s="12" t="s">
        <v>1041</v>
      </c>
      <c r="B16" s="12" t="s">
        <v>20</v>
      </c>
      <c r="C16" s="12"/>
      <c r="D16" s="12" t="s">
        <v>193</v>
      </c>
      <c r="E16" s="12"/>
      <c r="F16" s="12" t="s">
        <v>1042</v>
      </c>
      <c r="G16" s="12" t="s">
        <v>188</v>
      </c>
      <c r="H16" s="12" t="s">
        <v>395</v>
      </c>
      <c r="I16" s="12" t="s">
        <v>36</v>
      </c>
      <c r="J16" s="12" t="s">
        <v>26</v>
      </c>
      <c r="K16" s="13" t="s">
        <v>396</v>
      </c>
      <c r="L16" s="14" t="s">
        <v>1043</v>
      </c>
      <c r="M16" s="18" t="s">
        <v>4306</v>
      </c>
      <c r="N16" s="15" t="s">
        <v>4252</v>
      </c>
      <c r="O16" s="15" t="s">
        <v>220</v>
      </c>
      <c r="P16" s="15">
        <v>0</v>
      </c>
      <c r="Q16" s="15" t="s">
        <v>144</v>
      </c>
      <c r="R16" s="16">
        <v>42180</v>
      </c>
      <c r="S16" s="12" t="s">
        <v>1041</v>
      </c>
      <c r="T16" s="14" t="s">
        <v>1044</v>
      </c>
      <c r="U16" s="17" t="s">
        <v>137</v>
      </c>
      <c r="V16" s="17" t="s">
        <v>146</v>
      </c>
    </row>
    <row r="17" spans="1:22" x14ac:dyDescent="0.3">
      <c r="A17" s="12" t="s">
        <v>1091</v>
      </c>
      <c r="B17" s="12" t="s">
        <v>20</v>
      </c>
      <c r="C17" s="12"/>
      <c r="D17" s="12" t="s">
        <v>193</v>
      </c>
      <c r="E17" s="12"/>
      <c r="F17" s="12" t="s">
        <v>1092</v>
      </c>
      <c r="G17" s="12" t="s">
        <v>1093</v>
      </c>
      <c r="H17" s="12" t="s">
        <v>1058</v>
      </c>
      <c r="I17" s="12" t="s">
        <v>36</v>
      </c>
      <c r="J17" s="12" t="s">
        <v>26</v>
      </c>
      <c r="K17" s="13" t="s">
        <v>1064</v>
      </c>
      <c r="L17" s="14" t="s">
        <v>1094</v>
      </c>
      <c r="M17" s="18" t="s">
        <v>4307</v>
      </c>
      <c r="N17" s="15" t="s">
        <v>4252</v>
      </c>
      <c r="O17" s="15" t="s">
        <v>220</v>
      </c>
      <c r="P17" s="15">
        <v>0</v>
      </c>
      <c r="Q17" s="15" t="s">
        <v>144</v>
      </c>
      <c r="R17" s="16">
        <v>44896</v>
      </c>
      <c r="S17" s="12" t="s">
        <v>1095</v>
      </c>
      <c r="T17" s="14" t="s">
        <v>1096</v>
      </c>
      <c r="U17" s="17" t="s">
        <v>137</v>
      </c>
      <c r="V17" s="17" t="s">
        <v>146</v>
      </c>
    </row>
    <row r="18" spans="1:22" x14ac:dyDescent="0.3">
      <c r="A18" s="12" t="s">
        <v>1105</v>
      </c>
      <c r="B18" s="12" t="s">
        <v>20</v>
      </c>
      <c r="C18" s="12"/>
      <c r="D18" s="12" t="s">
        <v>193</v>
      </c>
      <c r="E18" s="12"/>
      <c r="F18" s="12" t="s">
        <v>1106</v>
      </c>
      <c r="G18" s="12"/>
      <c r="H18" s="12" t="s">
        <v>1058</v>
      </c>
      <c r="I18" s="12" t="s">
        <v>36</v>
      </c>
      <c r="J18" s="12" t="s">
        <v>26</v>
      </c>
      <c r="K18" s="13" t="s">
        <v>1064</v>
      </c>
      <c r="L18" s="14" t="s">
        <v>1107</v>
      </c>
      <c r="M18" s="18" t="s">
        <v>4272</v>
      </c>
      <c r="N18" s="15" t="s">
        <v>4252</v>
      </c>
      <c r="O18" s="15" t="s">
        <v>144</v>
      </c>
      <c r="P18" s="15">
        <v>0</v>
      </c>
      <c r="Q18" s="15" t="s">
        <v>144</v>
      </c>
      <c r="R18" s="16">
        <v>46248</v>
      </c>
      <c r="S18" s="12" t="s">
        <v>160</v>
      </c>
      <c r="T18" s="14" t="s">
        <v>1108</v>
      </c>
      <c r="U18" s="17" t="s">
        <v>137</v>
      </c>
      <c r="V18" s="17" t="s">
        <v>146</v>
      </c>
    </row>
    <row r="19" spans="1:22" x14ac:dyDescent="0.3">
      <c r="A19" s="12" t="s">
        <v>1041</v>
      </c>
      <c r="B19" s="12" t="s">
        <v>20</v>
      </c>
      <c r="C19" s="12"/>
      <c r="D19" s="12" t="s">
        <v>193</v>
      </c>
      <c r="E19" s="12" t="s">
        <v>4308</v>
      </c>
      <c r="F19" s="12" t="s">
        <v>1224</v>
      </c>
      <c r="G19" s="12" t="s">
        <v>1256</v>
      </c>
      <c r="H19" s="12" t="s">
        <v>1158</v>
      </c>
      <c r="I19" s="12" t="s">
        <v>36</v>
      </c>
      <c r="J19" s="12" t="s">
        <v>26</v>
      </c>
      <c r="K19" s="13" t="s">
        <v>1178</v>
      </c>
      <c r="L19" s="14" t="s">
        <v>1257</v>
      </c>
      <c r="M19" s="18" t="s">
        <v>4306</v>
      </c>
      <c r="N19" s="15" t="s">
        <v>4252</v>
      </c>
      <c r="O19" s="15" t="s">
        <v>220</v>
      </c>
      <c r="P19" s="15">
        <v>9</v>
      </c>
      <c r="Q19" s="15" t="s">
        <v>144</v>
      </c>
      <c r="R19" s="16">
        <v>42180</v>
      </c>
      <c r="S19" s="12" t="s">
        <v>1041</v>
      </c>
      <c r="T19" s="14" t="s">
        <v>1258</v>
      </c>
      <c r="U19" s="17" t="s">
        <v>137</v>
      </c>
      <c r="V19" s="17" t="s">
        <v>146</v>
      </c>
    </row>
    <row r="20" spans="1:22" x14ac:dyDescent="0.3">
      <c r="A20" s="12" t="s">
        <v>652</v>
      </c>
      <c r="B20" s="12" t="s">
        <v>20</v>
      </c>
      <c r="C20" s="12"/>
      <c r="D20" s="12" t="s">
        <v>193</v>
      </c>
      <c r="E20" s="12"/>
      <c r="F20" s="12" t="s">
        <v>1284</v>
      </c>
      <c r="G20" s="12" t="s">
        <v>1285</v>
      </c>
      <c r="H20" s="12" t="s">
        <v>1158</v>
      </c>
      <c r="I20" s="12" t="s">
        <v>36</v>
      </c>
      <c r="J20" s="12" t="s">
        <v>26</v>
      </c>
      <c r="K20" s="13" t="s">
        <v>1178</v>
      </c>
      <c r="L20" s="14" t="s">
        <v>1286</v>
      </c>
      <c r="M20" s="18" t="s">
        <v>4300</v>
      </c>
      <c r="N20" s="15" t="s">
        <v>4252</v>
      </c>
      <c r="O20" s="15" t="s">
        <v>144</v>
      </c>
      <c r="P20" s="15">
        <v>1</v>
      </c>
      <c r="Q20" s="15" t="s">
        <v>144</v>
      </c>
      <c r="R20" s="16">
        <v>44132</v>
      </c>
      <c r="S20" s="12" t="s">
        <v>299</v>
      </c>
      <c r="T20" s="14" t="s">
        <v>1287</v>
      </c>
      <c r="U20" s="17" t="s">
        <v>137</v>
      </c>
      <c r="V20" s="17" t="s">
        <v>146</v>
      </c>
    </row>
    <row r="21" spans="1:22" x14ac:dyDescent="0.3">
      <c r="A21" s="12" t="s">
        <v>1327</v>
      </c>
      <c r="B21" s="12" t="s">
        <v>18</v>
      </c>
      <c r="C21" s="12" t="s">
        <v>20</v>
      </c>
      <c r="D21" s="12" t="s">
        <v>1328</v>
      </c>
      <c r="E21" s="12" t="s">
        <v>4261</v>
      </c>
      <c r="F21" s="12" t="s">
        <v>1329</v>
      </c>
      <c r="G21" s="12" t="s">
        <v>1330</v>
      </c>
      <c r="H21" s="12" t="s">
        <v>1316</v>
      </c>
      <c r="I21" s="12" t="s">
        <v>36</v>
      </c>
      <c r="J21" s="12" t="s">
        <v>26</v>
      </c>
      <c r="K21" s="13" t="s">
        <v>1323</v>
      </c>
      <c r="L21" s="14" t="s">
        <v>1331</v>
      </c>
      <c r="M21" s="18" t="s">
        <v>4262</v>
      </c>
      <c r="N21" s="15" t="s">
        <v>4252</v>
      </c>
      <c r="O21" s="15" t="s">
        <v>220</v>
      </c>
      <c r="P21" s="15">
        <v>1</v>
      </c>
      <c r="Q21" s="15" t="s">
        <v>144</v>
      </c>
      <c r="R21" s="16">
        <v>44721</v>
      </c>
      <c r="S21" s="12" t="s">
        <v>1327</v>
      </c>
      <c r="T21" s="14" t="s">
        <v>1332</v>
      </c>
      <c r="U21" s="17" t="s">
        <v>137</v>
      </c>
      <c r="V21" s="17" t="s">
        <v>146</v>
      </c>
    </row>
    <row r="22" spans="1:22" x14ac:dyDescent="0.3">
      <c r="A22" s="12" t="s">
        <v>1366</v>
      </c>
      <c r="B22" s="12" t="s">
        <v>20</v>
      </c>
      <c r="C22" s="12"/>
      <c r="D22" s="12" t="s">
        <v>193</v>
      </c>
      <c r="E22" s="12"/>
      <c r="F22" s="12" t="s">
        <v>1367</v>
      </c>
      <c r="G22" s="12"/>
      <c r="H22" s="12" t="s">
        <v>1362</v>
      </c>
      <c r="I22" s="12" t="s">
        <v>36</v>
      </c>
      <c r="J22" s="12" t="s">
        <v>26</v>
      </c>
      <c r="K22" s="13" t="s">
        <v>1363</v>
      </c>
      <c r="L22" s="14" t="s">
        <v>1368</v>
      </c>
      <c r="M22" s="18" t="s">
        <v>4298</v>
      </c>
      <c r="N22" s="15" t="s">
        <v>4252</v>
      </c>
      <c r="O22" s="15" t="s">
        <v>220</v>
      </c>
      <c r="P22" s="15">
        <v>1</v>
      </c>
      <c r="Q22" s="15" t="s">
        <v>144</v>
      </c>
      <c r="R22" s="16">
        <v>45231</v>
      </c>
      <c r="S22" s="12" t="s">
        <v>241</v>
      </c>
      <c r="T22" s="14" t="s">
        <v>242</v>
      </c>
      <c r="U22" s="17" t="s">
        <v>137</v>
      </c>
      <c r="V22" s="17" t="s">
        <v>146</v>
      </c>
    </row>
    <row r="23" spans="1:22" x14ac:dyDescent="0.3">
      <c r="A23" s="12" t="s">
        <v>205</v>
      </c>
      <c r="B23" s="12" t="s">
        <v>20</v>
      </c>
      <c r="C23" s="12"/>
      <c r="D23" s="12" t="s">
        <v>193</v>
      </c>
      <c r="E23" s="12"/>
      <c r="F23" s="12" t="s">
        <v>1392</v>
      </c>
      <c r="G23" s="12" t="s">
        <v>285</v>
      </c>
      <c r="H23" s="12" t="s">
        <v>1362</v>
      </c>
      <c r="I23" s="12" t="s">
        <v>36</v>
      </c>
      <c r="J23" s="12" t="s">
        <v>26</v>
      </c>
      <c r="K23" s="13" t="s">
        <v>1386</v>
      </c>
      <c r="L23" s="14" t="s">
        <v>1393</v>
      </c>
      <c r="M23" s="18" t="s">
        <v>4297</v>
      </c>
      <c r="N23" s="15" t="s">
        <v>4260</v>
      </c>
      <c r="O23" s="15" t="s">
        <v>220</v>
      </c>
      <c r="P23" s="15">
        <v>0</v>
      </c>
      <c r="Q23" s="15" t="s">
        <v>144</v>
      </c>
      <c r="R23" s="16">
        <v>41849</v>
      </c>
      <c r="S23" s="12" t="s">
        <v>209</v>
      </c>
      <c r="T23" s="14" t="s">
        <v>1394</v>
      </c>
      <c r="U23" s="17" t="s">
        <v>137</v>
      </c>
      <c r="V23" s="17" t="s">
        <v>146</v>
      </c>
    </row>
    <row r="24" spans="1:22" x14ac:dyDescent="0.3">
      <c r="A24" s="12" t="s">
        <v>1408</v>
      </c>
      <c r="B24" s="12" t="s">
        <v>20</v>
      </c>
      <c r="C24" s="12"/>
      <c r="D24" s="12" t="s">
        <v>193</v>
      </c>
      <c r="E24" s="12"/>
      <c r="F24" s="12" t="s">
        <v>1409</v>
      </c>
      <c r="G24" s="12"/>
      <c r="H24" s="12" t="s">
        <v>1362</v>
      </c>
      <c r="I24" s="12" t="s">
        <v>36</v>
      </c>
      <c r="J24" s="12" t="s">
        <v>26</v>
      </c>
      <c r="K24" s="13" t="s">
        <v>1363</v>
      </c>
      <c r="L24" s="14" t="s">
        <v>1410</v>
      </c>
      <c r="M24" s="18" t="s">
        <v>4300</v>
      </c>
      <c r="N24" s="15" t="s">
        <v>4260</v>
      </c>
      <c r="O24" s="15" t="s">
        <v>144</v>
      </c>
      <c r="P24" s="15">
        <v>0</v>
      </c>
      <c r="Q24" s="15" t="s">
        <v>144</v>
      </c>
      <c r="R24" s="16">
        <v>44132</v>
      </c>
      <c r="S24" s="12" t="s">
        <v>299</v>
      </c>
      <c r="T24" s="14" t="s">
        <v>1411</v>
      </c>
      <c r="U24" s="17" t="s">
        <v>137</v>
      </c>
      <c r="V24" s="17" t="s">
        <v>146</v>
      </c>
    </row>
    <row r="25" spans="1:22" x14ac:dyDescent="0.3">
      <c r="A25" s="12" t="s">
        <v>1642</v>
      </c>
      <c r="B25" s="12" t="s">
        <v>20</v>
      </c>
      <c r="C25" s="12"/>
      <c r="D25" s="12" t="s">
        <v>193</v>
      </c>
      <c r="E25" s="12"/>
      <c r="F25" s="12" t="s">
        <v>1643</v>
      </c>
      <c r="G25" s="12" t="s">
        <v>1644</v>
      </c>
      <c r="H25" s="12" t="s">
        <v>367</v>
      </c>
      <c r="I25" s="12" t="s">
        <v>36</v>
      </c>
      <c r="J25" s="12" t="s">
        <v>26</v>
      </c>
      <c r="K25" s="13" t="s">
        <v>1534</v>
      </c>
      <c r="L25" s="14" t="s">
        <v>1645</v>
      </c>
      <c r="N25" s="15" t="s">
        <v>4252</v>
      </c>
      <c r="O25" s="15"/>
      <c r="P25" s="15">
        <v>24</v>
      </c>
      <c r="Q25" s="15" t="s">
        <v>144</v>
      </c>
      <c r="R25" s="16">
        <v>42725</v>
      </c>
      <c r="S25" s="12" t="s">
        <v>1646</v>
      </c>
      <c r="T25" s="14" t="s">
        <v>1647</v>
      </c>
      <c r="U25" s="17" t="s">
        <v>137</v>
      </c>
      <c r="V25" s="17" t="s">
        <v>146</v>
      </c>
    </row>
    <row r="26" spans="1:22" x14ac:dyDescent="0.3">
      <c r="A26" s="12" t="s">
        <v>1669</v>
      </c>
      <c r="B26" s="12" t="s">
        <v>20</v>
      </c>
      <c r="C26" s="12"/>
      <c r="D26" s="12" t="s">
        <v>193</v>
      </c>
      <c r="E26" s="12"/>
      <c r="F26" s="12" t="s">
        <v>1670</v>
      </c>
      <c r="G26" s="12"/>
      <c r="H26" s="12" t="s">
        <v>1661</v>
      </c>
      <c r="I26" s="12" t="s">
        <v>36</v>
      </c>
      <c r="J26" s="12" t="s">
        <v>26</v>
      </c>
      <c r="K26" s="13" t="s">
        <v>1662</v>
      </c>
      <c r="L26" s="14" t="s">
        <v>1671</v>
      </c>
      <c r="M26" s="18" t="s">
        <v>4309</v>
      </c>
      <c r="N26" s="15" t="s">
        <v>4252</v>
      </c>
      <c r="O26" s="15" t="s">
        <v>220</v>
      </c>
      <c r="P26" s="15">
        <v>3</v>
      </c>
      <c r="Q26" s="15" t="s">
        <v>144</v>
      </c>
      <c r="R26" s="16">
        <v>45547</v>
      </c>
      <c r="S26" s="12" t="s">
        <v>1672</v>
      </c>
      <c r="T26" s="14" t="s">
        <v>1673</v>
      </c>
      <c r="U26" s="17" t="s">
        <v>137</v>
      </c>
      <c r="V26" s="17" t="s">
        <v>146</v>
      </c>
    </row>
    <row r="27" spans="1:22" x14ac:dyDescent="0.3">
      <c r="A27" s="12" t="s">
        <v>1726</v>
      </c>
      <c r="B27" s="12" t="s">
        <v>20</v>
      </c>
      <c r="C27" s="12"/>
      <c r="D27" s="12" t="s">
        <v>193</v>
      </c>
      <c r="E27" s="12"/>
      <c r="F27" s="12" t="s">
        <v>1727</v>
      </c>
      <c r="G27" s="12" t="s">
        <v>447</v>
      </c>
      <c r="H27" s="12" t="s">
        <v>1661</v>
      </c>
      <c r="I27" s="12" t="s">
        <v>36</v>
      </c>
      <c r="J27" s="12" t="s">
        <v>26</v>
      </c>
      <c r="K27" s="13" t="s">
        <v>1662</v>
      </c>
      <c r="L27" s="14" t="s">
        <v>1728</v>
      </c>
      <c r="M27" s="18" t="s">
        <v>4310</v>
      </c>
      <c r="N27" s="15" t="s">
        <v>4252</v>
      </c>
      <c r="O27" s="15" t="s">
        <v>144</v>
      </c>
      <c r="P27" s="15">
        <v>0</v>
      </c>
      <c r="Q27" s="15" t="s">
        <v>144</v>
      </c>
      <c r="R27" s="16">
        <v>45357</v>
      </c>
      <c r="S27" s="12" t="s">
        <v>1729</v>
      </c>
      <c r="T27" s="14" t="s">
        <v>1730</v>
      </c>
      <c r="U27" s="17" t="s">
        <v>137</v>
      </c>
      <c r="V27" s="17" t="s">
        <v>146</v>
      </c>
    </row>
    <row r="28" spans="1:22" x14ac:dyDescent="0.3">
      <c r="A28" s="12" t="s">
        <v>1795</v>
      </c>
      <c r="B28" s="12" t="s">
        <v>20</v>
      </c>
      <c r="C28" s="12"/>
      <c r="D28" s="12" t="s">
        <v>193</v>
      </c>
      <c r="E28" s="12"/>
      <c r="F28" s="12" t="s">
        <v>1796</v>
      </c>
      <c r="G28" s="12" t="s">
        <v>188</v>
      </c>
      <c r="H28" s="12" t="s">
        <v>1750</v>
      </c>
      <c r="I28" s="12" t="s">
        <v>36</v>
      </c>
      <c r="J28" s="12" t="s">
        <v>26</v>
      </c>
      <c r="K28" s="13" t="s">
        <v>1780</v>
      </c>
      <c r="L28" s="14" t="s">
        <v>1797</v>
      </c>
      <c r="M28" s="18" t="s">
        <v>4311</v>
      </c>
      <c r="N28" s="15" t="s">
        <v>4252</v>
      </c>
      <c r="O28" s="15" t="s">
        <v>220</v>
      </c>
      <c r="P28" s="15">
        <v>0</v>
      </c>
      <c r="Q28" s="15" t="s">
        <v>144</v>
      </c>
      <c r="R28" s="16">
        <v>44065</v>
      </c>
      <c r="S28" s="12" t="s">
        <v>1795</v>
      </c>
      <c r="T28" s="14" t="s">
        <v>1798</v>
      </c>
      <c r="U28" s="17" t="s">
        <v>137</v>
      </c>
      <c r="V28" s="17" t="s">
        <v>146</v>
      </c>
    </row>
    <row r="29" spans="1:22" x14ac:dyDescent="0.3">
      <c r="A29" s="12" t="s">
        <v>1915</v>
      </c>
      <c r="B29" s="12" t="s">
        <v>20</v>
      </c>
      <c r="C29" s="12"/>
      <c r="D29" s="12" t="s">
        <v>193</v>
      </c>
      <c r="E29" s="12"/>
      <c r="F29" s="12" t="s">
        <v>1916</v>
      </c>
      <c r="G29" s="12"/>
      <c r="H29" s="12" t="s">
        <v>1884</v>
      </c>
      <c r="I29" s="12" t="s">
        <v>36</v>
      </c>
      <c r="J29" s="12" t="s">
        <v>26</v>
      </c>
      <c r="K29" s="13" t="s">
        <v>1624</v>
      </c>
      <c r="L29" s="14" t="s">
        <v>1917</v>
      </c>
      <c r="M29" s="18" t="s">
        <v>4272</v>
      </c>
      <c r="N29" s="15" t="s">
        <v>4252</v>
      </c>
      <c r="O29" s="15" t="s">
        <v>220</v>
      </c>
      <c r="P29" s="15">
        <v>0</v>
      </c>
      <c r="Q29" s="15" t="s">
        <v>144</v>
      </c>
      <c r="R29" s="16">
        <v>46248</v>
      </c>
      <c r="S29" s="12" t="s">
        <v>160</v>
      </c>
      <c r="T29" s="14" t="s">
        <v>1918</v>
      </c>
      <c r="U29" s="17" t="s">
        <v>137</v>
      </c>
      <c r="V29" s="17" t="s">
        <v>146</v>
      </c>
    </row>
    <row r="30" spans="1:22" x14ac:dyDescent="0.3">
      <c r="A30" s="12" t="s">
        <v>1924</v>
      </c>
      <c r="B30" s="12" t="s">
        <v>20</v>
      </c>
      <c r="C30" s="12"/>
      <c r="D30" s="12" t="s">
        <v>193</v>
      </c>
      <c r="E30" s="12"/>
      <c r="F30" s="12" t="s">
        <v>1888</v>
      </c>
      <c r="G30" s="12" t="s">
        <v>1925</v>
      </c>
      <c r="H30" s="12" t="s">
        <v>1884</v>
      </c>
      <c r="I30" s="12" t="s">
        <v>36</v>
      </c>
      <c r="J30" s="12" t="s">
        <v>26</v>
      </c>
      <c r="K30" s="13" t="s">
        <v>1624</v>
      </c>
      <c r="L30" s="14" t="s">
        <v>1926</v>
      </c>
      <c r="M30" s="18" t="s">
        <v>4312</v>
      </c>
      <c r="N30" s="15" t="s">
        <v>4260</v>
      </c>
      <c r="O30" s="15" t="s">
        <v>144</v>
      </c>
      <c r="P30" s="15">
        <v>0</v>
      </c>
      <c r="Q30" s="15" t="s">
        <v>144</v>
      </c>
      <c r="R30" s="16">
        <v>41813</v>
      </c>
      <c r="S30" s="12" t="s">
        <v>1924</v>
      </c>
      <c r="T30" s="14" t="s">
        <v>1927</v>
      </c>
      <c r="U30" s="17" t="s">
        <v>137</v>
      </c>
      <c r="V30" s="17" t="s">
        <v>146</v>
      </c>
    </row>
    <row r="31" spans="1:22" x14ac:dyDescent="0.3">
      <c r="A31" s="12" t="s">
        <v>1041</v>
      </c>
      <c r="B31" s="12" t="s">
        <v>20</v>
      </c>
      <c r="C31" s="12"/>
      <c r="D31" s="12" t="s">
        <v>193</v>
      </c>
      <c r="E31" s="12"/>
      <c r="F31" s="12" t="s">
        <v>1950</v>
      </c>
      <c r="G31" s="12" t="s">
        <v>1951</v>
      </c>
      <c r="H31" s="12" t="s">
        <v>1946</v>
      </c>
      <c r="I31" s="12" t="s">
        <v>36</v>
      </c>
      <c r="J31" s="12" t="s">
        <v>26</v>
      </c>
      <c r="K31" s="13" t="s">
        <v>1947</v>
      </c>
      <c r="L31" s="14" t="s">
        <v>1952</v>
      </c>
      <c r="M31" s="18" t="s">
        <v>4306</v>
      </c>
      <c r="N31" s="15" t="s">
        <v>4252</v>
      </c>
      <c r="O31" s="15" t="s">
        <v>220</v>
      </c>
      <c r="P31" s="15">
        <v>0</v>
      </c>
      <c r="Q31" s="15" t="s">
        <v>144</v>
      </c>
      <c r="R31" s="16">
        <v>42180</v>
      </c>
      <c r="S31" s="12" t="s">
        <v>1041</v>
      </c>
      <c r="T31" s="14" t="s">
        <v>1953</v>
      </c>
      <c r="U31" s="17" t="s">
        <v>137</v>
      </c>
      <c r="V31" s="17" t="s">
        <v>146</v>
      </c>
    </row>
    <row r="32" spans="1:22" x14ac:dyDescent="0.3">
      <c r="A32" s="12" t="s">
        <v>1967</v>
      </c>
      <c r="B32" s="12" t="s">
        <v>20</v>
      </c>
      <c r="C32" s="12"/>
      <c r="D32" s="12" t="s">
        <v>193</v>
      </c>
      <c r="E32" s="12"/>
      <c r="F32" s="12" t="s">
        <v>1968</v>
      </c>
      <c r="G32" s="12" t="s">
        <v>188</v>
      </c>
      <c r="H32" s="12" t="s">
        <v>1946</v>
      </c>
      <c r="I32" s="12" t="s">
        <v>36</v>
      </c>
      <c r="J32" s="12" t="s">
        <v>26</v>
      </c>
      <c r="K32" s="13" t="s">
        <v>1947</v>
      </c>
      <c r="L32" s="14" t="s">
        <v>1969</v>
      </c>
      <c r="M32" s="18" t="s">
        <v>4300</v>
      </c>
      <c r="N32" s="15" t="s">
        <v>4252</v>
      </c>
      <c r="O32" s="15" t="s">
        <v>144</v>
      </c>
      <c r="P32" s="15">
        <v>0</v>
      </c>
      <c r="Q32" s="15" t="s">
        <v>144</v>
      </c>
      <c r="R32" s="16">
        <v>44041</v>
      </c>
      <c r="S32" s="12" t="s">
        <v>1970</v>
      </c>
      <c r="T32" s="14" t="s">
        <v>1971</v>
      </c>
      <c r="U32" s="17" t="s">
        <v>137</v>
      </c>
      <c r="V32" s="17" t="s">
        <v>146</v>
      </c>
    </row>
    <row r="33" spans="1:22" x14ac:dyDescent="0.3">
      <c r="A33" s="12" t="s">
        <v>205</v>
      </c>
      <c r="B33" s="12" t="s">
        <v>20</v>
      </c>
      <c r="C33" s="12"/>
      <c r="D33" s="12" t="s">
        <v>193</v>
      </c>
      <c r="E33" s="12"/>
      <c r="F33" s="12" t="s">
        <v>1979</v>
      </c>
      <c r="G33" s="12" t="s">
        <v>520</v>
      </c>
      <c r="H33" s="12" t="s">
        <v>1974</v>
      </c>
      <c r="I33" s="12" t="s">
        <v>66</v>
      </c>
      <c r="J33" s="12" t="s">
        <v>26</v>
      </c>
      <c r="K33" s="13" t="s">
        <v>1975</v>
      </c>
      <c r="L33" s="14" t="s">
        <v>1980</v>
      </c>
      <c r="M33" s="18" t="s">
        <v>4297</v>
      </c>
      <c r="N33" s="15" t="s">
        <v>4252</v>
      </c>
      <c r="O33" s="15" t="s">
        <v>220</v>
      </c>
      <c r="P33" s="15">
        <v>1</v>
      </c>
      <c r="Q33" s="15" t="s">
        <v>144</v>
      </c>
      <c r="R33" s="16">
        <v>41849</v>
      </c>
      <c r="S33" s="12" t="s">
        <v>209</v>
      </c>
      <c r="T33" s="14" t="s">
        <v>1981</v>
      </c>
      <c r="U33" s="17" t="s">
        <v>137</v>
      </c>
      <c r="V33" s="17" t="s">
        <v>146</v>
      </c>
    </row>
    <row r="34" spans="1:22" x14ac:dyDescent="0.3">
      <c r="A34" s="12" t="s">
        <v>1992</v>
      </c>
      <c r="B34" s="12" t="s">
        <v>20</v>
      </c>
      <c r="C34" s="12"/>
      <c r="D34" s="12" t="s">
        <v>193</v>
      </c>
      <c r="E34" s="12"/>
      <c r="F34" s="12" t="s">
        <v>1993</v>
      </c>
      <c r="G34" s="12"/>
      <c r="H34" s="12" t="s">
        <v>1994</v>
      </c>
      <c r="I34" s="12" t="s">
        <v>37</v>
      </c>
      <c r="J34" s="12" t="s">
        <v>26</v>
      </c>
      <c r="K34" s="13" t="s">
        <v>1995</v>
      </c>
      <c r="L34" s="14" t="s">
        <v>1996</v>
      </c>
      <c r="M34" s="18" t="s">
        <v>4313</v>
      </c>
      <c r="N34" s="15" t="s">
        <v>4252</v>
      </c>
      <c r="O34" s="15" t="s">
        <v>144</v>
      </c>
      <c r="P34" s="15">
        <v>0</v>
      </c>
      <c r="Q34" s="15" t="s">
        <v>144</v>
      </c>
      <c r="R34" s="16">
        <v>45748</v>
      </c>
      <c r="S34" s="12" t="s">
        <v>1997</v>
      </c>
      <c r="T34" s="14" t="s">
        <v>1998</v>
      </c>
      <c r="U34" s="17" t="s">
        <v>137</v>
      </c>
      <c r="V34" s="17" t="s">
        <v>146</v>
      </c>
    </row>
    <row r="35" spans="1:22" x14ac:dyDescent="0.3">
      <c r="A35" s="12" t="s">
        <v>2035</v>
      </c>
      <c r="B35" s="12" t="s">
        <v>20</v>
      </c>
      <c r="C35" s="12"/>
      <c r="D35" s="12" t="s">
        <v>193</v>
      </c>
      <c r="E35" s="12"/>
      <c r="F35" s="12" t="s">
        <v>2036</v>
      </c>
      <c r="G35" s="12" t="s">
        <v>871</v>
      </c>
      <c r="H35" s="12" t="s">
        <v>2006</v>
      </c>
      <c r="I35" s="12" t="s">
        <v>37</v>
      </c>
      <c r="J35" s="12" t="s">
        <v>26</v>
      </c>
      <c r="K35" s="13" t="s">
        <v>2007</v>
      </c>
      <c r="L35" s="14" t="s">
        <v>2037</v>
      </c>
      <c r="M35" s="18" t="s">
        <v>4301</v>
      </c>
      <c r="N35" s="15" t="s">
        <v>4252</v>
      </c>
      <c r="O35" s="15" t="s">
        <v>144</v>
      </c>
      <c r="P35" s="15">
        <v>0</v>
      </c>
      <c r="Q35" s="15" t="s">
        <v>144</v>
      </c>
      <c r="R35" s="16">
        <v>44065</v>
      </c>
      <c r="S35" s="12" t="s">
        <v>2035</v>
      </c>
      <c r="T35" s="14" t="s">
        <v>2038</v>
      </c>
      <c r="U35" s="17" t="s">
        <v>137</v>
      </c>
      <c r="V35" s="17" t="s">
        <v>146</v>
      </c>
    </row>
    <row r="36" spans="1:22" x14ac:dyDescent="0.3">
      <c r="A36" s="12" t="s">
        <v>205</v>
      </c>
      <c r="B36" s="12" t="s">
        <v>20</v>
      </c>
      <c r="C36" s="12"/>
      <c r="D36" s="12" t="s">
        <v>193</v>
      </c>
      <c r="E36" s="12"/>
      <c r="F36" s="12" t="s">
        <v>2048</v>
      </c>
      <c r="G36" s="12" t="s">
        <v>2049</v>
      </c>
      <c r="H36" s="12" t="s">
        <v>2050</v>
      </c>
      <c r="I36" s="12" t="s">
        <v>37</v>
      </c>
      <c r="J36" s="12" t="s">
        <v>26</v>
      </c>
      <c r="K36" s="13" t="s">
        <v>2045</v>
      </c>
      <c r="L36" s="14" t="s">
        <v>2051</v>
      </c>
      <c r="M36" s="18" t="s">
        <v>4297</v>
      </c>
      <c r="N36" s="15" t="s">
        <v>4252</v>
      </c>
      <c r="O36" s="15" t="s">
        <v>220</v>
      </c>
      <c r="P36" s="15">
        <v>0</v>
      </c>
      <c r="Q36" s="15" t="s">
        <v>144</v>
      </c>
      <c r="R36" s="16">
        <v>41849</v>
      </c>
      <c r="S36" s="12" t="s">
        <v>209</v>
      </c>
      <c r="T36" s="14" t="s">
        <v>2052</v>
      </c>
      <c r="U36" s="17" t="s">
        <v>137</v>
      </c>
      <c r="V36" s="17" t="s">
        <v>146</v>
      </c>
    </row>
    <row r="37" spans="1:22" x14ac:dyDescent="0.3">
      <c r="A37" s="12" t="s">
        <v>2053</v>
      </c>
      <c r="B37" s="12" t="s">
        <v>20</v>
      </c>
      <c r="C37" s="12"/>
      <c r="D37" s="12" t="s">
        <v>193</v>
      </c>
      <c r="E37" s="12" t="s">
        <v>4314</v>
      </c>
      <c r="F37" s="12" t="s">
        <v>2054</v>
      </c>
      <c r="G37" s="12" t="s">
        <v>557</v>
      </c>
      <c r="H37" s="12" t="s">
        <v>2055</v>
      </c>
      <c r="I37" s="12" t="s">
        <v>37</v>
      </c>
      <c r="J37" s="12" t="s">
        <v>26</v>
      </c>
      <c r="K37" s="13" t="s">
        <v>2056</v>
      </c>
      <c r="L37" s="14" t="s">
        <v>2057</v>
      </c>
      <c r="M37" s="18" t="s">
        <v>4315</v>
      </c>
      <c r="N37" s="15" t="s">
        <v>4252</v>
      </c>
      <c r="O37" s="15" t="s">
        <v>220</v>
      </c>
      <c r="P37" s="15">
        <v>2</v>
      </c>
      <c r="Q37" s="15" t="s">
        <v>144</v>
      </c>
      <c r="R37" s="16">
        <v>43628</v>
      </c>
      <c r="S37" s="12" t="s">
        <v>2058</v>
      </c>
      <c r="T37" s="14" t="s">
        <v>2059</v>
      </c>
      <c r="U37" s="17" t="s">
        <v>137</v>
      </c>
      <c r="V37" s="17" t="s">
        <v>146</v>
      </c>
    </row>
    <row r="38" spans="1:22" x14ac:dyDescent="0.3">
      <c r="A38" s="12" t="s">
        <v>2088</v>
      </c>
      <c r="B38" s="12" t="s">
        <v>20</v>
      </c>
      <c r="C38" s="12"/>
      <c r="D38" s="12" t="s">
        <v>193</v>
      </c>
      <c r="E38" s="12"/>
      <c r="F38" s="12" t="s">
        <v>2089</v>
      </c>
      <c r="G38" s="12" t="s">
        <v>447</v>
      </c>
      <c r="H38" s="12" t="s">
        <v>2069</v>
      </c>
      <c r="I38" s="12" t="s">
        <v>37</v>
      </c>
      <c r="J38" s="12" t="s">
        <v>26</v>
      </c>
      <c r="K38" s="13" t="s">
        <v>2070</v>
      </c>
      <c r="L38" s="14" t="s">
        <v>2090</v>
      </c>
      <c r="M38" s="18" t="s">
        <v>4300</v>
      </c>
      <c r="N38" s="15" t="s">
        <v>4252</v>
      </c>
      <c r="O38" s="15" t="s">
        <v>144</v>
      </c>
      <c r="P38" s="15">
        <v>0</v>
      </c>
      <c r="Q38" s="15" t="s">
        <v>144</v>
      </c>
      <c r="R38" s="16">
        <v>44132</v>
      </c>
      <c r="S38" s="12" t="s">
        <v>299</v>
      </c>
      <c r="T38" s="14" t="s">
        <v>2091</v>
      </c>
      <c r="U38" s="17" t="s">
        <v>137</v>
      </c>
      <c r="V38" s="17" t="s">
        <v>146</v>
      </c>
    </row>
    <row r="39" spans="1:22" x14ac:dyDescent="0.3">
      <c r="A39" s="12" t="s">
        <v>562</v>
      </c>
      <c r="B39" s="12" t="s">
        <v>20</v>
      </c>
      <c r="C39" s="12"/>
      <c r="D39" s="12" t="s">
        <v>193</v>
      </c>
      <c r="E39" s="12"/>
      <c r="F39" s="12" t="s">
        <v>2093</v>
      </c>
      <c r="G39" s="12"/>
      <c r="H39" s="12" t="s">
        <v>2069</v>
      </c>
      <c r="I39" s="12" t="s">
        <v>37</v>
      </c>
      <c r="J39" s="12" t="s">
        <v>26</v>
      </c>
      <c r="K39" s="13" t="s">
        <v>2070</v>
      </c>
      <c r="L39" s="14" t="s">
        <v>2094</v>
      </c>
      <c r="M39" s="18" t="s">
        <v>4301</v>
      </c>
      <c r="N39" s="15" t="s">
        <v>4252</v>
      </c>
      <c r="O39" s="15" t="s">
        <v>144</v>
      </c>
      <c r="P39" s="15">
        <v>0</v>
      </c>
      <c r="Q39" s="15" t="s">
        <v>144</v>
      </c>
      <c r="R39" s="16">
        <v>44065</v>
      </c>
      <c r="S39" s="12" t="s">
        <v>2095</v>
      </c>
      <c r="T39" s="14" t="s">
        <v>2096</v>
      </c>
      <c r="U39" s="17" t="s">
        <v>137</v>
      </c>
      <c r="V39" s="17" t="s">
        <v>146</v>
      </c>
    </row>
    <row r="40" spans="1:22" x14ac:dyDescent="0.3">
      <c r="A40" s="12" t="s">
        <v>2171</v>
      </c>
      <c r="B40" s="12" t="s">
        <v>20</v>
      </c>
      <c r="C40" s="12"/>
      <c r="D40" s="12" t="s">
        <v>193</v>
      </c>
      <c r="E40" s="12"/>
      <c r="F40" s="12" t="s">
        <v>2172</v>
      </c>
      <c r="G40" s="12"/>
      <c r="H40" s="12" t="s">
        <v>876</v>
      </c>
      <c r="I40" s="12" t="s">
        <v>37</v>
      </c>
      <c r="J40" s="12" t="s">
        <v>26</v>
      </c>
      <c r="K40" s="13" t="s">
        <v>2109</v>
      </c>
      <c r="L40" s="14" t="s">
        <v>2173</v>
      </c>
      <c r="N40" s="15" t="s">
        <v>4252</v>
      </c>
      <c r="O40" s="15" t="s">
        <v>144</v>
      </c>
      <c r="P40" s="15">
        <v>5</v>
      </c>
      <c r="Q40" s="15" t="s">
        <v>144</v>
      </c>
      <c r="R40" s="16">
        <v>46248</v>
      </c>
      <c r="S40" s="12" t="s">
        <v>160</v>
      </c>
      <c r="T40" s="14" t="s">
        <v>2174</v>
      </c>
      <c r="U40" s="17" t="s">
        <v>137</v>
      </c>
      <c r="V40" s="17" t="s">
        <v>146</v>
      </c>
    </row>
    <row r="41" spans="1:22" x14ac:dyDescent="0.3">
      <c r="A41" s="12" t="s">
        <v>2175</v>
      </c>
      <c r="B41" s="12" t="s">
        <v>18</v>
      </c>
      <c r="C41" s="12" t="s">
        <v>20</v>
      </c>
      <c r="D41" s="12" t="s">
        <v>2176</v>
      </c>
      <c r="E41" s="12"/>
      <c r="F41" s="12" t="s">
        <v>2177</v>
      </c>
      <c r="G41" s="12"/>
      <c r="H41" s="12" t="s">
        <v>876</v>
      </c>
      <c r="I41" s="12" t="s">
        <v>37</v>
      </c>
      <c r="J41" s="12" t="s">
        <v>26</v>
      </c>
      <c r="K41" s="13" t="s">
        <v>2178</v>
      </c>
      <c r="L41" s="14" t="s">
        <v>2179</v>
      </c>
      <c r="M41" s="18" t="s">
        <v>4272</v>
      </c>
      <c r="N41" s="15" t="s">
        <v>4252</v>
      </c>
      <c r="O41" s="15" t="s">
        <v>220</v>
      </c>
      <c r="P41" s="15">
        <v>0</v>
      </c>
      <c r="Q41" s="15" t="s">
        <v>144</v>
      </c>
      <c r="R41" s="16">
        <v>46248</v>
      </c>
      <c r="S41" s="12" t="s">
        <v>160</v>
      </c>
      <c r="T41" s="14" t="s">
        <v>2180</v>
      </c>
      <c r="U41" s="17" t="s">
        <v>137</v>
      </c>
      <c r="V41" s="17" t="s">
        <v>146</v>
      </c>
    </row>
    <row r="42" spans="1:22" x14ac:dyDescent="0.3">
      <c r="A42" s="12" t="s">
        <v>2268</v>
      </c>
      <c r="B42" s="12" t="s">
        <v>20</v>
      </c>
      <c r="C42" s="12"/>
      <c r="D42" s="12" t="s">
        <v>193</v>
      </c>
      <c r="E42" s="12"/>
      <c r="F42" s="12" t="s">
        <v>2193</v>
      </c>
      <c r="G42" s="12" t="s">
        <v>2269</v>
      </c>
      <c r="H42" s="12" t="s">
        <v>876</v>
      </c>
      <c r="I42" s="12" t="s">
        <v>37</v>
      </c>
      <c r="J42" s="12" t="s">
        <v>26</v>
      </c>
      <c r="K42" s="13" t="s">
        <v>2195</v>
      </c>
      <c r="L42" s="14" t="s">
        <v>2270</v>
      </c>
      <c r="M42" s="18" t="s">
        <v>4316</v>
      </c>
      <c r="N42" s="15" t="s">
        <v>4252</v>
      </c>
      <c r="O42" s="15" t="s">
        <v>220</v>
      </c>
      <c r="P42" s="15">
        <v>3</v>
      </c>
      <c r="Q42" s="15" t="s">
        <v>144</v>
      </c>
      <c r="R42" s="16">
        <v>44683</v>
      </c>
      <c r="S42" s="12" t="s">
        <v>2271</v>
      </c>
      <c r="T42" s="14" t="s">
        <v>2272</v>
      </c>
      <c r="U42" s="17" t="s">
        <v>137</v>
      </c>
      <c r="V42" s="17" t="s">
        <v>146</v>
      </c>
    </row>
    <row r="43" spans="1:22" x14ac:dyDescent="0.3">
      <c r="A43" s="12" t="s">
        <v>2416</v>
      </c>
      <c r="B43" s="12" t="s">
        <v>20</v>
      </c>
      <c r="C43" s="12"/>
      <c r="D43" s="12" t="s">
        <v>193</v>
      </c>
      <c r="E43" s="12" t="s">
        <v>4317</v>
      </c>
      <c r="F43" s="12" t="s">
        <v>2417</v>
      </c>
      <c r="G43" s="12" t="s">
        <v>2418</v>
      </c>
      <c r="H43" s="12" t="s">
        <v>2419</v>
      </c>
      <c r="I43" s="12" t="s">
        <v>47</v>
      </c>
      <c r="J43" s="12" t="s">
        <v>26</v>
      </c>
      <c r="K43" s="13" t="s">
        <v>2420</v>
      </c>
      <c r="L43" s="14" t="s">
        <v>1094</v>
      </c>
      <c r="M43" s="18" t="s">
        <v>4307</v>
      </c>
      <c r="N43" s="15" t="s">
        <v>4252</v>
      </c>
      <c r="O43" s="15" t="s">
        <v>220</v>
      </c>
      <c r="P43" s="15">
        <v>2</v>
      </c>
      <c r="Q43" s="15" t="s">
        <v>144</v>
      </c>
      <c r="R43" s="16">
        <v>44896</v>
      </c>
      <c r="S43" s="12" t="s">
        <v>1095</v>
      </c>
      <c r="T43" s="14" t="s">
        <v>1096</v>
      </c>
      <c r="U43" s="17" t="s">
        <v>137</v>
      </c>
      <c r="V43" s="17" t="s">
        <v>146</v>
      </c>
    </row>
    <row r="44" spans="1:22" x14ac:dyDescent="0.3">
      <c r="A44" s="12" t="s">
        <v>2439</v>
      </c>
      <c r="B44" s="12" t="s">
        <v>20</v>
      </c>
      <c r="C44" s="12"/>
      <c r="D44" s="12" t="s">
        <v>193</v>
      </c>
      <c r="E44" s="12"/>
      <c r="F44" s="12" t="s">
        <v>2440</v>
      </c>
      <c r="G44" s="12"/>
      <c r="H44" s="12" t="s">
        <v>2435</v>
      </c>
      <c r="I44" s="12" t="s">
        <v>47</v>
      </c>
      <c r="J44" s="12" t="s">
        <v>26</v>
      </c>
      <c r="K44" s="13" t="s">
        <v>2436</v>
      </c>
      <c r="L44" s="14" t="s">
        <v>1094</v>
      </c>
      <c r="M44" s="18" t="s">
        <v>4307</v>
      </c>
      <c r="N44" s="15" t="s">
        <v>4260</v>
      </c>
      <c r="O44" s="15" t="s">
        <v>220</v>
      </c>
      <c r="P44" s="15">
        <v>0</v>
      </c>
      <c r="Q44" s="15" t="s">
        <v>144</v>
      </c>
      <c r="R44" s="16">
        <v>44896</v>
      </c>
      <c r="S44" s="12" t="s">
        <v>1095</v>
      </c>
      <c r="T44" s="14" t="s">
        <v>1096</v>
      </c>
      <c r="U44" s="17" t="s">
        <v>137</v>
      </c>
      <c r="V44" s="17" t="s">
        <v>146</v>
      </c>
    </row>
    <row r="45" spans="1:22" x14ac:dyDescent="0.3">
      <c r="A45" s="12" t="s">
        <v>2461</v>
      </c>
      <c r="B45" s="12" t="s">
        <v>20</v>
      </c>
      <c r="C45" s="12"/>
      <c r="D45" s="12" t="s">
        <v>193</v>
      </c>
      <c r="E45" s="12"/>
      <c r="F45" s="12" t="s">
        <v>2462</v>
      </c>
      <c r="G45" s="12"/>
      <c r="H45" s="12" t="s">
        <v>2463</v>
      </c>
      <c r="I45" s="12" t="s">
        <v>52</v>
      </c>
      <c r="J45" s="12" t="s">
        <v>26</v>
      </c>
      <c r="K45" s="13" t="s">
        <v>2464</v>
      </c>
      <c r="L45" s="14" t="s">
        <v>2465</v>
      </c>
      <c r="M45" s="18" t="s">
        <v>4298</v>
      </c>
      <c r="N45" s="15" t="s">
        <v>4252</v>
      </c>
      <c r="O45" s="15" t="s">
        <v>220</v>
      </c>
      <c r="P45" s="15">
        <v>1</v>
      </c>
      <c r="Q45" s="15" t="s">
        <v>144</v>
      </c>
      <c r="R45" s="16">
        <v>45231</v>
      </c>
      <c r="S45" s="12" t="s">
        <v>241</v>
      </c>
      <c r="T45" s="14" t="s">
        <v>242</v>
      </c>
      <c r="U45" s="17" t="s">
        <v>137</v>
      </c>
      <c r="V45" s="17" t="s">
        <v>146</v>
      </c>
    </row>
    <row r="46" spans="1:22" x14ac:dyDescent="0.3">
      <c r="A46" s="12" t="s">
        <v>2525</v>
      </c>
      <c r="B46" s="12" t="s">
        <v>20</v>
      </c>
      <c r="C46" s="12"/>
      <c r="D46" s="12" t="s">
        <v>193</v>
      </c>
      <c r="E46" s="12" t="s">
        <v>4318</v>
      </c>
      <c r="F46" s="12" t="s">
        <v>2526</v>
      </c>
      <c r="G46" s="12"/>
      <c r="H46" s="12" t="s">
        <v>2527</v>
      </c>
      <c r="I46" s="12" t="s">
        <v>39</v>
      </c>
      <c r="J46" s="12" t="s">
        <v>26</v>
      </c>
      <c r="K46" s="13" t="s">
        <v>2528</v>
      </c>
      <c r="L46" s="14" t="s">
        <v>2529</v>
      </c>
      <c r="N46" s="15" t="s">
        <v>4252</v>
      </c>
      <c r="O46" s="15" t="s">
        <v>144</v>
      </c>
      <c r="P46" s="15">
        <v>2</v>
      </c>
      <c r="Q46" s="15" t="s">
        <v>144</v>
      </c>
      <c r="R46" s="16">
        <v>46248</v>
      </c>
      <c r="S46" s="12" t="s">
        <v>160</v>
      </c>
      <c r="T46" s="14" t="s">
        <v>2530</v>
      </c>
      <c r="U46" s="17" t="s">
        <v>137</v>
      </c>
      <c r="V46" s="17" t="s">
        <v>146</v>
      </c>
    </row>
    <row r="47" spans="1:22" x14ac:dyDescent="0.3">
      <c r="A47" s="12" t="s">
        <v>2625</v>
      </c>
      <c r="B47" s="12" t="s">
        <v>20</v>
      </c>
      <c r="C47" s="12"/>
      <c r="D47" s="12" t="s">
        <v>193</v>
      </c>
      <c r="E47" s="12" t="s">
        <v>4319</v>
      </c>
      <c r="F47" s="12" t="s">
        <v>2589</v>
      </c>
      <c r="G47" s="12" t="s">
        <v>389</v>
      </c>
      <c r="H47" s="12" t="s">
        <v>2590</v>
      </c>
      <c r="I47" s="12" t="s">
        <v>39</v>
      </c>
      <c r="J47" s="12" t="s">
        <v>26</v>
      </c>
      <c r="K47" s="13" t="s">
        <v>2591</v>
      </c>
      <c r="L47" s="14" t="s">
        <v>2626</v>
      </c>
      <c r="N47" s="15" t="s">
        <v>4252</v>
      </c>
      <c r="O47" s="15"/>
      <c r="P47" s="15">
        <v>2</v>
      </c>
      <c r="Q47" s="15" t="s">
        <v>144</v>
      </c>
      <c r="R47" s="16">
        <v>44065</v>
      </c>
      <c r="S47" s="12" t="s">
        <v>2627</v>
      </c>
      <c r="T47" s="14" t="s">
        <v>2628</v>
      </c>
      <c r="U47" s="17" t="s">
        <v>137</v>
      </c>
      <c r="V47" s="17" t="s">
        <v>146</v>
      </c>
    </row>
    <row r="48" spans="1:22" x14ac:dyDescent="0.3">
      <c r="A48" s="12" t="s">
        <v>2629</v>
      </c>
      <c r="B48" s="12" t="s">
        <v>20</v>
      </c>
      <c r="C48" s="12"/>
      <c r="D48" s="12" t="s">
        <v>193</v>
      </c>
      <c r="E48" s="12"/>
      <c r="F48" s="12" t="s">
        <v>2630</v>
      </c>
      <c r="G48" s="12" t="s">
        <v>225</v>
      </c>
      <c r="H48" s="12" t="s">
        <v>2590</v>
      </c>
      <c r="I48" s="12" t="s">
        <v>39</v>
      </c>
      <c r="J48" s="12" t="s">
        <v>26</v>
      </c>
      <c r="K48" s="13" t="s">
        <v>2591</v>
      </c>
      <c r="L48" s="14" t="s">
        <v>2631</v>
      </c>
      <c r="M48" s="18" t="s">
        <v>4320</v>
      </c>
      <c r="N48" s="15" t="s">
        <v>4252</v>
      </c>
      <c r="O48" s="15" t="s">
        <v>220</v>
      </c>
      <c r="P48" s="15">
        <v>0</v>
      </c>
      <c r="Q48" s="15" t="s">
        <v>144</v>
      </c>
      <c r="R48" s="16">
        <v>40471</v>
      </c>
      <c r="S48" s="12" t="s">
        <v>2632</v>
      </c>
      <c r="T48" s="14" t="s">
        <v>2633</v>
      </c>
      <c r="U48" s="17" t="s">
        <v>137</v>
      </c>
      <c r="V48" s="17" t="s">
        <v>146</v>
      </c>
    </row>
    <row r="49" spans="1:22" x14ac:dyDescent="0.3">
      <c r="A49" s="12" t="s">
        <v>2709</v>
      </c>
      <c r="B49" s="12" t="s">
        <v>20</v>
      </c>
      <c r="C49" s="12"/>
      <c r="D49" s="12" t="s">
        <v>193</v>
      </c>
      <c r="E49" s="12"/>
      <c r="F49" s="12" t="s">
        <v>2710</v>
      </c>
      <c r="G49" s="12" t="s">
        <v>2711</v>
      </c>
      <c r="H49" s="12" t="s">
        <v>2636</v>
      </c>
      <c r="I49" s="12" t="s">
        <v>39</v>
      </c>
      <c r="J49" s="12" t="s">
        <v>26</v>
      </c>
      <c r="K49" s="13" t="s">
        <v>2578</v>
      </c>
      <c r="L49" s="14" t="s">
        <v>2712</v>
      </c>
      <c r="M49" s="18" t="s">
        <v>4300</v>
      </c>
      <c r="N49" s="15" t="s">
        <v>4260</v>
      </c>
      <c r="O49" s="15" t="s">
        <v>144</v>
      </c>
      <c r="P49" s="15">
        <v>0</v>
      </c>
      <c r="Q49" s="15" t="s">
        <v>144</v>
      </c>
      <c r="R49" s="16">
        <v>43858</v>
      </c>
      <c r="S49" s="12" t="s">
        <v>299</v>
      </c>
      <c r="T49" s="14" t="s">
        <v>2713</v>
      </c>
      <c r="U49" s="17" t="s">
        <v>137</v>
      </c>
      <c r="V49" s="17" t="s">
        <v>146</v>
      </c>
    </row>
    <row r="50" spans="1:22" x14ac:dyDescent="0.3">
      <c r="A50" s="12" t="s">
        <v>2629</v>
      </c>
      <c r="B50" s="12" t="s">
        <v>20</v>
      </c>
      <c r="C50" s="12"/>
      <c r="D50" s="12" t="s">
        <v>193</v>
      </c>
      <c r="E50" s="12" t="s">
        <v>4321</v>
      </c>
      <c r="F50" s="12" t="s">
        <v>2715</v>
      </c>
      <c r="G50" s="12" t="s">
        <v>995</v>
      </c>
      <c r="H50" s="12" t="s">
        <v>2636</v>
      </c>
      <c r="I50" s="12" t="s">
        <v>39</v>
      </c>
      <c r="J50" s="12" t="s">
        <v>26</v>
      </c>
      <c r="K50" s="13" t="s">
        <v>2578</v>
      </c>
      <c r="L50" s="14" t="s">
        <v>2716</v>
      </c>
      <c r="M50" s="18" t="s">
        <v>4320</v>
      </c>
      <c r="N50" s="15" t="s">
        <v>4252</v>
      </c>
      <c r="O50" s="15" t="s">
        <v>220</v>
      </c>
      <c r="P50" s="15">
        <v>2</v>
      </c>
      <c r="Q50" s="15" t="s">
        <v>144</v>
      </c>
      <c r="R50" s="16">
        <v>44827</v>
      </c>
      <c r="S50" s="12" t="s">
        <v>2629</v>
      </c>
      <c r="T50" s="14" t="s">
        <v>2717</v>
      </c>
      <c r="U50" s="17" t="s">
        <v>137</v>
      </c>
      <c r="V50" s="17" t="s">
        <v>146</v>
      </c>
    </row>
    <row r="51" spans="1:22" x14ac:dyDescent="0.3">
      <c r="A51" s="12" t="s">
        <v>2724</v>
      </c>
      <c r="B51" s="12" t="s">
        <v>20</v>
      </c>
      <c r="C51" s="12"/>
      <c r="D51" s="12" t="s">
        <v>193</v>
      </c>
      <c r="E51" s="12" t="s">
        <v>4322</v>
      </c>
      <c r="F51" s="12" t="s">
        <v>2691</v>
      </c>
      <c r="G51" s="12" t="s">
        <v>188</v>
      </c>
      <c r="H51" s="12" t="s">
        <v>2636</v>
      </c>
      <c r="I51" s="12" t="s">
        <v>39</v>
      </c>
      <c r="J51" s="12" t="s">
        <v>26</v>
      </c>
      <c r="K51" s="13" t="s">
        <v>2578</v>
      </c>
      <c r="L51" s="14" t="s">
        <v>2725</v>
      </c>
      <c r="M51" s="18" t="s">
        <v>4323</v>
      </c>
      <c r="N51" s="15" t="s">
        <v>4252</v>
      </c>
      <c r="O51" s="15" t="s">
        <v>144</v>
      </c>
      <c r="P51" s="15">
        <v>4</v>
      </c>
      <c r="Q51" s="15" t="s">
        <v>144</v>
      </c>
      <c r="R51" s="16">
        <v>42837</v>
      </c>
      <c r="S51" s="12" t="s">
        <v>2726</v>
      </c>
      <c r="T51" s="14" t="s">
        <v>2727</v>
      </c>
      <c r="U51" s="17" t="s">
        <v>137</v>
      </c>
      <c r="V51" s="17" t="s">
        <v>146</v>
      </c>
    </row>
    <row r="52" spans="1:22" x14ac:dyDescent="0.3">
      <c r="A52" s="12" t="s">
        <v>1366</v>
      </c>
      <c r="B52" s="12" t="s">
        <v>20</v>
      </c>
      <c r="C52" s="12"/>
      <c r="D52" s="12" t="s">
        <v>193</v>
      </c>
      <c r="E52" s="12"/>
      <c r="F52" s="12" t="s">
        <v>2772</v>
      </c>
      <c r="G52" s="12"/>
      <c r="H52" s="12" t="s">
        <v>2768</v>
      </c>
      <c r="I52" s="12" t="s">
        <v>43</v>
      </c>
      <c r="J52" s="12" t="s">
        <v>26</v>
      </c>
      <c r="K52" s="13" t="s">
        <v>2769</v>
      </c>
      <c r="L52" s="14" t="s">
        <v>2773</v>
      </c>
      <c r="M52" s="18" t="s">
        <v>4298</v>
      </c>
      <c r="N52" s="15" t="s">
        <v>4252</v>
      </c>
      <c r="O52" s="15" t="s">
        <v>220</v>
      </c>
      <c r="P52" s="15">
        <v>1</v>
      </c>
      <c r="Q52" s="15" t="s">
        <v>144</v>
      </c>
      <c r="R52" s="16">
        <v>45231</v>
      </c>
      <c r="S52" s="12" t="s">
        <v>241</v>
      </c>
      <c r="T52" s="14" t="s">
        <v>242</v>
      </c>
      <c r="U52" s="17" t="s">
        <v>137</v>
      </c>
      <c r="V52" s="17" t="s">
        <v>146</v>
      </c>
    </row>
    <row r="53" spans="1:22" x14ac:dyDescent="0.3">
      <c r="A53" s="12" t="s">
        <v>238</v>
      </c>
      <c r="B53" s="12" t="s">
        <v>20</v>
      </c>
      <c r="C53" s="12"/>
      <c r="D53" s="12" t="s">
        <v>193</v>
      </c>
      <c r="E53" s="12"/>
      <c r="F53" s="12" t="s">
        <v>2825</v>
      </c>
      <c r="G53" s="12"/>
      <c r="H53" s="12" t="s">
        <v>2826</v>
      </c>
      <c r="I53" s="12" t="s">
        <v>43</v>
      </c>
      <c r="J53" s="12" t="s">
        <v>26</v>
      </c>
      <c r="K53" s="13" t="s">
        <v>2827</v>
      </c>
      <c r="L53" s="14" t="s">
        <v>2828</v>
      </c>
      <c r="M53" s="18" t="s">
        <v>4298</v>
      </c>
      <c r="N53" s="15" t="s">
        <v>4252</v>
      </c>
      <c r="O53" s="15" t="s">
        <v>220</v>
      </c>
      <c r="P53" s="15">
        <v>1</v>
      </c>
      <c r="Q53" s="15" t="s">
        <v>144</v>
      </c>
      <c r="R53" s="16">
        <v>45231</v>
      </c>
      <c r="S53" s="12" t="s">
        <v>241</v>
      </c>
      <c r="T53" s="14" t="s">
        <v>242</v>
      </c>
      <c r="U53" s="17" t="s">
        <v>137</v>
      </c>
      <c r="V53" s="17" t="s">
        <v>146</v>
      </c>
    </row>
    <row r="54" spans="1:22" x14ac:dyDescent="0.3">
      <c r="A54" s="12" t="s">
        <v>2947</v>
      </c>
      <c r="B54" s="12" t="s">
        <v>20</v>
      </c>
      <c r="C54" s="12"/>
      <c r="D54" s="12" t="s">
        <v>193</v>
      </c>
      <c r="E54" s="12"/>
      <c r="F54" s="12" t="s">
        <v>2948</v>
      </c>
      <c r="G54" s="12" t="s">
        <v>1191</v>
      </c>
      <c r="H54" s="12" t="s">
        <v>2937</v>
      </c>
      <c r="I54" s="12" t="s">
        <v>44</v>
      </c>
      <c r="J54" s="12" t="s">
        <v>27</v>
      </c>
      <c r="K54" s="13" t="s">
        <v>2938</v>
      </c>
      <c r="L54" s="14" t="s">
        <v>2949</v>
      </c>
      <c r="M54" s="18" t="s">
        <v>4324</v>
      </c>
      <c r="N54" s="15" t="s">
        <v>4252</v>
      </c>
      <c r="O54" s="15" t="s">
        <v>220</v>
      </c>
      <c r="P54" s="15">
        <v>1</v>
      </c>
      <c r="Q54" s="15" t="s">
        <v>144</v>
      </c>
      <c r="R54" s="16">
        <v>44065</v>
      </c>
      <c r="S54" s="12" t="s">
        <v>2950</v>
      </c>
      <c r="T54" s="14" t="s">
        <v>2951</v>
      </c>
      <c r="U54" s="17" t="s">
        <v>137</v>
      </c>
      <c r="V54" s="17" t="s">
        <v>146</v>
      </c>
    </row>
    <row r="55" spans="1:22" x14ac:dyDescent="0.3">
      <c r="A55" s="12" t="s">
        <v>2978</v>
      </c>
      <c r="B55" s="12" t="s">
        <v>20</v>
      </c>
      <c r="C55" s="12"/>
      <c r="D55" s="12" t="s">
        <v>193</v>
      </c>
      <c r="E55" s="12" t="s">
        <v>4325</v>
      </c>
      <c r="F55" s="12" t="s">
        <v>2979</v>
      </c>
      <c r="G55" s="12" t="s">
        <v>188</v>
      </c>
      <c r="H55" s="12" t="s">
        <v>2973</v>
      </c>
      <c r="I55" s="12" t="s">
        <v>44</v>
      </c>
      <c r="J55" s="12" t="s">
        <v>27</v>
      </c>
      <c r="K55" s="13" t="s">
        <v>2980</v>
      </c>
      <c r="L55" s="14" t="s">
        <v>2981</v>
      </c>
      <c r="M55" s="18" t="s">
        <v>4326</v>
      </c>
      <c r="N55" s="15" t="s">
        <v>4252</v>
      </c>
      <c r="O55" s="15" t="s">
        <v>220</v>
      </c>
      <c r="P55" s="15">
        <v>11</v>
      </c>
      <c r="Q55" s="15" t="s">
        <v>144</v>
      </c>
      <c r="R55" s="16">
        <v>44065</v>
      </c>
      <c r="S55" s="12" t="s">
        <v>2982</v>
      </c>
      <c r="T55" s="14" t="s">
        <v>2983</v>
      </c>
      <c r="U55" s="17" t="s">
        <v>137</v>
      </c>
      <c r="V55" s="17" t="s">
        <v>146</v>
      </c>
    </row>
    <row r="56" spans="1:22" x14ac:dyDescent="0.3">
      <c r="A56" s="12" t="s">
        <v>3164</v>
      </c>
      <c r="B56" s="12" t="s">
        <v>20</v>
      </c>
      <c r="C56" s="12"/>
      <c r="D56" s="12" t="s">
        <v>193</v>
      </c>
      <c r="E56" s="12"/>
      <c r="F56" s="12" t="s">
        <v>3165</v>
      </c>
      <c r="G56" s="12" t="s">
        <v>319</v>
      </c>
      <c r="H56" s="12" t="s">
        <v>3159</v>
      </c>
      <c r="I56" s="12" t="s">
        <v>54</v>
      </c>
      <c r="J56" s="12" t="s">
        <v>28</v>
      </c>
      <c r="K56" s="13" t="s">
        <v>3160</v>
      </c>
      <c r="L56" s="14" t="s">
        <v>3166</v>
      </c>
      <c r="M56" s="18" t="s">
        <v>4327</v>
      </c>
      <c r="N56" s="15" t="s">
        <v>4252</v>
      </c>
      <c r="O56" s="15" t="s">
        <v>220</v>
      </c>
      <c r="P56" s="15">
        <v>4</v>
      </c>
      <c r="Q56" s="15" t="s">
        <v>144</v>
      </c>
      <c r="R56" s="16">
        <v>39455</v>
      </c>
      <c r="S56" s="12" t="s">
        <v>3164</v>
      </c>
      <c r="T56" s="14" t="s">
        <v>3167</v>
      </c>
      <c r="U56" s="17" t="s">
        <v>137</v>
      </c>
      <c r="V56" s="17" t="s">
        <v>146</v>
      </c>
    </row>
    <row r="57" spans="1:22" x14ac:dyDescent="0.3">
      <c r="A57" s="12" t="s">
        <v>3224</v>
      </c>
      <c r="B57" s="12" t="s">
        <v>20</v>
      </c>
      <c r="C57" s="12"/>
      <c r="D57" s="12" t="s">
        <v>193</v>
      </c>
      <c r="E57" s="12"/>
      <c r="F57" s="12" t="s">
        <v>3225</v>
      </c>
      <c r="G57" s="12"/>
      <c r="H57" s="12" t="s">
        <v>3214</v>
      </c>
      <c r="I57" s="12" t="s">
        <v>51</v>
      </c>
      <c r="J57" s="12" t="s">
        <v>28</v>
      </c>
      <c r="K57" s="13" t="s">
        <v>3215</v>
      </c>
      <c r="L57" s="14" t="s">
        <v>3226</v>
      </c>
      <c r="M57" s="18" t="s">
        <v>4328</v>
      </c>
      <c r="N57" s="15" t="s">
        <v>4252</v>
      </c>
      <c r="O57" s="15" t="s">
        <v>220</v>
      </c>
      <c r="P57" s="15">
        <v>0</v>
      </c>
      <c r="Q57" s="15" t="s">
        <v>144</v>
      </c>
      <c r="R57" s="16">
        <v>45694</v>
      </c>
      <c r="S57" s="12" t="s">
        <v>3227</v>
      </c>
      <c r="T57" s="14" t="s">
        <v>3228</v>
      </c>
      <c r="U57" s="17" t="s">
        <v>137</v>
      </c>
      <c r="V57" s="17" t="s">
        <v>146</v>
      </c>
    </row>
    <row r="58" spans="1:22" x14ac:dyDescent="0.3">
      <c r="A58" s="12" t="s">
        <v>3224</v>
      </c>
      <c r="B58" s="12" t="s">
        <v>20</v>
      </c>
      <c r="C58" s="12"/>
      <c r="D58" s="12" t="s">
        <v>193</v>
      </c>
      <c r="E58" s="12" t="s">
        <v>4329</v>
      </c>
      <c r="F58" s="12" t="s">
        <v>3291</v>
      </c>
      <c r="G58" s="12" t="s">
        <v>389</v>
      </c>
      <c r="H58" s="12" t="s">
        <v>3269</v>
      </c>
      <c r="I58" s="12" t="s">
        <v>41</v>
      </c>
      <c r="J58" s="12" t="s">
        <v>28</v>
      </c>
      <c r="K58" s="13" t="s">
        <v>3270</v>
      </c>
      <c r="L58" s="14" t="s">
        <v>3292</v>
      </c>
      <c r="M58" s="18" t="s">
        <v>4328</v>
      </c>
      <c r="N58" s="15" t="s">
        <v>4252</v>
      </c>
      <c r="O58" s="15" t="s">
        <v>220</v>
      </c>
      <c r="P58" s="15">
        <v>6</v>
      </c>
      <c r="Q58" s="15" t="s">
        <v>144</v>
      </c>
      <c r="R58" s="16">
        <v>45694</v>
      </c>
      <c r="S58" s="12" t="s">
        <v>3227</v>
      </c>
      <c r="T58" s="14" t="s">
        <v>3293</v>
      </c>
      <c r="U58" s="17" t="s">
        <v>137</v>
      </c>
      <c r="V58" s="17" t="s">
        <v>146</v>
      </c>
    </row>
    <row r="59" spans="1:22" x14ac:dyDescent="0.3">
      <c r="A59" s="12" t="s">
        <v>3334</v>
      </c>
      <c r="B59" s="12" t="s">
        <v>20</v>
      </c>
      <c r="C59" s="12"/>
      <c r="D59" s="12" t="s">
        <v>193</v>
      </c>
      <c r="E59" s="12" t="s">
        <v>4330</v>
      </c>
      <c r="F59" s="12" t="s">
        <v>3335</v>
      </c>
      <c r="G59" s="12"/>
      <c r="H59" s="12" t="s">
        <v>3269</v>
      </c>
      <c r="I59" s="12" t="s">
        <v>41</v>
      </c>
      <c r="J59" s="12" t="s">
        <v>28</v>
      </c>
      <c r="K59" s="13" t="s">
        <v>3288</v>
      </c>
      <c r="L59" s="14" t="s">
        <v>3336</v>
      </c>
      <c r="M59" s="18" t="s">
        <v>4331</v>
      </c>
      <c r="N59" s="15" t="s">
        <v>4252</v>
      </c>
      <c r="O59" s="15" t="s">
        <v>220</v>
      </c>
      <c r="P59" s="15">
        <v>6</v>
      </c>
      <c r="Q59" s="15" t="s">
        <v>144</v>
      </c>
      <c r="R59" s="16">
        <v>39512</v>
      </c>
      <c r="S59" s="12" t="s">
        <v>3337</v>
      </c>
      <c r="T59" s="14" t="s">
        <v>3338</v>
      </c>
      <c r="U59" s="17" t="s">
        <v>137</v>
      </c>
      <c r="V59" s="17" t="s">
        <v>146</v>
      </c>
    </row>
    <row r="60" spans="1:22" x14ac:dyDescent="0.3">
      <c r="A60" s="12" t="s">
        <v>3337</v>
      </c>
      <c r="B60" s="12" t="s">
        <v>20</v>
      </c>
      <c r="C60" s="12"/>
      <c r="D60" s="12" t="s">
        <v>193</v>
      </c>
      <c r="E60" s="12"/>
      <c r="F60" s="12" t="s">
        <v>3369</v>
      </c>
      <c r="G60" s="12" t="s">
        <v>3370</v>
      </c>
      <c r="H60" s="12" t="s">
        <v>3371</v>
      </c>
      <c r="I60" s="12" t="s">
        <v>41</v>
      </c>
      <c r="J60" s="12" t="s">
        <v>28</v>
      </c>
      <c r="K60" s="13" t="s">
        <v>3372</v>
      </c>
      <c r="L60" s="14" t="s">
        <v>3373</v>
      </c>
      <c r="N60" s="15" t="s">
        <v>4260</v>
      </c>
      <c r="O60" s="15"/>
      <c r="P60" s="15">
        <v>1</v>
      </c>
      <c r="Q60" s="15" t="s">
        <v>144</v>
      </c>
      <c r="R60" s="16">
        <v>39512</v>
      </c>
      <c r="S60" s="12" t="s">
        <v>3337</v>
      </c>
      <c r="T60" s="14" t="s">
        <v>3374</v>
      </c>
      <c r="U60" s="17" t="s">
        <v>137</v>
      </c>
      <c r="V60" s="17" t="s">
        <v>146</v>
      </c>
    </row>
    <row r="61" spans="1:22" x14ac:dyDescent="0.3">
      <c r="A61" s="12" t="s">
        <v>3224</v>
      </c>
      <c r="B61" s="12" t="s">
        <v>20</v>
      </c>
      <c r="C61" s="12"/>
      <c r="D61" s="12" t="s">
        <v>193</v>
      </c>
      <c r="E61" s="12"/>
      <c r="F61" s="12" t="s">
        <v>3382</v>
      </c>
      <c r="G61" s="12" t="s">
        <v>248</v>
      </c>
      <c r="H61" s="12" t="s">
        <v>3383</v>
      </c>
      <c r="I61" s="12" t="s">
        <v>41</v>
      </c>
      <c r="J61" s="12" t="s">
        <v>28</v>
      </c>
      <c r="K61" s="13" t="s">
        <v>3384</v>
      </c>
      <c r="L61" s="14" t="s">
        <v>3385</v>
      </c>
      <c r="M61" s="18" t="s">
        <v>4328</v>
      </c>
      <c r="N61" s="15" t="s">
        <v>4252</v>
      </c>
      <c r="O61" s="15" t="s">
        <v>220</v>
      </c>
      <c r="P61" s="15">
        <v>0</v>
      </c>
      <c r="Q61" s="15" t="s">
        <v>144</v>
      </c>
      <c r="R61" s="16">
        <v>45694</v>
      </c>
      <c r="S61" s="12" t="s">
        <v>3227</v>
      </c>
      <c r="T61" s="14" t="s">
        <v>3386</v>
      </c>
      <c r="U61" s="17" t="s">
        <v>137</v>
      </c>
      <c r="V61" s="17" t="s">
        <v>146</v>
      </c>
    </row>
    <row r="62" spans="1:22" x14ac:dyDescent="0.3">
      <c r="A62" s="12" t="s">
        <v>3549</v>
      </c>
      <c r="B62" s="12" t="s">
        <v>20</v>
      </c>
      <c r="C62" s="12"/>
      <c r="D62" s="12" t="s">
        <v>193</v>
      </c>
      <c r="E62" s="12" t="s">
        <v>4332</v>
      </c>
      <c r="F62" s="12" t="s">
        <v>3550</v>
      </c>
      <c r="G62" s="12"/>
      <c r="H62" s="12" t="s">
        <v>3505</v>
      </c>
      <c r="I62" s="12" t="s">
        <v>45</v>
      </c>
      <c r="J62" s="12" t="s">
        <v>30</v>
      </c>
      <c r="K62" s="13" t="s">
        <v>2944</v>
      </c>
      <c r="L62" s="14" t="s">
        <v>3551</v>
      </c>
      <c r="M62" s="18" t="s">
        <v>4333</v>
      </c>
      <c r="N62" s="15" t="s">
        <v>4252</v>
      </c>
      <c r="O62" s="15" t="s">
        <v>144</v>
      </c>
      <c r="P62" s="15">
        <v>1</v>
      </c>
      <c r="Q62" s="15" t="s">
        <v>144</v>
      </c>
      <c r="R62" s="16">
        <v>44998</v>
      </c>
      <c r="S62" s="12" t="s">
        <v>3549</v>
      </c>
      <c r="T62" s="14" t="s">
        <v>3552</v>
      </c>
      <c r="U62" s="17" t="s">
        <v>137</v>
      </c>
      <c r="V62" s="17" t="s">
        <v>146</v>
      </c>
    </row>
    <row r="63" spans="1:22" x14ac:dyDescent="0.3">
      <c r="A63" s="12" t="s">
        <v>3549</v>
      </c>
      <c r="B63" s="12" t="s">
        <v>20</v>
      </c>
      <c r="C63" s="12"/>
      <c r="D63" s="12" t="s">
        <v>193</v>
      </c>
      <c r="E63" s="12"/>
      <c r="F63" s="12" t="s">
        <v>3607</v>
      </c>
      <c r="G63" s="12"/>
      <c r="H63" s="12" t="s">
        <v>3586</v>
      </c>
      <c r="I63" s="12" t="s">
        <v>48</v>
      </c>
      <c r="J63" s="12" t="s">
        <v>30</v>
      </c>
      <c r="K63" s="13" t="s">
        <v>3587</v>
      </c>
      <c r="L63" s="14" t="s">
        <v>3551</v>
      </c>
      <c r="M63" s="18" t="s">
        <v>4333</v>
      </c>
      <c r="N63" s="15" t="s">
        <v>4252</v>
      </c>
      <c r="O63" s="15" t="s">
        <v>144</v>
      </c>
      <c r="P63" s="15">
        <v>0</v>
      </c>
      <c r="Q63" s="15" t="s">
        <v>144</v>
      </c>
      <c r="R63" s="16">
        <v>44998</v>
      </c>
      <c r="S63" s="12" t="s">
        <v>3549</v>
      </c>
      <c r="T63" s="14" t="s">
        <v>3552</v>
      </c>
      <c r="U63" s="17" t="s">
        <v>137</v>
      </c>
      <c r="V63" s="17" t="s">
        <v>146</v>
      </c>
    </row>
    <row r="64" spans="1:22" x14ac:dyDescent="0.3">
      <c r="A64" s="12" t="s">
        <v>3549</v>
      </c>
      <c r="B64" s="12" t="s">
        <v>20</v>
      </c>
      <c r="C64" s="12"/>
      <c r="D64" s="12" t="s">
        <v>193</v>
      </c>
      <c r="E64" s="12"/>
      <c r="F64" s="12" t="s">
        <v>3626</v>
      </c>
      <c r="G64" s="12"/>
      <c r="H64" s="12" t="s">
        <v>3622</v>
      </c>
      <c r="I64" s="12" t="s">
        <v>48</v>
      </c>
      <c r="J64" s="12" t="s">
        <v>30</v>
      </c>
      <c r="K64" s="13" t="s">
        <v>3623</v>
      </c>
      <c r="L64" s="14" t="s">
        <v>3551</v>
      </c>
      <c r="M64" s="18" t="s">
        <v>4333</v>
      </c>
      <c r="N64" s="15" t="s">
        <v>4252</v>
      </c>
      <c r="O64" s="15" t="s">
        <v>144</v>
      </c>
      <c r="P64" s="15">
        <v>0</v>
      </c>
      <c r="Q64" s="15" t="s">
        <v>144</v>
      </c>
      <c r="R64" s="16">
        <v>44998</v>
      </c>
      <c r="S64" s="12" t="s">
        <v>3549</v>
      </c>
      <c r="T64" s="14" t="s">
        <v>3552</v>
      </c>
      <c r="U64" s="17" t="s">
        <v>137</v>
      </c>
      <c r="V64" s="17" t="s">
        <v>146</v>
      </c>
    </row>
    <row r="65" spans="1:22" x14ac:dyDescent="0.3">
      <c r="A65" s="12" t="s">
        <v>3687</v>
      </c>
      <c r="B65" s="12" t="s">
        <v>20</v>
      </c>
      <c r="C65" s="12"/>
      <c r="D65" s="12" t="s">
        <v>193</v>
      </c>
      <c r="E65" s="12" t="s">
        <v>4334</v>
      </c>
      <c r="F65" s="12" t="s">
        <v>3688</v>
      </c>
      <c r="G65" s="12"/>
      <c r="H65" s="12" t="s">
        <v>3649</v>
      </c>
      <c r="I65" s="12" t="s">
        <v>50</v>
      </c>
      <c r="J65" s="12" t="s">
        <v>31</v>
      </c>
      <c r="K65" s="13" t="s">
        <v>3650</v>
      </c>
      <c r="L65" s="14" t="s">
        <v>3689</v>
      </c>
      <c r="M65" s="18" t="s">
        <v>4335</v>
      </c>
      <c r="N65" s="15" t="s">
        <v>4252</v>
      </c>
      <c r="O65" s="15" t="s">
        <v>220</v>
      </c>
      <c r="P65" s="15">
        <v>1</v>
      </c>
      <c r="Q65" s="15" t="s">
        <v>144</v>
      </c>
      <c r="R65" s="16">
        <v>46295</v>
      </c>
      <c r="S65" s="12" t="s">
        <v>3687</v>
      </c>
      <c r="T65" s="14" t="s">
        <v>3690</v>
      </c>
      <c r="U65" s="17" t="s">
        <v>137</v>
      </c>
      <c r="V65" s="17" t="s">
        <v>146</v>
      </c>
    </row>
    <row r="66" spans="1:22" x14ac:dyDescent="0.3">
      <c r="A66" s="12" t="s">
        <v>3993</v>
      </c>
      <c r="B66" s="12" t="s">
        <v>20</v>
      </c>
      <c r="C66" s="12"/>
      <c r="D66" s="12" t="s">
        <v>193</v>
      </c>
      <c r="E66" s="12"/>
      <c r="F66" s="12" t="s">
        <v>3994</v>
      </c>
      <c r="G66" s="12"/>
      <c r="H66" s="12" t="s">
        <v>3922</v>
      </c>
      <c r="I66" s="12" t="s">
        <v>42</v>
      </c>
      <c r="J66" s="12" t="s">
        <v>32</v>
      </c>
      <c r="K66" s="13" t="s">
        <v>3923</v>
      </c>
      <c r="L66" s="14" t="s">
        <v>3995</v>
      </c>
      <c r="M66" s="18" t="s">
        <v>4336</v>
      </c>
      <c r="N66" s="15" t="s">
        <v>4252</v>
      </c>
      <c r="O66" s="15" t="s">
        <v>144</v>
      </c>
      <c r="P66" s="15">
        <v>1</v>
      </c>
      <c r="Q66" s="15" t="s">
        <v>144</v>
      </c>
      <c r="R66" s="16">
        <v>40680</v>
      </c>
      <c r="S66" s="12" t="s">
        <v>3996</v>
      </c>
      <c r="T66" s="14" t="s">
        <v>3997</v>
      </c>
      <c r="U66" s="17" t="s">
        <v>137</v>
      </c>
      <c r="V66" s="17" t="s">
        <v>146</v>
      </c>
    </row>
    <row r="67" spans="1:22" x14ac:dyDescent="0.3">
      <c r="A67" s="12" t="s">
        <v>3687</v>
      </c>
      <c r="B67" s="12" t="s">
        <v>20</v>
      </c>
      <c r="C67" s="12"/>
      <c r="D67" s="12" t="s">
        <v>193</v>
      </c>
      <c r="E67" s="12" t="s">
        <v>4337</v>
      </c>
      <c r="F67" s="12" t="s">
        <v>4021</v>
      </c>
      <c r="G67" s="12" t="s">
        <v>359</v>
      </c>
      <c r="H67" s="12" t="s">
        <v>3922</v>
      </c>
      <c r="I67" s="12" t="s">
        <v>42</v>
      </c>
      <c r="J67" s="12" t="s">
        <v>32</v>
      </c>
      <c r="K67" s="13" t="s">
        <v>3925</v>
      </c>
      <c r="L67" s="14" t="s">
        <v>4022</v>
      </c>
      <c r="M67" s="18" t="s">
        <v>4335</v>
      </c>
      <c r="N67" s="15" t="s">
        <v>4252</v>
      </c>
      <c r="O67" s="15" t="s">
        <v>220</v>
      </c>
      <c r="P67" s="15">
        <v>1</v>
      </c>
      <c r="Q67" s="15" t="s">
        <v>144</v>
      </c>
      <c r="R67" s="16">
        <v>46295</v>
      </c>
      <c r="S67" s="12" t="s">
        <v>3687</v>
      </c>
      <c r="T67" s="14" t="s">
        <v>3690</v>
      </c>
      <c r="U67" s="17" t="s">
        <v>137</v>
      </c>
      <c r="V67" s="17" t="s">
        <v>146</v>
      </c>
    </row>
    <row r="68" spans="1:22" x14ac:dyDescent="0.3">
      <c r="A68" s="12" t="s">
        <v>4126</v>
      </c>
      <c r="B68" s="12" t="s">
        <v>20</v>
      </c>
      <c r="C68" s="12"/>
      <c r="D68" s="12" t="s">
        <v>193</v>
      </c>
      <c r="E68" s="12"/>
      <c r="F68" s="12" t="s">
        <v>4127</v>
      </c>
      <c r="G68" s="12"/>
      <c r="H68" s="12" t="s">
        <v>4120</v>
      </c>
      <c r="I68" s="12" t="s">
        <v>67</v>
      </c>
      <c r="J68" s="12" t="s">
        <v>33</v>
      </c>
      <c r="K68" s="13" t="s">
        <v>4121</v>
      </c>
      <c r="L68" s="14" t="s">
        <v>4128</v>
      </c>
      <c r="N68" s="15" t="s">
        <v>4263</v>
      </c>
      <c r="O68" s="15"/>
      <c r="P68" s="15">
        <v>2</v>
      </c>
      <c r="Q68" s="15" t="s">
        <v>144</v>
      </c>
      <c r="R68" s="16">
        <v>45224</v>
      </c>
      <c r="S68" s="12" t="s">
        <v>4126</v>
      </c>
      <c r="T68" s="14" t="s">
        <v>4129</v>
      </c>
      <c r="U68" s="17" t="s">
        <v>137</v>
      </c>
      <c r="V68" s="17" t="s">
        <v>146</v>
      </c>
    </row>
  </sheetData>
  <conditionalFormatting sqref="N2:N68">
    <cfRule type="expression" dxfId="3" priority="2">
      <formula>$N2="Confirmed"</formula>
    </cfRule>
    <cfRule type="expression" dxfId="2" priority="3">
      <formula>$N2="New address"</formula>
    </cfRule>
  </conditionalFormatting>
  <conditionalFormatting sqref="Q2:Q68">
    <cfRule type="expression" dxfId="1" priority="1">
      <formula>$Q2="Yes"</formula>
    </cfRule>
  </conditionalFormatting>
  <hyperlinks>
    <hyperlink ref="U2" r:id="rId1" xr:uid="{00000000-0004-0000-0700-000000000000}"/>
    <hyperlink ref="V2" r:id="rId2" xr:uid="{00000000-0004-0000-0700-000001000000}"/>
    <hyperlink ref="M3" r:id="rId3" xr:uid="{00000000-0004-0000-0700-000002000000}"/>
    <hyperlink ref="U3" r:id="rId4" xr:uid="{00000000-0004-0000-0700-000003000000}"/>
    <hyperlink ref="V3" r:id="rId5" xr:uid="{00000000-0004-0000-0700-000004000000}"/>
    <hyperlink ref="M4" r:id="rId6" xr:uid="{00000000-0004-0000-0700-000005000000}"/>
    <hyperlink ref="U4" r:id="rId7" xr:uid="{00000000-0004-0000-0700-000006000000}"/>
    <hyperlink ref="V4" r:id="rId8" xr:uid="{00000000-0004-0000-0700-000007000000}"/>
    <hyperlink ref="M5" r:id="rId9" xr:uid="{00000000-0004-0000-0700-000008000000}"/>
    <hyperlink ref="U5" r:id="rId10" xr:uid="{00000000-0004-0000-0700-000009000000}"/>
    <hyperlink ref="V5" r:id="rId11" xr:uid="{00000000-0004-0000-0700-00000A000000}"/>
    <hyperlink ref="M6" r:id="rId12" xr:uid="{00000000-0004-0000-0700-00000B000000}"/>
    <hyperlink ref="U6" r:id="rId13" xr:uid="{00000000-0004-0000-0700-00000C000000}"/>
    <hyperlink ref="V6" r:id="rId14" xr:uid="{00000000-0004-0000-0700-00000D000000}"/>
    <hyperlink ref="M7" r:id="rId15" xr:uid="{00000000-0004-0000-0700-00000E000000}"/>
    <hyperlink ref="U7" r:id="rId16" xr:uid="{00000000-0004-0000-0700-00000F000000}"/>
    <hyperlink ref="V7" r:id="rId17" xr:uid="{00000000-0004-0000-0700-000010000000}"/>
    <hyperlink ref="M8" r:id="rId18" xr:uid="{00000000-0004-0000-0700-000011000000}"/>
    <hyperlink ref="U8" r:id="rId19" xr:uid="{00000000-0004-0000-0700-000012000000}"/>
    <hyperlink ref="V8" r:id="rId20" xr:uid="{00000000-0004-0000-0700-000013000000}"/>
    <hyperlink ref="M9" r:id="rId21" xr:uid="{00000000-0004-0000-0700-000014000000}"/>
    <hyperlink ref="U9" r:id="rId22" xr:uid="{00000000-0004-0000-0700-000015000000}"/>
    <hyperlink ref="V9" r:id="rId23" xr:uid="{00000000-0004-0000-0700-000016000000}"/>
    <hyperlink ref="M10" r:id="rId24" xr:uid="{00000000-0004-0000-0700-000017000000}"/>
    <hyperlink ref="U10" r:id="rId25" xr:uid="{00000000-0004-0000-0700-000018000000}"/>
    <hyperlink ref="V10" r:id="rId26" xr:uid="{00000000-0004-0000-0700-000019000000}"/>
    <hyperlink ref="U11" r:id="rId27" xr:uid="{00000000-0004-0000-0700-00001A000000}"/>
    <hyperlink ref="V11" r:id="rId28" xr:uid="{00000000-0004-0000-0700-00001B000000}"/>
    <hyperlink ref="M12" r:id="rId29" xr:uid="{00000000-0004-0000-0700-00001C000000}"/>
    <hyperlink ref="U12" r:id="rId30" xr:uid="{00000000-0004-0000-0700-00001D000000}"/>
    <hyperlink ref="V12" r:id="rId31" xr:uid="{00000000-0004-0000-0700-00001E000000}"/>
    <hyperlink ref="M13" r:id="rId32" xr:uid="{00000000-0004-0000-0700-00001F000000}"/>
    <hyperlink ref="U13" r:id="rId33" xr:uid="{00000000-0004-0000-0700-000020000000}"/>
    <hyperlink ref="V13" r:id="rId34" xr:uid="{00000000-0004-0000-0700-000021000000}"/>
    <hyperlink ref="M14" r:id="rId35" xr:uid="{00000000-0004-0000-0700-000022000000}"/>
    <hyperlink ref="U14" r:id="rId36" xr:uid="{00000000-0004-0000-0700-000023000000}"/>
    <hyperlink ref="V14" r:id="rId37" xr:uid="{00000000-0004-0000-0700-000024000000}"/>
    <hyperlink ref="M15" r:id="rId38" xr:uid="{00000000-0004-0000-0700-000025000000}"/>
    <hyperlink ref="U15" r:id="rId39" xr:uid="{00000000-0004-0000-0700-000026000000}"/>
    <hyperlink ref="V15" r:id="rId40" xr:uid="{00000000-0004-0000-0700-000027000000}"/>
    <hyperlink ref="M16" r:id="rId41" xr:uid="{00000000-0004-0000-0700-000028000000}"/>
    <hyperlink ref="U16" r:id="rId42" xr:uid="{00000000-0004-0000-0700-000029000000}"/>
    <hyperlink ref="V16" r:id="rId43" xr:uid="{00000000-0004-0000-0700-00002A000000}"/>
    <hyperlink ref="M17" r:id="rId44" xr:uid="{00000000-0004-0000-0700-00002B000000}"/>
    <hyperlink ref="U17" r:id="rId45" xr:uid="{00000000-0004-0000-0700-00002C000000}"/>
    <hyperlink ref="V17" r:id="rId46" xr:uid="{00000000-0004-0000-0700-00002D000000}"/>
    <hyperlink ref="M18" r:id="rId47" xr:uid="{00000000-0004-0000-0700-00002E000000}"/>
    <hyperlink ref="U18" r:id="rId48" xr:uid="{00000000-0004-0000-0700-00002F000000}"/>
    <hyperlink ref="V18" r:id="rId49" xr:uid="{00000000-0004-0000-0700-000030000000}"/>
    <hyperlink ref="M19" r:id="rId50" xr:uid="{00000000-0004-0000-0700-000031000000}"/>
    <hyperlink ref="U19" r:id="rId51" xr:uid="{00000000-0004-0000-0700-000032000000}"/>
    <hyperlink ref="V19" r:id="rId52" xr:uid="{00000000-0004-0000-0700-000033000000}"/>
    <hyperlink ref="M20" r:id="rId53" xr:uid="{00000000-0004-0000-0700-000034000000}"/>
    <hyperlink ref="U20" r:id="rId54" xr:uid="{00000000-0004-0000-0700-000035000000}"/>
    <hyperlink ref="V20" r:id="rId55" xr:uid="{00000000-0004-0000-0700-000036000000}"/>
    <hyperlink ref="M21" r:id="rId56" xr:uid="{00000000-0004-0000-0700-000037000000}"/>
    <hyperlink ref="U21" r:id="rId57" xr:uid="{00000000-0004-0000-0700-000038000000}"/>
    <hyperlink ref="V21" r:id="rId58" xr:uid="{00000000-0004-0000-0700-000039000000}"/>
    <hyperlink ref="M22" r:id="rId59" xr:uid="{00000000-0004-0000-0700-00003A000000}"/>
    <hyperlink ref="U22" r:id="rId60" xr:uid="{00000000-0004-0000-0700-00003B000000}"/>
    <hyperlink ref="V22" r:id="rId61" xr:uid="{00000000-0004-0000-0700-00003C000000}"/>
    <hyperlink ref="M23" r:id="rId62" xr:uid="{00000000-0004-0000-0700-00003D000000}"/>
    <hyperlink ref="U23" r:id="rId63" xr:uid="{00000000-0004-0000-0700-00003E000000}"/>
    <hyperlink ref="V23" r:id="rId64" xr:uid="{00000000-0004-0000-0700-00003F000000}"/>
    <hyperlink ref="M24" r:id="rId65" xr:uid="{00000000-0004-0000-0700-000040000000}"/>
    <hyperlink ref="U24" r:id="rId66" xr:uid="{00000000-0004-0000-0700-000041000000}"/>
    <hyperlink ref="V24" r:id="rId67" xr:uid="{00000000-0004-0000-0700-000042000000}"/>
    <hyperlink ref="U25" r:id="rId68" xr:uid="{00000000-0004-0000-0700-000043000000}"/>
    <hyperlink ref="V25" r:id="rId69" xr:uid="{00000000-0004-0000-0700-000044000000}"/>
    <hyperlink ref="M26" r:id="rId70" xr:uid="{00000000-0004-0000-0700-000045000000}"/>
    <hyperlink ref="U26" r:id="rId71" xr:uid="{00000000-0004-0000-0700-000046000000}"/>
    <hyperlink ref="V26" r:id="rId72" xr:uid="{00000000-0004-0000-0700-000047000000}"/>
    <hyperlink ref="M27" r:id="rId73" xr:uid="{00000000-0004-0000-0700-000048000000}"/>
    <hyperlink ref="U27" r:id="rId74" xr:uid="{00000000-0004-0000-0700-000049000000}"/>
    <hyperlink ref="V27" r:id="rId75" xr:uid="{00000000-0004-0000-0700-00004A000000}"/>
    <hyperlink ref="M28" r:id="rId76" xr:uid="{00000000-0004-0000-0700-00004B000000}"/>
    <hyperlink ref="U28" r:id="rId77" xr:uid="{00000000-0004-0000-0700-00004C000000}"/>
    <hyperlink ref="V28" r:id="rId78" xr:uid="{00000000-0004-0000-0700-00004D000000}"/>
    <hyperlink ref="M29" r:id="rId79" xr:uid="{00000000-0004-0000-0700-00004E000000}"/>
    <hyperlink ref="U29" r:id="rId80" xr:uid="{00000000-0004-0000-0700-00004F000000}"/>
    <hyperlink ref="V29" r:id="rId81" xr:uid="{00000000-0004-0000-0700-000050000000}"/>
    <hyperlink ref="M30" r:id="rId82" xr:uid="{00000000-0004-0000-0700-000051000000}"/>
    <hyperlink ref="U30" r:id="rId83" xr:uid="{00000000-0004-0000-0700-000052000000}"/>
    <hyperlink ref="V30" r:id="rId84" xr:uid="{00000000-0004-0000-0700-000053000000}"/>
    <hyperlink ref="M31" r:id="rId85" xr:uid="{00000000-0004-0000-0700-000054000000}"/>
    <hyperlink ref="U31" r:id="rId86" xr:uid="{00000000-0004-0000-0700-000055000000}"/>
    <hyperlink ref="V31" r:id="rId87" xr:uid="{00000000-0004-0000-0700-000056000000}"/>
    <hyperlink ref="M32" r:id="rId88" xr:uid="{00000000-0004-0000-0700-000057000000}"/>
    <hyperlink ref="U32" r:id="rId89" xr:uid="{00000000-0004-0000-0700-000058000000}"/>
    <hyperlink ref="V32" r:id="rId90" xr:uid="{00000000-0004-0000-0700-000059000000}"/>
    <hyperlink ref="M33" r:id="rId91" xr:uid="{00000000-0004-0000-0700-00005A000000}"/>
    <hyperlink ref="U33" r:id="rId92" xr:uid="{00000000-0004-0000-0700-00005B000000}"/>
    <hyperlink ref="V33" r:id="rId93" xr:uid="{00000000-0004-0000-0700-00005C000000}"/>
    <hyperlink ref="M34" r:id="rId94" xr:uid="{00000000-0004-0000-0700-00005D000000}"/>
    <hyperlink ref="U34" r:id="rId95" xr:uid="{00000000-0004-0000-0700-00005E000000}"/>
    <hyperlink ref="V34" r:id="rId96" xr:uid="{00000000-0004-0000-0700-00005F000000}"/>
    <hyperlink ref="M35" r:id="rId97" xr:uid="{00000000-0004-0000-0700-000060000000}"/>
    <hyperlink ref="U35" r:id="rId98" xr:uid="{00000000-0004-0000-0700-000061000000}"/>
    <hyperlink ref="V35" r:id="rId99" xr:uid="{00000000-0004-0000-0700-000062000000}"/>
    <hyperlink ref="M36" r:id="rId100" xr:uid="{00000000-0004-0000-0700-000063000000}"/>
    <hyperlink ref="U36" r:id="rId101" xr:uid="{00000000-0004-0000-0700-000064000000}"/>
    <hyperlink ref="V36" r:id="rId102" xr:uid="{00000000-0004-0000-0700-000065000000}"/>
    <hyperlink ref="M37" r:id="rId103" xr:uid="{00000000-0004-0000-0700-000066000000}"/>
    <hyperlink ref="U37" r:id="rId104" xr:uid="{00000000-0004-0000-0700-000067000000}"/>
    <hyperlink ref="V37" r:id="rId105" xr:uid="{00000000-0004-0000-0700-000068000000}"/>
    <hyperlink ref="M38" r:id="rId106" xr:uid="{00000000-0004-0000-0700-000069000000}"/>
    <hyperlink ref="U38" r:id="rId107" xr:uid="{00000000-0004-0000-0700-00006A000000}"/>
    <hyperlink ref="V38" r:id="rId108" xr:uid="{00000000-0004-0000-0700-00006B000000}"/>
    <hyperlink ref="M39" r:id="rId109" xr:uid="{00000000-0004-0000-0700-00006C000000}"/>
    <hyperlink ref="U39" r:id="rId110" xr:uid="{00000000-0004-0000-0700-00006D000000}"/>
    <hyperlink ref="V39" r:id="rId111" xr:uid="{00000000-0004-0000-0700-00006E000000}"/>
    <hyperlink ref="U40" r:id="rId112" xr:uid="{00000000-0004-0000-0700-00006F000000}"/>
    <hyperlink ref="V40" r:id="rId113" xr:uid="{00000000-0004-0000-0700-000070000000}"/>
    <hyperlink ref="M41" r:id="rId114" xr:uid="{00000000-0004-0000-0700-000071000000}"/>
    <hyperlink ref="U41" r:id="rId115" xr:uid="{00000000-0004-0000-0700-000072000000}"/>
    <hyperlink ref="V41" r:id="rId116" xr:uid="{00000000-0004-0000-0700-000073000000}"/>
    <hyperlink ref="M42" r:id="rId117" xr:uid="{00000000-0004-0000-0700-000074000000}"/>
    <hyperlink ref="U42" r:id="rId118" xr:uid="{00000000-0004-0000-0700-000075000000}"/>
    <hyperlink ref="V42" r:id="rId119" xr:uid="{00000000-0004-0000-0700-000076000000}"/>
    <hyperlink ref="M43" r:id="rId120" xr:uid="{00000000-0004-0000-0700-000077000000}"/>
    <hyperlink ref="U43" r:id="rId121" xr:uid="{00000000-0004-0000-0700-000078000000}"/>
    <hyperlink ref="V43" r:id="rId122" xr:uid="{00000000-0004-0000-0700-000079000000}"/>
    <hyperlink ref="M44" r:id="rId123" xr:uid="{00000000-0004-0000-0700-00007A000000}"/>
    <hyperlink ref="U44" r:id="rId124" xr:uid="{00000000-0004-0000-0700-00007B000000}"/>
    <hyperlink ref="V44" r:id="rId125" xr:uid="{00000000-0004-0000-0700-00007C000000}"/>
    <hyperlink ref="M45" r:id="rId126" xr:uid="{00000000-0004-0000-0700-00007D000000}"/>
    <hyperlink ref="U45" r:id="rId127" xr:uid="{00000000-0004-0000-0700-00007E000000}"/>
    <hyperlink ref="V45" r:id="rId128" xr:uid="{00000000-0004-0000-0700-00007F000000}"/>
    <hyperlink ref="U46" r:id="rId129" xr:uid="{00000000-0004-0000-0700-000080000000}"/>
    <hyperlink ref="V46" r:id="rId130" xr:uid="{00000000-0004-0000-0700-000081000000}"/>
    <hyperlink ref="U47" r:id="rId131" xr:uid="{00000000-0004-0000-0700-000082000000}"/>
    <hyperlink ref="V47" r:id="rId132" xr:uid="{00000000-0004-0000-0700-000083000000}"/>
    <hyperlink ref="M48" r:id="rId133" xr:uid="{00000000-0004-0000-0700-000084000000}"/>
    <hyperlink ref="U48" r:id="rId134" xr:uid="{00000000-0004-0000-0700-000085000000}"/>
    <hyperlink ref="V48" r:id="rId135" xr:uid="{00000000-0004-0000-0700-000086000000}"/>
    <hyperlink ref="M49" r:id="rId136" xr:uid="{00000000-0004-0000-0700-000087000000}"/>
    <hyperlink ref="U49" r:id="rId137" xr:uid="{00000000-0004-0000-0700-000088000000}"/>
    <hyperlink ref="V49" r:id="rId138" xr:uid="{00000000-0004-0000-0700-000089000000}"/>
    <hyperlink ref="M50" r:id="rId139" xr:uid="{00000000-0004-0000-0700-00008A000000}"/>
    <hyperlink ref="U50" r:id="rId140" xr:uid="{00000000-0004-0000-0700-00008B000000}"/>
    <hyperlink ref="V50" r:id="rId141" xr:uid="{00000000-0004-0000-0700-00008C000000}"/>
    <hyperlink ref="M51" r:id="rId142" xr:uid="{00000000-0004-0000-0700-00008D000000}"/>
    <hyperlink ref="U51" r:id="rId143" xr:uid="{00000000-0004-0000-0700-00008E000000}"/>
    <hyperlink ref="V51" r:id="rId144" xr:uid="{00000000-0004-0000-0700-00008F000000}"/>
    <hyperlink ref="M52" r:id="rId145" xr:uid="{00000000-0004-0000-0700-000090000000}"/>
    <hyperlink ref="U52" r:id="rId146" xr:uid="{00000000-0004-0000-0700-000091000000}"/>
    <hyperlink ref="V52" r:id="rId147" xr:uid="{00000000-0004-0000-0700-000092000000}"/>
    <hyperlink ref="M53" r:id="rId148" xr:uid="{00000000-0004-0000-0700-000093000000}"/>
    <hyperlink ref="U53" r:id="rId149" xr:uid="{00000000-0004-0000-0700-000094000000}"/>
    <hyperlink ref="V53" r:id="rId150" xr:uid="{00000000-0004-0000-0700-000095000000}"/>
    <hyperlink ref="M54" r:id="rId151" xr:uid="{00000000-0004-0000-0700-000096000000}"/>
    <hyperlink ref="U54" r:id="rId152" xr:uid="{00000000-0004-0000-0700-000097000000}"/>
    <hyperlink ref="V54" r:id="rId153" xr:uid="{00000000-0004-0000-0700-000098000000}"/>
    <hyperlink ref="M55" r:id="rId154" xr:uid="{00000000-0004-0000-0700-000099000000}"/>
    <hyperlink ref="U55" r:id="rId155" xr:uid="{00000000-0004-0000-0700-00009A000000}"/>
    <hyperlink ref="V55" r:id="rId156" xr:uid="{00000000-0004-0000-0700-00009B000000}"/>
    <hyperlink ref="M56" r:id="rId157" xr:uid="{00000000-0004-0000-0700-00009C000000}"/>
    <hyperlink ref="U56" r:id="rId158" xr:uid="{00000000-0004-0000-0700-00009D000000}"/>
    <hyperlink ref="V56" r:id="rId159" xr:uid="{00000000-0004-0000-0700-00009E000000}"/>
    <hyperlink ref="M57" r:id="rId160" xr:uid="{00000000-0004-0000-0700-00009F000000}"/>
    <hyperlink ref="U57" r:id="rId161" xr:uid="{00000000-0004-0000-0700-0000A0000000}"/>
    <hyperlink ref="V57" r:id="rId162" xr:uid="{00000000-0004-0000-0700-0000A1000000}"/>
    <hyperlink ref="M58" r:id="rId163" xr:uid="{00000000-0004-0000-0700-0000A2000000}"/>
    <hyperlink ref="U58" r:id="rId164" xr:uid="{00000000-0004-0000-0700-0000A3000000}"/>
    <hyperlink ref="V58" r:id="rId165" xr:uid="{00000000-0004-0000-0700-0000A4000000}"/>
    <hyperlink ref="M59" r:id="rId166" xr:uid="{00000000-0004-0000-0700-0000A5000000}"/>
    <hyperlink ref="U59" r:id="rId167" xr:uid="{00000000-0004-0000-0700-0000A6000000}"/>
    <hyperlink ref="V59" r:id="rId168" xr:uid="{00000000-0004-0000-0700-0000A7000000}"/>
    <hyperlink ref="U60" r:id="rId169" xr:uid="{00000000-0004-0000-0700-0000A8000000}"/>
    <hyperlink ref="V60" r:id="rId170" xr:uid="{00000000-0004-0000-0700-0000A9000000}"/>
    <hyperlink ref="M61" r:id="rId171" xr:uid="{00000000-0004-0000-0700-0000AA000000}"/>
    <hyperlink ref="U61" r:id="rId172" xr:uid="{00000000-0004-0000-0700-0000AB000000}"/>
    <hyperlink ref="V61" r:id="rId173" xr:uid="{00000000-0004-0000-0700-0000AC000000}"/>
    <hyperlink ref="M62" r:id="rId174" xr:uid="{00000000-0004-0000-0700-0000AD000000}"/>
    <hyperlink ref="U62" r:id="rId175" xr:uid="{00000000-0004-0000-0700-0000AE000000}"/>
    <hyperlink ref="V62" r:id="rId176" xr:uid="{00000000-0004-0000-0700-0000AF000000}"/>
    <hyperlink ref="M63" r:id="rId177" xr:uid="{00000000-0004-0000-0700-0000B0000000}"/>
    <hyperlink ref="U63" r:id="rId178" xr:uid="{00000000-0004-0000-0700-0000B1000000}"/>
    <hyperlink ref="V63" r:id="rId179" xr:uid="{00000000-0004-0000-0700-0000B2000000}"/>
    <hyperlink ref="M64" r:id="rId180" xr:uid="{00000000-0004-0000-0700-0000B3000000}"/>
    <hyperlink ref="U64" r:id="rId181" xr:uid="{00000000-0004-0000-0700-0000B4000000}"/>
    <hyperlink ref="V64" r:id="rId182" xr:uid="{00000000-0004-0000-0700-0000B5000000}"/>
    <hyperlink ref="M65" r:id="rId183" xr:uid="{00000000-0004-0000-0700-0000B6000000}"/>
    <hyperlink ref="U65" r:id="rId184" xr:uid="{00000000-0004-0000-0700-0000B7000000}"/>
    <hyperlink ref="V65" r:id="rId185" xr:uid="{00000000-0004-0000-0700-0000B8000000}"/>
    <hyperlink ref="M66" r:id="rId186" xr:uid="{00000000-0004-0000-0700-0000B9000000}"/>
    <hyperlink ref="U66" r:id="rId187" xr:uid="{00000000-0004-0000-0700-0000BA000000}"/>
    <hyperlink ref="V66" r:id="rId188" xr:uid="{00000000-0004-0000-0700-0000BB000000}"/>
    <hyperlink ref="M67" r:id="rId189" xr:uid="{00000000-0004-0000-0700-0000BC000000}"/>
    <hyperlink ref="U67" r:id="rId190" xr:uid="{00000000-0004-0000-0700-0000BD000000}"/>
    <hyperlink ref="V67" r:id="rId191" xr:uid="{00000000-0004-0000-0700-0000BE000000}"/>
    <hyperlink ref="U68" r:id="rId192" xr:uid="{00000000-0004-0000-0700-0000BF000000}"/>
    <hyperlink ref="V68" r:id="rId193" xr:uid="{00000000-0004-0000-0700-0000C0000000}"/>
  </hyperlinks>
  <pageMargins left="0.75" right="0.75" top="1" bottom="1" header="0.5" footer="0.5"/>
  <pageSetup fitToHeight="0" orientation="landscape"/>
  <tableParts count="1">
    <tablePart r:id="rId19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2082"/>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4" width="34" customWidth="1"/>
    <col min="5" max="5" width="30" customWidth="1"/>
    <col min="6" max="6" width="12" customWidth="1"/>
    <col min="7" max="7" width="18" customWidth="1"/>
    <col min="8" max="8" width="15" customWidth="1"/>
    <col min="9" max="9" width="22" customWidth="1"/>
    <col min="10" max="10" width="8" customWidth="1"/>
    <col min="11" max="11" width="15" customWidth="1"/>
    <col min="12" max="14" width="11" customWidth="1"/>
    <col min="15" max="15" width="46" customWidth="1"/>
    <col min="16" max="16" width="12" customWidth="1"/>
    <col min="17" max="17" width="8" customWidth="1"/>
    <col min="18" max="18" width="10" customWidth="1"/>
  </cols>
  <sheetData>
    <row r="1" spans="1:18" ht="30" customHeight="1" x14ac:dyDescent="0.3">
      <c r="A1" s="11" t="s">
        <v>123</v>
      </c>
      <c r="B1" s="11" t="s">
        <v>124</v>
      </c>
      <c r="C1" s="11" t="s">
        <v>125</v>
      </c>
      <c r="D1" s="11" t="s">
        <v>126</v>
      </c>
      <c r="E1" s="11" t="s">
        <v>127</v>
      </c>
      <c r="F1" s="11" t="s">
        <v>128</v>
      </c>
      <c r="G1" s="11" t="s">
        <v>129</v>
      </c>
      <c r="H1" s="11" t="s">
        <v>35</v>
      </c>
      <c r="I1" s="11" t="s">
        <v>24</v>
      </c>
      <c r="J1" s="11" t="s">
        <v>130</v>
      </c>
      <c r="K1" s="11" t="s">
        <v>131</v>
      </c>
      <c r="L1" s="11" t="s">
        <v>132</v>
      </c>
      <c r="M1" s="11" t="s">
        <v>133</v>
      </c>
      <c r="N1" s="11" t="s">
        <v>134</v>
      </c>
      <c r="O1" s="11" t="s">
        <v>135</v>
      </c>
      <c r="P1" s="11" t="s">
        <v>136</v>
      </c>
      <c r="Q1" s="11" t="s">
        <v>137</v>
      </c>
      <c r="R1" s="11" t="s">
        <v>138</v>
      </c>
    </row>
    <row r="2" spans="1:18" x14ac:dyDescent="0.3">
      <c r="A2" s="12" t="s">
        <v>4338</v>
      </c>
      <c r="B2" s="12" t="s">
        <v>12</v>
      </c>
      <c r="C2" s="12"/>
      <c r="D2" s="12" t="s">
        <v>12</v>
      </c>
      <c r="E2" s="12" t="s">
        <v>4339</v>
      </c>
      <c r="F2" s="12" t="s">
        <v>947</v>
      </c>
      <c r="G2" s="12" t="s">
        <v>141</v>
      </c>
      <c r="H2" s="12" t="s">
        <v>40</v>
      </c>
      <c r="I2" s="12" t="s">
        <v>26</v>
      </c>
      <c r="J2" s="13" t="s">
        <v>142</v>
      </c>
      <c r="K2" s="14" t="s">
        <v>4340</v>
      </c>
      <c r="L2" s="15">
        <v>1</v>
      </c>
      <c r="M2" s="15" t="s">
        <v>144</v>
      </c>
      <c r="N2" s="16">
        <v>42181</v>
      </c>
      <c r="O2" s="12" t="s">
        <v>4338</v>
      </c>
      <c r="P2" s="14" t="s">
        <v>4341</v>
      </c>
      <c r="Q2" s="17" t="s">
        <v>137</v>
      </c>
      <c r="R2" s="17" t="s">
        <v>146</v>
      </c>
    </row>
    <row r="3" spans="1:18" x14ac:dyDescent="0.3">
      <c r="A3" s="12" t="s">
        <v>4342</v>
      </c>
      <c r="B3" s="12" t="s">
        <v>12</v>
      </c>
      <c r="C3" s="12"/>
      <c r="D3" s="12" t="s">
        <v>12</v>
      </c>
      <c r="E3" s="12" t="s">
        <v>4343</v>
      </c>
      <c r="F3" s="12"/>
      <c r="G3" s="12" t="s">
        <v>141</v>
      </c>
      <c r="H3" s="12" t="s">
        <v>40</v>
      </c>
      <c r="I3" s="12" t="s">
        <v>26</v>
      </c>
      <c r="J3" s="13" t="s">
        <v>142</v>
      </c>
      <c r="K3" s="14" t="s">
        <v>4344</v>
      </c>
      <c r="L3" s="15">
        <v>0</v>
      </c>
      <c r="M3" s="15" t="s">
        <v>144</v>
      </c>
      <c r="N3" s="16">
        <v>40717</v>
      </c>
      <c r="O3" s="12" t="s">
        <v>4342</v>
      </c>
      <c r="P3" s="14" t="s">
        <v>4345</v>
      </c>
      <c r="Q3" s="17" t="s">
        <v>137</v>
      </c>
      <c r="R3" s="17" t="s">
        <v>146</v>
      </c>
    </row>
    <row r="4" spans="1:18" x14ac:dyDescent="0.3">
      <c r="A4" s="12" t="s">
        <v>4346</v>
      </c>
      <c r="B4" s="12" t="s">
        <v>12</v>
      </c>
      <c r="C4" s="12"/>
      <c r="D4" s="12" t="s">
        <v>12</v>
      </c>
      <c r="E4" s="12" t="s">
        <v>4347</v>
      </c>
      <c r="F4" s="12"/>
      <c r="G4" s="12" t="s">
        <v>141</v>
      </c>
      <c r="H4" s="12" t="s">
        <v>40</v>
      </c>
      <c r="I4" s="12" t="s">
        <v>26</v>
      </c>
      <c r="J4" s="13" t="s">
        <v>142</v>
      </c>
      <c r="K4" s="14" t="s">
        <v>4348</v>
      </c>
      <c r="L4" s="15">
        <v>2</v>
      </c>
      <c r="M4" s="15" t="s">
        <v>144</v>
      </c>
      <c r="N4" s="16">
        <v>40969</v>
      </c>
      <c r="O4" s="12" t="s">
        <v>4346</v>
      </c>
      <c r="P4" s="14" t="s">
        <v>4349</v>
      </c>
      <c r="Q4" s="17" t="s">
        <v>137</v>
      </c>
      <c r="R4" s="17" t="s">
        <v>146</v>
      </c>
    </row>
    <row r="5" spans="1:18" x14ac:dyDescent="0.3">
      <c r="A5" s="12" t="s">
        <v>4350</v>
      </c>
      <c r="B5" s="12" t="s">
        <v>12</v>
      </c>
      <c r="C5" s="12"/>
      <c r="D5" s="12" t="s">
        <v>12</v>
      </c>
      <c r="E5" s="12" t="s">
        <v>4351</v>
      </c>
      <c r="F5" s="12" t="s">
        <v>258</v>
      </c>
      <c r="G5" s="12" t="s">
        <v>141</v>
      </c>
      <c r="H5" s="12" t="s">
        <v>40</v>
      </c>
      <c r="I5" s="12" t="s">
        <v>26</v>
      </c>
      <c r="J5" s="13" t="s">
        <v>142</v>
      </c>
      <c r="K5" s="14" t="s">
        <v>4352</v>
      </c>
      <c r="L5" s="15">
        <v>1</v>
      </c>
      <c r="M5" s="15" t="s">
        <v>144</v>
      </c>
      <c r="N5" s="16">
        <v>42062</v>
      </c>
      <c r="O5" s="12" t="s">
        <v>4350</v>
      </c>
      <c r="P5" s="14" t="s">
        <v>4353</v>
      </c>
      <c r="Q5" s="17" t="s">
        <v>137</v>
      </c>
      <c r="R5" s="17" t="s">
        <v>146</v>
      </c>
    </row>
    <row r="6" spans="1:18" x14ac:dyDescent="0.3">
      <c r="A6" s="12" t="s">
        <v>4354</v>
      </c>
      <c r="B6" s="12" t="s">
        <v>14</v>
      </c>
      <c r="C6" s="12"/>
      <c r="D6" s="12" t="s">
        <v>14</v>
      </c>
      <c r="E6" s="12" t="s">
        <v>4355</v>
      </c>
      <c r="F6" s="12"/>
      <c r="G6" s="12" t="s">
        <v>141</v>
      </c>
      <c r="H6" s="12" t="s">
        <v>40</v>
      </c>
      <c r="I6" s="12" t="s">
        <v>26</v>
      </c>
      <c r="J6" s="13" t="s">
        <v>142</v>
      </c>
      <c r="K6" s="14" t="s">
        <v>4356</v>
      </c>
      <c r="L6" s="15">
        <v>9</v>
      </c>
      <c r="M6" s="15" t="s">
        <v>144</v>
      </c>
      <c r="N6" s="16">
        <v>43472</v>
      </c>
      <c r="O6" s="12" t="s">
        <v>4357</v>
      </c>
      <c r="P6" s="14" t="s">
        <v>4358</v>
      </c>
      <c r="Q6" s="17" t="s">
        <v>137</v>
      </c>
      <c r="R6" s="17" t="s">
        <v>146</v>
      </c>
    </row>
    <row r="7" spans="1:18" x14ac:dyDescent="0.3">
      <c r="A7" s="12" t="s">
        <v>4359</v>
      </c>
      <c r="B7" s="12" t="s">
        <v>12</v>
      </c>
      <c r="C7" s="12"/>
      <c r="D7" s="12" t="s">
        <v>12</v>
      </c>
      <c r="E7" s="12" t="s">
        <v>4360</v>
      </c>
      <c r="F7" s="12"/>
      <c r="G7" s="12" t="s">
        <v>40</v>
      </c>
      <c r="H7" s="12" t="s">
        <v>40</v>
      </c>
      <c r="I7" s="12" t="s">
        <v>26</v>
      </c>
      <c r="J7" s="13" t="s">
        <v>153</v>
      </c>
      <c r="K7" s="14" t="s">
        <v>4361</v>
      </c>
      <c r="L7" s="15">
        <v>3</v>
      </c>
      <c r="M7" s="15" t="s">
        <v>144</v>
      </c>
      <c r="N7" s="16">
        <v>39883</v>
      </c>
      <c r="O7" s="12" t="s">
        <v>4359</v>
      </c>
      <c r="P7" s="14" t="s">
        <v>4362</v>
      </c>
      <c r="Q7" s="17" t="s">
        <v>137</v>
      </c>
      <c r="R7" s="17" t="s">
        <v>146</v>
      </c>
    </row>
    <row r="8" spans="1:18" x14ac:dyDescent="0.3">
      <c r="A8" s="12" t="s">
        <v>4363</v>
      </c>
      <c r="B8" s="12" t="s">
        <v>12</v>
      </c>
      <c r="C8" s="12"/>
      <c r="D8" s="12" t="s">
        <v>12</v>
      </c>
      <c r="E8" s="12" t="s">
        <v>4364</v>
      </c>
      <c r="F8" s="12" t="s">
        <v>248</v>
      </c>
      <c r="G8" s="12" t="s">
        <v>40</v>
      </c>
      <c r="H8" s="12" t="s">
        <v>40</v>
      </c>
      <c r="I8" s="12" t="s">
        <v>26</v>
      </c>
      <c r="J8" s="13" t="s">
        <v>153</v>
      </c>
      <c r="K8" s="14" t="s">
        <v>4365</v>
      </c>
      <c r="L8" s="15">
        <v>3</v>
      </c>
      <c r="M8" s="15" t="s">
        <v>144</v>
      </c>
      <c r="N8" s="16">
        <v>44065</v>
      </c>
      <c r="O8" s="12" t="s">
        <v>4363</v>
      </c>
      <c r="P8" s="14" t="s">
        <v>4366</v>
      </c>
      <c r="Q8" s="17" t="s">
        <v>137</v>
      </c>
      <c r="R8" s="17" t="s">
        <v>146</v>
      </c>
    </row>
    <row r="9" spans="1:18" x14ac:dyDescent="0.3">
      <c r="A9" s="12" t="s">
        <v>4367</v>
      </c>
      <c r="B9" s="12" t="s">
        <v>12</v>
      </c>
      <c r="C9" s="12"/>
      <c r="D9" s="12" t="s">
        <v>12</v>
      </c>
      <c r="E9" s="12" t="s">
        <v>4368</v>
      </c>
      <c r="F9" s="12" t="s">
        <v>218</v>
      </c>
      <c r="G9" s="12" t="s">
        <v>40</v>
      </c>
      <c r="H9" s="12" t="s">
        <v>40</v>
      </c>
      <c r="I9" s="12" t="s">
        <v>26</v>
      </c>
      <c r="J9" s="13" t="s">
        <v>153</v>
      </c>
      <c r="K9" s="14" t="s">
        <v>4369</v>
      </c>
      <c r="L9" s="15">
        <v>3</v>
      </c>
      <c r="M9" s="15" t="s">
        <v>144</v>
      </c>
      <c r="N9" s="16">
        <v>44291</v>
      </c>
      <c r="O9" s="12" t="s">
        <v>4370</v>
      </c>
      <c r="P9" s="14" t="s">
        <v>4371</v>
      </c>
      <c r="Q9" s="17" t="s">
        <v>137</v>
      </c>
      <c r="R9" s="17" t="s">
        <v>146</v>
      </c>
    </row>
    <row r="10" spans="1:18" x14ac:dyDescent="0.3">
      <c r="A10" s="12" t="s">
        <v>4372</v>
      </c>
      <c r="B10" s="12" t="s">
        <v>12</v>
      </c>
      <c r="C10" s="12"/>
      <c r="D10" s="12" t="s">
        <v>12</v>
      </c>
      <c r="E10" s="12" t="s">
        <v>152</v>
      </c>
      <c r="F10" s="12"/>
      <c r="G10" s="12" t="s">
        <v>40</v>
      </c>
      <c r="H10" s="12" t="s">
        <v>40</v>
      </c>
      <c r="I10" s="12" t="s">
        <v>26</v>
      </c>
      <c r="J10" s="13" t="s">
        <v>153</v>
      </c>
      <c r="K10" s="14" t="s">
        <v>4373</v>
      </c>
      <c r="L10" s="15">
        <v>2</v>
      </c>
      <c r="M10" s="15" t="s">
        <v>144</v>
      </c>
      <c r="N10" s="16">
        <v>39778</v>
      </c>
      <c r="O10" s="12" t="s">
        <v>4372</v>
      </c>
      <c r="P10" s="14" t="s">
        <v>4374</v>
      </c>
      <c r="Q10" s="17" t="s">
        <v>137</v>
      </c>
      <c r="R10" s="17" t="s">
        <v>146</v>
      </c>
    </row>
    <row r="11" spans="1:18" x14ac:dyDescent="0.3">
      <c r="A11" s="12" t="s">
        <v>4375</v>
      </c>
      <c r="B11" s="12" t="s">
        <v>12</v>
      </c>
      <c r="C11" s="12"/>
      <c r="D11" s="12" t="s">
        <v>12</v>
      </c>
      <c r="E11" s="12" t="s">
        <v>4368</v>
      </c>
      <c r="F11" s="12" t="s">
        <v>4376</v>
      </c>
      <c r="G11" s="12" t="s">
        <v>40</v>
      </c>
      <c r="H11" s="12" t="s">
        <v>40</v>
      </c>
      <c r="I11" s="12" t="s">
        <v>26</v>
      </c>
      <c r="J11" s="13" t="s">
        <v>153</v>
      </c>
      <c r="K11" s="14" t="s">
        <v>4377</v>
      </c>
      <c r="L11" s="15">
        <v>3</v>
      </c>
      <c r="M11" s="15" t="s">
        <v>144</v>
      </c>
      <c r="N11" s="16">
        <v>43623</v>
      </c>
      <c r="O11" s="12" t="s">
        <v>4375</v>
      </c>
      <c r="P11" s="14" t="s">
        <v>4378</v>
      </c>
      <c r="Q11" s="17" t="s">
        <v>137</v>
      </c>
      <c r="R11" s="17" t="s">
        <v>146</v>
      </c>
    </row>
    <row r="12" spans="1:18" x14ac:dyDescent="0.3">
      <c r="A12" s="12" t="s">
        <v>4379</v>
      </c>
      <c r="B12" s="12" t="s">
        <v>12</v>
      </c>
      <c r="C12" s="12"/>
      <c r="D12" s="12" t="s">
        <v>12</v>
      </c>
      <c r="E12" s="12" t="s">
        <v>4380</v>
      </c>
      <c r="F12" s="12"/>
      <c r="G12" s="12" t="s">
        <v>40</v>
      </c>
      <c r="H12" s="12" t="s">
        <v>40</v>
      </c>
      <c r="I12" s="12" t="s">
        <v>26</v>
      </c>
      <c r="J12" s="13" t="s">
        <v>153</v>
      </c>
      <c r="K12" s="14" t="s">
        <v>4381</v>
      </c>
      <c r="L12" s="15">
        <v>0</v>
      </c>
      <c r="M12" s="15" t="s">
        <v>144</v>
      </c>
      <c r="N12" s="16">
        <v>39538</v>
      </c>
      <c r="O12" s="12" t="s">
        <v>4379</v>
      </c>
      <c r="P12" s="14" t="s">
        <v>4382</v>
      </c>
      <c r="Q12" s="17" t="s">
        <v>137</v>
      </c>
      <c r="R12" s="17" t="s">
        <v>146</v>
      </c>
    </row>
    <row r="13" spans="1:18" x14ac:dyDescent="0.3">
      <c r="A13" s="12" t="s">
        <v>4383</v>
      </c>
      <c r="B13" s="12" t="s">
        <v>12</v>
      </c>
      <c r="C13" s="12"/>
      <c r="D13" s="12" t="s">
        <v>12</v>
      </c>
      <c r="E13" s="12" t="s">
        <v>4384</v>
      </c>
      <c r="F13" s="12"/>
      <c r="G13" s="12" t="s">
        <v>40</v>
      </c>
      <c r="H13" s="12" t="s">
        <v>40</v>
      </c>
      <c r="I13" s="12" t="s">
        <v>26</v>
      </c>
      <c r="J13" s="13" t="s">
        <v>153</v>
      </c>
      <c r="K13" s="14" t="s">
        <v>4385</v>
      </c>
      <c r="L13" s="15">
        <v>1</v>
      </c>
      <c r="M13" s="15" t="s">
        <v>144</v>
      </c>
      <c r="N13" s="16">
        <v>40394</v>
      </c>
      <c r="O13" s="12" t="s">
        <v>4386</v>
      </c>
      <c r="P13" s="14" t="s">
        <v>4387</v>
      </c>
      <c r="Q13" s="17" t="s">
        <v>137</v>
      </c>
      <c r="R13" s="17" t="s">
        <v>146</v>
      </c>
    </row>
    <row r="14" spans="1:18" x14ac:dyDescent="0.3">
      <c r="A14" s="12" t="s">
        <v>4388</v>
      </c>
      <c r="B14" s="12" t="s">
        <v>12</v>
      </c>
      <c r="C14" s="12"/>
      <c r="D14" s="12" t="s">
        <v>12</v>
      </c>
      <c r="E14" s="12" t="s">
        <v>4389</v>
      </c>
      <c r="F14" s="12" t="s">
        <v>1311</v>
      </c>
      <c r="G14" s="12" t="s">
        <v>40</v>
      </c>
      <c r="H14" s="12" t="s">
        <v>40</v>
      </c>
      <c r="I14" s="12" t="s">
        <v>26</v>
      </c>
      <c r="J14" s="13" t="s">
        <v>153</v>
      </c>
      <c r="K14" s="14" t="s">
        <v>4390</v>
      </c>
      <c r="L14" s="15">
        <v>0</v>
      </c>
      <c r="M14" s="15" t="s">
        <v>144</v>
      </c>
      <c r="N14" s="16">
        <v>42313</v>
      </c>
      <c r="O14" s="12" t="s">
        <v>4388</v>
      </c>
      <c r="P14" s="14" t="s">
        <v>4391</v>
      </c>
      <c r="Q14" s="17" t="s">
        <v>137</v>
      </c>
      <c r="R14" s="17" t="s">
        <v>146</v>
      </c>
    </row>
    <row r="15" spans="1:18" x14ac:dyDescent="0.3">
      <c r="A15" s="12" t="s">
        <v>4392</v>
      </c>
      <c r="B15" s="12" t="s">
        <v>12</v>
      </c>
      <c r="C15" s="12"/>
      <c r="D15" s="12" t="s">
        <v>12</v>
      </c>
      <c r="E15" s="12" t="s">
        <v>4393</v>
      </c>
      <c r="F15" s="12" t="s">
        <v>1039</v>
      </c>
      <c r="G15" s="12" t="s">
        <v>175</v>
      </c>
      <c r="H15" s="12" t="s">
        <v>40</v>
      </c>
      <c r="I15" s="12" t="s">
        <v>26</v>
      </c>
      <c r="J15" s="13" t="s">
        <v>183</v>
      </c>
      <c r="K15" s="14" t="s">
        <v>4394</v>
      </c>
      <c r="L15" s="15">
        <v>0</v>
      </c>
      <c r="M15" s="15" t="s">
        <v>144</v>
      </c>
      <c r="N15" s="16">
        <v>42304</v>
      </c>
      <c r="O15" s="12" t="s">
        <v>4395</v>
      </c>
      <c r="P15" s="14" t="s">
        <v>4396</v>
      </c>
      <c r="Q15" s="17" t="s">
        <v>137</v>
      </c>
      <c r="R15" s="17" t="s">
        <v>146</v>
      </c>
    </row>
    <row r="16" spans="1:18" x14ac:dyDescent="0.3">
      <c r="A16" s="12" t="s">
        <v>4397</v>
      </c>
      <c r="B16" s="12" t="s">
        <v>12</v>
      </c>
      <c r="C16" s="12"/>
      <c r="D16" s="12" t="s">
        <v>12</v>
      </c>
      <c r="E16" s="12" t="s">
        <v>4398</v>
      </c>
      <c r="F16" s="12" t="s">
        <v>1039</v>
      </c>
      <c r="G16" s="12" t="s">
        <v>175</v>
      </c>
      <c r="H16" s="12" t="s">
        <v>40</v>
      </c>
      <c r="I16" s="12" t="s">
        <v>26</v>
      </c>
      <c r="J16" s="13" t="s">
        <v>183</v>
      </c>
      <c r="K16" s="14" t="s">
        <v>4399</v>
      </c>
      <c r="L16" s="15">
        <v>3</v>
      </c>
      <c r="M16" s="15" t="s">
        <v>144</v>
      </c>
      <c r="N16" s="16">
        <v>44065</v>
      </c>
      <c r="O16" s="12" t="s">
        <v>4400</v>
      </c>
      <c r="P16" s="14" t="s">
        <v>4401</v>
      </c>
      <c r="Q16" s="17" t="s">
        <v>137</v>
      </c>
      <c r="R16" s="17" t="s">
        <v>146</v>
      </c>
    </row>
    <row r="17" spans="1:18" x14ac:dyDescent="0.3">
      <c r="A17" s="12" t="s">
        <v>4402</v>
      </c>
      <c r="B17" s="12" t="s">
        <v>12</v>
      </c>
      <c r="C17" s="12"/>
      <c r="D17" s="12" t="s">
        <v>12</v>
      </c>
      <c r="E17" s="12" t="s">
        <v>4403</v>
      </c>
      <c r="F17" s="12" t="s">
        <v>940</v>
      </c>
      <c r="G17" s="12" t="s">
        <v>175</v>
      </c>
      <c r="H17" s="12" t="s">
        <v>40</v>
      </c>
      <c r="I17" s="12" t="s">
        <v>26</v>
      </c>
      <c r="J17" s="13" t="s">
        <v>183</v>
      </c>
      <c r="K17" s="14" t="s">
        <v>184</v>
      </c>
      <c r="L17" s="15">
        <v>1</v>
      </c>
      <c r="M17" s="15" t="s">
        <v>144</v>
      </c>
      <c r="N17" s="16">
        <v>42171</v>
      </c>
      <c r="O17" s="12" t="s">
        <v>4404</v>
      </c>
      <c r="P17" s="14" t="s">
        <v>4405</v>
      </c>
      <c r="Q17" s="17" t="s">
        <v>137</v>
      </c>
      <c r="R17" s="17" t="s">
        <v>146</v>
      </c>
    </row>
    <row r="18" spans="1:18" x14ac:dyDescent="0.3">
      <c r="A18" s="12" t="s">
        <v>4406</v>
      </c>
      <c r="B18" s="12" t="s">
        <v>12</v>
      </c>
      <c r="C18" s="12"/>
      <c r="D18" s="12" t="s">
        <v>12</v>
      </c>
      <c r="E18" s="12" t="s">
        <v>4407</v>
      </c>
      <c r="F18" s="12" t="s">
        <v>285</v>
      </c>
      <c r="G18" s="12" t="s">
        <v>175</v>
      </c>
      <c r="H18" s="12" t="s">
        <v>40</v>
      </c>
      <c r="I18" s="12" t="s">
        <v>26</v>
      </c>
      <c r="J18" s="13" t="s">
        <v>176</v>
      </c>
      <c r="K18" s="14" t="s">
        <v>4408</v>
      </c>
      <c r="L18" s="15">
        <v>1</v>
      </c>
      <c r="M18" s="15" t="s">
        <v>144</v>
      </c>
      <c r="N18" s="16">
        <v>42234</v>
      </c>
      <c r="O18" s="12" t="s">
        <v>4409</v>
      </c>
      <c r="P18" s="14" t="s">
        <v>4410</v>
      </c>
      <c r="Q18" s="17" t="s">
        <v>137</v>
      </c>
      <c r="R18" s="17" t="s">
        <v>146</v>
      </c>
    </row>
    <row r="19" spans="1:18" x14ac:dyDescent="0.3">
      <c r="A19" s="12" t="s">
        <v>4411</v>
      </c>
      <c r="B19" s="12" t="s">
        <v>12</v>
      </c>
      <c r="C19" s="12"/>
      <c r="D19" s="12" t="s">
        <v>12</v>
      </c>
      <c r="E19" s="12" t="s">
        <v>4407</v>
      </c>
      <c r="F19" s="12" t="s">
        <v>188</v>
      </c>
      <c r="G19" s="12" t="s">
        <v>175</v>
      </c>
      <c r="H19" s="12" t="s">
        <v>40</v>
      </c>
      <c r="I19" s="12" t="s">
        <v>26</v>
      </c>
      <c r="J19" s="13" t="s">
        <v>176</v>
      </c>
      <c r="K19" s="14" t="s">
        <v>4408</v>
      </c>
      <c r="L19" s="15">
        <v>1</v>
      </c>
      <c r="M19" s="15" t="s">
        <v>144</v>
      </c>
      <c r="N19" s="16">
        <v>42186</v>
      </c>
      <c r="O19" s="12" t="s">
        <v>4412</v>
      </c>
      <c r="P19" s="14" t="s">
        <v>4413</v>
      </c>
      <c r="Q19" s="17" t="s">
        <v>137</v>
      </c>
      <c r="R19" s="17" t="s">
        <v>146</v>
      </c>
    </row>
    <row r="20" spans="1:18" x14ac:dyDescent="0.3">
      <c r="A20" s="12" t="s">
        <v>4414</v>
      </c>
      <c r="B20" s="12" t="s">
        <v>12</v>
      </c>
      <c r="C20" s="12"/>
      <c r="D20" s="12" t="s">
        <v>12</v>
      </c>
      <c r="E20" s="12" t="s">
        <v>4415</v>
      </c>
      <c r="F20" s="12"/>
      <c r="G20" s="12" t="s">
        <v>175</v>
      </c>
      <c r="H20" s="12" t="s">
        <v>40</v>
      </c>
      <c r="I20" s="12" t="s">
        <v>26</v>
      </c>
      <c r="J20" s="13" t="s">
        <v>183</v>
      </c>
      <c r="K20" s="14" t="s">
        <v>4416</v>
      </c>
      <c r="L20" s="15">
        <v>0</v>
      </c>
      <c r="M20" s="15" t="s">
        <v>144</v>
      </c>
      <c r="N20" s="16">
        <v>44065</v>
      </c>
      <c r="O20" s="12" t="s">
        <v>4414</v>
      </c>
      <c r="P20" s="14" t="s">
        <v>4417</v>
      </c>
      <c r="Q20" s="17" t="s">
        <v>137</v>
      </c>
      <c r="R20" s="17" t="s">
        <v>146</v>
      </c>
    </row>
    <row r="21" spans="1:18" x14ac:dyDescent="0.3">
      <c r="A21" s="12" t="s">
        <v>4418</v>
      </c>
      <c r="B21" s="12" t="s">
        <v>12</v>
      </c>
      <c r="C21" s="12"/>
      <c r="D21" s="12" t="s">
        <v>12</v>
      </c>
      <c r="E21" s="12" t="s">
        <v>4419</v>
      </c>
      <c r="F21" s="12"/>
      <c r="G21" s="12" t="s">
        <v>175</v>
      </c>
      <c r="H21" s="12" t="s">
        <v>40</v>
      </c>
      <c r="I21" s="12" t="s">
        <v>26</v>
      </c>
      <c r="J21" s="13" t="s">
        <v>176</v>
      </c>
      <c r="K21" s="14" t="s">
        <v>4420</v>
      </c>
      <c r="L21" s="15">
        <v>1</v>
      </c>
      <c r="M21" s="15" t="s">
        <v>144</v>
      </c>
      <c r="N21" s="16">
        <v>44065</v>
      </c>
      <c r="O21" s="12" t="s">
        <v>4418</v>
      </c>
      <c r="P21" s="14" t="s">
        <v>4421</v>
      </c>
      <c r="Q21" s="17" t="s">
        <v>137</v>
      </c>
      <c r="R21" s="17" t="s">
        <v>146</v>
      </c>
    </row>
    <row r="22" spans="1:18" x14ac:dyDescent="0.3">
      <c r="A22" s="12" t="s">
        <v>4422</v>
      </c>
      <c r="B22" s="12" t="s">
        <v>12</v>
      </c>
      <c r="C22" s="12"/>
      <c r="D22" s="12" t="s">
        <v>12</v>
      </c>
      <c r="E22" s="12" t="s">
        <v>4398</v>
      </c>
      <c r="F22" s="12" t="s">
        <v>4423</v>
      </c>
      <c r="G22" s="12" t="s">
        <v>175</v>
      </c>
      <c r="H22" s="12" t="s">
        <v>40</v>
      </c>
      <c r="I22" s="12" t="s">
        <v>26</v>
      </c>
      <c r="J22" s="13" t="s">
        <v>183</v>
      </c>
      <c r="K22" s="14" t="s">
        <v>4399</v>
      </c>
      <c r="L22" s="15">
        <v>3</v>
      </c>
      <c r="M22" s="15" t="s">
        <v>144</v>
      </c>
      <c r="N22" s="16">
        <v>39891</v>
      </c>
      <c r="O22" s="12" t="s">
        <v>4422</v>
      </c>
      <c r="P22" s="14" t="s">
        <v>4424</v>
      </c>
      <c r="Q22" s="17" t="s">
        <v>137</v>
      </c>
      <c r="R22" s="17" t="s">
        <v>146</v>
      </c>
    </row>
    <row r="23" spans="1:18" x14ac:dyDescent="0.3">
      <c r="A23" s="12" t="s">
        <v>4425</v>
      </c>
      <c r="B23" s="12" t="s">
        <v>12</v>
      </c>
      <c r="C23" s="12"/>
      <c r="D23" s="12" t="s">
        <v>12</v>
      </c>
      <c r="E23" s="12" t="s">
        <v>4426</v>
      </c>
      <c r="F23" s="12" t="s">
        <v>366</v>
      </c>
      <c r="G23" s="12" t="s">
        <v>175</v>
      </c>
      <c r="H23" s="12" t="s">
        <v>40</v>
      </c>
      <c r="I23" s="12" t="s">
        <v>26</v>
      </c>
      <c r="J23" s="13" t="s">
        <v>183</v>
      </c>
      <c r="K23" s="14" t="s">
        <v>4427</v>
      </c>
      <c r="L23" s="15">
        <v>2</v>
      </c>
      <c r="M23" s="15" t="s">
        <v>144</v>
      </c>
      <c r="N23" s="16">
        <v>41836</v>
      </c>
      <c r="O23" s="12" t="s">
        <v>4425</v>
      </c>
      <c r="P23" s="14" t="s">
        <v>4428</v>
      </c>
      <c r="Q23" s="17" t="s">
        <v>137</v>
      </c>
      <c r="R23" s="17" t="s">
        <v>146</v>
      </c>
    </row>
    <row r="24" spans="1:18" x14ac:dyDescent="0.3">
      <c r="A24" s="12" t="s">
        <v>4429</v>
      </c>
      <c r="B24" s="12" t="s">
        <v>12</v>
      </c>
      <c r="C24" s="12"/>
      <c r="D24" s="12" t="s">
        <v>12</v>
      </c>
      <c r="E24" s="12" t="s">
        <v>4430</v>
      </c>
      <c r="F24" s="12" t="s">
        <v>1666</v>
      </c>
      <c r="G24" s="12" t="s">
        <v>175</v>
      </c>
      <c r="H24" s="12" t="s">
        <v>40</v>
      </c>
      <c r="I24" s="12" t="s">
        <v>26</v>
      </c>
      <c r="J24" s="13" t="s">
        <v>183</v>
      </c>
      <c r="K24" s="14" t="s">
        <v>4431</v>
      </c>
      <c r="L24" s="15">
        <v>1</v>
      </c>
      <c r="M24" s="15" t="s">
        <v>144</v>
      </c>
      <c r="N24" s="16">
        <v>42215</v>
      </c>
      <c r="O24" s="12" t="s">
        <v>4429</v>
      </c>
      <c r="P24" s="14" t="s">
        <v>4432</v>
      </c>
      <c r="Q24" s="17" t="s">
        <v>137</v>
      </c>
      <c r="R24" s="17" t="s">
        <v>146</v>
      </c>
    </row>
    <row r="25" spans="1:18" x14ac:dyDescent="0.3">
      <c r="A25" s="12" t="s">
        <v>4433</v>
      </c>
      <c r="B25" s="12" t="s">
        <v>12</v>
      </c>
      <c r="C25" s="12"/>
      <c r="D25" s="12" t="s">
        <v>12</v>
      </c>
      <c r="E25" s="12" t="s">
        <v>4434</v>
      </c>
      <c r="F25" s="12" t="s">
        <v>1039</v>
      </c>
      <c r="G25" s="12" t="s">
        <v>175</v>
      </c>
      <c r="H25" s="12" t="s">
        <v>40</v>
      </c>
      <c r="I25" s="12" t="s">
        <v>26</v>
      </c>
      <c r="J25" s="13" t="s">
        <v>176</v>
      </c>
      <c r="K25" s="14" t="s">
        <v>4435</v>
      </c>
      <c r="L25" s="15">
        <v>1</v>
      </c>
      <c r="M25" s="15" t="s">
        <v>144</v>
      </c>
      <c r="N25" s="16">
        <v>44440</v>
      </c>
      <c r="O25" s="12" t="s">
        <v>4433</v>
      </c>
      <c r="P25" s="14" t="s">
        <v>4436</v>
      </c>
      <c r="Q25" s="17" t="s">
        <v>137</v>
      </c>
      <c r="R25" s="17" t="s">
        <v>146</v>
      </c>
    </row>
    <row r="26" spans="1:18" x14ac:dyDescent="0.3">
      <c r="A26" s="12" t="s">
        <v>4437</v>
      </c>
      <c r="B26" s="12" t="s">
        <v>12</v>
      </c>
      <c r="C26" s="12"/>
      <c r="D26" s="12" t="s">
        <v>12</v>
      </c>
      <c r="E26" s="12" t="s">
        <v>181</v>
      </c>
      <c r="F26" s="12" t="s">
        <v>359</v>
      </c>
      <c r="G26" s="12" t="s">
        <v>175</v>
      </c>
      <c r="H26" s="12" t="s">
        <v>40</v>
      </c>
      <c r="I26" s="12" t="s">
        <v>26</v>
      </c>
      <c r="J26" s="13" t="s">
        <v>183</v>
      </c>
      <c r="K26" s="14" t="s">
        <v>4438</v>
      </c>
      <c r="L26" s="15">
        <v>3</v>
      </c>
      <c r="M26" s="15" t="s">
        <v>144</v>
      </c>
      <c r="N26" s="16">
        <v>40592</v>
      </c>
      <c r="O26" s="12" t="s">
        <v>4437</v>
      </c>
      <c r="P26" s="14" t="s">
        <v>4439</v>
      </c>
      <c r="Q26" s="17" t="s">
        <v>137</v>
      </c>
      <c r="R26" s="17" t="s">
        <v>146</v>
      </c>
    </row>
    <row r="27" spans="1:18" x14ac:dyDescent="0.3">
      <c r="A27" s="12" t="s">
        <v>4440</v>
      </c>
      <c r="B27" s="12" t="s">
        <v>12</v>
      </c>
      <c r="C27" s="12"/>
      <c r="D27" s="12" t="s">
        <v>12</v>
      </c>
      <c r="E27" s="12" t="s">
        <v>4398</v>
      </c>
      <c r="F27" s="12" t="s">
        <v>188</v>
      </c>
      <c r="G27" s="12" t="s">
        <v>175</v>
      </c>
      <c r="H27" s="12" t="s">
        <v>40</v>
      </c>
      <c r="I27" s="12" t="s">
        <v>26</v>
      </c>
      <c r="J27" s="13" t="s">
        <v>183</v>
      </c>
      <c r="K27" s="14" t="s">
        <v>4399</v>
      </c>
      <c r="L27" s="15">
        <v>3</v>
      </c>
      <c r="M27" s="15" t="s">
        <v>144</v>
      </c>
      <c r="N27" s="16">
        <v>40539</v>
      </c>
      <c r="O27" s="12" t="s">
        <v>4440</v>
      </c>
      <c r="P27" s="14" t="s">
        <v>4441</v>
      </c>
      <c r="Q27" s="17" t="s">
        <v>137</v>
      </c>
      <c r="R27" s="17" t="s">
        <v>146</v>
      </c>
    </row>
    <row r="28" spans="1:18" x14ac:dyDescent="0.3">
      <c r="A28" s="12" t="s">
        <v>4442</v>
      </c>
      <c r="B28" s="12" t="s">
        <v>12</v>
      </c>
      <c r="C28" s="12"/>
      <c r="D28" s="12" t="s">
        <v>12</v>
      </c>
      <c r="E28" s="12" t="s">
        <v>4443</v>
      </c>
      <c r="F28" s="12" t="s">
        <v>188</v>
      </c>
      <c r="G28" s="12" t="s">
        <v>175</v>
      </c>
      <c r="H28" s="12" t="s">
        <v>40</v>
      </c>
      <c r="I28" s="12" t="s">
        <v>26</v>
      </c>
      <c r="J28" s="13" t="s">
        <v>183</v>
      </c>
      <c r="K28" s="14" t="s">
        <v>4444</v>
      </c>
      <c r="L28" s="15">
        <v>3</v>
      </c>
      <c r="M28" s="15" t="s">
        <v>144</v>
      </c>
      <c r="N28" s="16">
        <v>39548</v>
      </c>
      <c r="O28" s="12" t="s">
        <v>4445</v>
      </c>
      <c r="P28" s="14" t="s">
        <v>4446</v>
      </c>
      <c r="Q28" s="17" t="s">
        <v>137</v>
      </c>
      <c r="R28" s="17" t="s">
        <v>146</v>
      </c>
    </row>
    <row r="29" spans="1:18" x14ac:dyDescent="0.3">
      <c r="A29" s="12" t="s">
        <v>4447</v>
      </c>
      <c r="B29" s="12" t="s">
        <v>12</v>
      </c>
      <c r="C29" s="12"/>
      <c r="D29" s="12" t="s">
        <v>12</v>
      </c>
      <c r="E29" s="12" t="s">
        <v>4448</v>
      </c>
      <c r="F29" s="12" t="s">
        <v>454</v>
      </c>
      <c r="G29" s="12" t="s">
        <v>175</v>
      </c>
      <c r="H29" s="12" t="s">
        <v>40</v>
      </c>
      <c r="I29" s="12" t="s">
        <v>26</v>
      </c>
      <c r="J29" s="13" t="s">
        <v>183</v>
      </c>
      <c r="K29" s="14" t="s">
        <v>4449</v>
      </c>
      <c r="L29" s="15">
        <v>1</v>
      </c>
      <c r="M29" s="15" t="s">
        <v>144</v>
      </c>
      <c r="N29" s="16">
        <v>40961</v>
      </c>
      <c r="O29" s="12" t="s">
        <v>4450</v>
      </c>
      <c r="P29" s="14" t="s">
        <v>4451</v>
      </c>
      <c r="Q29" s="17" t="s">
        <v>137</v>
      </c>
      <c r="R29" s="17" t="s">
        <v>146</v>
      </c>
    </row>
    <row r="30" spans="1:18" x14ac:dyDescent="0.3">
      <c r="A30" s="12" t="s">
        <v>4452</v>
      </c>
      <c r="B30" s="12" t="s">
        <v>12</v>
      </c>
      <c r="C30" s="12"/>
      <c r="D30" s="12" t="s">
        <v>12</v>
      </c>
      <c r="E30" s="12" t="s">
        <v>4453</v>
      </c>
      <c r="F30" s="12"/>
      <c r="G30" s="12" t="s">
        <v>175</v>
      </c>
      <c r="H30" s="12" t="s">
        <v>40</v>
      </c>
      <c r="I30" s="12" t="s">
        <v>26</v>
      </c>
      <c r="J30" s="13" t="s">
        <v>183</v>
      </c>
      <c r="K30" s="14" t="s">
        <v>4454</v>
      </c>
      <c r="L30" s="15">
        <v>0</v>
      </c>
      <c r="M30" s="15" t="s">
        <v>144</v>
      </c>
      <c r="N30" s="16">
        <v>42083</v>
      </c>
      <c r="O30" s="12" t="s">
        <v>4452</v>
      </c>
      <c r="P30" s="14" t="s">
        <v>4455</v>
      </c>
      <c r="Q30" s="17" t="s">
        <v>137</v>
      </c>
      <c r="R30" s="17" t="s">
        <v>146</v>
      </c>
    </row>
    <row r="31" spans="1:18" x14ac:dyDescent="0.3">
      <c r="A31" s="12" t="s">
        <v>4456</v>
      </c>
      <c r="B31" s="12" t="s">
        <v>12</v>
      </c>
      <c r="C31" s="12"/>
      <c r="D31" s="12" t="s">
        <v>12</v>
      </c>
      <c r="E31" s="12" t="s">
        <v>4457</v>
      </c>
      <c r="F31" s="12" t="s">
        <v>258</v>
      </c>
      <c r="G31" s="12" t="s">
        <v>175</v>
      </c>
      <c r="H31" s="12" t="s">
        <v>40</v>
      </c>
      <c r="I31" s="12" t="s">
        <v>26</v>
      </c>
      <c r="J31" s="13" t="s">
        <v>176</v>
      </c>
      <c r="K31" s="14" t="s">
        <v>4458</v>
      </c>
      <c r="L31" s="15">
        <v>1</v>
      </c>
      <c r="M31" s="15" t="s">
        <v>144</v>
      </c>
      <c r="N31" s="16">
        <v>42675</v>
      </c>
      <c r="O31" s="12" t="s">
        <v>4456</v>
      </c>
      <c r="P31" s="14" t="s">
        <v>4459</v>
      </c>
      <c r="Q31" s="17" t="s">
        <v>137</v>
      </c>
      <c r="R31" s="17" t="s">
        <v>146</v>
      </c>
    </row>
    <row r="32" spans="1:18" x14ac:dyDescent="0.3">
      <c r="A32" s="12" t="s">
        <v>4460</v>
      </c>
      <c r="B32" s="12" t="s">
        <v>10</v>
      </c>
      <c r="C32" s="12"/>
      <c r="D32" s="12" t="s">
        <v>157</v>
      </c>
      <c r="E32" s="12" t="s">
        <v>200</v>
      </c>
      <c r="F32" s="12" t="s">
        <v>1270</v>
      </c>
      <c r="G32" s="12" t="s">
        <v>175</v>
      </c>
      <c r="H32" s="12" t="s">
        <v>40</v>
      </c>
      <c r="I32" s="12" t="s">
        <v>26</v>
      </c>
      <c r="J32" s="13" t="s">
        <v>176</v>
      </c>
      <c r="K32" s="14" t="s">
        <v>4461</v>
      </c>
      <c r="L32" s="15">
        <v>1</v>
      </c>
      <c r="M32" s="15" t="s">
        <v>144</v>
      </c>
      <c r="N32" s="16">
        <v>40478</v>
      </c>
      <c r="O32" s="12" t="s">
        <v>4460</v>
      </c>
      <c r="P32" s="14" t="s">
        <v>4462</v>
      </c>
      <c r="Q32" s="17" t="s">
        <v>137</v>
      </c>
      <c r="R32" s="17" t="s">
        <v>146</v>
      </c>
    </row>
    <row r="33" spans="1:18" x14ac:dyDescent="0.3">
      <c r="A33" s="12" t="s">
        <v>4463</v>
      </c>
      <c r="B33" s="12" t="s">
        <v>14</v>
      </c>
      <c r="C33" s="12"/>
      <c r="D33" s="12" t="s">
        <v>14</v>
      </c>
      <c r="E33" s="12" t="s">
        <v>4464</v>
      </c>
      <c r="F33" s="12"/>
      <c r="G33" s="12" t="s">
        <v>175</v>
      </c>
      <c r="H33" s="12" t="s">
        <v>40</v>
      </c>
      <c r="I33" s="12" t="s">
        <v>26</v>
      </c>
      <c r="J33" s="13" t="s">
        <v>183</v>
      </c>
      <c r="K33" s="14" t="s">
        <v>4465</v>
      </c>
      <c r="L33" s="15">
        <v>0</v>
      </c>
      <c r="M33" s="15" t="s">
        <v>144</v>
      </c>
      <c r="N33" s="16">
        <v>43262</v>
      </c>
      <c r="O33" s="12" t="s">
        <v>4466</v>
      </c>
      <c r="P33" s="14" t="s">
        <v>4467</v>
      </c>
      <c r="Q33" s="17" t="s">
        <v>137</v>
      </c>
      <c r="R33" s="17" t="s">
        <v>146</v>
      </c>
    </row>
    <row r="34" spans="1:18" x14ac:dyDescent="0.3">
      <c r="A34" s="12" t="s">
        <v>4468</v>
      </c>
      <c r="B34" s="12" t="s">
        <v>14</v>
      </c>
      <c r="C34" s="12"/>
      <c r="D34" s="12" t="s">
        <v>14</v>
      </c>
      <c r="E34" s="12" t="s">
        <v>4469</v>
      </c>
      <c r="F34" s="12"/>
      <c r="G34" s="12" t="s">
        <v>175</v>
      </c>
      <c r="H34" s="12" t="s">
        <v>40</v>
      </c>
      <c r="I34" s="12" t="s">
        <v>26</v>
      </c>
      <c r="J34" s="13" t="s">
        <v>176</v>
      </c>
      <c r="K34" s="14" t="s">
        <v>4470</v>
      </c>
      <c r="L34" s="15">
        <v>0</v>
      </c>
      <c r="M34" s="15" t="s">
        <v>144</v>
      </c>
      <c r="N34" s="16">
        <v>42184</v>
      </c>
      <c r="O34" s="12" t="s">
        <v>4468</v>
      </c>
      <c r="P34" s="14" t="s">
        <v>4471</v>
      </c>
      <c r="Q34" s="17" t="s">
        <v>137</v>
      </c>
      <c r="R34" s="17" t="s">
        <v>146</v>
      </c>
    </row>
    <row r="35" spans="1:18" x14ac:dyDescent="0.3">
      <c r="A35" s="12" t="s">
        <v>4472</v>
      </c>
      <c r="B35" s="12" t="s">
        <v>12</v>
      </c>
      <c r="C35" s="12"/>
      <c r="D35" s="12" t="s">
        <v>12</v>
      </c>
      <c r="E35" s="12" t="s">
        <v>4473</v>
      </c>
      <c r="F35" s="12" t="s">
        <v>4474</v>
      </c>
      <c r="G35" s="12" t="s">
        <v>175</v>
      </c>
      <c r="H35" s="12" t="s">
        <v>40</v>
      </c>
      <c r="I35" s="12" t="s">
        <v>26</v>
      </c>
      <c r="J35" s="13" t="s">
        <v>183</v>
      </c>
      <c r="K35" s="14" t="s">
        <v>4475</v>
      </c>
      <c r="L35" s="15">
        <v>2</v>
      </c>
      <c r="M35" s="15" t="s">
        <v>144</v>
      </c>
      <c r="N35" s="16">
        <v>40140</v>
      </c>
      <c r="O35" s="12" t="s">
        <v>4472</v>
      </c>
      <c r="P35" s="14" t="s">
        <v>4476</v>
      </c>
      <c r="Q35" s="17" t="s">
        <v>137</v>
      </c>
      <c r="R35" s="17" t="s">
        <v>146</v>
      </c>
    </row>
    <row r="36" spans="1:18" x14ac:dyDescent="0.3">
      <c r="A36" s="12" t="s">
        <v>4477</v>
      </c>
      <c r="B36" s="12" t="s">
        <v>14</v>
      </c>
      <c r="C36" s="12"/>
      <c r="D36" s="12" t="s">
        <v>14</v>
      </c>
      <c r="E36" s="12" t="s">
        <v>187</v>
      </c>
      <c r="F36" s="12" t="s">
        <v>188</v>
      </c>
      <c r="G36" s="12" t="s">
        <v>175</v>
      </c>
      <c r="H36" s="12" t="s">
        <v>40</v>
      </c>
      <c r="I36" s="12" t="s">
        <v>26</v>
      </c>
      <c r="J36" s="13" t="s">
        <v>183</v>
      </c>
      <c r="K36" s="14" t="s">
        <v>4478</v>
      </c>
      <c r="L36" s="15">
        <v>0</v>
      </c>
      <c r="M36" s="15" t="s">
        <v>144</v>
      </c>
      <c r="N36" s="16">
        <v>42724</v>
      </c>
      <c r="O36" s="12" t="s">
        <v>4477</v>
      </c>
      <c r="P36" s="14" t="s">
        <v>4479</v>
      </c>
      <c r="Q36" s="17" t="s">
        <v>137</v>
      </c>
      <c r="R36" s="17" t="s">
        <v>146</v>
      </c>
    </row>
    <row r="37" spans="1:18" x14ac:dyDescent="0.3">
      <c r="A37" s="12" t="s">
        <v>4480</v>
      </c>
      <c r="B37" s="12" t="s">
        <v>12</v>
      </c>
      <c r="C37" s="12"/>
      <c r="D37" s="12" t="s">
        <v>12</v>
      </c>
      <c r="E37" s="12" t="s">
        <v>4481</v>
      </c>
      <c r="F37" s="12"/>
      <c r="G37" s="12" t="s">
        <v>4482</v>
      </c>
      <c r="H37" s="12" t="s">
        <v>40</v>
      </c>
      <c r="I37" s="12" t="s">
        <v>26</v>
      </c>
      <c r="J37" s="13" t="s">
        <v>4483</v>
      </c>
      <c r="K37" s="14" t="s">
        <v>4484</v>
      </c>
      <c r="L37" s="15">
        <v>2</v>
      </c>
      <c r="M37" s="15" t="s">
        <v>144</v>
      </c>
      <c r="N37" s="16">
        <v>42849</v>
      </c>
      <c r="O37" s="12" t="s">
        <v>4480</v>
      </c>
      <c r="P37" s="14" t="s">
        <v>4485</v>
      </c>
      <c r="Q37" s="17" t="s">
        <v>137</v>
      </c>
      <c r="R37" s="17" t="s">
        <v>146</v>
      </c>
    </row>
    <row r="38" spans="1:18" x14ac:dyDescent="0.3">
      <c r="A38" s="12" t="s">
        <v>4486</v>
      </c>
      <c r="B38" s="12" t="s">
        <v>12</v>
      </c>
      <c r="C38" s="12"/>
      <c r="D38" s="12" t="s">
        <v>12</v>
      </c>
      <c r="E38" s="12" t="s">
        <v>4487</v>
      </c>
      <c r="F38" s="12"/>
      <c r="G38" s="12" t="s">
        <v>4488</v>
      </c>
      <c r="H38" s="12" t="s">
        <v>40</v>
      </c>
      <c r="I38" s="12" t="s">
        <v>26</v>
      </c>
      <c r="J38" s="13" t="s">
        <v>354</v>
      </c>
      <c r="K38" s="14" t="s">
        <v>4489</v>
      </c>
      <c r="L38" s="15">
        <v>1</v>
      </c>
      <c r="M38" s="15" t="s">
        <v>144</v>
      </c>
      <c r="N38" s="16">
        <v>40815</v>
      </c>
      <c r="O38" s="12" t="s">
        <v>4486</v>
      </c>
      <c r="P38" s="14" t="s">
        <v>4490</v>
      </c>
      <c r="Q38" s="17" t="s">
        <v>137</v>
      </c>
      <c r="R38" s="17" t="s">
        <v>146</v>
      </c>
    </row>
    <row r="39" spans="1:18" x14ac:dyDescent="0.3">
      <c r="A39" s="12" t="s">
        <v>4491</v>
      </c>
      <c r="B39" s="12" t="s">
        <v>12</v>
      </c>
      <c r="C39" s="12"/>
      <c r="D39" s="12" t="s">
        <v>12</v>
      </c>
      <c r="E39" s="12" t="s">
        <v>4492</v>
      </c>
      <c r="F39" s="12"/>
      <c r="G39" s="12" t="s">
        <v>4488</v>
      </c>
      <c r="H39" s="12" t="s">
        <v>40</v>
      </c>
      <c r="I39" s="12" t="s">
        <v>26</v>
      </c>
      <c r="J39" s="13" t="s">
        <v>354</v>
      </c>
      <c r="K39" s="14" t="s">
        <v>4493</v>
      </c>
      <c r="L39" s="15">
        <v>3</v>
      </c>
      <c r="M39" s="15" t="s">
        <v>144</v>
      </c>
      <c r="N39" s="16">
        <v>41240</v>
      </c>
      <c r="O39" s="12" t="s">
        <v>4491</v>
      </c>
      <c r="P39" s="14" t="s">
        <v>4494</v>
      </c>
      <c r="Q39" s="17" t="s">
        <v>137</v>
      </c>
      <c r="R39" s="17" t="s">
        <v>146</v>
      </c>
    </row>
    <row r="40" spans="1:18" x14ac:dyDescent="0.3">
      <c r="A40" s="12" t="s">
        <v>4495</v>
      </c>
      <c r="B40" s="12" t="s">
        <v>12</v>
      </c>
      <c r="C40" s="12"/>
      <c r="D40" s="12" t="s">
        <v>12</v>
      </c>
      <c r="E40" s="12" t="s">
        <v>4496</v>
      </c>
      <c r="F40" s="12" t="s">
        <v>389</v>
      </c>
      <c r="G40" s="12" t="s">
        <v>4488</v>
      </c>
      <c r="H40" s="12" t="s">
        <v>40</v>
      </c>
      <c r="I40" s="12" t="s">
        <v>26</v>
      </c>
      <c r="J40" s="13" t="s">
        <v>354</v>
      </c>
      <c r="K40" s="14" t="s">
        <v>4497</v>
      </c>
      <c r="L40" s="15">
        <v>1</v>
      </c>
      <c r="M40" s="15" t="s">
        <v>144</v>
      </c>
      <c r="N40" s="16">
        <v>39301</v>
      </c>
      <c r="O40" s="12" t="s">
        <v>4498</v>
      </c>
      <c r="P40" s="14" t="s">
        <v>4499</v>
      </c>
      <c r="Q40" s="17" t="s">
        <v>137</v>
      </c>
      <c r="R40" s="17" t="s">
        <v>146</v>
      </c>
    </row>
    <row r="41" spans="1:18" x14ac:dyDescent="0.3">
      <c r="A41" s="12" t="s">
        <v>4500</v>
      </c>
      <c r="B41" s="12" t="s">
        <v>12</v>
      </c>
      <c r="C41" s="12"/>
      <c r="D41" s="12" t="s">
        <v>12</v>
      </c>
      <c r="E41" s="12" t="s">
        <v>4501</v>
      </c>
      <c r="F41" s="12" t="s">
        <v>2012</v>
      </c>
      <c r="G41" s="12" t="s">
        <v>4502</v>
      </c>
      <c r="H41" s="12" t="s">
        <v>40</v>
      </c>
      <c r="I41" s="12" t="s">
        <v>26</v>
      </c>
      <c r="J41" s="13" t="s">
        <v>2045</v>
      </c>
      <c r="K41" s="14" t="s">
        <v>4503</v>
      </c>
      <c r="L41" s="15">
        <v>2</v>
      </c>
      <c r="M41" s="15" t="s">
        <v>144</v>
      </c>
      <c r="N41" s="16">
        <v>44065</v>
      </c>
      <c r="O41" s="12" t="s">
        <v>4500</v>
      </c>
      <c r="P41" s="14" t="s">
        <v>4504</v>
      </c>
      <c r="Q41" s="17" t="s">
        <v>137</v>
      </c>
      <c r="R41" s="17" t="s">
        <v>146</v>
      </c>
    </row>
    <row r="42" spans="1:18" x14ac:dyDescent="0.3">
      <c r="A42" s="12" t="s">
        <v>4505</v>
      </c>
      <c r="B42" s="12" t="s">
        <v>12</v>
      </c>
      <c r="C42" s="12"/>
      <c r="D42" s="12" t="s">
        <v>12</v>
      </c>
      <c r="E42" s="12" t="s">
        <v>4506</v>
      </c>
      <c r="F42" s="12" t="s">
        <v>164</v>
      </c>
      <c r="G42" s="12" t="s">
        <v>4502</v>
      </c>
      <c r="H42" s="12" t="s">
        <v>40</v>
      </c>
      <c r="I42" s="12" t="s">
        <v>26</v>
      </c>
      <c r="J42" s="13" t="s">
        <v>2045</v>
      </c>
      <c r="K42" s="14" t="s">
        <v>4507</v>
      </c>
      <c r="L42" s="15">
        <v>2</v>
      </c>
      <c r="M42" s="15" t="s">
        <v>144</v>
      </c>
      <c r="N42" s="16">
        <v>43293</v>
      </c>
      <c r="O42" s="12" t="s">
        <v>4505</v>
      </c>
      <c r="P42" s="14" t="s">
        <v>4508</v>
      </c>
      <c r="Q42" s="17" t="s">
        <v>137</v>
      </c>
      <c r="R42" s="17" t="s">
        <v>146</v>
      </c>
    </row>
    <row r="43" spans="1:18" x14ac:dyDescent="0.3">
      <c r="A43" s="12" t="s">
        <v>4509</v>
      </c>
      <c r="B43" s="12" t="s">
        <v>12</v>
      </c>
      <c r="C43" s="12"/>
      <c r="D43" s="12" t="s">
        <v>12</v>
      </c>
      <c r="E43" s="12" t="s">
        <v>4510</v>
      </c>
      <c r="F43" s="12"/>
      <c r="G43" s="12" t="s">
        <v>4502</v>
      </c>
      <c r="H43" s="12" t="s">
        <v>40</v>
      </c>
      <c r="I43" s="12" t="s">
        <v>26</v>
      </c>
      <c r="J43" s="13" t="s">
        <v>2045</v>
      </c>
      <c r="K43" s="14" t="s">
        <v>4511</v>
      </c>
      <c r="L43" s="15">
        <v>1</v>
      </c>
      <c r="M43" s="15" t="s">
        <v>144</v>
      </c>
      <c r="N43" s="16">
        <v>40933</v>
      </c>
      <c r="O43" s="12" t="s">
        <v>4509</v>
      </c>
      <c r="P43" s="14" t="s">
        <v>4512</v>
      </c>
      <c r="Q43" s="17" t="s">
        <v>137</v>
      </c>
      <c r="R43" s="17" t="s">
        <v>146</v>
      </c>
    </row>
    <row r="44" spans="1:18" x14ac:dyDescent="0.3">
      <c r="A44" s="12" t="s">
        <v>4513</v>
      </c>
      <c r="B44" s="12" t="s">
        <v>12</v>
      </c>
      <c r="C44" s="12"/>
      <c r="D44" s="12" t="s">
        <v>12</v>
      </c>
      <c r="E44" s="12" t="s">
        <v>4514</v>
      </c>
      <c r="F44" s="12"/>
      <c r="G44" s="12" t="s">
        <v>4502</v>
      </c>
      <c r="H44" s="12" t="s">
        <v>40</v>
      </c>
      <c r="I44" s="12" t="s">
        <v>26</v>
      </c>
      <c r="J44" s="13" t="s">
        <v>2045</v>
      </c>
      <c r="K44" s="14" t="s">
        <v>4515</v>
      </c>
      <c r="L44" s="15">
        <v>1</v>
      </c>
      <c r="M44" s="15" t="s">
        <v>144</v>
      </c>
      <c r="N44" s="16">
        <v>41669</v>
      </c>
      <c r="O44" s="12" t="s">
        <v>4513</v>
      </c>
      <c r="P44" s="14" t="s">
        <v>4516</v>
      </c>
      <c r="Q44" s="17" t="s">
        <v>137</v>
      </c>
      <c r="R44" s="17" t="s">
        <v>146</v>
      </c>
    </row>
    <row r="45" spans="1:18" x14ac:dyDescent="0.3">
      <c r="A45" s="12" t="s">
        <v>4517</v>
      </c>
      <c r="B45" s="12" t="s">
        <v>14</v>
      </c>
      <c r="C45" s="12"/>
      <c r="D45" s="12" t="s">
        <v>14</v>
      </c>
      <c r="E45" s="12" t="s">
        <v>4518</v>
      </c>
      <c r="F45" s="12"/>
      <c r="G45" s="12" t="s">
        <v>4502</v>
      </c>
      <c r="H45" s="12" t="s">
        <v>40</v>
      </c>
      <c r="I45" s="12" t="s">
        <v>26</v>
      </c>
      <c r="J45" s="13" t="s">
        <v>2045</v>
      </c>
      <c r="K45" s="14" t="s">
        <v>4519</v>
      </c>
      <c r="L45" s="15">
        <v>3</v>
      </c>
      <c r="M45" s="15" t="s">
        <v>144</v>
      </c>
      <c r="N45" s="16">
        <v>41976</v>
      </c>
      <c r="O45" s="12" t="s">
        <v>4517</v>
      </c>
      <c r="P45" s="14" t="s">
        <v>4520</v>
      </c>
      <c r="Q45" s="17" t="s">
        <v>137</v>
      </c>
      <c r="R45" s="17" t="s">
        <v>146</v>
      </c>
    </row>
    <row r="46" spans="1:18" x14ac:dyDescent="0.3">
      <c r="A46" s="12" t="s">
        <v>4521</v>
      </c>
      <c r="B46" s="12" t="s">
        <v>12</v>
      </c>
      <c r="C46" s="12"/>
      <c r="D46" s="12" t="s">
        <v>12</v>
      </c>
      <c r="E46" s="12" t="s">
        <v>4522</v>
      </c>
      <c r="F46" s="12"/>
      <c r="G46" s="12" t="s">
        <v>4502</v>
      </c>
      <c r="H46" s="12" t="s">
        <v>40</v>
      </c>
      <c r="I46" s="12" t="s">
        <v>26</v>
      </c>
      <c r="J46" s="13" t="s">
        <v>2045</v>
      </c>
      <c r="K46" s="14" t="s">
        <v>4523</v>
      </c>
      <c r="L46" s="15">
        <v>0</v>
      </c>
      <c r="M46" s="15" t="s">
        <v>144</v>
      </c>
      <c r="N46" s="16">
        <v>40856</v>
      </c>
      <c r="O46" s="12" t="s">
        <v>4521</v>
      </c>
      <c r="P46" s="14" t="s">
        <v>4524</v>
      </c>
      <c r="Q46" s="17" t="s">
        <v>137</v>
      </c>
      <c r="R46" s="17" t="s">
        <v>146</v>
      </c>
    </row>
    <row r="47" spans="1:18" x14ac:dyDescent="0.3">
      <c r="A47" s="12" t="s">
        <v>4525</v>
      </c>
      <c r="B47" s="12" t="s">
        <v>12</v>
      </c>
      <c r="C47" s="12"/>
      <c r="D47" s="12" t="s">
        <v>12</v>
      </c>
      <c r="E47" s="12" t="s">
        <v>4526</v>
      </c>
      <c r="F47" s="12" t="s">
        <v>1039</v>
      </c>
      <c r="G47" s="12" t="s">
        <v>233</v>
      </c>
      <c r="H47" s="12" t="s">
        <v>40</v>
      </c>
      <c r="I47" s="12" t="s">
        <v>26</v>
      </c>
      <c r="J47" s="13" t="s">
        <v>234</v>
      </c>
      <c r="K47" s="14" t="s">
        <v>4527</v>
      </c>
      <c r="L47" s="15">
        <v>1</v>
      </c>
      <c r="M47" s="15" t="s">
        <v>144</v>
      </c>
      <c r="N47" s="16">
        <v>43761</v>
      </c>
      <c r="O47" s="12" t="s">
        <v>4525</v>
      </c>
      <c r="P47" s="14" t="s">
        <v>4528</v>
      </c>
      <c r="Q47" s="17" t="s">
        <v>137</v>
      </c>
      <c r="R47" s="17" t="s">
        <v>146</v>
      </c>
    </row>
    <row r="48" spans="1:18" x14ac:dyDescent="0.3">
      <c r="A48" s="12" t="s">
        <v>4529</v>
      </c>
      <c r="B48" s="12" t="s">
        <v>12</v>
      </c>
      <c r="C48" s="12"/>
      <c r="D48" s="12" t="s">
        <v>12</v>
      </c>
      <c r="E48" s="12" t="s">
        <v>4530</v>
      </c>
      <c r="F48" s="12"/>
      <c r="G48" s="12" t="s">
        <v>233</v>
      </c>
      <c r="H48" s="12" t="s">
        <v>40</v>
      </c>
      <c r="I48" s="12" t="s">
        <v>26</v>
      </c>
      <c r="J48" s="13" t="s">
        <v>234</v>
      </c>
      <c r="K48" s="14" t="s">
        <v>4531</v>
      </c>
      <c r="L48" s="15">
        <v>0</v>
      </c>
      <c r="M48" s="15" t="s">
        <v>144</v>
      </c>
      <c r="N48" s="16">
        <v>42256</v>
      </c>
      <c r="O48" s="12" t="s">
        <v>4529</v>
      </c>
      <c r="P48" s="14" t="s">
        <v>4532</v>
      </c>
      <c r="Q48" s="17" t="s">
        <v>137</v>
      </c>
      <c r="R48" s="17" t="s">
        <v>146</v>
      </c>
    </row>
    <row r="49" spans="1:18" x14ac:dyDescent="0.3">
      <c r="A49" s="12" t="s">
        <v>4533</v>
      </c>
      <c r="B49" s="12" t="s">
        <v>12</v>
      </c>
      <c r="C49" s="12"/>
      <c r="D49" s="12" t="s">
        <v>12</v>
      </c>
      <c r="E49" s="12" t="s">
        <v>4534</v>
      </c>
      <c r="F49" s="12"/>
      <c r="G49" s="12" t="s">
        <v>233</v>
      </c>
      <c r="H49" s="12" t="s">
        <v>40</v>
      </c>
      <c r="I49" s="12" t="s">
        <v>26</v>
      </c>
      <c r="J49" s="13" t="s">
        <v>234</v>
      </c>
      <c r="K49" s="14" t="s">
        <v>4535</v>
      </c>
      <c r="L49" s="15">
        <v>2</v>
      </c>
      <c r="M49" s="15" t="s">
        <v>144</v>
      </c>
      <c r="N49" s="16">
        <v>40935</v>
      </c>
      <c r="O49" s="12" t="s">
        <v>4533</v>
      </c>
      <c r="P49" s="14" t="s">
        <v>4536</v>
      </c>
      <c r="Q49" s="17" t="s">
        <v>137</v>
      </c>
      <c r="R49" s="17" t="s">
        <v>146</v>
      </c>
    </row>
    <row r="50" spans="1:18" x14ac:dyDescent="0.3">
      <c r="A50" s="12" t="s">
        <v>4537</v>
      </c>
      <c r="B50" s="12" t="s">
        <v>14</v>
      </c>
      <c r="C50" s="12"/>
      <c r="D50" s="12" t="s">
        <v>14</v>
      </c>
      <c r="E50" s="12" t="s">
        <v>4538</v>
      </c>
      <c r="F50" s="12" t="s">
        <v>454</v>
      </c>
      <c r="G50" s="12" t="s">
        <v>233</v>
      </c>
      <c r="H50" s="12" t="s">
        <v>40</v>
      </c>
      <c r="I50" s="12" t="s">
        <v>26</v>
      </c>
      <c r="J50" s="13" t="s">
        <v>234</v>
      </c>
      <c r="K50" s="14" t="s">
        <v>4539</v>
      </c>
      <c r="L50" s="15">
        <v>1</v>
      </c>
      <c r="M50" s="15" t="s">
        <v>144</v>
      </c>
      <c r="N50" s="16">
        <v>44501</v>
      </c>
      <c r="O50" s="12" t="s">
        <v>4537</v>
      </c>
      <c r="P50" s="14" t="s">
        <v>4540</v>
      </c>
      <c r="Q50" s="17" t="s">
        <v>137</v>
      </c>
      <c r="R50" s="17" t="s">
        <v>146</v>
      </c>
    </row>
    <row r="51" spans="1:18" x14ac:dyDescent="0.3">
      <c r="A51" s="12" t="s">
        <v>4541</v>
      </c>
      <c r="B51" s="12" t="s">
        <v>12</v>
      </c>
      <c r="C51" s="12"/>
      <c r="D51" s="12" t="s">
        <v>12</v>
      </c>
      <c r="E51" s="12" t="s">
        <v>4542</v>
      </c>
      <c r="F51" s="12" t="s">
        <v>4543</v>
      </c>
      <c r="G51" s="12" t="s">
        <v>233</v>
      </c>
      <c r="H51" s="12" t="s">
        <v>40</v>
      </c>
      <c r="I51" s="12" t="s">
        <v>26</v>
      </c>
      <c r="J51" s="13" t="s">
        <v>234</v>
      </c>
      <c r="K51" s="14" t="s">
        <v>4544</v>
      </c>
      <c r="L51" s="15">
        <v>2</v>
      </c>
      <c r="M51" s="15" t="s">
        <v>144</v>
      </c>
      <c r="N51" s="16">
        <v>42061</v>
      </c>
      <c r="O51" s="12" t="s">
        <v>4545</v>
      </c>
      <c r="P51" s="14" t="s">
        <v>4546</v>
      </c>
      <c r="Q51" s="17" t="s">
        <v>137</v>
      </c>
      <c r="R51" s="17" t="s">
        <v>146</v>
      </c>
    </row>
    <row r="52" spans="1:18" x14ac:dyDescent="0.3">
      <c r="A52" s="12" t="s">
        <v>4547</v>
      </c>
      <c r="B52" s="12" t="s">
        <v>12</v>
      </c>
      <c r="C52" s="12"/>
      <c r="D52" s="12" t="s">
        <v>12</v>
      </c>
      <c r="E52" s="12" t="s">
        <v>4548</v>
      </c>
      <c r="F52" s="12"/>
      <c r="G52" s="12" t="s">
        <v>233</v>
      </c>
      <c r="H52" s="12" t="s">
        <v>40</v>
      </c>
      <c r="I52" s="12" t="s">
        <v>26</v>
      </c>
      <c r="J52" s="13" t="s">
        <v>259</v>
      </c>
      <c r="K52" s="14" t="s">
        <v>4549</v>
      </c>
      <c r="L52" s="15">
        <v>0</v>
      </c>
      <c r="M52" s="15" t="s">
        <v>144</v>
      </c>
      <c r="N52" s="16">
        <v>44065</v>
      </c>
      <c r="O52" s="12" t="s">
        <v>4547</v>
      </c>
      <c r="P52" s="14" t="s">
        <v>4550</v>
      </c>
      <c r="Q52" s="17" t="s">
        <v>137</v>
      </c>
      <c r="R52" s="17" t="s">
        <v>146</v>
      </c>
    </row>
    <row r="53" spans="1:18" x14ac:dyDescent="0.3">
      <c r="A53" s="12" t="s">
        <v>4551</v>
      </c>
      <c r="B53" s="12" t="s">
        <v>12</v>
      </c>
      <c r="C53" s="12"/>
      <c r="D53" s="12" t="s">
        <v>12</v>
      </c>
      <c r="E53" s="12" t="s">
        <v>4552</v>
      </c>
      <c r="F53" s="12"/>
      <c r="G53" s="12" t="s">
        <v>233</v>
      </c>
      <c r="H53" s="12" t="s">
        <v>40</v>
      </c>
      <c r="I53" s="12" t="s">
        <v>26</v>
      </c>
      <c r="J53" s="13" t="s">
        <v>234</v>
      </c>
      <c r="K53" s="14" t="s">
        <v>4553</v>
      </c>
      <c r="L53" s="15">
        <v>1</v>
      </c>
      <c r="M53" s="15" t="s">
        <v>144</v>
      </c>
      <c r="N53" s="16">
        <v>40987</v>
      </c>
      <c r="O53" s="12" t="s">
        <v>4551</v>
      </c>
      <c r="P53" s="14" t="s">
        <v>4554</v>
      </c>
      <c r="Q53" s="17" t="s">
        <v>137</v>
      </c>
      <c r="R53" s="17" t="s">
        <v>146</v>
      </c>
    </row>
    <row r="54" spans="1:18" x14ac:dyDescent="0.3">
      <c r="A54" s="12" t="s">
        <v>4555</v>
      </c>
      <c r="B54" s="12" t="s">
        <v>12</v>
      </c>
      <c r="C54" s="12"/>
      <c r="D54" s="12" t="s">
        <v>12</v>
      </c>
      <c r="E54" s="12" t="s">
        <v>4556</v>
      </c>
      <c r="F54" s="12" t="s">
        <v>520</v>
      </c>
      <c r="G54" s="12" t="s">
        <v>233</v>
      </c>
      <c r="H54" s="12" t="s">
        <v>40</v>
      </c>
      <c r="I54" s="12" t="s">
        <v>26</v>
      </c>
      <c r="J54" s="13" t="s">
        <v>259</v>
      </c>
      <c r="K54" s="14" t="s">
        <v>4557</v>
      </c>
      <c r="L54" s="15">
        <v>1</v>
      </c>
      <c r="M54" s="15" t="s">
        <v>144</v>
      </c>
      <c r="N54" s="16">
        <v>44089</v>
      </c>
      <c r="O54" s="12" t="s">
        <v>4555</v>
      </c>
      <c r="P54" s="14" t="s">
        <v>4558</v>
      </c>
      <c r="Q54" s="17" t="s">
        <v>137</v>
      </c>
      <c r="R54" s="17" t="s">
        <v>146</v>
      </c>
    </row>
    <row r="55" spans="1:18" x14ac:dyDescent="0.3">
      <c r="A55" s="12" t="s">
        <v>4559</v>
      </c>
      <c r="B55" s="12" t="s">
        <v>14</v>
      </c>
      <c r="C55" s="12"/>
      <c r="D55" s="12" t="s">
        <v>14</v>
      </c>
      <c r="E55" s="12" t="s">
        <v>4560</v>
      </c>
      <c r="F55" s="12"/>
      <c r="G55" s="12" t="s">
        <v>233</v>
      </c>
      <c r="H55" s="12" t="s">
        <v>40</v>
      </c>
      <c r="I55" s="12" t="s">
        <v>26</v>
      </c>
      <c r="J55" s="13" t="s">
        <v>234</v>
      </c>
      <c r="K55" s="14" t="s">
        <v>4561</v>
      </c>
      <c r="L55" s="15">
        <v>0</v>
      </c>
      <c r="M55" s="15" t="s">
        <v>144</v>
      </c>
      <c r="N55" s="16">
        <v>44065</v>
      </c>
      <c r="O55" s="12" t="s">
        <v>4559</v>
      </c>
      <c r="P55" s="14" t="s">
        <v>4562</v>
      </c>
      <c r="Q55" s="17" t="s">
        <v>137</v>
      </c>
      <c r="R55" s="17" t="s">
        <v>146</v>
      </c>
    </row>
    <row r="56" spans="1:18" x14ac:dyDescent="0.3">
      <c r="A56" s="12" t="s">
        <v>4563</v>
      </c>
      <c r="B56" s="12" t="s">
        <v>12</v>
      </c>
      <c r="C56" s="12"/>
      <c r="D56" s="12" t="s">
        <v>12</v>
      </c>
      <c r="E56" s="12" t="s">
        <v>4564</v>
      </c>
      <c r="F56" s="12" t="s">
        <v>4565</v>
      </c>
      <c r="G56" s="12" t="s">
        <v>233</v>
      </c>
      <c r="H56" s="12" t="s">
        <v>40</v>
      </c>
      <c r="I56" s="12" t="s">
        <v>26</v>
      </c>
      <c r="J56" s="13" t="s">
        <v>259</v>
      </c>
      <c r="K56" s="14" t="s">
        <v>4566</v>
      </c>
      <c r="L56" s="15">
        <v>1</v>
      </c>
      <c r="M56" s="15" t="s">
        <v>144</v>
      </c>
      <c r="N56" s="16">
        <v>43951</v>
      </c>
      <c r="O56" s="12" t="s">
        <v>4563</v>
      </c>
      <c r="P56" s="14" t="s">
        <v>4567</v>
      </c>
      <c r="Q56" s="17" t="s">
        <v>137</v>
      </c>
      <c r="R56" s="17" t="s">
        <v>146</v>
      </c>
    </row>
    <row r="57" spans="1:18" x14ac:dyDescent="0.3">
      <c r="A57" s="12" t="s">
        <v>4568</v>
      </c>
      <c r="B57" s="12" t="s">
        <v>12</v>
      </c>
      <c r="C57" s="12"/>
      <c r="D57" s="12" t="s">
        <v>12</v>
      </c>
      <c r="E57" s="12" t="s">
        <v>4569</v>
      </c>
      <c r="F57" s="12" t="s">
        <v>516</v>
      </c>
      <c r="G57" s="12" t="s">
        <v>233</v>
      </c>
      <c r="H57" s="12" t="s">
        <v>40</v>
      </c>
      <c r="I57" s="12" t="s">
        <v>26</v>
      </c>
      <c r="J57" s="13" t="s">
        <v>234</v>
      </c>
      <c r="K57" s="14" t="s">
        <v>4570</v>
      </c>
      <c r="L57" s="15">
        <v>2</v>
      </c>
      <c r="M57" s="15" t="s">
        <v>144</v>
      </c>
      <c r="N57" s="16">
        <v>40844</v>
      </c>
      <c r="O57" s="12" t="s">
        <v>4568</v>
      </c>
      <c r="P57" s="14" t="s">
        <v>4571</v>
      </c>
      <c r="Q57" s="17" t="s">
        <v>137</v>
      </c>
      <c r="R57" s="17" t="s">
        <v>146</v>
      </c>
    </row>
    <row r="58" spans="1:18" x14ac:dyDescent="0.3">
      <c r="A58" s="12" t="s">
        <v>4572</v>
      </c>
      <c r="B58" s="12" t="s">
        <v>12</v>
      </c>
      <c r="C58" s="12"/>
      <c r="D58" s="12" t="s">
        <v>12</v>
      </c>
      <c r="E58" s="12" t="s">
        <v>4573</v>
      </c>
      <c r="F58" s="12" t="s">
        <v>4543</v>
      </c>
      <c r="G58" s="12" t="s">
        <v>233</v>
      </c>
      <c r="H58" s="12" t="s">
        <v>40</v>
      </c>
      <c r="I58" s="12" t="s">
        <v>26</v>
      </c>
      <c r="J58" s="13" t="s">
        <v>234</v>
      </c>
      <c r="K58" s="14" t="s">
        <v>4574</v>
      </c>
      <c r="L58" s="15">
        <v>0</v>
      </c>
      <c r="M58" s="15" t="s">
        <v>144</v>
      </c>
      <c r="N58" s="16">
        <v>40003</v>
      </c>
      <c r="O58" s="12" t="s">
        <v>4572</v>
      </c>
      <c r="P58" s="14" t="s">
        <v>4575</v>
      </c>
      <c r="Q58" s="17" t="s">
        <v>137</v>
      </c>
      <c r="R58" s="17" t="s">
        <v>146</v>
      </c>
    </row>
    <row r="59" spans="1:18" x14ac:dyDescent="0.3">
      <c r="A59" s="12" t="s">
        <v>4576</v>
      </c>
      <c r="B59" s="12" t="s">
        <v>12</v>
      </c>
      <c r="C59" s="12"/>
      <c r="D59" s="12" t="s">
        <v>12</v>
      </c>
      <c r="E59" s="12" t="s">
        <v>4577</v>
      </c>
      <c r="F59" s="12"/>
      <c r="G59" s="12" t="s">
        <v>313</v>
      </c>
      <c r="H59" s="12" t="s">
        <v>40</v>
      </c>
      <c r="I59" s="12" t="s">
        <v>26</v>
      </c>
      <c r="J59" s="13" t="s">
        <v>314</v>
      </c>
      <c r="K59" s="14" t="s">
        <v>4578</v>
      </c>
      <c r="L59" s="15">
        <v>1</v>
      </c>
      <c r="M59" s="15" t="s">
        <v>144</v>
      </c>
      <c r="N59" s="16">
        <v>40441</v>
      </c>
      <c r="O59" s="12" t="s">
        <v>4576</v>
      </c>
      <c r="P59" s="14" t="s">
        <v>4579</v>
      </c>
      <c r="Q59" s="17" t="s">
        <v>137</v>
      </c>
      <c r="R59" s="17" t="s">
        <v>146</v>
      </c>
    </row>
    <row r="60" spans="1:18" x14ac:dyDescent="0.3">
      <c r="A60" s="12" t="s">
        <v>4580</v>
      </c>
      <c r="B60" s="12" t="s">
        <v>12</v>
      </c>
      <c r="C60" s="12"/>
      <c r="D60" s="12" t="s">
        <v>12</v>
      </c>
      <c r="E60" s="12" t="s">
        <v>4581</v>
      </c>
      <c r="F60" s="12" t="s">
        <v>4582</v>
      </c>
      <c r="G60" s="12" t="s">
        <v>313</v>
      </c>
      <c r="H60" s="12" t="s">
        <v>40</v>
      </c>
      <c r="I60" s="12" t="s">
        <v>26</v>
      </c>
      <c r="J60" s="13" t="s">
        <v>314</v>
      </c>
      <c r="K60" s="14" t="s">
        <v>4583</v>
      </c>
      <c r="L60" s="15">
        <v>4</v>
      </c>
      <c r="M60" s="15" t="s">
        <v>144</v>
      </c>
      <c r="N60" s="16">
        <v>43528</v>
      </c>
      <c r="O60" s="12" t="s">
        <v>4580</v>
      </c>
      <c r="P60" s="14" t="s">
        <v>4584</v>
      </c>
      <c r="Q60" s="17" t="s">
        <v>137</v>
      </c>
      <c r="R60" s="17" t="s">
        <v>146</v>
      </c>
    </row>
    <row r="61" spans="1:18" x14ac:dyDescent="0.3">
      <c r="A61" s="12" t="s">
        <v>215</v>
      </c>
      <c r="B61" s="12" t="s">
        <v>10</v>
      </c>
      <c r="C61" s="12"/>
      <c r="D61" s="12" t="s">
        <v>647</v>
      </c>
      <c r="E61" s="12" t="s">
        <v>4585</v>
      </c>
      <c r="F61" s="12"/>
      <c r="G61" s="12" t="s">
        <v>313</v>
      </c>
      <c r="H61" s="12" t="s">
        <v>40</v>
      </c>
      <c r="I61" s="12" t="s">
        <v>26</v>
      </c>
      <c r="J61" s="13" t="s">
        <v>314</v>
      </c>
      <c r="K61" s="14" t="s">
        <v>219</v>
      </c>
      <c r="L61" s="15">
        <v>0</v>
      </c>
      <c r="M61" s="15" t="s">
        <v>144</v>
      </c>
      <c r="N61" s="16">
        <v>43230</v>
      </c>
      <c r="O61" s="12" t="s">
        <v>215</v>
      </c>
      <c r="P61" s="14" t="s">
        <v>4586</v>
      </c>
      <c r="Q61" s="17" t="s">
        <v>137</v>
      </c>
      <c r="R61" s="17" t="s">
        <v>146</v>
      </c>
    </row>
    <row r="62" spans="1:18" x14ac:dyDescent="0.3">
      <c r="A62" s="12" t="s">
        <v>305</v>
      </c>
      <c r="B62" s="12" t="s">
        <v>14</v>
      </c>
      <c r="C62" s="12"/>
      <c r="D62" s="12" t="s">
        <v>14</v>
      </c>
      <c r="E62" s="12" t="s">
        <v>4585</v>
      </c>
      <c r="F62" s="12" t="s">
        <v>447</v>
      </c>
      <c r="G62" s="12" t="s">
        <v>313</v>
      </c>
      <c r="H62" s="12" t="s">
        <v>40</v>
      </c>
      <c r="I62" s="12" t="s">
        <v>26</v>
      </c>
      <c r="J62" s="13" t="s">
        <v>314</v>
      </c>
      <c r="K62" s="14" t="s">
        <v>4587</v>
      </c>
      <c r="L62" s="15">
        <v>9</v>
      </c>
      <c r="M62" s="15" t="s">
        <v>144</v>
      </c>
      <c r="N62" s="16">
        <v>44433</v>
      </c>
      <c r="O62" s="12" t="s">
        <v>305</v>
      </c>
      <c r="P62" s="14" t="s">
        <v>4588</v>
      </c>
      <c r="Q62" s="17" t="s">
        <v>137</v>
      </c>
      <c r="R62" s="17" t="s">
        <v>146</v>
      </c>
    </row>
    <row r="63" spans="1:18" x14ac:dyDescent="0.3">
      <c r="A63" s="12" t="s">
        <v>4589</v>
      </c>
      <c r="B63" s="12" t="s">
        <v>12</v>
      </c>
      <c r="C63" s="12"/>
      <c r="D63" s="12" t="s">
        <v>12</v>
      </c>
      <c r="E63" s="12" t="s">
        <v>4590</v>
      </c>
      <c r="F63" s="12"/>
      <c r="G63" s="12" t="s">
        <v>320</v>
      </c>
      <c r="H63" s="12" t="s">
        <v>40</v>
      </c>
      <c r="I63" s="12" t="s">
        <v>26</v>
      </c>
      <c r="J63" s="13" t="s">
        <v>321</v>
      </c>
      <c r="K63" s="14" t="s">
        <v>4591</v>
      </c>
      <c r="L63" s="15">
        <v>1</v>
      </c>
      <c r="M63" s="15" t="s">
        <v>144</v>
      </c>
      <c r="N63" s="16">
        <v>43179</v>
      </c>
      <c r="O63" s="12" t="s">
        <v>4589</v>
      </c>
      <c r="P63" s="14" t="s">
        <v>4592</v>
      </c>
      <c r="Q63" s="17" t="s">
        <v>137</v>
      </c>
      <c r="R63" s="17" t="s">
        <v>146</v>
      </c>
    </row>
    <row r="64" spans="1:18" x14ac:dyDescent="0.3">
      <c r="A64" s="12" t="s">
        <v>4593</v>
      </c>
      <c r="B64" s="12" t="s">
        <v>12</v>
      </c>
      <c r="C64" s="12"/>
      <c r="D64" s="12" t="s">
        <v>12</v>
      </c>
      <c r="E64" s="12" t="s">
        <v>4594</v>
      </c>
      <c r="F64" s="12"/>
      <c r="G64" s="12" t="s">
        <v>320</v>
      </c>
      <c r="H64" s="12" t="s">
        <v>40</v>
      </c>
      <c r="I64" s="12" t="s">
        <v>26</v>
      </c>
      <c r="J64" s="13" t="s">
        <v>321</v>
      </c>
      <c r="K64" s="14" t="s">
        <v>4595</v>
      </c>
      <c r="L64" s="15">
        <v>0</v>
      </c>
      <c r="M64" s="15" t="s">
        <v>144</v>
      </c>
      <c r="N64" s="16">
        <v>39597</v>
      </c>
      <c r="O64" s="12" t="s">
        <v>4593</v>
      </c>
      <c r="P64" s="14" t="s">
        <v>4596</v>
      </c>
      <c r="Q64" s="17" t="s">
        <v>137</v>
      </c>
      <c r="R64" s="17" t="s">
        <v>146</v>
      </c>
    </row>
    <row r="65" spans="1:18" x14ac:dyDescent="0.3">
      <c r="A65" s="12" t="s">
        <v>4597</v>
      </c>
      <c r="B65" s="12" t="s">
        <v>10</v>
      </c>
      <c r="C65" s="12"/>
      <c r="D65" s="12" t="s">
        <v>647</v>
      </c>
      <c r="E65" s="12" t="s">
        <v>4598</v>
      </c>
      <c r="F65" s="12" t="s">
        <v>447</v>
      </c>
      <c r="G65" s="12" t="s">
        <v>320</v>
      </c>
      <c r="H65" s="12" t="s">
        <v>40</v>
      </c>
      <c r="I65" s="12" t="s">
        <v>26</v>
      </c>
      <c r="J65" s="13" t="s">
        <v>321</v>
      </c>
      <c r="K65" s="14" t="s">
        <v>4599</v>
      </c>
      <c r="L65" s="15">
        <v>0</v>
      </c>
      <c r="M65" s="15" t="s">
        <v>220</v>
      </c>
      <c r="N65" s="16">
        <v>39399</v>
      </c>
      <c r="O65" s="12" t="s">
        <v>4597</v>
      </c>
      <c r="P65" s="14" t="s">
        <v>4600</v>
      </c>
      <c r="Q65" s="17" t="s">
        <v>137</v>
      </c>
      <c r="R65" s="17" t="s">
        <v>146</v>
      </c>
    </row>
    <row r="66" spans="1:18" x14ac:dyDescent="0.3">
      <c r="A66" s="12" t="s">
        <v>4601</v>
      </c>
      <c r="B66" s="12" t="s">
        <v>12</v>
      </c>
      <c r="C66" s="12"/>
      <c r="D66" s="12" t="s">
        <v>12</v>
      </c>
      <c r="E66" s="12" t="s">
        <v>4602</v>
      </c>
      <c r="F66" s="12"/>
      <c r="G66" s="12" t="s">
        <v>320</v>
      </c>
      <c r="H66" s="12" t="s">
        <v>40</v>
      </c>
      <c r="I66" s="12" t="s">
        <v>26</v>
      </c>
      <c r="J66" s="13" t="s">
        <v>321</v>
      </c>
      <c r="K66" s="14" t="s">
        <v>338</v>
      </c>
      <c r="L66" s="15">
        <v>0</v>
      </c>
      <c r="M66" s="15" t="s">
        <v>144</v>
      </c>
      <c r="N66" s="16">
        <v>39393</v>
      </c>
      <c r="O66" s="12" t="s">
        <v>4601</v>
      </c>
      <c r="P66" s="14" t="s">
        <v>4603</v>
      </c>
      <c r="Q66" s="17" t="s">
        <v>137</v>
      </c>
      <c r="R66" s="17" t="s">
        <v>146</v>
      </c>
    </row>
    <row r="67" spans="1:18" x14ac:dyDescent="0.3">
      <c r="A67" s="12" t="s">
        <v>4604</v>
      </c>
      <c r="B67" s="12" t="s">
        <v>12</v>
      </c>
      <c r="C67" s="12"/>
      <c r="D67" s="12" t="s">
        <v>12</v>
      </c>
      <c r="E67" s="12" t="s">
        <v>4602</v>
      </c>
      <c r="F67" s="12"/>
      <c r="G67" s="12" t="s">
        <v>320</v>
      </c>
      <c r="H67" s="12" t="s">
        <v>40</v>
      </c>
      <c r="I67" s="12" t="s">
        <v>26</v>
      </c>
      <c r="J67" s="13" t="s">
        <v>321</v>
      </c>
      <c r="K67" s="14" t="s">
        <v>338</v>
      </c>
      <c r="L67" s="15">
        <v>0</v>
      </c>
      <c r="M67" s="15" t="s">
        <v>144</v>
      </c>
      <c r="N67" s="16">
        <v>41078</v>
      </c>
      <c r="O67" s="12" t="s">
        <v>4604</v>
      </c>
      <c r="P67" s="14" t="s">
        <v>4605</v>
      </c>
      <c r="Q67" s="17" t="s">
        <v>137</v>
      </c>
      <c r="R67" s="17" t="s">
        <v>146</v>
      </c>
    </row>
    <row r="68" spans="1:18" x14ac:dyDescent="0.3">
      <c r="A68" s="12" t="s">
        <v>4606</v>
      </c>
      <c r="B68" s="12" t="s">
        <v>12</v>
      </c>
      <c r="C68" s="12"/>
      <c r="D68" s="12" t="s">
        <v>12</v>
      </c>
      <c r="E68" s="12" t="s">
        <v>4607</v>
      </c>
      <c r="F68" s="12"/>
      <c r="G68" s="12" t="s">
        <v>320</v>
      </c>
      <c r="H68" s="12" t="s">
        <v>40</v>
      </c>
      <c r="I68" s="12" t="s">
        <v>26</v>
      </c>
      <c r="J68" s="13" t="s">
        <v>321</v>
      </c>
      <c r="K68" s="14" t="s">
        <v>4608</v>
      </c>
      <c r="L68" s="15">
        <v>1</v>
      </c>
      <c r="M68" s="15" t="s">
        <v>144</v>
      </c>
      <c r="N68" s="16">
        <v>41649</v>
      </c>
      <c r="O68" s="12" t="s">
        <v>4606</v>
      </c>
      <c r="P68" s="14" t="s">
        <v>4609</v>
      </c>
      <c r="Q68" s="17" t="s">
        <v>137</v>
      </c>
      <c r="R68" s="17" t="s">
        <v>146</v>
      </c>
    </row>
    <row r="69" spans="1:18" x14ac:dyDescent="0.3">
      <c r="A69" s="12" t="s">
        <v>4610</v>
      </c>
      <c r="B69" s="12" t="s">
        <v>12</v>
      </c>
      <c r="C69" s="12"/>
      <c r="D69" s="12" t="s">
        <v>12</v>
      </c>
      <c r="E69" s="12" t="s">
        <v>4611</v>
      </c>
      <c r="F69" s="12" t="s">
        <v>547</v>
      </c>
      <c r="G69" s="12" t="s">
        <v>346</v>
      </c>
      <c r="H69" s="12" t="s">
        <v>40</v>
      </c>
      <c r="I69" s="12" t="s">
        <v>26</v>
      </c>
      <c r="J69" s="13" t="s">
        <v>142</v>
      </c>
      <c r="K69" s="14" t="s">
        <v>4438</v>
      </c>
      <c r="L69" s="15">
        <v>6</v>
      </c>
      <c r="M69" s="15" t="s">
        <v>144</v>
      </c>
      <c r="N69" s="16">
        <v>42832</v>
      </c>
      <c r="O69" s="12" t="s">
        <v>4610</v>
      </c>
      <c r="P69" s="14" t="s">
        <v>4612</v>
      </c>
      <c r="Q69" s="17" t="s">
        <v>137</v>
      </c>
      <c r="R69" s="17" t="s">
        <v>146</v>
      </c>
    </row>
    <row r="70" spans="1:18" x14ac:dyDescent="0.3">
      <c r="A70" s="12" t="s">
        <v>4613</v>
      </c>
      <c r="B70" s="12" t="s">
        <v>14</v>
      </c>
      <c r="C70" s="12"/>
      <c r="D70" s="12" t="s">
        <v>14</v>
      </c>
      <c r="E70" s="12" t="s">
        <v>4614</v>
      </c>
      <c r="F70" s="12"/>
      <c r="G70" s="12" t="s">
        <v>346</v>
      </c>
      <c r="H70" s="12" t="s">
        <v>40</v>
      </c>
      <c r="I70" s="12" t="s">
        <v>26</v>
      </c>
      <c r="J70" s="13" t="s">
        <v>142</v>
      </c>
      <c r="K70" s="14" t="s">
        <v>4615</v>
      </c>
      <c r="L70" s="15">
        <v>2</v>
      </c>
      <c r="M70" s="15" t="s">
        <v>144</v>
      </c>
      <c r="N70" s="16">
        <v>42055</v>
      </c>
      <c r="O70" s="12" t="s">
        <v>4616</v>
      </c>
      <c r="P70" s="14" t="s">
        <v>4617</v>
      </c>
      <c r="Q70" s="17" t="s">
        <v>137</v>
      </c>
      <c r="R70" s="17" t="s">
        <v>146</v>
      </c>
    </row>
    <row r="71" spans="1:18" x14ac:dyDescent="0.3">
      <c r="A71" s="12" t="s">
        <v>4618</v>
      </c>
      <c r="B71" s="12" t="s">
        <v>12</v>
      </c>
      <c r="C71" s="12"/>
      <c r="D71" s="12" t="s">
        <v>12</v>
      </c>
      <c r="E71" s="12" t="s">
        <v>4619</v>
      </c>
      <c r="F71" s="12"/>
      <c r="G71" s="12" t="s">
        <v>346</v>
      </c>
      <c r="H71" s="12" t="s">
        <v>40</v>
      </c>
      <c r="I71" s="12" t="s">
        <v>26</v>
      </c>
      <c r="J71" s="13" t="s">
        <v>142</v>
      </c>
      <c r="K71" s="14" t="s">
        <v>4620</v>
      </c>
      <c r="L71" s="15">
        <v>2</v>
      </c>
      <c r="M71" s="15" t="s">
        <v>144</v>
      </c>
      <c r="N71" s="16">
        <v>43052</v>
      </c>
      <c r="O71" s="12" t="s">
        <v>4618</v>
      </c>
      <c r="P71" s="14" t="s">
        <v>4621</v>
      </c>
      <c r="Q71" s="17" t="s">
        <v>137</v>
      </c>
      <c r="R71" s="17" t="s">
        <v>146</v>
      </c>
    </row>
    <row r="72" spans="1:18" x14ac:dyDescent="0.3">
      <c r="A72" s="12" t="s">
        <v>4622</v>
      </c>
      <c r="B72" s="12" t="s">
        <v>12</v>
      </c>
      <c r="C72" s="12"/>
      <c r="D72" s="12" t="s">
        <v>12</v>
      </c>
      <c r="E72" s="12" t="s">
        <v>4623</v>
      </c>
      <c r="F72" s="12"/>
      <c r="G72" s="12" t="s">
        <v>360</v>
      </c>
      <c r="H72" s="12" t="s">
        <v>40</v>
      </c>
      <c r="I72" s="12" t="s">
        <v>26</v>
      </c>
      <c r="J72" s="13" t="s">
        <v>354</v>
      </c>
      <c r="K72" s="14" t="s">
        <v>4624</v>
      </c>
      <c r="L72" s="15">
        <v>1</v>
      </c>
      <c r="M72" s="15" t="s">
        <v>144</v>
      </c>
      <c r="N72" s="16">
        <v>39617</v>
      </c>
      <c r="O72" s="12" t="s">
        <v>4622</v>
      </c>
      <c r="P72" s="14" t="s">
        <v>4625</v>
      </c>
      <c r="Q72" s="17" t="s">
        <v>137</v>
      </c>
      <c r="R72" s="17" t="s">
        <v>146</v>
      </c>
    </row>
    <row r="73" spans="1:18" x14ac:dyDescent="0.3">
      <c r="A73" s="12" t="s">
        <v>4626</v>
      </c>
      <c r="B73" s="12" t="s">
        <v>12</v>
      </c>
      <c r="C73" s="12"/>
      <c r="D73" s="12" t="s">
        <v>12</v>
      </c>
      <c r="E73" s="12" t="s">
        <v>4627</v>
      </c>
      <c r="F73" s="12" t="s">
        <v>583</v>
      </c>
      <c r="G73" s="12" t="s">
        <v>360</v>
      </c>
      <c r="H73" s="12" t="s">
        <v>40</v>
      </c>
      <c r="I73" s="12" t="s">
        <v>26</v>
      </c>
      <c r="J73" s="13" t="s">
        <v>354</v>
      </c>
      <c r="K73" s="14" t="s">
        <v>4628</v>
      </c>
      <c r="L73" s="15">
        <v>2</v>
      </c>
      <c r="M73" s="15" t="s">
        <v>144</v>
      </c>
      <c r="N73" s="16">
        <v>39307</v>
      </c>
      <c r="O73" s="12" t="s">
        <v>4626</v>
      </c>
      <c r="P73" s="14" t="s">
        <v>4629</v>
      </c>
      <c r="Q73" s="17" t="s">
        <v>137</v>
      </c>
      <c r="R73" s="17" t="s">
        <v>146</v>
      </c>
    </row>
    <row r="74" spans="1:18" x14ac:dyDescent="0.3">
      <c r="A74" s="12" t="s">
        <v>4630</v>
      </c>
      <c r="B74" s="12" t="s">
        <v>14</v>
      </c>
      <c r="C74" s="12"/>
      <c r="D74" s="12" t="s">
        <v>14</v>
      </c>
      <c r="E74" s="12" t="s">
        <v>4631</v>
      </c>
      <c r="F74" s="12"/>
      <c r="G74" s="12" t="s">
        <v>360</v>
      </c>
      <c r="H74" s="12" t="s">
        <v>40</v>
      </c>
      <c r="I74" s="12" t="s">
        <v>26</v>
      </c>
      <c r="J74" s="13" t="s">
        <v>354</v>
      </c>
      <c r="K74" s="14" t="s">
        <v>4632</v>
      </c>
      <c r="L74" s="15">
        <v>0</v>
      </c>
      <c r="M74" s="15" t="s">
        <v>144</v>
      </c>
      <c r="N74" s="16">
        <v>44111</v>
      </c>
      <c r="O74" s="12" t="s">
        <v>4633</v>
      </c>
      <c r="P74" s="14" t="s">
        <v>4634</v>
      </c>
      <c r="Q74" s="17" t="s">
        <v>137</v>
      </c>
      <c r="R74" s="17" t="s">
        <v>146</v>
      </c>
    </row>
    <row r="75" spans="1:18" x14ac:dyDescent="0.3">
      <c r="A75" s="12" t="s">
        <v>4635</v>
      </c>
      <c r="B75" s="12" t="s">
        <v>12</v>
      </c>
      <c r="C75" s="12"/>
      <c r="D75" s="12" t="s">
        <v>12</v>
      </c>
      <c r="E75" s="12" t="s">
        <v>4627</v>
      </c>
      <c r="F75" s="12" t="s">
        <v>583</v>
      </c>
      <c r="G75" s="12" t="s">
        <v>360</v>
      </c>
      <c r="H75" s="12" t="s">
        <v>40</v>
      </c>
      <c r="I75" s="12" t="s">
        <v>26</v>
      </c>
      <c r="J75" s="13" t="s">
        <v>354</v>
      </c>
      <c r="K75" s="14" t="s">
        <v>4636</v>
      </c>
      <c r="L75" s="15">
        <v>2</v>
      </c>
      <c r="M75" s="15" t="s">
        <v>144</v>
      </c>
      <c r="N75" s="16">
        <v>41369</v>
      </c>
      <c r="O75" s="12" t="s">
        <v>4635</v>
      </c>
      <c r="P75" s="14" t="s">
        <v>4637</v>
      </c>
      <c r="Q75" s="17" t="s">
        <v>137</v>
      </c>
      <c r="R75" s="17" t="s">
        <v>146</v>
      </c>
    </row>
    <row r="76" spans="1:18" x14ac:dyDescent="0.3">
      <c r="A76" s="12" t="s">
        <v>4638</v>
      </c>
      <c r="B76" s="12" t="s">
        <v>12</v>
      </c>
      <c r="C76" s="12"/>
      <c r="D76" s="12" t="s">
        <v>12</v>
      </c>
      <c r="E76" s="12" t="s">
        <v>4639</v>
      </c>
      <c r="F76" s="12" t="s">
        <v>4474</v>
      </c>
      <c r="G76" s="12" t="s">
        <v>360</v>
      </c>
      <c r="H76" s="12" t="s">
        <v>40</v>
      </c>
      <c r="I76" s="12" t="s">
        <v>26</v>
      </c>
      <c r="J76" s="13" t="s">
        <v>354</v>
      </c>
      <c r="K76" s="14" t="s">
        <v>4640</v>
      </c>
      <c r="L76" s="15">
        <v>1</v>
      </c>
      <c r="M76" s="15" t="s">
        <v>144</v>
      </c>
      <c r="N76" s="16">
        <v>40332</v>
      </c>
      <c r="O76" s="12" t="s">
        <v>4638</v>
      </c>
      <c r="P76" s="14" t="s">
        <v>4641</v>
      </c>
      <c r="Q76" s="17" t="s">
        <v>137</v>
      </c>
      <c r="R76" s="17" t="s">
        <v>146</v>
      </c>
    </row>
    <row r="77" spans="1:18" x14ac:dyDescent="0.3">
      <c r="A77" s="12" t="s">
        <v>307</v>
      </c>
      <c r="B77" s="12" t="s">
        <v>14</v>
      </c>
      <c r="C77" s="12"/>
      <c r="D77" s="12" t="s">
        <v>14</v>
      </c>
      <c r="E77" s="12" t="s">
        <v>4642</v>
      </c>
      <c r="F77" s="12"/>
      <c r="G77" s="12" t="s">
        <v>360</v>
      </c>
      <c r="H77" s="12" t="s">
        <v>40</v>
      </c>
      <c r="I77" s="12" t="s">
        <v>26</v>
      </c>
      <c r="J77" s="13" t="s">
        <v>354</v>
      </c>
      <c r="K77" s="14" t="s">
        <v>4643</v>
      </c>
      <c r="L77" s="15">
        <v>0</v>
      </c>
      <c r="M77" s="15" t="s">
        <v>144</v>
      </c>
      <c r="N77" s="16">
        <v>40148</v>
      </c>
      <c r="O77" s="12" t="s">
        <v>307</v>
      </c>
      <c r="P77" s="14" t="s">
        <v>4644</v>
      </c>
      <c r="Q77" s="17" t="s">
        <v>137</v>
      </c>
      <c r="R77" s="17" t="s">
        <v>146</v>
      </c>
    </row>
    <row r="78" spans="1:18" x14ac:dyDescent="0.3">
      <c r="A78" s="12" t="s">
        <v>4645</v>
      </c>
      <c r="B78" s="12" t="s">
        <v>12</v>
      </c>
      <c r="C78" s="12"/>
      <c r="D78" s="12" t="s">
        <v>12</v>
      </c>
      <c r="E78" s="12" t="s">
        <v>4646</v>
      </c>
      <c r="F78" s="12" t="s">
        <v>4647</v>
      </c>
      <c r="G78" s="12" t="s">
        <v>367</v>
      </c>
      <c r="H78" s="12" t="s">
        <v>40</v>
      </c>
      <c r="I78" s="12" t="s">
        <v>26</v>
      </c>
      <c r="J78" s="13" t="s">
        <v>2045</v>
      </c>
      <c r="K78" s="14" t="s">
        <v>4648</v>
      </c>
      <c r="L78" s="15">
        <v>1</v>
      </c>
      <c r="M78" s="15" t="s">
        <v>144</v>
      </c>
      <c r="N78" s="16">
        <v>44065</v>
      </c>
      <c r="O78" s="12" t="s">
        <v>4645</v>
      </c>
      <c r="P78" s="14" t="s">
        <v>4649</v>
      </c>
      <c r="Q78" s="17" t="s">
        <v>137</v>
      </c>
      <c r="R78" s="17" t="s">
        <v>146</v>
      </c>
    </row>
    <row r="79" spans="1:18" x14ac:dyDescent="0.3">
      <c r="A79" s="12" t="s">
        <v>4650</v>
      </c>
      <c r="B79" s="12" t="s">
        <v>12</v>
      </c>
      <c r="C79" s="12"/>
      <c r="D79" s="12" t="s">
        <v>12</v>
      </c>
      <c r="E79" s="12" t="s">
        <v>4651</v>
      </c>
      <c r="F79" s="12" t="s">
        <v>4652</v>
      </c>
      <c r="G79" s="12" t="s">
        <v>37</v>
      </c>
      <c r="H79" s="12" t="s">
        <v>40</v>
      </c>
      <c r="I79" s="12" t="s">
        <v>26</v>
      </c>
      <c r="J79" s="13" t="s">
        <v>153</v>
      </c>
      <c r="K79" s="14" t="s">
        <v>4653</v>
      </c>
      <c r="L79" s="15">
        <v>1</v>
      </c>
      <c r="M79" s="15" t="s">
        <v>144</v>
      </c>
      <c r="N79" s="16">
        <v>42277</v>
      </c>
      <c r="O79" s="12" t="s">
        <v>4654</v>
      </c>
      <c r="P79" s="14" t="s">
        <v>4655</v>
      </c>
      <c r="Q79" s="17" t="s">
        <v>137</v>
      </c>
      <c r="R79" s="17" t="s">
        <v>146</v>
      </c>
    </row>
    <row r="80" spans="1:18" x14ac:dyDescent="0.3">
      <c r="A80" s="12" t="s">
        <v>4656</v>
      </c>
      <c r="B80" s="12" t="s">
        <v>12</v>
      </c>
      <c r="C80" s="12"/>
      <c r="D80" s="12" t="s">
        <v>12</v>
      </c>
      <c r="E80" s="12" t="s">
        <v>4657</v>
      </c>
      <c r="F80" s="12" t="s">
        <v>447</v>
      </c>
      <c r="G80" s="12" t="s">
        <v>37</v>
      </c>
      <c r="H80" s="12" t="s">
        <v>40</v>
      </c>
      <c r="I80" s="12" t="s">
        <v>26</v>
      </c>
      <c r="J80" s="13" t="s">
        <v>153</v>
      </c>
      <c r="K80" s="14" t="s">
        <v>4658</v>
      </c>
      <c r="L80" s="15">
        <v>0</v>
      </c>
      <c r="M80" s="15" t="s">
        <v>144</v>
      </c>
      <c r="N80" s="16">
        <v>43608</v>
      </c>
      <c r="O80" s="12" t="s">
        <v>4656</v>
      </c>
      <c r="P80" s="14" t="s">
        <v>4659</v>
      </c>
      <c r="Q80" s="17" t="s">
        <v>137</v>
      </c>
      <c r="R80" s="17" t="s">
        <v>146</v>
      </c>
    </row>
    <row r="81" spans="1:18" x14ac:dyDescent="0.3">
      <c r="A81" s="12" t="s">
        <v>4656</v>
      </c>
      <c r="B81" s="12" t="s">
        <v>12</v>
      </c>
      <c r="C81" s="12"/>
      <c r="D81" s="12" t="s">
        <v>12</v>
      </c>
      <c r="E81" s="12" t="s">
        <v>4660</v>
      </c>
      <c r="F81" s="12"/>
      <c r="G81" s="12" t="s">
        <v>37</v>
      </c>
      <c r="H81" s="12" t="s">
        <v>40</v>
      </c>
      <c r="I81" s="12" t="s">
        <v>26</v>
      </c>
      <c r="J81" s="13" t="s">
        <v>153</v>
      </c>
      <c r="K81" s="14" t="s">
        <v>4658</v>
      </c>
      <c r="L81" s="15">
        <v>0</v>
      </c>
      <c r="M81" s="15" t="s">
        <v>144</v>
      </c>
      <c r="N81" s="16">
        <v>43608</v>
      </c>
      <c r="O81" s="12" t="s">
        <v>4656</v>
      </c>
      <c r="P81" s="14" t="s">
        <v>4659</v>
      </c>
      <c r="Q81" s="17" t="s">
        <v>137</v>
      </c>
      <c r="R81" s="17" t="s">
        <v>146</v>
      </c>
    </row>
    <row r="82" spans="1:18" x14ac:dyDescent="0.3">
      <c r="A82" s="12" t="s">
        <v>4661</v>
      </c>
      <c r="B82" s="12" t="s">
        <v>12</v>
      </c>
      <c r="C82" s="12"/>
      <c r="D82" s="12" t="s">
        <v>12</v>
      </c>
      <c r="E82" s="12" t="s">
        <v>4662</v>
      </c>
      <c r="F82" s="12"/>
      <c r="G82" s="12" t="s">
        <v>37</v>
      </c>
      <c r="H82" s="12" t="s">
        <v>40</v>
      </c>
      <c r="I82" s="12" t="s">
        <v>26</v>
      </c>
      <c r="J82" s="13" t="s">
        <v>153</v>
      </c>
      <c r="K82" s="14" t="s">
        <v>4663</v>
      </c>
      <c r="L82" s="15">
        <v>0</v>
      </c>
      <c r="M82" s="15" t="s">
        <v>144</v>
      </c>
      <c r="N82" s="16">
        <v>44065</v>
      </c>
      <c r="O82" s="12" t="s">
        <v>4661</v>
      </c>
      <c r="P82" s="14" t="s">
        <v>4664</v>
      </c>
      <c r="Q82" s="17" t="s">
        <v>137</v>
      </c>
      <c r="R82" s="17" t="s">
        <v>146</v>
      </c>
    </row>
    <row r="83" spans="1:18" x14ac:dyDescent="0.3">
      <c r="A83" s="12" t="s">
        <v>4665</v>
      </c>
      <c r="B83" s="12" t="s">
        <v>12</v>
      </c>
      <c r="C83" s="12"/>
      <c r="D83" s="12" t="s">
        <v>12</v>
      </c>
      <c r="E83" s="12" t="s">
        <v>4666</v>
      </c>
      <c r="F83" s="12"/>
      <c r="G83" s="12" t="s">
        <v>37</v>
      </c>
      <c r="H83" s="12" t="s">
        <v>40</v>
      </c>
      <c r="I83" s="12" t="s">
        <v>26</v>
      </c>
      <c r="J83" s="13" t="s">
        <v>153</v>
      </c>
      <c r="K83" s="14" t="s">
        <v>4667</v>
      </c>
      <c r="L83" s="15">
        <v>0</v>
      </c>
      <c r="M83" s="15" t="s">
        <v>144</v>
      </c>
      <c r="N83" s="16">
        <v>43322</v>
      </c>
      <c r="O83" s="12" t="s">
        <v>4665</v>
      </c>
      <c r="P83" s="14" t="s">
        <v>4668</v>
      </c>
      <c r="Q83" s="17" t="s">
        <v>137</v>
      </c>
      <c r="R83" s="17" t="s">
        <v>146</v>
      </c>
    </row>
    <row r="84" spans="1:18" x14ac:dyDescent="0.3">
      <c r="A84" s="12" t="s">
        <v>4669</v>
      </c>
      <c r="B84" s="12" t="s">
        <v>12</v>
      </c>
      <c r="C84" s="12"/>
      <c r="D84" s="12" t="s">
        <v>12</v>
      </c>
      <c r="E84" s="12" t="s">
        <v>4670</v>
      </c>
      <c r="F84" s="12"/>
      <c r="G84" s="12" t="s">
        <v>2099</v>
      </c>
      <c r="H84" s="12" t="s">
        <v>40</v>
      </c>
      <c r="I84" s="12" t="s">
        <v>26</v>
      </c>
      <c r="J84" s="13" t="s">
        <v>2001</v>
      </c>
      <c r="K84" s="14" t="s">
        <v>4671</v>
      </c>
      <c r="L84" s="15">
        <v>0</v>
      </c>
      <c r="M84" s="15" t="s">
        <v>144</v>
      </c>
      <c r="N84" s="16">
        <v>41326</v>
      </c>
      <c r="O84" s="12" t="s">
        <v>4669</v>
      </c>
      <c r="P84" s="14" t="s">
        <v>4672</v>
      </c>
      <c r="Q84" s="17" t="s">
        <v>137</v>
      </c>
      <c r="R84" s="17" t="s">
        <v>146</v>
      </c>
    </row>
    <row r="85" spans="1:18" x14ac:dyDescent="0.3">
      <c r="A85" s="12" t="s">
        <v>4673</v>
      </c>
      <c r="B85" s="12" t="s">
        <v>10</v>
      </c>
      <c r="C85" s="12" t="s">
        <v>14</v>
      </c>
      <c r="D85" s="12" t="s">
        <v>4674</v>
      </c>
      <c r="E85" s="12" t="s">
        <v>4675</v>
      </c>
      <c r="F85" s="12"/>
      <c r="G85" s="12" t="s">
        <v>4676</v>
      </c>
      <c r="H85" s="12" t="s">
        <v>40</v>
      </c>
      <c r="I85" s="12" t="s">
        <v>26</v>
      </c>
      <c r="J85" s="13" t="s">
        <v>321</v>
      </c>
      <c r="K85" s="14" t="s">
        <v>4677</v>
      </c>
      <c r="L85" s="15">
        <v>3</v>
      </c>
      <c r="M85" s="15" t="s">
        <v>220</v>
      </c>
      <c r="N85" s="16">
        <v>41260</v>
      </c>
      <c r="O85" s="12" t="s">
        <v>4673</v>
      </c>
      <c r="P85" s="14" t="s">
        <v>4678</v>
      </c>
      <c r="Q85" s="17" t="s">
        <v>137</v>
      </c>
      <c r="R85" s="17" t="s">
        <v>146</v>
      </c>
    </row>
    <row r="86" spans="1:18" x14ac:dyDescent="0.3">
      <c r="A86" s="12" t="s">
        <v>4679</v>
      </c>
      <c r="B86" s="12" t="s">
        <v>12</v>
      </c>
      <c r="C86" s="12"/>
      <c r="D86" s="12" t="s">
        <v>12</v>
      </c>
      <c r="E86" s="12" t="s">
        <v>4680</v>
      </c>
      <c r="F86" s="12"/>
      <c r="G86" s="12" t="s">
        <v>4676</v>
      </c>
      <c r="H86" s="12" t="s">
        <v>40</v>
      </c>
      <c r="I86" s="12" t="s">
        <v>26</v>
      </c>
      <c r="J86" s="13" t="s">
        <v>321</v>
      </c>
      <c r="K86" s="14" t="s">
        <v>4681</v>
      </c>
      <c r="L86" s="15">
        <v>1</v>
      </c>
      <c r="M86" s="15" t="s">
        <v>144</v>
      </c>
      <c r="N86" s="16">
        <v>41374</v>
      </c>
      <c r="O86" s="12" t="s">
        <v>4679</v>
      </c>
      <c r="P86" s="14" t="s">
        <v>4682</v>
      </c>
      <c r="Q86" s="17" t="s">
        <v>137</v>
      </c>
      <c r="R86" s="17" t="s">
        <v>146</v>
      </c>
    </row>
    <row r="87" spans="1:18" x14ac:dyDescent="0.3">
      <c r="A87" s="12" t="s">
        <v>4683</v>
      </c>
      <c r="B87" s="12" t="s">
        <v>14</v>
      </c>
      <c r="C87" s="12"/>
      <c r="D87" s="12" t="s">
        <v>14</v>
      </c>
      <c r="E87" s="12" t="s">
        <v>4684</v>
      </c>
      <c r="F87" s="12"/>
      <c r="G87" s="12" t="s">
        <v>4676</v>
      </c>
      <c r="H87" s="12" t="s">
        <v>40</v>
      </c>
      <c r="I87" s="12" t="s">
        <v>26</v>
      </c>
      <c r="J87" s="13" t="s">
        <v>321</v>
      </c>
      <c r="K87" s="14" t="s">
        <v>330</v>
      </c>
      <c r="L87" s="15">
        <v>2</v>
      </c>
      <c r="M87" s="15" t="s">
        <v>144</v>
      </c>
      <c r="N87" s="16">
        <v>40389</v>
      </c>
      <c r="O87" s="12" t="s">
        <v>4683</v>
      </c>
      <c r="P87" s="14" t="s">
        <v>4685</v>
      </c>
      <c r="Q87" s="17" t="s">
        <v>137</v>
      </c>
      <c r="R87" s="17" t="s">
        <v>146</v>
      </c>
    </row>
    <row r="88" spans="1:18" x14ac:dyDescent="0.3">
      <c r="A88" s="12" t="s">
        <v>4686</v>
      </c>
      <c r="B88" s="12" t="s">
        <v>12</v>
      </c>
      <c r="C88" s="12"/>
      <c r="D88" s="12" t="s">
        <v>12</v>
      </c>
      <c r="E88" s="12" t="s">
        <v>4687</v>
      </c>
      <c r="F88" s="12" t="s">
        <v>467</v>
      </c>
      <c r="G88" s="12" t="s">
        <v>4676</v>
      </c>
      <c r="H88" s="12" t="s">
        <v>40</v>
      </c>
      <c r="I88" s="12" t="s">
        <v>26</v>
      </c>
      <c r="J88" s="13" t="s">
        <v>321</v>
      </c>
      <c r="K88" s="14" t="s">
        <v>4688</v>
      </c>
      <c r="L88" s="15">
        <v>1</v>
      </c>
      <c r="M88" s="15" t="s">
        <v>144</v>
      </c>
      <c r="N88" s="16">
        <v>41207</v>
      </c>
      <c r="O88" s="12" t="s">
        <v>4689</v>
      </c>
      <c r="P88" s="14" t="s">
        <v>4690</v>
      </c>
      <c r="Q88" s="17" t="s">
        <v>137</v>
      </c>
      <c r="R88" s="17" t="s">
        <v>146</v>
      </c>
    </row>
    <row r="89" spans="1:18" x14ac:dyDescent="0.3">
      <c r="A89" s="12" t="s">
        <v>4691</v>
      </c>
      <c r="B89" s="12" t="s">
        <v>12</v>
      </c>
      <c r="C89" s="12"/>
      <c r="D89" s="12" t="s">
        <v>12</v>
      </c>
      <c r="E89" s="12" t="s">
        <v>4692</v>
      </c>
      <c r="F89" s="12"/>
      <c r="G89" s="12" t="s">
        <v>4676</v>
      </c>
      <c r="H89" s="12" t="s">
        <v>40</v>
      </c>
      <c r="I89" s="12" t="s">
        <v>26</v>
      </c>
      <c r="J89" s="13" t="s">
        <v>321</v>
      </c>
      <c r="K89" s="14" t="s">
        <v>4693</v>
      </c>
      <c r="L89" s="15">
        <v>4</v>
      </c>
      <c r="M89" s="15" t="s">
        <v>144</v>
      </c>
      <c r="N89" s="16">
        <v>44065</v>
      </c>
      <c r="O89" s="12" t="s">
        <v>4691</v>
      </c>
      <c r="P89" s="14" t="s">
        <v>4694</v>
      </c>
      <c r="Q89" s="17" t="s">
        <v>137</v>
      </c>
      <c r="R89" s="17" t="s">
        <v>146</v>
      </c>
    </row>
    <row r="90" spans="1:18" x14ac:dyDescent="0.3">
      <c r="A90" s="12" t="s">
        <v>4695</v>
      </c>
      <c r="B90" s="12" t="s">
        <v>12</v>
      </c>
      <c r="C90" s="12"/>
      <c r="D90" s="12" t="s">
        <v>12</v>
      </c>
      <c r="E90" s="12" t="s">
        <v>4696</v>
      </c>
      <c r="F90" s="12" t="s">
        <v>201</v>
      </c>
      <c r="G90" s="12" t="s">
        <v>395</v>
      </c>
      <c r="H90" s="12" t="s">
        <v>46</v>
      </c>
      <c r="I90" s="12" t="s">
        <v>26</v>
      </c>
      <c r="J90" s="13" t="s">
        <v>396</v>
      </c>
      <c r="K90" s="14" t="s">
        <v>4697</v>
      </c>
      <c r="L90" s="15">
        <v>2</v>
      </c>
      <c r="M90" s="15" t="s">
        <v>144</v>
      </c>
      <c r="N90" s="16">
        <v>39735</v>
      </c>
      <c r="O90" s="12" t="s">
        <v>4695</v>
      </c>
      <c r="P90" s="14" t="s">
        <v>4698</v>
      </c>
      <c r="Q90" s="17" t="s">
        <v>137</v>
      </c>
      <c r="R90" s="17" t="s">
        <v>146</v>
      </c>
    </row>
    <row r="91" spans="1:18" x14ac:dyDescent="0.3">
      <c r="A91" s="12" t="s">
        <v>4699</v>
      </c>
      <c r="B91" s="12" t="s">
        <v>12</v>
      </c>
      <c r="C91" s="12"/>
      <c r="D91" s="12" t="s">
        <v>12</v>
      </c>
      <c r="E91" s="12" t="s">
        <v>4700</v>
      </c>
      <c r="F91" s="12" t="s">
        <v>520</v>
      </c>
      <c r="G91" s="12" t="s">
        <v>395</v>
      </c>
      <c r="H91" s="12" t="s">
        <v>46</v>
      </c>
      <c r="I91" s="12" t="s">
        <v>26</v>
      </c>
      <c r="J91" s="13" t="s">
        <v>396</v>
      </c>
      <c r="K91" s="14" t="s">
        <v>4701</v>
      </c>
      <c r="L91" s="15">
        <v>4</v>
      </c>
      <c r="M91" s="15" t="s">
        <v>144</v>
      </c>
      <c r="N91" s="16">
        <v>39427</v>
      </c>
      <c r="O91" s="12" t="s">
        <v>4699</v>
      </c>
      <c r="P91" s="14" t="s">
        <v>4702</v>
      </c>
      <c r="Q91" s="17" t="s">
        <v>137</v>
      </c>
      <c r="R91" s="17" t="s">
        <v>146</v>
      </c>
    </row>
    <row r="92" spans="1:18" x14ac:dyDescent="0.3">
      <c r="A92" s="12" t="s">
        <v>4703</v>
      </c>
      <c r="B92" s="12" t="s">
        <v>12</v>
      </c>
      <c r="C92" s="12"/>
      <c r="D92" s="12" t="s">
        <v>12</v>
      </c>
      <c r="E92" s="12" t="s">
        <v>4704</v>
      </c>
      <c r="F92" s="12"/>
      <c r="G92" s="12" t="s">
        <v>395</v>
      </c>
      <c r="H92" s="12" t="s">
        <v>46</v>
      </c>
      <c r="I92" s="12" t="s">
        <v>26</v>
      </c>
      <c r="J92" s="13" t="s">
        <v>396</v>
      </c>
      <c r="K92" s="14" t="s">
        <v>4705</v>
      </c>
      <c r="L92" s="15">
        <v>2</v>
      </c>
      <c r="M92" s="15" t="s">
        <v>144</v>
      </c>
      <c r="N92" s="16">
        <v>43314</v>
      </c>
      <c r="O92" s="12" t="s">
        <v>4706</v>
      </c>
      <c r="P92" s="14" t="s">
        <v>4707</v>
      </c>
      <c r="Q92" s="17" t="s">
        <v>137</v>
      </c>
      <c r="R92" s="17" t="s">
        <v>146</v>
      </c>
    </row>
    <row r="93" spans="1:18" x14ac:dyDescent="0.3">
      <c r="A93" s="12" t="s">
        <v>4708</v>
      </c>
      <c r="B93" s="12" t="s">
        <v>12</v>
      </c>
      <c r="C93" s="12"/>
      <c r="D93" s="12" t="s">
        <v>12</v>
      </c>
      <c r="E93" s="12" t="s">
        <v>4704</v>
      </c>
      <c r="F93" s="12"/>
      <c r="G93" s="12" t="s">
        <v>395</v>
      </c>
      <c r="H93" s="12" t="s">
        <v>46</v>
      </c>
      <c r="I93" s="12" t="s">
        <v>26</v>
      </c>
      <c r="J93" s="13" t="s">
        <v>396</v>
      </c>
      <c r="K93" s="14" t="s">
        <v>4705</v>
      </c>
      <c r="L93" s="15">
        <v>2</v>
      </c>
      <c r="M93" s="15" t="s">
        <v>144</v>
      </c>
      <c r="N93" s="16">
        <v>41017</v>
      </c>
      <c r="O93" s="12" t="s">
        <v>4708</v>
      </c>
      <c r="P93" s="14" t="s">
        <v>4709</v>
      </c>
      <c r="Q93" s="17" t="s">
        <v>137</v>
      </c>
      <c r="R93" s="17" t="s">
        <v>146</v>
      </c>
    </row>
    <row r="94" spans="1:18" x14ac:dyDescent="0.3">
      <c r="A94" s="12" t="s">
        <v>4710</v>
      </c>
      <c r="B94" s="12" t="s">
        <v>14</v>
      </c>
      <c r="C94" s="12"/>
      <c r="D94" s="12" t="s">
        <v>14</v>
      </c>
      <c r="E94" s="12" t="s">
        <v>4711</v>
      </c>
      <c r="F94" s="12"/>
      <c r="G94" s="12" t="s">
        <v>395</v>
      </c>
      <c r="H94" s="12" t="s">
        <v>46</v>
      </c>
      <c r="I94" s="12" t="s">
        <v>26</v>
      </c>
      <c r="J94" s="13" t="s">
        <v>396</v>
      </c>
      <c r="K94" s="14" t="s">
        <v>4712</v>
      </c>
      <c r="L94" s="15">
        <v>9</v>
      </c>
      <c r="M94" s="15" t="s">
        <v>144</v>
      </c>
      <c r="N94" s="16">
        <v>44159</v>
      </c>
      <c r="O94" s="12" t="s">
        <v>4710</v>
      </c>
      <c r="P94" s="14" t="s">
        <v>4713</v>
      </c>
      <c r="Q94" s="17" t="s">
        <v>137</v>
      </c>
      <c r="R94" s="17" t="s">
        <v>146</v>
      </c>
    </row>
    <row r="95" spans="1:18" x14ac:dyDescent="0.3">
      <c r="A95" s="12" t="s">
        <v>4714</v>
      </c>
      <c r="B95" s="12" t="s">
        <v>12</v>
      </c>
      <c r="C95" s="12"/>
      <c r="D95" s="12" t="s">
        <v>12</v>
      </c>
      <c r="E95" s="12" t="s">
        <v>410</v>
      </c>
      <c r="F95" s="12" t="s">
        <v>4715</v>
      </c>
      <c r="G95" s="12" t="s">
        <v>395</v>
      </c>
      <c r="H95" s="12" t="s">
        <v>46</v>
      </c>
      <c r="I95" s="12" t="s">
        <v>26</v>
      </c>
      <c r="J95" s="13" t="s">
        <v>396</v>
      </c>
      <c r="K95" s="14" t="s">
        <v>4716</v>
      </c>
      <c r="L95" s="15">
        <v>1</v>
      </c>
      <c r="M95" s="15" t="s">
        <v>144</v>
      </c>
      <c r="N95" s="16">
        <v>40577</v>
      </c>
      <c r="O95" s="12" t="s">
        <v>4717</v>
      </c>
      <c r="P95" s="14" t="s">
        <v>4718</v>
      </c>
      <c r="Q95" s="17" t="s">
        <v>137</v>
      </c>
      <c r="R95" s="17" t="s">
        <v>146</v>
      </c>
    </row>
    <row r="96" spans="1:18" x14ac:dyDescent="0.3">
      <c r="A96" s="12" t="s">
        <v>4719</v>
      </c>
      <c r="B96" s="12" t="s">
        <v>10</v>
      </c>
      <c r="C96" s="12"/>
      <c r="D96" s="12" t="s">
        <v>647</v>
      </c>
      <c r="E96" s="12" t="s">
        <v>4720</v>
      </c>
      <c r="F96" s="12"/>
      <c r="G96" s="12" t="s">
        <v>395</v>
      </c>
      <c r="H96" s="12" t="s">
        <v>46</v>
      </c>
      <c r="I96" s="12" t="s">
        <v>26</v>
      </c>
      <c r="J96" s="13" t="s">
        <v>396</v>
      </c>
      <c r="K96" s="14" t="s">
        <v>4721</v>
      </c>
      <c r="L96" s="15">
        <v>0</v>
      </c>
      <c r="M96" s="15" t="s">
        <v>144</v>
      </c>
      <c r="N96" s="16">
        <v>39988</v>
      </c>
      <c r="O96" s="12" t="s">
        <v>4722</v>
      </c>
      <c r="P96" s="14" t="s">
        <v>4723</v>
      </c>
      <c r="Q96" s="17" t="s">
        <v>137</v>
      </c>
      <c r="R96" s="17" t="s">
        <v>146</v>
      </c>
    </row>
    <row r="97" spans="1:18" x14ac:dyDescent="0.3">
      <c r="A97" s="12" t="s">
        <v>4724</v>
      </c>
      <c r="B97" s="12" t="s">
        <v>12</v>
      </c>
      <c r="C97" s="12"/>
      <c r="D97" s="12" t="s">
        <v>12</v>
      </c>
      <c r="E97" s="12" t="s">
        <v>4725</v>
      </c>
      <c r="F97" s="12"/>
      <c r="G97" s="12" t="s">
        <v>395</v>
      </c>
      <c r="H97" s="12" t="s">
        <v>46</v>
      </c>
      <c r="I97" s="12" t="s">
        <v>26</v>
      </c>
      <c r="J97" s="13" t="s">
        <v>396</v>
      </c>
      <c r="K97" s="14" t="s">
        <v>402</v>
      </c>
      <c r="L97" s="15">
        <v>2</v>
      </c>
      <c r="M97" s="15" t="s">
        <v>144</v>
      </c>
      <c r="N97" s="16">
        <v>40864</v>
      </c>
      <c r="O97" s="12" t="s">
        <v>4724</v>
      </c>
      <c r="P97" s="14" t="s">
        <v>4726</v>
      </c>
      <c r="Q97" s="17" t="s">
        <v>137</v>
      </c>
      <c r="R97" s="17" t="s">
        <v>146</v>
      </c>
    </row>
    <row r="98" spans="1:18" x14ac:dyDescent="0.3">
      <c r="A98" s="12" t="s">
        <v>4727</v>
      </c>
      <c r="B98" s="12" t="s">
        <v>12</v>
      </c>
      <c r="C98" s="12"/>
      <c r="D98" s="12" t="s">
        <v>12</v>
      </c>
      <c r="E98" s="12" t="s">
        <v>4728</v>
      </c>
      <c r="F98" s="12"/>
      <c r="G98" s="12" t="s">
        <v>395</v>
      </c>
      <c r="H98" s="12" t="s">
        <v>46</v>
      </c>
      <c r="I98" s="12" t="s">
        <v>26</v>
      </c>
      <c r="J98" s="13" t="s">
        <v>396</v>
      </c>
      <c r="K98" s="14" t="s">
        <v>4729</v>
      </c>
      <c r="L98" s="15">
        <v>1</v>
      </c>
      <c r="M98" s="15" t="s">
        <v>144</v>
      </c>
      <c r="N98" s="16">
        <v>39549</v>
      </c>
      <c r="O98" s="12" t="s">
        <v>4727</v>
      </c>
      <c r="P98" s="14" t="s">
        <v>4730</v>
      </c>
      <c r="Q98" s="17" t="s">
        <v>137</v>
      </c>
      <c r="R98" s="17" t="s">
        <v>146</v>
      </c>
    </row>
    <row r="99" spans="1:18" x14ac:dyDescent="0.3">
      <c r="A99" s="12" t="s">
        <v>4731</v>
      </c>
      <c r="B99" s="12" t="s">
        <v>10</v>
      </c>
      <c r="C99" s="12"/>
      <c r="D99" s="12" t="s">
        <v>647</v>
      </c>
      <c r="E99" s="12" t="s">
        <v>4720</v>
      </c>
      <c r="F99" s="12"/>
      <c r="G99" s="12" t="s">
        <v>395</v>
      </c>
      <c r="H99" s="12" t="s">
        <v>46</v>
      </c>
      <c r="I99" s="12" t="s">
        <v>26</v>
      </c>
      <c r="J99" s="13" t="s">
        <v>396</v>
      </c>
      <c r="K99" s="14" t="s">
        <v>4721</v>
      </c>
      <c r="L99" s="15">
        <v>0</v>
      </c>
      <c r="M99" s="15" t="s">
        <v>144</v>
      </c>
      <c r="N99" s="16">
        <v>39988</v>
      </c>
      <c r="O99" s="12" t="s">
        <v>4722</v>
      </c>
      <c r="P99" s="14" t="s">
        <v>4732</v>
      </c>
      <c r="Q99" s="17" t="s">
        <v>137</v>
      </c>
      <c r="R99" s="17" t="s">
        <v>146</v>
      </c>
    </row>
    <row r="100" spans="1:18" x14ac:dyDescent="0.3">
      <c r="A100" s="12" t="s">
        <v>4733</v>
      </c>
      <c r="B100" s="12" t="s">
        <v>12</v>
      </c>
      <c r="C100" s="12"/>
      <c r="D100" s="12" t="s">
        <v>12</v>
      </c>
      <c r="E100" s="12" t="s">
        <v>4734</v>
      </c>
      <c r="F100" s="12"/>
      <c r="G100" s="12" t="s">
        <v>414</v>
      </c>
      <c r="H100" s="12" t="s">
        <v>46</v>
      </c>
      <c r="I100" s="12" t="s">
        <v>26</v>
      </c>
      <c r="J100" s="13" t="s">
        <v>415</v>
      </c>
      <c r="K100" s="14" t="s">
        <v>4735</v>
      </c>
      <c r="L100" s="15">
        <v>2</v>
      </c>
      <c r="M100" s="15" t="s">
        <v>144</v>
      </c>
      <c r="N100" s="16">
        <v>43907</v>
      </c>
      <c r="O100" s="12" t="s">
        <v>4733</v>
      </c>
      <c r="P100" s="14" t="s">
        <v>4736</v>
      </c>
      <c r="Q100" s="17" t="s">
        <v>137</v>
      </c>
      <c r="R100" s="17" t="s">
        <v>146</v>
      </c>
    </row>
    <row r="101" spans="1:18" x14ac:dyDescent="0.3">
      <c r="A101" s="12" t="s">
        <v>4737</v>
      </c>
      <c r="B101" s="12" t="s">
        <v>12</v>
      </c>
      <c r="C101" s="12"/>
      <c r="D101" s="12" t="s">
        <v>12</v>
      </c>
      <c r="E101" s="12" t="s">
        <v>4734</v>
      </c>
      <c r="F101" s="12"/>
      <c r="G101" s="12" t="s">
        <v>414</v>
      </c>
      <c r="H101" s="12" t="s">
        <v>46</v>
      </c>
      <c r="I101" s="12" t="s">
        <v>26</v>
      </c>
      <c r="J101" s="13" t="s">
        <v>415</v>
      </c>
      <c r="K101" s="14" t="s">
        <v>4735</v>
      </c>
      <c r="L101" s="15">
        <v>2</v>
      </c>
      <c r="M101" s="15" t="s">
        <v>144</v>
      </c>
      <c r="N101" s="16">
        <v>40395</v>
      </c>
      <c r="O101" s="12" t="s">
        <v>4737</v>
      </c>
      <c r="P101" s="14" t="s">
        <v>4738</v>
      </c>
      <c r="Q101" s="17" t="s">
        <v>137</v>
      </c>
      <c r="R101" s="17" t="s">
        <v>146</v>
      </c>
    </row>
    <row r="102" spans="1:18" x14ac:dyDescent="0.3">
      <c r="A102" s="12" t="s">
        <v>4739</v>
      </c>
      <c r="B102" s="12" t="s">
        <v>12</v>
      </c>
      <c r="C102" s="12"/>
      <c r="D102" s="12" t="s">
        <v>12</v>
      </c>
      <c r="E102" s="12" t="s">
        <v>4740</v>
      </c>
      <c r="F102" s="12"/>
      <c r="G102" s="12" t="s">
        <v>414</v>
      </c>
      <c r="H102" s="12" t="s">
        <v>46</v>
      </c>
      <c r="I102" s="12" t="s">
        <v>26</v>
      </c>
      <c r="J102" s="13" t="s">
        <v>415</v>
      </c>
      <c r="K102" s="14" t="s">
        <v>4741</v>
      </c>
      <c r="L102" s="15">
        <v>1</v>
      </c>
      <c r="M102" s="15" t="s">
        <v>144</v>
      </c>
      <c r="N102" s="16">
        <v>40231</v>
      </c>
      <c r="O102" s="12" t="s">
        <v>4739</v>
      </c>
      <c r="P102" s="14" t="s">
        <v>4742</v>
      </c>
      <c r="Q102" s="17" t="s">
        <v>137</v>
      </c>
      <c r="R102" s="17" t="s">
        <v>146</v>
      </c>
    </row>
    <row r="103" spans="1:18" x14ac:dyDescent="0.3">
      <c r="A103" s="12" t="s">
        <v>4743</v>
      </c>
      <c r="B103" s="12" t="s">
        <v>12</v>
      </c>
      <c r="C103" s="12"/>
      <c r="D103" s="12" t="s">
        <v>12</v>
      </c>
      <c r="E103" s="12" t="s">
        <v>4744</v>
      </c>
      <c r="F103" s="12" t="s">
        <v>188</v>
      </c>
      <c r="G103" s="12" t="s">
        <v>414</v>
      </c>
      <c r="H103" s="12" t="s">
        <v>46</v>
      </c>
      <c r="I103" s="12" t="s">
        <v>26</v>
      </c>
      <c r="J103" s="13" t="s">
        <v>415</v>
      </c>
      <c r="K103" s="14" t="s">
        <v>4745</v>
      </c>
      <c r="L103" s="15">
        <v>0</v>
      </c>
      <c r="M103" s="15" t="s">
        <v>144</v>
      </c>
      <c r="N103" s="16">
        <v>41856</v>
      </c>
      <c r="O103" s="12" t="s">
        <v>4743</v>
      </c>
      <c r="P103" s="14" t="s">
        <v>4746</v>
      </c>
      <c r="Q103" s="17" t="s">
        <v>137</v>
      </c>
      <c r="R103" s="17" t="s">
        <v>146</v>
      </c>
    </row>
    <row r="104" spans="1:18" x14ac:dyDescent="0.3">
      <c r="A104" s="12" t="s">
        <v>4747</v>
      </c>
      <c r="B104" s="12" t="s">
        <v>12</v>
      </c>
      <c r="C104" s="12"/>
      <c r="D104" s="12" t="s">
        <v>12</v>
      </c>
      <c r="E104" s="12" t="s">
        <v>4748</v>
      </c>
      <c r="F104" s="12"/>
      <c r="G104" s="12" t="s">
        <v>414</v>
      </c>
      <c r="H104" s="12" t="s">
        <v>46</v>
      </c>
      <c r="I104" s="12" t="s">
        <v>26</v>
      </c>
      <c r="J104" s="13" t="s">
        <v>415</v>
      </c>
      <c r="K104" s="14" t="s">
        <v>4749</v>
      </c>
      <c r="L104" s="15">
        <v>0</v>
      </c>
      <c r="M104" s="15" t="s">
        <v>144</v>
      </c>
      <c r="N104" s="16">
        <v>40821</v>
      </c>
      <c r="O104" s="12" t="s">
        <v>4750</v>
      </c>
      <c r="P104" s="14" t="s">
        <v>4751</v>
      </c>
      <c r="Q104" s="17" t="s">
        <v>137</v>
      </c>
      <c r="R104" s="17" t="s">
        <v>146</v>
      </c>
    </row>
    <row r="105" spans="1:18" x14ac:dyDescent="0.3">
      <c r="A105" s="12" t="s">
        <v>4752</v>
      </c>
      <c r="B105" s="12" t="s">
        <v>12</v>
      </c>
      <c r="C105" s="12"/>
      <c r="D105" s="12" t="s">
        <v>12</v>
      </c>
      <c r="E105" s="12" t="s">
        <v>422</v>
      </c>
      <c r="F105" s="12" t="s">
        <v>188</v>
      </c>
      <c r="G105" s="12" t="s">
        <v>414</v>
      </c>
      <c r="H105" s="12" t="s">
        <v>46</v>
      </c>
      <c r="I105" s="12" t="s">
        <v>26</v>
      </c>
      <c r="J105" s="13" t="s">
        <v>415</v>
      </c>
      <c r="K105" s="14" t="s">
        <v>423</v>
      </c>
      <c r="L105" s="15">
        <v>1</v>
      </c>
      <c r="M105" s="15" t="s">
        <v>144</v>
      </c>
      <c r="N105" s="16">
        <v>41060</v>
      </c>
      <c r="O105" s="12" t="s">
        <v>4752</v>
      </c>
      <c r="P105" s="14" t="s">
        <v>4753</v>
      </c>
      <c r="Q105" s="17" t="s">
        <v>137</v>
      </c>
      <c r="R105" s="17" t="s">
        <v>146</v>
      </c>
    </row>
    <row r="106" spans="1:18" x14ac:dyDescent="0.3">
      <c r="A106" s="12" t="s">
        <v>4754</v>
      </c>
      <c r="B106" s="12" t="s">
        <v>12</v>
      </c>
      <c r="C106" s="12"/>
      <c r="D106" s="12" t="s">
        <v>12</v>
      </c>
      <c r="E106" s="12" t="s">
        <v>4748</v>
      </c>
      <c r="F106" s="12"/>
      <c r="G106" s="12" t="s">
        <v>414</v>
      </c>
      <c r="H106" s="12" t="s">
        <v>46</v>
      </c>
      <c r="I106" s="12" t="s">
        <v>26</v>
      </c>
      <c r="J106" s="13" t="s">
        <v>415</v>
      </c>
      <c r="K106" s="14" t="s">
        <v>4749</v>
      </c>
      <c r="L106" s="15">
        <v>0</v>
      </c>
      <c r="M106" s="15" t="s">
        <v>144</v>
      </c>
      <c r="N106" s="16">
        <v>41359</v>
      </c>
      <c r="O106" s="12" t="s">
        <v>4754</v>
      </c>
      <c r="P106" s="14" t="s">
        <v>4755</v>
      </c>
      <c r="Q106" s="17" t="s">
        <v>137</v>
      </c>
      <c r="R106" s="17" t="s">
        <v>146</v>
      </c>
    </row>
    <row r="107" spans="1:18" x14ac:dyDescent="0.3">
      <c r="A107" s="12" t="s">
        <v>4756</v>
      </c>
      <c r="B107" s="12" t="s">
        <v>12</v>
      </c>
      <c r="C107" s="12"/>
      <c r="D107" s="12" t="s">
        <v>12</v>
      </c>
      <c r="E107" s="12" t="s">
        <v>4757</v>
      </c>
      <c r="F107" s="12"/>
      <c r="G107" s="12" t="s">
        <v>414</v>
      </c>
      <c r="H107" s="12" t="s">
        <v>46</v>
      </c>
      <c r="I107" s="12" t="s">
        <v>26</v>
      </c>
      <c r="J107" s="13" t="s">
        <v>415</v>
      </c>
      <c r="K107" s="14" t="s">
        <v>4758</v>
      </c>
      <c r="L107" s="15">
        <v>2</v>
      </c>
      <c r="M107" s="15" t="s">
        <v>144</v>
      </c>
      <c r="N107" s="16">
        <v>42221</v>
      </c>
      <c r="O107" s="12" t="s">
        <v>4756</v>
      </c>
      <c r="P107" s="14" t="s">
        <v>4759</v>
      </c>
      <c r="Q107" s="17" t="s">
        <v>137</v>
      </c>
      <c r="R107" s="17" t="s">
        <v>146</v>
      </c>
    </row>
    <row r="108" spans="1:18" x14ac:dyDescent="0.3">
      <c r="A108" s="12" t="s">
        <v>4760</v>
      </c>
      <c r="B108" s="12" t="s">
        <v>12</v>
      </c>
      <c r="C108" s="12"/>
      <c r="D108" s="12" t="s">
        <v>12</v>
      </c>
      <c r="E108" s="12" t="s">
        <v>4757</v>
      </c>
      <c r="F108" s="12"/>
      <c r="G108" s="12" t="s">
        <v>414</v>
      </c>
      <c r="H108" s="12" t="s">
        <v>46</v>
      </c>
      <c r="I108" s="12" t="s">
        <v>26</v>
      </c>
      <c r="J108" s="13" t="s">
        <v>415</v>
      </c>
      <c r="K108" s="14" t="s">
        <v>4758</v>
      </c>
      <c r="L108" s="15">
        <v>2</v>
      </c>
      <c r="M108" s="15" t="s">
        <v>144</v>
      </c>
      <c r="N108" s="16">
        <v>39330</v>
      </c>
      <c r="O108" s="12" t="s">
        <v>4760</v>
      </c>
      <c r="P108" s="14" t="s">
        <v>4761</v>
      </c>
      <c r="Q108" s="17" t="s">
        <v>137</v>
      </c>
      <c r="R108" s="17" t="s">
        <v>146</v>
      </c>
    </row>
    <row r="109" spans="1:18" x14ac:dyDescent="0.3">
      <c r="A109" s="12" t="s">
        <v>4710</v>
      </c>
      <c r="B109" s="12" t="s">
        <v>14</v>
      </c>
      <c r="C109" s="12"/>
      <c r="D109" s="12" t="s">
        <v>14</v>
      </c>
      <c r="E109" s="12" t="s">
        <v>4762</v>
      </c>
      <c r="F109" s="12" t="s">
        <v>832</v>
      </c>
      <c r="G109" s="12" t="s">
        <v>414</v>
      </c>
      <c r="H109" s="12" t="s">
        <v>46</v>
      </c>
      <c r="I109" s="12" t="s">
        <v>26</v>
      </c>
      <c r="J109" s="13" t="s">
        <v>415</v>
      </c>
      <c r="K109" s="14" t="s">
        <v>4763</v>
      </c>
      <c r="L109" s="15">
        <v>5</v>
      </c>
      <c r="M109" s="15" t="s">
        <v>144</v>
      </c>
      <c r="N109" s="16">
        <v>44159</v>
      </c>
      <c r="O109" s="12" t="s">
        <v>4710</v>
      </c>
      <c r="P109" s="14" t="s">
        <v>4713</v>
      </c>
      <c r="Q109" s="17" t="s">
        <v>137</v>
      </c>
      <c r="R109" s="17" t="s">
        <v>146</v>
      </c>
    </row>
    <row r="110" spans="1:18" x14ac:dyDescent="0.3">
      <c r="A110" s="12" t="s">
        <v>4764</v>
      </c>
      <c r="B110" s="12" t="s">
        <v>12</v>
      </c>
      <c r="C110" s="12"/>
      <c r="D110" s="12" t="s">
        <v>12</v>
      </c>
      <c r="E110" s="12" t="s">
        <v>413</v>
      </c>
      <c r="F110" s="12"/>
      <c r="G110" s="12" t="s">
        <v>414</v>
      </c>
      <c r="H110" s="12" t="s">
        <v>46</v>
      </c>
      <c r="I110" s="12" t="s">
        <v>26</v>
      </c>
      <c r="J110" s="13" t="s">
        <v>415</v>
      </c>
      <c r="K110" s="14" t="s">
        <v>416</v>
      </c>
      <c r="L110" s="15">
        <v>1</v>
      </c>
      <c r="M110" s="15" t="s">
        <v>144</v>
      </c>
      <c r="N110" s="16">
        <v>41319</v>
      </c>
      <c r="O110" s="12" t="s">
        <v>4764</v>
      </c>
      <c r="P110" s="14" t="s">
        <v>4765</v>
      </c>
      <c r="Q110" s="17" t="s">
        <v>137</v>
      </c>
      <c r="R110" s="17" t="s">
        <v>146</v>
      </c>
    </row>
    <row r="111" spans="1:18" x14ac:dyDescent="0.3">
      <c r="A111" s="12" t="s">
        <v>4766</v>
      </c>
      <c r="B111" s="12" t="s">
        <v>12</v>
      </c>
      <c r="C111" s="12"/>
      <c r="D111" s="12" t="s">
        <v>12</v>
      </c>
      <c r="E111" s="12" t="s">
        <v>4748</v>
      </c>
      <c r="F111" s="12"/>
      <c r="G111" s="12" t="s">
        <v>414</v>
      </c>
      <c r="H111" s="12" t="s">
        <v>46</v>
      </c>
      <c r="I111" s="12" t="s">
        <v>26</v>
      </c>
      <c r="J111" s="13" t="s">
        <v>415</v>
      </c>
      <c r="K111" s="14" t="s">
        <v>4749</v>
      </c>
      <c r="L111" s="15">
        <v>0</v>
      </c>
      <c r="M111" s="15" t="s">
        <v>144</v>
      </c>
      <c r="N111" s="16">
        <v>41253</v>
      </c>
      <c r="O111" s="12" t="s">
        <v>4766</v>
      </c>
      <c r="P111" s="14" t="s">
        <v>4767</v>
      </c>
      <c r="Q111" s="17" t="s">
        <v>137</v>
      </c>
      <c r="R111" s="17" t="s">
        <v>146</v>
      </c>
    </row>
    <row r="112" spans="1:18" x14ac:dyDescent="0.3">
      <c r="A112" s="12" t="s">
        <v>4768</v>
      </c>
      <c r="B112" s="12" t="s">
        <v>12</v>
      </c>
      <c r="C112" s="12"/>
      <c r="D112" s="12" t="s">
        <v>12</v>
      </c>
      <c r="E112" s="12" t="s">
        <v>4769</v>
      </c>
      <c r="F112" s="12" t="s">
        <v>547</v>
      </c>
      <c r="G112" s="12" t="s">
        <v>414</v>
      </c>
      <c r="H112" s="12" t="s">
        <v>46</v>
      </c>
      <c r="I112" s="12" t="s">
        <v>26</v>
      </c>
      <c r="J112" s="13" t="s">
        <v>415</v>
      </c>
      <c r="K112" s="14" t="s">
        <v>4770</v>
      </c>
      <c r="L112" s="15">
        <v>1</v>
      </c>
      <c r="M112" s="15" t="s">
        <v>144</v>
      </c>
      <c r="N112" s="16">
        <v>43830</v>
      </c>
      <c r="O112" s="12" t="s">
        <v>4768</v>
      </c>
      <c r="P112" s="14" t="s">
        <v>4771</v>
      </c>
      <c r="Q112" s="17" t="s">
        <v>137</v>
      </c>
      <c r="R112" s="17" t="s">
        <v>146</v>
      </c>
    </row>
    <row r="113" spans="1:18" x14ac:dyDescent="0.3">
      <c r="A113" s="12" t="s">
        <v>4772</v>
      </c>
      <c r="B113" s="12" t="s">
        <v>12</v>
      </c>
      <c r="C113" s="12"/>
      <c r="D113" s="12" t="s">
        <v>12</v>
      </c>
      <c r="E113" s="12" t="s">
        <v>4773</v>
      </c>
      <c r="F113" s="12"/>
      <c r="G113" s="12" t="s">
        <v>414</v>
      </c>
      <c r="H113" s="12" t="s">
        <v>46</v>
      </c>
      <c r="I113" s="12" t="s">
        <v>26</v>
      </c>
      <c r="J113" s="13" t="s">
        <v>415</v>
      </c>
      <c r="K113" s="14" t="s">
        <v>4774</v>
      </c>
      <c r="L113" s="15">
        <v>0</v>
      </c>
      <c r="M113" s="15" t="s">
        <v>144</v>
      </c>
      <c r="N113" s="16">
        <v>42655</v>
      </c>
      <c r="O113" s="12" t="s">
        <v>4772</v>
      </c>
      <c r="P113" s="14" t="s">
        <v>4775</v>
      </c>
      <c r="Q113" s="17" t="s">
        <v>137</v>
      </c>
      <c r="R113" s="17" t="s">
        <v>146</v>
      </c>
    </row>
    <row r="114" spans="1:18" x14ac:dyDescent="0.3">
      <c r="A114" s="12" t="s">
        <v>4776</v>
      </c>
      <c r="B114" s="12" t="s">
        <v>12</v>
      </c>
      <c r="C114" s="12"/>
      <c r="D114" s="12" t="s">
        <v>12</v>
      </c>
      <c r="E114" s="12" t="s">
        <v>4773</v>
      </c>
      <c r="F114" s="12"/>
      <c r="G114" s="12" t="s">
        <v>414</v>
      </c>
      <c r="H114" s="12" t="s">
        <v>46</v>
      </c>
      <c r="I114" s="12" t="s">
        <v>26</v>
      </c>
      <c r="J114" s="13" t="s">
        <v>415</v>
      </c>
      <c r="K114" s="14" t="s">
        <v>4774</v>
      </c>
      <c r="L114" s="15">
        <v>0</v>
      </c>
      <c r="M114" s="15" t="s">
        <v>144</v>
      </c>
      <c r="N114" s="16">
        <v>42387</v>
      </c>
      <c r="O114" s="12" t="s">
        <v>4776</v>
      </c>
      <c r="P114" s="14" t="s">
        <v>4777</v>
      </c>
      <c r="Q114" s="17" t="s">
        <v>137</v>
      </c>
      <c r="R114" s="17" t="s">
        <v>146</v>
      </c>
    </row>
    <row r="115" spans="1:18" x14ac:dyDescent="0.3">
      <c r="A115" s="12" t="s">
        <v>4778</v>
      </c>
      <c r="B115" s="12" t="s">
        <v>12</v>
      </c>
      <c r="C115" s="12"/>
      <c r="D115" s="12" t="s">
        <v>12</v>
      </c>
      <c r="E115" s="12" t="s">
        <v>4779</v>
      </c>
      <c r="F115" s="12"/>
      <c r="G115" s="12" t="s">
        <v>4780</v>
      </c>
      <c r="H115" s="12" t="s">
        <v>46</v>
      </c>
      <c r="I115" s="12" t="s">
        <v>26</v>
      </c>
      <c r="J115" s="13" t="s">
        <v>4781</v>
      </c>
      <c r="K115" s="14" t="s">
        <v>4782</v>
      </c>
      <c r="L115" s="15">
        <v>2</v>
      </c>
      <c r="M115" s="15" t="s">
        <v>144</v>
      </c>
      <c r="N115" s="16">
        <v>40417</v>
      </c>
      <c r="O115" s="12" t="s">
        <v>4778</v>
      </c>
      <c r="P115" s="14" t="s">
        <v>4783</v>
      </c>
      <c r="Q115" s="17" t="s">
        <v>137</v>
      </c>
      <c r="R115" s="17" t="s">
        <v>146</v>
      </c>
    </row>
    <row r="116" spans="1:18" x14ac:dyDescent="0.3">
      <c r="A116" s="12" t="s">
        <v>4784</v>
      </c>
      <c r="B116" s="12" t="s">
        <v>12</v>
      </c>
      <c r="C116" s="12"/>
      <c r="D116" s="12" t="s">
        <v>12</v>
      </c>
      <c r="E116" s="12" t="s">
        <v>4785</v>
      </c>
      <c r="F116" s="12"/>
      <c r="G116" s="12" t="s">
        <v>4780</v>
      </c>
      <c r="H116" s="12" t="s">
        <v>46</v>
      </c>
      <c r="I116" s="12" t="s">
        <v>26</v>
      </c>
      <c r="J116" s="13" t="s">
        <v>4781</v>
      </c>
      <c r="K116" s="14" t="s">
        <v>4786</v>
      </c>
      <c r="L116" s="15">
        <v>1</v>
      </c>
      <c r="M116" s="15" t="s">
        <v>144</v>
      </c>
      <c r="N116" s="16">
        <v>41578</v>
      </c>
      <c r="O116" s="12" t="s">
        <v>4784</v>
      </c>
      <c r="P116" s="14" t="s">
        <v>4787</v>
      </c>
      <c r="Q116" s="17" t="s">
        <v>137</v>
      </c>
      <c r="R116" s="17" t="s">
        <v>146</v>
      </c>
    </row>
    <row r="117" spans="1:18" x14ac:dyDescent="0.3">
      <c r="A117" s="12" t="s">
        <v>4788</v>
      </c>
      <c r="B117" s="12" t="s">
        <v>12</v>
      </c>
      <c r="C117" s="12"/>
      <c r="D117" s="12" t="s">
        <v>12</v>
      </c>
      <c r="E117" s="12" t="s">
        <v>4789</v>
      </c>
      <c r="F117" s="12" t="s">
        <v>188</v>
      </c>
      <c r="G117" s="12" t="s">
        <v>455</v>
      </c>
      <c r="H117" s="12" t="s">
        <v>46</v>
      </c>
      <c r="I117" s="12" t="s">
        <v>26</v>
      </c>
      <c r="J117" s="13" t="s">
        <v>456</v>
      </c>
      <c r="K117" s="14" t="s">
        <v>4790</v>
      </c>
      <c r="L117" s="15">
        <v>3</v>
      </c>
      <c r="M117" s="15" t="s">
        <v>144</v>
      </c>
      <c r="N117" s="16">
        <v>42240</v>
      </c>
      <c r="O117" s="12" t="s">
        <v>4788</v>
      </c>
      <c r="P117" s="14" t="s">
        <v>4791</v>
      </c>
      <c r="Q117" s="17" t="s">
        <v>137</v>
      </c>
      <c r="R117" s="17" t="s">
        <v>146</v>
      </c>
    </row>
    <row r="118" spans="1:18" x14ac:dyDescent="0.3">
      <c r="A118" s="12" t="s">
        <v>4792</v>
      </c>
      <c r="B118" s="12" t="s">
        <v>12</v>
      </c>
      <c r="C118" s="12"/>
      <c r="D118" s="12" t="s">
        <v>12</v>
      </c>
      <c r="E118" s="12" t="s">
        <v>4789</v>
      </c>
      <c r="F118" s="12"/>
      <c r="G118" s="12" t="s">
        <v>455</v>
      </c>
      <c r="H118" s="12" t="s">
        <v>46</v>
      </c>
      <c r="I118" s="12" t="s">
        <v>26</v>
      </c>
      <c r="J118" s="13" t="s">
        <v>456</v>
      </c>
      <c r="K118" s="14" t="s">
        <v>4793</v>
      </c>
      <c r="L118" s="15">
        <v>3</v>
      </c>
      <c r="M118" s="15" t="s">
        <v>144</v>
      </c>
      <c r="N118" s="16">
        <v>43718</v>
      </c>
      <c r="O118" s="12" t="s">
        <v>4792</v>
      </c>
      <c r="P118" s="14" t="s">
        <v>4794</v>
      </c>
      <c r="Q118" s="17" t="s">
        <v>137</v>
      </c>
      <c r="R118" s="17" t="s">
        <v>146</v>
      </c>
    </row>
    <row r="119" spans="1:18" x14ac:dyDescent="0.3">
      <c r="A119" s="12" t="s">
        <v>4795</v>
      </c>
      <c r="B119" s="12" t="s">
        <v>12</v>
      </c>
      <c r="C119" s="12"/>
      <c r="D119" s="12" t="s">
        <v>12</v>
      </c>
      <c r="E119" s="12" t="s">
        <v>4796</v>
      </c>
      <c r="F119" s="12" t="s">
        <v>1708</v>
      </c>
      <c r="G119" s="12" t="s">
        <v>455</v>
      </c>
      <c r="H119" s="12" t="s">
        <v>46</v>
      </c>
      <c r="I119" s="12" t="s">
        <v>26</v>
      </c>
      <c r="J119" s="13" t="s">
        <v>456</v>
      </c>
      <c r="K119" s="14" t="s">
        <v>4797</v>
      </c>
      <c r="L119" s="15">
        <v>1</v>
      </c>
      <c r="M119" s="15" t="s">
        <v>144</v>
      </c>
      <c r="N119" s="16">
        <v>42027</v>
      </c>
      <c r="O119" s="12" t="s">
        <v>4795</v>
      </c>
      <c r="P119" s="14" t="s">
        <v>4798</v>
      </c>
      <c r="Q119" s="17" t="s">
        <v>137</v>
      </c>
      <c r="R119" s="17" t="s">
        <v>146</v>
      </c>
    </row>
    <row r="120" spans="1:18" x14ac:dyDescent="0.3">
      <c r="A120" s="12" t="s">
        <v>4799</v>
      </c>
      <c r="B120" s="12" t="s">
        <v>12</v>
      </c>
      <c r="C120" s="12"/>
      <c r="D120" s="12" t="s">
        <v>12</v>
      </c>
      <c r="E120" s="12" t="s">
        <v>4800</v>
      </c>
      <c r="F120" s="12"/>
      <c r="G120" s="12" t="s">
        <v>462</v>
      </c>
      <c r="H120" s="12" t="s">
        <v>46</v>
      </c>
      <c r="I120" s="12" t="s">
        <v>26</v>
      </c>
      <c r="J120" s="13" t="s">
        <v>463</v>
      </c>
      <c r="K120" s="14" t="s">
        <v>4801</v>
      </c>
      <c r="L120" s="15">
        <v>1</v>
      </c>
      <c r="M120" s="15" t="s">
        <v>144</v>
      </c>
      <c r="N120" s="16">
        <v>39469</v>
      </c>
      <c r="O120" s="12" t="s">
        <v>4799</v>
      </c>
      <c r="P120" s="14" t="s">
        <v>4802</v>
      </c>
      <c r="Q120" s="17" t="s">
        <v>137</v>
      </c>
      <c r="R120" s="17" t="s">
        <v>146</v>
      </c>
    </row>
    <row r="121" spans="1:18" x14ac:dyDescent="0.3">
      <c r="A121" s="12" t="s">
        <v>4803</v>
      </c>
      <c r="B121" s="12" t="s">
        <v>12</v>
      </c>
      <c r="C121" s="12"/>
      <c r="D121" s="12" t="s">
        <v>12</v>
      </c>
      <c r="E121" s="12" t="s">
        <v>4804</v>
      </c>
      <c r="F121" s="12"/>
      <c r="G121" s="12" t="s">
        <v>462</v>
      </c>
      <c r="H121" s="12" t="s">
        <v>46</v>
      </c>
      <c r="I121" s="12" t="s">
        <v>26</v>
      </c>
      <c r="J121" s="13" t="s">
        <v>463</v>
      </c>
      <c r="K121" s="14" t="s">
        <v>4805</v>
      </c>
      <c r="L121" s="15">
        <v>0</v>
      </c>
      <c r="M121" s="15" t="s">
        <v>144</v>
      </c>
      <c r="N121" s="16">
        <v>41354</v>
      </c>
      <c r="O121" s="12" t="s">
        <v>4806</v>
      </c>
      <c r="P121" s="14" t="s">
        <v>4807</v>
      </c>
      <c r="Q121" s="17" t="s">
        <v>137</v>
      </c>
      <c r="R121" s="17" t="s">
        <v>146</v>
      </c>
    </row>
    <row r="122" spans="1:18" x14ac:dyDescent="0.3">
      <c r="A122" s="12" t="s">
        <v>4750</v>
      </c>
      <c r="B122" s="12" t="s">
        <v>12</v>
      </c>
      <c r="C122" s="12"/>
      <c r="D122" s="12" t="s">
        <v>12</v>
      </c>
      <c r="E122" s="12" t="s">
        <v>4808</v>
      </c>
      <c r="F122" s="12"/>
      <c r="G122" s="12" t="s">
        <v>462</v>
      </c>
      <c r="H122" s="12" t="s">
        <v>46</v>
      </c>
      <c r="I122" s="12" t="s">
        <v>26</v>
      </c>
      <c r="J122" s="13" t="s">
        <v>463</v>
      </c>
      <c r="K122" s="14" t="s">
        <v>4809</v>
      </c>
      <c r="L122" s="15">
        <v>6</v>
      </c>
      <c r="M122" s="15" t="s">
        <v>144</v>
      </c>
      <c r="N122" s="16">
        <v>41764</v>
      </c>
      <c r="O122" s="12" t="s">
        <v>4750</v>
      </c>
      <c r="P122" s="14" t="s">
        <v>4810</v>
      </c>
      <c r="Q122" s="17" t="s">
        <v>137</v>
      </c>
      <c r="R122" s="17" t="s">
        <v>146</v>
      </c>
    </row>
    <row r="123" spans="1:18" x14ac:dyDescent="0.3">
      <c r="A123" s="12" t="s">
        <v>4517</v>
      </c>
      <c r="B123" s="12" t="s">
        <v>10</v>
      </c>
      <c r="C123" s="12" t="s">
        <v>14</v>
      </c>
      <c r="D123" s="12" t="s">
        <v>4811</v>
      </c>
      <c r="E123" s="12" t="s">
        <v>4812</v>
      </c>
      <c r="F123" s="12"/>
      <c r="G123" s="12" t="s">
        <v>462</v>
      </c>
      <c r="H123" s="12" t="s">
        <v>46</v>
      </c>
      <c r="I123" s="12" t="s">
        <v>26</v>
      </c>
      <c r="J123" s="13" t="s">
        <v>463</v>
      </c>
      <c r="K123" s="14" t="s">
        <v>4813</v>
      </c>
      <c r="L123" s="15">
        <v>2</v>
      </c>
      <c r="M123" s="15" t="s">
        <v>144</v>
      </c>
      <c r="N123" s="16">
        <v>41396</v>
      </c>
      <c r="O123" s="12" t="s">
        <v>1116</v>
      </c>
      <c r="P123" s="14" t="s">
        <v>4814</v>
      </c>
      <c r="Q123" s="17" t="s">
        <v>137</v>
      </c>
      <c r="R123" s="17" t="s">
        <v>146</v>
      </c>
    </row>
    <row r="124" spans="1:18" x14ac:dyDescent="0.3">
      <c r="A124" s="12" t="s">
        <v>4815</v>
      </c>
      <c r="B124" s="12" t="s">
        <v>12</v>
      </c>
      <c r="C124" s="12"/>
      <c r="D124" s="12" t="s">
        <v>12</v>
      </c>
      <c r="E124" s="12" t="s">
        <v>4816</v>
      </c>
      <c r="F124" s="12"/>
      <c r="G124" s="12" t="s">
        <v>462</v>
      </c>
      <c r="H124" s="12" t="s">
        <v>46</v>
      </c>
      <c r="I124" s="12" t="s">
        <v>26</v>
      </c>
      <c r="J124" s="13" t="s">
        <v>463</v>
      </c>
      <c r="K124" s="14" t="s">
        <v>4817</v>
      </c>
      <c r="L124" s="15">
        <v>3</v>
      </c>
      <c r="M124" s="15" t="s">
        <v>144</v>
      </c>
      <c r="N124" s="16">
        <v>39287</v>
      </c>
      <c r="O124" s="12" t="s">
        <v>4815</v>
      </c>
      <c r="P124" s="14" t="s">
        <v>4818</v>
      </c>
      <c r="Q124" s="17" t="s">
        <v>137</v>
      </c>
      <c r="R124" s="17" t="s">
        <v>146</v>
      </c>
    </row>
    <row r="125" spans="1:18" x14ac:dyDescent="0.3">
      <c r="A125" s="12" t="s">
        <v>4819</v>
      </c>
      <c r="B125" s="12" t="s">
        <v>12</v>
      </c>
      <c r="C125" s="12"/>
      <c r="D125" s="12" t="s">
        <v>12</v>
      </c>
      <c r="E125" s="12" t="s">
        <v>4820</v>
      </c>
      <c r="F125" s="12" t="s">
        <v>547</v>
      </c>
      <c r="G125" s="12" t="s">
        <v>462</v>
      </c>
      <c r="H125" s="12" t="s">
        <v>46</v>
      </c>
      <c r="I125" s="12" t="s">
        <v>26</v>
      </c>
      <c r="J125" s="13" t="s">
        <v>463</v>
      </c>
      <c r="K125" s="14" t="s">
        <v>4821</v>
      </c>
      <c r="L125" s="15">
        <v>3</v>
      </c>
      <c r="M125" s="15" t="s">
        <v>144</v>
      </c>
      <c r="N125" s="16">
        <v>42489</v>
      </c>
      <c r="O125" s="12" t="s">
        <v>4819</v>
      </c>
      <c r="P125" s="14" t="s">
        <v>4822</v>
      </c>
      <c r="Q125" s="17" t="s">
        <v>137</v>
      </c>
      <c r="R125" s="17" t="s">
        <v>146</v>
      </c>
    </row>
    <row r="126" spans="1:18" x14ac:dyDescent="0.3">
      <c r="A126" s="12" t="s">
        <v>4731</v>
      </c>
      <c r="B126" s="12" t="s">
        <v>10</v>
      </c>
      <c r="C126" s="12"/>
      <c r="D126" s="12" t="s">
        <v>647</v>
      </c>
      <c r="E126" s="12" t="s">
        <v>4823</v>
      </c>
      <c r="F126" s="12" t="s">
        <v>4824</v>
      </c>
      <c r="G126" s="12" t="s">
        <v>462</v>
      </c>
      <c r="H126" s="12" t="s">
        <v>46</v>
      </c>
      <c r="I126" s="12" t="s">
        <v>26</v>
      </c>
      <c r="J126" s="13" t="s">
        <v>463</v>
      </c>
      <c r="K126" s="14" t="s">
        <v>4825</v>
      </c>
      <c r="L126" s="15">
        <v>9</v>
      </c>
      <c r="M126" s="15" t="s">
        <v>220</v>
      </c>
      <c r="N126" s="16">
        <v>39762</v>
      </c>
      <c r="O126" s="12" t="s">
        <v>4722</v>
      </c>
      <c r="P126" s="14" t="s">
        <v>4826</v>
      </c>
      <c r="Q126" s="17" t="s">
        <v>137</v>
      </c>
      <c r="R126" s="17" t="s">
        <v>146</v>
      </c>
    </row>
    <row r="127" spans="1:18" x14ac:dyDescent="0.3">
      <c r="A127" s="12" t="s">
        <v>4827</v>
      </c>
      <c r="B127" s="12" t="s">
        <v>12</v>
      </c>
      <c r="C127" s="12"/>
      <c r="D127" s="12" t="s">
        <v>12</v>
      </c>
      <c r="E127" s="12" t="s">
        <v>4828</v>
      </c>
      <c r="F127" s="12"/>
      <c r="G127" s="12" t="s">
        <v>482</v>
      </c>
      <c r="H127" s="12" t="s">
        <v>46</v>
      </c>
      <c r="I127" s="12" t="s">
        <v>26</v>
      </c>
      <c r="J127" s="13" t="s">
        <v>483</v>
      </c>
      <c r="K127" s="14" t="s">
        <v>4829</v>
      </c>
      <c r="L127" s="15">
        <v>1</v>
      </c>
      <c r="M127" s="15" t="s">
        <v>144</v>
      </c>
      <c r="N127" s="16">
        <v>44503</v>
      </c>
      <c r="O127" s="12" t="s">
        <v>4827</v>
      </c>
      <c r="P127" s="14" t="s">
        <v>4830</v>
      </c>
      <c r="Q127" s="17" t="s">
        <v>137</v>
      </c>
      <c r="R127" s="17" t="s">
        <v>146</v>
      </c>
    </row>
    <row r="128" spans="1:18" x14ac:dyDescent="0.3">
      <c r="A128" s="12" t="s">
        <v>4831</v>
      </c>
      <c r="B128" s="12" t="s">
        <v>12</v>
      </c>
      <c r="C128" s="12"/>
      <c r="D128" s="12" t="s">
        <v>12</v>
      </c>
      <c r="E128" s="12" t="s">
        <v>4832</v>
      </c>
      <c r="F128" s="12"/>
      <c r="G128" s="12" t="s">
        <v>4833</v>
      </c>
      <c r="H128" s="12" t="s">
        <v>61</v>
      </c>
      <c r="I128" s="12" t="s">
        <v>26</v>
      </c>
      <c r="J128" s="13" t="s">
        <v>4834</v>
      </c>
      <c r="K128" s="14" t="s">
        <v>4835</v>
      </c>
      <c r="L128" s="15">
        <v>1</v>
      </c>
      <c r="M128" s="15" t="s">
        <v>144</v>
      </c>
      <c r="N128" s="16">
        <v>42163</v>
      </c>
      <c r="O128" s="12" t="s">
        <v>4831</v>
      </c>
      <c r="P128" s="14" t="s">
        <v>4836</v>
      </c>
      <c r="Q128" s="17" t="s">
        <v>137</v>
      </c>
      <c r="R128" s="17" t="s">
        <v>146</v>
      </c>
    </row>
    <row r="129" spans="1:18" x14ac:dyDescent="0.3">
      <c r="A129" s="12" t="s">
        <v>4837</v>
      </c>
      <c r="B129" s="12" t="s">
        <v>12</v>
      </c>
      <c r="C129" s="12"/>
      <c r="D129" s="12" t="s">
        <v>12</v>
      </c>
      <c r="E129" s="12" t="s">
        <v>4838</v>
      </c>
      <c r="F129" s="12"/>
      <c r="G129" s="12" t="s">
        <v>4839</v>
      </c>
      <c r="H129" s="12" t="s">
        <v>61</v>
      </c>
      <c r="I129" s="12" t="s">
        <v>26</v>
      </c>
      <c r="J129" s="13" t="s">
        <v>4840</v>
      </c>
      <c r="K129" s="14" t="s">
        <v>4841</v>
      </c>
      <c r="L129" s="15">
        <v>1</v>
      </c>
      <c r="M129" s="15" t="s">
        <v>144</v>
      </c>
      <c r="N129" s="16">
        <v>40742</v>
      </c>
      <c r="O129" s="12" t="s">
        <v>4837</v>
      </c>
      <c r="P129" s="14" t="s">
        <v>4842</v>
      </c>
      <c r="Q129" s="17" t="s">
        <v>137</v>
      </c>
      <c r="R129" s="17" t="s">
        <v>146</v>
      </c>
    </row>
    <row r="130" spans="1:18" x14ac:dyDescent="0.3">
      <c r="A130" s="12" t="s">
        <v>4843</v>
      </c>
      <c r="B130" s="12" t="s">
        <v>12</v>
      </c>
      <c r="C130" s="12"/>
      <c r="D130" s="12" t="s">
        <v>12</v>
      </c>
      <c r="E130" s="12" t="s">
        <v>4844</v>
      </c>
      <c r="F130" s="12"/>
      <c r="G130" s="12" t="s">
        <v>4845</v>
      </c>
      <c r="H130" s="12" t="s">
        <v>61</v>
      </c>
      <c r="I130" s="12" t="s">
        <v>26</v>
      </c>
      <c r="J130" s="13" t="s">
        <v>4846</v>
      </c>
      <c r="K130" s="14" t="s">
        <v>4847</v>
      </c>
      <c r="L130" s="15">
        <v>0</v>
      </c>
      <c r="M130" s="15" t="s">
        <v>144</v>
      </c>
      <c r="N130" s="16">
        <v>39384</v>
      </c>
      <c r="O130" s="12" t="s">
        <v>4843</v>
      </c>
      <c r="P130" s="14" t="s">
        <v>4848</v>
      </c>
      <c r="Q130" s="17" t="s">
        <v>137</v>
      </c>
      <c r="R130" s="17" t="s">
        <v>146</v>
      </c>
    </row>
    <row r="131" spans="1:18" x14ac:dyDescent="0.3">
      <c r="A131" s="12" t="s">
        <v>4849</v>
      </c>
      <c r="B131" s="12" t="s">
        <v>12</v>
      </c>
      <c r="C131" s="12"/>
      <c r="D131" s="12" t="s">
        <v>12</v>
      </c>
      <c r="E131" s="12" t="s">
        <v>4850</v>
      </c>
      <c r="F131" s="12"/>
      <c r="G131" s="12" t="s">
        <v>4845</v>
      </c>
      <c r="H131" s="12" t="s">
        <v>61</v>
      </c>
      <c r="I131" s="12" t="s">
        <v>26</v>
      </c>
      <c r="J131" s="13" t="s">
        <v>4846</v>
      </c>
      <c r="K131" s="14" t="s">
        <v>4851</v>
      </c>
      <c r="L131" s="15">
        <v>0</v>
      </c>
      <c r="M131" s="15" t="s">
        <v>144</v>
      </c>
      <c r="N131" s="16">
        <v>40128</v>
      </c>
      <c r="O131" s="12" t="s">
        <v>4852</v>
      </c>
      <c r="P131" s="14" t="s">
        <v>4853</v>
      </c>
      <c r="Q131" s="17" t="s">
        <v>137</v>
      </c>
      <c r="R131" s="17" t="s">
        <v>146</v>
      </c>
    </row>
    <row r="132" spans="1:18" x14ac:dyDescent="0.3">
      <c r="A132" s="12" t="s">
        <v>4854</v>
      </c>
      <c r="B132" s="12" t="s">
        <v>12</v>
      </c>
      <c r="C132" s="12"/>
      <c r="D132" s="12" t="s">
        <v>12</v>
      </c>
      <c r="E132" s="12" t="s">
        <v>4855</v>
      </c>
      <c r="F132" s="12"/>
      <c r="G132" s="12" t="s">
        <v>4845</v>
      </c>
      <c r="H132" s="12" t="s">
        <v>61</v>
      </c>
      <c r="I132" s="12" t="s">
        <v>26</v>
      </c>
      <c r="J132" s="13" t="s">
        <v>4846</v>
      </c>
      <c r="K132" s="14" t="s">
        <v>4856</v>
      </c>
      <c r="L132" s="15">
        <v>2</v>
      </c>
      <c r="M132" s="15" t="s">
        <v>144</v>
      </c>
      <c r="N132" s="16">
        <v>40151</v>
      </c>
      <c r="O132" s="12" t="s">
        <v>4854</v>
      </c>
      <c r="P132" s="14" t="s">
        <v>4857</v>
      </c>
      <c r="Q132" s="17" t="s">
        <v>137</v>
      </c>
      <c r="R132" s="17" t="s">
        <v>146</v>
      </c>
    </row>
    <row r="133" spans="1:18" x14ac:dyDescent="0.3">
      <c r="A133" s="12" t="s">
        <v>4858</v>
      </c>
      <c r="B133" s="12" t="s">
        <v>12</v>
      </c>
      <c r="C133" s="12"/>
      <c r="D133" s="12" t="s">
        <v>12</v>
      </c>
      <c r="E133" s="12" t="s">
        <v>4859</v>
      </c>
      <c r="F133" s="12"/>
      <c r="G133" s="12" t="s">
        <v>4845</v>
      </c>
      <c r="H133" s="12" t="s">
        <v>61</v>
      </c>
      <c r="I133" s="12" t="s">
        <v>26</v>
      </c>
      <c r="J133" s="13" t="s">
        <v>4846</v>
      </c>
      <c r="K133" s="14" t="s">
        <v>4860</v>
      </c>
      <c r="L133" s="15">
        <v>2</v>
      </c>
      <c r="M133" s="15" t="s">
        <v>144</v>
      </c>
      <c r="N133" s="16">
        <v>40444</v>
      </c>
      <c r="O133" s="12" t="s">
        <v>4858</v>
      </c>
      <c r="P133" s="14" t="s">
        <v>4861</v>
      </c>
      <c r="Q133" s="17" t="s">
        <v>137</v>
      </c>
      <c r="R133" s="17" t="s">
        <v>146</v>
      </c>
    </row>
    <row r="134" spans="1:18" x14ac:dyDescent="0.3">
      <c r="A134" s="12" t="s">
        <v>4862</v>
      </c>
      <c r="B134" s="12" t="s">
        <v>12</v>
      </c>
      <c r="C134" s="12"/>
      <c r="D134" s="12" t="s">
        <v>12</v>
      </c>
      <c r="E134" s="12" t="s">
        <v>4863</v>
      </c>
      <c r="F134" s="12"/>
      <c r="G134" s="12" t="s">
        <v>489</v>
      </c>
      <c r="H134" s="12" t="s">
        <v>61</v>
      </c>
      <c r="I134" s="12" t="s">
        <v>26</v>
      </c>
      <c r="J134" s="13" t="s">
        <v>490</v>
      </c>
      <c r="K134" s="14" t="s">
        <v>4864</v>
      </c>
      <c r="L134" s="15">
        <v>1</v>
      </c>
      <c r="M134" s="15" t="s">
        <v>144</v>
      </c>
      <c r="N134" s="16">
        <v>41107</v>
      </c>
      <c r="O134" s="12" t="s">
        <v>4862</v>
      </c>
      <c r="P134" s="14" t="s">
        <v>4865</v>
      </c>
      <c r="Q134" s="17" t="s">
        <v>137</v>
      </c>
      <c r="R134" s="17" t="s">
        <v>146</v>
      </c>
    </row>
    <row r="135" spans="1:18" x14ac:dyDescent="0.3">
      <c r="A135" s="12" t="s">
        <v>4866</v>
      </c>
      <c r="B135" s="12" t="s">
        <v>12</v>
      </c>
      <c r="C135" s="12"/>
      <c r="D135" s="12" t="s">
        <v>12</v>
      </c>
      <c r="E135" s="12" t="s">
        <v>4867</v>
      </c>
      <c r="F135" s="12" t="s">
        <v>4868</v>
      </c>
      <c r="G135" s="12" t="s">
        <v>489</v>
      </c>
      <c r="H135" s="12" t="s">
        <v>61</v>
      </c>
      <c r="I135" s="12" t="s">
        <v>26</v>
      </c>
      <c r="J135" s="13" t="s">
        <v>490</v>
      </c>
      <c r="K135" s="14" t="s">
        <v>4869</v>
      </c>
      <c r="L135" s="15">
        <v>0</v>
      </c>
      <c r="M135" s="15" t="s">
        <v>144</v>
      </c>
      <c r="N135" s="16">
        <v>42747</v>
      </c>
      <c r="O135" s="12" t="s">
        <v>4866</v>
      </c>
      <c r="P135" s="14" t="s">
        <v>4870</v>
      </c>
      <c r="Q135" s="17" t="s">
        <v>137</v>
      </c>
      <c r="R135" s="17" t="s">
        <v>146</v>
      </c>
    </row>
    <row r="136" spans="1:18" x14ac:dyDescent="0.3">
      <c r="A136" s="12" t="s">
        <v>4871</v>
      </c>
      <c r="B136" s="12" t="s">
        <v>12</v>
      </c>
      <c r="C136" s="12"/>
      <c r="D136" s="12" t="s">
        <v>12</v>
      </c>
      <c r="E136" s="12" t="s">
        <v>4872</v>
      </c>
      <c r="F136" s="12" t="s">
        <v>595</v>
      </c>
      <c r="G136" s="12" t="s">
        <v>489</v>
      </c>
      <c r="H136" s="12" t="s">
        <v>61</v>
      </c>
      <c r="I136" s="12" t="s">
        <v>26</v>
      </c>
      <c r="J136" s="13" t="s">
        <v>490</v>
      </c>
      <c r="K136" s="14" t="s">
        <v>4873</v>
      </c>
      <c r="L136" s="15">
        <v>2</v>
      </c>
      <c r="M136" s="15" t="s">
        <v>144</v>
      </c>
      <c r="N136" s="16">
        <v>41303</v>
      </c>
      <c r="O136" s="12" t="s">
        <v>4871</v>
      </c>
      <c r="P136" s="14" t="s">
        <v>4874</v>
      </c>
      <c r="Q136" s="17" t="s">
        <v>137</v>
      </c>
      <c r="R136" s="17" t="s">
        <v>146</v>
      </c>
    </row>
    <row r="137" spans="1:18" x14ac:dyDescent="0.3">
      <c r="A137" s="12" t="s">
        <v>4875</v>
      </c>
      <c r="B137" s="12" t="s">
        <v>12</v>
      </c>
      <c r="C137" s="12"/>
      <c r="D137" s="12" t="s">
        <v>12</v>
      </c>
      <c r="E137" s="12" t="s">
        <v>4876</v>
      </c>
      <c r="F137" s="12"/>
      <c r="G137" s="12" t="s">
        <v>489</v>
      </c>
      <c r="H137" s="12" t="s">
        <v>61</v>
      </c>
      <c r="I137" s="12" t="s">
        <v>26</v>
      </c>
      <c r="J137" s="13" t="s">
        <v>490</v>
      </c>
      <c r="K137" s="14" t="s">
        <v>4877</v>
      </c>
      <c r="L137" s="15">
        <v>2</v>
      </c>
      <c r="M137" s="15" t="s">
        <v>144</v>
      </c>
      <c r="N137" s="16">
        <v>42746</v>
      </c>
      <c r="O137" s="12" t="s">
        <v>4878</v>
      </c>
      <c r="P137" s="14" t="s">
        <v>4879</v>
      </c>
      <c r="Q137" s="17" t="s">
        <v>137</v>
      </c>
      <c r="R137" s="17" t="s">
        <v>146</v>
      </c>
    </row>
    <row r="138" spans="1:18" x14ac:dyDescent="0.3">
      <c r="A138" s="12" t="s">
        <v>4880</v>
      </c>
      <c r="B138" s="12" t="s">
        <v>12</v>
      </c>
      <c r="C138" s="12"/>
      <c r="D138" s="12" t="s">
        <v>12</v>
      </c>
      <c r="E138" s="12" t="s">
        <v>4881</v>
      </c>
      <c r="F138" s="12"/>
      <c r="G138" s="12" t="s">
        <v>4882</v>
      </c>
      <c r="H138" s="12" t="s">
        <v>61</v>
      </c>
      <c r="I138" s="12" t="s">
        <v>26</v>
      </c>
      <c r="J138" s="13" t="s">
        <v>4883</v>
      </c>
      <c r="K138" s="14" t="s">
        <v>4884</v>
      </c>
      <c r="L138" s="15">
        <v>2</v>
      </c>
      <c r="M138" s="15" t="s">
        <v>144</v>
      </c>
      <c r="N138" s="16">
        <v>44065</v>
      </c>
      <c r="O138" s="12" t="s">
        <v>4885</v>
      </c>
      <c r="P138" s="14" t="s">
        <v>4886</v>
      </c>
      <c r="Q138" s="17" t="s">
        <v>137</v>
      </c>
      <c r="R138" s="17" t="s">
        <v>146</v>
      </c>
    </row>
    <row r="139" spans="1:18" x14ac:dyDescent="0.3">
      <c r="A139" s="12" t="s">
        <v>4887</v>
      </c>
      <c r="B139" s="12" t="s">
        <v>12</v>
      </c>
      <c r="C139" s="12"/>
      <c r="D139" s="12" t="s">
        <v>12</v>
      </c>
      <c r="E139" s="12" t="s">
        <v>4888</v>
      </c>
      <c r="F139" s="12" t="s">
        <v>4889</v>
      </c>
      <c r="G139" s="12" t="s">
        <v>4890</v>
      </c>
      <c r="H139" s="12" t="s">
        <v>61</v>
      </c>
      <c r="I139" s="12" t="s">
        <v>26</v>
      </c>
      <c r="J139" s="13" t="s">
        <v>4891</v>
      </c>
      <c r="K139" s="14" t="s">
        <v>4892</v>
      </c>
      <c r="L139" s="15">
        <v>0</v>
      </c>
      <c r="M139" s="15" t="s">
        <v>144</v>
      </c>
      <c r="N139" s="16">
        <v>40961</v>
      </c>
      <c r="O139" s="12" t="s">
        <v>4887</v>
      </c>
      <c r="P139" s="14" t="s">
        <v>4893</v>
      </c>
      <c r="Q139" s="17" t="s">
        <v>137</v>
      </c>
      <c r="R139" s="17" t="s">
        <v>146</v>
      </c>
    </row>
    <row r="140" spans="1:18" x14ac:dyDescent="0.3">
      <c r="A140" s="12" t="s">
        <v>4894</v>
      </c>
      <c r="B140" s="12" t="s">
        <v>16</v>
      </c>
      <c r="C140" s="12"/>
      <c r="D140" s="12" t="s">
        <v>993</v>
      </c>
      <c r="E140" s="12" t="s">
        <v>4895</v>
      </c>
      <c r="F140" s="12"/>
      <c r="G140" s="12" t="s">
        <v>4890</v>
      </c>
      <c r="H140" s="12" t="s">
        <v>61</v>
      </c>
      <c r="I140" s="12" t="s">
        <v>26</v>
      </c>
      <c r="J140" s="13" t="s">
        <v>4891</v>
      </c>
      <c r="K140" s="14" t="s">
        <v>4896</v>
      </c>
      <c r="L140" s="15">
        <v>0</v>
      </c>
      <c r="M140" s="15" t="s">
        <v>144</v>
      </c>
      <c r="N140" s="16">
        <v>44065</v>
      </c>
      <c r="O140" s="12" t="s">
        <v>4894</v>
      </c>
      <c r="P140" s="14" t="s">
        <v>4897</v>
      </c>
      <c r="Q140" s="17" t="s">
        <v>137</v>
      </c>
      <c r="R140" s="17" t="s">
        <v>146</v>
      </c>
    </row>
    <row r="141" spans="1:18" x14ac:dyDescent="0.3">
      <c r="A141" s="12" t="s">
        <v>4898</v>
      </c>
      <c r="B141" s="12" t="s">
        <v>12</v>
      </c>
      <c r="C141" s="12"/>
      <c r="D141" s="12" t="s">
        <v>12</v>
      </c>
      <c r="E141" s="12" t="s">
        <v>4899</v>
      </c>
      <c r="F141" s="12"/>
      <c r="G141" s="12" t="s">
        <v>511</v>
      </c>
      <c r="H141" s="12" t="s">
        <v>61</v>
      </c>
      <c r="I141" s="12" t="s">
        <v>26</v>
      </c>
      <c r="J141" s="13" t="s">
        <v>512</v>
      </c>
      <c r="K141" s="14" t="s">
        <v>4900</v>
      </c>
      <c r="L141" s="15">
        <v>0</v>
      </c>
      <c r="M141" s="15" t="s">
        <v>144</v>
      </c>
      <c r="N141" s="16">
        <v>39941</v>
      </c>
      <c r="O141" s="12" t="s">
        <v>4898</v>
      </c>
      <c r="P141" s="14" t="s">
        <v>4901</v>
      </c>
      <c r="Q141" s="17" t="s">
        <v>137</v>
      </c>
      <c r="R141" s="17" t="s">
        <v>146</v>
      </c>
    </row>
    <row r="142" spans="1:18" x14ac:dyDescent="0.3">
      <c r="A142" s="12" t="s">
        <v>4902</v>
      </c>
      <c r="B142" s="12" t="s">
        <v>12</v>
      </c>
      <c r="C142" s="12"/>
      <c r="D142" s="12" t="s">
        <v>12</v>
      </c>
      <c r="E142" s="12" t="s">
        <v>4903</v>
      </c>
      <c r="F142" s="12" t="s">
        <v>1708</v>
      </c>
      <c r="G142" s="12" t="s">
        <v>521</v>
      </c>
      <c r="H142" s="12" t="s">
        <v>38</v>
      </c>
      <c r="I142" s="12" t="s">
        <v>26</v>
      </c>
      <c r="J142" s="13" t="s">
        <v>522</v>
      </c>
      <c r="K142" s="14" t="s">
        <v>4904</v>
      </c>
      <c r="L142" s="15">
        <v>1</v>
      </c>
      <c r="M142" s="15" t="s">
        <v>144</v>
      </c>
      <c r="N142" s="16">
        <v>39532</v>
      </c>
      <c r="O142" s="12" t="s">
        <v>4902</v>
      </c>
      <c r="P142" s="14" t="s">
        <v>4905</v>
      </c>
      <c r="Q142" s="17" t="s">
        <v>137</v>
      </c>
      <c r="R142" s="17" t="s">
        <v>146</v>
      </c>
    </row>
    <row r="143" spans="1:18" x14ac:dyDescent="0.3">
      <c r="A143" s="12" t="s">
        <v>4906</v>
      </c>
      <c r="B143" s="12" t="s">
        <v>14</v>
      </c>
      <c r="C143" s="12"/>
      <c r="D143" s="12" t="s">
        <v>14</v>
      </c>
      <c r="E143" s="12" t="s">
        <v>4907</v>
      </c>
      <c r="F143" s="12"/>
      <c r="G143" s="12" t="s">
        <v>521</v>
      </c>
      <c r="H143" s="12" t="s">
        <v>38</v>
      </c>
      <c r="I143" s="12" t="s">
        <v>26</v>
      </c>
      <c r="J143" s="13" t="s">
        <v>522</v>
      </c>
      <c r="K143" s="14" t="s">
        <v>558</v>
      </c>
      <c r="L143" s="15">
        <v>0</v>
      </c>
      <c r="M143" s="15" t="s">
        <v>144</v>
      </c>
      <c r="N143" s="16">
        <v>43267</v>
      </c>
      <c r="O143" s="12" t="s">
        <v>4906</v>
      </c>
      <c r="P143" s="14" t="s">
        <v>4908</v>
      </c>
      <c r="Q143" s="17" t="s">
        <v>137</v>
      </c>
      <c r="R143" s="17" t="s">
        <v>146</v>
      </c>
    </row>
    <row r="144" spans="1:18" x14ac:dyDescent="0.3">
      <c r="A144" s="12" t="s">
        <v>4909</v>
      </c>
      <c r="B144" s="12" t="s">
        <v>12</v>
      </c>
      <c r="C144" s="12"/>
      <c r="D144" s="12" t="s">
        <v>12</v>
      </c>
      <c r="E144" s="12" t="s">
        <v>4910</v>
      </c>
      <c r="F144" s="12"/>
      <c r="G144" s="12" t="s">
        <v>521</v>
      </c>
      <c r="H144" s="12" t="s">
        <v>38</v>
      </c>
      <c r="I144" s="12" t="s">
        <v>26</v>
      </c>
      <c r="J144" s="13" t="s">
        <v>522</v>
      </c>
      <c r="K144" s="14" t="s">
        <v>4911</v>
      </c>
      <c r="L144" s="15">
        <v>1</v>
      </c>
      <c r="M144" s="15" t="s">
        <v>144</v>
      </c>
      <c r="N144" s="16">
        <v>44065</v>
      </c>
      <c r="O144" s="12" t="s">
        <v>4909</v>
      </c>
      <c r="P144" s="14" t="s">
        <v>4912</v>
      </c>
      <c r="Q144" s="17" t="s">
        <v>137</v>
      </c>
      <c r="R144" s="17" t="s">
        <v>146</v>
      </c>
    </row>
    <row r="145" spans="1:18" x14ac:dyDescent="0.3">
      <c r="A145" s="12" t="s">
        <v>4913</v>
      </c>
      <c r="B145" s="12" t="s">
        <v>12</v>
      </c>
      <c r="C145" s="12"/>
      <c r="D145" s="12" t="s">
        <v>12</v>
      </c>
      <c r="E145" s="12" t="s">
        <v>526</v>
      </c>
      <c r="F145" s="12" t="s">
        <v>447</v>
      </c>
      <c r="G145" s="12" t="s">
        <v>521</v>
      </c>
      <c r="H145" s="12" t="s">
        <v>38</v>
      </c>
      <c r="I145" s="12" t="s">
        <v>26</v>
      </c>
      <c r="J145" s="13" t="s">
        <v>522</v>
      </c>
      <c r="K145" s="14" t="s">
        <v>4914</v>
      </c>
      <c r="L145" s="15">
        <v>6</v>
      </c>
      <c r="M145" s="15" t="s">
        <v>144</v>
      </c>
      <c r="N145" s="16">
        <v>44065</v>
      </c>
      <c r="O145" s="12" t="s">
        <v>4913</v>
      </c>
      <c r="P145" s="14" t="s">
        <v>4915</v>
      </c>
      <c r="Q145" s="17" t="s">
        <v>137</v>
      </c>
      <c r="R145" s="17" t="s">
        <v>146</v>
      </c>
    </row>
    <row r="146" spans="1:18" x14ac:dyDescent="0.3">
      <c r="A146" s="12" t="s">
        <v>4916</v>
      </c>
      <c r="B146" s="12" t="s">
        <v>12</v>
      </c>
      <c r="C146" s="12"/>
      <c r="D146" s="12" t="s">
        <v>12</v>
      </c>
      <c r="E146" s="12" t="s">
        <v>4917</v>
      </c>
      <c r="F146" s="12" t="s">
        <v>516</v>
      </c>
      <c r="G146" s="12" t="s">
        <v>521</v>
      </c>
      <c r="H146" s="12" t="s">
        <v>38</v>
      </c>
      <c r="I146" s="12" t="s">
        <v>26</v>
      </c>
      <c r="J146" s="13" t="s">
        <v>522</v>
      </c>
      <c r="K146" s="14" t="s">
        <v>4918</v>
      </c>
      <c r="L146" s="15">
        <v>1</v>
      </c>
      <c r="M146" s="15" t="s">
        <v>144</v>
      </c>
      <c r="N146" s="16">
        <v>41715</v>
      </c>
      <c r="O146" s="12" t="s">
        <v>4916</v>
      </c>
      <c r="P146" s="14" t="s">
        <v>4919</v>
      </c>
      <c r="Q146" s="17" t="s">
        <v>137</v>
      </c>
      <c r="R146" s="17" t="s">
        <v>146</v>
      </c>
    </row>
    <row r="147" spans="1:18" x14ac:dyDescent="0.3">
      <c r="A147" s="12" t="s">
        <v>4920</v>
      </c>
      <c r="B147" s="12" t="s">
        <v>12</v>
      </c>
      <c r="C147" s="12"/>
      <c r="D147" s="12" t="s">
        <v>12</v>
      </c>
      <c r="E147" s="12" t="s">
        <v>4921</v>
      </c>
      <c r="F147" s="12" t="s">
        <v>293</v>
      </c>
      <c r="G147" s="12" t="s">
        <v>521</v>
      </c>
      <c r="H147" s="12" t="s">
        <v>38</v>
      </c>
      <c r="I147" s="12" t="s">
        <v>26</v>
      </c>
      <c r="J147" s="13" t="s">
        <v>522</v>
      </c>
      <c r="K147" s="14" t="s">
        <v>4922</v>
      </c>
      <c r="L147" s="15">
        <v>4</v>
      </c>
      <c r="M147" s="15" t="s">
        <v>144</v>
      </c>
      <c r="N147" s="16">
        <v>41361</v>
      </c>
      <c r="O147" s="12" t="s">
        <v>4920</v>
      </c>
      <c r="P147" s="14" t="s">
        <v>4923</v>
      </c>
      <c r="Q147" s="17" t="s">
        <v>137</v>
      </c>
      <c r="R147" s="17" t="s">
        <v>146</v>
      </c>
    </row>
    <row r="148" spans="1:18" x14ac:dyDescent="0.3">
      <c r="A148" s="12" t="s">
        <v>4924</v>
      </c>
      <c r="B148" s="12" t="s">
        <v>12</v>
      </c>
      <c r="C148" s="12"/>
      <c r="D148" s="12" t="s">
        <v>12</v>
      </c>
      <c r="E148" s="12" t="s">
        <v>4925</v>
      </c>
      <c r="F148" s="12" t="s">
        <v>940</v>
      </c>
      <c r="G148" s="12" t="s">
        <v>521</v>
      </c>
      <c r="H148" s="12" t="s">
        <v>38</v>
      </c>
      <c r="I148" s="12" t="s">
        <v>26</v>
      </c>
      <c r="J148" s="13" t="s">
        <v>522</v>
      </c>
      <c r="K148" s="14" t="s">
        <v>4926</v>
      </c>
      <c r="L148" s="15">
        <v>1</v>
      </c>
      <c r="M148" s="15" t="s">
        <v>144</v>
      </c>
      <c r="N148" s="16">
        <v>40406</v>
      </c>
      <c r="O148" s="12" t="s">
        <v>4924</v>
      </c>
      <c r="P148" s="14" t="s">
        <v>4927</v>
      </c>
      <c r="Q148" s="17" t="s">
        <v>137</v>
      </c>
      <c r="R148" s="17" t="s">
        <v>146</v>
      </c>
    </row>
    <row r="149" spans="1:18" x14ac:dyDescent="0.3">
      <c r="A149" s="12" t="s">
        <v>4928</v>
      </c>
      <c r="B149" s="12" t="s">
        <v>12</v>
      </c>
      <c r="C149" s="12"/>
      <c r="D149" s="12" t="s">
        <v>12</v>
      </c>
      <c r="E149" s="12" t="s">
        <v>4921</v>
      </c>
      <c r="F149" s="12" t="s">
        <v>293</v>
      </c>
      <c r="G149" s="12" t="s">
        <v>521</v>
      </c>
      <c r="H149" s="12" t="s">
        <v>38</v>
      </c>
      <c r="I149" s="12" t="s">
        <v>26</v>
      </c>
      <c r="J149" s="13" t="s">
        <v>522</v>
      </c>
      <c r="K149" s="14" t="s">
        <v>4922</v>
      </c>
      <c r="L149" s="15">
        <v>4</v>
      </c>
      <c r="M149" s="15" t="s">
        <v>144</v>
      </c>
      <c r="N149" s="16">
        <v>40945</v>
      </c>
      <c r="O149" s="12" t="s">
        <v>4928</v>
      </c>
      <c r="P149" s="14" t="s">
        <v>4929</v>
      </c>
      <c r="Q149" s="17" t="s">
        <v>137</v>
      </c>
      <c r="R149" s="17" t="s">
        <v>146</v>
      </c>
    </row>
    <row r="150" spans="1:18" x14ac:dyDescent="0.3">
      <c r="A150" s="12" t="s">
        <v>4930</v>
      </c>
      <c r="B150" s="12" t="s">
        <v>12</v>
      </c>
      <c r="C150" s="12"/>
      <c r="D150" s="12" t="s">
        <v>12</v>
      </c>
      <c r="E150" s="12" t="s">
        <v>4931</v>
      </c>
      <c r="F150" s="12"/>
      <c r="G150" s="12" t="s">
        <v>521</v>
      </c>
      <c r="H150" s="12" t="s">
        <v>38</v>
      </c>
      <c r="I150" s="12" t="s">
        <v>26</v>
      </c>
      <c r="J150" s="13" t="s">
        <v>522</v>
      </c>
      <c r="K150" s="14" t="s">
        <v>4932</v>
      </c>
      <c r="L150" s="15">
        <v>1</v>
      </c>
      <c r="M150" s="15" t="s">
        <v>144</v>
      </c>
      <c r="N150" s="16">
        <v>43949</v>
      </c>
      <c r="O150" s="12" t="s">
        <v>4930</v>
      </c>
      <c r="P150" s="14" t="s">
        <v>4933</v>
      </c>
      <c r="Q150" s="17" t="s">
        <v>137</v>
      </c>
      <c r="R150" s="17" t="s">
        <v>146</v>
      </c>
    </row>
    <row r="151" spans="1:18" x14ac:dyDescent="0.3">
      <c r="A151" s="12" t="s">
        <v>4934</v>
      </c>
      <c r="B151" s="12" t="s">
        <v>12</v>
      </c>
      <c r="C151" s="12"/>
      <c r="D151" s="12" t="s">
        <v>12</v>
      </c>
      <c r="E151" s="12" t="s">
        <v>4935</v>
      </c>
      <c r="F151" s="12" t="s">
        <v>258</v>
      </c>
      <c r="G151" s="12" t="s">
        <v>521</v>
      </c>
      <c r="H151" s="12" t="s">
        <v>38</v>
      </c>
      <c r="I151" s="12" t="s">
        <v>26</v>
      </c>
      <c r="J151" s="13" t="s">
        <v>522</v>
      </c>
      <c r="K151" s="14" t="s">
        <v>4936</v>
      </c>
      <c r="L151" s="15">
        <v>0</v>
      </c>
      <c r="M151" s="15" t="s">
        <v>144</v>
      </c>
      <c r="N151" s="16">
        <v>40968</v>
      </c>
      <c r="O151" s="12" t="s">
        <v>4934</v>
      </c>
      <c r="P151" s="14" t="s">
        <v>4937</v>
      </c>
      <c r="Q151" s="17" t="s">
        <v>137</v>
      </c>
      <c r="R151" s="17" t="s">
        <v>146</v>
      </c>
    </row>
    <row r="152" spans="1:18" x14ac:dyDescent="0.3">
      <c r="A152" s="12" t="s">
        <v>4938</v>
      </c>
      <c r="B152" s="12" t="s">
        <v>12</v>
      </c>
      <c r="C152" s="12"/>
      <c r="D152" s="12" t="s">
        <v>12</v>
      </c>
      <c r="E152" s="12" t="s">
        <v>4939</v>
      </c>
      <c r="F152" s="12" t="s">
        <v>1446</v>
      </c>
      <c r="G152" s="12" t="s">
        <v>521</v>
      </c>
      <c r="H152" s="12" t="s">
        <v>38</v>
      </c>
      <c r="I152" s="12" t="s">
        <v>26</v>
      </c>
      <c r="J152" s="13" t="s">
        <v>522</v>
      </c>
      <c r="K152" s="14" t="s">
        <v>4940</v>
      </c>
      <c r="L152" s="15">
        <v>6</v>
      </c>
      <c r="M152" s="15" t="s">
        <v>144</v>
      </c>
      <c r="N152" s="16">
        <v>42198</v>
      </c>
      <c r="O152" s="12" t="s">
        <v>4938</v>
      </c>
      <c r="P152" s="14" t="s">
        <v>4941</v>
      </c>
      <c r="Q152" s="17" t="s">
        <v>137</v>
      </c>
      <c r="R152" s="17" t="s">
        <v>146</v>
      </c>
    </row>
    <row r="153" spans="1:18" x14ac:dyDescent="0.3">
      <c r="A153" s="12" t="s">
        <v>4942</v>
      </c>
      <c r="B153" s="12" t="s">
        <v>12</v>
      </c>
      <c r="C153" s="12"/>
      <c r="D153" s="12" t="s">
        <v>12</v>
      </c>
      <c r="E153" s="12" t="s">
        <v>4943</v>
      </c>
      <c r="F153" s="12" t="s">
        <v>359</v>
      </c>
      <c r="G153" s="12" t="s">
        <v>521</v>
      </c>
      <c r="H153" s="12" t="s">
        <v>38</v>
      </c>
      <c r="I153" s="12" t="s">
        <v>26</v>
      </c>
      <c r="J153" s="13" t="s">
        <v>522</v>
      </c>
      <c r="K153" s="14" t="s">
        <v>4944</v>
      </c>
      <c r="L153" s="15">
        <v>0</v>
      </c>
      <c r="M153" s="15" t="s">
        <v>144</v>
      </c>
      <c r="N153" s="16">
        <v>40217</v>
      </c>
      <c r="O153" s="12" t="s">
        <v>4942</v>
      </c>
      <c r="P153" s="14" t="s">
        <v>4945</v>
      </c>
      <c r="Q153" s="17" t="s">
        <v>137</v>
      </c>
      <c r="R153" s="17" t="s">
        <v>146</v>
      </c>
    </row>
    <row r="154" spans="1:18" x14ac:dyDescent="0.3">
      <c r="A154" s="12" t="s">
        <v>4946</v>
      </c>
      <c r="B154" s="12" t="s">
        <v>12</v>
      </c>
      <c r="C154" s="12"/>
      <c r="D154" s="12" t="s">
        <v>12</v>
      </c>
      <c r="E154" s="12" t="s">
        <v>4947</v>
      </c>
      <c r="F154" s="12"/>
      <c r="G154" s="12" t="s">
        <v>521</v>
      </c>
      <c r="H154" s="12" t="s">
        <v>38</v>
      </c>
      <c r="I154" s="12" t="s">
        <v>26</v>
      </c>
      <c r="J154" s="13" t="s">
        <v>522</v>
      </c>
      <c r="K154" s="14" t="s">
        <v>4948</v>
      </c>
      <c r="L154" s="15">
        <v>0</v>
      </c>
      <c r="M154" s="15" t="s">
        <v>144</v>
      </c>
      <c r="N154" s="16">
        <v>43563</v>
      </c>
      <c r="O154" s="12" t="s">
        <v>4946</v>
      </c>
      <c r="P154" s="14" t="s">
        <v>4949</v>
      </c>
      <c r="Q154" s="17" t="s">
        <v>137</v>
      </c>
      <c r="R154" s="17" t="s">
        <v>146</v>
      </c>
    </row>
    <row r="155" spans="1:18" x14ac:dyDescent="0.3">
      <c r="A155" s="12" t="s">
        <v>4950</v>
      </c>
      <c r="B155" s="12" t="s">
        <v>12</v>
      </c>
      <c r="C155" s="12"/>
      <c r="D155" s="12" t="s">
        <v>12</v>
      </c>
      <c r="E155" s="12" t="s">
        <v>4951</v>
      </c>
      <c r="F155" s="12" t="s">
        <v>258</v>
      </c>
      <c r="G155" s="12" t="s">
        <v>521</v>
      </c>
      <c r="H155" s="12" t="s">
        <v>38</v>
      </c>
      <c r="I155" s="12" t="s">
        <v>26</v>
      </c>
      <c r="J155" s="13" t="s">
        <v>522</v>
      </c>
      <c r="K155" s="14" t="s">
        <v>4952</v>
      </c>
      <c r="L155" s="15">
        <v>0</v>
      </c>
      <c r="M155" s="15" t="s">
        <v>144</v>
      </c>
      <c r="N155" s="16">
        <v>39465</v>
      </c>
      <c r="O155" s="12" t="s">
        <v>4950</v>
      </c>
      <c r="P155" s="14" t="s">
        <v>4953</v>
      </c>
      <c r="Q155" s="17" t="s">
        <v>137</v>
      </c>
      <c r="R155" s="17" t="s">
        <v>146</v>
      </c>
    </row>
    <row r="156" spans="1:18" x14ac:dyDescent="0.3">
      <c r="A156" s="12" t="s">
        <v>4954</v>
      </c>
      <c r="B156" s="12" t="s">
        <v>12</v>
      </c>
      <c r="C156" s="12"/>
      <c r="D156" s="12" t="s">
        <v>12</v>
      </c>
      <c r="E156" s="12" t="s">
        <v>4955</v>
      </c>
      <c r="F156" s="12" t="s">
        <v>258</v>
      </c>
      <c r="G156" s="12" t="s">
        <v>521</v>
      </c>
      <c r="H156" s="12" t="s">
        <v>38</v>
      </c>
      <c r="I156" s="12" t="s">
        <v>26</v>
      </c>
      <c r="J156" s="13" t="s">
        <v>522</v>
      </c>
      <c r="K156" s="14" t="s">
        <v>4956</v>
      </c>
      <c r="L156" s="15">
        <v>2</v>
      </c>
      <c r="M156" s="15" t="s">
        <v>144</v>
      </c>
      <c r="N156" s="16">
        <v>39332</v>
      </c>
      <c r="O156" s="12" t="s">
        <v>4957</v>
      </c>
      <c r="P156" s="14" t="s">
        <v>4958</v>
      </c>
      <c r="Q156" s="17" t="s">
        <v>137</v>
      </c>
      <c r="R156" s="17" t="s">
        <v>146</v>
      </c>
    </row>
    <row r="157" spans="1:18" x14ac:dyDescent="0.3">
      <c r="A157" s="12" t="s">
        <v>4959</v>
      </c>
      <c r="B157" s="12" t="s">
        <v>14</v>
      </c>
      <c r="C157" s="12"/>
      <c r="D157" s="12" t="s">
        <v>14</v>
      </c>
      <c r="E157" s="12" t="s">
        <v>4960</v>
      </c>
      <c r="F157" s="12" t="s">
        <v>995</v>
      </c>
      <c r="G157" s="12" t="s">
        <v>521</v>
      </c>
      <c r="H157" s="12" t="s">
        <v>38</v>
      </c>
      <c r="I157" s="12" t="s">
        <v>26</v>
      </c>
      <c r="J157" s="13" t="s">
        <v>522</v>
      </c>
      <c r="K157" s="14" t="s">
        <v>4961</v>
      </c>
      <c r="L157" s="15">
        <v>17</v>
      </c>
      <c r="M157" s="15" t="s">
        <v>144</v>
      </c>
      <c r="N157" s="16">
        <v>39619</v>
      </c>
      <c r="O157" s="12" t="s">
        <v>4962</v>
      </c>
      <c r="P157" s="14" t="s">
        <v>4963</v>
      </c>
      <c r="Q157" s="17" t="s">
        <v>137</v>
      </c>
      <c r="R157" s="17" t="s">
        <v>146</v>
      </c>
    </row>
    <row r="158" spans="1:18" x14ac:dyDescent="0.3">
      <c r="A158" s="12" t="s">
        <v>4964</v>
      </c>
      <c r="B158" s="12" t="s">
        <v>14</v>
      </c>
      <c r="C158" s="12"/>
      <c r="D158" s="12" t="s">
        <v>14</v>
      </c>
      <c r="E158" s="12" t="s">
        <v>4965</v>
      </c>
      <c r="F158" s="12"/>
      <c r="G158" s="12" t="s">
        <v>521</v>
      </c>
      <c r="H158" s="12" t="s">
        <v>38</v>
      </c>
      <c r="I158" s="12" t="s">
        <v>26</v>
      </c>
      <c r="J158" s="13" t="s">
        <v>522</v>
      </c>
      <c r="K158" s="14" t="s">
        <v>4966</v>
      </c>
      <c r="L158" s="15">
        <v>0</v>
      </c>
      <c r="M158" s="15" t="s">
        <v>144</v>
      </c>
      <c r="N158" s="16">
        <v>42394</v>
      </c>
      <c r="O158" s="12" t="s">
        <v>4964</v>
      </c>
      <c r="P158" s="14" t="s">
        <v>4967</v>
      </c>
      <c r="Q158" s="17" t="s">
        <v>137</v>
      </c>
      <c r="R158" s="17" t="s">
        <v>146</v>
      </c>
    </row>
    <row r="159" spans="1:18" x14ac:dyDescent="0.3">
      <c r="A159" s="12" t="s">
        <v>4968</v>
      </c>
      <c r="B159" s="12" t="s">
        <v>12</v>
      </c>
      <c r="C159" s="12"/>
      <c r="D159" s="12" t="s">
        <v>12</v>
      </c>
      <c r="E159" s="12" t="s">
        <v>538</v>
      </c>
      <c r="F159" s="12" t="s">
        <v>4969</v>
      </c>
      <c r="G159" s="12" t="s">
        <v>521</v>
      </c>
      <c r="H159" s="12" t="s">
        <v>38</v>
      </c>
      <c r="I159" s="12" t="s">
        <v>26</v>
      </c>
      <c r="J159" s="13" t="s">
        <v>522</v>
      </c>
      <c r="K159" s="14" t="s">
        <v>4940</v>
      </c>
      <c r="L159" s="15">
        <v>6</v>
      </c>
      <c r="M159" s="15" t="s">
        <v>144</v>
      </c>
      <c r="N159" s="16">
        <v>42426</v>
      </c>
      <c r="O159" s="12" t="s">
        <v>4968</v>
      </c>
      <c r="P159" s="14" t="s">
        <v>4970</v>
      </c>
      <c r="Q159" s="17" t="s">
        <v>137</v>
      </c>
      <c r="R159" s="17" t="s">
        <v>146</v>
      </c>
    </row>
    <row r="160" spans="1:18" x14ac:dyDescent="0.3">
      <c r="A160" s="12" t="s">
        <v>4971</v>
      </c>
      <c r="B160" s="12" t="s">
        <v>12</v>
      </c>
      <c r="C160" s="12"/>
      <c r="D160" s="12" t="s">
        <v>12</v>
      </c>
      <c r="E160" s="12" t="s">
        <v>526</v>
      </c>
      <c r="F160" s="12" t="s">
        <v>447</v>
      </c>
      <c r="G160" s="12" t="s">
        <v>521</v>
      </c>
      <c r="H160" s="12" t="s">
        <v>38</v>
      </c>
      <c r="I160" s="12" t="s">
        <v>26</v>
      </c>
      <c r="J160" s="13" t="s">
        <v>522</v>
      </c>
      <c r="K160" s="14" t="s">
        <v>4972</v>
      </c>
      <c r="L160" s="15">
        <v>6</v>
      </c>
      <c r="M160" s="15" t="s">
        <v>144</v>
      </c>
      <c r="N160" s="16">
        <v>42599</v>
      </c>
      <c r="O160" s="12" t="s">
        <v>4971</v>
      </c>
      <c r="P160" s="14" t="s">
        <v>4973</v>
      </c>
      <c r="Q160" s="17" t="s">
        <v>137</v>
      </c>
      <c r="R160" s="17" t="s">
        <v>146</v>
      </c>
    </row>
    <row r="161" spans="1:18" x14ac:dyDescent="0.3">
      <c r="A161" s="12" t="s">
        <v>4974</v>
      </c>
      <c r="B161" s="12" t="s">
        <v>12</v>
      </c>
      <c r="C161" s="12"/>
      <c r="D161" s="12" t="s">
        <v>12</v>
      </c>
      <c r="E161" s="12" t="s">
        <v>4975</v>
      </c>
      <c r="F161" s="12"/>
      <c r="G161" s="12" t="s">
        <v>521</v>
      </c>
      <c r="H161" s="12" t="s">
        <v>38</v>
      </c>
      <c r="I161" s="12" t="s">
        <v>26</v>
      </c>
      <c r="J161" s="13" t="s">
        <v>522</v>
      </c>
      <c r="K161" s="14" t="s">
        <v>4976</v>
      </c>
      <c r="L161" s="15">
        <v>0</v>
      </c>
      <c r="M161" s="15" t="s">
        <v>144</v>
      </c>
      <c r="N161" s="16">
        <v>44065</v>
      </c>
      <c r="O161" s="12" t="s">
        <v>4974</v>
      </c>
      <c r="P161" s="14" t="s">
        <v>4977</v>
      </c>
      <c r="Q161" s="17" t="s">
        <v>137</v>
      </c>
      <c r="R161" s="17" t="s">
        <v>146</v>
      </c>
    </row>
    <row r="162" spans="1:18" x14ac:dyDescent="0.3">
      <c r="A162" s="12" t="s">
        <v>4978</v>
      </c>
      <c r="B162" s="12" t="s">
        <v>12</v>
      </c>
      <c r="C162" s="12"/>
      <c r="D162" s="12" t="s">
        <v>12</v>
      </c>
      <c r="E162" s="12" t="s">
        <v>4979</v>
      </c>
      <c r="F162" s="12"/>
      <c r="G162" s="12" t="s">
        <v>521</v>
      </c>
      <c r="H162" s="12" t="s">
        <v>38</v>
      </c>
      <c r="I162" s="12" t="s">
        <v>26</v>
      </c>
      <c r="J162" s="13" t="s">
        <v>522</v>
      </c>
      <c r="K162" s="14" t="s">
        <v>4980</v>
      </c>
      <c r="L162" s="15">
        <v>1</v>
      </c>
      <c r="M162" s="15" t="s">
        <v>144</v>
      </c>
      <c r="N162" s="16">
        <v>40499</v>
      </c>
      <c r="O162" s="12" t="s">
        <v>4981</v>
      </c>
      <c r="P162" s="14" t="s">
        <v>4982</v>
      </c>
      <c r="Q162" s="17" t="s">
        <v>137</v>
      </c>
      <c r="R162" s="17" t="s">
        <v>146</v>
      </c>
    </row>
    <row r="163" spans="1:18" x14ac:dyDescent="0.3">
      <c r="A163" s="12" t="s">
        <v>4983</v>
      </c>
      <c r="B163" s="12" t="s">
        <v>12</v>
      </c>
      <c r="C163" s="12"/>
      <c r="D163" s="12" t="s">
        <v>12</v>
      </c>
      <c r="E163" s="12" t="s">
        <v>4984</v>
      </c>
      <c r="F163" s="12"/>
      <c r="G163" s="12" t="s">
        <v>521</v>
      </c>
      <c r="H163" s="12" t="s">
        <v>38</v>
      </c>
      <c r="I163" s="12" t="s">
        <v>26</v>
      </c>
      <c r="J163" s="13" t="s">
        <v>522</v>
      </c>
      <c r="K163" s="14" t="s">
        <v>4985</v>
      </c>
      <c r="L163" s="15">
        <v>1</v>
      </c>
      <c r="M163" s="15" t="s">
        <v>144</v>
      </c>
      <c r="N163" s="16">
        <v>40557</v>
      </c>
      <c r="O163" s="12" t="s">
        <v>4983</v>
      </c>
      <c r="P163" s="14" t="s">
        <v>4986</v>
      </c>
      <c r="Q163" s="17" t="s">
        <v>137</v>
      </c>
      <c r="R163" s="17" t="s">
        <v>146</v>
      </c>
    </row>
    <row r="164" spans="1:18" x14ac:dyDescent="0.3">
      <c r="A164" s="12" t="s">
        <v>4987</v>
      </c>
      <c r="B164" s="12" t="s">
        <v>12</v>
      </c>
      <c r="C164" s="12"/>
      <c r="D164" s="12" t="s">
        <v>12</v>
      </c>
      <c r="E164" s="12" t="s">
        <v>4925</v>
      </c>
      <c r="F164" s="12" t="s">
        <v>940</v>
      </c>
      <c r="G164" s="12" t="s">
        <v>521</v>
      </c>
      <c r="H164" s="12" t="s">
        <v>38</v>
      </c>
      <c r="I164" s="12" t="s">
        <v>26</v>
      </c>
      <c r="J164" s="13" t="s">
        <v>522</v>
      </c>
      <c r="K164" s="14" t="s">
        <v>4926</v>
      </c>
      <c r="L164" s="15">
        <v>1</v>
      </c>
      <c r="M164" s="15" t="s">
        <v>144</v>
      </c>
      <c r="N164" s="16">
        <v>41320</v>
      </c>
      <c r="O164" s="12" t="s">
        <v>4987</v>
      </c>
      <c r="P164" s="14" t="s">
        <v>4988</v>
      </c>
      <c r="Q164" s="17" t="s">
        <v>137</v>
      </c>
      <c r="R164" s="17" t="s">
        <v>146</v>
      </c>
    </row>
    <row r="165" spans="1:18" x14ac:dyDescent="0.3">
      <c r="A165" s="12" t="s">
        <v>4989</v>
      </c>
      <c r="B165" s="12" t="s">
        <v>12</v>
      </c>
      <c r="C165" s="12" t="s">
        <v>10</v>
      </c>
      <c r="D165" s="12" t="s">
        <v>4990</v>
      </c>
      <c r="E165" s="12" t="s">
        <v>4951</v>
      </c>
      <c r="F165" s="12" t="s">
        <v>258</v>
      </c>
      <c r="G165" s="12" t="s">
        <v>521</v>
      </c>
      <c r="H165" s="12" t="s">
        <v>38</v>
      </c>
      <c r="I165" s="12" t="s">
        <v>26</v>
      </c>
      <c r="J165" s="13" t="s">
        <v>522</v>
      </c>
      <c r="K165" s="14" t="s">
        <v>4991</v>
      </c>
      <c r="L165" s="15">
        <v>1</v>
      </c>
      <c r="M165" s="15" t="s">
        <v>144</v>
      </c>
      <c r="N165" s="16">
        <v>42551</v>
      </c>
      <c r="O165" s="12" t="s">
        <v>4992</v>
      </c>
      <c r="P165" s="14" t="s">
        <v>4993</v>
      </c>
      <c r="Q165" s="17" t="s">
        <v>137</v>
      </c>
      <c r="R165" s="17" t="s">
        <v>146</v>
      </c>
    </row>
    <row r="166" spans="1:18" x14ac:dyDescent="0.3">
      <c r="A166" s="12" t="s">
        <v>4994</v>
      </c>
      <c r="B166" s="12" t="s">
        <v>12</v>
      </c>
      <c r="C166" s="12"/>
      <c r="D166" s="12" t="s">
        <v>12</v>
      </c>
      <c r="E166" s="12" t="s">
        <v>526</v>
      </c>
      <c r="F166" s="12"/>
      <c r="G166" s="12" t="s">
        <v>521</v>
      </c>
      <c r="H166" s="12" t="s">
        <v>38</v>
      </c>
      <c r="I166" s="12" t="s">
        <v>26</v>
      </c>
      <c r="J166" s="13" t="s">
        <v>522</v>
      </c>
      <c r="K166" s="14" t="s">
        <v>4914</v>
      </c>
      <c r="L166" s="15">
        <v>6</v>
      </c>
      <c r="M166" s="15" t="s">
        <v>144</v>
      </c>
      <c r="N166" s="16">
        <v>44065</v>
      </c>
      <c r="O166" s="12" t="s">
        <v>4994</v>
      </c>
      <c r="P166" s="14" t="s">
        <v>4995</v>
      </c>
      <c r="Q166" s="17" t="s">
        <v>137</v>
      </c>
      <c r="R166" s="17" t="s">
        <v>146</v>
      </c>
    </row>
    <row r="167" spans="1:18" x14ac:dyDescent="0.3">
      <c r="A167" s="12" t="s">
        <v>4996</v>
      </c>
      <c r="B167" s="12" t="s">
        <v>12</v>
      </c>
      <c r="C167" s="12"/>
      <c r="D167" s="12" t="s">
        <v>12</v>
      </c>
      <c r="E167" s="12" t="s">
        <v>4997</v>
      </c>
      <c r="F167" s="12" t="s">
        <v>319</v>
      </c>
      <c r="G167" s="12" t="s">
        <v>569</v>
      </c>
      <c r="H167" s="12" t="s">
        <v>38</v>
      </c>
      <c r="I167" s="12" t="s">
        <v>26</v>
      </c>
      <c r="J167" s="13" t="s">
        <v>570</v>
      </c>
      <c r="K167" s="14" t="s">
        <v>4998</v>
      </c>
      <c r="L167" s="15">
        <v>2</v>
      </c>
      <c r="M167" s="15" t="s">
        <v>144</v>
      </c>
      <c r="N167" s="16">
        <v>40372</v>
      </c>
      <c r="O167" s="12" t="s">
        <v>4996</v>
      </c>
      <c r="P167" s="14" t="s">
        <v>4999</v>
      </c>
      <c r="Q167" s="17" t="s">
        <v>137</v>
      </c>
      <c r="R167" s="17" t="s">
        <v>146</v>
      </c>
    </row>
    <row r="168" spans="1:18" x14ac:dyDescent="0.3">
      <c r="A168" s="12" t="s">
        <v>5000</v>
      </c>
      <c r="B168" s="12" t="s">
        <v>12</v>
      </c>
      <c r="C168" s="12"/>
      <c r="D168" s="12" t="s">
        <v>12</v>
      </c>
      <c r="E168" s="12" t="s">
        <v>5001</v>
      </c>
      <c r="F168" s="12"/>
      <c r="G168" s="12" t="s">
        <v>569</v>
      </c>
      <c r="H168" s="12" t="s">
        <v>38</v>
      </c>
      <c r="I168" s="12" t="s">
        <v>26</v>
      </c>
      <c r="J168" s="13" t="s">
        <v>570</v>
      </c>
      <c r="K168" s="14" t="s">
        <v>5002</v>
      </c>
      <c r="L168" s="15">
        <v>1</v>
      </c>
      <c r="M168" s="15" t="s">
        <v>144</v>
      </c>
      <c r="N168" s="16">
        <v>44491</v>
      </c>
      <c r="O168" s="12" t="s">
        <v>5000</v>
      </c>
      <c r="P168" s="14" t="s">
        <v>5003</v>
      </c>
      <c r="Q168" s="17" t="s">
        <v>137</v>
      </c>
      <c r="R168" s="17" t="s">
        <v>146</v>
      </c>
    </row>
    <row r="169" spans="1:18" x14ac:dyDescent="0.3">
      <c r="A169" s="12" t="s">
        <v>5004</v>
      </c>
      <c r="B169" s="12" t="s">
        <v>12</v>
      </c>
      <c r="C169" s="12"/>
      <c r="D169" s="12" t="s">
        <v>12</v>
      </c>
      <c r="E169" s="12" t="s">
        <v>5005</v>
      </c>
      <c r="F169" s="12" t="s">
        <v>1222</v>
      </c>
      <c r="G169" s="12" t="s">
        <v>569</v>
      </c>
      <c r="H169" s="12" t="s">
        <v>38</v>
      </c>
      <c r="I169" s="12" t="s">
        <v>26</v>
      </c>
      <c r="J169" s="13" t="s">
        <v>570</v>
      </c>
      <c r="K169" s="14" t="s">
        <v>5006</v>
      </c>
      <c r="L169" s="15">
        <v>1</v>
      </c>
      <c r="M169" s="15" t="s">
        <v>144</v>
      </c>
      <c r="N169" s="16">
        <v>39618</v>
      </c>
      <c r="O169" s="12" t="s">
        <v>5004</v>
      </c>
      <c r="P169" s="14" t="s">
        <v>5007</v>
      </c>
      <c r="Q169" s="17" t="s">
        <v>137</v>
      </c>
      <c r="R169" s="17" t="s">
        <v>146</v>
      </c>
    </row>
    <row r="170" spans="1:18" x14ac:dyDescent="0.3">
      <c r="A170" s="12" t="s">
        <v>5008</v>
      </c>
      <c r="B170" s="12" t="s">
        <v>12</v>
      </c>
      <c r="C170" s="12"/>
      <c r="D170" s="12" t="s">
        <v>12</v>
      </c>
      <c r="E170" s="12" t="s">
        <v>5009</v>
      </c>
      <c r="F170" s="12" t="s">
        <v>188</v>
      </c>
      <c r="G170" s="12" t="s">
        <v>569</v>
      </c>
      <c r="H170" s="12" t="s">
        <v>38</v>
      </c>
      <c r="I170" s="12" t="s">
        <v>26</v>
      </c>
      <c r="J170" s="13" t="s">
        <v>570</v>
      </c>
      <c r="K170" s="14" t="s">
        <v>5010</v>
      </c>
      <c r="L170" s="15">
        <v>1</v>
      </c>
      <c r="M170" s="15" t="s">
        <v>144</v>
      </c>
      <c r="N170" s="16">
        <v>40774</v>
      </c>
      <c r="O170" s="12" t="s">
        <v>5008</v>
      </c>
      <c r="P170" s="14" t="s">
        <v>5011</v>
      </c>
      <c r="Q170" s="17" t="s">
        <v>137</v>
      </c>
      <c r="R170" s="17" t="s">
        <v>146</v>
      </c>
    </row>
    <row r="171" spans="1:18" x14ac:dyDescent="0.3">
      <c r="A171" s="12" t="s">
        <v>5012</v>
      </c>
      <c r="B171" s="12" t="s">
        <v>12</v>
      </c>
      <c r="C171" s="12"/>
      <c r="D171" s="12" t="s">
        <v>12</v>
      </c>
      <c r="E171" s="12" t="s">
        <v>5013</v>
      </c>
      <c r="F171" s="12"/>
      <c r="G171" s="12" t="s">
        <v>569</v>
      </c>
      <c r="H171" s="12" t="s">
        <v>38</v>
      </c>
      <c r="I171" s="12" t="s">
        <v>26</v>
      </c>
      <c r="J171" s="13" t="s">
        <v>570</v>
      </c>
      <c r="K171" s="14" t="s">
        <v>5014</v>
      </c>
      <c r="L171" s="15">
        <v>2</v>
      </c>
      <c r="M171" s="15" t="s">
        <v>144</v>
      </c>
      <c r="N171" s="16">
        <v>40533</v>
      </c>
      <c r="O171" s="12" t="s">
        <v>5012</v>
      </c>
      <c r="P171" s="14" t="s">
        <v>5015</v>
      </c>
      <c r="Q171" s="17" t="s">
        <v>137</v>
      </c>
      <c r="R171" s="17" t="s">
        <v>146</v>
      </c>
    </row>
    <row r="172" spans="1:18" x14ac:dyDescent="0.3">
      <c r="A172" s="12" t="s">
        <v>5016</v>
      </c>
      <c r="B172" s="12" t="s">
        <v>12</v>
      </c>
      <c r="C172" s="12"/>
      <c r="D172" s="12" t="s">
        <v>12</v>
      </c>
      <c r="E172" s="12" t="s">
        <v>5017</v>
      </c>
      <c r="F172" s="12" t="s">
        <v>1311</v>
      </c>
      <c r="G172" s="12" t="s">
        <v>569</v>
      </c>
      <c r="H172" s="12" t="s">
        <v>38</v>
      </c>
      <c r="I172" s="12" t="s">
        <v>26</v>
      </c>
      <c r="J172" s="13" t="s">
        <v>570</v>
      </c>
      <c r="K172" s="14" t="s">
        <v>5018</v>
      </c>
      <c r="L172" s="15">
        <v>2</v>
      </c>
      <c r="M172" s="15" t="s">
        <v>144</v>
      </c>
      <c r="N172" s="16">
        <v>40896</v>
      </c>
      <c r="O172" s="12" t="s">
        <v>5016</v>
      </c>
      <c r="P172" s="14" t="s">
        <v>5019</v>
      </c>
      <c r="Q172" s="17" t="s">
        <v>137</v>
      </c>
      <c r="R172" s="17" t="s">
        <v>146</v>
      </c>
    </row>
    <row r="173" spans="1:18" x14ac:dyDescent="0.3">
      <c r="A173" s="12" t="s">
        <v>5020</v>
      </c>
      <c r="B173" s="12" t="s">
        <v>12</v>
      </c>
      <c r="C173" s="12"/>
      <c r="D173" s="12" t="s">
        <v>12</v>
      </c>
      <c r="E173" s="12" t="s">
        <v>5021</v>
      </c>
      <c r="F173" s="12"/>
      <c r="G173" s="12" t="s">
        <v>569</v>
      </c>
      <c r="H173" s="12" t="s">
        <v>38</v>
      </c>
      <c r="I173" s="12" t="s">
        <v>26</v>
      </c>
      <c r="J173" s="13" t="s">
        <v>570</v>
      </c>
      <c r="K173" s="14" t="s">
        <v>5022</v>
      </c>
      <c r="L173" s="15">
        <v>2</v>
      </c>
      <c r="M173" s="15" t="s">
        <v>144</v>
      </c>
      <c r="N173" s="16">
        <v>39686</v>
      </c>
      <c r="O173" s="12" t="s">
        <v>5020</v>
      </c>
      <c r="P173" s="14" t="s">
        <v>5023</v>
      </c>
      <c r="Q173" s="17" t="s">
        <v>137</v>
      </c>
      <c r="R173" s="17" t="s">
        <v>146</v>
      </c>
    </row>
    <row r="174" spans="1:18" x14ac:dyDescent="0.3">
      <c r="A174" s="12" t="s">
        <v>5024</v>
      </c>
      <c r="B174" s="12" t="s">
        <v>12</v>
      </c>
      <c r="C174" s="12"/>
      <c r="D174" s="12" t="s">
        <v>12</v>
      </c>
      <c r="E174" s="12" t="s">
        <v>589</v>
      </c>
      <c r="F174" s="12" t="s">
        <v>1311</v>
      </c>
      <c r="G174" s="12" t="s">
        <v>569</v>
      </c>
      <c r="H174" s="12" t="s">
        <v>38</v>
      </c>
      <c r="I174" s="12" t="s">
        <v>26</v>
      </c>
      <c r="J174" s="13" t="s">
        <v>570</v>
      </c>
      <c r="K174" s="14" t="s">
        <v>5025</v>
      </c>
      <c r="L174" s="15">
        <v>2</v>
      </c>
      <c r="M174" s="15" t="s">
        <v>144</v>
      </c>
      <c r="N174" s="16">
        <v>39282</v>
      </c>
      <c r="O174" s="12" t="s">
        <v>5024</v>
      </c>
      <c r="P174" s="14" t="s">
        <v>5026</v>
      </c>
      <c r="Q174" s="17" t="s">
        <v>137</v>
      </c>
      <c r="R174" s="17" t="s">
        <v>146</v>
      </c>
    </row>
    <row r="175" spans="1:18" x14ac:dyDescent="0.3">
      <c r="A175" s="12" t="s">
        <v>5027</v>
      </c>
      <c r="B175" s="12" t="s">
        <v>12</v>
      </c>
      <c r="C175" s="12"/>
      <c r="D175" s="12" t="s">
        <v>12</v>
      </c>
      <c r="E175" s="12" t="s">
        <v>5028</v>
      </c>
      <c r="F175" s="12"/>
      <c r="G175" s="12" t="s">
        <v>569</v>
      </c>
      <c r="H175" s="12" t="s">
        <v>38</v>
      </c>
      <c r="I175" s="12" t="s">
        <v>26</v>
      </c>
      <c r="J175" s="13" t="s">
        <v>570</v>
      </c>
      <c r="K175" s="14" t="s">
        <v>5029</v>
      </c>
      <c r="L175" s="15">
        <v>3</v>
      </c>
      <c r="M175" s="15" t="s">
        <v>144</v>
      </c>
      <c r="N175" s="16">
        <v>40700</v>
      </c>
      <c r="O175" s="12" t="s">
        <v>5027</v>
      </c>
      <c r="P175" s="14" t="s">
        <v>5030</v>
      </c>
      <c r="Q175" s="17" t="s">
        <v>137</v>
      </c>
      <c r="R175" s="17" t="s">
        <v>146</v>
      </c>
    </row>
    <row r="176" spans="1:18" x14ac:dyDescent="0.3">
      <c r="A176" s="12" t="s">
        <v>5031</v>
      </c>
      <c r="B176" s="12" t="s">
        <v>12</v>
      </c>
      <c r="C176" s="12"/>
      <c r="D176" s="12" t="s">
        <v>12</v>
      </c>
      <c r="E176" s="12" t="s">
        <v>5032</v>
      </c>
      <c r="F176" s="12"/>
      <c r="G176" s="12" t="s">
        <v>569</v>
      </c>
      <c r="H176" s="12" t="s">
        <v>38</v>
      </c>
      <c r="I176" s="12" t="s">
        <v>26</v>
      </c>
      <c r="J176" s="13" t="s">
        <v>570</v>
      </c>
      <c r="K176" s="14" t="s">
        <v>5033</v>
      </c>
      <c r="L176" s="15">
        <v>1</v>
      </c>
      <c r="M176" s="15" t="s">
        <v>144</v>
      </c>
      <c r="N176" s="16">
        <v>40940</v>
      </c>
      <c r="O176" s="12" t="s">
        <v>5034</v>
      </c>
      <c r="P176" s="14" t="s">
        <v>5035</v>
      </c>
      <c r="Q176" s="17" t="s">
        <v>137</v>
      </c>
      <c r="R176" s="17" t="s">
        <v>146</v>
      </c>
    </row>
    <row r="177" spans="1:18" x14ac:dyDescent="0.3">
      <c r="A177" s="12" t="s">
        <v>5036</v>
      </c>
      <c r="B177" s="12" t="s">
        <v>12</v>
      </c>
      <c r="C177" s="12"/>
      <c r="D177" s="12" t="s">
        <v>12</v>
      </c>
      <c r="E177" s="12" t="s">
        <v>578</v>
      </c>
      <c r="F177" s="12" t="s">
        <v>345</v>
      </c>
      <c r="G177" s="12" t="s">
        <v>569</v>
      </c>
      <c r="H177" s="12" t="s">
        <v>38</v>
      </c>
      <c r="I177" s="12" t="s">
        <v>26</v>
      </c>
      <c r="J177" s="13" t="s">
        <v>570</v>
      </c>
      <c r="K177" s="14" t="s">
        <v>579</v>
      </c>
      <c r="L177" s="15">
        <v>3</v>
      </c>
      <c r="M177" s="15" t="s">
        <v>144</v>
      </c>
      <c r="N177" s="16">
        <v>43872</v>
      </c>
      <c r="O177" s="12" t="s">
        <v>5036</v>
      </c>
      <c r="P177" s="14" t="s">
        <v>5037</v>
      </c>
      <c r="Q177" s="17" t="s">
        <v>137</v>
      </c>
      <c r="R177" s="17" t="s">
        <v>146</v>
      </c>
    </row>
    <row r="178" spans="1:18" x14ac:dyDescent="0.3">
      <c r="A178" s="12" t="s">
        <v>5038</v>
      </c>
      <c r="B178" s="12" t="s">
        <v>12</v>
      </c>
      <c r="C178" s="12"/>
      <c r="D178" s="12" t="s">
        <v>12</v>
      </c>
      <c r="E178" s="12" t="s">
        <v>5039</v>
      </c>
      <c r="F178" s="12"/>
      <c r="G178" s="12" t="s">
        <v>569</v>
      </c>
      <c r="H178" s="12" t="s">
        <v>38</v>
      </c>
      <c r="I178" s="12" t="s">
        <v>26</v>
      </c>
      <c r="J178" s="13" t="s">
        <v>596</v>
      </c>
      <c r="K178" s="14" t="s">
        <v>5040</v>
      </c>
      <c r="L178" s="15">
        <v>1</v>
      </c>
      <c r="M178" s="15" t="s">
        <v>144</v>
      </c>
      <c r="N178" s="16">
        <v>41303</v>
      </c>
      <c r="O178" s="12" t="s">
        <v>5038</v>
      </c>
      <c r="P178" s="14" t="s">
        <v>5041</v>
      </c>
      <c r="Q178" s="17" t="s">
        <v>137</v>
      </c>
      <c r="R178" s="17" t="s">
        <v>146</v>
      </c>
    </row>
    <row r="179" spans="1:18" x14ac:dyDescent="0.3">
      <c r="A179" s="12" t="s">
        <v>5042</v>
      </c>
      <c r="B179" s="12" t="s">
        <v>12</v>
      </c>
      <c r="C179" s="12"/>
      <c r="D179" s="12" t="s">
        <v>12</v>
      </c>
      <c r="E179" s="12" t="s">
        <v>5043</v>
      </c>
      <c r="F179" s="12"/>
      <c r="G179" s="12" t="s">
        <v>569</v>
      </c>
      <c r="H179" s="12" t="s">
        <v>38</v>
      </c>
      <c r="I179" s="12" t="s">
        <v>26</v>
      </c>
      <c r="J179" s="13" t="s">
        <v>570</v>
      </c>
      <c r="K179" s="14" t="s">
        <v>5044</v>
      </c>
      <c r="L179" s="15">
        <v>1</v>
      </c>
      <c r="M179" s="15" t="s">
        <v>144</v>
      </c>
      <c r="N179" s="16">
        <v>40974</v>
      </c>
      <c r="O179" s="12" t="s">
        <v>5045</v>
      </c>
      <c r="P179" s="14" t="s">
        <v>5046</v>
      </c>
      <c r="Q179" s="17" t="s">
        <v>137</v>
      </c>
      <c r="R179" s="17" t="s">
        <v>146</v>
      </c>
    </row>
    <row r="180" spans="1:18" x14ac:dyDescent="0.3">
      <c r="A180" s="12" t="s">
        <v>4959</v>
      </c>
      <c r="B180" s="12" t="s">
        <v>14</v>
      </c>
      <c r="C180" s="12"/>
      <c r="D180" s="12" t="s">
        <v>14</v>
      </c>
      <c r="E180" s="12" t="s">
        <v>589</v>
      </c>
      <c r="F180" s="12" t="s">
        <v>359</v>
      </c>
      <c r="G180" s="12" t="s">
        <v>569</v>
      </c>
      <c r="H180" s="12" t="s">
        <v>38</v>
      </c>
      <c r="I180" s="12" t="s">
        <v>26</v>
      </c>
      <c r="J180" s="13" t="s">
        <v>570</v>
      </c>
      <c r="K180" s="14" t="s">
        <v>5047</v>
      </c>
      <c r="L180" s="15">
        <v>0</v>
      </c>
      <c r="M180" s="15" t="s">
        <v>144</v>
      </c>
      <c r="N180" s="16">
        <v>39619</v>
      </c>
      <c r="O180" s="12" t="s">
        <v>4962</v>
      </c>
      <c r="P180" s="14" t="s">
        <v>5048</v>
      </c>
      <c r="Q180" s="17" t="s">
        <v>137</v>
      </c>
      <c r="R180" s="17" t="s">
        <v>146</v>
      </c>
    </row>
    <row r="181" spans="1:18" x14ac:dyDescent="0.3">
      <c r="A181" s="12" t="s">
        <v>5049</v>
      </c>
      <c r="B181" s="12" t="s">
        <v>12</v>
      </c>
      <c r="C181" s="12"/>
      <c r="D181" s="12" t="s">
        <v>12</v>
      </c>
      <c r="E181" s="12" t="s">
        <v>621</v>
      </c>
      <c r="F181" s="12"/>
      <c r="G181" s="12" t="s">
        <v>569</v>
      </c>
      <c r="H181" s="12" t="s">
        <v>38</v>
      </c>
      <c r="I181" s="12" t="s">
        <v>26</v>
      </c>
      <c r="J181" s="13" t="s">
        <v>570</v>
      </c>
      <c r="K181" s="14" t="s">
        <v>622</v>
      </c>
      <c r="L181" s="15">
        <v>8</v>
      </c>
      <c r="M181" s="15" t="s">
        <v>144</v>
      </c>
      <c r="N181" s="16">
        <v>39349</v>
      </c>
      <c r="O181" s="12" t="s">
        <v>5050</v>
      </c>
      <c r="P181" s="14" t="s">
        <v>5051</v>
      </c>
      <c r="Q181" s="17" t="s">
        <v>137</v>
      </c>
      <c r="R181" s="17" t="s">
        <v>146</v>
      </c>
    </row>
    <row r="182" spans="1:18" x14ac:dyDescent="0.3">
      <c r="A182" s="12" t="s">
        <v>5052</v>
      </c>
      <c r="B182" s="12" t="s">
        <v>12</v>
      </c>
      <c r="C182" s="12"/>
      <c r="D182" s="12" t="s">
        <v>12</v>
      </c>
      <c r="E182" s="12" t="s">
        <v>5053</v>
      </c>
      <c r="F182" s="12"/>
      <c r="G182" s="12" t="s">
        <v>569</v>
      </c>
      <c r="H182" s="12" t="s">
        <v>38</v>
      </c>
      <c r="I182" s="12" t="s">
        <v>26</v>
      </c>
      <c r="J182" s="13" t="s">
        <v>596</v>
      </c>
      <c r="K182" s="14" t="s">
        <v>5054</v>
      </c>
      <c r="L182" s="15">
        <v>0</v>
      </c>
      <c r="M182" s="15" t="s">
        <v>144</v>
      </c>
      <c r="N182" s="16">
        <v>44425</v>
      </c>
      <c r="O182" s="12" t="s">
        <v>5052</v>
      </c>
      <c r="P182" s="14" t="s">
        <v>5055</v>
      </c>
      <c r="Q182" s="17" t="s">
        <v>137</v>
      </c>
      <c r="R182" s="17" t="s">
        <v>146</v>
      </c>
    </row>
    <row r="183" spans="1:18" x14ac:dyDescent="0.3">
      <c r="A183" s="12" t="s">
        <v>5056</v>
      </c>
      <c r="B183" s="12" t="s">
        <v>12</v>
      </c>
      <c r="C183" s="12"/>
      <c r="D183" s="12" t="s">
        <v>12</v>
      </c>
      <c r="E183" s="12" t="s">
        <v>5057</v>
      </c>
      <c r="F183" s="12" t="s">
        <v>293</v>
      </c>
      <c r="G183" s="12" t="s">
        <v>569</v>
      </c>
      <c r="H183" s="12" t="s">
        <v>38</v>
      </c>
      <c r="I183" s="12" t="s">
        <v>26</v>
      </c>
      <c r="J183" s="13" t="s">
        <v>596</v>
      </c>
      <c r="K183" s="14" t="s">
        <v>5058</v>
      </c>
      <c r="L183" s="15">
        <v>2</v>
      </c>
      <c r="M183" s="15" t="s">
        <v>144</v>
      </c>
      <c r="N183" s="16">
        <v>44065</v>
      </c>
      <c r="O183" s="12" t="s">
        <v>5056</v>
      </c>
      <c r="P183" s="14" t="s">
        <v>5059</v>
      </c>
      <c r="Q183" s="17" t="s">
        <v>137</v>
      </c>
      <c r="R183" s="17" t="s">
        <v>146</v>
      </c>
    </row>
    <row r="184" spans="1:18" x14ac:dyDescent="0.3">
      <c r="A184" s="12" t="s">
        <v>5060</v>
      </c>
      <c r="B184" s="12" t="s">
        <v>12</v>
      </c>
      <c r="C184" s="12"/>
      <c r="D184" s="12" t="s">
        <v>12</v>
      </c>
      <c r="E184" s="12" t="s">
        <v>5061</v>
      </c>
      <c r="F184" s="12" t="s">
        <v>164</v>
      </c>
      <c r="G184" s="12" t="s">
        <v>569</v>
      </c>
      <c r="H184" s="12" t="s">
        <v>38</v>
      </c>
      <c r="I184" s="12" t="s">
        <v>26</v>
      </c>
      <c r="J184" s="13" t="s">
        <v>570</v>
      </c>
      <c r="K184" s="14" t="s">
        <v>5062</v>
      </c>
      <c r="L184" s="15">
        <v>1</v>
      </c>
      <c r="M184" s="15" t="s">
        <v>144</v>
      </c>
      <c r="N184" s="16">
        <v>44065</v>
      </c>
      <c r="O184" s="12" t="s">
        <v>5060</v>
      </c>
      <c r="P184" s="14" t="s">
        <v>5063</v>
      </c>
      <c r="Q184" s="17" t="s">
        <v>137</v>
      </c>
      <c r="R184" s="17" t="s">
        <v>146</v>
      </c>
    </row>
    <row r="185" spans="1:18" x14ac:dyDescent="0.3">
      <c r="A185" s="12" t="s">
        <v>5064</v>
      </c>
      <c r="B185" s="12" t="s">
        <v>12</v>
      </c>
      <c r="C185" s="12"/>
      <c r="D185" s="12" t="s">
        <v>12</v>
      </c>
      <c r="E185" s="12" t="s">
        <v>586</v>
      </c>
      <c r="F185" s="12" t="s">
        <v>5065</v>
      </c>
      <c r="G185" s="12" t="s">
        <v>569</v>
      </c>
      <c r="H185" s="12" t="s">
        <v>38</v>
      </c>
      <c r="I185" s="12" t="s">
        <v>26</v>
      </c>
      <c r="J185" s="13" t="s">
        <v>570</v>
      </c>
      <c r="K185" s="14" t="s">
        <v>5066</v>
      </c>
      <c r="L185" s="15">
        <v>9</v>
      </c>
      <c r="M185" s="15" t="s">
        <v>144</v>
      </c>
      <c r="N185" s="16">
        <v>41732</v>
      </c>
      <c r="O185" s="12" t="s">
        <v>5064</v>
      </c>
      <c r="P185" s="14" t="s">
        <v>5067</v>
      </c>
      <c r="Q185" s="17" t="s">
        <v>137</v>
      </c>
      <c r="R185" s="17" t="s">
        <v>146</v>
      </c>
    </row>
    <row r="186" spans="1:18" x14ac:dyDescent="0.3">
      <c r="A186" s="12" t="s">
        <v>5068</v>
      </c>
      <c r="B186" s="12" t="s">
        <v>12</v>
      </c>
      <c r="C186" s="12" t="s">
        <v>14</v>
      </c>
      <c r="D186" s="12" t="s">
        <v>180</v>
      </c>
      <c r="E186" s="12" t="s">
        <v>586</v>
      </c>
      <c r="F186" s="12" t="s">
        <v>447</v>
      </c>
      <c r="G186" s="12" t="s">
        <v>569</v>
      </c>
      <c r="H186" s="12" t="s">
        <v>38</v>
      </c>
      <c r="I186" s="12" t="s">
        <v>26</v>
      </c>
      <c r="J186" s="13" t="s">
        <v>570</v>
      </c>
      <c r="K186" s="14" t="s">
        <v>5066</v>
      </c>
      <c r="L186" s="15">
        <v>16</v>
      </c>
      <c r="M186" s="15" t="s">
        <v>144</v>
      </c>
      <c r="N186" s="16">
        <v>41754</v>
      </c>
      <c r="O186" s="12" t="s">
        <v>5069</v>
      </c>
      <c r="P186" s="14" t="s">
        <v>5070</v>
      </c>
      <c r="Q186" s="17" t="s">
        <v>137</v>
      </c>
      <c r="R186" s="17" t="s">
        <v>146</v>
      </c>
    </row>
    <row r="187" spans="1:18" x14ac:dyDescent="0.3">
      <c r="A187" s="12" t="s">
        <v>5071</v>
      </c>
      <c r="B187" s="12" t="s">
        <v>14</v>
      </c>
      <c r="C187" s="12"/>
      <c r="D187" s="12" t="s">
        <v>14</v>
      </c>
      <c r="E187" s="12" t="s">
        <v>5072</v>
      </c>
      <c r="F187" s="12" t="s">
        <v>5073</v>
      </c>
      <c r="G187" s="12" t="s">
        <v>569</v>
      </c>
      <c r="H187" s="12" t="s">
        <v>38</v>
      </c>
      <c r="I187" s="12" t="s">
        <v>26</v>
      </c>
      <c r="J187" s="13" t="s">
        <v>596</v>
      </c>
      <c r="K187" s="14" t="s">
        <v>5074</v>
      </c>
      <c r="L187" s="15">
        <v>0</v>
      </c>
      <c r="M187" s="15" t="s">
        <v>144</v>
      </c>
      <c r="N187" s="16">
        <v>40049</v>
      </c>
      <c r="O187" s="12" t="s">
        <v>5071</v>
      </c>
      <c r="P187" s="14" t="s">
        <v>5075</v>
      </c>
      <c r="Q187" s="17" t="s">
        <v>137</v>
      </c>
      <c r="R187" s="17" t="s">
        <v>146</v>
      </c>
    </row>
    <row r="188" spans="1:18" x14ac:dyDescent="0.3">
      <c r="A188" s="12" t="s">
        <v>5076</v>
      </c>
      <c r="B188" s="12" t="s">
        <v>14</v>
      </c>
      <c r="C188" s="12"/>
      <c r="D188" s="12" t="s">
        <v>14</v>
      </c>
      <c r="E188" s="12" t="s">
        <v>5009</v>
      </c>
      <c r="F188" s="12"/>
      <c r="G188" s="12" t="s">
        <v>569</v>
      </c>
      <c r="H188" s="12" t="s">
        <v>38</v>
      </c>
      <c r="I188" s="12" t="s">
        <v>26</v>
      </c>
      <c r="J188" s="13" t="s">
        <v>570</v>
      </c>
      <c r="K188" s="14" t="s">
        <v>5077</v>
      </c>
      <c r="L188" s="15">
        <v>0</v>
      </c>
      <c r="M188" s="15" t="s">
        <v>144</v>
      </c>
      <c r="N188" s="16">
        <v>40324</v>
      </c>
      <c r="O188" s="12" t="s">
        <v>5076</v>
      </c>
      <c r="P188" s="14" t="s">
        <v>5078</v>
      </c>
      <c r="Q188" s="17" t="s">
        <v>137</v>
      </c>
      <c r="R188" s="17" t="s">
        <v>146</v>
      </c>
    </row>
    <row r="189" spans="1:18" x14ac:dyDescent="0.3">
      <c r="A189" s="12" t="s">
        <v>5079</v>
      </c>
      <c r="B189" s="12" t="s">
        <v>12</v>
      </c>
      <c r="C189" s="12"/>
      <c r="D189" s="12" t="s">
        <v>12</v>
      </c>
      <c r="E189" s="12" t="s">
        <v>5080</v>
      </c>
      <c r="F189" s="12"/>
      <c r="G189" s="12" t="s">
        <v>569</v>
      </c>
      <c r="H189" s="12" t="s">
        <v>38</v>
      </c>
      <c r="I189" s="12" t="s">
        <v>26</v>
      </c>
      <c r="J189" s="13" t="s">
        <v>570</v>
      </c>
      <c r="K189" s="14" t="s">
        <v>5081</v>
      </c>
      <c r="L189" s="15">
        <v>1</v>
      </c>
      <c r="M189" s="15" t="s">
        <v>144</v>
      </c>
      <c r="N189" s="16">
        <v>40452</v>
      </c>
      <c r="O189" s="12" t="s">
        <v>5079</v>
      </c>
      <c r="P189" s="14" t="s">
        <v>5082</v>
      </c>
      <c r="Q189" s="17" t="s">
        <v>137</v>
      </c>
      <c r="R189" s="17" t="s">
        <v>146</v>
      </c>
    </row>
    <row r="190" spans="1:18" x14ac:dyDescent="0.3">
      <c r="A190" s="12" t="s">
        <v>5083</v>
      </c>
      <c r="B190" s="12" t="s">
        <v>14</v>
      </c>
      <c r="C190" s="12"/>
      <c r="D190" s="12" t="s">
        <v>14</v>
      </c>
      <c r="E190" s="12" t="s">
        <v>5009</v>
      </c>
      <c r="F190" s="12" t="s">
        <v>5084</v>
      </c>
      <c r="G190" s="12" t="s">
        <v>569</v>
      </c>
      <c r="H190" s="12" t="s">
        <v>38</v>
      </c>
      <c r="I190" s="12" t="s">
        <v>26</v>
      </c>
      <c r="J190" s="13" t="s">
        <v>570</v>
      </c>
      <c r="K190" s="14" t="s">
        <v>5085</v>
      </c>
      <c r="L190" s="15">
        <v>0</v>
      </c>
      <c r="M190" s="15" t="s">
        <v>144</v>
      </c>
      <c r="N190" s="16">
        <v>39622</v>
      </c>
      <c r="O190" s="12" t="s">
        <v>5083</v>
      </c>
      <c r="P190" s="14" t="s">
        <v>5086</v>
      </c>
      <c r="Q190" s="17" t="s">
        <v>137</v>
      </c>
      <c r="R190" s="17" t="s">
        <v>146</v>
      </c>
    </row>
    <row r="191" spans="1:18" x14ac:dyDescent="0.3">
      <c r="A191" s="12" t="s">
        <v>5087</v>
      </c>
      <c r="B191" s="12" t="s">
        <v>12</v>
      </c>
      <c r="C191" s="12"/>
      <c r="D191" s="12" t="s">
        <v>12</v>
      </c>
      <c r="E191" s="12" t="s">
        <v>5088</v>
      </c>
      <c r="F191" s="12"/>
      <c r="G191" s="12" t="s">
        <v>569</v>
      </c>
      <c r="H191" s="12" t="s">
        <v>38</v>
      </c>
      <c r="I191" s="12" t="s">
        <v>26</v>
      </c>
      <c r="J191" s="13" t="s">
        <v>596</v>
      </c>
      <c r="K191" s="14" t="s">
        <v>5089</v>
      </c>
      <c r="L191" s="15">
        <v>1</v>
      </c>
      <c r="M191" s="15" t="s">
        <v>144</v>
      </c>
      <c r="N191" s="16">
        <v>41617</v>
      </c>
      <c r="O191" s="12" t="s">
        <v>5087</v>
      </c>
      <c r="P191" s="14" t="s">
        <v>5090</v>
      </c>
      <c r="Q191" s="17" t="s">
        <v>137</v>
      </c>
      <c r="R191" s="17" t="s">
        <v>146</v>
      </c>
    </row>
    <row r="192" spans="1:18" x14ac:dyDescent="0.3">
      <c r="A192" s="12" t="s">
        <v>5091</v>
      </c>
      <c r="B192" s="12" t="s">
        <v>12</v>
      </c>
      <c r="C192" s="12"/>
      <c r="D192" s="12" t="s">
        <v>12</v>
      </c>
      <c r="E192" s="12" t="s">
        <v>5092</v>
      </c>
      <c r="F192" s="12"/>
      <c r="G192" s="12" t="s">
        <v>569</v>
      </c>
      <c r="H192" s="12" t="s">
        <v>38</v>
      </c>
      <c r="I192" s="12" t="s">
        <v>26</v>
      </c>
      <c r="J192" s="13" t="s">
        <v>570</v>
      </c>
      <c r="K192" s="14" t="s">
        <v>5093</v>
      </c>
      <c r="L192" s="15">
        <v>2</v>
      </c>
      <c r="M192" s="15" t="s">
        <v>144</v>
      </c>
      <c r="N192" s="16">
        <v>44065</v>
      </c>
      <c r="O192" s="12" t="s">
        <v>5091</v>
      </c>
      <c r="P192" s="14" t="s">
        <v>5094</v>
      </c>
      <c r="Q192" s="17" t="s">
        <v>137</v>
      </c>
      <c r="R192" s="17" t="s">
        <v>146</v>
      </c>
    </row>
    <row r="193" spans="1:18" x14ac:dyDescent="0.3">
      <c r="A193" s="12" t="s">
        <v>5095</v>
      </c>
      <c r="B193" s="12" t="s">
        <v>12</v>
      </c>
      <c r="C193" s="12"/>
      <c r="D193" s="12" t="s">
        <v>12</v>
      </c>
      <c r="E193" s="12" t="s">
        <v>5096</v>
      </c>
      <c r="F193" s="12" t="s">
        <v>1270</v>
      </c>
      <c r="G193" s="12" t="s">
        <v>569</v>
      </c>
      <c r="H193" s="12" t="s">
        <v>38</v>
      </c>
      <c r="I193" s="12" t="s">
        <v>26</v>
      </c>
      <c r="J193" s="13" t="s">
        <v>570</v>
      </c>
      <c r="K193" s="14" t="s">
        <v>5097</v>
      </c>
      <c r="L193" s="15">
        <v>2</v>
      </c>
      <c r="M193" s="15" t="s">
        <v>144</v>
      </c>
      <c r="N193" s="16">
        <v>41303</v>
      </c>
      <c r="O193" s="12" t="s">
        <v>5095</v>
      </c>
      <c r="P193" s="14" t="s">
        <v>5098</v>
      </c>
      <c r="Q193" s="17" t="s">
        <v>137</v>
      </c>
      <c r="R193" s="17" t="s">
        <v>146</v>
      </c>
    </row>
    <row r="194" spans="1:18" x14ac:dyDescent="0.3">
      <c r="A194" s="12" t="s">
        <v>5099</v>
      </c>
      <c r="B194" s="12" t="s">
        <v>12</v>
      </c>
      <c r="C194" s="12"/>
      <c r="D194" s="12" t="s">
        <v>12</v>
      </c>
      <c r="E194" s="12" t="s">
        <v>5061</v>
      </c>
      <c r="F194" s="12" t="s">
        <v>5100</v>
      </c>
      <c r="G194" s="12" t="s">
        <v>569</v>
      </c>
      <c r="H194" s="12" t="s">
        <v>38</v>
      </c>
      <c r="I194" s="12" t="s">
        <v>26</v>
      </c>
      <c r="J194" s="13" t="s">
        <v>570</v>
      </c>
      <c r="K194" s="14" t="s">
        <v>5101</v>
      </c>
      <c r="L194" s="15">
        <v>1</v>
      </c>
      <c r="M194" s="15" t="s">
        <v>144</v>
      </c>
      <c r="N194" s="16">
        <v>42299</v>
      </c>
      <c r="O194" s="12" t="s">
        <v>5099</v>
      </c>
      <c r="P194" s="14" t="s">
        <v>5102</v>
      </c>
      <c r="Q194" s="17" t="s">
        <v>137</v>
      </c>
      <c r="R194" s="17" t="s">
        <v>146</v>
      </c>
    </row>
    <row r="195" spans="1:18" x14ac:dyDescent="0.3">
      <c r="A195" s="12" t="s">
        <v>5103</v>
      </c>
      <c r="B195" s="12" t="s">
        <v>12</v>
      </c>
      <c r="C195" s="12"/>
      <c r="D195" s="12" t="s">
        <v>12</v>
      </c>
      <c r="E195" s="12" t="s">
        <v>5104</v>
      </c>
      <c r="F195" s="12" t="s">
        <v>164</v>
      </c>
      <c r="G195" s="12" t="s">
        <v>569</v>
      </c>
      <c r="H195" s="12" t="s">
        <v>38</v>
      </c>
      <c r="I195" s="12" t="s">
        <v>26</v>
      </c>
      <c r="J195" s="13" t="s">
        <v>570</v>
      </c>
      <c r="K195" s="14" t="s">
        <v>5105</v>
      </c>
      <c r="L195" s="15">
        <v>1</v>
      </c>
      <c r="M195" s="15" t="s">
        <v>144</v>
      </c>
      <c r="N195" s="16">
        <v>39365</v>
      </c>
      <c r="O195" s="12" t="s">
        <v>5106</v>
      </c>
      <c r="P195" s="14" t="s">
        <v>5107</v>
      </c>
      <c r="Q195" s="17" t="s">
        <v>137</v>
      </c>
      <c r="R195" s="17" t="s">
        <v>146</v>
      </c>
    </row>
    <row r="196" spans="1:18" x14ac:dyDescent="0.3">
      <c r="A196" s="12" t="s">
        <v>5108</v>
      </c>
      <c r="B196" s="12" t="s">
        <v>12</v>
      </c>
      <c r="C196" s="12"/>
      <c r="D196" s="12" t="s">
        <v>12</v>
      </c>
      <c r="E196" s="12" t="s">
        <v>589</v>
      </c>
      <c r="F196" s="12" t="s">
        <v>1311</v>
      </c>
      <c r="G196" s="12" t="s">
        <v>569</v>
      </c>
      <c r="H196" s="12" t="s">
        <v>38</v>
      </c>
      <c r="I196" s="12" t="s">
        <v>26</v>
      </c>
      <c r="J196" s="13" t="s">
        <v>570</v>
      </c>
      <c r="K196" s="14" t="s">
        <v>5025</v>
      </c>
      <c r="L196" s="15">
        <v>2</v>
      </c>
      <c r="M196" s="15" t="s">
        <v>144</v>
      </c>
      <c r="N196" s="16">
        <v>44065</v>
      </c>
      <c r="O196" s="12" t="s">
        <v>5108</v>
      </c>
      <c r="P196" s="14" t="s">
        <v>5109</v>
      </c>
      <c r="Q196" s="17" t="s">
        <v>137</v>
      </c>
      <c r="R196" s="17" t="s">
        <v>146</v>
      </c>
    </row>
    <row r="197" spans="1:18" x14ac:dyDescent="0.3">
      <c r="A197" s="12" t="s">
        <v>5110</v>
      </c>
      <c r="B197" s="12" t="s">
        <v>12</v>
      </c>
      <c r="C197" s="12"/>
      <c r="D197" s="12" t="s">
        <v>12</v>
      </c>
      <c r="E197" s="12" t="s">
        <v>594</v>
      </c>
      <c r="F197" s="12" t="s">
        <v>595</v>
      </c>
      <c r="G197" s="12" t="s">
        <v>569</v>
      </c>
      <c r="H197" s="12" t="s">
        <v>38</v>
      </c>
      <c r="I197" s="12" t="s">
        <v>26</v>
      </c>
      <c r="J197" s="13" t="s">
        <v>596</v>
      </c>
      <c r="K197" s="14" t="s">
        <v>5111</v>
      </c>
      <c r="L197" s="15">
        <v>3</v>
      </c>
      <c r="M197" s="15" t="s">
        <v>144</v>
      </c>
      <c r="N197" s="16">
        <v>42684</v>
      </c>
      <c r="O197" s="12" t="s">
        <v>5112</v>
      </c>
      <c r="P197" s="14" t="s">
        <v>5113</v>
      </c>
      <c r="Q197" s="17" t="s">
        <v>137</v>
      </c>
      <c r="R197" s="17" t="s">
        <v>146</v>
      </c>
    </row>
    <row r="198" spans="1:18" x14ac:dyDescent="0.3">
      <c r="A198" s="12" t="s">
        <v>439</v>
      </c>
      <c r="B198" s="12" t="s">
        <v>10</v>
      </c>
      <c r="C198" s="12"/>
      <c r="D198" s="12" t="s">
        <v>440</v>
      </c>
      <c r="E198" s="12" t="s">
        <v>5114</v>
      </c>
      <c r="F198" s="12" t="s">
        <v>188</v>
      </c>
      <c r="G198" s="12" t="s">
        <v>569</v>
      </c>
      <c r="H198" s="12" t="s">
        <v>38</v>
      </c>
      <c r="I198" s="12" t="s">
        <v>26</v>
      </c>
      <c r="J198" s="13" t="s">
        <v>570</v>
      </c>
      <c r="K198" s="14" t="s">
        <v>442</v>
      </c>
      <c r="L198" s="15">
        <v>7</v>
      </c>
      <c r="M198" s="15" t="s">
        <v>144</v>
      </c>
      <c r="N198" s="16">
        <v>44557</v>
      </c>
      <c r="O198" s="12" t="s">
        <v>443</v>
      </c>
      <c r="P198" s="14" t="s">
        <v>5115</v>
      </c>
      <c r="Q198" s="17" t="s">
        <v>137</v>
      </c>
      <c r="R198" s="17" t="s">
        <v>146</v>
      </c>
    </row>
    <row r="199" spans="1:18" x14ac:dyDescent="0.3">
      <c r="A199" s="12" t="s">
        <v>5116</v>
      </c>
      <c r="B199" s="12" t="s">
        <v>10</v>
      </c>
      <c r="C199" s="12"/>
      <c r="D199" s="12" t="s">
        <v>440</v>
      </c>
      <c r="E199" s="12" t="s">
        <v>5117</v>
      </c>
      <c r="F199" s="12"/>
      <c r="G199" s="12" t="s">
        <v>569</v>
      </c>
      <c r="H199" s="12" t="s">
        <v>38</v>
      </c>
      <c r="I199" s="12" t="s">
        <v>26</v>
      </c>
      <c r="J199" s="13" t="s">
        <v>570</v>
      </c>
      <c r="K199" s="14" t="s">
        <v>5118</v>
      </c>
      <c r="L199" s="15">
        <v>7</v>
      </c>
      <c r="M199" s="15" t="s">
        <v>144</v>
      </c>
      <c r="N199" s="16">
        <v>43889</v>
      </c>
      <c r="O199" s="12" t="s">
        <v>5119</v>
      </c>
      <c r="P199" s="14" t="s">
        <v>5120</v>
      </c>
      <c r="Q199" s="17" t="s">
        <v>137</v>
      </c>
      <c r="R199" s="17" t="s">
        <v>146</v>
      </c>
    </row>
    <row r="200" spans="1:18" x14ac:dyDescent="0.3">
      <c r="A200" s="12" t="s">
        <v>5121</v>
      </c>
      <c r="B200" s="12" t="s">
        <v>12</v>
      </c>
      <c r="C200" s="12"/>
      <c r="D200" s="12" t="s">
        <v>12</v>
      </c>
      <c r="E200" s="12" t="s">
        <v>5122</v>
      </c>
      <c r="F200" s="12"/>
      <c r="G200" s="12" t="s">
        <v>569</v>
      </c>
      <c r="H200" s="12" t="s">
        <v>38</v>
      </c>
      <c r="I200" s="12" t="s">
        <v>26</v>
      </c>
      <c r="J200" s="13" t="s">
        <v>570</v>
      </c>
      <c r="K200" s="14" t="s">
        <v>5123</v>
      </c>
      <c r="L200" s="15">
        <v>1</v>
      </c>
      <c r="M200" s="15" t="s">
        <v>144</v>
      </c>
      <c r="N200" s="16">
        <v>41326</v>
      </c>
      <c r="O200" s="12" t="s">
        <v>5121</v>
      </c>
      <c r="P200" s="14" t="s">
        <v>5124</v>
      </c>
      <c r="Q200" s="17" t="s">
        <v>137</v>
      </c>
      <c r="R200" s="17" t="s">
        <v>146</v>
      </c>
    </row>
    <row r="201" spans="1:18" x14ac:dyDescent="0.3">
      <c r="A201" s="12" t="s">
        <v>5125</v>
      </c>
      <c r="B201" s="12" t="s">
        <v>12</v>
      </c>
      <c r="C201" s="12"/>
      <c r="D201" s="12" t="s">
        <v>12</v>
      </c>
      <c r="E201" s="12" t="s">
        <v>5126</v>
      </c>
      <c r="F201" s="12" t="s">
        <v>5127</v>
      </c>
      <c r="G201" s="12" t="s">
        <v>670</v>
      </c>
      <c r="H201" s="12" t="s">
        <v>38</v>
      </c>
      <c r="I201" s="12" t="s">
        <v>26</v>
      </c>
      <c r="J201" s="13" t="s">
        <v>678</v>
      </c>
      <c r="K201" s="14" t="s">
        <v>5128</v>
      </c>
      <c r="L201" s="15">
        <v>7</v>
      </c>
      <c r="M201" s="15" t="s">
        <v>144</v>
      </c>
      <c r="N201" s="16">
        <v>44065</v>
      </c>
      <c r="O201" s="12" t="s">
        <v>5125</v>
      </c>
      <c r="P201" s="14" t="s">
        <v>5129</v>
      </c>
      <c r="Q201" s="17" t="s">
        <v>137</v>
      </c>
      <c r="R201" s="17" t="s">
        <v>146</v>
      </c>
    </row>
    <row r="202" spans="1:18" x14ac:dyDescent="0.3">
      <c r="A202" s="12" t="s">
        <v>5130</v>
      </c>
      <c r="B202" s="12" t="s">
        <v>12</v>
      </c>
      <c r="C202" s="12"/>
      <c r="D202" s="12" t="s">
        <v>12</v>
      </c>
      <c r="E202" s="12" t="s">
        <v>5131</v>
      </c>
      <c r="F202" s="12" t="s">
        <v>1275</v>
      </c>
      <c r="G202" s="12" t="s">
        <v>670</v>
      </c>
      <c r="H202" s="12" t="s">
        <v>38</v>
      </c>
      <c r="I202" s="12" t="s">
        <v>26</v>
      </c>
      <c r="J202" s="13" t="s">
        <v>678</v>
      </c>
      <c r="K202" s="14" t="s">
        <v>5132</v>
      </c>
      <c r="L202" s="15">
        <v>4</v>
      </c>
      <c r="M202" s="15" t="s">
        <v>144</v>
      </c>
      <c r="N202" s="16">
        <v>39932</v>
      </c>
      <c r="O202" s="12" t="s">
        <v>5130</v>
      </c>
      <c r="P202" s="14" t="s">
        <v>5133</v>
      </c>
      <c r="Q202" s="17" t="s">
        <v>137</v>
      </c>
      <c r="R202" s="17" t="s">
        <v>146</v>
      </c>
    </row>
    <row r="203" spans="1:18" x14ac:dyDescent="0.3">
      <c r="A203" s="12" t="s">
        <v>5134</v>
      </c>
      <c r="B203" s="12" t="s">
        <v>12</v>
      </c>
      <c r="C203" s="12"/>
      <c r="D203" s="12" t="s">
        <v>12</v>
      </c>
      <c r="E203" s="12" t="s">
        <v>5135</v>
      </c>
      <c r="F203" s="12" t="s">
        <v>947</v>
      </c>
      <c r="G203" s="12" t="s">
        <v>670</v>
      </c>
      <c r="H203" s="12" t="s">
        <v>38</v>
      </c>
      <c r="I203" s="12" t="s">
        <v>26</v>
      </c>
      <c r="J203" s="13" t="s">
        <v>678</v>
      </c>
      <c r="K203" s="14" t="s">
        <v>5136</v>
      </c>
      <c r="L203" s="15">
        <v>2</v>
      </c>
      <c r="M203" s="15" t="s">
        <v>144</v>
      </c>
      <c r="N203" s="16">
        <v>44218</v>
      </c>
      <c r="O203" s="12" t="s">
        <v>5134</v>
      </c>
      <c r="P203" s="14" t="s">
        <v>5137</v>
      </c>
      <c r="Q203" s="17" t="s">
        <v>137</v>
      </c>
      <c r="R203" s="17" t="s">
        <v>146</v>
      </c>
    </row>
    <row r="204" spans="1:18" x14ac:dyDescent="0.3">
      <c r="A204" s="12" t="s">
        <v>5138</v>
      </c>
      <c r="B204" s="12" t="s">
        <v>12</v>
      </c>
      <c r="C204" s="12"/>
      <c r="D204" s="12" t="s">
        <v>12</v>
      </c>
      <c r="E204" s="12" t="s">
        <v>5139</v>
      </c>
      <c r="F204" s="12" t="s">
        <v>5140</v>
      </c>
      <c r="G204" s="12" t="s">
        <v>670</v>
      </c>
      <c r="H204" s="12" t="s">
        <v>38</v>
      </c>
      <c r="I204" s="12" t="s">
        <v>26</v>
      </c>
      <c r="J204" s="13" t="s">
        <v>678</v>
      </c>
      <c r="K204" s="14" t="s">
        <v>5141</v>
      </c>
      <c r="L204" s="15">
        <v>2</v>
      </c>
      <c r="M204" s="15" t="s">
        <v>144</v>
      </c>
      <c r="N204" s="16">
        <v>41429</v>
      </c>
      <c r="O204" s="12" t="s">
        <v>5138</v>
      </c>
      <c r="P204" s="14" t="s">
        <v>5142</v>
      </c>
      <c r="Q204" s="17" t="s">
        <v>137</v>
      </c>
      <c r="R204" s="17" t="s">
        <v>146</v>
      </c>
    </row>
    <row r="205" spans="1:18" x14ac:dyDescent="0.3">
      <c r="A205" s="12" t="s">
        <v>5143</v>
      </c>
      <c r="B205" s="12" t="s">
        <v>12</v>
      </c>
      <c r="C205" s="12"/>
      <c r="D205" s="12" t="s">
        <v>12</v>
      </c>
      <c r="E205" s="12" t="s">
        <v>5131</v>
      </c>
      <c r="F205" s="12" t="s">
        <v>1275</v>
      </c>
      <c r="G205" s="12" t="s">
        <v>670</v>
      </c>
      <c r="H205" s="12" t="s">
        <v>38</v>
      </c>
      <c r="I205" s="12" t="s">
        <v>26</v>
      </c>
      <c r="J205" s="13" t="s">
        <v>678</v>
      </c>
      <c r="K205" s="14" t="s">
        <v>5132</v>
      </c>
      <c r="L205" s="15">
        <v>4</v>
      </c>
      <c r="M205" s="15" t="s">
        <v>144</v>
      </c>
      <c r="N205" s="16">
        <v>40987</v>
      </c>
      <c r="O205" s="12" t="s">
        <v>5143</v>
      </c>
      <c r="P205" s="14" t="s">
        <v>5144</v>
      </c>
      <c r="Q205" s="17" t="s">
        <v>137</v>
      </c>
      <c r="R205" s="17" t="s">
        <v>146</v>
      </c>
    </row>
    <row r="206" spans="1:18" x14ac:dyDescent="0.3">
      <c r="A206" s="12" t="s">
        <v>5145</v>
      </c>
      <c r="B206" s="12" t="s">
        <v>12</v>
      </c>
      <c r="C206" s="12"/>
      <c r="D206" s="12" t="s">
        <v>12</v>
      </c>
      <c r="E206" s="12" t="s">
        <v>5146</v>
      </c>
      <c r="F206" s="12"/>
      <c r="G206" s="12" t="s">
        <v>670</v>
      </c>
      <c r="H206" s="12" t="s">
        <v>38</v>
      </c>
      <c r="I206" s="12" t="s">
        <v>26</v>
      </c>
      <c r="J206" s="13" t="s">
        <v>675</v>
      </c>
      <c r="K206" s="14" t="s">
        <v>5147</v>
      </c>
      <c r="L206" s="15">
        <v>2</v>
      </c>
      <c r="M206" s="15" t="s">
        <v>144</v>
      </c>
      <c r="N206" s="16">
        <v>43267</v>
      </c>
      <c r="O206" s="12" t="s">
        <v>5145</v>
      </c>
      <c r="P206" s="14" t="s">
        <v>5148</v>
      </c>
      <c r="Q206" s="17" t="s">
        <v>137</v>
      </c>
      <c r="R206" s="17" t="s">
        <v>146</v>
      </c>
    </row>
    <row r="207" spans="1:18" x14ac:dyDescent="0.3">
      <c r="A207" s="12" t="s">
        <v>5149</v>
      </c>
      <c r="B207" s="12" t="s">
        <v>12</v>
      </c>
      <c r="C207" s="12"/>
      <c r="D207" s="12" t="s">
        <v>12</v>
      </c>
      <c r="E207" s="12" t="s">
        <v>686</v>
      </c>
      <c r="F207" s="12" t="s">
        <v>359</v>
      </c>
      <c r="G207" s="12" t="s">
        <v>670</v>
      </c>
      <c r="H207" s="12" t="s">
        <v>38</v>
      </c>
      <c r="I207" s="12" t="s">
        <v>26</v>
      </c>
      <c r="J207" s="13" t="s">
        <v>678</v>
      </c>
      <c r="K207" s="14" t="s">
        <v>687</v>
      </c>
      <c r="L207" s="15">
        <v>3</v>
      </c>
      <c r="M207" s="15" t="s">
        <v>144</v>
      </c>
      <c r="N207" s="16">
        <v>39667</v>
      </c>
      <c r="O207" s="12" t="s">
        <v>5149</v>
      </c>
      <c r="P207" s="14" t="s">
        <v>5150</v>
      </c>
      <c r="Q207" s="17" t="s">
        <v>137</v>
      </c>
      <c r="R207" s="17" t="s">
        <v>146</v>
      </c>
    </row>
    <row r="208" spans="1:18" x14ac:dyDescent="0.3">
      <c r="A208" s="12" t="s">
        <v>5151</v>
      </c>
      <c r="B208" s="12" t="s">
        <v>12</v>
      </c>
      <c r="C208" s="12"/>
      <c r="D208" s="12" t="s">
        <v>12</v>
      </c>
      <c r="E208" s="12" t="s">
        <v>5152</v>
      </c>
      <c r="F208" s="12" t="s">
        <v>583</v>
      </c>
      <c r="G208" s="12" t="s">
        <v>670</v>
      </c>
      <c r="H208" s="12" t="s">
        <v>38</v>
      </c>
      <c r="I208" s="12" t="s">
        <v>26</v>
      </c>
      <c r="J208" s="13" t="s">
        <v>678</v>
      </c>
      <c r="K208" s="14" t="s">
        <v>5153</v>
      </c>
      <c r="L208" s="15">
        <v>0</v>
      </c>
      <c r="M208" s="15" t="s">
        <v>144</v>
      </c>
      <c r="N208" s="16">
        <v>44065</v>
      </c>
      <c r="O208" s="12" t="s">
        <v>5151</v>
      </c>
      <c r="P208" s="14" t="s">
        <v>5154</v>
      </c>
      <c r="Q208" s="17" t="s">
        <v>137</v>
      </c>
      <c r="R208" s="17" t="s">
        <v>146</v>
      </c>
    </row>
    <row r="209" spans="1:18" x14ac:dyDescent="0.3">
      <c r="A209" s="12" t="s">
        <v>5155</v>
      </c>
      <c r="B209" s="12" t="s">
        <v>12</v>
      </c>
      <c r="C209" s="12"/>
      <c r="D209" s="12" t="s">
        <v>12</v>
      </c>
      <c r="E209" s="12" t="s">
        <v>5156</v>
      </c>
      <c r="F209" s="12" t="s">
        <v>258</v>
      </c>
      <c r="G209" s="12" t="s">
        <v>670</v>
      </c>
      <c r="H209" s="12" t="s">
        <v>38</v>
      </c>
      <c r="I209" s="12" t="s">
        <v>26</v>
      </c>
      <c r="J209" s="13" t="s">
        <v>675</v>
      </c>
      <c r="K209" s="14" t="s">
        <v>5157</v>
      </c>
      <c r="L209" s="15">
        <v>3</v>
      </c>
      <c r="M209" s="15" t="s">
        <v>144</v>
      </c>
      <c r="N209" s="16">
        <v>42355</v>
      </c>
      <c r="O209" s="12" t="s">
        <v>5155</v>
      </c>
      <c r="P209" s="14" t="s">
        <v>5158</v>
      </c>
      <c r="Q209" s="17" t="s">
        <v>137</v>
      </c>
      <c r="R209" s="17" t="s">
        <v>146</v>
      </c>
    </row>
    <row r="210" spans="1:18" x14ac:dyDescent="0.3">
      <c r="A210" s="12" t="s">
        <v>5159</v>
      </c>
      <c r="B210" s="12" t="s">
        <v>12</v>
      </c>
      <c r="C210" s="12"/>
      <c r="D210" s="12" t="s">
        <v>12</v>
      </c>
      <c r="E210" s="12" t="s">
        <v>5152</v>
      </c>
      <c r="F210" s="12" t="s">
        <v>5160</v>
      </c>
      <c r="G210" s="12" t="s">
        <v>670</v>
      </c>
      <c r="H210" s="12" t="s">
        <v>38</v>
      </c>
      <c r="I210" s="12" t="s">
        <v>26</v>
      </c>
      <c r="J210" s="13" t="s">
        <v>678</v>
      </c>
      <c r="K210" s="14" t="s">
        <v>5153</v>
      </c>
      <c r="L210" s="15">
        <v>0</v>
      </c>
      <c r="M210" s="15" t="s">
        <v>144</v>
      </c>
      <c r="N210" s="16">
        <v>44065</v>
      </c>
      <c r="O210" s="12" t="s">
        <v>5161</v>
      </c>
      <c r="P210" s="14" t="s">
        <v>5162</v>
      </c>
      <c r="Q210" s="17" t="s">
        <v>137</v>
      </c>
      <c r="R210" s="17" t="s">
        <v>146</v>
      </c>
    </row>
    <row r="211" spans="1:18" x14ac:dyDescent="0.3">
      <c r="A211" s="12" t="s">
        <v>5163</v>
      </c>
      <c r="B211" s="12" t="s">
        <v>12</v>
      </c>
      <c r="C211" s="12"/>
      <c r="D211" s="12" t="s">
        <v>12</v>
      </c>
      <c r="E211" s="12" t="s">
        <v>5164</v>
      </c>
      <c r="F211" s="12" t="s">
        <v>952</v>
      </c>
      <c r="G211" s="12" t="s">
        <v>670</v>
      </c>
      <c r="H211" s="12" t="s">
        <v>38</v>
      </c>
      <c r="I211" s="12" t="s">
        <v>26</v>
      </c>
      <c r="J211" s="13" t="s">
        <v>678</v>
      </c>
      <c r="K211" s="14" t="s">
        <v>5165</v>
      </c>
      <c r="L211" s="15">
        <v>2</v>
      </c>
      <c r="M211" s="15" t="s">
        <v>144</v>
      </c>
      <c r="N211" s="16">
        <v>44065</v>
      </c>
      <c r="O211" s="12" t="s">
        <v>5166</v>
      </c>
      <c r="P211" s="14" t="s">
        <v>5167</v>
      </c>
      <c r="Q211" s="17" t="s">
        <v>137</v>
      </c>
      <c r="R211" s="17" t="s">
        <v>146</v>
      </c>
    </row>
    <row r="212" spans="1:18" x14ac:dyDescent="0.3">
      <c r="A212" s="12" t="s">
        <v>5168</v>
      </c>
      <c r="B212" s="12" t="s">
        <v>12</v>
      </c>
      <c r="C212" s="12"/>
      <c r="D212" s="12" t="s">
        <v>12</v>
      </c>
      <c r="E212" s="12" t="s">
        <v>5169</v>
      </c>
      <c r="F212" s="12" t="s">
        <v>188</v>
      </c>
      <c r="G212" s="12" t="s">
        <v>670</v>
      </c>
      <c r="H212" s="12" t="s">
        <v>38</v>
      </c>
      <c r="I212" s="12" t="s">
        <v>26</v>
      </c>
      <c r="J212" s="13" t="s">
        <v>675</v>
      </c>
      <c r="K212" s="14" t="s">
        <v>5170</v>
      </c>
      <c r="L212" s="15">
        <v>0</v>
      </c>
      <c r="M212" s="15" t="s">
        <v>144</v>
      </c>
      <c r="N212" s="16">
        <v>40499</v>
      </c>
      <c r="O212" s="12" t="s">
        <v>5168</v>
      </c>
      <c r="P212" s="14" t="s">
        <v>5171</v>
      </c>
      <c r="Q212" s="17" t="s">
        <v>137</v>
      </c>
      <c r="R212" s="17" t="s">
        <v>146</v>
      </c>
    </row>
    <row r="213" spans="1:18" x14ac:dyDescent="0.3">
      <c r="A213" s="12" t="s">
        <v>5172</v>
      </c>
      <c r="B213" s="12" t="s">
        <v>12</v>
      </c>
      <c r="C213" s="12"/>
      <c r="D213" s="12" t="s">
        <v>12</v>
      </c>
      <c r="E213" s="12" t="s">
        <v>5135</v>
      </c>
      <c r="F213" s="12" t="s">
        <v>516</v>
      </c>
      <c r="G213" s="12" t="s">
        <v>670</v>
      </c>
      <c r="H213" s="12" t="s">
        <v>38</v>
      </c>
      <c r="I213" s="12" t="s">
        <v>26</v>
      </c>
      <c r="J213" s="13" t="s">
        <v>678</v>
      </c>
      <c r="K213" s="14" t="s">
        <v>5173</v>
      </c>
      <c r="L213" s="15">
        <v>2</v>
      </c>
      <c r="M213" s="15" t="s">
        <v>144</v>
      </c>
      <c r="N213" s="16">
        <v>40436</v>
      </c>
      <c r="O213" s="12" t="s">
        <v>5174</v>
      </c>
      <c r="P213" s="14" t="s">
        <v>5175</v>
      </c>
      <c r="Q213" s="17" t="s">
        <v>137</v>
      </c>
      <c r="R213" s="17" t="s">
        <v>146</v>
      </c>
    </row>
    <row r="214" spans="1:18" x14ac:dyDescent="0.3">
      <c r="A214" s="12" t="s">
        <v>5176</v>
      </c>
      <c r="B214" s="12" t="s">
        <v>12</v>
      </c>
      <c r="C214" s="12"/>
      <c r="D214" s="12" t="s">
        <v>12</v>
      </c>
      <c r="E214" s="12" t="s">
        <v>5177</v>
      </c>
      <c r="F214" s="12" t="s">
        <v>447</v>
      </c>
      <c r="G214" s="12" t="s">
        <v>670</v>
      </c>
      <c r="H214" s="12" t="s">
        <v>38</v>
      </c>
      <c r="I214" s="12" t="s">
        <v>26</v>
      </c>
      <c r="J214" s="13" t="s">
        <v>678</v>
      </c>
      <c r="K214" s="14" t="s">
        <v>5178</v>
      </c>
      <c r="L214" s="15">
        <v>1</v>
      </c>
      <c r="M214" s="15" t="s">
        <v>144</v>
      </c>
      <c r="N214" s="16">
        <v>40345</v>
      </c>
      <c r="O214" s="12" t="s">
        <v>5176</v>
      </c>
      <c r="P214" s="14" t="s">
        <v>5179</v>
      </c>
      <c r="Q214" s="17" t="s">
        <v>137</v>
      </c>
      <c r="R214" s="17" t="s">
        <v>146</v>
      </c>
    </row>
    <row r="215" spans="1:18" x14ac:dyDescent="0.3">
      <c r="A215" s="12" t="s">
        <v>5180</v>
      </c>
      <c r="B215" s="12" t="s">
        <v>12</v>
      </c>
      <c r="C215" s="12"/>
      <c r="D215" s="12" t="s">
        <v>12</v>
      </c>
      <c r="E215" s="12" t="s">
        <v>5181</v>
      </c>
      <c r="F215" s="12" t="s">
        <v>285</v>
      </c>
      <c r="G215" s="12" t="s">
        <v>670</v>
      </c>
      <c r="H215" s="12" t="s">
        <v>38</v>
      </c>
      <c r="I215" s="12" t="s">
        <v>26</v>
      </c>
      <c r="J215" s="13" t="s">
        <v>678</v>
      </c>
      <c r="K215" s="14" t="s">
        <v>5182</v>
      </c>
      <c r="L215" s="15">
        <v>0</v>
      </c>
      <c r="M215" s="15" t="s">
        <v>144</v>
      </c>
      <c r="N215" s="16">
        <v>39744</v>
      </c>
      <c r="O215" s="12" t="s">
        <v>5180</v>
      </c>
      <c r="P215" s="14" t="s">
        <v>5183</v>
      </c>
      <c r="Q215" s="17" t="s">
        <v>137</v>
      </c>
      <c r="R215" s="17" t="s">
        <v>146</v>
      </c>
    </row>
    <row r="216" spans="1:18" x14ac:dyDescent="0.3">
      <c r="A216" s="12" t="s">
        <v>5184</v>
      </c>
      <c r="B216" s="12" t="s">
        <v>12</v>
      </c>
      <c r="C216" s="12"/>
      <c r="D216" s="12" t="s">
        <v>12</v>
      </c>
      <c r="E216" s="12" t="s">
        <v>5185</v>
      </c>
      <c r="F216" s="12" t="s">
        <v>2820</v>
      </c>
      <c r="G216" s="12" t="s">
        <v>670</v>
      </c>
      <c r="H216" s="12" t="s">
        <v>38</v>
      </c>
      <c r="I216" s="12" t="s">
        <v>26</v>
      </c>
      <c r="J216" s="13" t="s">
        <v>675</v>
      </c>
      <c r="K216" s="14" t="s">
        <v>5186</v>
      </c>
      <c r="L216" s="15">
        <v>1</v>
      </c>
      <c r="M216" s="15" t="s">
        <v>144</v>
      </c>
      <c r="N216" s="16">
        <v>43992</v>
      </c>
      <c r="O216" s="12" t="s">
        <v>5187</v>
      </c>
      <c r="P216" s="14" t="s">
        <v>5188</v>
      </c>
      <c r="Q216" s="17" t="s">
        <v>137</v>
      </c>
      <c r="R216" s="17" t="s">
        <v>146</v>
      </c>
    </row>
    <row r="217" spans="1:18" x14ac:dyDescent="0.3">
      <c r="A217" s="12" t="s">
        <v>5189</v>
      </c>
      <c r="B217" s="12" t="s">
        <v>12</v>
      </c>
      <c r="C217" s="12"/>
      <c r="D217" s="12" t="s">
        <v>12</v>
      </c>
      <c r="E217" s="12" t="s">
        <v>5146</v>
      </c>
      <c r="F217" s="12" t="s">
        <v>1635</v>
      </c>
      <c r="G217" s="12" t="s">
        <v>670</v>
      </c>
      <c r="H217" s="12" t="s">
        <v>38</v>
      </c>
      <c r="I217" s="12" t="s">
        <v>26</v>
      </c>
      <c r="J217" s="13" t="s">
        <v>675</v>
      </c>
      <c r="K217" s="14" t="s">
        <v>5147</v>
      </c>
      <c r="L217" s="15">
        <v>2</v>
      </c>
      <c r="M217" s="15" t="s">
        <v>144</v>
      </c>
      <c r="N217" s="16">
        <v>43367</v>
      </c>
      <c r="O217" s="12" t="s">
        <v>5189</v>
      </c>
      <c r="P217" s="14" t="s">
        <v>5190</v>
      </c>
      <c r="Q217" s="17" t="s">
        <v>137</v>
      </c>
      <c r="R217" s="17" t="s">
        <v>146</v>
      </c>
    </row>
    <row r="218" spans="1:18" x14ac:dyDescent="0.3">
      <c r="A218" s="12" t="s">
        <v>5191</v>
      </c>
      <c r="B218" s="12" t="s">
        <v>12</v>
      </c>
      <c r="C218" s="12"/>
      <c r="D218" s="12" t="s">
        <v>12</v>
      </c>
      <c r="E218" s="12" t="s">
        <v>5192</v>
      </c>
      <c r="F218" s="12"/>
      <c r="G218" s="12" t="s">
        <v>670</v>
      </c>
      <c r="H218" s="12" t="s">
        <v>38</v>
      </c>
      <c r="I218" s="12" t="s">
        <v>26</v>
      </c>
      <c r="J218" s="13" t="s">
        <v>675</v>
      </c>
      <c r="K218" s="14" t="s">
        <v>5193</v>
      </c>
      <c r="L218" s="15">
        <v>2</v>
      </c>
      <c r="M218" s="15" t="s">
        <v>144</v>
      </c>
      <c r="N218" s="16">
        <v>43235</v>
      </c>
      <c r="O218" s="12" t="s">
        <v>5191</v>
      </c>
      <c r="P218" s="14" t="s">
        <v>5194</v>
      </c>
      <c r="Q218" s="17" t="s">
        <v>137</v>
      </c>
      <c r="R218" s="17" t="s">
        <v>146</v>
      </c>
    </row>
    <row r="219" spans="1:18" x14ac:dyDescent="0.3">
      <c r="A219" s="12" t="s">
        <v>5195</v>
      </c>
      <c r="B219" s="12" t="s">
        <v>12</v>
      </c>
      <c r="C219" s="12"/>
      <c r="D219" s="12" t="s">
        <v>12</v>
      </c>
      <c r="E219" s="12" t="s">
        <v>5196</v>
      </c>
      <c r="F219" s="12"/>
      <c r="G219" s="12" t="s">
        <v>670</v>
      </c>
      <c r="H219" s="12" t="s">
        <v>38</v>
      </c>
      <c r="I219" s="12" t="s">
        <v>26</v>
      </c>
      <c r="J219" s="13" t="s">
        <v>675</v>
      </c>
      <c r="K219" s="14" t="s">
        <v>5170</v>
      </c>
      <c r="L219" s="15">
        <v>0</v>
      </c>
      <c r="M219" s="15" t="s">
        <v>144</v>
      </c>
      <c r="N219" s="16">
        <v>44065</v>
      </c>
      <c r="O219" s="12" t="s">
        <v>5195</v>
      </c>
      <c r="P219" s="14" t="s">
        <v>5197</v>
      </c>
      <c r="Q219" s="17" t="s">
        <v>137</v>
      </c>
      <c r="R219" s="17" t="s">
        <v>146</v>
      </c>
    </row>
    <row r="220" spans="1:18" x14ac:dyDescent="0.3">
      <c r="A220" s="12" t="s">
        <v>5198</v>
      </c>
      <c r="B220" s="12" t="s">
        <v>12</v>
      </c>
      <c r="C220" s="12"/>
      <c r="D220" s="12" t="s">
        <v>12</v>
      </c>
      <c r="E220" s="12" t="s">
        <v>5199</v>
      </c>
      <c r="F220" s="12"/>
      <c r="G220" s="12" t="s">
        <v>670</v>
      </c>
      <c r="H220" s="12" t="s">
        <v>38</v>
      </c>
      <c r="I220" s="12" t="s">
        <v>26</v>
      </c>
      <c r="J220" s="13" t="s">
        <v>678</v>
      </c>
      <c r="K220" s="14" t="s">
        <v>5200</v>
      </c>
      <c r="L220" s="15">
        <v>1</v>
      </c>
      <c r="M220" s="15" t="s">
        <v>144</v>
      </c>
      <c r="N220" s="16">
        <v>40956</v>
      </c>
      <c r="O220" s="12" t="s">
        <v>5201</v>
      </c>
      <c r="P220" s="14" t="s">
        <v>5202</v>
      </c>
      <c r="Q220" s="17" t="s">
        <v>137</v>
      </c>
      <c r="R220" s="17" t="s">
        <v>146</v>
      </c>
    </row>
    <row r="221" spans="1:18" x14ac:dyDescent="0.3">
      <c r="A221" s="12" t="s">
        <v>5203</v>
      </c>
      <c r="B221" s="12" t="s">
        <v>12</v>
      </c>
      <c r="C221" s="12"/>
      <c r="D221" s="12" t="s">
        <v>12</v>
      </c>
      <c r="E221" s="12" t="s">
        <v>5204</v>
      </c>
      <c r="F221" s="12" t="s">
        <v>1191</v>
      </c>
      <c r="G221" s="12" t="s">
        <v>670</v>
      </c>
      <c r="H221" s="12" t="s">
        <v>38</v>
      </c>
      <c r="I221" s="12" t="s">
        <v>26</v>
      </c>
      <c r="J221" s="13" t="s">
        <v>671</v>
      </c>
      <c r="K221" s="14" t="s">
        <v>5205</v>
      </c>
      <c r="L221" s="15">
        <v>1</v>
      </c>
      <c r="M221" s="15" t="s">
        <v>144</v>
      </c>
      <c r="N221" s="16">
        <v>43108</v>
      </c>
      <c r="O221" s="12" t="s">
        <v>5203</v>
      </c>
      <c r="P221" s="14" t="s">
        <v>5206</v>
      </c>
      <c r="Q221" s="17" t="s">
        <v>137</v>
      </c>
      <c r="R221" s="17" t="s">
        <v>146</v>
      </c>
    </row>
    <row r="222" spans="1:18" x14ac:dyDescent="0.3">
      <c r="A222" s="12" t="s">
        <v>5207</v>
      </c>
      <c r="B222" s="12" t="s">
        <v>12</v>
      </c>
      <c r="C222" s="12"/>
      <c r="D222" s="12" t="s">
        <v>12</v>
      </c>
      <c r="E222" s="12" t="s">
        <v>669</v>
      </c>
      <c r="F222" s="12" t="s">
        <v>1191</v>
      </c>
      <c r="G222" s="12" t="s">
        <v>670</v>
      </c>
      <c r="H222" s="12" t="s">
        <v>38</v>
      </c>
      <c r="I222" s="12" t="s">
        <v>26</v>
      </c>
      <c r="J222" s="13" t="s">
        <v>671</v>
      </c>
      <c r="K222" s="14" t="s">
        <v>5205</v>
      </c>
      <c r="L222" s="15">
        <v>1</v>
      </c>
      <c r="M222" s="15" t="s">
        <v>144</v>
      </c>
      <c r="N222" s="16">
        <v>41464</v>
      </c>
      <c r="O222" s="12" t="s">
        <v>5207</v>
      </c>
      <c r="P222" s="14" t="s">
        <v>5208</v>
      </c>
      <c r="Q222" s="17" t="s">
        <v>137</v>
      </c>
      <c r="R222" s="17" t="s">
        <v>146</v>
      </c>
    </row>
    <row r="223" spans="1:18" x14ac:dyDescent="0.3">
      <c r="A223" s="12" t="s">
        <v>5209</v>
      </c>
      <c r="B223" s="12" t="s">
        <v>14</v>
      </c>
      <c r="C223" s="12"/>
      <c r="D223" s="12" t="s">
        <v>14</v>
      </c>
      <c r="E223" s="12" t="s">
        <v>5210</v>
      </c>
      <c r="F223" s="12" t="s">
        <v>5211</v>
      </c>
      <c r="G223" s="12" t="s">
        <v>670</v>
      </c>
      <c r="H223" s="12" t="s">
        <v>38</v>
      </c>
      <c r="I223" s="12" t="s">
        <v>26</v>
      </c>
      <c r="J223" s="13" t="s">
        <v>678</v>
      </c>
      <c r="K223" s="14" t="s">
        <v>5212</v>
      </c>
      <c r="L223" s="15">
        <v>1</v>
      </c>
      <c r="M223" s="15" t="s">
        <v>144</v>
      </c>
      <c r="N223" s="16">
        <v>44065</v>
      </c>
      <c r="O223" s="12" t="s">
        <v>5209</v>
      </c>
      <c r="P223" s="14" t="s">
        <v>5213</v>
      </c>
      <c r="Q223" s="17" t="s">
        <v>137</v>
      </c>
      <c r="R223" s="17" t="s">
        <v>146</v>
      </c>
    </row>
    <row r="224" spans="1:18" x14ac:dyDescent="0.3">
      <c r="A224" s="12" t="s">
        <v>5214</v>
      </c>
      <c r="B224" s="12" t="s">
        <v>14</v>
      </c>
      <c r="C224" s="12"/>
      <c r="D224" s="12" t="s">
        <v>14</v>
      </c>
      <c r="E224" s="12" t="s">
        <v>5215</v>
      </c>
      <c r="F224" s="12"/>
      <c r="G224" s="12" t="s">
        <v>670</v>
      </c>
      <c r="H224" s="12" t="s">
        <v>38</v>
      </c>
      <c r="I224" s="12" t="s">
        <v>26</v>
      </c>
      <c r="J224" s="13" t="s">
        <v>675</v>
      </c>
      <c r="K224" s="14" t="s">
        <v>5216</v>
      </c>
      <c r="L224" s="15">
        <v>0</v>
      </c>
      <c r="M224" s="15" t="s">
        <v>144</v>
      </c>
      <c r="N224" s="16">
        <v>43851</v>
      </c>
      <c r="O224" s="12" t="s">
        <v>5214</v>
      </c>
      <c r="P224" s="14" t="s">
        <v>5217</v>
      </c>
      <c r="Q224" s="17" t="s">
        <v>137</v>
      </c>
      <c r="R224" s="17" t="s">
        <v>146</v>
      </c>
    </row>
    <row r="225" spans="1:18" x14ac:dyDescent="0.3">
      <c r="A225" s="12" t="s">
        <v>5218</v>
      </c>
      <c r="B225" s="12" t="s">
        <v>12</v>
      </c>
      <c r="C225" s="12" t="s">
        <v>14</v>
      </c>
      <c r="D225" s="12" t="s">
        <v>180</v>
      </c>
      <c r="E225" s="12" t="s">
        <v>5177</v>
      </c>
      <c r="F225" s="12" t="s">
        <v>447</v>
      </c>
      <c r="G225" s="12" t="s">
        <v>670</v>
      </c>
      <c r="H225" s="12" t="s">
        <v>38</v>
      </c>
      <c r="I225" s="12" t="s">
        <v>26</v>
      </c>
      <c r="J225" s="13" t="s">
        <v>678</v>
      </c>
      <c r="K225" s="14" t="s">
        <v>5178</v>
      </c>
      <c r="L225" s="15">
        <v>3</v>
      </c>
      <c r="M225" s="15" t="s">
        <v>144</v>
      </c>
      <c r="N225" s="16">
        <v>43916</v>
      </c>
      <c r="O225" s="12" t="s">
        <v>5218</v>
      </c>
      <c r="P225" s="14" t="s">
        <v>5219</v>
      </c>
      <c r="Q225" s="17" t="s">
        <v>137</v>
      </c>
      <c r="R225" s="17" t="s">
        <v>146</v>
      </c>
    </row>
    <row r="226" spans="1:18" x14ac:dyDescent="0.3">
      <c r="A226" s="12" t="s">
        <v>5220</v>
      </c>
      <c r="B226" s="12" t="s">
        <v>12</v>
      </c>
      <c r="C226" s="12"/>
      <c r="D226" s="12" t="s">
        <v>12</v>
      </c>
      <c r="E226" s="12" t="s">
        <v>5196</v>
      </c>
      <c r="F226" s="12"/>
      <c r="G226" s="12" t="s">
        <v>670</v>
      </c>
      <c r="H226" s="12" t="s">
        <v>38</v>
      </c>
      <c r="I226" s="12" t="s">
        <v>26</v>
      </c>
      <c r="J226" s="13" t="s">
        <v>675</v>
      </c>
      <c r="K226" s="14" t="s">
        <v>5221</v>
      </c>
      <c r="L226" s="15">
        <v>0</v>
      </c>
      <c r="M226" s="15" t="s">
        <v>144</v>
      </c>
      <c r="N226" s="16">
        <v>39618</v>
      </c>
      <c r="O226" s="12" t="s">
        <v>5220</v>
      </c>
      <c r="P226" s="14" t="s">
        <v>5222</v>
      </c>
      <c r="Q226" s="17" t="s">
        <v>137</v>
      </c>
      <c r="R226" s="17" t="s">
        <v>146</v>
      </c>
    </row>
    <row r="227" spans="1:18" x14ac:dyDescent="0.3">
      <c r="A227" s="12" t="s">
        <v>5223</v>
      </c>
      <c r="B227" s="12" t="s">
        <v>10</v>
      </c>
      <c r="C227" s="12"/>
      <c r="D227" s="12" t="s">
        <v>252</v>
      </c>
      <c r="E227" s="12" t="s">
        <v>5224</v>
      </c>
      <c r="F227" s="12" t="s">
        <v>293</v>
      </c>
      <c r="G227" s="12" t="s">
        <v>670</v>
      </c>
      <c r="H227" s="12" t="s">
        <v>38</v>
      </c>
      <c r="I227" s="12" t="s">
        <v>26</v>
      </c>
      <c r="J227" s="13" t="s">
        <v>675</v>
      </c>
      <c r="K227" s="14" t="s">
        <v>5225</v>
      </c>
      <c r="L227" s="15">
        <v>0</v>
      </c>
      <c r="M227" s="15" t="s">
        <v>144</v>
      </c>
      <c r="N227" s="16">
        <v>39982</v>
      </c>
      <c r="O227" s="12" t="s">
        <v>5223</v>
      </c>
      <c r="P227" s="14" t="s">
        <v>5226</v>
      </c>
      <c r="Q227" s="17" t="s">
        <v>137</v>
      </c>
      <c r="R227" s="17" t="s">
        <v>146</v>
      </c>
    </row>
    <row r="228" spans="1:18" x14ac:dyDescent="0.3">
      <c r="A228" s="12" t="s">
        <v>5227</v>
      </c>
      <c r="B228" s="12" t="s">
        <v>12</v>
      </c>
      <c r="C228" s="12"/>
      <c r="D228" s="12" t="s">
        <v>12</v>
      </c>
      <c r="E228" s="12" t="s">
        <v>5228</v>
      </c>
      <c r="F228" s="12"/>
      <c r="G228" s="12" t="s">
        <v>670</v>
      </c>
      <c r="H228" s="12" t="s">
        <v>38</v>
      </c>
      <c r="I228" s="12" t="s">
        <v>26</v>
      </c>
      <c r="J228" s="13" t="s">
        <v>678</v>
      </c>
      <c r="K228" s="14" t="s">
        <v>5229</v>
      </c>
      <c r="L228" s="15">
        <v>1</v>
      </c>
      <c r="M228" s="15" t="s">
        <v>144</v>
      </c>
      <c r="N228" s="16">
        <v>43627</v>
      </c>
      <c r="O228" s="12" t="s">
        <v>5227</v>
      </c>
      <c r="P228" s="14" t="s">
        <v>5230</v>
      </c>
      <c r="Q228" s="17" t="s">
        <v>137</v>
      </c>
      <c r="R228" s="17" t="s">
        <v>146</v>
      </c>
    </row>
    <row r="229" spans="1:18" x14ac:dyDescent="0.3">
      <c r="A229" s="12" t="s">
        <v>5231</v>
      </c>
      <c r="B229" s="12" t="s">
        <v>20</v>
      </c>
      <c r="C229" s="12"/>
      <c r="D229" s="12" t="s">
        <v>193</v>
      </c>
      <c r="E229" s="12" t="s">
        <v>5232</v>
      </c>
      <c r="F229" s="12" t="s">
        <v>218</v>
      </c>
      <c r="G229" s="12" t="s">
        <v>670</v>
      </c>
      <c r="H229" s="12" t="s">
        <v>38</v>
      </c>
      <c r="I229" s="12" t="s">
        <v>26</v>
      </c>
      <c r="J229" s="13" t="s">
        <v>678</v>
      </c>
      <c r="K229" s="14" t="s">
        <v>5233</v>
      </c>
      <c r="L229" s="15">
        <v>0</v>
      </c>
      <c r="M229" s="15" t="s">
        <v>144</v>
      </c>
      <c r="N229" s="16">
        <v>39276</v>
      </c>
      <c r="O229" s="12" t="s">
        <v>5231</v>
      </c>
      <c r="P229" s="14" t="s">
        <v>5234</v>
      </c>
      <c r="Q229" s="17" t="s">
        <v>137</v>
      </c>
      <c r="R229" s="17" t="s">
        <v>146</v>
      </c>
    </row>
    <row r="230" spans="1:18" x14ac:dyDescent="0.3">
      <c r="A230" s="12" t="s">
        <v>5235</v>
      </c>
      <c r="B230" s="12" t="s">
        <v>12</v>
      </c>
      <c r="C230" s="12"/>
      <c r="D230" s="12" t="s">
        <v>12</v>
      </c>
      <c r="E230" s="12" t="s">
        <v>5236</v>
      </c>
      <c r="F230" s="12"/>
      <c r="G230" s="12" t="s">
        <v>670</v>
      </c>
      <c r="H230" s="12" t="s">
        <v>38</v>
      </c>
      <c r="I230" s="12" t="s">
        <v>26</v>
      </c>
      <c r="J230" s="13" t="s">
        <v>678</v>
      </c>
      <c r="K230" s="14" t="s">
        <v>5237</v>
      </c>
      <c r="L230" s="15">
        <v>0</v>
      </c>
      <c r="M230" s="15" t="s">
        <v>144</v>
      </c>
      <c r="N230" s="16">
        <v>44137</v>
      </c>
      <c r="O230" s="12" t="s">
        <v>5235</v>
      </c>
      <c r="P230" s="14" t="s">
        <v>5238</v>
      </c>
      <c r="Q230" s="17" t="s">
        <v>137</v>
      </c>
      <c r="R230" s="17" t="s">
        <v>146</v>
      </c>
    </row>
    <row r="231" spans="1:18" x14ac:dyDescent="0.3">
      <c r="A231" s="12" t="s">
        <v>5239</v>
      </c>
      <c r="B231" s="12" t="s">
        <v>14</v>
      </c>
      <c r="C231" s="12"/>
      <c r="D231" s="12" t="s">
        <v>14</v>
      </c>
      <c r="E231" s="12" t="s">
        <v>5240</v>
      </c>
      <c r="F231" s="12"/>
      <c r="G231" s="12" t="s">
        <v>670</v>
      </c>
      <c r="H231" s="12" t="s">
        <v>38</v>
      </c>
      <c r="I231" s="12" t="s">
        <v>26</v>
      </c>
      <c r="J231" s="13" t="s">
        <v>678</v>
      </c>
      <c r="K231" s="14" t="s">
        <v>5241</v>
      </c>
      <c r="L231" s="15">
        <v>0</v>
      </c>
      <c r="M231" s="15" t="s">
        <v>144</v>
      </c>
      <c r="N231" s="16">
        <v>42846</v>
      </c>
      <c r="O231" s="12" t="s">
        <v>5239</v>
      </c>
      <c r="P231" s="14" t="s">
        <v>5242</v>
      </c>
      <c r="Q231" s="17" t="s">
        <v>137</v>
      </c>
      <c r="R231" s="17" t="s">
        <v>146</v>
      </c>
    </row>
    <row r="232" spans="1:18" x14ac:dyDescent="0.3">
      <c r="A232" s="12" t="s">
        <v>5243</v>
      </c>
      <c r="B232" s="12" t="s">
        <v>12</v>
      </c>
      <c r="C232" s="12"/>
      <c r="D232" s="12" t="s">
        <v>12</v>
      </c>
      <c r="E232" s="12" t="s">
        <v>5131</v>
      </c>
      <c r="F232" s="12" t="s">
        <v>1275</v>
      </c>
      <c r="G232" s="12" t="s">
        <v>670</v>
      </c>
      <c r="H232" s="12" t="s">
        <v>38</v>
      </c>
      <c r="I232" s="12" t="s">
        <v>26</v>
      </c>
      <c r="J232" s="13" t="s">
        <v>678</v>
      </c>
      <c r="K232" s="14" t="s">
        <v>5132</v>
      </c>
      <c r="L232" s="15">
        <v>4</v>
      </c>
      <c r="M232" s="15" t="s">
        <v>144</v>
      </c>
      <c r="N232" s="16">
        <v>44160</v>
      </c>
      <c r="O232" s="12" t="s">
        <v>5243</v>
      </c>
      <c r="P232" s="14" t="s">
        <v>5244</v>
      </c>
      <c r="Q232" s="17" t="s">
        <v>137</v>
      </c>
      <c r="R232" s="17" t="s">
        <v>146</v>
      </c>
    </row>
    <row r="233" spans="1:18" x14ac:dyDescent="0.3">
      <c r="A233" s="12" t="s">
        <v>5245</v>
      </c>
      <c r="B233" s="12" t="s">
        <v>12</v>
      </c>
      <c r="C233" s="12"/>
      <c r="D233" s="12" t="s">
        <v>12</v>
      </c>
      <c r="E233" s="12" t="s">
        <v>5246</v>
      </c>
      <c r="F233" s="12" t="s">
        <v>359</v>
      </c>
      <c r="G233" s="12" t="s">
        <v>670</v>
      </c>
      <c r="H233" s="12" t="s">
        <v>38</v>
      </c>
      <c r="I233" s="12" t="s">
        <v>26</v>
      </c>
      <c r="J233" s="13" t="s">
        <v>671</v>
      </c>
      <c r="K233" s="14" t="s">
        <v>5247</v>
      </c>
      <c r="L233" s="15">
        <v>1</v>
      </c>
      <c r="M233" s="15" t="s">
        <v>144</v>
      </c>
      <c r="N233" s="16">
        <v>41064</v>
      </c>
      <c r="O233" s="12" t="s">
        <v>5245</v>
      </c>
      <c r="P233" s="14" t="s">
        <v>5248</v>
      </c>
      <c r="Q233" s="17" t="s">
        <v>137</v>
      </c>
      <c r="R233" s="17" t="s">
        <v>146</v>
      </c>
    </row>
    <row r="234" spans="1:18" x14ac:dyDescent="0.3">
      <c r="A234" s="12" t="s">
        <v>5249</v>
      </c>
      <c r="B234" s="12" t="s">
        <v>10</v>
      </c>
      <c r="C234" s="12"/>
      <c r="D234" s="12" t="s">
        <v>252</v>
      </c>
      <c r="E234" s="12" t="s">
        <v>5210</v>
      </c>
      <c r="F234" s="12" t="s">
        <v>1270</v>
      </c>
      <c r="G234" s="12" t="s">
        <v>670</v>
      </c>
      <c r="H234" s="12" t="s">
        <v>38</v>
      </c>
      <c r="I234" s="12" t="s">
        <v>26</v>
      </c>
      <c r="J234" s="13" t="s">
        <v>678</v>
      </c>
      <c r="K234" s="14" t="s">
        <v>5250</v>
      </c>
      <c r="L234" s="15">
        <v>1</v>
      </c>
      <c r="M234" s="15" t="s">
        <v>144</v>
      </c>
      <c r="N234" s="16">
        <v>43776</v>
      </c>
      <c r="O234" s="12" t="s">
        <v>5249</v>
      </c>
      <c r="P234" s="14" t="s">
        <v>5251</v>
      </c>
      <c r="Q234" s="17" t="s">
        <v>137</v>
      </c>
      <c r="R234" s="17" t="s">
        <v>146</v>
      </c>
    </row>
    <row r="235" spans="1:18" x14ac:dyDescent="0.3">
      <c r="A235" s="12" t="s">
        <v>215</v>
      </c>
      <c r="B235" s="12" t="s">
        <v>10</v>
      </c>
      <c r="C235" s="12"/>
      <c r="D235" s="12" t="s">
        <v>647</v>
      </c>
      <c r="E235" s="12" t="s">
        <v>682</v>
      </c>
      <c r="F235" s="12"/>
      <c r="G235" s="12" t="s">
        <v>670</v>
      </c>
      <c r="H235" s="12" t="s">
        <v>38</v>
      </c>
      <c r="I235" s="12" t="s">
        <v>26</v>
      </c>
      <c r="J235" s="13" t="s">
        <v>675</v>
      </c>
      <c r="K235" s="14" t="s">
        <v>294</v>
      </c>
      <c r="L235" s="15">
        <v>0</v>
      </c>
      <c r="M235" s="15" t="s">
        <v>144</v>
      </c>
      <c r="N235" s="16">
        <v>42354</v>
      </c>
      <c r="O235" s="12" t="s">
        <v>215</v>
      </c>
      <c r="P235" s="14" t="s">
        <v>5252</v>
      </c>
      <c r="Q235" s="17" t="s">
        <v>137</v>
      </c>
      <c r="R235" s="17" t="s">
        <v>146</v>
      </c>
    </row>
    <row r="236" spans="1:18" x14ac:dyDescent="0.3">
      <c r="A236" s="12" t="s">
        <v>5253</v>
      </c>
      <c r="B236" s="12" t="s">
        <v>12</v>
      </c>
      <c r="C236" s="12"/>
      <c r="D236" s="12" t="s">
        <v>12</v>
      </c>
      <c r="E236" s="12" t="s">
        <v>5254</v>
      </c>
      <c r="F236" s="12"/>
      <c r="G236" s="12" t="s">
        <v>670</v>
      </c>
      <c r="H236" s="12" t="s">
        <v>38</v>
      </c>
      <c r="I236" s="12" t="s">
        <v>26</v>
      </c>
      <c r="J236" s="13" t="s">
        <v>678</v>
      </c>
      <c r="K236" s="14" t="s">
        <v>5255</v>
      </c>
      <c r="L236" s="15">
        <v>1</v>
      </c>
      <c r="M236" s="15" t="s">
        <v>144</v>
      </c>
      <c r="N236" s="16">
        <v>44040</v>
      </c>
      <c r="O236" s="12" t="s">
        <v>5253</v>
      </c>
      <c r="P236" s="14" t="s">
        <v>5256</v>
      </c>
      <c r="Q236" s="17" t="s">
        <v>137</v>
      </c>
      <c r="R236" s="17" t="s">
        <v>146</v>
      </c>
    </row>
    <row r="237" spans="1:18" x14ac:dyDescent="0.3">
      <c r="A237" s="12" t="s">
        <v>1723</v>
      </c>
      <c r="B237" s="12" t="s">
        <v>14</v>
      </c>
      <c r="C237" s="12"/>
      <c r="D237" s="12" t="s">
        <v>14</v>
      </c>
      <c r="E237" s="12" t="s">
        <v>5257</v>
      </c>
      <c r="F237" s="12" t="s">
        <v>188</v>
      </c>
      <c r="G237" s="12" t="s">
        <v>670</v>
      </c>
      <c r="H237" s="12" t="s">
        <v>38</v>
      </c>
      <c r="I237" s="12" t="s">
        <v>26</v>
      </c>
      <c r="J237" s="13" t="s">
        <v>675</v>
      </c>
      <c r="K237" s="14" t="s">
        <v>980</v>
      </c>
      <c r="L237" s="15">
        <v>8</v>
      </c>
      <c r="M237" s="15" t="s">
        <v>144</v>
      </c>
      <c r="N237" s="16">
        <v>43983</v>
      </c>
      <c r="O237" s="12" t="s">
        <v>1723</v>
      </c>
      <c r="P237" s="14" t="s">
        <v>5258</v>
      </c>
      <c r="Q237" s="17" t="s">
        <v>137</v>
      </c>
      <c r="R237" s="17" t="s">
        <v>146</v>
      </c>
    </row>
    <row r="238" spans="1:18" x14ac:dyDescent="0.3">
      <c r="A238" s="12" t="s">
        <v>5259</v>
      </c>
      <c r="B238" s="12" t="s">
        <v>12</v>
      </c>
      <c r="C238" s="12"/>
      <c r="D238" s="12" t="s">
        <v>12</v>
      </c>
      <c r="E238" s="12" t="s">
        <v>669</v>
      </c>
      <c r="F238" s="12" t="s">
        <v>164</v>
      </c>
      <c r="G238" s="12" t="s">
        <v>670</v>
      </c>
      <c r="H238" s="12" t="s">
        <v>38</v>
      </c>
      <c r="I238" s="12" t="s">
        <v>26</v>
      </c>
      <c r="J238" s="13" t="s">
        <v>671</v>
      </c>
      <c r="K238" s="14" t="s">
        <v>5260</v>
      </c>
      <c r="L238" s="15">
        <v>1</v>
      </c>
      <c r="M238" s="15" t="s">
        <v>144</v>
      </c>
      <c r="N238" s="16">
        <v>44065</v>
      </c>
      <c r="O238" s="12" t="s">
        <v>5259</v>
      </c>
      <c r="P238" s="14" t="s">
        <v>5261</v>
      </c>
      <c r="Q238" s="17" t="s">
        <v>137</v>
      </c>
      <c r="R238" s="17" t="s">
        <v>146</v>
      </c>
    </row>
    <row r="239" spans="1:18" x14ac:dyDescent="0.3">
      <c r="A239" s="12" t="s">
        <v>5262</v>
      </c>
      <c r="B239" s="12" t="s">
        <v>12</v>
      </c>
      <c r="C239" s="12"/>
      <c r="D239" s="12" t="s">
        <v>12</v>
      </c>
      <c r="E239" s="12" t="s">
        <v>5263</v>
      </c>
      <c r="F239" s="12" t="s">
        <v>510</v>
      </c>
      <c r="G239" s="12" t="s">
        <v>713</v>
      </c>
      <c r="H239" s="12" t="s">
        <v>38</v>
      </c>
      <c r="I239" s="12" t="s">
        <v>26</v>
      </c>
      <c r="J239" s="13" t="s">
        <v>714</v>
      </c>
      <c r="K239" s="14" t="s">
        <v>5264</v>
      </c>
      <c r="L239" s="15">
        <v>1</v>
      </c>
      <c r="M239" s="15" t="s">
        <v>144</v>
      </c>
      <c r="N239" s="16">
        <v>39399</v>
      </c>
      <c r="O239" s="12" t="s">
        <v>5262</v>
      </c>
      <c r="P239" s="14" t="s">
        <v>5265</v>
      </c>
      <c r="Q239" s="17" t="s">
        <v>137</v>
      </c>
      <c r="R239" s="17" t="s">
        <v>146</v>
      </c>
    </row>
    <row r="240" spans="1:18" x14ac:dyDescent="0.3">
      <c r="A240" s="12" t="s">
        <v>5266</v>
      </c>
      <c r="B240" s="12" t="s">
        <v>12</v>
      </c>
      <c r="C240" s="12"/>
      <c r="D240" s="12" t="s">
        <v>12</v>
      </c>
      <c r="E240" s="12" t="s">
        <v>711</v>
      </c>
      <c r="F240" s="12" t="s">
        <v>712</v>
      </c>
      <c r="G240" s="12" t="s">
        <v>713</v>
      </c>
      <c r="H240" s="12" t="s">
        <v>38</v>
      </c>
      <c r="I240" s="12" t="s">
        <v>26</v>
      </c>
      <c r="J240" s="13" t="s">
        <v>714</v>
      </c>
      <c r="K240" s="14" t="s">
        <v>5267</v>
      </c>
      <c r="L240" s="15">
        <v>4</v>
      </c>
      <c r="M240" s="15" t="s">
        <v>144</v>
      </c>
      <c r="N240" s="16">
        <v>42800</v>
      </c>
      <c r="O240" s="12" t="s">
        <v>5266</v>
      </c>
      <c r="P240" s="14" t="s">
        <v>5268</v>
      </c>
      <c r="Q240" s="17" t="s">
        <v>137</v>
      </c>
      <c r="R240" s="17" t="s">
        <v>146</v>
      </c>
    </row>
    <row r="241" spans="1:18" x14ac:dyDescent="0.3">
      <c r="A241" s="12" t="s">
        <v>5269</v>
      </c>
      <c r="B241" s="12" t="s">
        <v>12</v>
      </c>
      <c r="C241" s="12"/>
      <c r="D241" s="12" t="s">
        <v>12</v>
      </c>
      <c r="E241" s="12" t="s">
        <v>5270</v>
      </c>
      <c r="F241" s="12" t="s">
        <v>454</v>
      </c>
      <c r="G241" s="12" t="s">
        <v>713</v>
      </c>
      <c r="H241" s="12" t="s">
        <v>38</v>
      </c>
      <c r="I241" s="12" t="s">
        <v>26</v>
      </c>
      <c r="J241" s="13" t="s">
        <v>714</v>
      </c>
      <c r="K241" s="14" t="s">
        <v>5271</v>
      </c>
      <c r="L241" s="15">
        <v>0</v>
      </c>
      <c r="M241" s="15" t="s">
        <v>144</v>
      </c>
      <c r="N241" s="16">
        <v>41051</v>
      </c>
      <c r="O241" s="12" t="s">
        <v>5272</v>
      </c>
      <c r="P241" s="14" t="s">
        <v>5273</v>
      </c>
      <c r="Q241" s="17" t="s">
        <v>137</v>
      </c>
      <c r="R241" s="17" t="s">
        <v>146</v>
      </c>
    </row>
    <row r="242" spans="1:18" x14ac:dyDescent="0.3">
      <c r="A242" s="12" t="s">
        <v>5274</v>
      </c>
      <c r="B242" s="12" t="s">
        <v>12</v>
      </c>
      <c r="C242" s="12"/>
      <c r="D242" s="12" t="s">
        <v>12</v>
      </c>
      <c r="E242" s="12" t="s">
        <v>5275</v>
      </c>
      <c r="F242" s="12"/>
      <c r="G242" s="12" t="s">
        <v>713</v>
      </c>
      <c r="H242" s="12" t="s">
        <v>38</v>
      </c>
      <c r="I242" s="12" t="s">
        <v>26</v>
      </c>
      <c r="J242" s="13" t="s">
        <v>714</v>
      </c>
      <c r="K242" s="14" t="s">
        <v>5276</v>
      </c>
      <c r="L242" s="15">
        <v>1</v>
      </c>
      <c r="M242" s="15" t="s">
        <v>144</v>
      </c>
      <c r="N242" s="16">
        <v>44065</v>
      </c>
      <c r="O242" s="12" t="s">
        <v>5274</v>
      </c>
      <c r="P242" s="14" t="s">
        <v>5277</v>
      </c>
      <c r="Q242" s="17" t="s">
        <v>137</v>
      </c>
      <c r="R242" s="17" t="s">
        <v>146</v>
      </c>
    </row>
    <row r="243" spans="1:18" x14ac:dyDescent="0.3">
      <c r="A243" s="12" t="s">
        <v>5278</v>
      </c>
      <c r="B243" s="12" t="s">
        <v>12</v>
      </c>
      <c r="C243" s="12"/>
      <c r="D243" s="12" t="s">
        <v>12</v>
      </c>
      <c r="E243" s="12" t="s">
        <v>5279</v>
      </c>
      <c r="F243" s="12"/>
      <c r="G243" s="12" t="s">
        <v>722</v>
      </c>
      <c r="H243" s="12" t="s">
        <v>38</v>
      </c>
      <c r="I243" s="12" t="s">
        <v>26</v>
      </c>
      <c r="J243" s="13" t="s">
        <v>723</v>
      </c>
      <c r="K243" s="14" t="s">
        <v>5280</v>
      </c>
      <c r="L243" s="15">
        <v>2</v>
      </c>
      <c r="M243" s="15" t="s">
        <v>144</v>
      </c>
      <c r="N243" s="16">
        <v>41243</v>
      </c>
      <c r="O243" s="12" t="s">
        <v>5278</v>
      </c>
      <c r="P243" s="14" t="s">
        <v>5281</v>
      </c>
      <c r="Q243" s="17" t="s">
        <v>137</v>
      </c>
      <c r="R243" s="17" t="s">
        <v>146</v>
      </c>
    </row>
    <row r="244" spans="1:18" x14ac:dyDescent="0.3">
      <c r="A244" s="12" t="s">
        <v>5282</v>
      </c>
      <c r="B244" s="12" t="s">
        <v>12</v>
      </c>
      <c r="C244" s="12"/>
      <c r="D244" s="12" t="s">
        <v>12</v>
      </c>
      <c r="E244" s="12" t="s">
        <v>5283</v>
      </c>
      <c r="F244" s="12"/>
      <c r="G244" s="12" t="s">
        <v>722</v>
      </c>
      <c r="H244" s="12" t="s">
        <v>38</v>
      </c>
      <c r="I244" s="12" t="s">
        <v>26</v>
      </c>
      <c r="J244" s="13" t="s">
        <v>723</v>
      </c>
      <c r="K244" s="14" t="s">
        <v>5284</v>
      </c>
      <c r="L244" s="15">
        <v>3</v>
      </c>
      <c r="M244" s="15" t="s">
        <v>144</v>
      </c>
      <c r="N244" s="16">
        <v>42026</v>
      </c>
      <c r="O244" s="12" t="s">
        <v>5282</v>
      </c>
      <c r="P244" s="14" t="s">
        <v>5285</v>
      </c>
      <c r="Q244" s="17" t="s">
        <v>137</v>
      </c>
      <c r="R244" s="17" t="s">
        <v>146</v>
      </c>
    </row>
    <row r="245" spans="1:18" x14ac:dyDescent="0.3">
      <c r="A245" s="12" t="s">
        <v>5286</v>
      </c>
      <c r="B245" s="12" t="s">
        <v>12</v>
      </c>
      <c r="C245" s="12"/>
      <c r="D245" s="12" t="s">
        <v>12</v>
      </c>
      <c r="E245" s="12" t="s">
        <v>5287</v>
      </c>
      <c r="F245" s="12" t="s">
        <v>467</v>
      </c>
      <c r="G245" s="12" t="s">
        <v>722</v>
      </c>
      <c r="H245" s="12" t="s">
        <v>38</v>
      </c>
      <c r="I245" s="12" t="s">
        <v>26</v>
      </c>
      <c r="J245" s="13" t="s">
        <v>723</v>
      </c>
      <c r="K245" s="14" t="s">
        <v>5288</v>
      </c>
      <c r="L245" s="15">
        <v>1</v>
      </c>
      <c r="M245" s="15" t="s">
        <v>144</v>
      </c>
      <c r="N245" s="16">
        <v>39675</v>
      </c>
      <c r="O245" s="12" t="s">
        <v>5286</v>
      </c>
      <c r="P245" s="14" t="s">
        <v>5289</v>
      </c>
      <c r="Q245" s="17" t="s">
        <v>137</v>
      </c>
      <c r="R245" s="17" t="s">
        <v>146</v>
      </c>
    </row>
    <row r="246" spans="1:18" x14ac:dyDescent="0.3">
      <c r="A246" s="12" t="s">
        <v>5290</v>
      </c>
      <c r="B246" s="12" t="s">
        <v>12</v>
      </c>
      <c r="C246" s="12"/>
      <c r="D246" s="12" t="s">
        <v>12</v>
      </c>
      <c r="E246" s="12" t="s">
        <v>5291</v>
      </c>
      <c r="F246" s="12"/>
      <c r="G246" s="12" t="s">
        <v>722</v>
      </c>
      <c r="H246" s="12" t="s">
        <v>38</v>
      </c>
      <c r="I246" s="12" t="s">
        <v>26</v>
      </c>
      <c r="J246" s="13" t="s">
        <v>723</v>
      </c>
      <c r="K246" s="14" t="s">
        <v>5292</v>
      </c>
      <c r="L246" s="15">
        <v>1</v>
      </c>
      <c r="M246" s="15" t="s">
        <v>144</v>
      </c>
      <c r="N246" s="16">
        <v>44065</v>
      </c>
      <c r="O246" s="12" t="s">
        <v>5290</v>
      </c>
      <c r="P246" s="14" t="s">
        <v>5293</v>
      </c>
      <c r="Q246" s="17" t="s">
        <v>137</v>
      </c>
      <c r="R246" s="17" t="s">
        <v>146</v>
      </c>
    </row>
    <row r="247" spans="1:18" x14ac:dyDescent="0.3">
      <c r="A247" s="12" t="s">
        <v>5294</v>
      </c>
      <c r="B247" s="12" t="s">
        <v>12</v>
      </c>
      <c r="C247" s="12"/>
      <c r="D247" s="12" t="s">
        <v>12</v>
      </c>
      <c r="E247" s="12" t="s">
        <v>5295</v>
      </c>
      <c r="F247" s="12"/>
      <c r="G247" s="12" t="s">
        <v>722</v>
      </c>
      <c r="H247" s="12" t="s">
        <v>38</v>
      </c>
      <c r="I247" s="12" t="s">
        <v>26</v>
      </c>
      <c r="J247" s="13" t="s">
        <v>723</v>
      </c>
      <c r="K247" s="14" t="s">
        <v>5296</v>
      </c>
      <c r="L247" s="15">
        <v>1</v>
      </c>
      <c r="M247" s="15" t="s">
        <v>144</v>
      </c>
      <c r="N247" s="16">
        <v>42010</v>
      </c>
      <c r="O247" s="12" t="s">
        <v>5294</v>
      </c>
      <c r="P247" s="14" t="s">
        <v>5297</v>
      </c>
      <c r="Q247" s="17" t="s">
        <v>137</v>
      </c>
      <c r="R247" s="17" t="s">
        <v>146</v>
      </c>
    </row>
    <row r="248" spans="1:18" x14ac:dyDescent="0.3">
      <c r="A248" s="12" t="s">
        <v>5298</v>
      </c>
      <c r="B248" s="12" t="s">
        <v>12</v>
      </c>
      <c r="C248" s="12"/>
      <c r="D248" s="12" t="s">
        <v>12</v>
      </c>
      <c r="E248" s="12" t="s">
        <v>5299</v>
      </c>
      <c r="F248" s="12"/>
      <c r="G248" s="12" t="s">
        <v>722</v>
      </c>
      <c r="H248" s="12" t="s">
        <v>38</v>
      </c>
      <c r="I248" s="12" t="s">
        <v>26</v>
      </c>
      <c r="J248" s="13" t="s">
        <v>723</v>
      </c>
      <c r="K248" s="14" t="s">
        <v>5300</v>
      </c>
      <c r="L248" s="15">
        <v>2</v>
      </c>
      <c r="M248" s="15" t="s">
        <v>144</v>
      </c>
      <c r="N248" s="16">
        <v>40932</v>
      </c>
      <c r="O248" s="12" t="s">
        <v>5298</v>
      </c>
      <c r="P248" s="14" t="s">
        <v>5301</v>
      </c>
      <c r="Q248" s="17" t="s">
        <v>137</v>
      </c>
      <c r="R248" s="17" t="s">
        <v>146</v>
      </c>
    </row>
    <row r="249" spans="1:18" x14ac:dyDescent="0.3">
      <c r="A249" s="12" t="s">
        <v>292</v>
      </c>
      <c r="B249" s="12" t="s">
        <v>10</v>
      </c>
      <c r="C249" s="12"/>
      <c r="D249" s="12" t="s">
        <v>647</v>
      </c>
      <c r="E249" s="12" t="s">
        <v>721</v>
      </c>
      <c r="F249" s="12" t="s">
        <v>2012</v>
      </c>
      <c r="G249" s="12" t="s">
        <v>722</v>
      </c>
      <c r="H249" s="12" t="s">
        <v>38</v>
      </c>
      <c r="I249" s="12" t="s">
        <v>26</v>
      </c>
      <c r="J249" s="13" t="s">
        <v>723</v>
      </c>
      <c r="K249" s="14" t="s">
        <v>5302</v>
      </c>
      <c r="L249" s="15">
        <v>1</v>
      </c>
      <c r="M249" s="15" t="s">
        <v>220</v>
      </c>
      <c r="N249" s="16">
        <v>43235</v>
      </c>
      <c r="O249" s="12" t="s">
        <v>292</v>
      </c>
      <c r="P249" s="14" t="s">
        <v>5303</v>
      </c>
      <c r="Q249" s="17" t="s">
        <v>137</v>
      </c>
      <c r="R249" s="17" t="s">
        <v>146</v>
      </c>
    </row>
    <row r="250" spans="1:18" x14ac:dyDescent="0.3">
      <c r="A250" s="12" t="s">
        <v>5304</v>
      </c>
      <c r="B250" s="12" t="s">
        <v>12</v>
      </c>
      <c r="C250" s="12"/>
      <c r="D250" s="12" t="s">
        <v>12</v>
      </c>
      <c r="E250" s="12" t="s">
        <v>5299</v>
      </c>
      <c r="F250" s="12" t="s">
        <v>3485</v>
      </c>
      <c r="G250" s="12" t="s">
        <v>722</v>
      </c>
      <c r="H250" s="12" t="s">
        <v>38</v>
      </c>
      <c r="I250" s="12" t="s">
        <v>26</v>
      </c>
      <c r="J250" s="13" t="s">
        <v>723</v>
      </c>
      <c r="K250" s="14" t="s">
        <v>5305</v>
      </c>
      <c r="L250" s="15">
        <v>2</v>
      </c>
      <c r="M250" s="15" t="s">
        <v>144</v>
      </c>
      <c r="N250" s="16">
        <v>43165</v>
      </c>
      <c r="O250" s="12" t="s">
        <v>5304</v>
      </c>
      <c r="P250" s="14" t="s">
        <v>5306</v>
      </c>
      <c r="Q250" s="17" t="s">
        <v>137</v>
      </c>
      <c r="R250" s="17" t="s">
        <v>146</v>
      </c>
    </row>
    <row r="251" spans="1:18" x14ac:dyDescent="0.3">
      <c r="A251" s="12" t="s">
        <v>5307</v>
      </c>
      <c r="B251" s="12" t="s">
        <v>12</v>
      </c>
      <c r="C251" s="12"/>
      <c r="D251" s="12" t="s">
        <v>12</v>
      </c>
      <c r="E251" s="12" t="s">
        <v>5308</v>
      </c>
      <c r="F251" s="12"/>
      <c r="G251" s="12" t="s">
        <v>749</v>
      </c>
      <c r="H251" s="12" t="s">
        <v>38</v>
      </c>
      <c r="I251" s="12" t="s">
        <v>26</v>
      </c>
      <c r="J251" s="13" t="s">
        <v>756</v>
      </c>
      <c r="K251" s="14" t="s">
        <v>5309</v>
      </c>
      <c r="L251" s="15">
        <v>1</v>
      </c>
      <c r="M251" s="15" t="s">
        <v>144</v>
      </c>
      <c r="N251" s="16">
        <v>43202</v>
      </c>
      <c r="O251" s="12" t="s">
        <v>5307</v>
      </c>
      <c r="P251" s="14" t="s">
        <v>5310</v>
      </c>
      <c r="Q251" s="17" t="s">
        <v>137</v>
      </c>
      <c r="R251" s="17" t="s">
        <v>146</v>
      </c>
    </row>
    <row r="252" spans="1:18" x14ac:dyDescent="0.3">
      <c r="A252" s="12" t="s">
        <v>5311</v>
      </c>
      <c r="B252" s="12" t="s">
        <v>12</v>
      </c>
      <c r="C252" s="12"/>
      <c r="D252" s="12" t="s">
        <v>12</v>
      </c>
      <c r="E252" s="12" t="s">
        <v>5312</v>
      </c>
      <c r="F252" s="12" t="s">
        <v>843</v>
      </c>
      <c r="G252" s="12" t="s">
        <v>749</v>
      </c>
      <c r="H252" s="12" t="s">
        <v>38</v>
      </c>
      <c r="I252" s="12" t="s">
        <v>26</v>
      </c>
      <c r="J252" s="13" t="s">
        <v>750</v>
      </c>
      <c r="K252" s="14" t="s">
        <v>5313</v>
      </c>
      <c r="L252" s="15">
        <v>2</v>
      </c>
      <c r="M252" s="15" t="s">
        <v>144</v>
      </c>
      <c r="N252" s="16">
        <v>44065</v>
      </c>
      <c r="O252" s="12" t="s">
        <v>5311</v>
      </c>
      <c r="P252" s="14" t="s">
        <v>5314</v>
      </c>
      <c r="Q252" s="17" t="s">
        <v>137</v>
      </c>
      <c r="R252" s="17" t="s">
        <v>146</v>
      </c>
    </row>
    <row r="253" spans="1:18" x14ac:dyDescent="0.3">
      <c r="A253" s="12" t="s">
        <v>5315</v>
      </c>
      <c r="B253" s="12" t="s">
        <v>16</v>
      </c>
      <c r="C253" s="12"/>
      <c r="D253" s="12" t="s">
        <v>993</v>
      </c>
      <c r="E253" s="12" t="s">
        <v>5312</v>
      </c>
      <c r="F253" s="12" t="s">
        <v>843</v>
      </c>
      <c r="G253" s="12" t="s">
        <v>749</v>
      </c>
      <c r="H253" s="12" t="s">
        <v>38</v>
      </c>
      <c r="I253" s="12" t="s">
        <v>26</v>
      </c>
      <c r="J253" s="13" t="s">
        <v>750</v>
      </c>
      <c r="K253" s="14" t="s">
        <v>5313</v>
      </c>
      <c r="L253" s="15">
        <v>0</v>
      </c>
      <c r="M253" s="15" t="s">
        <v>144</v>
      </c>
      <c r="N253" s="16">
        <v>41684</v>
      </c>
      <c r="O253" s="12" t="s">
        <v>5315</v>
      </c>
      <c r="P253" s="14" t="s">
        <v>5316</v>
      </c>
      <c r="Q253" s="17" t="s">
        <v>137</v>
      </c>
      <c r="R253" s="17" t="s">
        <v>146</v>
      </c>
    </row>
    <row r="254" spans="1:18" x14ac:dyDescent="0.3">
      <c r="A254" s="12" t="s">
        <v>5317</v>
      </c>
      <c r="B254" s="12" t="s">
        <v>12</v>
      </c>
      <c r="C254" s="12" t="s">
        <v>14</v>
      </c>
      <c r="D254" s="12" t="s">
        <v>180</v>
      </c>
      <c r="E254" s="12" t="s">
        <v>5318</v>
      </c>
      <c r="F254" s="12"/>
      <c r="G254" s="12" t="s">
        <v>749</v>
      </c>
      <c r="H254" s="12" t="s">
        <v>38</v>
      </c>
      <c r="I254" s="12" t="s">
        <v>26</v>
      </c>
      <c r="J254" s="13" t="s">
        <v>756</v>
      </c>
      <c r="K254" s="14" t="s">
        <v>5319</v>
      </c>
      <c r="L254" s="15">
        <v>1</v>
      </c>
      <c r="M254" s="15" t="s">
        <v>144</v>
      </c>
      <c r="N254" s="16">
        <v>43839</v>
      </c>
      <c r="O254" s="12" t="s">
        <v>5317</v>
      </c>
      <c r="P254" s="14" t="s">
        <v>5320</v>
      </c>
      <c r="Q254" s="17" t="s">
        <v>137</v>
      </c>
      <c r="R254" s="17" t="s">
        <v>146</v>
      </c>
    </row>
    <row r="255" spans="1:18" x14ac:dyDescent="0.3">
      <c r="A255" s="12" t="s">
        <v>5321</v>
      </c>
      <c r="B255" s="12" t="s">
        <v>12</v>
      </c>
      <c r="C255" s="12"/>
      <c r="D255" s="12" t="s">
        <v>12</v>
      </c>
      <c r="E255" s="12" t="s">
        <v>5312</v>
      </c>
      <c r="F255" s="12" t="s">
        <v>843</v>
      </c>
      <c r="G255" s="12" t="s">
        <v>749</v>
      </c>
      <c r="H255" s="12" t="s">
        <v>38</v>
      </c>
      <c r="I255" s="12" t="s">
        <v>26</v>
      </c>
      <c r="J255" s="13" t="s">
        <v>750</v>
      </c>
      <c r="K255" s="14" t="s">
        <v>5313</v>
      </c>
      <c r="L255" s="15">
        <v>2</v>
      </c>
      <c r="M255" s="15" t="s">
        <v>144</v>
      </c>
      <c r="N255" s="16">
        <v>43509</v>
      </c>
      <c r="O255" s="12" t="s">
        <v>5321</v>
      </c>
      <c r="P255" s="14" t="s">
        <v>5322</v>
      </c>
      <c r="Q255" s="17" t="s">
        <v>137</v>
      </c>
      <c r="R255" s="17" t="s">
        <v>146</v>
      </c>
    </row>
    <row r="256" spans="1:18" x14ac:dyDescent="0.3">
      <c r="A256" s="12" t="s">
        <v>5323</v>
      </c>
      <c r="B256" s="12" t="s">
        <v>10</v>
      </c>
      <c r="C256" s="12"/>
      <c r="D256" s="12" t="s">
        <v>252</v>
      </c>
      <c r="E256" s="12" t="s">
        <v>5312</v>
      </c>
      <c r="F256" s="12" t="s">
        <v>843</v>
      </c>
      <c r="G256" s="12" t="s">
        <v>749</v>
      </c>
      <c r="H256" s="12" t="s">
        <v>38</v>
      </c>
      <c r="I256" s="12" t="s">
        <v>26</v>
      </c>
      <c r="J256" s="13" t="s">
        <v>750</v>
      </c>
      <c r="K256" s="14" t="s">
        <v>5313</v>
      </c>
      <c r="L256" s="15">
        <v>0</v>
      </c>
      <c r="M256" s="15" t="s">
        <v>144</v>
      </c>
      <c r="N256" s="16">
        <v>42452</v>
      </c>
      <c r="O256" s="12" t="s">
        <v>5323</v>
      </c>
      <c r="P256" s="14" t="s">
        <v>5324</v>
      </c>
      <c r="Q256" s="17" t="s">
        <v>137</v>
      </c>
      <c r="R256" s="17" t="s">
        <v>146</v>
      </c>
    </row>
    <row r="257" spans="1:18" x14ac:dyDescent="0.3">
      <c r="A257" s="12" t="s">
        <v>5325</v>
      </c>
      <c r="B257" s="12" t="s">
        <v>12</v>
      </c>
      <c r="C257" s="12"/>
      <c r="D257" s="12" t="s">
        <v>12</v>
      </c>
      <c r="E257" s="12" t="s">
        <v>5326</v>
      </c>
      <c r="F257" s="12" t="s">
        <v>520</v>
      </c>
      <c r="G257" s="12" t="s">
        <v>785</v>
      </c>
      <c r="H257" s="12" t="s">
        <v>38</v>
      </c>
      <c r="I257" s="12" t="s">
        <v>26</v>
      </c>
      <c r="J257" s="13" t="s">
        <v>786</v>
      </c>
      <c r="K257" s="14" t="s">
        <v>5327</v>
      </c>
      <c r="L257" s="15">
        <v>2</v>
      </c>
      <c r="M257" s="15" t="s">
        <v>144</v>
      </c>
      <c r="N257" s="16">
        <v>40900</v>
      </c>
      <c r="O257" s="12" t="s">
        <v>5325</v>
      </c>
      <c r="P257" s="14" t="s">
        <v>5328</v>
      </c>
      <c r="Q257" s="17" t="s">
        <v>137</v>
      </c>
      <c r="R257" s="17" t="s">
        <v>146</v>
      </c>
    </row>
    <row r="258" spans="1:18" x14ac:dyDescent="0.3">
      <c r="A258" s="12" t="s">
        <v>5329</v>
      </c>
      <c r="B258" s="12" t="s">
        <v>12</v>
      </c>
      <c r="C258" s="12"/>
      <c r="D258" s="12" t="s">
        <v>12</v>
      </c>
      <c r="E258" s="12" t="s">
        <v>5326</v>
      </c>
      <c r="F258" s="12" t="s">
        <v>5330</v>
      </c>
      <c r="G258" s="12" t="s">
        <v>785</v>
      </c>
      <c r="H258" s="12" t="s">
        <v>38</v>
      </c>
      <c r="I258" s="12" t="s">
        <v>26</v>
      </c>
      <c r="J258" s="13" t="s">
        <v>786</v>
      </c>
      <c r="K258" s="14" t="s">
        <v>5331</v>
      </c>
      <c r="L258" s="15">
        <v>2</v>
      </c>
      <c r="M258" s="15" t="s">
        <v>144</v>
      </c>
      <c r="N258" s="16">
        <v>44065</v>
      </c>
      <c r="O258" s="12" t="s">
        <v>5329</v>
      </c>
      <c r="P258" s="14" t="s">
        <v>5332</v>
      </c>
      <c r="Q258" s="17" t="s">
        <v>137</v>
      </c>
      <c r="R258" s="17" t="s">
        <v>146</v>
      </c>
    </row>
    <row r="259" spans="1:18" x14ac:dyDescent="0.3">
      <c r="A259" s="12" t="s">
        <v>5333</v>
      </c>
      <c r="B259" s="12" t="s">
        <v>12</v>
      </c>
      <c r="C259" s="12"/>
      <c r="D259" s="12" t="s">
        <v>12</v>
      </c>
      <c r="E259" s="12" t="s">
        <v>5334</v>
      </c>
      <c r="F259" s="12"/>
      <c r="G259" s="12" t="s">
        <v>785</v>
      </c>
      <c r="H259" s="12" t="s">
        <v>38</v>
      </c>
      <c r="I259" s="12" t="s">
        <v>26</v>
      </c>
      <c r="J259" s="13" t="s">
        <v>786</v>
      </c>
      <c r="K259" s="14" t="s">
        <v>5335</v>
      </c>
      <c r="L259" s="15">
        <v>2</v>
      </c>
      <c r="M259" s="15" t="s">
        <v>144</v>
      </c>
      <c r="N259" s="16">
        <v>43595</v>
      </c>
      <c r="O259" s="12" t="s">
        <v>5333</v>
      </c>
      <c r="P259" s="14" t="s">
        <v>5336</v>
      </c>
      <c r="Q259" s="17" t="s">
        <v>137</v>
      </c>
      <c r="R259" s="17" t="s">
        <v>146</v>
      </c>
    </row>
    <row r="260" spans="1:18" x14ac:dyDescent="0.3">
      <c r="A260" s="12" t="s">
        <v>5337</v>
      </c>
      <c r="B260" s="12" t="s">
        <v>12</v>
      </c>
      <c r="C260" s="12"/>
      <c r="D260" s="12" t="s">
        <v>12</v>
      </c>
      <c r="E260" s="12" t="s">
        <v>816</v>
      </c>
      <c r="F260" s="12"/>
      <c r="G260" s="12" t="s">
        <v>785</v>
      </c>
      <c r="H260" s="12" t="s">
        <v>38</v>
      </c>
      <c r="I260" s="12" t="s">
        <v>26</v>
      </c>
      <c r="J260" s="13" t="s">
        <v>786</v>
      </c>
      <c r="K260" s="14" t="s">
        <v>5338</v>
      </c>
      <c r="L260" s="15">
        <v>5</v>
      </c>
      <c r="M260" s="15" t="s">
        <v>144</v>
      </c>
      <c r="N260" s="16">
        <v>44065</v>
      </c>
      <c r="O260" s="12" t="s">
        <v>5337</v>
      </c>
      <c r="P260" s="14" t="s">
        <v>5339</v>
      </c>
      <c r="Q260" s="17" t="s">
        <v>137</v>
      </c>
      <c r="R260" s="17" t="s">
        <v>146</v>
      </c>
    </row>
    <row r="261" spans="1:18" x14ac:dyDescent="0.3">
      <c r="A261" s="12" t="s">
        <v>5340</v>
      </c>
      <c r="B261" s="12" t="s">
        <v>12</v>
      </c>
      <c r="C261" s="12"/>
      <c r="D261" s="12" t="s">
        <v>12</v>
      </c>
      <c r="E261" s="12" t="s">
        <v>5341</v>
      </c>
      <c r="F261" s="12"/>
      <c r="G261" s="12" t="s">
        <v>785</v>
      </c>
      <c r="H261" s="12" t="s">
        <v>38</v>
      </c>
      <c r="I261" s="12" t="s">
        <v>26</v>
      </c>
      <c r="J261" s="13" t="s">
        <v>786</v>
      </c>
      <c r="K261" s="14" t="s">
        <v>5342</v>
      </c>
      <c r="L261" s="15">
        <v>3</v>
      </c>
      <c r="M261" s="15" t="s">
        <v>144</v>
      </c>
      <c r="N261" s="16">
        <v>43323</v>
      </c>
      <c r="O261" s="12" t="s">
        <v>5340</v>
      </c>
      <c r="P261" s="14" t="s">
        <v>5343</v>
      </c>
      <c r="Q261" s="17" t="s">
        <v>137</v>
      </c>
      <c r="R261" s="17" t="s">
        <v>146</v>
      </c>
    </row>
    <row r="262" spans="1:18" x14ac:dyDescent="0.3">
      <c r="A262" s="12" t="s">
        <v>5344</v>
      </c>
      <c r="B262" s="12" t="s">
        <v>12</v>
      </c>
      <c r="C262" s="12"/>
      <c r="D262" s="12" t="s">
        <v>12</v>
      </c>
      <c r="E262" s="12" t="s">
        <v>831</v>
      </c>
      <c r="F262" s="12" t="s">
        <v>832</v>
      </c>
      <c r="G262" s="12" t="s">
        <v>785</v>
      </c>
      <c r="H262" s="12" t="s">
        <v>38</v>
      </c>
      <c r="I262" s="12" t="s">
        <v>26</v>
      </c>
      <c r="J262" s="13" t="s">
        <v>786</v>
      </c>
      <c r="K262" s="14" t="s">
        <v>5345</v>
      </c>
      <c r="L262" s="15">
        <v>4</v>
      </c>
      <c r="M262" s="15" t="s">
        <v>144</v>
      </c>
      <c r="N262" s="16">
        <v>41746</v>
      </c>
      <c r="O262" s="12" t="s">
        <v>5344</v>
      </c>
      <c r="P262" s="14" t="s">
        <v>5346</v>
      </c>
      <c r="Q262" s="17" t="s">
        <v>137</v>
      </c>
      <c r="R262" s="17" t="s">
        <v>146</v>
      </c>
    </row>
    <row r="263" spans="1:18" x14ac:dyDescent="0.3">
      <c r="A263" s="12" t="s">
        <v>5347</v>
      </c>
      <c r="B263" s="12" t="s">
        <v>12</v>
      </c>
      <c r="C263" s="12"/>
      <c r="D263" s="12" t="s">
        <v>12</v>
      </c>
      <c r="E263" s="12" t="s">
        <v>5348</v>
      </c>
      <c r="F263" s="12" t="s">
        <v>258</v>
      </c>
      <c r="G263" s="12" t="s">
        <v>785</v>
      </c>
      <c r="H263" s="12" t="s">
        <v>38</v>
      </c>
      <c r="I263" s="12" t="s">
        <v>26</v>
      </c>
      <c r="J263" s="13" t="s">
        <v>786</v>
      </c>
      <c r="K263" s="14" t="s">
        <v>5349</v>
      </c>
      <c r="L263" s="15">
        <v>0</v>
      </c>
      <c r="M263" s="15" t="s">
        <v>144</v>
      </c>
      <c r="N263" s="16">
        <v>40093</v>
      </c>
      <c r="O263" s="12" t="s">
        <v>5347</v>
      </c>
      <c r="P263" s="14" t="s">
        <v>5350</v>
      </c>
      <c r="Q263" s="17" t="s">
        <v>137</v>
      </c>
      <c r="R263" s="17" t="s">
        <v>146</v>
      </c>
    </row>
    <row r="264" spans="1:18" x14ac:dyDescent="0.3">
      <c r="A264" s="12" t="s">
        <v>5351</v>
      </c>
      <c r="B264" s="12" t="s">
        <v>12</v>
      </c>
      <c r="C264" s="12"/>
      <c r="D264" s="12" t="s">
        <v>12</v>
      </c>
      <c r="E264" s="12" t="s">
        <v>5352</v>
      </c>
      <c r="F264" s="12"/>
      <c r="G264" s="12" t="s">
        <v>785</v>
      </c>
      <c r="H264" s="12" t="s">
        <v>38</v>
      </c>
      <c r="I264" s="12" t="s">
        <v>26</v>
      </c>
      <c r="J264" s="13" t="s">
        <v>786</v>
      </c>
      <c r="K264" s="14" t="s">
        <v>5353</v>
      </c>
      <c r="L264" s="15">
        <v>0</v>
      </c>
      <c r="M264" s="15" t="s">
        <v>144</v>
      </c>
      <c r="N264" s="16">
        <v>43145</v>
      </c>
      <c r="O264" s="12" t="s">
        <v>5351</v>
      </c>
      <c r="P264" s="14" t="s">
        <v>5354</v>
      </c>
      <c r="Q264" s="17" t="s">
        <v>137</v>
      </c>
      <c r="R264" s="17" t="s">
        <v>146</v>
      </c>
    </row>
    <row r="265" spans="1:18" x14ac:dyDescent="0.3">
      <c r="A265" s="12" t="s">
        <v>5355</v>
      </c>
      <c r="B265" s="12" t="s">
        <v>12</v>
      </c>
      <c r="C265" s="12"/>
      <c r="D265" s="12" t="s">
        <v>12</v>
      </c>
      <c r="E265" s="12" t="s">
        <v>5356</v>
      </c>
      <c r="F265" s="12" t="s">
        <v>583</v>
      </c>
      <c r="G265" s="12" t="s">
        <v>785</v>
      </c>
      <c r="H265" s="12" t="s">
        <v>38</v>
      </c>
      <c r="I265" s="12" t="s">
        <v>26</v>
      </c>
      <c r="J265" s="13" t="s">
        <v>786</v>
      </c>
      <c r="K265" s="14" t="s">
        <v>5357</v>
      </c>
      <c r="L265" s="15">
        <v>2</v>
      </c>
      <c r="M265" s="15" t="s">
        <v>144</v>
      </c>
      <c r="N265" s="16">
        <v>40274</v>
      </c>
      <c r="O265" s="12" t="s">
        <v>5355</v>
      </c>
      <c r="P265" s="14" t="s">
        <v>5358</v>
      </c>
      <c r="Q265" s="17" t="s">
        <v>137</v>
      </c>
      <c r="R265" s="17" t="s">
        <v>146</v>
      </c>
    </row>
    <row r="266" spans="1:18" x14ac:dyDescent="0.3">
      <c r="A266" s="12" t="s">
        <v>5359</v>
      </c>
      <c r="B266" s="12" t="s">
        <v>12</v>
      </c>
      <c r="C266" s="12"/>
      <c r="D266" s="12" t="s">
        <v>12</v>
      </c>
      <c r="E266" s="12" t="s">
        <v>816</v>
      </c>
      <c r="F266" s="12"/>
      <c r="G266" s="12" t="s">
        <v>785</v>
      </c>
      <c r="H266" s="12" t="s">
        <v>38</v>
      </c>
      <c r="I266" s="12" t="s">
        <v>26</v>
      </c>
      <c r="J266" s="13" t="s">
        <v>786</v>
      </c>
      <c r="K266" s="14" t="s">
        <v>5360</v>
      </c>
      <c r="L266" s="15">
        <v>5</v>
      </c>
      <c r="M266" s="15" t="s">
        <v>144</v>
      </c>
      <c r="N266" s="16">
        <v>44065</v>
      </c>
      <c r="O266" s="12" t="s">
        <v>5359</v>
      </c>
      <c r="P266" s="14" t="s">
        <v>5361</v>
      </c>
      <c r="Q266" s="17" t="s">
        <v>137</v>
      </c>
      <c r="R266" s="17" t="s">
        <v>146</v>
      </c>
    </row>
    <row r="267" spans="1:18" x14ac:dyDescent="0.3">
      <c r="A267" s="12" t="s">
        <v>5362</v>
      </c>
      <c r="B267" s="12" t="s">
        <v>12</v>
      </c>
      <c r="C267" s="12"/>
      <c r="D267" s="12" t="s">
        <v>12</v>
      </c>
      <c r="E267" s="12" t="s">
        <v>828</v>
      </c>
      <c r="F267" s="12" t="s">
        <v>843</v>
      </c>
      <c r="G267" s="12" t="s">
        <v>785</v>
      </c>
      <c r="H267" s="12" t="s">
        <v>38</v>
      </c>
      <c r="I267" s="12" t="s">
        <v>26</v>
      </c>
      <c r="J267" s="13" t="s">
        <v>786</v>
      </c>
      <c r="K267" s="14" t="s">
        <v>5363</v>
      </c>
      <c r="L267" s="15">
        <v>0</v>
      </c>
      <c r="M267" s="15" t="s">
        <v>144</v>
      </c>
      <c r="N267" s="16">
        <v>39707</v>
      </c>
      <c r="O267" s="12" t="s">
        <v>5362</v>
      </c>
      <c r="P267" s="14" t="s">
        <v>5364</v>
      </c>
      <c r="Q267" s="17" t="s">
        <v>137</v>
      </c>
      <c r="R267" s="17" t="s">
        <v>146</v>
      </c>
    </row>
    <row r="268" spans="1:18" x14ac:dyDescent="0.3">
      <c r="A268" s="12" t="s">
        <v>5365</v>
      </c>
      <c r="B268" s="12" t="s">
        <v>12</v>
      </c>
      <c r="C268" s="12"/>
      <c r="D268" s="12" t="s">
        <v>12</v>
      </c>
      <c r="E268" s="12" t="s">
        <v>812</v>
      </c>
      <c r="F268" s="12"/>
      <c r="G268" s="12" t="s">
        <v>785</v>
      </c>
      <c r="H268" s="12" t="s">
        <v>38</v>
      </c>
      <c r="I268" s="12" t="s">
        <v>26</v>
      </c>
      <c r="J268" s="13" t="s">
        <v>786</v>
      </c>
      <c r="K268" s="14" t="s">
        <v>813</v>
      </c>
      <c r="L268" s="15">
        <v>8</v>
      </c>
      <c r="M268" s="15" t="s">
        <v>144</v>
      </c>
      <c r="N268" s="16">
        <v>42479</v>
      </c>
      <c r="O268" s="12" t="s">
        <v>5365</v>
      </c>
      <c r="P268" s="14" t="s">
        <v>5366</v>
      </c>
      <c r="Q268" s="17" t="s">
        <v>137</v>
      </c>
      <c r="R268" s="17" t="s">
        <v>146</v>
      </c>
    </row>
    <row r="269" spans="1:18" x14ac:dyDescent="0.3">
      <c r="A269" s="12" t="s">
        <v>5367</v>
      </c>
      <c r="B269" s="12" t="s">
        <v>12</v>
      </c>
      <c r="C269" s="12" t="s">
        <v>14</v>
      </c>
      <c r="D269" s="12" t="s">
        <v>180</v>
      </c>
      <c r="E269" s="12" t="s">
        <v>5368</v>
      </c>
      <c r="F269" s="12"/>
      <c r="G269" s="12" t="s">
        <v>785</v>
      </c>
      <c r="H269" s="12" t="s">
        <v>38</v>
      </c>
      <c r="I269" s="12" t="s">
        <v>26</v>
      </c>
      <c r="J269" s="13" t="s">
        <v>786</v>
      </c>
      <c r="K269" s="14" t="s">
        <v>5369</v>
      </c>
      <c r="L269" s="15">
        <v>15</v>
      </c>
      <c r="M269" s="15" t="s">
        <v>144</v>
      </c>
      <c r="N269" s="16">
        <v>43916</v>
      </c>
      <c r="O269" s="12" t="s">
        <v>5367</v>
      </c>
      <c r="P269" s="14" t="s">
        <v>5370</v>
      </c>
      <c r="Q269" s="17" t="s">
        <v>137</v>
      </c>
      <c r="R269" s="17" t="s">
        <v>146</v>
      </c>
    </row>
    <row r="270" spans="1:18" x14ac:dyDescent="0.3">
      <c r="A270" s="12" t="s">
        <v>5371</v>
      </c>
      <c r="B270" s="12" t="s">
        <v>12</v>
      </c>
      <c r="C270" s="12"/>
      <c r="D270" s="12" t="s">
        <v>12</v>
      </c>
      <c r="E270" s="12" t="s">
        <v>5356</v>
      </c>
      <c r="F270" s="12" t="s">
        <v>5372</v>
      </c>
      <c r="G270" s="12" t="s">
        <v>785</v>
      </c>
      <c r="H270" s="12" t="s">
        <v>38</v>
      </c>
      <c r="I270" s="12" t="s">
        <v>26</v>
      </c>
      <c r="J270" s="13" t="s">
        <v>786</v>
      </c>
      <c r="K270" s="14" t="s">
        <v>5357</v>
      </c>
      <c r="L270" s="15">
        <v>2</v>
      </c>
      <c r="M270" s="15" t="s">
        <v>144</v>
      </c>
      <c r="N270" s="16">
        <v>40324</v>
      </c>
      <c r="O270" s="12" t="s">
        <v>5371</v>
      </c>
      <c r="P270" s="14" t="s">
        <v>5373</v>
      </c>
      <c r="Q270" s="17" t="s">
        <v>137</v>
      </c>
      <c r="R270" s="17" t="s">
        <v>146</v>
      </c>
    </row>
    <row r="271" spans="1:18" x14ac:dyDescent="0.3">
      <c r="A271" s="12" t="s">
        <v>5374</v>
      </c>
      <c r="B271" s="12" t="s">
        <v>12</v>
      </c>
      <c r="C271" s="12"/>
      <c r="D271" s="12" t="s">
        <v>12</v>
      </c>
      <c r="E271" s="12" t="s">
        <v>5326</v>
      </c>
      <c r="F271" s="12" t="s">
        <v>520</v>
      </c>
      <c r="G271" s="12" t="s">
        <v>785</v>
      </c>
      <c r="H271" s="12" t="s">
        <v>38</v>
      </c>
      <c r="I271" s="12" t="s">
        <v>26</v>
      </c>
      <c r="J271" s="13" t="s">
        <v>786</v>
      </c>
      <c r="K271" s="14" t="s">
        <v>5375</v>
      </c>
      <c r="L271" s="15">
        <v>2</v>
      </c>
      <c r="M271" s="15" t="s">
        <v>144</v>
      </c>
      <c r="N271" s="16">
        <v>41424</v>
      </c>
      <c r="O271" s="12" t="s">
        <v>5374</v>
      </c>
      <c r="P271" s="14" t="s">
        <v>5376</v>
      </c>
      <c r="Q271" s="17" t="s">
        <v>137</v>
      </c>
      <c r="R271" s="17" t="s">
        <v>146</v>
      </c>
    </row>
    <row r="272" spans="1:18" x14ac:dyDescent="0.3">
      <c r="A272" s="12" t="s">
        <v>5377</v>
      </c>
      <c r="B272" s="12" t="s">
        <v>12</v>
      </c>
      <c r="C272" s="12"/>
      <c r="D272" s="12" t="s">
        <v>12</v>
      </c>
      <c r="E272" s="12" t="s">
        <v>5326</v>
      </c>
      <c r="F272" s="12" t="s">
        <v>520</v>
      </c>
      <c r="G272" s="12" t="s">
        <v>785</v>
      </c>
      <c r="H272" s="12" t="s">
        <v>38</v>
      </c>
      <c r="I272" s="12" t="s">
        <v>26</v>
      </c>
      <c r="J272" s="13" t="s">
        <v>786</v>
      </c>
      <c r="K272" s="14" t="s">
        <v>5375</v>
      </c>
      <c r="L272" s="15">
        <v>2</v>
      </c>
      <c r="M272" s="15" t="s">
        <v>144</v>
      </c>
      <c r="N272" s="16">
        <v>39912</v>
      </c>
      <c r="O272" s="12" t="s">
        <v>5377</v>
      </c>
      <c r="P272" s="14" t="s">
        <v>5378</v>
      </c>
      <c r="Q272" s="17" t="s">
        <v>137</v>
      </c>
      <c r="R272" s="17" t="s">
        <v>146</v>
      </c>
    </row>
    <row r="273" spans="1:18" x14ac:dyDescent="0.3">
      <c r="A273" s="12" t="s">
        <v>5379</v>
      </c>
      <c r="B273" s="12" t="s">
        <v>12</v>
      </c>
      <c r="C273" s="12"/>
      <c r="D273" s="12" t="s">
        <v>12</v>
      </c>
      <c r="E273" s="12" t="s">
        <v>831</v>
      </c>
      <c r="F273" s="12" t="s">
        <v>832</v>
      </c>
      <c r="G273" s="12" t="s">
        <v>785</v>
      </c>
      <c r="H273" s="12" t="s">
        <v>38</v>
      </c>
      <c r="I273" s="12" t="s">
        <v>26</v>
      </c>
      <c r="J273" s="13" t="s">
        <v>786</v>
      </c>
      <c r="K273" s="14" t="s">
        <v>5380</v>
      </c>
      <c r="L273" s="15">
        <v>4</v>
      </c>
      <c r="M273" s="15" t="s">
        <v>144</v>
      </c>
      <c r="N273" s="16">
        <v>42667</v>
      </c>
      <c r="O273" s="12" t="s">
        <v>5379</v>
      </c>
      <c r="P273" s="14" t="s">
        <v>5381</v>
      </c>
      <c r="Q273" s="17" t="s">
        <v>137</v>
      </c>
      <c r="R273" s="17" t="s">
        <v>146</v>
      </c>
    </row>
    <row r="274" spans="1:18" x14ac:dyDescent="0.3">
      <c r="A274" s="12" t="s">
        <v>5382</v>
      </c>
      <c r="B274" s="12" t="s">
        <v>12</v>
      </c>
      <c r="C274" s="12"/>
      <c r="D274" s="12" t="s">
        <v>12</v>
      </c>
      <c r="E274" s="12" t="s">
        <v>5356</v>
      </c>
      <c r="F274" s="12" t="s">
        <v>583</v>
      </c>
      <c r="G274" s="12" t="s">
        <v>785</v>
      </c>
      <c r="H274" s="12" t="s">
        <v>38</v>
      </c>
      <c r="I274" s="12" t="s">
        <v>26</v>
      </c>
      <c r="J274" s="13" t="s">
        <v>786</v>
      </c>
      <c r="K274" s="14" t="s">
        <v>5357</v>
      </c>
      <c r="L274" s="15">
        <v>2</v>
      </c>
      <c r="M274" s="15" t="s">
        <v>144</v>
      </c>
      <c r="N274" s="16">
        <v>39919</v>
      </c>
      <c r="O274" s="12" t="s">
        <v>5382</v>
      </c>
      <c r="P274" s="14" t="s">
        <v>5383</v>
      </c>
      <c r="Q274" s="17" t="s">
        <v>137</v>
      </c>
      <c r="R274" s="17" t="s">
        <v>146</v>
      </c>
    </row>
    <row r="275" spans="1:18" x14ac:dyDescent="0.3">
      <c r="A275" s="12" t="s">
        <v>5384</v>
      </c>
      <c r="B275" s="12" t="s">
        <v>12</v>
      </c>
      <c r="C275" s="12"/>
      <c r="D275" s="12" t="s">
        <v>12</v>
      </c>
      <c r="E275" s="12" t="s">
        <v>5385</v>
      </c>
      <c r="F275" s="12"/>
      <c r="G275" s="12" t="s">
        <v>785</v>
      </c>
      <c r="H275" s="12" t="s">
        <v>38</v>
      </c>
      <c r="I275" s="12" t="s">
        <v>26</v>
      </c>
      <c r="J275" s="13" t="s">
        <v>786</v>
      </c>
      <c r="K275" s="14" t="s">
        <v>5386</v>
      </c>
      <c r="L275" s="15">
        <v>2</v>
      </c>
      <c r="M275" s="15" t="s">
        <v>144</v>
      </c>
      <c r="N275" s="16">
        <v>42244</v>
      </c>
      <c r="O275" s="12" t="s">
        <v>5387</v>
      </c>
      <c r="P275" s="14" t="s">
        <v>5388</v>
      </c>
      <c r="Q275" s="17" t="s">
        <v>137</v>
      </c>
      <c r="R275" s="17" t="s">
        <v>146</v>
      </c>
    </row>
    <row r="276" spans="1:18" x14ac:dyDescent="0.3">
      <c r="A276" s="12" t="s">
        <v>5389</v>
      </c>
      <c r="B276" s="12" t="s">
        <v>14</v>
      </c>
      <c r="C276" s="12"/>
      <c r="D276" s="12" t="s">
        <v>14</v>
      </c>
      <c r="E276" s="12" t="s">
        <v>5390</v>
      </c>
      <c r="F276" s="12"/>
      <c r="G276" s="12" t="s">
        <v>785</v>
      </c>
      <c r="H276" s="12" t="s">
        <v>38</v>
      </c>
      <c r="I276" s="12" t="s">
        <v>26</v>
      </c>
      <c r="J276" s="13" t="s">
        <v>786</v>
      </c>
      <c r="K276" s="14" t="s">
        <v>5391</v>
      </c>
      <c r="L276" s="15">
        <v>0</v>
      </c>
      <c r="M276" s="15" t="s">
        <v>144</v>
      </c>
      <c r="N276" s="16">
        <v>44344</v>
      </c>
      <c r="O276" s="12" t="s">
        <v>5389</v>
      </c>
      <c r="P276" s="14" t="s">
        <v>5392</v>
      </c>
      <c r="Q276" s="17" t="s">
        <v>137</v>
      </c>
      <c r="R276" s="17" t="s">
        <v>146</v>
      </c>
    </row>
    <row r="277" spans="1:18" x14ac:dyDescent="0.3">
      <c r="A277" s="12" t="s">
        <v>5393</v>
      </c>
      <c r="B277" s="12" t="s">
        <v>14</v>
      </c>
      <c r="C277" s="12"/>
      <c r="D277" s="12" t="s">
        <v>14</v>
      </c>
      <c r="E277" s="12" t="s">
        <v>5394</v>
      </c>
      <c r="F277" s="12" t="s">
        <v>467</v>
      </c>
      <c r="G277" s="12" t="s">
        <v>785</v>
      </c>
      <c r="H277" s="12" t="s">
        <v>38</v>
      </c>
      <c r="I277" s="12" t="s">
        <v>26</v>
      </c>
      <c r="J277" s="13" t="s">
        <v>786</v>
      </c>
      <c r="K277" s="14" t="s">
        <v>980</v>
      </c>
      <c r="L277" s="15">
        <v>0</v>
      </c>
      <c r="M277" s="15" t="s">
        <v>144</v>
      </c>
      <c r="N277" s="16">
        <v>43983</v>
      </c>
      <c r="O277" s="12" t="s">
        <v>1723</v>
      </c>
      <c r="P277" s="14" t="s">
        <v>5395</v>
      </c>
      <c r="Q277" s="17" t="s">
        <v>137</v>
      </c>
      <c r="R277" s="17" t="s">
        <v>146</v>
      </c>
    </row>
    <row r="278" spans="1:18" x14ac:dyDescent="0.3">
      <c r="A278" s="12" t="s">
        <v>5396</v>
      </c>
      <c r="B278" s="12" t="s">
        <v>12</v>
      </c>
      <c r="C278" s="12"/>
      <c r="D278" s="12" t="s">
        <v>12</v>
      </c>
      <c r="E278" s="12" t="s">
        <v>854</v>
      </c>
      <c r="F278" s="12" t="s">
        <v>188</v>
      </c>
      <c r="G278" s="12" t="s">
        <v>844</v>
      </c>
      <c r="H278" s="12" t="s">
        <v>38</v>
      </c>
      <c r="I278" s="12" t="s">
        <v>26</v>
      </c>
      <c r="J278" s="13" t="s">
        <v>850</v>
      </c>
      <c r="K278" s="14" t="s">
        <v>5397</v>
      </c>
      <c r="L278" s="15">
        <v>1</v>
      </c>
      <c r="M278" s="15" t="s">
        <v>144</v>
      </c>
      <c r="N278" s="16">
        <v>42621</v>
      </c>
      <c r="O278" s="12" t="s">
        <v>5396</v>
      </c>
      <c r="P278" s="14" t="s">
        <v>5398</v>
      </c>
      <c r="Q278" s="17" t="s">
        <v>137</v>
      </c>
      <c r="R278" s="17" t="s">
        <v>146</v>
      </c>
    </row>
    <row r="279" spans="1:18" x14ac:dyDescent="0.3">
      <c r="A279" s="12" t="s">
        <v>5399</v>
      </c>
      <c r="B279" s="12" t="s">
        <v>12</v>
      </c>
      <c r="C279" s="12"/>
      <c r="D279" s="12" t="s">
        <v>12</v>
      </c>
      <c r="E279" s="12" t="s">
        <v>5400</v>
      </c>
      <c r="F279" s="12" t="s">
        <v>188</v>
      </c>
      <c r="G279" s="12" t="s">
        <v>844</v>
      </c>
      <c r="H279" s="12" t="s">
        <v>38</v>
      </c>
      <c r="I279" s="12" t="s">
        <v>26</v>
      </c>
      <c r="J279" s="13" t="s">
        <v>845</v>
      </c>
      <c r="K279" s="14" t="s">
        <v>5401</v>
      </c>
      <c r="L279" s="15">
        <v>0</v>
      </c>
      <c r="M279" s="15" t="s">
        <v>144</v>
      </c>
      <c r="N279" s="16">
        <v>43522</v>
      </c>
      <c r="O279" s="12" t="s">
        <v>5399</v>
      </c>
      <c r="P279" s="14" t="s">
        <v>5402</v>
      </c>
      <c r="Q279" s="17" t="s">
        <v>137</v>
      </c>
      <c r="R279" s="17" t="s">
        <v>146</v>
      </c>
    </row>
    <row r="280" spans="1:18" x14ac:dyDescent="0.3">
      <c r="A280" s="12" t="s">
        <v>5403</v>
      </c>
      <c r="B280" s="12" t="s">
        <v>12</v>
      </c>
      <c r="C280" s="12"/>
      <c r="D280" s="12" t="s">
        <v>12</v>
      </c>
      <c r="E280" s="12" t="s">
        <v>5404</v>
      </c>
      <c r="F280" s="12"/>
      <c r="G280" s="12" t="s">
        <v>844</v>
      </c>
      <c r="H280" s="12" t="s">
        <v>38</v>
      </c>
      <c r="I280" s="12" t="s">
        <v>26</v>
      </c>
      <c r="J280" s="13" t="s">
        <v>850</v>
      </c>
      <c r="K280" s="14" t="s">
        <v>5405</v>
      </c>
      <c r="L280" s="15">
        <v>1</v>
      </c>
      <c r="M280" s="15" t="s">
        <v>144</v>
      </c>
      <c r="N280" s="16">
        <v>39909</v>
      </c>
      <c r="O280" s="12" t="s">
        <v>5406</v>
      </c>
      <c r="P280" s="14" t="s">
        <v>5407</v>
      </c>
      <c r="Q280" s="17" t="s">
        <v>137</v>
      </c>
      <c r="R280" s="17" t="s">
        <v>146</v>
      </c>
    </row>
    <row r="281" spans="1:18" x14ac:dyDescent="0.3">
      <c r="A281" s="12" t="s">
        <v>5408</v>
      </c>
      <c r="B281" s="12" t="s">
        <v>12</v>
      </c>
      <c r="C281" s="12"/>
      <c r="D281" s="12" t="s">
        <v>12</v>
      </c>
      <c r="E281" s="12" t="s">
        <v>5409</v>
      </c>
      <c r="F281" s="12"/>
      <c r="G281" s="12" t="s">
        <v>844</v>
      </c>
      <c r="H281" s="12" t="s">
        <v>38</v>
      </c>
      <c r="I281" s="12" t="s">
        <v>26</v>
      </c>
      <c r="J281" s="13" t="s">
        <v>845</v>
      </c>
      <c r="K281" s="14" t="s">
        <v>5410</v>
      </c>
      <c r="L281" s="15">
        <v>0</v>
      </c>
      <c r="M281" s="15" t="s">
        <v>144</v>
      </c>
      <c r="N281" s="16">
        <v>43245</v>
      </c>
      <c r="O281" s="12" t="s">
        <v>5408</v>
      </c>
      <c r="P281" s="14" t="s">
        <v>5411</v>
      </c>
      <c r="Q281" s="17" t="s">
        <v>137</v>
      </c>
      <c r="R281" s="17" t="s">
        <v>146</v>
      </c>
    </row>
    <row r="282" spans="1:18" x14ac:dyDescent="0.3">
      <c r="A282" s="12" t="s">
        <v>5412</v>
      </c>
      <c r="B282" s="12" t="s">
        <v>14</v>
      </c>
      <c r="C282" s="12"/>
      <c r="D282" s="12" t="s">
        <v>14</v>
      </c>
      <c r="E282" s="12" t="s">
        <v>842</v>
      </c>
      <c r="F282" s="12" t="s">
        <v>5413</v>
      </c>
      <c r="G282" s="12" t="s">
        <v>844</v>
      </c>
      <c r="H282" s="12" t="s">
        <v>38</v>
      </c>
      <c r="I282" s="12" t="s">
        <v>26</v>
      </c>
      <c r="J282" s="13" t="s">
        <v>845</v>
      </c>
      <c r="K282" s="14" t="s">
        <v>846</v>
      </c>
      <c r="L282" s="15">
        <v>3</v>
      </c>
      <c r="M282" s="15" t="s">
        <v>144</v>
      </c>
      <c r="N282" s="16">
        <v>40457</v>
      </c>
      <c r="O282" s="12" t="s">
        <v>5412</v>
      </c>
      <c r="P282" s="14" t="s">
        <v>5414</v>
      </c>
      <c r="Q282" s="17" t="s">
        <v>137</v>
      </c>
      <c r="R282" s="17" t="s">
        <v>146</v>
      </c>
    </row>
    <row r="283" spans="1:18" x14ac:dyDescent="0.3">
      <c r="A283" s="12" t="s">
        <v>4477</v>
      </c>
      <c r="B283" s="12" t="s">
        <v>14</v>
      </c>
      <c r="C283" s="12"/>
      <c r="D283" s="12" t="s">
        <v>14</v>
      </c>
      <c r="E283" s="12" t="s">
        <v>842</v>
      </c>
      <c r="F283" s="12" t="s">
        <v>843</v>
      </c>
      <c r="G283" s="12" t="s">
        <v>844</v>
      </c>
      <c r="H283" s="12" t="s">
        <v>38</v>
      </c>
      <c r="I283" s="12" t="s">
        <v>26</v>
      </c>
      <c r="J283" s="13" t="s">
        <v>845</v>
      </c>
      <c r="K283" s="14" t="s">
        <v>846</v>
      </c>
      <c r="L283" s="15">
        <v>3</v>
      </c>
      <c r="M283" s="15" t="s">
        <v>144</v>
      </c>
      <c r="N283" s="16">
        <v>42724</v>
      </c>
      <c r="O283" s="12" t="s">
        <v>4477</v>
      </c>
      <c r="P283" s="14" t="s">
        <v>5415</v>
      </c>
      <c r="Q283" s="17" t="s">
        <v>137</v>
      </c>
      <c r="R283" s="17" t="s">
        <v>146</v>
      </c>
    </row>
    <row r="284" spans="1:18" x14ac:dyDescent="0.3">
      <c r="A284" s="12" t="s">
        <v>5416</v>
      </c>
      <c r="B284" s="12" t="s">
        <v>12</v>
      </c>
      <c r="C284" s="12"/>
      <c r="D284" s="12" t="s">
        <v>12</v>
      </c>
      <c r="E284" s="12" t="s">
        <v>5417</v>
      </c>
      <c r="F284" s="12" t="s">
        <v>2020</v>
      </c>
      <c r="G284" s="12" t="s">
        <v>5418</v>
      </c>
      <c r="H284" s="12" t="s">
        <v>38</v>
      </c>
      <c r="I284" s="12" t="s">
        <v>26</v>
      </c>
      <c r="J284" s="13" t="s">
        <v>845</v>
      </c>
      <c r="K284" s="14" t="s">
        <v>5410</v>
      </c>
      <c r="L284" s="15">
        <v>1</v>
      </c>
      <c r="M284" s="15" t="s">
        <v>144</v>
      </c>
      <c r="N284" s="16">
        <v>44065</v>
      </c>
      <c r="O284" s="12" t="s">
        <v>5416</v>
      </c>
      <c r="P284" s="14" t="s">
        <v>5419</v>
      </c>
      <c r="Q284" s="17" t="s">
        <v>137</v>
      </c>
      <c r="R284" s="17" t="s">
        <v>146</v>
      </c>
    </row>
    <row r="285" spans="1:18" x14ac:dyDescent="0.3">
      <c r="A285" s="12" t="s">
        <v>5420</v>
      </c>
      <c r="B285" s="12" t="s">
        <v>10</v>
      </c>
      <c r="C285" s="12"/>
      <c r="D285" s="12" t="s">
        <v>157</v>
      </c>
      <c r="E285" s="12" t="s">
        <v>5421</v>
      </c>
      <c r="F285" s="12"/>
      <c r="G285" s="12" t="s">
        <v>5422</v>
      </c>
      <c r="H285" s="12" t="s">
        <v>38</v>
      </c>
      <c r="I285" s="12" t="s">
        <v>26</v>
      </c>
      <c r="J285" s="13" t="s">
        <v>850</v>
      </c>
      <c r="K285" s="14" t="s">
        <v>5423</v>
      </c>
      <c r="L285" s="15">
        <v>0</v>
      </c>
      <c r="M285" s="15" t="s">
        <v>144</v>
      </c>
      <c r="N285" s="16">
        <v>42817</v>
      </c>
      <c r="O285" s="12" t="s">
        <v>5420</v>
      </c>
      <c r="P285" s="14" t="s">
        <v>5424</v>
      </c>
      <c r="Q285" s="17" t="s">
        <v>137</v>
      </c>
      <c r="R285" s="17" t="s">
        <v>146</v>
      </c>
    </row>
    <row r="286" spans="1:18" x14ac:dyDescent="0.3">
      <c r="A286" s="12" t="s">
        <v>5425</v>
      </c>
      <c r="B286" s="12" t="s">
        <v>14</v>
      </c>
      <c r="C286" s="12"/>
      <c r="D286" s="12" t="s">
        <v>14</v>
      </c>
      <c r="E286" s="12" t="s">
        <v>5426</v>
      </c>
      <c r="F286" s="12"/>
      <c r="G286" s="12" t="s">
        <v>4040</v>
      </c>
      <c r="H286" s="12" t="s">
        <v>38</v>
      </c>
      <c r="I286" s="12" t="s">
        <v>26</v>
      </c>
      <c r="J286" s="13" t="s">
        <v>4041</v>
      </c>
      <c r="K286" s="14" t="s">
        <v>5427</v>
      </c>
      <c r="L286" s="15">
        <v>0</v>
      </c>
      <c r="M286" s="15" t="s">
        <v>220</v>
      </c>
      <c r="N286" s="16">
        <v>39407</v>
      </c>
      <c r="O286" s="12" t="s">
        <v>5425</v>
      </c>
      <c r="P286" s="14" t="s">
        <v>5428</v>
      </c>
      <c r="Q286" s="17" t="s">
        <v>137</v>
      </c>
      <c r="R286" s="17" t="s">
        <v>146</v>
      </c>
    </row>
    <row r="287" spans="1:18" x14ac:dyDescent="0.3">
      <c r="A287" s="12" t="s">
        <v>5429</v>
      </c>
      <c r="B287" s="12" t="s">
        <v>14</v>
      </c>
      <c r="C287" s="12"/>
      <c r="D287" s="12" t="s">
        <v>14</v>
      </c>
      <c r="E287" s="12" t="s">
        <v>5430</v>
      </c>
      <c r="F287" s="12"/>
      <c r="G287" s="12" t="s">
        <v>867</v>
      </c>
      <c r="H287" s="12" t="s">
        <v>38</v>
      </c>
      <c r="I287" s="12" t="s">
        <v>26</v>
      </c>
      <c r="J287" s="13" t="s">
        <v>868</v>
      </c>
      <c r="K287" s="14" t="s">
        <v>5431</v>
      </c>
      <c r="L287" s="15">
        <v>0</v>
      </c>
      <c r="M287" s="15" t="s">
        <v>144</v>
      </c>
      <c r="N287" s="16">
        <v>43151</v>
      </c>
      <c r="O287" s="12" t="s">
        <v>5429</v>
      </c>
      <c r="P287" s="14" t="s">
        <v>5432</v>
      </c>
      <c r="Q287" s="17" t="s">
        <v>137</v>
      </c>
      <c r="R287" s="17" t="s">
        <v>146</v>
      </c>
    </row>
    <row r="288" spans="1:18" x14ac:dyDescent="0.3">
      <c r="A288" s="12" t="s">
        <v>5433</v>
      </c>
      <c r="B288" s="12" t="s">
        <v>12</v>
      </c>
      <c r="C288" s="12"/>
      <c r="D288" s="12" t="s">
        <v>12</v>
      </c>
      <c r="E288" s="12" t="s">
        <v>5434</v>
      </c>
      <c r="F288" s="12" t="s">
        <v>447</v>
      </c>
      <c r="G288" s="12" t="s">
        <v>867</v>
      </c>
      <c r="H288" s="12" t="s">
        <v>38</v>
      </c>
      <c r="I288" s="12" t="s">
        <v>26</v>
      </c>
      <c r="J288" s="13" t="s">
        <v>868</v>
      </c>
      <c r="K288" s="14" t="s">
        <v>5435</v>
      </c>
      <c r="L288" s="15">
        <v>2</v>
      </c>
      <c r="M288" s="15" t="s">
        <v>144</v>
      </c>
      <c r="N288" s="16">
        <v>40527</v>
      </c>
      <c r="O288" s="12" t="s">
        <v>5433</v>
      </c>
      <c r="P288" s="14" t="s">
        <v>5436</v>
      </c>
      <c r="Q288" s="17" t="s">
        <v>137</v>
      </c>
      <c r="R288" s="17" t="s">
        <v>146</v>
      </c>
    </row>
    <row r="289" spans="1:18" x14ac:dyDescent="0.3">
      <c r="A289" s="12" t="s">
        <v>5437</v>
      </c>
      <c r="B289" s="12" t="s">
        <v>12</v>
      </c>
      <c r="C289" s="12"/>
      <c r="D289" s="12" t="s">
        <v>12</v>
      </c>
      <c r="E289" s="12" t="s">
        <v>5438</v>
      </c>
      <c r="F289" s="12"/>
      <c r="G289" s="12" t="s">
        <v>867</v>
      </c>
      <c r="H289" s="12" t="s">
        <v>38</v>
      </c>
      <c r="I289" s="12" t="s">
        <v>26</v>
      </c>
      <c r="J289" s="13" t="s">
        <v>868</v>
      </c>
      <c r="K289" s="14" t="s">
        <v>5439</v>
      </c>
      <c r="L289" s="15">
        <v>1</v>
      </c>
      <c r="M289" s="15" t="s">
        <v>144</v>
      </c>
      <c r="N289" s="16">
        <v>40647</v>
      </c>
      <c r="O289" s="12" t="s">
        <v>5437</v>
      </c>
      <c r="P289" s="14" t="s">
        <v>5440</v>
      </c>
      <c r="Q289" s="17" t="s">
        <v>137</v>
      </c>
      <c r="R289" s="17" t="s">
        <v>146</v>
      </c>
    </row>
    <row r="290" spans="1:18" x14ac:dyDescent="0.3">
      <c r="A290" s="12" t="s">
        <v>5441</v>
      </c>
      <c r="B290" s="12" t="s">
        <v>12</v>
      </c>
      <c r="C290" s="12"/>
      <c r="D290" s="12" t="s">
        <v>12</v>
      </c>
      <c r="E290" s="12" t="s">
        <v>5442</v>
      </c>
      <c r="F290" s="12"/>
      <c r="G290" s="12" t="s">
        <v>5443</v>
      </c>
      <c r="H290" s="12" t="s">
        <v>38</v>
      </c>
      <c r="I290" s="12" t="s">
        <v>26</v>
      </c>
      <c r="J290" s="13" t="s">
        <v>5444</v>
      </c>
      <c r="K290" s="14" t="s">
        <v>5445</v>
      </c>
      <c r="L290" s="15">
        <v>1</v>
      </c>
      <c r="M290" s="15" t="s">
        <v>144</v>
      </c>
      <c r="N290" s="16">
        <v>42296</v>
      </c>
      <c r="O290" s="12" t="s">
        <v>5441</v>
      </c>
      <c r="P290" s="14" t="s">
        <v>5446</v>
      </c>
      <c r="Q290" s="17" t="s">
        <v>137</v>
      </c>
      <c r="R290" s="17" t="s">
        <v>146</v>
      </c>
    </row>
    <row r="291" spans="1:18" x14ac:dyDescent="0.3">
      <c r="A291" s="12" t="s">
        <v>5447</v>
      </c>
      <c r="B291" s="12" t="s">
        <v>12</v>
      </c>
      <c r="C291" s="12"/>
      <c r="D291" s="12" t="s">
        <v>12</v>
      </c>
      <c r="E291" s="12" t="s">
        <v>5448</v>
      </c>
      <c r="F291" s="12"/>
      <c r="G291" s="12" t="s">
        <v>5449</v>
      </c>
      <c r="H291" s="12" t="s">
        <v>38</v>
      </c>
      <c r="I291" s="12" t="s">
        <v>26</v>
      </c>
      <c r="J291" s="13" t="s">
        <v>5444</v>
      </c>
      <c r="K291" s="14" t="s">
        <v>5450</v>
      </c>
      <c r="L291" s="15">
        <v>1</v>
      </c>
      <c r="M291" s="15" t="s">
        <v>144</v>
      </c>
      <c r="N291" s="16">
        <v>42247</v>
      </c>
      <c r="O291" s="12" t="s">
        <v>5447</v>
      </c>
      <c r="P291" s="14" t="s">
        <v>5451</v>
      </c>
      <c r="Q291" s="17" t="s">
        <v>137</v>
      </c>
      <c r="R291" s="17" t="s">
        <v>146</v>
      </c>
    </row>
    <row r="292" spans="1:18" x14ac:dyDescent="0.3">
      <c r="A292" s="12" t="s">
        <v>1891</v>
      </c>
      <c r="B292" s="12" t="s">
        <v>16</v>
      </c>
      <c r="C292" s="12"/>
      <c r="D292" s="12" t="s">
        <v>471</v>
      </c>
      <c r="E292" s="12" t="s">
        <v>5452</v>
      </c>
      <c r="F292" s="12"/>
      <c r="G292" s="12" t="s">
        <v>876</v>
      </c>
      <c r="H292" s="12" t="s">
        <v>38</v>
      </c>
      <c r="I292" s="12" t="s">
        <v>26</v>
      </c>
      <c r="J292" s="13" t="s">
        <v>850</v>
      </c>
      <c r="K292" s="14" t="s">
        <v>5453</v>
      </c>
      <c r="L292" s="15">
        <v>0</v>
      </c>
      <c r="M292" s="15" t="s">
        <v>144</v>
      </c>
      <c r="N292" s="16">
        <v>44065</v>
      </c>
      <c r="O292" s="12" t="s">
        <v>1130</v>
      </c>
      <c r="P292" s="14" t="s">
        <v>5454</v>
      </c>
      <c r="Q292" s="17" t="s">
        <v>137</v>
      </c>
      <c r="R292" s="17" t="s">
        <v>146</v>
      </c>
    </row>
    <row r="293" spans="1:18" x14ac:dyDescent="0.3">
      <c r="A293" s="12" t="s">
        <v>5455</v>
      </c>
      <c r="B293" s="12" t="s">
        <v>12</v>
      </c>
      <c r="C293" s="12"/>
      <c r="D293" s="12" t="s">
        <v>12</v>
      </c>
      <c r="E293" s="12" t="s">
        <v>5456</v>
      </c>
      <c r="F293" s="12"/>
      <c r="G293" s="12" t="s">
        <v>876</v>
      </c>
      <c r="H293" s="12" t="s">
        <v>38</v>
      </c>
      <c r="I293" s="12" t="s">
        <v>26</v>
      </c>
      <c r="J293" s="13" t="s">
        <v>850</v>
      </c>
      <c r="K293" s="14" t="s">
        <v>5457</v>
      </c>
      <c r="L293" s="15">
        <v>0</v>
      </c>
      <c r="M293" s="15" t="s">
        <v>144</v>
      </c>
      <c r="N293" s="16">
        <v>39612</v>
      </c>
      <c r="O293" s="12" t="s">
        <v>5455</v>
      </c>
      <c r="P293" s="14" t="s">
        <v>5458</v>
      </c>
      <c r="Q293" s="17" t="s">
        <v>137</v>
      </c>
      <c r="R293" s="17" t="s">
        <v>146</v>
      </c>
    </row>
    <row r="294" spans="1:18" x14ac:dyDescent="0.3">
      <c r="A294" s="12" t="s">
        <v>305</v>
      </c>
      <c r="B294" s="12" t="s">
        <v>14</v>
      </c>
      <c r="C294" s="12"/>
      <c r="D294" s="12" t="s">
        <v>14</v>
      </c>
      <c r="E294" s="12" t="s">
        <v>5459</v>
      </c>
      <c r="F294" s="12"/>
      <c r="G294" s="12" t="s">
        <v>876</v>
      </c>
      <c r="H294" s="12" t="s">
        <v>38</v>
      </c>
      <c r="I294" s="12" t="s">
        <v>26</v>
      </c>
      <c r="J294" s="13" t="s">
        <v>850</v>
      </c>
      <c r="K294" s="14" t="s">
        <v>5460</v>
      </c>
      <c r="L294" s="15">
        <v>9</v>
      </c>
      <c r="M294" s="15" t="s">
        <v>144</v>
      </c>
      <c r="N294" s="16">
        <v>41036</v>
      </c>
      <c r="O294" s="12" t="s">
        <v>305</v>
      </c>
      <c r="P294" s="14" t="s">
        <v>5461</v>
      </c>
      <c r="Q294" s="17" t="s">
        <v>137</v>
      </c>
      <c r="R294" s="17" t="s">
        <v>146</v>
      </c>
    </row>
    <row r="295" spans="1:18" x14ac:dyDescent="0.3">
      <c r="A295" s="12" t="s">
        <v>5462</v>
      </c>
      <c r="B295" s="12" t="s">
        <v>12</v>
      </c>
      <c r="C295" s="12"/>
      <c r="D295" s="12" t="s">
        <v>12</v>
      </c>
      <c r="E295" s="12" t="s">
        <v>5463</v>
      </c>
      <c r="F295" s="12" t="s">
        <v>454</v>
      </c>
      <c r="G295" s="12" t="s">
        <v>5464</v>
      </c>
      <c r="H295" s="12" t="s">
        <v>38</v>
      </c>
      <c r="I295" s="12" t="s">
        <v>26</v>
      </c>
      <c r="J295" s="13" t="s">
        <v>850</v>
      </c>
      <c r="K295" s="14" t="s">
        <v>5465</v>
      </c>
      <c r="L295" s="15">
        <v>1</v>
      </c>
      <c r="M295" s="15" t="s">
        <v>144</v>
      </c>
      <c r="N295" s="16">
        <v>43018</v>
      </c>
      <c r="O295" s="12" t="s">
        <v>5462</v>
      </c>
      <c r="P295" s="14" t="s">
        <v>5466</v>
      </c>
      <c r="Q295" s="17" t="s">
        <v>137</v>
      </c>
      <c r="R295" s="17" t="s">
        <v>146</v>
      </c>
    </row>
    <row r="296" spans="1:18" x14ac:dyDescent="0.3">
      <c r="A296" s="12" t="s">
        <v>5467</v>
      </c>
      <c r="B296" s="12" t="s">
        <v>12</v>
      </c>
      <c r="C296" s="12"/>
      <c r="D296" s="12" t="s">
        <v>12</v>
      </c>
      <c r="E296" s="12" t="s">
        <v>5468</v>
      </c>
      <c r="F296" s="12"/>
      <c r="G296" s="12" t="s">
        <v>5464</v>
      </c>
      <c r="H296" s="12" t="s">
        <v>38</v>
      </c>
      <c r="I296" s="12" t="s">
        <v>26</v>
      </c>
      <c r="J296" s="13" t="s">
        <v>850</v>
      </c>
      <c r="K296" s="14" t="s">
        <v>5469</v>
      </c>
      <c r="L296" s="15">
        <v>1</v>
      </c>
      <c r="M296" s="15" t="s">
        <v>144</v>
      </c>
      <c r="N296" s="16">
        <v>39699</v>
      </c>
      <c r="O296" s="12" t="s">
        <v>5467</v>
      </c>
      <c r="P296" s="14" t="s">
        <v>5470</v>
      </c>
      <c r="Q296" s="17" t="s">
        <v>137</v>
      </c>
      <c r="R296" s="17" t="s">
        <v>146</v>
      </c>
    </row>
    <row r="297" spans="1:18" x14ac:dyDescent="0.3">
      <c r="A297" s="12" t="s">
        <v>5471</v>
      </c>
      <c r="B297" s="12" t="s">
        <v>12</v>
      </c>
      <c r="C297" s="12"/>
      <c r="D297" s="12" t="s">
        <v>12</v>
      </c>
      <c r="E297" s="12" t="s">
        <v>5472</v>
      </c>
      <c r="F297" s="12" t="s">
        <v>2012</v>
      </c>
      <c r="G297" s="12" t="s">
        <v>882</v>
      </c>
      <c r="H297" s="12" t="s">
        <v>38</v>
      </c>
      <c r="I297" s="12" t="s">
        <v>26</v>
      </c>
      <c r="J297" s="13" t="s">
        <v>850</v>
      </c>
      <c r="K297" s="14" t="s">
        <v>5473</v>
      </c>
      <c r="L297" s="15">
        <v>1</v>
      </c>
      <c r="M297" s="15" t="s">
        <v>144</v>
      </c>
      <c r="N297" s="16">
        <v>43263</v>
      </c>
      <c r="O297" s="12" t="s">
        <v>5474</v>
      </c>
      <c r="P297" s="14" t="s">
        <v>5475</v>
      </c>
      <c r="Q297" s="17" t="s">
        <v>137</v>
      </c>
      <c r="R297" s="17" t="s">
        <v>146</v>
      </c>
    </row>
    <row r="298" spans="1:18" x14ac:dyDescent="0.3">
      <c r="A298" s="12" t="s">
        <v>331</v>
      </c>
      <c r="B298" s="12" t="s">
        <v>14</v>
      </c>
      <c r="C298" s="12"/>
      <c r="D298" s="12" t="s">
        <v>14</v>
      </c>
      <c r="E298" s="12" t="s">
        <v>5476</v>
      </c>
      <c r="F298" s="12" t="s">
        <v>5477</v>
      </c>
      <c r="G298" s="12" t="s">
        <v>882</v>
      </c>
      <c r="H298" s="12" t="s">
        <v>38</v>
      </c>
      <c r="I298" s="12" t="s">
        <v>26</v>
      </c>
      <c r="J298" s="13" t="s">
        <v>850</v>
      </c>
      <c r="K298" s="14" t="s">
        <v>5478</v>
      </c>
      <c r="L298" s="15">
        <v>0</v>
      </c>
      <c r="M298" s="15" t="s">
        <v>144</v>
      </c>
      <c r="N298" s="16">
        <v>40423</v>
      </c>
      <c r="O298" s="12" t="s">
        <v>331</v>
      </c>
      <c r="P298" s="14" t="s">
        <v>5479</v>
      </c>
      <c r="Q298" s="17" t="s">
        <v>137</v>
      </c>
      <c r="R298" s="17" t="s">
        <v>146</v>
      </c>
    </row>
    <row r="299" spans="1:18" x14ac:dyDescent="0.3">
      <c r="A299" s="12" t="s">
        <v>5480</v>
      </c>
      <c r="B299" s="12" t="s">
        <v>12</v>
      </c>
      <c r="C299" s="12"/>
      <c r="D299" s="12" t="s">
        <v>12</v>
      </c>
      <c r="E299" s="12" t="s">
        <v>5481</v>
      </c>
      <c r="F299" s="12"/>
      <c r="G299" s="12" t="s">
        <v>882</v>
      </c>
      <c r="H299" s="12" t="s">
        <v>38</v>
      </c>
      <c r="I299" s="12" t="s">
        <v>26</v>
      </c>
      <c r="J299" s="13" t="s">
        <v>850</v>
      </c>
      <c r="K299" s="14" t="s">
        <v>5482</v>
      </c>
      <c r="L299" s="15">
        <v>1</v>
      </c>
      <c r="M299" s="15" t="s">
        <v>144</v>
      </c>
      <c r="N299" s="16">
        <v>41253</v>
      </c>
      <c r="O299" s="12" t="s">
        <v>5480</v>
      </c>
      <c r="P299" s="14" t="s">
        <v>5483</v>
      </c>
      <c r="Q299" s="17" t="s">
        <v>137</v>
      </c>
      <c r="R299" s="17" t="s">
        <v>146</v>
      </c>
    </row>
    <row r="300" spans="1:18" x14ac:dyDescent="0.3">
      <c r="A300" s="12" t="s">
        <v>5484</v>
      </c>
      <c r="B300" s="12" t="s">
        <v>12</v>
      </c>
      <c r="C300" s="12"/>
      <c r="D300" s="12" t="s">
        <v>12</v>
      </c>
      <c r="E300" s="12" t="s">
        <v>5485</v>
      </c>
      <c r="F300" s="12"/>
      <c r="G300" s="12" t="s">
        <v>882</v>
      </c>
      <c r="H300" s="12" t="s">
        <v>38</v>
      </c>
      <c r="I300" s="12" t="s">
        <v>26</v>
      </c>
      <c r="J300" s="13" t="s">
        <v>850</v>
      </c>
      <c r="K300" s="14" t="s">
        <v>5486</v>
      </c>
      <c r="L300" s="15">
        <v>5</v>
      </c>
      <c r="M300" s="15" t="s">
        <v>144</v>
      </c>
      <c r="N300" s="16">
        <v>44065</v>
      </c>
      <c r="O300" s="12" t="s">
        <v>5487</v>
      </c>
      <c r="P300" s="14" t="s">
        <v>5488</v>
      </c>
      <c r="Q300" s="17" t="s">
        <v>137</v>
      </c>
      <c r="R300" s="17" t="s">
        <v>146</v>
      </c>
    </row>
    <row r="301" spans="1:18" x14ac:dyDescent="0.3">
      <c r="A301" s="12" t="s">
        <v>5489</v>
      </c>
      <c r="B301" s="12" t="s">
        <v>12</v>
      </c>
      <c r="C301" s="12"/>
      <c r="D301" s="12" t="s">
        <v>12</v>
      </c>
      <c r="E301" s="12" t="s">
        <v>5490</v>
      </c>
      <c r="F301" s="12" t="s">
        <v>188</v>
      </c>
      <c r="G301" s="12" t="s">
        <v>898</v>
      </c>
      <c r="H301" s="12" t="s">
        <v>36</v>
      </c>
      <c r="I301" s="12" t="s">
        <v>26</v>
      </c>
      <c r="J301" s="13" t="s">
        <v>905</v>
      </c>
      <c r="K301" s="14" t="s">
        <v>5491</v>
      </c>
      <c r="L301" s="15">
        <v>1</v>
      </c>
      <c r="M301" s="15" t="s">
        <v>144</v>
      </c>
      <c r="N301" s="16">
        <v>41726</v>
      </c>
      <c r="O301" s="12" t="s">
        <v>5492</v>
      </c>
      <c r="P301" s="14" t="s">
        <v>5493</v>
      </c>
      <c r="Q301" s="17" t="s">
        <v>137</v>
      </c>
      <c r="R301" s="17" t="s">
        <v>146</v>
      </c>
    </row>
    <row r="302" spans="1:18" x14ac:dyDescent="0.3">
      <c r="A302" s="12" t="s">
        <v>5494</v>
      </c>
      <c r="B302" s="12" t="s">
        <v>10</v>
      </c>
      <c r="C302" s="12" t="s">
        <v>14</v>
      </c>
      <c r="D302" s="12" t="s">
        <v>1374</v>
      </c>
      <c r="E302" s="12" t="s">
        <v>5495</v>
      </c>
      <c r="F302" s="12" t="s">
        <v>5496</v>
      </c>
      <c r="G302" s="12" t="s">
        <v>898</v>
      </c>
      <c r="H302" s="12" t="s">
        <v>36</v>
      </c>
      <c r="I302" s="12" t="s">
        <v>26</v>
      </c>
      <c r="J302" s="13" t="s">
        <v>899</v>
      </c>
      <c r="K302" s="14" t="s">
        <v>1276</v>
      </c>
      <c r="L302" s="15">
        <v>1</v>
      </c>
      <c r="M302" s="15" t="s">
        <v>144</v>
      </c>
      <c r="N302" s="16">
        <v>41943</v>
      </c>
      <c r="O302" s="12" t="s">
        <v>5494</v>
      </c>
      <c r="P302" s="14" t="s">
        <v>5497</v>
      </c>
      <c r="Q302" s="17" t="s">
        <v>137</v>
      </c>
      <c r="R302" s="17" t="s">
        <v>146</v>
      </c>
    </row>
    <row r="303" spans="1:18" x14ac:dyDescent="0.3">
      <c r="A303" s="12" t="s">
        <v>5498</v>
      </c>
      <c r="B303" s="12" t="s">
        <v>12</v>
      </c>
      <c r="C303" s="12"/>
      <c r="D303" s="12" t="s">
        <v>12</v>
      </c>
      <c r="E303" s="12" t="s">
        <v>5499</v>
      </c>
      <c r="F303" s="12"/>
      <c r="G303" s="12" t="s">
        <v>898</v>
      </c>
      <c r="H303" s="12" t="s">
        <v>36</v>
      </c>
      <c r="I303" s="12" t="s">
        <v>26</v>
      </c>
      <c r="J303" s="13" t="s">
        <v>899</v>
      </c>
      <c r="K303" s="14" t="s">
        <v>5500</v>
      </c>
      <c r="L303" s="15">
        <v>1</v>
      </c>
      <c r="M303" s="15" t="s">
        <v>144</v>
      </c>
      <c r="N303" s="16">
        <v>44065</v>
      </c>
      <c r="O303" s="12" t="s">
        <v>5498</v>
      </c>
      <c r="P303" s="14" t="s">
        <v>5501</v>
      </c>
      <c r="Q303" s="17" t="s">
        <v>137</v>
      </c>
      <c r="R303" s="17" t="s">
        <v>146</v>
      </c>
    </row>
    <row r="304" spans="1:18" x14ac:dyDescent="0.3">
      <c r="A304" s="12" t="s">
        <v>5502</v>
      </c>
      <c r="B304" s="12" t="s">
        <v>12</v>
      </c>
      <c r="C304" s="12"/>
      <c r="D304" s="12" t="s">
        <v>12</v>
      </c>
      <c r="E304" s="12" t="s">
        <v>5503</v>
      </c>
      <c r="F304" s="12"/>
      <c r="G304" s="12" t="s">
        <v>898</v>
      </c>
      <c r="H304" s="12" t="s">
        <v>36</v>
      </c>
      <c r="I304" s="12" t="s">
        <v>26</v>
      </c>
      <c r="J304" s="13" t="s">
        <v>899</v>
      </c>
      <c r="K304" s="14" t="s">
        <v>5504</v>
      </c>
      <c r="L304" s="15">
        <v>1</v>
      </c>
      <c r="M304" s="15" t="s">
        <v>144</v>
      </c>
      <c r="N304" s="16">
        <v>41491</v>
      </c>
      <c r="O304" s="12" t="s">
        <v>5502</v>
      </c>
      <c r="P304" s="14" t="s">
        <v>5505</v>
      </c>
      <c r="Q304" s="17" t="s">
        <v>137</v>
      </c>
      <c r="R304" s="17" t="s">
        <v>146</v>
      </c>
    </row>
    <row r="305" spans="1:18" x14ac:dyDescent="0.3">
      <c r="A305" s="12" t="s">
        <v>5506</v>
      </c>
      <c r="B305" s="12" t="s">
        <v>12</v>
      </c>
      <c r="C305" s="12"/>
      <c r="D305" s="12" t="s">
        <v>12</v>
      </c>
      <c r="E305" s="12" t="s">
        <v>5507</v>
      </c>
      <c r="F305" s="12" t="s">
        <v>5508</v>
      </c>
      <c r="G305" s="12" t="s">
        <v>898</v>
      </c>
      <c r="H305" s="12" t="s">
        <v>36</v>
      </c>
      <c r="I305" s="12" t="s">
        <v>26</v>
      </c>
      <c r="J305" s="13" t="s">
        <v>905</v>
      </c>
      <c r="K305" s="14" t="s">
        <v>5509</v>
      </c>
      <c r="L305" s="15">
        <v>2</v>
      </c>
      <c r="M305" s="15" t="s">
        <v>144</v>
      </c>
      <c r="N305" s="16">
        <v>43668</v>
      </c>
      <c r="O305" s="12" t="s">
        <v>5506</v>
      </c>
      <c r="P305" s="14" t="s">
        <v>5510</v>
      </c>
      <c r="Q305" s="17" t="s">
        <v>137</v>
      </c>
      <c r="R305" s="17" t="s">
        <v>146</v>
      </c>
    </row>
    <row r="306" spans="1:18" x14ac:dyDescent="0.3">
      <c r="A306" s="12" t="s">
        <v>5511</v>
      </c>
      <c r="B306" s="12" t="s">
        <v>14</v>
      </c>
      <c r="C306" s="12"/>
      <c r="D306" s="12" t="s">
        <v>14</v>
      </c>
      <c r="E306" s="12" t="s">
        <v>5512</v>
      </c>
      <c r="F306" s="12"/>
      <c r="G306" s="12" t="s">
        <v>898</v>
      </c>
      <c r="H306" s="12" t="s">
        <v>36</v>
      </c>
      <c r="I306" s="12" t="s">
        <v>26</v>
      </c>
      <c r="J306" s="13" t="s">
        <v>905</v>
      </c>
      <c r="K306" s="14" t="s">
        <v>5513</v>
      </c>
      <c r="L306" s="15">
        <v>0</v>
      </c>
      <c r="M306" s="15" t="s">
        <v>144</v>
      </c>
      <c r="N306" s="16">
        <v>39506</v>
      </c>
      <c r="O306" s="12" t="s">
        <v>5514</v>
      </c>
      <c r="P306" s="14" t="s">
        <v>5515</v>
      </c>
      <c r="Q306" s="17" t="s">
        <v>137</v>
      </c>
      <c r="R306" s="17" t="s">
        <v>146</v>
      </c>
    </row>
    <row r="307" spans="1:18" x14ac:dyDescent="0.3">
      <c r="A307" s="12" t="s">
        <v>5516</v>
      </c>
      <c r="B307" s="12" t="s">
        <v>14</v>
      </c>
      <c r="C307" s="12"/>
      <c r="D307" s="12" t="s">
        <v>14</v>
      </c>
      <c r="E307" s="12" t="s">
        <v>5517</v>
      </c>
      <c r="F307" s="12" t="s">
        <v>5518</v>
      </c>
      <c r="G307" s="12" t="s">
        <v>898</v>
      </c>
      <c r="H307" s="12" t="s">
        <v>36</v>
      </c>
      <c r="I307" s="12" t="s">
        <v>26</v>
      </c>
      <c r="J307" s="13" t="s">
        <v>905</v>
      </c>
      <c r="K307" s="14" t="s">
        <v>5519</v>
      </c>
      <c r="L307" s="15">
        <v>6</v>
      </c>
      <c r="M307" s="15" t="s">
        <v>144</v>
      </c>
      <c r="N307" s="16">
        <v>40578</v>
      </c>
      <c r="O307" s="12" t="s">
        <v>5516</v>
      </c>
      <c r="P307" s="14" t="s">
        <v>5520</v>
      </c>
      <c r="Q307" s="17" t="s">
        <v>137</v>
      </c>
      <c r="R307" s="17" t="s">
        <v>146</v>
      </c>
    </row>
    <row r="308" spans="1:18" x14ac:dyDescent="0.3">
      <c r="A308" s="12" t="s">
        <v>5521</v>
      </c>
      <c r="B308" s="12" t="s">
        <v>12</v>
      </c>
      <c r="C308" s="12"/>
      <c r="D308" s="12" t="s">
        <v>12</v>
      </c>
      <c r="E308" s="12" t="s">
        <v>5522</v>
      </c>
      <c r="F308" s="12" t="s">
        <v>164</v>
      </c>
      <c r="G308" s="12" t="s">
        <v>898</v>
      </c>
      <c r="H308" s="12" t="s">
        <v>36</v>
      </c>
      <c r="I308" s="12" t="s">
        <v>26</v>
      </c>
      <c r="J308" s="13" t="s">
        <v>913</v>
      </c>
      <c r="K308" s="14" t="s">
        <v>5523</v>
      </c>
      <c r="L308" s="15">
        <v>1</v>
      </c>
      <c r="M308" s="15" t="s">
        <v>144</v>
      </c>
      <c r="N308" s="16">
        <v>39938</v>
      </c>
      <c r="O308" s="12" t="s">
        <v>5524</v>
      </c>
      <c r="P308" s="14" t="s">
        <v>5525</v>
      </c>
      <c r="Q308" s="17" t="s">
        <v>137</v>
      </c>
      <c r="R308" s="17" t="s">
        <v>146</v>
      </c>
    </row>
    <row r="309" spans="1:18" x14ac:dyDescent="0.3">
      <c r="A309" s="12" t="s">
        <v>5526</v>
      </c>
      <c r="B309" s="12" t="s">
        <v>12</v>
      </c>
      <c r="C309" s="12"/>
      <c r="D309" s="12" t="s">
        <v>12</v>
      </c>
      <c r="E309" s="12" t="s">
        <v>5527</v>
      </c>
      <c r="F309" s="12" t="s">
        <v>218</v>
      </c>
      <c r="G309" s="12" t="s">
        <v>898</v>
      </c>
      <c r="H309" s="12" t="s">
        <v>36</v>
      </c>
      <c r="I309" s="12" t="s">
        <v>26</v>
      </c>
      <c r="J309" s="13" t="s">
        <v>905</v>
      </c>
      <c r="K309" s="14" t="s">
        <v>5528</v>
      </c>
      <c r="L309" s="15">
        <v>0</v>
      </c>
      <c r="M309" s="15" t="s">
        <v>144</v>
      </c>
      <c r="N309" s="16">
        <v>39337</v>
      </c>
      <c r="O309" s="12" t="s">
        <v>5526</v>
      </c>
      <c r="P309" s="14" t="s">
        <v>5529</v>
      </c>
      <c r="Q309" s="17" t="s">
        <v>137</v>
      </c>
      <c r="R309" s="17" t="s">
        <v>146</v>
      </c>
    </row>
    <row r="310" spans="1:18" x14ac:dyDescent="0.3">
      <c r="A310" s="12" t="s">
        <v>5530</v>
      </c>
      <c r="B310" s="12" t="s">
        <v>12</v>
      </c>
      <c r="C310" s="12"/>
      <c r="D310" s="12" t="s">
        <v>12</v>
      </c>
      <c r="E310" s="12" t="s">
        <v>5531</v>
      </c>
      <c r="F310" s="12" t="s">
        <v>5532</v>
      </c>
      <c r="G310" s="12" t="s">
        <v>898</v>
      </c>
      <c r="H310" s="12" t="s">
        <v>36</v>
      </c>
      <c r="I310" s="12" t="s">
        <v>26</v>
      </c>
      <c r="J310" s="13" t="s">
        <v>905</v>
      </c>
      <c r="K310" s="14" t="s">
        <v>5533</v>
      </c>
      <c r="L310" s="15">
        <v>1</v>
      </c>
      <c r="M310" s="15" t="s">
        <v>144</v>
      </c>
      <c r="N310" s="16">
        <v>39608</v>
      </c>
      <c r="O310" s="12" t="s">
        <v>5530</v>
      </c>
      <c r="P310" s="14" t="s">
        <v>5534</v>
      </c>
      <c r="Q310" s="17" t="s">
        <v>137</v>
      </c>
      <c r="R310" s="17" t="s">
        <v>146</v>
      </c>
    </row>
    <row r="311" spans="1:18" x14ac:dyDescent="0.3">
      <c r="A311" s="12" t="s">
        <v>5535</v>
      </c>
      <c r="B311" s="12" t="s">
        <v>12</v>
      </c>
      <c r="C311" s="12"/>
      <c r="D311" s="12" t="s">
        <v>12</v>
      </c>
      <c r="E311" s="12" t="s">
        <v>5536</v>
      </c>
      <c r="F311" s="12"/>
      <c r="G311" s="12" t="s">
        <v>898</v>
      </c>
      <c r="H311" s="12" t="s">
        <v>36</v>
      </c>
      <c r="I311" s="12" t="s">
        <v>26</v>
      </c>
      <c r="J311" s="13" t="s">
        <v>899</v>
      </c>
      <c r="K311" s="14" t="s">
        <v>5537</v>
      </c>
      <c r="L311" s="15">
        <v>1</v>
      </c>
      <c r="M311" s="15" t="s">
        <v>144</v>
      </c>
      <c r="N311" s="16">
        <v>39352</v>
      </c>
      <c r="O311" s="12" t="s">
        <v>5535</v>
      </c>
      <c r="P311" s="14" t="s">
        <v>5538</v>
      </c>
      <c r="Q311" s="17" t="s">
        <v>137</v>
      </c>
      <c r="R311" s="17" t="s">
        <v>146</v>
      </c>
    </row>
    <row r="312" spans="1:18" x14ac:dyDescent="0.3">
      <c r="A312" s="12" t="s">
        <v>5539</v>
      </c>
      <c r="B312" s="12" t="s">
        <v>12</v>
      </c>
      <c r="C312" s="12"/>
      <c r="D312" s="12" t="s">
        <v>12</v>
      </c>
      <c r="E312" s="12" t="s">
        <v>5540</v>
      </c>
      <c r="F312" s="12"/>
      <c r="G312" s="12" t="s">
        <v>898</v>
      </c>
      <c r="H312" s="12" t="s">
        <v>36</v>
      </c>
      <c r="I312" s="12" t="s">
        <v>26</v>
      </c>
      <c r="J312" s="13" t="s">
        <v>905</v>
      </c>
      <c r="K312" s="14" t="s">
        <v>5541</v>
      </c>
      <c r="L312" s="15">
        <v>1</v>
      </c>
      <c r="M312" s="15" t="s">
        <v>144</v>
      </c>
      <c r="N312" s="16">
        <v>44065</v>
      </c>
      <c r="O312" s="12" t="s">
        <v>5539</v>
      </c>
      <c r="P312" s="14" t="s">
        <v>5542</v>
      </c>
      <c r="Q312" s="17" t="s">
        <v>137</v>
      </c>
      <c r="R312" s="17" t="s">
        <v>146</v>
      </c>
    </row>
    <row r="313" spans="1:18" x14ac:dyDescent="0.3">
      <c r="A313" s="12" t="s">
        <v>5543</v>
      </c>
      <c r="B313" s="12" t="s">
        <v>12</v>
      </c>
      <c r="C313" s="12"/>
      <c r="D313" s="12" t="s">
        <v>12</v>
      </c>
      <c r="E313" s="12" t="s">
        <v>5544</v>
      </c>
      <c r="F313" s="12" t="s">
        <v>1698</v>
      </c>
      <c r="G313" s="12" t="s">
        <v>898</v>
      </c>
      <c r="H313" s="12" t="s">
        <v>36</v>
      </c>
      <c r="I313" s="12" t="s">
        <v>26</v>
      </c>
      <c r="J313" s="13" t="s">
        <v>1498</v>
      </c>
      <c r="K313" s="14" t="s">
        <v>5545</v>
      </c>
      <c r="L313" s="15">
        <v>3</v>
      </c>
      <c r="M313" s="15" t="s">
        <v>144</v>
      </c>
      <c r="N313" s="16">
        <v>44065</v>
      </c>
      <c r="O313" s="12" t="s">
        <v>5546</v>
      </c>
      <c r="P313" s="14" t="s">
        <v>5547</v>
      </c>
      <c r="Q313" s="17" t="s">
        <v>137</v>
      </c>
      <c r="R313" s="17" t="s">
        <v>146</v>
      </c>
    </row>
    <row r="314" spans="1:18" x14ac:dyDescent="0.3">
      <c r="A314" s="12" t="s">
        <v>5548</v>
      </c>
      <c r="B314" s="12" t="s">
        <v>12</v>
      </c>
      <c r="C314" s="12"/>
      <c r="D314" s="12" t="s">
        <v>12</v>
      </c>
      <c r="E314" s="12" t="s">
        <v>5549</v>
      </c>
      <c r="F314" s="12"/>
      <c r="G314" s="12" t="s">
        <v>898</v>
      </c>
      <c r="H314" s="12" t="s">
        <v>36</v>
      </c>
      <c r="I314" s="12" t="s">
        <v>26</v>
      </c>
      <c r="J314" s="13" t="s">
        <v>905</v>
      </c>
      <c r="K314" s="14" t="s">
        <v>5550</v>
      </c>
      <c r="L314" s="15">
        <v>1</v>
      </c>
      <c r="M314" s="15" t="s">
        <v>144</v>
      </c>
      <c r="N314" s="16">
        <v>42768</v>
      </c>
      <c r="O314" s="12" t="s">
        <v>5548</v>
      </c>
      <c r="P314" s="14" t="s">
        <v>5551</v>
      </c>
      <c r="Q314" s="17" t="s">
        <v>137</v>
      </c>
      <c r="R314" s="17" t="s">
        <v>146</v>
      </c>
    </row>
    <row r="315" spans="1:18" x14ac:dyDescent="0.3">
      <c r="A315" s="12" t="s">
        <v>5552</v>
      </c>
      <c r="B315" s="12" t="s">
        <v>12</v>
      </c>
      <c r="C315" s="12"/>
      <c r="D315" s="12" t="s">
        <v>12</v>
      </c>
      <c r="E315" s="12" t="s">
        <v>5553</v>
      </c>
      <c r="F315" s="12" t="s">
        <v>454</v>
      </c>
      <c r="G315" s="12" t="s">
        <v>898</v>
      </c>
      <c r="H315" s="12" t="s">
        <v>36</v>
      </c>
      <c r="I315" s="12" t="s">
        <v>26</v>
      </c>
      <c r="J315" s="13" t="s">
        <v>905</v>
      </c>
      <c r="K315" s="14" t="s">
        <v>5554</v>
      </c>
      <c r="L315" s="15">
        <v>1</v>
      </c>
      <c r="M315" s="15" t="s">
        <v>144</v>
      </c>
      <c r="N315" s="16">
        <v>40448</v>
      </c>
      <c r="O315" s="12" t="s">
        <v>5552</v>
      </c>
      <c r="P315" s="14" t="s">
        <v>5555</v>
      </c>
      <c r="Q315" s="17" t="s">
        <v>137</v>
      </c>
      <c r="R315" s="17" t="s">
        <v>146</v>
      </c>
    </row>
    <row r="316" spans="1:18" x14ac:dyDescent="0.3">
      <c r="A316" s="12" t="s">
        <v>5556</v>
      </c>
      <c r="B316" s="12" t="s">
        <v>10</v>
      </c>
      <c r="C316" s="12"/>
      <c r="D316" s="12" t="s">
        <v>252</v>
      </c>
      <c r="E316" s="12" t="s">
        <v>5495</v>
      </c>
      <c r="F316" s="12" t="s">
        <v>5557</v>
      </c>
      <c r="G316" s="12" t="s">
        <v>898</v>
      </c>
      <c r="H316" s="12" t="s">
        <v>36</v>
      </c>
      <c r="I316" s="12" t="s">
        <v>26</v>
      </c>
      <c r="J316" s="13" t="s">
        <v>899</v>
      </c>
      <c r="K316" s="14" t="s">
        <v>5558</v>
      </c>
      <c r="L316" s="15">
        <v>0</v>
      </c>
      <c r="M316" s="15" t="s">
        <v>144</v>
      </c>
      <c r="N316" s="16">
        <v>40943</v>
      </c>
      <c r="O316" s="12" t="s">
        <v>5556</v>
      </c>
      <c r="P316" s="14" t="s">
        <v>5559</v>
      </c>
      <c r="Q316" s="17" t="s">
        <v>137</v>
      </c>
      <c r="R316" s="17" t="s">
        <v>146</v>
      </c>
    </row>
    <row r="317" spans="1:18" x14ac:dyDescent="0.3">
      <c r="A317" s="12" t="s">
        <v>5560</v>
      </c>
      <c r="B317" s="12" t="s">
        <v>12</v>
      </c>
      <c r="C317" s="12"/>
      <c r="D317" s="12" t="s">
        <v>12</v>
      </c>
      <c r="E317" s="12" t="s">
        <v>903</v>
      </c>
      <c r="F317" s="12" t="s">
        <v>5561</v>
      </c>
      <c r="G317" s="12" t="s">
        <v>898</v>
      </c>
      <c r="H317" s="12" t="s">
        <v>36</v>
      </c>
      <c r="I317" s="12" t="s">
        <v>26</v>
      </c>
      <c r="J317" s="13" t="s">
        <v>905</v>
      </c>
      <c r="K317" s="14" t="s">
        <v>5562</v>
      </c>
      <c r="L317" s="15">
        <v>5</v>
      </c>
      <c r="M317" s="15" t="s">
        <v>144</v>
      </c>
      <c r="N317" s="16">
        <v>42460</v>
      </c>
      <c r="O317" s="12" t="s">
        <v>5563</v>
      </c>
      <c r="P317" s="14" t="s">
        <v>5564</v>
      </c>
      <c r="Q317" s="17" t="s">
        <v>137</v>
      </c>
      <c r="R317" s="17" t="s">
        <v>146</v>
      </c>
    </row>
    <row r="318" spans="1:18" x14ac:dyDescent="0.3">
      <c r="A318" s="12" t="s">
        <v>5565</v>
      </c>
      <c r="B318" s="12" t="s">
        <v>12</v>
      </c>
      <c r="C318" s="12"/>
      <c r="D318" s="12" t="s">
        <v>12</v>
      </c>
      <c r="E318" s="12" t="s">
        <v>5495</v>
      </c>
      <c r="F318" s="12" t="s">
        <v>5566</v>
      </c>
      <c r="G318" s="12" t="s">
        <v>898</v>
      </c>
      <c r="H318" s="12" t="s">
        <v>36</v>
      </c>
      <c r="I318" s="12" t="s">
        <v>26</v>
      </c>
      <c r="J318" s="13" t="s">
        <v>899</v>
      </c>
      <c r="K318" s="14" t="s">
        <v>1276</v>
      </c>
      <c r="L318" s="15">
        <v>3</v>
      </c>
      <c r="M318" s="15" t="s">
        <v>144</v>
      </c>
      <c r="N318" s="16">
        <v>39820</v>
      </c>
      <c r="O318" s="12" t="s">
        <v>5565</v>
      </c>
      <c r="P318" s="14" t="s">
        <v>5567</v>
      </c>
      <c r="Q318" s="17" t="s">
        <v>137</v>
      </c>
      <c r="R318" s="17" t="s">
        <v>146</v>
      </c>
    </row>
    <row r="319" spans="1:18" x14ac:dyDescent="0.3">
      <c r="A319" s="12" t="s">
        <v>5568</v>
      </c>
      <c r="B319" s="12" t="s">
        <v>14</v>
      </c>
      <c r="C319" s="12"/>
      <c r="D319" s="12" t="s">
        <v>14</v>
      </c>
      <c r="E319" s="12" t="s">
        <v>5569</v>
      </c>
      <c r="F319" s="12"/>
      <c r="G319" s="12" t="s">
        <v>898</v>
      </c>
      <c r="H319" s="12" t="s">
        <v>36</v>
      </c>
      <c r="I319" s="12" t="s">
        <v>26</v>
      </c>
      <c r="J319" s="13" t="s">
        <v>905</v>
      </c>
      <c r="K319" s="14" t="s">
        <v>5570</v>
      </c>
      <c r="L319" s="15">
        <v>0</v>
      </c>
      <c r="M319" s="15" t="s">
        <v>144</v>
      </c>
      <c r="N319" s="16">
        <v>41057</v>
      </c>
      <c r="O319" s="12" t="s">
        <v>5568</v>
      </c>
      <c r="P319" s="14" t="s">
        <v>5571</v>
      </c>
      <c r="Q319" s="17" t="s">
        <v>137</v>
      </c>
      <c r="R319" s="17" t="s">
        <v>146</v>
      </c>
    </row>
    <row r="320" spans="1:18" x14ac:dyDescent="0.3">
      <c r="A320" s="12" t="s">
        <v>5572</v>
      </c>
      <c r="B320" s="12" t="s">
        <v>12</v>
      </c>
      <c r="C320" s="12"/>
      <c r="D320" s="12" t="s">
        <v>12</v>
      </c>
      <c r="E320" s="12" t="s">
        <v>5573</v>
      </c>
      <c r="F320" s="12"/>
      <c r="G320" s="12" t="s">
        <v>898</v>
      </c>
      <c r="H320" s="12" t="s">
        <v>36</v>
      </c>
      <c r="I320" s="12" t="s">
        <v>26</v>
      </c>
      <c r="J320" s="13" t="s">
        <v>1498</v>
      </c>
      <c r="K320" s="14" t="s">
        <v>5574</v>
      </c>
      <c r="L320" s="15">
        <v>1</v>
      </c>
      <c r="M320" s="15" t="s">
        <v>144</v>
      </c>
      <c r="N320" s="16">
        <v>40870</v>
      </c>
      <c r="O320" s="12" t="s">
        <v>5572</v>
      </c>
      <c r="P320" s="14" t="s">
        <v>5575</v>
      </c>
      <c r="Q320" s="17" t="s">
        <v>137</v>
      </c>
      <c r="R320" s="17" t="s">
        <v>146</v>
      </c>
    </row>
    <row r="321" spans="1:18" x14ac:dyDescent="0.3">
      <c r="A321" s="12" t="s">
        <v>5576</v>
      </c>
      <c r="B321" s="12" t="s">
        <v>12</v>
      </c>
      <c r="C321" s="12"/>
      <c r="D321" s="12" t="s">
        <v>12</v>
      </c>
      <c r="E321" s="12" t="s">
        <v>5577</v>
      </c>
      <c r="F321" s="12" t="s">
        <v>5578</v>
      </c>
      <c r="G321" s="12" t="s">
        <v>898</v>
      </c>
      <c r="H321" s="12" t="s">
        <v>36</v>
      </c>
      <c r="I321" s="12" t="s">
        <v>26</v>
      </c>
      <c r="J321" s="13" t="s">
        <v>5579</v>
      </c>
      <c r="K321" s="14" t="s">
        <v>5580</v>
      </c>
      <c r="L321" s="15">
        <v>1</v>
      </c>
      <c r="M321" s="15" t="s">
        <v>144</v>
      </c>
      <c r="N321" s="16">
        <v>41248</v>
      </c>
      <c r="O321" s="12" t="s">
        <v>5576</v>
      </c>
      <c r="P321" s="14" t="s">
        <v>5581</v>
      </c>
      <c r="Q321" s="17" t="s">
        <v>137</v>
      </c>
      <c r="R321" s="17" t="s">
        <v>146</v>
      </c>
    </row>
    <row r="322" spans="1:18" x14ac:dyDescent="0.3">
      <c r="A322" s="12" t="s">
        <v>5582</v>
      </c>
      <c r="B322" s="12" t="s">
        <v>12</v>
      </c>
      <c r="C322" s="12"/>
      <c r="D322" s="12" t="s">
        <v>12</v>
      </c>
      <c r="E322" s="12" t="s">
        <v>5583</v>
      </c>
      <c r="F322" s="12" t="s">
        <v>1311</v>
      </c>
      <c r="G322" s="12" t="s">
        <v>898</v>
      </c>
      <c r="H322" s="12" t="s">
        <v>36</v>
      </c>
      <c r="I322" s="12" t="s">
        <v>26</v>
      </c>
      <c r="J322" s="13" t="s">
        <v>905</v>
      </c>
      <c r="K322" s="14" t="s">
        <v>5584</v>
      </c>
      <c r="L322" s="15">
        <v>3</v>
      </c>
      <c r="M322" s="15" t="s">
        <v>144</v>
      </c>
      <c r="N322" s="16">
        <v>39927</v>
      </c>
      <c r="O322" s="12" t="s">
        <v>5582</v>
      </c>
      <c r="P322" s="14" t="s">
        <v>5585</v>
      </c>
      <c r="Q322" s="17" t="s">
        <v>137</v>
      </c>
      <c r="R322" s="17" t="s">
        <v>146</v>
      </c>
    </row>
    <row r="323" spans="1:18" x14ac:dyDescent="0.3">
      <c r="A323" s="12" t="s">
        <v>5586</v>
      </c>
      <c r="B323" s="12" t="s">
        <v>10</v>
      </c>
      <c r="C323" s="12"/>
      <c r="D323" s="12" t="s">
        <v>588</v>
      </c>
      <c r="E323" s="12" t="s">
        <v>5587</v>
      </c>
      <c r="F323" s="12" t="s">
        <v>4565</v>
      </c>
      <c r="G323" s="12" t="s">
        <v>898</v>
      </c>
      <c r="H323" s="12" t="s">
        <v>36</v>
      </c>
      <c r="I323" s="12" t="s">
        <v>26</v>
      </c>
      <c r="J323" s="13" t="s">
        <v>5579</v>
      </c>
      <c r="K323" s="14" t="s">
        <v>5588</v>
      </c>
      <c r="L323" s="15">
        <v>0</v>
      </c>
      <c r="M323" s="15" t="s">
        <v>220</v>
      </c>
      <c r="N323" s="16">
        <v>42006</v>
      </c>
      <c r="O323" s="12" t="s">
        <v>5589</v>
      </c>
      <c r="P323" s="14" t="s">
        <v>5590</v>
      </c>
      <c r="Q323" s="17" t="s">
        <v>137</v>
      </c>
      <c r="R323" s="17" t="s">
        <v>146</v>
      </c>
    </row>
    <row r="324" spans="1:18" x14ac:dyDescent="0.3">
      <c r="A324" s="12" t="s">
        <v>5591</v>
      </c>
      <c r="B324" s="12" t="s">
        <v>12</v>
      </c>
      <c r="C324" s="12"/>
      <c r="D324" s="12" t="s">
        <v>12</v>
      </c>
      <c r="E324" s="12" t="s">
        <v>5592</v>
      </c>
      <c r="F324" s="12"/>
      <c r="G324" s="12" t="s">
        <v>898</v>
      </c>
      <c r="H324" s="12" t="s">
        <v>36</v>
      </c>
      <c r="I324" s="12" t="s">
        <v>26</v>
      </c>
      <c r="J324" s="13" t="s">
        <v>905</v>
      </c>
      <c r="K324" s="14" t="s">
        <v>5593</v>
      </c>
      <c r="L324" s="15">
        <v>0</v>
      </c>
      <c r="M324" s="15" t="s">
        <v>144</v>
      </c>
      <c r="N324" s="16">
        <v>41385</v>
      </c>
      <c r="O324" s="12" t="s">
        <v>5591</v>
      </c>
      <c r="P324" s="14" t="s">
        <v>5594</v>
      </c>
      <c r="Q324" s="17" t="s">
        <v>137</v>
      </c>
      <c r="R324" s="17" t="s">
        <v>146</v>
      </c>
    </row>
    <row r="325" spans="1:18" x14ac:dyDescent="0.3">
      <c r="A325" s="12" t="s">
        <v>5595</v>
      </c>
      <c r="B325" s="12" t="s">
        <v>12</v>
      </c>
      <c r="C325" s="12"/>
      <c r="D325" s="12" t="s">
        <v>12</v>
      </c>
      <c r="E325" s="12" t="s">
        <v>5596</v>
      </c>
      <c r="F325" s="12" t="s">
        <v>359</v>
      </c>
      <c r="G325" s="12" t="s">
        <v>898</v>
      </c>
      <c r="H325" s="12" t="s">
        <v>36</v>
      </c>
      <c r="I325" s="12" t="s">
        <v>26</v>
      </c>
      <c r="J325" s="13" t="s">
        <v>899</v>
      </c>
      <c r="K325" s="14" t="s">
        <v>5597</v>
      </c>
      <c r="L325" s="15">
        <v>1</v>
      </c>
      <c r="M325" s="15" t="s">
        <v>144</v>
      </c>
      <c r="N325" s="16">
        <v>41219</v>
      </c>
      <c r="O325" s="12" t="s">
        <v>5595</v>
      </c>
      <c r="P325" s="14" t="s">
        <v>5598</v>
      </c>
      <c r="Q325" s="17" t="s">
        <v>137</v>
      </c>
      <c r="R325" s="17" t="s">
        <v>146</v>
      </c>
    </row>
    <row r="326" spans="1:18" x14ac:dyDescent="0.3">
      <c r="A326" s="12" t="s">
        <v>5599</v>
      </c>
      <c r="B326" s="12" t="s">
        <v>12</v>
      </c>
      <c r="C326" s="12"/>
      <c r="D326" s="12" t="s">
        <v>12</v>
      </c>
      <c r="E326" s="12" t="s">
        <v>5522</v>
      </c>
      <c r="F326" s="12"/>
      <c r="G326" s="12" t="s">
        <v>898</v>
      </c>
      <c r="H326" s="12" t="s">
        <v>36</v>
      </c>
      <c r="I326" s="12" t="s">
        <v>26</v>
      </c>
      <c r="J326" s="13" t="s">
        <v>913</v>
      </c>
      <c r="K326" s="14" t="s">
        <v>5600</v>
      </c>
      <c r="L326" s="15">
        <v>1</v>
      </c>
      <c r="M326" s="15" t="s">
        <v>144</v>
      </c>
      <c r="N326" s="16">
        <v>39295</v>
      </c>
      <c r="O326" s="12" t="s">
        <v>5599</v>
      </c>
      <c r="P326" s="14" t="s">
        <v>5601</v>
      </c>
      <c r="Q326" s="17" t="s">
        <v>137</v>
      </c>
      <c r="R326" s="17" t="s">
        <v>146</v>
      </c>
    </row>
    <row r="327" spans="1:18" x14ac:dyDescent="0.3">
      <c r="A327" s="12" t="s">
        <v>5602</v>
      </c>
      <c r="B327" s="12" t="s">
        <v>14</v>
      </c>
      <c r="C327" s="12"/>
      <c r="D327" s="12" t="s">
        <v>14</v>
      </c>
      <c r="E327" s="12" t="s">
        <v>979</v>
      </c>
      <c r="F327" s="12"/>
      <c r="G327" s="12" t="s">
        <v>898</v>
      </c>
      <c r="H327" s="12" t="s">
        <v>36</v>
      </c>
      <c r="I327" s="12" t="s">
        <v>26</v>
      </c>
      <c r="J327" s="13" t="s">
        <v>899</v>
      </c>
      <c r="K327" s="14" t="s">
        <v>5603</v>
      </c>
      <c r="L327" s="15">
        <v>2</v>
      </c>
      <c r="M327" s="15" t="s">
        <v>144</v>
      </c>
      <c r="N327" s="16">
        <v>43202</v>
      </c>
      <c r="O327" s="12" t="s">
        <v>5602</v>
      </c>
      <c r="P327" s="14" t="s">
        <v>5604</v>
      </c>
      <c r="Q327" s="17" t="s">
        <v>137</v>
      </c>
      <c r="R327" s="17" t="s">
        <v>146</v>
      </c>
    </row>
    <row r="328" spans="1:18" x14ac:dyDescent="0.3">
      <c r="A328" s="12" t="s">
        <v>5605</v>
      </c>
      <c r="B328" s="12" t="s">
        <v>12</v>
      </c>
      <c r="C328" s="12"/>
      <c r="D328" s="12" t="s">
        <v>12</v>
      </c>
      <c r="E328" s="12" t="s">
        <v>911</v>
      </c>
      <c r="F328" s="12" t="s">
        <v>5606</v>
      </c>
      <c r="G328" s="12" t="s">
        <v>898</v>
      </c>
      <c r="H328" s="12" t="s">
        <v>36</v>
      </c>
      <c r="I328" s="12" t="s">
        <v>26</v>
      </c>
      <c r="J328" s="13" t="s">
        <v>913</v>
      </c>
      <c r="K328" s="14" t="s">
        <v>5607</v>
      </c>
      <c r="L328" s="15">
        <v>0</v>
      </c>
      <c r="M328" s="15" t="s">
        <v>144</v>
      </c>
      <c r="N328" s="16">
        <v>40444</v>
      </c>
      <c r="O328" s="12" t="s">
        <v>5605</v>
      </c>
      <c r="P328" s="14" t="s">
        <v>5608</v>
      </c>
      <c r="Q328" s="17" t="s">
        <v>137</v>
      </c>
      <c r="R328" s="17" t="s">
        <v>146</v>
      </c>
    </row>
    <row r="329" spans="1:18" x14ac:dyDescent="0.3">
      <c r="A329" s="12" t="s">
        <v>5609</v>
      </c>
      <c r="B329" s="12" t="s">
        <v>10</v>
      </c>
      <c r="C329" s="12"/>
      <c r="D329" s="12" t="s">
        <v>647</v>
      </c>
      <c r="E329" s="12" t="s">
        <v>5610</v>
      </c>
      <c r="F329" s="12" t="s">
        <v>5611</v>
      </c>
      <c r="G329" s="12" t="s">
        <v>898</v>
      </c>
      <c r="H329" s="12" t="s">
        <v>36</v>
      </c>
      <c r="I329" s="12" t="s">
        <v>26</v>
      </c>
      <c r="J329" s="13" t="s">
        <v>899</v>
      </c>
      <c r="K329" s="14" t="s">
        <v>5612</v>
      </c>
      <c r="L329" s="15">
        <v>0</v>
      </c>
      <c r="M329" s="15" t="s">
        <v>220</v>
      </c>
      <c r="N329" s="16">
        <v>43556</v>
      </c>
      <c r="O329" s="12" t="s">
        <v>5609</v>
      </c>
      <c r="P329" s="14" t="s">
        <v>5613</v>
      </c>
      <c r="Q329" s="17" t="s">
        <v>137</v>
      </c>
      <c r="R329" s="17" t="s">
        <v>146</v>
      </c>
    </row>
    <row r="330" spans="1:18" x14ac:dyDescent="0.3">
      <c r="A330" s="12" t="s">
        <v>5614</v>
      </c>
      <c r="B330" s="12" t="s">
        <v>12</v>
      </c>
      <c r="C330" s="12"/>
      <c r="D330" s="12" t="s">
        <v>12</v>
      </c>
      <c r="E330" s="12" t="s">
        <v>5615</v>
      </c>
      <c r="F330" s="12"/>
      <c r="G330" s="12" t="s">
        <v>898</v>
      </c>
      <c r="H330" s="12" t="s">
        <v>36</v>
      </c>
      <c r="I330" s="12" t="s">
        <v>26</v>
      </c>
      <c r="J330" s="13" t="s">
        <v>905</v>
      </c>
      <c r="K330" s="14" t="s">
        <v>5616</v>
      </c>
      <c r="L330" s="15">
        <v>1</v>
      </c>
      <c r="M330" s="15" t="s">
        <v>144</v>
      </c>
      <c r="N330" s="16">
        <v>43027</v>
      </c>
      <c r="O330" s="12" t="s">
        <v>5617</v>
      </c>
      <c r="P330" s="14" t="s">
        <v>5618</v>
      </c>
      <c r="Q330" s="17" t="s">
        <v>137</v>
      </c>
      <c r="R330" s="17" t="s">
        <v>146</v>
      </c>
    </row>
    <row r="331" spans="1:18" x14ac:dyDescent="0.3">
      <c r="A331" s="12" t="s">
        <v>5619</v>
      </c>
      <c r="B331" s="12" t="s">
        <v>12</v>
      </c>
      <c r="C331" s="12"/>
      <c r="D331" s="12" t="s">
        <v>12</v>
      </c>
      <c r="E331" s="12" t="s">
        <v>5620</v>
      </c>
      <c r="F331" s="12"/>
      <c r="G331" s="12" t="s">
        <v>898</v>
      </c>
      <c r="H331" s="12" t="s">
        <v>36</v>
      </c>
      <c r="I331" s="12" t="s">
        <v>26</v>
      </c>
      <c r="J331" s="13" t="s">
        <v>913</v>
      </c>
      <c r="K331" s="14" t="s">
        <v>5621</v>
      </c>
      <c r="L331" s="15">
        <v>2</v>
      </c>
      <c r="M331" s="15" t="s">
        <v>144</v>
      </c>
      <c r="N331" s="16">
        <v>44065</v>
      </c>
      <c r="O331" s="12" t="s">
        <v>5619</v>
      </c>
      <c r="P331" s="14" t="s">
        <v>5622</v>
      </c>
      <c r="Q331" s="17" t="s">
        <v>137</v>
      </c>
      <c r="R331" s="17" t="s">
        <v>146</v>
      </c>
    </row>
    <row r="332" spans="1:18" x14ac:dyDescent="0.3">
      <c r="A332" s="12" t="s">
        <v>5623</v>
      </c>
      <c r="B332" s="12" t="s">
        <v>12</v>
      </c>
      <c r="C332" s="12"/>
      <c r="D332" s="12" t="s">
        <v>12</v>
      </c>
      <c r="E332" s="12" t="s">
        <v>5624</v>
      </c>
      <c r="F332" s="12"/>
      <c r="G332" s="12" t="s">
        <v>898</v>
      </c>
      <c r="H332" s="12" t="s">
        <v>36</v>
      </c>
      <c r="I332" s="12" t="s">
        <v>26</v>
      </c>
      <c r="J332" s="13" t="s">
        <v>899</v>
      </c>
      <c r="K332" s="14" t="s">
        <v>5625</v>
      </c>
      <c r="L332" s="15">
        <v>1</v>
      </c>
      <c r="M332" s="15" t="s">
        <v>144</v>
      </c>
      <c r="N332" s="16">
        <v>44065</v>
      </c>
      <c r="O332" s="12" t="s">
        <v>5623</v>
      </c>
      <c r="P332" s="14" t="s">
        <v>5626</v>
      </c>
      <c r="Q332" s="17" t="s">
        <v>137</v>
      </c>
      <c r="R332" s="17" t="s">
        <v>146</v>
      </c>
    </row>
    <row r="333" spans="1:18" x14ac:dyDescent="0.3">
      <c r="A333" s="12" t="s">
        <v>5627</v>
      </c>
      <c r="B333" s="12" t="s">
        <v>10</v>
      </c>
      <c r="C333" s="12"/>
      <c r="D333" s="12" t="s">
        <v>252</v>
      </c>
      <c r="E333" s="12" t="s">
        <v>5628</v>
      </c>
      <c r="F333" s="12" t="s">
        <v>5629</v>
      </c>
      <c r="G333" s="12" t="s">
        <v>898</v>
      </c>
      <c r="H333" s="12" t="s">
        <v>36</v>
      </c>
      <c r="I333" s="12" t="s">
        <v>26</v>
      </c>
      <c r="J333" s="13" t="s">
        <v>899</v>
      </c>
      <c r="K333" s="14" t="s">
        <v>5630</v>
      </c>
      <c r="L333" s="15">
        <v>1</v>
      </c>
      <c r="M333" s="15" t="s">
        <v>144</v>
      </c>
      <c r="N333" s="16">
        <v>42453</v>
      </c>
      <c r="O333" s="12" t="s">
        <v>5627</v>
      </c>
      <c r="P333" s="14" t="s">
        <v>5631</v>
      </c>
      <c r="Q333" s="17" t="s">
        <v>137</v>
      </c>
      <c r="R333" s="17" t="s">
        <v>146</v>
      </c>
    </row>
    <row r="334" spans="1:18" x14ac:dyDescent="0.3">
      <c r="A334" s="12" t="s">
        <v>5632</v>
      </c>
      <c r="B334" s="12" t="s">
        <v>12</v>
      </c>
      <c r="C334" s="12"/>
      <c r="D334" s="12" t="s">
        <v>12</v>
      </c>
      <c r="E334" s="12" t="s">
        <v>5633</v>
      </c>
      <c r="F334" s="12"/>
      <c r="G334" s="12" t="s">
        <v>898</v>
      </c>
      <c r="H334" s="12" t="s">
        <v>36</v>
      </c>
      <c r="I334" s="12" t="s">
        <v>26</v>
      </c>
      <c r="J334" s="13" t="s">
        <v>905</v>
      </c>
      <c r="K334" s="14" t="s">
        <v>5634</v>
      </c>
      <c r="L334" s="15">
        <v>0</v>
      </c>
      <c r="M334" s="15" t="s">
        <v>144</v>
      </c>
      <c r="N334" s="16">
        <v>40795</v>
      </c>
      <c r="O334" s="12" t="s">
        <v>5632</v>
      </c>
      <c r="P334" s="14" t="s">
        <v>5635</v>
      </c>
      <c r="Q334" s="17" t="s">
        <v>137</v>
      </c>
      <c r="R334" s="17" t="s">
        <v>146</v>
      </c>
    </row>
    <row r="335" spans="1:18" x14ac:dyDescent="0.3">
      <c r="A335" s="12" t="s">
        <v>5636</v>
      </c>
      <c r="B335" s="12" t="s">
        <v>12</v>
      </c>
      <c r="C335" s="12"/>
      <c r="D335" s="12" t="s">
        <v>12</v>
      </c>
      <c r="E335" s="12" t="s">
        <v>5637</v>
      </c>
      <c r="F335" s="12"/>
      <c r="G335" s="12" t="s">
        <v>898</v>
      </c>
      <c r="H335" s="12" t="s">
        <v>36</v>
      </c>
      <c r="I335" s="12" t="s">
        <v>26</v>
      </c>
      <c r="J335" s="13" t="s">
        <v>899</v>
      </c>
      <c r="K335" s="14" t="s">
        <v>5638</v>
      </c>
      <c r="L335" s="15">
        <v>0</v>
      </c>
      <c r="M335" s="15" t="s">
        <v>144</v>
      </c>
      <c r="N335" s="16">
        <v>41877</v>
      </c>
      <c r="O335" s="12" t="s">
        <v>5636</v>
      </c>
      <c r="P335" s="14" t="s">
        <v>5639</v>
      </c>
      <c r="Q335" s="17" t="s">
        <v>137</v>
      </c>
      <c r="R335" s="17" t="s">
        <v>146</v>
      </c>
    </row>
    <row r="336" spans="1:18" x14ac:dyDescent="0.3">
      <c r="A336" s="12" t="s">
        <v>5640</v>
      </c>
      <c r="B336" s="12" t="s">
        <v>12</v>
      </c>
      <c r="C336" s="12"/>
      <c r="D336" s="12" t="s">
        <v>12</v>
      </c>
      <c r="E336" s="12" t="s">
        <v>5641</v>
      </c>
      <c r="F336" s="12"/>
      <c r="G336" s="12" t="s">
        <v>898</v>
      </c>
      <c r="H336" s="12" t="s">
        <v>36</v>
      </c>
      <c r="I336" s="12" t="s">
        <v>26</v>
      </c>
      <c r="J336" s="13" t="s">
        <v>899</v>
      </c>
      <c r="K336" s="14" t="s">
        <v>5642</v>
      </c>
      <c r="L336" s="15">
        <v>4</v>
      </c>
      <c r="M336" s="15" t="s">
        <v>144</v>
      </c>
      <c r="N336" s="16">
        <v>44065</v>
      </c>
      <c r="O336" s="12" t="s">
        <v>5640</v>
      </c>
      <c r="P336" s="14" t="s">
        <v>5643</v>
      </c>
      <c r="Q336" s="17" t="s">
        <v>137</v>
      </c>
      <c r="R336" s="17" t="s">
        <v>146</v>
      </c>
    </row>
    <row r="337" spans="1:18" x14ac:dyDescent="0.3">
      <c r="A337" s="12" t="s">
        <v>5644</v>
      </c>
      <c r="B337" s="12" t="s">
        <v>12</v>
      </c>
      <c r="C337" s="12"/>
      <c r="D337" s="12" t="s">
        <v>12</v>
      </c>
      <c r="E337" s="12" t="s">
        <v>5645</v>
      </c>
      <c r="F337" s="12"/>
      <c r="G337" s="12" t="s">
        <v>988</v>
      </c>
      <c r="H337" s="12" t="s">
        <v>36</v>
      </c>
      <c r="I337" s="12" t="s">
        <v>26</v>
      </c>
      <c r="J337" s="13" t="s">
        <v>925</v>
      </c>
      <c r="K337" s="14" t="s">
        <v>5646</v>
      </c>
      <c r="L337" s="15">
        <v>3</v>
      </c>
      <c r="M337" s="15" t="s">
        <v>144</v>
      </c>
      <c r="N337" s="16">
        <v>40323</v>
      </c>
      <c r="O337" s="12" t="s">
        <v>5644</v>
      </c>
      <c r="P337" s="14" t="s">
        <v>5647</v>
      </c>
      <c r="Q337" s="17" t="s">
        <v>137</v>
      </c>
      <c r="R337" s="17" t="s">
        <v>146</v>
      </c>
    </row>
    <row r="338" spans="1:18" x14ac:dyDescent="0.3">
      <c r="A338" s="12" t="s">
        <v>5648</v>
      </c>
      <c r="B338" s="12" t="s">
        <v>12</v>
      </c>
      <c r="C338" s="12"/>
      <c r="D338" s="12" t="s">
        <v>12</v>
      </c>
      <c r="E338" s="12" t="s">
        <v>5645</v>
      </c>
      <c r="F338" s="12"/>
      <c r="G338" s="12" t="s">
        <v>988</v>
      </c>
      <c r="H338" s="12" t="s">
        <v>36</v>
      </c>
      <c r="I338" s="12" t="s">
        <v>26</v>
      </c>
      <c r="J338" s="13" t="s">
        <v>925</v>
      </c>
      <c r="K338" s="14" t="s">
        <v>5649</v>
      </c>
      <c r="L338" s="15">
        <v>3</v>
      </c>
      <c r="M338" s="15" t="s">
        <v>144</v>
      </c>
      <c r="N338" s="16">
        <v>44065</v>
      </c>
      <c r="O338" s="12" t="s">
        <v>5648</v>
      </c>
      <c r="P338" s="14" t="s">
        <v>5650</v>
      </c>
      <c r="Q338" s="17" t="s">
        <v>137</v>
      </c>
      <c r="R338" s="17" t="s">
        <v>146</v>
      </c>
    </row>
    <row r="339" spans="1:18" x14ac:dyDescent="0.3">
      <c r="A339" s="12" t="s">
        <v>5651</v>
      </c>
      <c r="B339" s="12" t="s">
        <v>12</v>
      </c>
      <c r="C339" s="12"/>
      <c r="D339" s="12" t="s">
        <v>12</v>
      </c>
      <c r="E339" s="12" t="s">
        <v>5652</v>
      </c>
      <c r="F339" s="12" t="s">
        <v>285</v>
      </c>
      <c r="G339" s="12" t="s">
        <v>988</v>
      </c>
      <c r="H339" s="12" t="s">
        <v>36</v>
      </c>
      <c r="I339" s="12" t="s">
        <v>26</v>
      </c>
      <c r="J339" s="13" t="s">
        <v>925</v>
      </c>
      <c r="K339" s="14" t="s">
        <v>5653</v>
      </c>
      <c r="L339" s="15">
        <v>4</v>
      </c>
      <c r="M339" s="15" t="s">
        <v>144</v>
      </c>
      <c r="N339" s="16">
        <v>44096</v>
      </c>
      <c r="O339" s="12" t="s">
        <v>5654</v>
      </c>
      <c r="P339" s="14" t="s">
        <v>5655</v>
      </c>
      <c r="Q339" s="17" t="s">
        <v>137</v>
      </c>
      <c r="R339" s="17" t="s">
        <v>146</v>
      </c>
    </row>
    <row r="340" spans="1:18" x14ac:dyDescent="0.3">
      <c r="A340" s="12" t="s">
        <v>5656</v>
      </c>
      <c r="B340" s="12" t="s">
        <v>12</v>
      </c>
      <c r="C340" s="12"/>
      <c r="D340" s="12" t="s">
        <v>12</v>
      </c>
      <c r="E340" s="12" t="s">
        <v>5657</v>
      </c>
      <c r="F340" s="12"/>
      <c r="G340" s="12" t="s">
        <v>988</v>
      </c>
      <c r="H340" s="12" t="s">
        <v>36</v>
      </c>
      <c r="I340" s="12" t="s">
        <v>26</v>
      </c>
      <c r="J340" s="13" t="s">
        <v>989</v>
      </c>
      <c r="K340" s="14" t="s">
        <v>5658</v>
      </c>
      <c r="L340" s="15">
        <v>1</v>
      </c>
      <c r="M340" s="15" t="s">
        <v>144</v>
      </c>
      <c r="N340" s="16">
        <v>40624</v>
      </c>
      <c r="O340" s="12" t="s">
        <v>5656</v>
      </c>
      <c r="P340" s="14" t="s">
        <v>5659</v>
      </c>
      <c r="Q340" s="17" t="s">
        <v>137</v>
      </c>
      <c r="R340" s="17" t="s">
        <v>146</v>
      </c>
    </row>
    <row r="341" spans="1:18" x14ac:dyDescent="0.3">
      <c r="A341" s="12" t="s">
        <v>5660</v>
      </c>
      <c r="B341" s="12" t="s">
        <v>12</v>
      </c>
      <c r="C341" s="12"/>
      <c r="D341" s="12" t="s">
        <v>12</v>
      </c>
      <c r="E341" s="12" t="s">
        <v>994</v>
      </c>
      <c r="F341" s="12" t="s">
        <v>995</v>
      </c>
      <c r="G341" s="12" t="s">
        <v>988</v>
      </c>
      <c r="H341" s="12" t="s">
        <v>36</v>
      </c>
      <c r="I341" s="12" t="s">
        <v>26</v>
      </c>
      <c r="J341" s="13" t="s">
        <v>989</v>
      </c>
      <c r="K341" s="14" t="s">
        <v>5661</v>
      </c>
      <c r="L341" s="15">
        <v>2</v>
      </c>
      <c r="M341" s="15" t="s">
        <v>144</v>
      </c>
      <c r="N341" s="16">
        <v>41170</v>
      </c>
      <c r="O341" s="12" t="s">
        <v>5662</v>
      </c>
      <c r="P341" s="14" t="s">
        <v>5663</v>
      </c>
      <c r="Q341" s="17" t="s">
        <v>137</v>
      </c>
      <c r="R341" s="17" t="s">
        <v>146</v>
      </c>
    </row>
    <row r="342" spans="1:18" x14ac:dyDescent="0.3">
      <c r="A342" s="12" t="s">
        <v>5664</v>
      </c>
      <c r="B342" s="12" t="s">
        <v>12</v>
      </c>
      <c r="C342" s="12"/>
      <c r="D342" s="12" t="s">
        <v>12</v>
      </c>
      <c r="E342" s="12" t="s">
        <v>5665</v>
      </c>
      <c r="F342" s="12" t="s">
        <v>359</v>
      </c>
      <c r="G342" s="12" t="s">
        <v>988</v>
      </c>
      <c r="H342" s="12" t="s">
        <v>36</v>
      </c>
      <c r="I342" s="12" t="s">
        <v>26</v>
      </c>
      <c r="J342" s="13" t="s">
        <v>989</v>
      </c>
      <c r="K342" s="14" t="s">
        <v>5666</v>
      </c>
      <c r="L342" s="15">
        <v>0</v>
      </c>
      <c r="M342" s="15" t="s">
        <v>144</v>
      </c>
      <c r="N342" s="16">
        <v>42293</v>
      </c>
      <c r="O342" s="12" t="s">
        <v>5664</v>
      </c>
      <c r="P342" s="14" t="s">
        <v>5667</v>
      </c>
      <c r="Q342" s="17" t="s">
        <v>137</v>
      </c>
      <c r="R342" s="17" t="s">
        <v>146</v>
      </c>
    </row>
    <row r="343" spans="1:18" x14ac:dyDescent="0.3">
      <c r="A343" s="12" t="s">
        <v>5668</v>
      </c>
      <c r="B343" s="12" t="s">
        <v>12</v>
      </c>
      <c r="C343" s="12"/>
      <c r="D343" s="12" t="s">
        <v>12</v>
      </c>
      <c r="E343" s="12" t="s">
        <v>5669</v>
      </c>
      <c r="F343" s="12"/>
      <c r="G343" s="12" t="s">
        <v>988</v>
      </c>
      <c r="H343" s="12" t="s">
        <v>36</v>
      </c>
      <c r="I343" s="12" t="s">
        <v>26</v>
      </c>
      <c r="J343" s="13" t="s">
        <v>925</v>
      </c>
      <c r="K343" s="14" t="s">
        <v>5670</v>
      </c>
      <c r="L343" s="15">
        <v>1</v>
      </c>
      <c r="M343" s="15" t="s">
        <v>144</v>
      </c>
      <c r="N343" s="16">
        <v>40626</v>
      </c>
      <c r="O343" s="12" t="s">
        <v>5668</v>
      </c>
      <c r="P343" s="14" t="s">
        <v>5671</v>
      </c>
      <c r="Q343" s="17" t="s">
        <v>137</v>
      </c>
      <c r="R343" s="17" t="s">
        <v>146</v>
      </c>
    </row>
    <row r="344" spans="1:18" x14ac:dyDescent="0.3">
      <c r="A344" s="12" t="s">
        <v>5672</v>
      </c>
      <c r="B344" s="12" t="s">
        <v>12</v>
      </c>
      <c r="C344" s="12"/>
      <c r="D344" s="12" t="s">
        <v>12</v>
      </c>
      <c r="E344" s="12" t="s">
        <v>987</v>
      </c>
      <c r="F344" s="12"/>
      <c r="G344" s="12" t="s">
        <v>988</v>
      </c>
      <c r="H344" s="12" t="s">
        <v>36</v>
      </c>
      <c r="I344" s="12" t="s">
        <v>26</v>
      </c>
      <c r="J344" s="13" t="s">
        <v>989</v>
      </c>
      <c r="K344" s="14" t="s">
        <v>5673</v>
      </c>
      <c r="L344" s="15">
        <v>1</v>
      </c>
      <c r="M344" s="15" t="s">
        <v>144</v>
      </c>
      <c r="N344" s="16">
        <v>40602</v>
      </c>
      <c r="O344" s="12" t="s">
        <v>5672</v>
      </c>
      <c r="P344" s="14" t="s">
        <v>5674</v>
      </c>
      <c r="Q344" s="17" t="s">
        <v>137</v>
      </c>
      <c r="R344" s="17" t="s">
        <v>146</v>
      </c>
    </row>
    <row r="345" spans="1:18" x14ac:dyDescent="0.3">
      <c r="A345" s="12" t="s">
        <v>5675</v>
      </c>
      <c r="B345" s="12" t="s">
        <v>12</v>
      </c>
      <c r="C345" s="12"/>
      <c r="D345" s="12" t="s">
        <v>12</v>
      </c>
      <c r="E345" s="12" t="s">
        <v>994</v>
      </c>
      <c r="F345" s="12" t="s">
        <v>995</v>
      </c>
      <c r="G345" s="12" t="s">
        <v>988</v>
      </c>
      <c r="H345" s="12" t="s">
        <v>36</v>
      </c>
      <c r="I345" s="12" t="s">
        <v>26</v>
      </c>
      <c r="J345" s="13" t="s">
        <v>989</v>
      </c>
      <c r="K345" s="14" t="s">
        <v>5676</v>
      </c>
      <c r="L345" s="15">
        <v>2</v>
      </c>
      <c r="M345" s="15" t="s">
        <v>144</v>
      </c>
      <c r="N345" s="16">
        <v>43845</v>
      </c>
      <c r="O345" s="12" t="s">
        <v>5675</v>
      </c>
      <c r="P345" s="14" t="s">
        <v>5677</v>
      </c>
      <c r="Q345" s="17" t="s">
        <v>137</v>
      </c>
      <c r="R345" s="17" t="s">
        <v>146</v>
      </c>
    </row>
    <row r="346" spans="1:18" x14ac:dyDescent="0.3">
      <c r="A346" s="12" t="s">
        <v>5678</v>
      </c>
      <c r="B346" s="12" t="s">
        <v>12</v>
      </c>
      <c r="C346" s="12"/>
      <c r="D346" s="12" t="s">
        <v>12</v>
      </c>
      <c r="E346" s="12" t="s">
        <v>5679</v>
      </c>
      <c r="F346" s="12"/>
      <c r="G346" s="12" t="s">
        <v>988</v>
      </c>
      <c r="H346" s="12" t="s">
        <v>36</v>
      </c>
      <c r="I346" s="12" t="s">
        <v>26</v>
      </c>
      <c r="J346" s="13" t="s">
        <v>989</v>
      </c>
      <c r="K346" s="14" t="s">
        <v>5680</v>
      </c>
      <c r="L346" s="15">
        <v>0</v>
      </c>
      <c r="M346" s="15" t="s">
        <v>144</v>
      </c>
      <c r="N346" s="16">
        <v>40182</v>
      </c>
      <c r="O346" s="12" t="s">
        <v>5678</v>
      </c>
      <c r="P346" s="14" t="s">
        <v>5681</v>
      </c>
      <c r="Q346" s="17" t="s">
        <v>137</v>
      </c>
      <c r="R346" s="17" t="s">
        <v>146</v>
      </c>
    </row>
    <row r="347" spans="1:18" x14ac:dyDescent="0.3">
      <c r="A347" s="12" t="s">
        <v>5682</v>
      </c>
      <c r="B347" s="12" t="s">
        <v>12</v>
      </c>
      <c r="C347" s="12"/>
      <c r="D347" s="12" t="s">
        <v>12</v>
      </c>
      <c r="E347" s="12" t="s">
        <v>994</v>
      </c>
      <c r="F347" s="12" t="s">
        <v>995</v>
      </c>
      <c r="G347" s="12" t="s">
        <v>988</v>
      </c>
      <c r="H347" s="12" t="s">
        <v>36</v>
      </c>
      <c r="I347" s="12" t="s">
        <v>26</v>
      </c>
      <c r="J347" s="13" t="s">
        <v>989</v>
      </c>
      <c r="K347" s="14" t="s">
        <v>996</v>
      </c>
      <c r="L347" s="15">
        <v>2</v>
      </c>
      <c r="M347" s="15" t="s">
        <v>144</v>
      </c>
      <c r="N347" s="16">
        <v>43354</v>
      </c>
      <c r="O347" s="12" t="s">
        <v>5683</v>
      </c>
      <c r="P347" s="14" t="s">
        <v>5684</v>
      </c>
      <c r="Q347" s="17" t="s">
        <v>137</v>
      </c>
      <c r="R347" s="17" t="s">
        <v>146</v>
      </c>
    </row>
    <row r="348" spans="1:18" x14ac:dyDescent="0.3">
      <c r="A348" s="12" t="s">
        <v>5685</v>
      </c>
      <c r="B348" s="12" t="s">
        <v>10</v>
      </c>
      <c r="C348" s="12"/>
      <c r="D348" s="12" t="s">
        <v>157</v>
      </c>
      <c r="E348" s="12" t="s">
        <v>5686</v>
      </c>
      <c r="F348" s="12" t="s">
        <v>5687</v>
      </c>
      <c r="G348" s="12" t="s">
        <v>988</v>
      </c>
      <c r="H348" s="12" t="s">
        <v>36</v>
      </c>
      <c r="I348" s="12" t="s">
        <v>26</v>
      </c>
      <c r="J348" s="13" t="s">
        <v>925</v>
      </c>
      <c r="K348" s="14" t="s">
        <v>5688</v>
      </c>
      <c r="L348" s="15">
        <v>0</v>
      </c>
      <c r="M348" s="15" t="s">
        <v>144</v>
      </c>
      <c r="N348" s="16">
        <v>42647</v>
      </c>
      <c r="O348" s="12" t="s">
        <v>5685</v>
      </c>
      <c r="P348" s="14" t="s">
        <v>5689</v>
      </c>
      <c r="Q348" s="17" t="s">
        <v>137</v>
      </c>
      <c r="R348" s="17" t="s">
        <v>146</v>
      </c>
    </row>
    <row r="349" spans="1:18" x14ac:dyDescent="0.3">
      <c r="A349" s="12" t="s">
        <v>5690</v>
      </c>
      <c r="B349" s="12" t="s">
        <v>16</v>
      </c>
      <c r="C349" s="12"/>
      <c r="D349" s="12" t="s">
        <v>993</v>
      </c>
      <c r="E349" s="12" t="s">
        <v>994</v>
      </c>
      <c r="F349" s="12" t="s">
        <v>995</v>
      </c>
      <c r="G349" s="12" t="s">
        <v>988</v>
      </c>
      <c r="H349" s="12" t="s">
        <v>36</v>
      </c>
      <c r="I349" s="12" t="s">
        <v>26</v>
      </c>
      <c r="J349" s="13" t="s">
        <v>989</v>
      </c>
      <c r="K349" s="14" t="s">
        <v>5691</v>
      </c>
      <c r="L349" s="15">
        <v>0</v>
      </c>
      <c r="M349" s="15" t="s">
        <v>144</v>
      </c>
      <c r="N349" s="16">
        <v>42269</v>
      </c>
      <c r="O349" s="12" t="s">
        <v>5690</v>
      </c>
      <c r="P349" s="14" t="s">
        <v>5692</v>
      </c>
      <c r="Q349" s="17" t="s">
        <v>137</v>
      </c>
      <c r="R349" s="17" t="s">
        <v>146</v>
      </c>
    </row>
    <row r="350" spans="1:18" x14ac:dyDescent="0.3">
      <c r="A350" s="12" t="s">
        <v>5693</v>
      </c>
      <c r="B350" s="12" t="s">
        <v>12</v>
      </c>
      <c r="C350" s="12"/>
      <c r="D350" s="12" t="s">
        <v>12</v>
      </c>
      <c r="E350" s="12" t="s">
        <v>5694</v>
      </c>
      <c r="F350" s="12" t="s">
        <v>467</v>
      </c>
      <c r="G350" s="12" t="s">
        <v>1000</v>
      </c>
      <c r="H350" s="12" t="s">
        <v>36</v>
      </c>
      <c r="I350" s="12" t="s">
        <v>26</v>
      </c>
      <c r="J350" s="13" t="s">
        <v>1006</v>
      </c>
      <c r="K350" s="14" t="s">
        <v>5695</v>
      </c>
      <c r="L350" s="15">
        <v>0</v>
      </c>
      <c r="M350" s="15" t="s">
        <v>144</v>
      </c>
      <c r="N350" s="16">
        <v>42411</v>
      </c>
      <c r="O350" s="12" t="s">
        <v>5693</v>
      </c>
      <c r="P350" s="14" t="s">
        <v>5696</v>
      </c>
      <c r="Q350" s="17" t="s">
        <v>137</v>
      </c>
      <c r="R350" s="17" t="s">
        <v>146</v>
      </c>
    </row>
    <row r="351" spans="1:18" x14ac:dyDescent="0.3">
      <c r="A351" s="12" t="s">
        <v>5697</v>
      </c>
      <c r="B351" s="12" t="s">
        <v>14</v>
      </c>
      <c r="C351" s="12"/>
      <c r="D351" s="12" t="s">
        <v>14</v>
      </c>
      <c r="E351" s="12" t="s">
        <v>5698</v>
      </c>
      <c r="F351" s="12" t="s">
        <v>359</v>
      </c>
      <c r="G351" s="12" t="s">
        <v>1000</v>
      </c>
      <c r="H351" s="12" t="s">
        <v>36</v>
      </c>
      <c r="I351" s="12" t="s">
        <v>26</v>
      </c>
      <c r="J351" s="13" t="s">
        <v>1001</v>
      </c>
      <c r="K351" s="14" t="s">
        <v>5699</v>
      </c>
      <c r="L351" s="15">
        <v>1</v>
      </c>
      <c r="M351" s="15" t="s">
        <v>144</v>
      </c>
      <c r="N351" s="16">
        <v>44065</v>
      </c>
      <c r="O351" s="12" t="s">
        <v>5697</v>
      </c>
      <c r="P351" s="14" t="s">
        <v>5700</v>
      </c>
      <c r="Q351" s="17" t="s">
        <v>137</v>
      </c>
      <c r="R351" s="17" t="s">
        <v>146</v>
      </c>
    </row>
    <row r="352" spans="1:18" x14ac:dyDescent="0.3">
      <c r="A352" s="12" t="s">
        <v>5701</v>
      </c>
      <c r="B352" s="12" t="s">
        <v>12</v>
      </c>
      <c r="C352" s="12"/>
      <c r="D352" s="12" t="s">
        <v>12</v>
      </c>
      <c r="E352" s="12" t="s">
        <v>5702</v>
      </c>
      <c r="F352" s="12"/>
      <c r="G352" s="12" t="s">
        <v>1000</v>
      </c>
      <c r="H352" s="12" t="s">
        <v>36</v>
      </c>
      <c r="I352" s="12" t="s">
        <v>26</v>
      </c>
      <c r="J352" s="13" t="s">
        <v>1006</v>
      </c>
      <c r="K352" s="14" t="s">
        <v>5703</v>
      </c>
      <c r="L352" s="15">
        <v>0</v>
      </c>
      <c r="M352" s="15" t="s">
        <v>144</v>
      </c>
      <c r="N352" s="16">
        <v>41617</v>
      </c>
      <c r="O352" s="12" t="s">
        <v>5701</v>
      </c>
      <c r="P352" s="14" t="s">
        <v>5704</v>
      </c>
      <c r="Q352" s="17" t="s">
        <v>137</v>
      </c>
      <c r="R352" s="17" t="s">
        <v>146</v>
      </c>
    </row>
    <row r="353" spans="1:18" x14ac:dyDescent="0.3">
      <c r="A353" s="12" t="s">
        <v>5705</v>
      </c>
      <c r="B353" s="12" t="s">
        <v>12</v>
      </c>
      <c r="C353" s="12"/>
      <c r="D353" s="12" t="s">
        <v>12</v>
      </c>
      <c r="E353" s="12" t="s">
        <v>5702</v>
      </c>
      <c r="F353" s="12"/>
      <c r="G353" s="12" t="s">
        <v>1000</v>
      </c>
      <c r="H353" s="12" t="s">
        <v>36</v>
      </c>
      <c r="I353" s="12" t="s">
        <v>26</v>
      </c>
      <c r="J353" s="13" t="s">
        <v>1006</v>
      </c>
      <c r="K353" s="14" t="s">
        <v>5703</v>
      </c>
      <c r="L353" s="15">
        <v>0</v>
      </c>
      <c r="M353" s="15" t="s">
        <v>144</v>
      </c>
      <c r="N353" s="16">
        <v>41969</v>
      </c>
      <c r="O353" s="12" t="s">
        <v>5705</v>
      </c>
      <c r="P353" s="14" t="s">
        <v>5706</v>
      </c>
      <c r="Q353" s="17" t="s">
        <v>137</v>
      </c>
      <c r="R353" s="17" t="s">
        <v>146</v>
      </c>
    </row>
    <row r="354" spans="1:18" x14ac:dyDescent="0.3">
      <c r="A354" s="12" t="s">
        <v>5707</v>
      </c>
      <c r="B354" s="12" t="s">
        <v>12</v>
      </c>
      <c r="C354" s="12"/>
      <c r="D354" s="12" t="s">
        <v>12</v>
      </c>
      <c r="E354" s="12" t="s">
        <v>5702</v>
      </c>
      <c r="F354" s="12"/>
      <c r="G354" s="12" t="s">
        <v>1000</v>
      </c>
      <c r="H354" s="12" t="s">
        <v>36</v>
      </c>
      <c r="I354" s="12" t="s">
        <v>26</v>
      </c>
      <c r="J354" s="13" t="s">
        <v>1006</v>
      </c>
      <c r="K354" s="14" t="s">
        <v>5703</v>
      </c>
      <c r="L354" s="15">
        <v>0</v>
      </c>
      <c r="M354" s="15" t="s">
        <v>144</v>
      </c>
      <c r="N354" s="16">
        <v>41530</v>
      </c>
      <c r="O354" s="12" t="s">
        <v>5707</v>
      </c>
      <c r="P354" s="14" t="s">
        <v>5708</v>
      </c>
      <c r="Q354" s="17" t="s">
        <v>137</v>
      </c>
      <c r="R354" s="17" t="s">
        <v>146</v>
      </c>
    </row>
    <row r="355" spans="1:18" x14ac:dyDescent="0.3">
      <c r="A355" s="12" t="s">
        <v>5709</v>
      </c>
      <c r="B355" s="12" t="s">
        <v>12</v>
      </c>
      <c r="C355" s="12"/>
      <c r="D355" s="12" t="s">
        <v>12</v>
      </c>
      <c r="E355" s="12" t="s">
        <v>5710</v>
      </c>
      <c r="F355" s="12" t="s">
        <v>2012</v>
      </c>
      <c r="G355" s="12" t="s">
        <v>1000</v>
      </c>
      <c r="H355" s="12" t="s">
        <v>36</v>
      </c>
      <c r="I355" s="12" t="s">
        <v>26</v>
      </c>
      <c r="J355" s="13" t="s">
        <v>1001</v>
      </c>
      <c r="K355" s="14" t="s">
        <v>5711</v>
      </c>
      <c r="L355" s="15">
        <v>4</v>
      </c>
      <c r="M355" s="15" t="s">
        <v>144</v>
      </c>
      <c r="N355" s="16">
        <v>44065</v>
      </c>
      <c r="O355" s="12" t="s">
        <v>5709</v>
      </c>
      <c r="P355" s="14" t="s">
        <v>5712</v>
      </c>
      <c r="Q355" s="17" t="s">
        <v>137</v>
      </c>
      <c r="R355" s="17" t="s">
        <v>146</v>
      </c>
    </row>
    <row r="356" spans="1:18" x14ac:dyDescent="0.3">
      <c r="A356" s="12" t="s">
        <v>5713</v>
      </c>
      <c r="B356" s="12" t="s">
        <v>14</v>
      </c>
      <c r="C356" s="12"/>
      <c r="D356" s="12" t="s">
        <v>14</v>
      </c>
      <c r="E356" s="12" t="s">
        <v>5714</v>
      </c>
      <c r="F356" s="12" t="s">
        <v>5715</v>
      </c>
      <c r="G356" s="12" t="s">
        <v>1000</v>
      </c>
      <c r="H356" s="12" t="s">
        <v>36</v>
      </c>
      <c r="I356" s="12" t="s">
        <v>26</v>
      </c>
      <c r="J356" s="13" t="s">
        <v>1742</v>
      </c>
      <c r="K356" s="14" t="s">
        <v>5716</v>
      </c>
      <c r="L356" s="15">
        <v>0</v>
      </c>
      <c r="M356" s="15" t="s">
        <v>144</v>
      </c>
      <c r="N356" s="16">
        <v>42545</v>
      </c>
      <c r="O356" s="12" t="s">
        <v>5713</v>
      </c>
      <c r="P356" s="14" t="s">
        <v>5717</v>
      </c>
      <c r="Q356" s="17" t="s">
        <v>137</v>
      </c>
      <c r="R356" s="17" t="s">
        <v>146</v>
      </c>
    </row>
    <row r="357" spans="1:18" x14ac:dyDescent="0.3">
      <c r="A357" s="12" t="s">
        <v>5718</v>
      </c>
      <c r="B357" s="12" t="s">
        <v>12</v>
      </c>
      <c r="C357" s="12"/>
      <c r="D357" s="12" t="s">
        <v>12</v>
      </c>
      <c r="E357" s="12" t="s">
        <v>5719</v>
      </c>
      <c r="F357" s="12" t="s">
        <v>5720</v>
      </c>
      <c r="G357" s="12" t="s">
        <v>1000</v>
      </c>
      <c r="H357" s="12" t="s">
        <v>36</v>
      </c>
      <c r="I357" s="12" t="s">
        <v>26</v>
      </c>
      <c r="J357" s="13" t="s">
        <v>1006</v>
      </c>
      <c r="K357" s="14" t="s">
        <v>5721</v>
      </c>
      <c r="L357" s="15">
        <v>1</v>
      </c>
      <c r="M357" s="15" t="s">
        <v>144</v>
      </c>
      <c r="N357" s="16">
        <v>41261</v>
      </c>
      <c r="O357" s="12" t="s">
        <v>5722</v>
      </c>
      <c r="P357" s="14" t="s">
        <v>5723</v>
      </c>
      <c r="Q357" s="17" t="s">
        <v>137</v>
      </c>
      <c r="R357" s="17" t="s">
        <v>146</v>
      </c>
    </row>
    <row r="358" spans="1:18" x14ac:dyDescent="0.3">
      <c r="A358" s="12" t="s">
        <v>5724</v>
      </c>
      <c r="B358" s="12" t="s">
        <v>16</v>
      </c>
      <c r="C358" s="12"/>
      <c r="D358" s="12" t="s">
        <v>993</v>
      </c>
      <c r="E358" s="12" t="s">
        <v>5725</v>
      </c>
      <c r="F358" s="12"/>
      <c r="G358" s="12" t="s">
        <v>1000</v>
      </c>
      <c r="H358" s="12" t="s">
        <v>36</v>
      </c>
      <c r="I358" s="12" t="s">
        <v>26</v>
      </c>
      <c r="J358" s="13" t="s">
        <v>1006</v>
      </c>
      <c r="K358" s="14" t="s">
        <v>5726</v>
      </c>
      <c r="L358" s="15">
        <v>0</v>
      </c>
      <c r="M358" s="15" t="s">
        <v>144</v>
      </c>
      <c r="N358" s="16">
        <v>42446</v>
      </c>
      <c r="O358" s="12" t="s">
        <v>5724</v>
      </c>
      <c r="P358" s="14" t="s">
        <v>5727</v>
      </c>
      <c r="Q358" s="17" t="s">
        <v>137</v>
      </c>
      <c r="R358" s="17" t="s">
        <v>146</v>
      </c>
    </row>
    <row r="359" spans="1:18" x14ac:dyDescent="0.3">
      <c r="A359" s="12" t="s">
        <v>5728</v>
      </c>
      <c r="B359" s="12" t="s">
        <v>12</v>
      </c>
      <c r="C359" s="12"/>
      <c r="D359" s="12" t="s">
        <v>12</v>
      </c>
      <c r="E359" s="12" t="s">
        <v>5729</v>
      </c>
      <c r="F359" s="12"/>
      <c r="G359" s="12" t="s">
        <v>1000</v>
      </c>
      <c r="H359" s="12" t="s">
        <v>36</v>
      </c>
      <c r="I359" s="12" t="s">
        <v>26</v>
      </c>
      <c r="J359" s="13" t="s">
        <v>5730</v>
      </c>
      <c r="K359" s="14" t="s">
        <v>5731</v>
      </c>
      <c r="L359" s="15">
        <v>1</v>
      </c>
      <c r="M359" s="15" t="s">
        <v>144</v>
      </c>
      <c r="N359" s="16">
        <v>44065</v>
      </c>
      <c r="O359" s="12" t="s">
        <v>5728</v>
      </c>
      <c r="P359" s="14" t="s">
        <v>5732</v>
      </c>
      <c r="Q359" s="17" t="s">
        <v>137</v>
      </c>
      <c r="R359" s="17" t="s">
        <v>146</v>
      </c>
    </row>
    <row r="360" spans="1:18" x14ac:dyDescent="0.3">
      <c r="A360" s="12" t="s">
        <v>5733</v>
      </c>
      <c r="B360" s="12" t="s">
        <v>14</v>
      </c>
      <c r="C360" s="12"/>
      <c r="D360" s="12" t="s">
        <v>14</v>
      </c>
      <c r="E360" s="12" t="s">
        <v>5734</v>
      </c>
      <c r="F360" s="12"/>
      <c r="G360" s="12" t="s">
        <v>1000</v>
      </c>
      <c r="H360" s="12" t="s">
        <v>36</v>
      </c>
      <c r="I360" s="12" t="s">
        <v>26</v>
      </c>
      <c r="J360" s="13" t="s">
        <v>1001</v>
      </c>
      <c r="K360" s="14" t="s">
        <v>5735</v>
      </c>
      <c r="L360" s="15">
        <v>0</v>
      </c>
      <c r="M360" s="15" t="s">
        <v>144</v>
      </c>
      <c r="N360" s="16">
        <v>44010</v>
      </c>
      <c r="O360" s="12" t="s">
        <v>5733</v>
      </c>
      <c r="P360" s="14" t="s">
        <v>5736</v>
      </c>
      <c r="Q360" s="17" t="s">
        <v>137</v>
      </c>
      <c r="R360" s="17" t="s">
        <v>146</v>
      </c>
    </row>
    <row r="361" spans="1:18" x14ac:dyDescent="0.3">
      <c r="A361" s="12" t="s">
        <v>5737</v>
      </c>
      <c r="B361" s="12" t="s">
        <v>12</v>
      </c>
      <c r="C361" s="12"/>
      <c r="D361" s="12" t="s">
        <v>12</v>
      </c>
      <c r="E361" s="12" t="s">
        <v>5738</v>
      </c>
      <c r="F361" s="12"/>
      <c r="G361" s="12" t="s">
        <v>1000</v>
      </c>
      <c r="H361" s="12" t="s">
        <v>36</v>
      </c>
      <c r="I361" s="12" t="s">
        <v>26</v>
      </c>
      <c r="J361" s="13" t="s">
        <v>1006</v>
      </c>
      <c r="K361" s="14" t="s">
        <v>5731</v>
      </c>
      <c r="L361" s="15">
        <v>2</v>
      </c>
      <c r="M361" s="15" t="s">
        <v>144</v>
      </c>
      <c r="N361" s="16">
        <v>41331</v>
      </c>
      <c r="O361" s="12" t="s">
        <v>5737</v>
      </c>
      <c r="P361" s="14" t="s">
        <v>5739</v>
      </c>
      <c r="Q361" s="17" t="s">
        <v>137</v>
      </c>
      <c r="R361" s="17" t="s">
        <v>146</v>
      </c>
    </row>
    <row r="362" spans="1:18" x14ac:dyDescent="0.3">
      <c r="A362" s="12" t="s">
        <v>5740</v>
      </c>
      <c r="B362" s="12" t="s">
        <v>12</v>
      </c>
      <c r="C362" s="12"/>
      <c r="D362" s="12" t="s">
        <v>12</v>
      </c>
      <c r="E362" s="12" t="s">
        <v>5741</v>
      </c>
      <c r="F362" s="12" t="s">
        <v>467</v>
      </c>
      <c r="G362" s="12" t="s">
        <v>1000</v>
      </c>
      <c r="H362" s="12" t="s">
        <v>36</v>
      </c>
      <c r="I362" s="12" t="s">
        <v>26</v>
      </c>
      <c r="J362" s="13" t="s">
        <v>1001</v>
      </c>
      <c r="K362" s="14" t="s">
        <v>5742</v>
      </c>
      <c r="L362" s="15">
        <v>1</v>
      </c>
      <c r="M362" s="15" t="s">
        <v>144</v>
      </c>
      <c r="N362" s="16">
        <v>40165</v>
      </c>
      <c r="O362" s="12" t="s">
        <v>5740</v>
      </c>
      <c r="P362" s="14" t="s">
        <v>5743</v>
      </c>
      <c r="Q362" s="17" t="s">
        <v>137</v>
      </c>
      <c r="R362" s="17" t="s">
        <v>146</v>
      </c>
    </row>
    <row r="363" spans="1:18" x14ac:dyDescent="0.3">
      <c r="A363" s="12" t="s">
        <v>5744</v>
      </c>
      <c r="B363" s="12" t="s">
        <v>12</v>
      </c>
      <c r="C363" s="12"/>
      <c r="D363" s="12" t="s">
        <v>12</v>
      </c>
      <c r="E363" s="12" t="s">
        <v>5745</v>
      </c>
      <c r="F363" s="12"/>
      <c r="G363" s="12" t="s">
        <v>1000</v>
      </c>
      <c r="H363" s="12" t="s">
        <v>36</v>
      </c>
      <c r="I363" s="12" t="s">
        <v>26</v>
      </c>
      <c r="J363" s="13" t="s">
        <v>1006</v>
      </c>
      <c r="K363" s="14" t="s">
        <v>5746</v>
      </c>
      <c r="L363" s="15">
        <v>0</v>
      </c>
      <c r="M363" s="15" t="s">
        <v>144</v>
      </c>
      <c r="N363" s="16">
        <v>42003</v>
      </c>
      <c r="O363" s="12" t="s">
        <v>5744</v>
      </c>
      <c r="P363" s="14" t="s">
        <v>5747</v>
      </c>
      <c r="Q363" s="17" t="s">
        <v>137</v>
      </c>
      <c r="R363" s="17" t="s">
        <v>146</v>
      </c>
    </row>
    <row r="364" spans="1:18" x14ac:dyDescent="0.3">
      <c r="A364" s="12" t="s">
        <v>5748</v>
      </c>
      <c r="B364" s="12" t="s">
        <v>12</v>
      </c>
      <c r="C364" s="12"/>
      <c r="D364" s="12" t="s">
        <v>12</v>
      </c>
      <c r="E364" s="12" t="s">
        <v>5749</v>
      </c>
      <c r="F364" s="12"/>
      <c r="G364" s="12" t="s">
        <v>1000</v>
      </c>
      <c r="H364" s="12" t="s">
        <v>36</v>
      </c>
      <c r="I364" s="12" t="s">
        <v>26</v>
      </c>
      <c r="J364" s="13" t="s">
        <v>1006</v>
      </c>
      <c r="K364" s="14" t="s">
        <v>5750</v>
      </c>
      <c r="L364" s="15">
        <v>1</v>
      </c>
      <c r="M364" s="15" t="s">
        <v>144</v>
      </c>
      <c r="N364" s="16">
        <v>44065</v>
      </c>
      <c r="O364" s="12" t="s">
        <v>5748</v>
      </c>
      <c r="P364" s="14" t="s">
        <v>5751</v>
      </c>
      <c r="Q364" s="17" t="s">
        <v>137</v>
      </c>
      <c r="R364" s="17" t="s">
        <v>146</v>
      </c>
    </row>
    <row r="365" spans="1:18" x14ac:dyDescent="0.3">
      <c r="A365" s="12" t="s">
        <v>5752</v>
      </c>
      <c r="B365" s="12" t="s">
        <v>12</v>
      </c>
      <c r="C365" s="12"/>
      <c r="D365" s="12" t="s">
        <v>12</v>
      </c>
      <c r="E365" s="12" t="s">
        <v>5753</v>
      </c>
      <c r="F365" s="12"/>
      <c r="G365" s="12" t="s">
        <v>1000</v>
      </c>
      <c r="H365" s="12" t="s">
        <v>36</v>
      </c>
      <c r="I365" s="12" t="s">
        <v>26</v>
      </c>
      <c r="J365" s="13" t="s">
        <v>1006</v>
      </c>
      <c r="K365" s="14" t="s">
        <v>5731</v>
      </c>
      <c r="L365" s="15">
        <v>2</v>
      </c>
      <c r="M365" s="15" t="s">
        <v>144</v>
      </c>
      <c r="N365" s="16">
        <v>41313</v>
      </c>
      <c r="O365" s="12" t="s">
        <v>5752</v>
      </c>
      <c r="P365" s="14" t="s">
        <v>5754</v>
      </c>
      <c r="Q365" s="17" t="s">
        <v>137</v>
      </c>
      <c r="R365" s="17" t="s">
        <v>146</v>
      </c>
    </row>
    <row r="366" spans="1:18" x14ac:dyDescent="0.3">
      <c r="A366" s="12" t="s">
        <v>5755</v>
      </c>
      <c r="B366" s="12" t="s">
        <v>16</v>
      </c>
      <c r="C366" s="12"/>
      <c r="D366" s="12" t="s">
        <v>993</v>
      </c>
      <c r="E366" s="12" t="s">
        <v>5725</v>
      </c>
      <c r="F366" s="12"/>
      <c r="G366" s="12" t="s">
        <v>1000</v>
      </c>
      <c r="H366" s="12" t="s">
        <v>36</v>
      </c>
      <c r="I366" s="12" t="s">
        <v>26</v>
      </c>
      <c r="J366" s="13" t="s">
        <v>1006</v>
      </c>
      <c r="K366" s="14" t="s">
        <v>5756</v>
      </c>
      <c r="L366" s="15">
        <v>0</v>
      </c>
      <c r="M366" s="15" t="s">
        <v>144</v>
      </c>
      <c r="N366" s="16">
        <v>42773</v>
      </c>
      <c r="O366" s="12" t="s">
        <v>5755</v>
      </c>
      <c r="P366" s="14" t="s">
        <v>5757</v>
      </c>
      <c r="Q366" s="17" t="s">
        <v>137</v>
      </c>
      <c r="R366" s="17" t="s">
        <v>146</v>
      </c>
    </row>
    <row r="367" spans="1:18" x14ac:dyDescent="0.3">
      <c r="A367" s="12" t="s">
        <v>5758</v>
      </c>
      <c r="B367" s="12" t="s">
        <v>12</v>
      </c>
      <c r="C367" s="12"/>
      <c r="D367" s="12" t="s">
        <v>12</v>
      </c>
      <c r="E367" s="12" t="s">
        <v>5759</v>
      </c>
      <c r="F367" s="12" t="s">
        <v>359</v>
      </c>
      <c r="G367" s="12" t="s">
        <v>1000</v>
      </c>
      <c r="H367" s="12" t="s">
        <v>36</v>
      </c>
      <c r="I367" s="12" t="s">
        <v>26</v>
      </c>
      <c r="J367" s="13" t="s">
        <v>1001</v>
      </c>
      <c r="K367" s="14" t="s">
        <v>5760</v>
      </c>
      <c r="L367" s="15">
        <v>3</v>
      </c>
      <c r="M367" s="15" t="s">
        <v>144</v>
      </c>
      <c r="N367" s="16">
        <v>39391</v>
      </c>
      <c r="O367" s="12" t="s">
        <v>5761</v>
      </c>
      <c r="P367" s="14" t="s">
        <v>5762</v>
      </c>
      <c r="Q367" s="17" t="s">
        <v>137</v>
      </c>
      <c r="R367" s="17" t="s">
        <v>146</v>
      </c>
    </row>
    <row r="368" spans="1:18" x14ac:dyDescent="0.3">
      <c r="A368" s="12" t="s">
        <v>5763</v>
      </c>
      <c r="B368" s="12" t="s">
        <v>12</v>
      </c>
      <c r="C368" s="12"/>
      <c r="D368" s="12" t="s">
        <v>12</v>
      </c>
      <c r="E368" s="12" t="s">
        <v>5764</v>
      </c>
      <c r="F368" s="12" t="s">
        <v>1311</v>
      </c>
      <c r="G368" s="12" t="s">
        <v>1000</v>
      </c>
      <c r="H368" s="12" t="s">
        <v>36</v>
      </c>
      <c r="I368" s="12" t="s">
        <v>26</v>
      </c>
      <c r="J368" s="13" t="s">
        <v>1006</v>
      </c>
      <c r="K368" s="14" t="s">
        <v>5765</v>
      </c>
      <c r="L368" s="15">
        <v>1</v>
      </c>
      <c r="M368" s="15" t="s">
        <v>144</v>
      </c>
      <c r="N368" s="16">
        <v>39409</v>
      </c>
      <c r="O368" s="12" t="s">
        <v>5763</v>
      </c>
      <c r="P368" s="14" t="s">
        <v>5766</v>
      </c>
      <c r="Q368" s="17" t="s">
        <v>137</v>
      </c>
      <c r="R368" s="17" t="s">
        <v>146</v>
      </c>
    </row>
    <row r="369" spans="1:18" x14ac:dyDescent="0.3">
      <c r="A369" s="12" t="s">
        <v>5767</v>
      </c>
      <c r="B369" s="12" t="s">
        <v>16</v>
      </c>
      <c r="C369" s="12"/>
      <c r="D369" s="12" t="s">
        <v>993</v>
      </c>
      <c r="E369" s="12" t="s">
        <v>5725</v>
      </c>
      <c r="F369" s="12"/>
      <c r="G369" s="12" t="s">
        <v>1000</v>
      </c>
      <c r="H369" s="12" t="s">
        <v>36</v>
      </c>
      <c r="I369" s="12" t="s">
        <v>26</v>
      </c>
      <c r="J369" s="13" t="s">
        <v>1006</v>
      </c>
      <c r="K369" s="14" t="s">
        <v>5768</v>
      </c>
      <c r="L369" s="15">
        <v>0</v>
      </c>
      <c r="M369" s="15" t="s">
        <v>144</v>
      </c>
      <c r="N369" s="16">
        <v>41830</v>
      </c>
      <c r="O369" s="12" t="s">
        <v>5767</v>
      </c>
      <c r="P369" s="14" t="s">
        <v>5769</v>
      </c>
      <c r="Q369" s="17" t="s">
        <v>137</v>
      </c>
      <c r="R369" s="17" t="s">
        <v>146</v>
      </c>
    </row>
    <row r="370" spans="1:18" x14ac:dyDescent="0.3">
      <c r="A370" s="12" t="s">
        <v>5770</v>
      </c>
      <c r="B370" s="12" t="s">
        <v>10</v>
      </c>
      <c r="C370" s="12"/>
      <c r="D370" s="12" t="s">
        <v>157</v>
      </c>
      <c r="E370" s="12" t="s">
        <v>5771</v>
      </c>
      <c r="F370" s="12"/>
      <c r="G370" s="12" t="s">
        <v>1000</v>
      </c>
      <c r="H370" s="12" t="s">
        <v>36</v>
      </c>
      <c r="I370" s="12" t="s">
        <v>26</v>
      </c>
      <c r="J370" s="13" t="s">
        <v>1006</v>
      </c>
      <c r="K370" s="14" t="s">
        <v>5691</v>
      </c>
      <c r="L370" s="15">
        <v>0</v>
      </c>
      <c r="M370" s="15" t="s">
        <v>144</v>
      </c>
      <c r="N370" s="16">
        <v>42425</v>
      </c>
      <c r="O370" s="12" t="s">
        <v>5770</v>
      </c>
      <c r="P370" s="14" t="s">
        <v>5772</v>
      </c>
      <c r="Q370" s="17" t="s">
        <v>137</v>
      </c>
      <c r="R370" s="17" t="s">
        <v>146</v>
      </c>
    </row>
    <row r="371" spans="1:18" x14ac:dyDescent="0.3">
      <c r="A371" s="12" t="s">
        <v>5773</v>
      </c>
      <c r="B371" s="12" t="s">
        <v>12</v>
      </c>
      <c r="C371" s="12"/>
      <c r="D371" s="12" t="s">
        <v>12</v>
      </c>
      <c r="E371" s="12" t="s">
        <v>5774</v>
      </c>
      <c r="F371" s="12"/>
      <c r="G371" s="12" t="s">
        <v>1000</v>
      </c>
      <c r="H371" s="12" t="s">
        <v>36</v>
      </c>
      <c r="I371" s="12" t="s">
        <v>26</v>
      </c>
      <c r="J371" s="13" t="s">
        <v>1001</v>
      </c>
      <c r="K371" s="14" t="s">
        <v>5775</v>
      </c>
      <c r="L371" s="15">
        <v>0</v>
      </c>
      <c r="M371" s="15" t="s">
        <v>144</v>
      </c>
      <c r="N371" s="16">
        <v>44494</v>
      </c>
      <c r="O371" s="12" t="s">
        <v>5773</v>
      </c>
      <c r="P371" s="14" t="s">
        <v>5776</v>
      </c>
      <c r="Q371" s="17" t="s">
        <v>137</v>
      </c>
      <c r="R371" s="17" t="s">
        <v>146</v>
      </c>
    </row>
    <row r="372" spans="1:18" x14ac:dyDescent="0.3">
      <c r="A372" s="12" t="s">
        <v>5777</v>
      </c>
      <c r="B372" s="12" t="s">
        <v>12</v>
      </c>
      <c r="C372" s="12"/>
      <c r="D372" s="12" t="s">
        <v>12</v>
      </c>
      <c r="E372" s="12" t="s">
        <v>5778</v>
      </c>
      <c r="F372" s="12"/>
      <c r="G372" s="12" t="s">
        <v>1000</v>
      </c>
      <c r="H372" s="12" t="s">
        <v>36</v>
      </c>
      <c r="I372" s="12" t="s">
        <v>26</v>
      </c>
      <c r="J372" s="13" t="s">
        <v>1006</v>
      </c>
      <c r="K372" s="14" t="s">
        <v>5703</v>
      </c>
      <c r="L372" s="15">
        <v>0</v>
      </c>
      <c r="M372" s="15" t="s">
        <v>144</v>
      </c>
      <c r="N372" s="16">
        <v>40022</v>
      </c>
      <c r="O372" s="12" t="s">
        <v>5777</v>
      </c>
      <c r="P372" s="14" t="s">
        <v>5779</v>
      </c>
      <c r="Q372" s="17" t="s">
        <v>137</v>
      </c>
      <c r="R372" s="17" t="s">
        <v>146</v>
      </c>
    </row>
    <row r="373" spans="1:18" x14ac:dyDescent="0.3">
      <c r="A373" s="12" t="s">
        <v>5780</v>
      </c>
      <c r="B373" s="12" t="s">
        <v>12</v>
      </c>
      <c r="C373" s="12"/>
      <c r="D373" s="12" t="s">
        <v>12</v>
      </c>
      <c r="E373" s="12" t="s">
        <v>5781</v>
      </c>
      <c r="F373" s="12"/>
      <c r="G373" s="12" t="s">
        <v>1000</v>
      </c>
      <c r="H373" s="12" t="s">
        <v>36</v>
      </c>
      <c r="I373" s="12" t="s">
        <v>26</v>
      </c>
      <c r="J373" s="13" t="s">
        <v>1001</v>
      </c>
      <c r="K373" s="14" t="s">
        <v>5782</v>
      </c>
      <c r="L373" s="15">
        <v>1</v>
      </c>
      <c r="M373" s="15" t="s">
        <v>144</v>
      </c>
      <c r="N373" s="16">
        <v>39413</v>
      </c>
      <c r="O373" s="12" t="s">
        <v>5783</v>
      </c>
      <c r="P373" s="14" t="s">
        <v>5784</v>
      </c>
      <c r="Q373" s="17" t="s">
        <v>137</v>
      </c>
      <c r="R373" s="17" t="s">
        <v>146</v>
      </c>
    </row>
    <row r="374" spans="1:18" x14ac:dyDescent="0.3">
      <c r="A374" s="12" t="s">
        <v>5785</v>
      </c>
      <c r="B374" s="12" t="s">
        <v>12</v>
      </c>
      <c r="C374" s="12"/>
      <c r="D374" s="12" t="s">
        <v>12</v>
      </c>
      <c r="E374" s="12" t="s">
        <v>5759</v>
      </c>
      <c r="F374" s="12"/>
      <c r="G374" s="12" t="s">
        <v>1000</v>
      </c>
      <c r="H374" s="12" t="s">
        <v>36</v>
      </c>
      <c r="I374" s="12" t="s">
        <v>26</v>
      </c>
      <c r="J374" s="13" t="s">
        <v>1001</v>
      </c>
      <c r="K374" s="14" t="s">
        <v>5786</v>
      </c>
      <c r="L374" s="15">
        <v>3</v>
      </c>
      <c r="M374" s="15" t="s">
        <v>144</v>
      </c>
      <c r="N374" s="16">
        <v>42367</v>
      </c>
      <c r="O374" s="12" t="s">
        <v>5785</v>
      </c>
      <c r="P374" s="14" t="s">
        <v>5787</v>
      </c>
      <c r="Q374" s="17" t="s">
        <v>137</v>
      </c>
      <c r="R374" s="17" t="s">
        <v>146</v>
      </c>
    </row>
    <row r="375" spans="1:18" x14ac:dyDescent="0.3">
      <c r="A375" s="12" t="s">
        <v>889</v>
      </c>
      <c r="B375" s="12" t="s">
        <v>14</v>
      </c>
      <c r="C375" s="12"/>
      <c r="D375" s="12" t="s">
        <v>14</v>
      </c>
      <c r="E375" s="12" t="s">
        <v>5788</v>
      </c>
      <c r="F375" s="12" t="s">
        <v>832</v>
      </c>
      <c r="G375" s="12" t="s">
        <v>1000</v>
      </c>
      <c r="H375" s="12" t="s">
        <v>36</v>
      </c>
      <c r="I375" s="12" t="s">
        <v>26</v>
      </c>
      <c r="J375" s="13" t="s">
        <v>1006</v>
      </c>
      <c r="K375" s="14" t="s">
        <v>5789</v>
      </c>
      <c r="L375" s="15">
        <v>1</v>
      </c>
      <c r="M375" s="15" t="s">
        <v>144</v>
      </c>
      <c r="N375" s="16">
        <v>39506</v>
      </c>
      <c r="O375" s="12" t="s">
        <v>889</v>
      </c>
      <c r="P375" s="14" t="s">
        <v>5790</v>
      </c>
      <c r="Q375" s="17" t="s">
        <v>137</v>
      </c>
      <c r="R375" s="17" t="s">
        <v>146</v>
      </c>
    </row>
    <row r="376" spans="1:18" x14ac:dyDescent="0.3">
      <c r="A376" s="12" t="s">
        <v>5791</v>
      </c>
      <c r="B376" s="12" t="s">
        <v>12</v>
      </c>
      <c r="C376" s="12"/>
      <c r="D376" s="12" t="s">
        <v>12</v>
      </c>
      <c r="E376" s="12" t="s">
        <v>5792</v>
      </c>
      <c r="F376" s="12"/>
      <c r="G376" s="12" t="s">
        <v>1000</v>
      </c>
      <c r="H376" s="12" t="s">
        <v>36</v>
      </c>
      <c r="I376" s="12" t="s">
        <v>26</v>
      </c>
      <c r="J376" s="13" t="s">
        <v>925</v>
      </c>
      <c r="K376" s="14" t="s">
        <v>5793</v>
      </c>
      <c r="L376" s="15">
        <v>1</v>
      </c>
      <c r="M376" s="15" t="s">
        <v>144</v>
      </c>
      <c r="N376" s="16">
        <v>40458</v>
      </c>
      <c r="O376" s="12" t="s">
        <v>5791</v>
      </c>
      <c r="P376" s="14" t="s">
        <v>5794</v>
      </c>
      <c r="Q376" s="17" t="s">
        <v>137</v>
      </c>
      <c r="R376" s="17" t="s">
        <v>146</v>
      </c>
    </row>
    <row r="377" spans="1:18" x14ac:dyDescent="0.3">
      <c r="A377" s="12" t="s">
        <v>5795</v>
      </c>
      <c r="B377" s="12" t="s">
        <v>12</v>
      </c>
      <c r="C377" s="12"/>
      <c r="D377" s="12" t="s">
        <v>12</v>
      </c>
      <c r="E377" s="12" t="s">
        <v>5796</v>
      </c>
      <c r="F377" s="12"/>
      <c r="G377" s="12" t="s">
        <v>1000</v>
      </c>
      <c r="H377" s="12" t="s">
        <v>36</v>
      </c>
      <c r="I377" s="12" t="s">
        <v>26</v>
      </c>
      <c r="J377" s="13" t="s">
        <v>1742</v>
      </c>
      <c r="K377" s="14" t="s">
        <v>5797</v>
      </c>
      <c r="L377" s="15">
        <v>1</v>
      </c>
      <c r="M377" s="15" t="s">
        <v>144</v>
      </c>
      <c r="N377" s="16">
        <v>40840</v>
      </c>
      <c r="O377" s="12" t="s">
        <v>5795</v>
      </c>
      <c r="P377" s="14" t="s">
        <v>5798</v>
      </c>
      <c r="Q377" s="17" t="s">
        <v>137</v>
      </c>
      <c r="R377" s="17" t="s">
        <v>146</v>
      </c>
    </row>
    <row r="378" spans="1:18" x14ac:dyDescent="0.3">
      <c r="A378" s="12" t="s">
        <v>5799</v>
      </c>
      <c r="B378" s="12" t="s">
        <v>12</v>
      </c>
      <c r="C378" s="12"/>
      <c r="D378" s="12" t="s">
        <v>12</v>
      </c>
      <c r="E378" s="12" t="s">
        <v>5800</v>
      </c>
      <c r="F378" s="12" t="s">
        <v>5801</v>
      </c>
      <c r="G378" s="12" t="s">
        <v>1026</v>
      </c>
      <c r="H378" s="12" t="s">
        <v>36</v>
      </c>
      <c r="I378" s="12" t="s">
        <v>26</v>
      </c>
      <c r="J378" s="13" t="s">
        <v>1027</v>
      </c>
      <c r="K378" s="14" t="s">
        <v>5802</v>
      </c>
      <c r="L378" s="15">
        <v>2</v>
      </c>
      <c r="M378" s="15" t="s">
        <v>144</v>
      </c>
      <c r="N378" s="16">
        <v>39804</v>
      </c>
      <c r="O378" s="12" t="s">
        <v>5799</v>
      </c>
      <c r="P378" s="14" t="s">
        <v>5803</v>
      </c>
      <c r="Q378" s="17" t="s">
        <v>137</v>
      </c>
      <c r="R378" s="17" t="s">
        <v>146</v>
      </c>
    </row>
    <row r="379" spans="1:18" x14ac:dyDescent="0.3">
      <c r="A379" s="12" t="s">
        <v>5804</v>
      </c>
      <c r="B379" s="12" t="s">
        <v>12</v>
      </c>
      <c r="C379" s="12"/>
      <c r="D379" s="12" t="s">
        <v>12</v>
      </c>
      <c r="E379" s="12" t="s">
        <v>5805</v>
      </c>
      <c r="F379" s="12"/>
      <c r="G379" s="12" t="s">
        <v>1026</v>
      </c>
      <c r="H379" s="12" t="s">
        <v>36</v>
      </c>
      <c r="I379" s="12" t="s">
        <v>26</v>
      </c>
      <c r="J379" s="13" t="s">
        <v>1027</v>
      </c>
      <c r="K379" s="14" t="s">
        <v>5806</v>
      </c>
      <c r="L379" s="15">
        <v>0</v>
      </c>
      <c r="M379" s="15" t="s">
        <v>144</v>
      </c>
      <c r="N379" s="16">
        <v>43176</v>
      </c>
      <c r="O379" s="12" t="s">
        <v>5804</v>
      </c>
      <c r="P379" s="14" t="s">
        <v>5807</v>
      </c>
      <c r="Q379" s="17" t="s">
        <v>137</v>
      </c>
      <c r="R379" s="17" t="s">
        <v>146</v>
      </c>
    </row>
    <row r="380" spans="1:18" x14ac:dyDescent="0.3">
      <c r="A380" s="12" t="s">
        <v>5808</v>
      </c>
      <c r="B380" s="12" t="s">
        <v>12</v>
      </c>
      <c r="C380" s="12"/>
      <c r="D380" s="12" t="s">
        <v>12</v>
      </c>
      <c r="E380" s="12" t="s">
        <v>5809</v>
      </c>
      <c r="F380" s="12"/>
      <c r="G380" s="12" t="s">
        <v>1026</v>
      </c>
      <c r="H380" s="12" t="s">
        <v>36</v>
      </c>
      <c r="I380" s="12" t="s">
        <v>26</v>
      </c>
      <c r="J380" s="13" t="s">
        <v>1027</v>
      </c>
      <c r="K380" s="14" t="s">
        <v>5810</v>
      </c>
      <c r="L380" s="15">
        <v>2</v>
      </c>
      <c r="M380" s="15" t="s">
        <v>144</v>
      </c>
      <c r="N380" s="16">
        <v>39624</v>
      </c>
      <c r="O380" s="12" t="s">
        <v>5808</v>
      </c>
      <c r="P380" s="14" t="s">
        <v>5811</v>
      </c>
      <c r="Q380" s="17" t="s">
        <v>137</v>
      </c>
      <c r="R380" s="17" t="s">
        <v>146</v>
      </c>
    </row>
    <row r="381" spans="1:18" x14ac:dyDescent="0.3">
      <c r="A381" s="12" t="s">
        <v>5812</v>
      </c>
      <c r="B381" s="12" t="s">
        <v>12</v>
      </c>
      <c r="C381" s="12"/>
      <c r="D381" s="12" t="s">
        <v>12</v>
      </c>
      <c r="E381" s="12" t="s">
        <v>5813</v>
      </c>
      <c r="F381" s="12"/>
      <c r="G381" s="12" t="s">
        <v>1026</v>
      </c>
      <c r="H381" s="12" t="s">
        <v>36</v>
      </c>
      <c r="I381" s="12" t="s">
        <v>26</v>
      </c>
      <c r="J381" s="13" t="s">
        <v>1027</v>
      </c>
      <c r="K381" s="14" t="s">
        <v>5814</v>
      </c>
      <c r="L381" s="15">
        <v>0</v>
      </c>
      <c r="M381" s="15" t="s">
        <v>144</v>
      </c>
      <c r="N381" s="16">
        <v>40758</v>
      </c>
      <c r="O381" s="12" t="s">
        <v>5812</v>
      </c>
      <c r="P381" s="14" t="s">
        <v>5815</v>
      </c>
      <c r="Q381" s="17" t="s">
        <v>137</v>
      </c>
      <c r="R381" s="17" t="s">
        <v>146</v>
      </c>
    </row>
    <row r="382" spans="1:18" x14ac:dyDescent="0.3">
      <c r="A382" s="12" t="s">
        <v>5816</v>
      </c>
      <c r="B382" s="12" t="s">
        <v>12</v>
      </c>
      <c r="C382" s="12"/>
      <c r="D382" s="12" t="s">
        <v>12</v>
      </c>
      <c r="E382" s="12" t="s">
        <v>5817</v>
      </c>
      <c r="F382" s="12"/>
      <c r="G382" s="12" t="s">
        <v>1026</v>
      </c>
      <c r="H382" s="12" t="s">
        <v>36</v>
      </c>
      <c r="I382" s="12" t="s">
        <v>26</v>
      </c>
      <c r="J382" s="13" t="s">
        <v>1027</v>
      </c>
      <c r="K382" s="14" t="s">
        <v>5818</v>
      </c>
      <c r="L382" s="15">
        <v>1</v>
      </c>
      <c r="M382" s="15" t="s">
        <v>144</v>
      </c>
      <c r="N382" s="16">
        <v>40127</v>
      </c>
      <c r="O382" s="12" t="s">
        <v>5816</v>
      </c>
      <c r="P382" s="14" t="s">
        <v>5819</v>
      </c>
      <c r="Q382" s="17" t="s">
        <v>137</v>
      </c>
      <c r="R382" s="17" t="s">
        <v>146</v>
      </c>
    </row>
    <row r="383" spans="1:18" x14ac:dyDescent="0.3">
      <c r="A383" s="12" t="s">
        <v>5820</v>
      </c>
      <c r="B383" s="12" t="s">
        <v>12</v>
      </c>
      <c r="C383" s="12"/>
      <c r="D383" s="12" t="s">
        <v>12</v>
      </c>
      <c r="E383" s="12" t="s">
        <v>5821</v>
      </c>
      <c r="F383" s="12"/>
      <c r="G383" s="12" t="s">
        <v>1026</v>
      </c>
      <c r="H383" s="12" t="s">
        <v>36</v>
      </c>
      <c r="I383" s="12" t="s">
        <v>26</v>
      </c>
      <c r="J383" s="13" t="s">
        <v>1027</v>
      </c>
      <c r="K383" s="14" t="s">
        <v>5822</v>
      </c>
      <c r="L383" s="15">
        <v>1</v>
      </c>
      <c r="M383" s="15" t="s">
        <v>144</v>
      </c>
      <c r="N383" s="16">
        <v>39638</v>
      </c>
      <c r="O383" s="12" t="s">
        <v>5823</v>
      </c>
      <c r="P383" s="14" t="s">
        <v>5824</v>
      </c>
      <c r="Q383" s="17" t="s">
        <v>137</v>
      </c>
      <c r="R383" s="17" t="s">
        <v>146</v>
      </c>
    </row>
    <row r="384" spans="1:18" x14ac:dyDescent="0.3">
      <c r="A384" s="12" t="s">
        <v>5825</v>
      </c>
      <c r="B384" s="12" t="s">
        <v>12</v>
      </c>
      <c r="C384" s="12"/>
      <c r="D384" s="12" t="s">
        <v>12</v>
      </c>
      <c r="E384" s="12" t="s">
        <v>5826</v>
      </c>
      <c r="F384" s="12"/>
      <c r="G384" s="12" t="s">
        <v>1026</v>
      </c>
      <c r="H384" s="12" t="s">
        <v>36</v>
      </c>
      <c r="I384" s="12" t="s">
        <v>26</v>
      </c>
      <c r="J384" s="13" t="s">
        <v>1027</v>
      </c>
      <c r="K384" s="14" t="s">
        <v>5827</v>
      </c>
      <c r="L384" s="15">
        <v>1</v>
      </c>
      <c r="M384" s="15" t="s">
        <v>144</v>
      </c>
      <c r="N384" s="16">
        <v>39926</v>
      </c>
      <c r="O384" s="12" t="s">
        <v>5825</v>
      </c>
      <c r="P384" s="14" t="s">
        <v>5828</v>
      </c>
      <c r="Q384" s="17" t="s">
        <v>137</v>
      </c>
      <c r="R384" s="17" t="s">
        <v>146</v>
      </c>
    </row>
    <row r="385" spans="1:18" x14ac:dyDescent="0.3">
      <c r="A385" s="12" t="s">
        <v>5829</v>
      </c>
      <c r="B385" s="12" t="s">
        <v>12</v>
      </c>
      <c r="C385" s="12"/>
      <c r="D385" s="12" t="s">
        <v>12</v>
      </c>
      <c r="E385" s="12" t="s">
        <v>5830</v>
      </c>
      <c r="F385" s="12"/>
      <c r="G385" s="12" t="s">
        <v>1026</v>
      </c>
      <c r="H385" s="12" t="s">
        <v>36</v>
      </c>
      <c r="I385" s="12" t="s">
        <v>26</v>
      </c>
      <c r="J385" s="13" t="s">
        <v>1027</v>
      </c>
      <c r="K385" s="14" t="s">
        <v>5831</v>
      </c>
      <c r="L385" s="15">
        <v>0</v>
      </c>
      <c r="M385" s="15" t="s">
        <v>144</v>
      </c>
      <c r="N385" s="16">
        <v>41764</v>
      </c>
      <c r="O385" s="12" t="s">
        <v>5829</v>
      </c>
      <c r="P385" s="14" t="s">
        <v>5832</v>
      </c>
      <c r="Q385" s="17" t="s">
        <v>137</v>
      </c>
      <c r="R385" s="17" t="s">
        <v>146</v>
      </c>
    </row>
    <row r="386" spans="1:18" x14ac:dyDescent="0.3">
      <c r="A386" s="12" t="s">
        <v>5833</v>
      </c>
      <c r="B386" s="12" t="s">
        <v>12</v>
      </c>
      <c r="C386" s="12"/>
      <c r="D386" s="12" t="s">
        <v>12</v>
      </c>
      <c r="E386" s="12" t="s">
        <v>5834</v>
      </c>
      <c r="F386" s="12" t="s">
        <v>5835</v>
      </c>
      <c r="G386" s="12" t="s">
        <v>1026</v>
      </c>
      <c r="H386" s="12" t="s">
        <v>36</v>
      </c>
      <c r="I386" s="12" t="s">
        <v>26</v>
      </c>
      <c r="J386" s="13" t="s">
        <v>1027</v>
      </c>
      <c r="K386" s="14" t="s">
        <v>5836</v>
      </c>
      <c r="L386" s="15">
        <v>1</v>
      </c>
      <c r="M386" s="15" t="s">
        <v>144</v>
      </c>
      <c r="N386" s="16">
        <v>41765</v>
      </c>
      <c r="O386" s="12" t="s">
        <v>5833</v>
      </c>
      <c r="P386" s="14" t="s">
        <v>5837</v>
      </c>
      <c r="Q386" s="17" t="s">
        <v>137</v>
      </c>
      <c r="R386" s="17" t="s">
        <v>146</v>
      </c>
    </row>
    <row r="387" spans="1:18" x14ac:dyDescent="0.3">
      <c r="A387" s="12" t="s">
        <v>1723</v>
      </c>
      <c r="B387" s="12" t="s">
        <v>14</v>
      </c>
      <c r="C387" s="12"/>
      <c r="D387" s="12" t="s">
        <v>14</v>
      </c>
      <c r="E387" s="12" t="s">
        <v>5834</v>
      </c>
      <c r="F387" s="12" t="s">
        <v>3655</v>
      </c>
      <c r="G387" s="12" t="s">
        <v>1026</v>
      </c>
      <c r="H387" s="12" t="s">
        <v>36</v>
      </c>
      <c r="I387" s="12" t="s">
        <v>26</v>
      </c>
      <c r="J387" s="13" t="s">
        <v>1027</v>
      </c>
      <c r="K387" s="14" t="s">
        <v>980</v>
      </c>
      <c r="L387" s="15">
        <v>1</v>
      </c>
      <c r="M387" s="15" t="s">
        <v>144</v>
      </c>
      <c r="N387" s="16">
        <v>42929</v>
      </c>
      <c r="O387" s="12" t="s">
        <v>1723</v>
      </c>
      <c r="P387" s="14" t="s">
        <v>5838</v>
      </c>
      <c r="Q387" s="17" t="s">
        <v>137</v>
      </c>
      <c r="R387" s="17" t="s">
        <v>146</v>
      </c>
    </row>
    <row r="388" spans="1:18" x14ac:dyDescent="0.3">
      <c r="A388" s="12" t="s">
        <v>5839</v>
      </c>
      <c r="B388" s="12" t="s">
        <v>12</v>
      </c>
      <c r="C388" s="12"/>
      <c r="D388" s="12" t="s">
        <v>12</v>
      </c>
      <c r="E388" s="12" t="s">
        <v>5840</v>
      </c>
      <c r="F388" s="12"/>
      <c r="G388" s="12" t="s">
        <v>395</v>
      </c>
      <c r="H388" s="12" t="s">
        <v>36</v>
      </c>
      <c r="I388" s="12" t="s">
        <v>26</v>
      </c>
      <c r="J388" s="13" t="s">
        <v>396</v>
      </c>
      <c r="K388" s="14" t="s">
        <v>5841</v>
      </c>
      <c r="L388" s="15">
        <v>1</v>
      </c>
      <c r="M388" s="15" t="s">
        <v>144</v>
      </c>
      <c r="N388" s="16">
        <v>44340</v>
      </c>
      <c r="O388" s="12" t="s">
        <v>5839</v>
      </c>
      <c r="P388" s="14" t="s">
        <v>5842</v>
      </c>
      <c r="Q388" s="17" t="s">
        <v>137</v>
      </c>
      <c r="R388" s="17" t="s">
        <v>146</v>
      </c>
    </row>
    <row r="389" spans="1:18" x14ac:dyDescent="0.3">
      <c r="A389" s="12" t="s">
        <v>5843</v>
      </c>
      <c r="B389" s="12" t="s">
        <v>14</v>
      </c>
      <c r="C389" s="12" t="s">
        <v>5844</v>
      </c>
      <c r="D389" s="12" t="s">
        <v>283</v>
      </c>
      <c r="E389" s="12" t="s">
        <v>5845</v>
      </c>
      <c r="F389" s="12"/>
      <c r="G389" s="12" t="s">
        <v>395</v>
      </c>
      <c r="H389" s="12" t="s">
        <v>36</v>
      </c>
      <c r="I389" s="12" t="s">
        <v>26</v>
      </c>
      <c r="J389" s="13" t="s">
        <v>396</v>
      </c>
      <c r="K389" s="14" t="s">
        <v>5846</v>
      </c>
      <c r="L389" s="15">
        <v>1</v>
      </c>
      <c r="M389" s="15" t="s">
        <v>144</v>
      </c>
      <c r="N389" s="16">
        <v>40422</v>
      </c>
      <c r="O389" s="12" t="s">
        <v>5843</v>
      </c>
      <c r="P389" s="14" t="s">
        <v>5847</v>
      </c>
      <c r="Q389" s="17" t="s">
        <v>137</v>
      </c>
      <c r="R389" s="17" t="s">
        <v>146</v>
      </c>
    </row>
    <row r="390" spans="1:18" x14ac:dyDescent="0.3">
      <c r="A390" s="12" t="s">
        <v>5848</v>
      </c>
      <c r="B390" s="12" t="s">
        <v>12</v>
      </c>
      <c r="C390" s="12"/>
      <c r="D390" s="12" t="s">
        <v>12</v>
      </c>
      <c r="E390" s="12" t="s">
        <v>5849</v>
      </c>
      <c r="F390" s="12"/>
      <c r="G390" s="12" t="s">
        <v>5850</v>
      </c>
      <c r="H390" s="12" t="s">
        <v>36</v>
      </c>
      <c r="I390" s="12" t="s">
        <v>26</v>
      </c>
      <c r="J390" s="13" t="s">
        <v>1336</v>
      </c>
      <c r="K390" s="14" t="s">
        <v>5851</v>
      </c>
      <c r="L390" s="15">
        <v>2</v>
      </c>
      <c r="M390" s="15" t="s">
        <v>144</v>
      </c>
      <c r="N390" s="16">
        <v>44340</v>
      </c>
      <c r="O390" s="12" t="s">
        <v>5852</v>
      </c>
      <c r="P390" s="14" t="s">
        <v>5853</v>
      </c>
      <c r="Q390" s="17" t="s">
        <v>137</v>
      </c>
      <c r="R390" s="17" t="s">
        <v>146</v>
      </c>
    </row>
    <row r="391" spans="1:18" x14ac:dyDescent="0.3">
      <c r="A391" s="12" t="s">
        <v>5854</v>
      </c>
      <c r="B391" s="12" t="s">
        <v>12</v>
      </c>
      <c r="C391" s="12"/>
      <c r="D391" s="12" t="s">
        <v>12</v>
      </c>
      <c r="E391" s="12" t="s">
        <v>5855</v>
      </c>
      <c r="F391" s="12"/>
      <c r="G391" s="12" t="s">
        <v>1047</v>
      </c>
      <c r="H391" s="12" t="s">
        <v>36</v>
      </c>
      <c r="I391" s="12" t="s">
        <v>26</v>
      </c>
      <c r="J391" s="13" t="s">
        <v>1317</v>
      </c>
      <c r="K391" s="14" t="s">
        <v>5856</v>
      </c>
      <c r="L391" s="15">
        <v>0</v>
      </c>
      <c r="M391" s="15" t="s">
        <v>144</v>
      </c>
      <c r="N391" s="16">
        <v>40795</v>
      </c>
      <c r="O391" s="12" t="s">
        <v>5854</v>
      </c>
      <c r="P391" s="14" t="s">
        <v>5857</v>
      </c>
      <c r="Q391" s="17" t="s">
        <v>137</v>
      </c>
      <c r="R391" s="17" t="s">
        <v>146</v>
      </c>
    </row>
    <row r="392" spans="1:18" x14ac:dyDescent="0.3">
      <c r="A392" s="12" t="s">
        <v>5858</v>
      </c>
      <c r="B392" s="12" t="s">
        <v>12</v>
      </c>
      <c r="C392" s="12"/>
      <c r="D392" s="12" t="s">
        <v>12</v>
      </c>
      <c r="E392" s="12" t="s">
        <v>5859</v>
      </c>
      <c r="F392" s="12" t="s">
        <v>359</v>
      </c>
      <c r="G392" s="12" t="s">
        <v>1047</v>
      </c>
      <c r="H392" s="12" t="s">
        <v>36</v>
      </c>
      <c r="I392" s="12" t="s">
        <v>26</v>
      </c>
      <c r="J392" s="13" t="s">
        <v>1317</v>
      </c>
      <c r="K392" s="14" t="s">
        <v>5860</v>
      </c>
      <c r="L392" s="15">
        <v>0</v>
      </c>
      <c r="M392" s="15" t="s">
        <v>144</v>
      </c>
      <c r="N392" s="16">
        <v>40443</v>
      </c>
      <c r="O392" s="12" t="s">
        <v>5858</v>
      </c>
      <c r="P392" s="14" t="s">
        <v>5861</v>
      </c>
      <c r="Q392" s="17" t="s">
        <v>137</v>
      </c>
      <c r="R392" s="17" t="s">
        <v>146</v>
      </c>
    </row>
    <row r="393" spans="1:18" x14ac:dyDescent="0.3">
      <c r="A393" s="12" t="s">
        <v>5862</v>
      </c>
      <c r="B393" s="12" t="s">
        <v>12</v>
      </c>
      <c r="C393" s="12"/>
      <c r="D393" s="12" t="s">
        <v>12</v>
      </c>
      <c r="E393" s="12" t="s">
        <v>5863</v>
      </c>
      <c r="F393" s="12"/>
      <c r="G393" s="12" t="s">
        <v>1047</v>
      </c>
      <c r="H393" s="12" t="s">
        <v>36</v>
      </c>
      <c r="I393" s="12" t="s">
        <v>26</v>
      </c>
      <c r="J393" s="13" t="s">
        <v>1742</v>
      </c>
      <c r="K393" s="14" t="s">
        <v>5864</v>
      </c>
      <c r="L393" s="15">
        <v>3</v>
      </c>
      <c r="M393" s="15" t="s">
        <v>144</v>
      </c>
      <c r="N393" s="16">
        <v>44065</v>
      </c>
      <c r="O393" s="12" t="s">
        <v>5862</v>
      </c>
      <c r="P393" s="14" t="s">
        <v>5865</v>
      </c>
      <c r="Q393" s="17" t="s">
        <v>137</v>
      </c>
      <c r="R393" s="17" t="s">
        <v>146</v>
      </c>
    </row>
    <row r="394" spans="1:18" x14ac:dyDescent="0.3">
      <c r="A394" s="12" t="s">
        <v>5866</v>
      </c>
      <c r="B394" s="12" t="s">
        <v>14</v>
      </c>
      <c r="C394" s="12"/>
      <c r="D394" s="12" t="s">
        <v>14</v>
      </c>
      <c r="E394" s="12" t="s">
        <v>5867</v>
      </c>
      <c r="F394" s="12" t="s">
        <v>182</v>
      </c>
      <c r="G394" s="12" t="s">
        <v>1047</v>
      </c>
      <c r="H394" s="12" t="s">
        <v>36</v>
      </c>
      <c r="I394" s="12" t="s">
        <v>26</v>
      </c>
      <c r="J394" s="13" t="s">
        <v>1323</v>
      </c>
      <c r="K394" s="14" t="s">
        <v>5868</v>
      </c>
      <c r="L394" s="15">
        <v>0</v>
      </c>
      <c r="M394" s="15" t="s">
        <v>144</v>
      </c>
      <c r="N394" s="16">
        <v>39979</v>
      </c>
      <c r="O394" s="12" t="s">
        <v>5866</v>
      </c>
      <c r="P394" s="14" t="s">
        <v>5869</v>
      </c>
      <c r="Q394" s="17" t="s">
        <v>137</v>
      </c>
      <c r="R394" s="17" t="s">
        <v>146</v>
      </c>
    </row>
    <row r="395" spans="1:18" x14ac:dyDescent="0.3">
      <c r="A395" s="12" t="s">
        <v>5870</v>
      </c>
      <c r="B395" s="12" t="s">
        <v>12</v>
      </c>
      <c r="C395" s="12"/>
      <c r="D395" s="12" t="s">
        <v>12</v>
      </c>
      <c r="E395" s="12" t="s">
        <v>5871</v>
      </c>
      <c r="F395" s="12"/>
      <c r="G395" s="12" t="s">
        <v>1047</v>
      </c>
      <c r="H395" s="12" t="s">
        <v>36</v>
      </c>
      <c r="I395" s="12" t="s">
        <v>26</v>
      </c>
      <c r="J395" s="13" t="s">
        <v>1742</v>
      </c>
      <c r="K395" s="14" t="s">
        <v>5872</v>
      </c>
      <c r="L395" s="15">
        <v>1</v>
      </c>
      <c r="M395" s="15" t="s">
        <v>144</v>
      </c>
      <c r="N395" s="16">
        <v>39315</v>
      </c>
      <c r="O395" s="12" t="s">
        <v>5870</v>
      </c>
      <c r="P395" s="14" t="s">
        <v>5873</v>
      </c>
      <c r="Q395" s="17" t="s">
        <v>137</v>
      </c>
      <c r="R395" s="17" t="s">
        <v>146</v>
      </c>
    </row>
    <row r="396" spans="1:18" x14ac:dyDescent="0.3">
      <c r="A396" s="12" t="s">
        <v>5874</v>
      </c>
      <c r="B396" s="12" t="s">
        <v>12</v>
      </c>
      <c r="C396" s="12"/>
      <c r="D396" s="12" t="s">
        <v>12</v>
      </c>
      <c r="E396" s="12" t="s">
        <v>5875</v>
      </c>
      <c r="F396" s="12"/>
      <c r="G396" s="12" t="s">
        <v>1047</v>
      </c>
      <c r="H396" s="12" t="s">
        <v>36</v>
      </c>
      <c r="I396" s="12" t="s">
        <v>26</v>
      </c>
      <c r="J396" s="13" t="s">
        <v>1323</v>
      </c>
      <c r="K396" s="14" t="s">
        <v>5876</v>
      </c>
      <c r="L396" s="15">
        <v>0</v>
      </c>
      <c r="M396" s="15" t="s">
        <v>144</v>
      </c>
      <c r="N396" s="16">
        <v>44065</v>
      </c>
      <c r="O396" s="12" t="s">
        <v>5874</v>
      </c>
      <c r="P396" s="14" t="s">
        <v>5877</v>
      </c>
      <c r="Q396" s="17" t="s">
        <v>137</v>
      </c>
      <c r="R396" s="17" t="s">
        <v>146</v>
      </c>
    </row>
    <row r="397" spans="1:18" x14ac:dyDescent="0.3">
      <c r="A397" s="12" t="s">
        <v>5878</v>
      </c>
      <c r="B397" s="12" t="s">
        <v>14</v>
      </c>
      <c r="C397" s="12"/>
      <c r="D397" s="12" t="s">
        <v>14</v>
      </c>
      <c r="E397" s="12" t="s">
        <v>5879</v>
      </c>
      <c r="F397" s="12"/>
      <c r="G397" s="12" t="s">
        <v>1052</v>
      </c>
      <c r="H397" s="12" t="s">
        <v>36</v>
      </c>
      <c r="I397" s="12" t="s">
        <v>26</v>
      </c>
      <c r="J397" s="13" t="s">
        <v>1053</v>
      </c>
      <c r="K397" s="14" t="s">
        <v>5880</v>
      </c>
      <c r="L397" s="15">
        <v>1</v>
      </c>
      <c r="M397" s="15" t="s">
        <v>144</v>
      </c>
      <c r="N397" s="16">
        <v>43591</v>
      </c>
      <c r="O397" s="12" t="s">
        <v>5878</v>
      </c>
      <c r="P397" s="14" t="s">
        <v>5881</v>
      </c>
      <c r="Q397" s="17" t="s">
        <v>137</v>
      </c>
      <c r="R397" s="17" t="s">
        <v>146</v>
      </c>
    </row>
    <row r="398" spans="1:18" x14ac:dyDescent="0.3">
      <c r="A398" s="12" t="s">
        <v>5882</v>
      </c>
      <c r="B398" s="12" t="s">
        <v>12</v>
      </c>
      <c r="C398" s="12"/>
      <c r="D398" s="12" t="s">
        <v>12</v>
      </c>
      <c r="E398" s="12" t="s">
        <v>5883</v>
      </c>
      <c r="F398" s="12" t="s">
        <v>520</v>
      </c>
      <c r="G398" s="12" t="s">
        <v>1058</v>
      </c>
      <c r="H398" s="12" t="s">
        <v>36</v>
      </c>
      <c r="I398" s="12" t="s">
        <v>26</v>
      </c>
      <c r="J398" s="13" t="s">
        <v>1064</v>
      </c>
      <c r="K398" s="14" t="s">
        <v>5884</v>
      </c>
      <c r="L398" s="15">
        <v>0</v>
      </c>
      <c r="M398" s="15" t="s">
        <v>144</v>
      </c>
      <c r="N398" s="16">
        <v>44039</v>
      </c>
      <c r="O398" s="12" t="s">
        <v>5882</v>
      </c>
      <c r="P398" s="14" t="s">
        <v>5885</v>
      </c>
      <c r="Q398" s="17" t="s">
        <v>137</v>
      </c>
      <c r="R398" s="17" t="s">
        <v>146</v>
      </c>
    </row>
    <row r="399" spans="1:18" x14ac:dyDescent="0.3">
      <c r="A399" s="12" t="s">
        <v>5886</v>
      </c>
      <c r="B399" s="12" t="s">
        <v>14</v>
      </c>
      <c r="C399" s="12"/>
      <c r="D399" s="12" t="s">
        <v>14</v>
      </c>
      <c r="E399" s="12" t="s">
        <v>5887</v>
      </c>
      <c r="F399" s="12"/>
      <c r="G399" s="12" t="s">
        <v>1058</v>
      </c>
      <c r="H399" s="12" t="s">
        <v>36</v>
      </c>
      <c r="I399" s="12" t="s">
        <v>26</v>
      </c>
      <c r="J399" s="13" t="s">
        <v>1064</v>
      </c>
      <c r="K399" s="14" t="s">
        <v>5888</v>
      </c>
      <c r="L399" s="15">
        <v>1</v>
      </c>
      <c r="M399" s="15" t="s">
        <v>144</v>
      </c>
      <c r="N399" s="16">
        <v>41614</v>
      </c>
      <c r="O399" s="12" t="s">
        <v>5886</v>
      </c>
      <c r="P399" s="14" t="s">
        <v>5889</v>
      </c>
      <c r="Q399" s="17" t="s">
        <v>137</v>
      </c>
      <c r="R399" s="17" t="s">
        <v>146</v>
      </c>
    </row>
    <row r="400" spans="1:18" x14ac:dyDescent="0.3">
      <c r="A400" s="12" t="s">
        <v>5890</v>
      </c>
      <c r="B400" s="12" t="s">
        <v>12</v>
      </c>
      <c r="C400" s="12"/>
      <c r="D400" s="12" t="s">
        <v>12</v>
      </c>
      <c r="E400" s="12" t="s">
        <v>1124</v>
      </c>
      <c r="F400" s="12" t="s">
        <v>447</v>
      </c>
      <c r="G400" s="12" t="s">
        <v>1058</v>
      </c>
      <c r="H400" s="12" t="s">
        <v>36</v>
      </c>
      <c r="I400" s="12" t="s">
        <v>26</v>
      </c>
      <c r="J400" s="13" t="s">
        <v>1064</v>
      </c>
      <c r="K400" s="14" t="s">
        <v>5891</v>
      </c>
      <c r="L400" s="15">
        <v>3</v>
      </c>
      <c r="M400" s="15" t="s">
        <v>144</v>
      </c>
      <c r="N400" s="16">
        <v>43157</v>
      </c>
      <c r="O400" s="12" t="s">
        <v>5890</v>
      </c>
      <c r="P400" s="14" t="s">
        <v>5892</v>
      </c>
      <c r="Q400" s="17" t="s">
        <v>137</v>
      </c>
      <c r="R400" s="17" t="s">
        <v>146</v>
      </c>
    </row>
    <row r="401" spans="1:18" x14ac:dyDescent="0.3">
      <c r="A401" s="12" t="s">
        <v>5893</v>
      </c>
      <c r="B401" s="12" t="s">
        <v>12</v>
      </c>
      <c r="C401" s="12"/>
      <c r="D401" s="12" t="s">
        <v>12</v>
      </c>
      <c r="E401" s="12" t="s">
        <v>5894</v>
      </c>
      <c r="F401" s="12" t="s">
        <v>164</v>
      </c>
      <c r="G401" s="12" t="s">
        <v>1058</v>
      </c>
      <c r="H401" s="12" t="s">
        <v>36</v>
      </c>
      <c r="I401" s="12" t="s">
        <v>26</v>
      </c>
      <c r="J401" s="13" t="s">
        <v>1064</v>
      </c>
      <c r="K401" s="14" t="s">
        <v>5895</v>
      </c>
      <c r="L401" s="15">
        <v>5</v>
      </c>
      <c r="M401" s="15" t="s">
        <v>144</v>
      </c>
      <c r="N401" s="16">
        <v>42643</v>
      </c>
      <c r="O401" s="12" t="s">
        <v>5893</v>
      </c>
      <c r="P401" s="14" t="s">
        <v>5896</v>
      </c>
      <c r="Q401" s="17" t="s">
        <v>137</v>
      </c>
      <c r="R401" s="17" t="s">
        <v>146</v>
      </c>
    </row>
    <row r="402" spans="1:18" x14ac:dyDescent="0.3">
      <c r="A402" s="12" t="s">
        <v>5897</v>
      </c>
      <c r="B402" s="12" t="s">
        <v>12</v>
      </c>
      <c r="C402" s="12"/>
      <c r="D402" s="12" t="s">
        <v>12</v>
      </c>
      <c r="E402" s="12" t="s">
        <v>5898</v>
      </c>
      <c r="F402" s="12" t="s">
        <v>372</v>
      </c>
      <c r="G402" s="12" t="s">
        <v>1058</v>
      </c>
      <c r="H402" s="12" t="s">
        <v>36</v>
      </c>
      <c r="I402" s="12" t="s">
        <v>26</v>
      </c>
      <c r="J402" s="13" t="s">
        <v>5899</v>
      </c>
      <c r="K402" s="14" t="s">
        <v>5900</v>
      </c>
      <c r="L402" s="15">
        <v>0</v>
      </c>
      <c r="M402" s="15" t="s">
        <v>144</v>
      </c>
      <c r="N402" s="16">
        <v>39497</v>
      </c>
      <c r="O402" s="12" t="s">
        <v>5897</v>
      </c>
      <c r="P402" s="14" t="s">
        <v>5901</v>
      </c>
      <c r="Q402" s="17" t="s">
        <v>137</v>
      </c>
      <c r="R402" s="17" t="s">
        <v>146</v>
      </c>
    </row>
    <row r="403" spans="1:18" x14ac:dyDescent="0.3">
      <c r="A403" s="12" t="s">
        <v>1891</v>
      </c>
      <c r="B403" s="12" t="s">
        <v>16</v>
      </c>
      <c r="C403" s="12"/>
      <c r="D403" s="12" t="s">
        <v>471</v>
      </c>
      <c r="E403" s="12" t="s">
        <v>1063</v>
      </c>
      <c r="F403" s="12" t="s">
        <v>712</v>
      </c>
      <c r="G403" s="12" t="s">
        <v>1058</v>
      </c>
      <c r="H403" s="12" t="s">
        <v>36</v>
      </c>
      <c r="I403" s="12" t="s">
        <v>26</v>
      </c>
      <c r="J403" s="13" t="s">
        <v>1064</v>
      </c>
      <c r="K403" s="14" t="s">
        <v>1129</v>
      </c>
      <c r="L403" s="15">
        <v>0</v>
      </c>
      <c r="M403" s="15" t="s">
        <v>144</v>
      </c>
      <c r="N403" s="16">
        <v>44065</v>
      </c>
      <c r="O403" s="12" t="s">
        <v>5902</v>
      </c>
      <c r="P403" s="14" t="s">
        <v>5903</v>
      </c>
      <c r="Q403" s="17" t="s">
        <v>137</v>
      </c>
      <c r="R403" s="17" t="s">
        <v>146</v>
      </c>
    </row>
    <row r="404" spans="1:18" x14ac:dyDescent="0.3">
      <c r="A404" s="12" t="s">
        <v>5904</v>
      </c>
      <c r="B404" s="12" t="s">
        <v>12</v>
      </c>
      <c r="C404" s="12"/>
      <c r="D404" s="12" t="s">
        <v>12</v>
      </c>
      <c r="E404" s="12" t="s">
        <v>5905</v>
      </c>
      <c r="F404" s="12"/>
      <c r="G404" s="12" t="s">
        <v>1058</v>
      </c>
      <c r="H404" s="12" t="s">
        <v>36</v>
      </c>
      <c r="I404" s="12" t="s">
        <v>26</v>
      </c>
      <c r="J404" s="13" t="s">
        <v>1059</v>
      </c>
      <c r="K404" s="14" t="s">
        <v>1078</v>
      </c>
      <c r="L404" s="15">
        <v>2</v>
      </c>
      <c r="M404" s="15" t="s">
        <v>144</v>
      </c>
      <c r="N404" s="16">
        <v>39351</v>
      </c>
      <c r="O404" s="12" t="s">
        <v>5906</v>
      </c>
      <c r="P404" s="14" t="s">
        <v>5907</v>
      </c>
      <c r="Q404" s="17" t="s">
        <v>137</v>
      </c>
      <c r="R404" s="17" t="s">
        <v>146</v>
      </c>
    </row>
    <row r="405" spans="1:18" x14ac:dyDescent="0.3">
      <c r="A405" s="12" t="s">
        <v>5908</v>
      </c>
      <c r="B405" s="12" t="s">
        <v>12</v>
      </c>
      <c r="C405" s="12"/>
      <c r="D405" s="12" t="s">
        <v>12</v>
      </c>
      <c r="E405" s="12" t="s">
        <v>5909</v>
      </c>
      <c r="F405" s="12" t="s">
        <v>5160</v>
      </c>
      <c r="G405" s="12" t="s">
        <v>1058</v>
      </c>
      <c r="H405" s="12" t="s">
        <v>36</v>
      </c>
      <c r="I405" s="12" t="s">
        <v>26</v>
      </c>
      <c r="J405" s="13" t="s">
        <v>1064</v>
      </c>
      <c r="K405" s="14" t="s">
        <v>5910</v>
      </c>
      <c r="L405" s="15">
        <v>0</v>
      </c>
      <c r="M405" s="15" t="s">
        <v>144</v>
      </c>
      <c r="N405" s="16">
        <v>44065</v>
      </c>
      <c r="O405" s="12" t="s">
        <v>5908</v>
      </c>
      <c r="P405" s="14" t="s">
        <v>5911</v>
      </c>
      <c r="Q405" s="17" t="s">
        <v>137</v>
      </c>
      <c r="R405" s="17" t="s">
        <v>146</v>
      </c>
    </row>
    <row r="406" spans="1:18" x14ac:dyDescent="0.3">
      <c r="A406" s="12" t="s">
        <v>5912</v>
      </c>
      <c r="B406" s="12" t="s">
        <v>16</v>
      </c>
      <c r="C406" s="12"/>
      <c r="D406" s="12" t="s">
        <v>471</v>
      </c>
      <c r="E406" s="12" t="s">
        <v>1145</v>
      </c>
      <c r="F406" s="12" t="s">
        <v>2218</v>
      </c>
      <c r="G406" s="12" t="s">
        <v>1058</v>
      </c>
      <c r="H406" s="12" t="s">
        <v>36</v>
      </c>
      <c r="I406" s="12" t="s">
        <v>26</v>
      </c>
      <c r="J406" s="13" t="s">
        <v>1064</v>
      </c>
      <c r="K406" s="14" t="s">
        <v>5913</v>
      </c>
      <c r="L406" s="15">
        <v>188</v>
      </c>
      <c r="M406" s="15" t="s">
        <v>144</v>
      </c>
      <c r="N406" s="16">
        <v>41913</v>
      </c>
      <c r="O406" s="12" t="s">
        <v>5912</v>
      </c>
      <c r="P406" s="14" t="s">
        <v>5914</v>
      </c>
      <c r="Q406" s="17" t="s">
        <v>137</v>
      </c>
      <c r="R406" s="17" t="s">
        <v>146</v>
      </c>
    </row>
    <row r="407" spans="1:18" x14ac:dyDescent="0.3">
      <c r="A407" s="12" t="s">
        <v>5915</v>
      </c>
      <c r="B407" s="12" t="s">
        <v>12</v>
      </c>
      <c r="C407" s="12"/>
      <c r="D407" s="12" t="s">
        <v>12</v>
      </c>
      <c r="E407" s="12" t="s">
        <v>5916</v>
      </c>
      <c r="F407" s="12"/>
      <c r="G407" s="12" t="s">
        <v>1058</v>
      </c>
      <c r="H407" s="12" t="s">
        <v>36</v>
      </c>
      <c r="I407" s="12" t="s">
        <v>26</v>
      </c>
      <c r="J407" s="13" t="s">
        <v>1059</v>
      </c>
      <c r="K407" s="14" t="s">
        <v>5917</v>
      </c>
      <c r="L407" s="15">
        <v>1</v>
      </c>
      <c r="M407" s="15" t="s">
        <v>144</v>
      </c>
      <c r="N407" s="16">
        <v>41430</v>
      </c>
      <c r="O407" s="12" t="s">
        <v>5915</v>
      </c>
      <c r="P407" s="14" t="s">
        <v>5918</v>
      </c>
      <c r="Q407" s="17" t="s">
        <v>137</v>
      </c>
      <c r="R407" s="17" t="s">
        <v>146</v>
      </c>
    </row>
    <row r="408" spans="1:18" x14ac:dyDescent="0.3">
      <c r="A408" s="12" t="s">
        <v>5919</v>
      </c>
      <c r="B408" s="12" t="s">
        <v>12</v>
      </c>
      <c r="C408" s="12"/>
      <c r="D408" s="12" t="s">
        <v>12</v>
      </c>
      <c r="E408" s="12" t="s">
        <v>5920</v>
      </c>
      <c r="F408" s="12"/>
      <c r="G408" s="12" t="s">
        <v>1058</v>
      </c>
      <c r="H408" s="12" t="s">
        <v>36</v>
      </c>
      <c r="I408" s="12" t="s">
        <v>26</v>
      </c>
      <c r="J408" s="13" t="s">
        <v>1064</v>
      </c>
      <c r="K408" s="14" t="s">
        <v>1243</v>
      </c>
      <c r="L408" s="15">
        <v>6</v>
      </c>
      <c r="M408" s="15" t="s">
        <v>144</v>
      </c>
      <c r="N408" s="16">
        <v>40479</v>
      </c>
      <c r="O408" s="12" t="s">
        <v>5919</v>
      </c>
      <c r="P408" s="14" t="s">
        <v>5921</v>
      </c>
      <c r="Q408" s="17" t="s">
        <v>137</v>
      </c>
      <c r="R408" s="17" t="s">
        <v>146</v>
      </c>
    </row>
    <row r="409" spans="1:18" x14ac:dyDescent="0.3">
      <c r="A409" s="12" t="s">
        <v>5922</v>
      </c>
      <c r="B409" s="12" t="s">
        <v>12</v>
      </c>
      <c r="C409" s="12"/>
      <c r="D409" s="12" t="s">
        <v>12</v>
      </c>
      <c r="E409" s="12" t="s">
        <v>1068</v>
      </c>
      <c r="F409" s="12" t="s">
        <v>5923</v>
      </c>
      <c r="G409" s="12" t="s">
        <v>1058</v>
      </c>
      <c r="H409" s="12" t="s">
        <v>36</v>
      </c>
      <c r="I409" s="12" t="s">
        <v>26</v>
      </c>
      <c r="J409" s="13" t="s">
        <v>1064</v>
      </c>
      <c r="K409" s="14" t="s">
        <v>1851</v>
      </c>
      <c r="L409" s="15">
        <v>2</v>
      </c>
      <c r="M409" s="15" t="s">
        <v>144</v>
      </c>
      <c r="N409" s="16">
        <v>41003</v>
      </c>
      <c r="O409" s="12" t="s">
        <v>5922</v>
      </c>
      <c r="P409" s="14" t="s">
        <v>5924</v>
      </c>
      <c r="Q409" s="17" t="s">
        <v>137</v>
      </c>
      <c r="R409" s="17" t="s">
        <v>146</v>
      </c>
    </row>
    <row r="410" spans="1:18" x14ac:dyDescent="0.3">
      <c r="A410" s="12" t="s">
        <v>5925</v>
      </c>
      <c r="B410" s="12" t="s">
        <v>12</v>
      </c>
      <c r="C410" s="12"/>
      <c r="D410" s="12" t="s">
        <v>12</v>
      </c>
      <c r="E410" s="12" t="s">
        <v>5926</v>
      </c>
      <c r="F410" s="12"/>
      <c r="G410" s="12" t="s">
        <v>1058</v>
      </c>
      <c r="H410" s="12" t="s">
        <v>36</v>
      </c>
      <c r="I410" s="12" t="s">
        <v>26</v>
      </c>
      <c r="J410" s="13" t="s">
        <v>1064</v>
      </c>
      <c r="K410" s="14" t="s">
        <v>5927</v>
      </c>
      <c r="L410" s="15">
        <v>2</v>
      </c>
      <c r="M410" s="15" t="s">
        <v>144</v>
      </c>
      <c r="N410" s="16">
        <v>44084</v>
      </c>
      <c r="O410" s="12" t="s">
        <v>5928</v>
      </c>
      <c r="P410" s="14" t="s">
        <v>5929</v>
      </c>
      <c r="Q410" s="17" t="s">
        <v>137</v>
      </c>
      <c r="R410" s="17" t="s">
        <v>146</v>
      </c>
    </row>
    <row r="411" spans="1:18" x14ac:dyDescent="0.3">
      <c r="A411" s="12" t="s">
        <v>5930</v>
      </c>
      <c r="B411" s="12" t="s">
        <v>14</v>
      </c>
      <c r="C411" s="12"/>
      <c r="D411" s="12" t="s">
        <v>14</v>
      </c>
      <c r="E411" s="12" t="s">
        <v>1098</v>
      </c>
      <c r="F411" s="12"/>
      <c r="G411" s="12" t="s">
        <v>1058</v>
      </c>
      <c r="H411" s="12" t="s">
        <v>36</v>
      </c>
      <c r="I411" s="12" t="s">
        <v>26</v>
      </c>
      <c r="J411" s="13" t="s">
        <v>1064</v>
      </c>
      <c r="K411" s="14" t="s">
        <v>1099</v>
      </c>
      <c r="L411" s="15">
        <v>1</v>
      </c>
      <c r="M411" s="15" t="s">
        <v>144</v>
      </c>
      <c r="N411" s="16">
        <v>39315</v>
      </c>
      <c r="O411" s="12" t="s">
        <v>5930</v>
      </c>
      <c r="P411" s="14" t="s">
        <v>5931</v>
      </c>
      <c r="Q411" s="17" t="s">
        <v>137</v>
      </c>
      <c r="R411" s="17" t="s">
        <v>146</v>
      </c>
    </row>
    <row r="412" spans="1:18" x14ac:dyDescent="0.3">
      <c r="A412" s="12" t="s">
        <v>5932</v>
      </c>
      <c r="B412" s="12" t="s">
        <v>12</v>
      </c>
      <c r="C412" s="12"/>
      <c r="D412" s="12" t="s">
        <v>12</v>
      </c>
      <c r="E412" s="12" t="s">
        <v>5933</v>
      </c>
      <c r="F412" s="12"/>
      <c r="G412" s="12" t="s">
        <v>1058</v>
      </c>
      <c r="H412" s="12" t="s">
        <v>36</v>
      </c>
      <c r="I412" s="12" t="s">
        <v>26</v>
      </c>
      <c r="J412" s="13" t="s">
        <v>1064</v>
      </c>
      <c r="K412" s="14" t="s">
        <v>5934</v>
      </c>
      <c r="L412" s="15">
        <v>4</v>
      </c>
      <c r="M412" s="15" t="s">
        <v>144</v>
      </c>
      <c r="N412" s="16">
        <v>40518</v>
      </c>
      <c r="O412" s="12" t="s">
        <v>5932</v>
      </c>
      <c r="P412" s="14" t="s">
        <v>5935</v>
      </c>
      <c r="Q412" s="17" t="s">
        <v>137</v>
      </c>
      <c r="R412" s="17" t="s">
        <v>146</v>
      </c>
    </row>
    <row r="413" spans="1:18" x14ac:dyDescent="0.3">
      <c r="A413" s="12" t="s">
        <v>5936</v>
      </c>
      <c r="B413" s="12" t="s">
        <v>12</v>
      </c>
      <c r="C413" s="12"/>
      <c r="D413" s="12" t="s">
        <v>12</v>
      </c>
      <c r="E413" s="12" t="s">
        <v>5937</v>
      </c>
      <c r="F413" s="12"/>
      <c r="G413" s="12" t="s">
        <v>1058</v>
      </c>
      <c r="H413" s="12" t="s">
        <v>36</v>
      </c>
      <c r="I413" s="12" t="s">
        <v>26</v>
      </c>
      <c r="J413" s="13" t="s">
        <v>5899</v>
      </c>
      <c r="K413" s="14" t="s">
        <v>5934</v>
      </c>
      <c r="L413" s="15">
        <v>0</v>
      </c>
      <c r="M413" s="15" t="s">
        <v>144</v>
      </c>
      <c r="N413" s="16">
        <v>41479</v>
      </c>
      <c r="O413" s="12" t="s">
        <v>5938</v>
      </c>
      <c r="P413" s="14" t="s">
        <v>5939</v>
      </c>
      <c r="Q413" s="17" t="s">
        <v>137</v>
      </c>
      <c r="R413" s="17" t="s">
        <v>146</v>
      </c>
    </row>
    <row r="414" spans="1:18" x14ac:dyDescent="0.3">
      <c r="A414" s="12" t="s">
        <v>5940</v>
      </c>
      <c r="B414" s="12" t="s">
        <v>12</v>
      </c>
      <c r="C414" s="12"/>
      <c r="D414" s="12" t="s">
        <v>12</v>
      </c>
      <c r="E414" s="12" t="s">
        <v>5941</v>
      </c>
      <c r="F414" s="12" t="s">
        <v>218</v>
      </c>
      <c r="G414" s="12" t="s">
        <v>1058</v>
      </c>
      <c r="H414" s="12" t="s">
        <v>36</v>
      </c>
      <c r="I414" s="12" t="s">
        <v>26</v>
      </c>
      <c r="J414" s="13" t="s">
        <v>1064</v>
      </c>
      <c r="K414" s="14" t="s">
        <v>5942</v>
      </c>
      <c r="L414" s="15">
        <v>1</v>
      </c>
      <c r="M414" s="15" t="s">
        <v>144</v>
      </c>
      <c r="N414" s="16">
        <v>44065</v>
      </c>
      <c r="O414" s="12" t="s">
        <v>5940</v>
      </c>
      <c r="P414" s="14" t="s">
        <v>5943</v>
      </c>
      <c r="Q414" s="17" t="s">
        <v>137</v>
      </c>
      <c r="R414" s="17" t="s">
        <v>146</v>
      </c>
    </row>
    <row r="415" spans="1:18" x14ac:dyDescent="0.3">
      <c r="A415" s="12" t="s">
        <v>5944</v>
      </c>
      <c r="B415" s="12" t="s">
        <v>12</v>
      </c>
      <c r="C415" s="12"/>
      <c r="D415" s="12" t="s">
        <v>12</v>
      </c>
      <c r="E415" s="12" t="s">
        <v>5945</v>
      </c>
      <c r="F415" s="12" t="s">
        <v>1660</v>
      </c>
      <c r="G415" s="12" t="s">
        <v>1058</v>
      </c>
      <c r="H415" s="12" t="s">
        <v>36</v>
      </c>
      <c r="I415" s="12" t="s">
        <v>26</v>
      </c>
      <c r="J415" s="13" t="s">
        <v>5899</v>
      </c>
      <c r="K415" s="14" t="s">
        <v>5946</v>
      </c>
      <c r="L415" s="15">
        <v>0</v>
      </c>
      <c r="M415" s="15" t="s">
        <v>144</v>
      </c>
      <c r="N415" s="16">
        <v>40235</v>
      </c>
      <c r="O415" s="12" t="s">
        <v>5944</v>
      </c>
      <c r="P415" s="14" t="s">
        <v>5947</v>
      </c>
      <c r="Q415" s="17" t="s">
        <v>137</v>
      </c>
      <c r="R415" s="17" t="s">
        <v>146</v>
      </c>
    </row>
    <row r="416" spans="1:18" x14ac:dyDescent="0.3">
      <c r="A416" s="12" t="s">
        <v>5948</v>
      </c>
      <c r="B416" s="12" t="s">
        <v>14</v>
      </c>
      <c r="C416" s="12"/>
      <c r="D416" s="12" t="s">
        <v>14</v>
      </c>
      <c r="E416" s="12" t="s">
        <v>5887</v>
      </c>
      <c r="F416" s="12"/>
      <c r="G416" s="12" t="s">
        <v>1058</v>
      </c>
      <c r="H416" s="12" t="s">
        <v>36</v>
      </c>
      <c r="I416" s="12" t="s">
        <v>26</v>
      </c>
      <c r="J416" s="13" t="s">
        <v>1064</v>
      </c>
      <c r="K416" s="14" t="s">
        <v>5888</v>
      </c>
      <c r="L416" s="15">
        <v>1</v>
      </c>
      <c r="M416" s="15" t="s">
        <v>144</v>
      </c>
      <c r="N416" s="16">
        <v>42676</v>
      </c>
      <c r="O416" s="12" t="s">
        <v>5949</v>
      </c>
      <c r="P416" s="14" t="s">
        <v>5950</v>
      </c>
      <c r="Q416" s="17" t="s">
        <v>137</v>
      </c>
      <c r="R416" s="17" t="s">
        <v>146</v>
      </c>
    </row>
    <row r="417" spans="1:18" x14ac:dyDescent="0.3">
      <c r="A417" s="12" t="s">
        <v>5951</v>
      </c>
      <c r="B417" s="12" t="s">
        <v>12</v>
      </c>
      <c r="C417" s="12"/>
      <c r="D417" s="12" t="s">
        <v>12</v>
      </c>
      <c r="E417" s="12" t="s">
        <v>5952</v>
      </c>
      <c r="F417" s="12" t="s">
        <v>5953</v>
      </c>
      <c r="G417" s="12" t="s">
        <v>1058</v>
      </c>
      <c r="H417" s="12" t="s">
        <v>36</v>
      </c>
      <c r="I417" s="12" t="s">
        <v>26</v>
      </c>
      <c r="J417" s="13" t="s">
        <v>1064</v>
      </c>
      <c r="K417" s="14" t="s">
        <v>5954</v>
      </c>
      <c r="L417" s="15">
        <v>3</v>
      </c>
      <c r="M417" s="15" t="s">
        <v>144</v>
      </c>
      <c r="N417" s="16">
        <v>40721</v>
      </c>
      <c r="O417" s="12" t="s">
        <v>5951</v>
      </c>
      <c r="P417" s="14" t="s">
        <v>5955</v>
      </c>
      <c r="Q417" s="17" t="s">
        <v>137</v>
      </c>
      <c r="R417" s="17" t="s">
        <v>146</v>
      </c>
    </row>
    <row r="418" spans="1:18" x14ac:dyDescent="0.3">
      <c r="A418" s="12" t="s">
        <v>5956</v>
      </c>
      <c r="B418" s="12" t="s">
        <v>12</v>
      </c>
      <c r="C418" s="12"/>
      <c r="D418" s="12" t="s">
        <v>12</v>
      </c>
      <c r="E418" s="12" t="s">
        <v>5957</v>
      </c>
      <c r="F418" s="12"/>
      <c r="G418" s="12" t="s">
        <v>1058</v>
      </c>
      <c r="H418" s="12" t="s">
        <v>36</v>
      </c>
      <c r="I418" s="12" t="s">
        <v>26</v>
      </c>
      <c r="J418" s="13" t="s">
        <v>1064</v>
      </c>
      <c r="K418" s="14" t="s">
        <v>5958</v>
      </c>
      <c r="L418" s="15">
        <v>1</v>
      </c>
      <c r="M418" s="15" t="s">
        <v>144</v>
      </c>
      <c r="N418" s="16">
        <v>39769</v>
      </c>
      <c r="O418" s="12" t="s">
        <v>5956</v>
      </c>
      <c r="P418" s="14" t="s">
        <v>5959</v>
      </c>
      <c r="Q418" s="17" t="s">
        <v>137</v>
      </c>
      <c r="R418" s="17" t="s">
        <v>146</v>
      </c>
    </row>
    <row r="419" spans="1:18" x14ac:dyDescent="0.3">
      <c r="A419" s="12" t="s">
        <v>5960</v>
      </c>
      <c r="B419" s="12" t="s">
        <v>14</v>
      </c>
      <c r="C419" s="12"/>
      <c r="D419" s="12" t="s">
        <v>14</v>
      </c>
      <c r="E419" s="12" t="s">
        <v>5961</v>
      </c>
      <c r="F419" s="12" t="s">
        <v>1163</v>
      </c>
      <c r="G419" s="12" t="s">
        <v>1058</v>
      </c>
      <c r="H419" s="12" t="s">
        <v>36</v>
      </c>
      <c r="I419" s="12" t="s">
        <v>26</v>
      </c>
      <c r="J419" s="13" t="s">
        <v>1064</v>
      </c>
      <c r="K419" s="14" t="s">
        <v>5962</v>
      </c>
      <c r="L419" s="15">
        <v>7</v>
      </c>
      <c r="M419" s="15" t="s">
        <v>144</v>
      </c>
      <c r="N419" s="16">
        <v>40393</v>
      </c>
      <c r="O419" s="12" t="s">
        <v>5960</v>
      </c>
      <c r="P419" s="14" t="s">
        <v>5963</v>
      </c>
      <c r="Q419" s="17" t="s">
        <v>137</v>
      </c>
      <c r="R419" s="17" t="s">
        <v>146</v>
      </c>
    </row>
    <row r="420" spans="1:18" x14ac:dyDescent="0.3">
      <c r="A420" s="12" t="s">
        <v>4710</v>
      </c>
      <c r="B420" s="12" t="s">
        <v>14</v>
      </c>
      <c r="C420" s="12"/>
      <c r="D420" s="12" t="s">
        <v>14</v>
      </c>
      <c r="E420" s="12" t="s">
        <v>5898</v>
      </c>
      <c r="F420" s="12" t="s">
        <v>345</v>
      </c>
      <c r="G420" s="12" t="s">
        <v>1058</v>
      </c>
      <c r="H420" s="12" t="s">
        <v>36</v>
      </c>
      <c r="I420" s="12" t="s">
        <v>26</v>
      </c>
      <c r="J420" s="13" t="s">
        <v>5899</v>
      </c>
      <c r="K420" s="14" t="s">
        <v>5964</v>
      </c>
      <c r="L420" s="15">
        <v>7</v>
      </c>
      <c r="M420" s="15" t="s">
        <v>144</v>
      </c>
      <c r="N420" s="16">
        <v>44159</v>
      </c>
      <c r="O420" s="12" t="s">
        <v>4710</v>
      </c>
      <c r="P420" s="14" t="s">
        <v>4713</v>
      </c>
      <c r="Q420" s="17" t="s">
        <v>137</v>
      </c>
      <c r="R420" s="17" t="s">
        <v>146</v>
      </c>
    </row>
    <row r="421" spans="1:18" x14ac:dyDescent="0.3">
      <c r="A421" s="12" t="s">
        <v>5965</v>
      </c>
      <c r="B421" s="12" t="s">
        <v>14</v>
      </c>
      <c r="C421" s="12"/>
      <c r="D421" s="12" t="s">
        <v>14</v>
      </c>
      <c r="E421" s="12" t="s">
        <v>1106</v>
      </c>
      <c r="F421" s="12"/>
      <c r="G421" s="12" t="s">
        <v>1058</v>
      </c>
      <c r="H421" s="12" t="s">
        <v>36</v>
      </c>
      <c r="I421" s="12" t="s">
        <v>26</v>
      </c>
      <c r="J421" s="13" t="s">
        <v>1064</v>
      </c>
      <c r="K421" s="14" t="s">
        <v>5966</v>
      </c>
      <c r="L421" s="15">
        <v>10</v>
      </c>
      <c r="M421" s="15" t="s">
        <v>144</v>
      </c>
      <c r="N421" s="16">
        <v>40369</v>
      </c>
      <c r="O421" s="12" t="s">
        <v>5965</v>
      </c>
      <c r="P421" s="14" t="s">
        <v>5967</v>
      </c>
      <c r="Q421" s="17" t="s">
        <v>137</v>
      </c>
      <c r="R421" s="17" t="s">
        <v>146</v>
      </c>
    </row>
    <row r="422" spans="1:18" x14ac:dyDescent="0.3">
      <c r="A422" s="12" t="s">
        <v>5968</v>
      </c>
      <c r="B422" s="12" t="s">
        <v>12</v>
      </c>
      <c r="C422" s="12"/>
      <c r="D422" s="12" t="s">
        <v>12</v>
      </c>
      <c r="E422" s="12" t="s">
        <v>1137</v>
      </c>
      <c r="F422" s="12" t="s">
        <v>248</v>
      </c>
      <c r="G422" s="12" t="s">
        <v>1058</v>
      </c>
      <c r="H422" s="12" t="s">
        <v>36</v>
      </c>
      <c r="I422" s="12" t="s">
        <v>26</v>
      </c>
      <c r="J422" s="13" t="s">
        <v>1064</v>
      </c>
      <c r="K422" s="14" t="s">
        <v>5969</v>
      </c>
      <c r="L422" s="15">
        <v>0</v>
      </c>
      <c r="M422" s="15" t="s">
        <v>144</v>
      </c>
      <c r="N422" s="16">
        <v>39526</v>
      </c>
      <c r="O422" s="12" t="s">
        <v>5968</v>
      </c>
      <c r="P422" s="14" t="s">
        <v>5970</v>
      </c>
      <c r="Q422" s="17" t="s">
        <v>137</v>
      </c>
      <c r="R422" s="17" t="s">
        <v>146</v>
      </c>
    </row>
    <row r="423" spans="1:18" x14ac:dyDescent="0.3">
      <c r="A423" s="12" t="s">
        <v>5971</v>
      </c>
      <c r="B423" s="12" t="s">
        <v>12</v>
      </c>
      <c r="C423" s="12"/>
      <c r="D423" s="12" t="s">
        <v>12</v>
      </c>
      <c r="E423" s="12" t="s">
        <v>1073</v>
      </c>
      <c r="F423" s="12"/>
      <c r="G423" s="12" t="s">
        <v>1058</v>
      </c>
      <c r="H423" s="12" t="s">
        <v>36</v>
      </c>
      <c r="I423" s="12" t="s">
        <v>26</v>
      </c>
      <c r="J423" s="13" t="s">
        <v>1064</v>
      </c>
      <c r="K423" s="14" t="s">
        <v>5972</v>
      </c>
      <c r="L423" s="15">
        <v>7</v>
      </c>
      <c r="M423" s="15" t="s">
        <v>144</v>
      </c>
      <c r="N423" s="16">
        <v>40444</v>
      </c>
      <c r="O423" s="12" t="s">
        <v>5973</v>
      </c>
      <c r="P423" s="14" t="s">
        <v>5974</v>
      </c>
      <c r="Q423" s="17" t="s">
        <v>137</v>
      </c>
      <c r="R423" s="17" t="s">
        <v>146</v>
      </c>
    </row>
    <row r="424" spans="1:18" x14ac:dyDescent="0.3">
      <c r="A424" s="12" t="s">
        <v>5975</v>
      </c>
      <c r="B424" s="12" t="s">
        <v>12</v>
      </c>
      <c r="C424" s="12"/>
      <c r="D424" s="12" t="s">
        <v>12</v>
      </c>
      <c r="E424" s="12" t="s">
        <v>5976</v>
      </c>
      <c r="F424" s="12" t="s">
        <v>188</v>
      </c>
      <c r="G424" s="12" t="s">
        <v>1058</v>
      </c>
      <c r="H424" s="12" t="s">
        <v>36</v>
      </c>
      <c r="I424" s="12" t="s">
        <v>26</v>
      </c>
      <c r="J424" s="13" t="s">
        <v>1064</v>
      </c>
      <c r="K424" s="14" t="s">
        <v>5927</v>
      </c>
      <c r="L424" s="15">
        <v>1</v>
      </c>
      <c r="M424" s="15" t="s">
        <v>144</v>
      </c>
      <c r="N424" s="16">
        <v>40501</v>
      </c>
      <c r="O424" s="12" t="s">
        <v>5977</v>
      </c>
      <c r="P424" s="14" t="s">
        <v>5978</v>
      </c>
      <c r="Q424" s="17" t="s">
        <v>137</v>
      </c>
      <c r="R424" s="17" t="s">
        <v>146</v>
      </c>
    </row>
    <row r="425" spans="1:18" x14ac:dyDescent="0.3">
      <c r="A425" s="12" t="s">
        <v>5979</v>
      </c>
      <c r="B425" s="12" t="s">
        <v>12</v>
      </c>
      <c r="C425" s="12"/>
      <c r="D425" s="12" t="s">
        <v>12</v>
      </c>
      <c r="E425" s="12" t="s">
        <v>1141</v>
      </c>
      <c r="F425" s="12"/>
      <c r="G425" s="12" t="s">
        <v>1058</v>
      </c>
      <c r="H425" s="12" t="s">
        <v>36</v>
      </c>
      <c r="I425" s="12" t="s">
        <v>26</v>
      </c>
      <c r="J425" s="13" t="s">
        <v>1059</v>
      </c>
      <c r="K425" s="14" t="s">
        <v>5980</v>
      </c>
      <c r="L425" s="15">
        <v>1</v>
      </c>
      <c r="M425" s="15" t="s">
        <v>144</v>
      </c>
      <c r="N425" s="16">
        <v>44065</v>
      </c>
      <c r="O425" s="12" t="s">
        <v>5981</v>
      </c>
      <c r="P425" s="14" t="s">
        <v>5982</v>
      </c>
      <c r="Q425" s="17" t="s">
        <v>137</v>
      </c>
      <c r="R425" s="17" t="s">
        <v>146</v>
      </c>
    </row>
    <row r="426" spans="1:18" x14ac:dyDescent="0.3">
      <c r="A426" s="12" t="s">
        <v>5983</v>
      </c>
      <c r="B426" s="12" t="s">
        <v>14</v>
      </c>
      <c r="C426" s="12"/>
      <c r="D426" s="12" t="s">
        <v>14</v>
      </c>
      <c r="E426" s="12" t="s">
        <v>1057</v>
      </c>
      <c r="F426" s="12"/>
      <c r="G426" s="12" t="s">
        <v>1058</v>
      </c>
      <c r="H426" s="12" t="s">
        <v>36</v>
      </c>
      <c r="I426" s="12" t="s">
        <v>26</v>
      </c>
      <c r="J426" s="13" t="s">
        <v>1059</v>
      </c>
      <c r="K426" s="14" t="s">
        <v>5984</v>
      </c>
      <c r="L426" s="15">
        <v>3</v>
      </c>
      <c r="M426" s="15" t="s">
        <v>144</v>
      </c>
      <c r="N426" s="16">
        <v>44441</v>
      </c>
      <c r="O426" s="12" t="s">
        <v>5985</v>
      </c>
      <c r="P426" s="14" t="s">
        <v>5986</v>
      </c>
      <c r="Q426" s="17" t="s">
        <v>137</v>
      </c>
      <c r="R426" s="17" t="s">
        <v>146</v>
      </c>
    </row>
    <row r="427" spans="1:18" x14ac:dyDescent="0.3">
      <c r="A427" s="12" t="s">
        <v>5987</v>
      </c>
      <c r="B427" s="12" t="s">
        <v>12</v>
      </c>
      <c r="C427" s="12"/>
      <c r="D427" s="12" t="s">
        <v>12</v>
      </c>
      <c r="E427" s="12" t="s">
        <v>1149</v>
      </c>
      <c r="F427" s="12"/>
      <c r="G427" s="12" t="s">
        <v>1058</v>
      </c>
      <c r="H427" s="12" t="s">
        <v>36</v>
      </c>
      <c r="I427" s="12" t="s">
        <v>26</v>
      </c>
      <c r="J427" s="13" t="s">
        <v>1064</v>
      </c>
      <c r="K427" s="14" t="s">
        <v>5988</v>
      </c>
      <c r="L427" s="15">
        <v>6</v>
      </c>
      <c r="M427" s="15" t="s">
        <v>144</v>
      </c>
      <c r="N427" s="16">
        <v>42003</v>
      </c>
      <c r="O427" s="12" t="s">
        <v>5987</v>
      </c>
      <c r="P427" s="14" t="s">
        <v>5989</v>
      </c>
      <c r="Q427" s="17" t="s">
        <v>137</v>
      </c>
      <c r="R427" s="17" t="s">
        <v>146</v>
      </c>
    </row>
    <row r="428" spans="1:18" x14ac:dyDescent="0.3">
      <c r="A428" s="12" t="s">
        <v>5990</v>
      </c>
      <c r="B428" s="12" t="s">
        <v>12</v>
      </c>
      <c r="C428" s="12"/>
      <c r="D428" s="12" t="s">
        <v>12</v>
      </c>
      <c r="E428" s="12" t="s">
        <v>1073</v>
      </c>
      <c r="F428" s="12"/>
      <c r="G428" s="12" t="s">
        <v>1058</v>
      </c>
      <c r="H428" s="12" t="s">
        <v>36</v>
      </c>
      <c r="I428" s="12" t="s">
        <v>26</v>
      </c>
      <c r="J428" s="13" t="s">
        <v>1064</v>
      </c>
      <c r="K428" s="14" t="s">
        <v>5972</v>
      </c>
      <c r="L428" s="15">
        <v>7</v>
      </c>
      <c r="M428" s="15" t="s">
        <v>144</v>
      </c>
      <c r="N428" s="16">
        <v>42619</v>
      </c>
      <c r="O428" s="12" t="s">
        <v>5990</v>
      </c>
      <c r="P428" s="14" t="s">
        <v>5991</v>
      </c>
      <c r="Q428" s="17" t="s">
        <v>137</v>
      </c>
      <c r="R428" s="17" t="s">
        <v>146</v>
      </c>
    </row>
    <row r="429" spans="1:18" x14ac:dyDescent="0.3">
      <c r="A429" s="12" t="s">
        <v>5992</v>
      </c>
      <c r="B429" s="12" t="s">
        <v>16</v>
      </c>
      <c r="C429" s="12"/>
      <c r="D429" s="12" t="s">
        <v>993</v>
      </c>
      <c r="E429" s="12" t="s">
        <v>5993</v>
      </c>
      <c r="F429" s="12" t="s">
        <v>188</v>
      </c>
      <c r="G429" s="12" t="s">
        <v>1058</v>
      </c>
      <c r="H429" s="12" t="s">
        <v>36</v>
      </c>
      <c r="I429" s="12" t="s">
        <v>26</v>
      </c>
      <c r="J429" s="13" t="s">
        <v>1064</v>
      </c>
      <c r="K429" s="14" t="s">
        <v>5994</v>
      </c>
      <c r="L429" s="15">
        <v>0</v>
      </c>
      <c r="M429" s="15" t="s">
        <v>144</v>
      </c>
      <c r="N429" s="16">
        <v>42754</v>
      </c>
      <c r="O429" s="12" t="s">
        <v>5992</v>
      </c>
      <c r="P429" s="14" t="s">
        <v>5995</v>
      </c>
      <c r="Q429" s="17" t="s">
        <v>137</v>
      </c>
      <c r="R429" s="17" t="s">
        <v>146</v>
      </c>
    </row>
    <row r="430" spans="1:18" x14ac:dyDescent="0.3">
      <c r="A430" s="12" t="s">
        <v>5996</v>
      </c>
      <c r="B430" s="12" t="s">
        <v>12</v>
      </c>
      <c r="C430" s="12"/>
      <c r="D430" s="12" t="s">
        <v>12</v>
      </c>
      <c r="E430" s="12" t="s">
        <v>5952</v>
      </c>
      <c r="F430" s="12" t="s">
        <v>5997</v>
      </c>
      <c r="G430" s="12" t="s">
        <v>1058</v>
      </c>
      <c r="H430" s="12" t="s">
        <v>36</v>
      </c>
      <c r="I430" s="12" t="s">
        <v>26</v>
      </c>
      <c r="J430" s="13" t="s">
        <v>1064</v>
      </c>
      <c r="K430" s="14" t="s">
        <v>5998</v>
      </c>
      <c r="L430" s="15">
        <v>3</v>
      </c>
      <c r="M430" s="15" t="s">
        <v>144</v>
      </c>
      <c r="N430" s="16">
        <v>40100</v>
      </c>
      <c r="O430" s="12" t="s">
        <v>5996</v>
      </c>
      <c r="P430" s="14" t="s">
        <v>5999</v>
      </c>
      <c r="Q430" s="17" t="s">
        <v>137</v>
      </c>
      <c r="R430" s="17" t="s">
        <v>146</v>
      </c>
    </row>
    <row r="431" spans="1:18" x14ac:dyDescent="0.3">
      <c r="A431" s="12" t="s">
        <v>6000</v>
      </c>
      <c r="B431" s="12" t="s">
        <v>12</v>
      </c>
      <c r="C431" s="12"/>
      <c r="D431" s="12" t="s">
        <v>12</v>
      </c>
      <c r="E431" s="12" t="s">
        <v>5920</v>
      </c>
      <c r="F431" s="12"/>
      <c r="G431" s="12" t="s">
        <v>1058</v>
      </c>
      <c r="H431" s="12" t="s">
        <v>36</v>
      </c>
      <c r="I431" s="12" t="s">
        <v>26</v>
      </c>
      <c r="J431" s="13" t="s">
        <v>1064</v>
      </c>
      <c r="K431" s="14" t="s">
        <v>1243</v>
      </c>
      <c r="L431" s="15">
        <v>6</v>
      </c>
      <c r="M431" s="15" t="s">
        <v>144</v>
      </c>
      <c r="N431" s="16">
        <v>40625</v>
      </c>
      <c r="O431" s="12" t="s">
        <v>6000</v>
      </c>
      <c r="P431" s="14" t="s">
        <v>6001</v>
      </c>
      <c r="Q431" s="17" t="s">
        <v>137</v>
      </c>
      <c r="R431" s="17" t="s">
        <v>146</v>
      </c>
    </row>
    <row r="432" spans="1:18" x14ac:dyDescent="0.3">
      <c r="A432" s="12" t="s">
        <v>6002</v>
      </c>
      <c r="B432" s="12" t="s">
        <v>12</v>
      </c>
      <c r="C432" s="12"/>
      <c r="D432" s="12" t="s">
        <v>12</v>
      </c>
      <c r="E432" s="12" t="s">
        <v>1149</v>
      </c>
      <c r="F432" s="12"/>
      <c r="G432" s="12" t="s">
        <v>1058</v>
      </c>
      <c r="H432" s="12" t="s">
        <v>36</v>
      </c>
      <c r="I432" s="12" t="s">
        <v>26</v>
      </c>
      <c r="J432" s="13" t="s">
        <v>1064</v>
      </c>
      <c r="K432" s="14" t="s">
        <v>6003</v>
      </c>
      <c r="L432" s="15">
        <v>6</v>
      </c>
      <c r="M432" s="15" t="s">
        <v>144</v>
      </c>
      <c r="N432" s="16">
        <v>42660</v>
      </c>
      <c r="O432" s="12" t="s">
        <v>6004</v>
      </c>
      <c r="P432" s="14" t="s">
        <v>6005</v>
      </c>
      <c r="Q432" s="17" t="s">
        <v>137</v>
      </c>
      <c r="R432" s="17" t="s">
        <v>146</v>
      </c>
    </row>
    <row r="433" spans="1:18" x14ac:dyDescent="0.3">
      <c r="A433" s="12" t="s">
        <v>6006</v>
      </c>
      <c r="B433" s="12" t="s">
        <v>12</v>
      </c>
      <c r="C433" s="12" t="s">
        <v>14</v>
      </c>
      <c r="D433" s="12" t="s">
        <v>180</v>
      </c>
      <c r="E433" s="12" t="s">
        <v>5894</v>
      </c>
      <c r="F433" s="12" t="s">
        <v>188</v>
      </c>
      <c r="G433" s="12" t="s">
        <v>1058</v>
      </c>
      <c r="H433" s="12" t="s">
        <v>36</v>
      </c>
      <c r="I433" s="12" t="s">
        <v>26</v>
      </c>
      <c r="J433" s="13" t="s">
        <v>1064</v>
      </c>
      <c r="K433" s="14" t="s">
        <v>597</v>
      </c>
      <c r="L433" s="15">
        <v>5</v>
      </c>
      <c r="M433" s="15" t="s">
        <v>144</v>
      </c>
      <c r="N433" s="16">
        <v>39539</v>
      </c>
      <c r="O433" s="12" t="s">
        <v>6006</v>
      </c>
      <c r="P433" s="14" t="s">
        <v>6007</v>
      </c>
      <c r="Q433" s="17" t="s">
        <v>137</v>
      </c>
      <c r="R433" s="17" t="s">
        <v>146</v>
      </c>
    </row>
    <row r="434" spans="1:18" x14ac:dyDescent="0.3">
      <c r="A434" s="12" t="s">
        <v>6008</v>
      </c>
      <c r="B434" s="12" t="s">
        <v>12</v>
      </c>
      <c r="C434" s="12"/>
      <c r="D434" s="12" t="s">
        <v>12</v>
      </c>
      <c r="E434" s="12" t="s">
        <v>1087</v>
      </c>
      <c r="F434" s="12" t="s">
        <v>1088</v>
      </c>
      <c r="G434" s="12" t="s">
        <v>1058</v>
      </c>
      <c r="H434" s="12" t="s">
        <v>36</v>
      </c>
      <c r="I434" s="12" t="s">
        <v>26</v>
      </c>
      <c r="J434" s="13" t="s">
        <v>1064</v>
      </c>
      <c r="K434" s="14" t="s">
        <v>6009</v>
      </c>
      <c r="L434" s="15">
        <v>1</v>
      </c>
      <c r="M434" s="15" t="s">
        <v>144</v>
      </c>
      <c r="N434" s="16">
        <v>44135</v>
      </c>
      <c r="O434" s="12" t="s">
        <v>6008</v>
      </c>
      <c r="P434" s="14" t="s">
        <v>6010</v>
      </c>
      <c r="Q434" s="17" t="s">
        <v>137</v>
      </c>
      <c r="R434" s="17" t="s">
        <v>146</v>
      </c>
    </row>
    <row r="435" spans="1:18" x14ac:dyDescent="0.3">
      <c r="A435" s="12" t="s">
        <v>6011</v>
      </c>
      <c r="B435" s="12" t="s">
        <v>12</v>
      </c>
      <c r="C435" s="12"/>
      <c r="D435" s="12" t="s">
        <v>12</v>
      </c>
      <c r="E435" s="12" t="s">
        <v>1092</v>
      </c>
      <c r="F435" s="12" t="s">
        <v>644</v>
      </c>
      <c r="G435" s="12" t="s">
        <v>1058</v>
      </c>
      <c r="H435" s="12" t="s">
        <v>36</v>
      </c>
      <c r="I435" s="12" t="s">
        <v>26</v>
      </c>
      <c r="J435" s="13" t="s">
        <v>1064</v>
      </c>
      <c r="K435" s="14" t="s">
        <v>4701</v>
      </c>
      <c r="L435" s="15">
        <v>2</v>
      </c>
      <c r="M435" s="15" t="s">
        <v>144</v>
      </c>
      <c r="N435" s="16">
        <v>42661</v>
      </c>
      <c r="O435" s="12" t="s">
        <v>6011</v>
      </c>
      <c r="P435" s="14" t="s">
        <v>6012</v>
      </c>
      <c r="Q435" s="17" t="s">
        <v>137</v>
      </c>
      <c r="R435" s="17" t="s">
        <v>146</v>
      </c>
    </row>
    <row r="436" spans="1:18" x14ac:dyDescent="0.3">
      <c r="A436" s="12" t="s">
        <v>6013</v>
      </c>
      <c r="B436" s="12" t="s">
        <v>12</v>
      </c>
      <c r="C436" s="12"/>
      <c r="D436" s="12" t="s">
        <v>12</v>
      </c>
      <c r="E436" s="12" t="s">
        <v>6014</v>
      </c>
      <c r="F436" s="12"/>
      <c r="G436" s="12" t="s">
        <v>1058</v>
      </c>
      <c r="H436" s="12" t="s">
        <v>36</v>
      </c>
      <c r="I436" s="12" t="s">
        <v>26</v>
      </c>
      <c r="J436" s="13" t="s">
        <v>1064</v>
      </c>
      <c r="K436" s="14" t="s">
        <v>6015</v>
      </c>
      <c r="L436" s="15">
        <v>1</v>
      </c>
      <c r="M436" s="15" t="s">
        <v>144</v>
      </c>
      <c r="N436" s="16">
        <v>43322</v>
      </c>
      <c r="O436" s="12" t="s">
        <v>6013</v>
      </c>
      <c r="P436" s="14" t="s">
        <v>6016</v>
      </c>
      <c r="Q436" s="17" t="s">
        <v>137</v>
      </c>
      <c r="R436" s="17" t="s">
        <v>146</v>
      </c>
    </row>
    <row r="437" spans="1:18" x14ac:dyDescent="0.3">
      <c r="A437" s="12" t="s">
        <v>6017</v>
      </c>
      <c r="B437" s="12" t="s">
        <v>12</v>
      </c>
      <c r="C437" s="12"/>
      <c r="D437" s="12" t="s">
        <v>12</v>
      </c>
      <c r="E437" s="12" t="s">
        <v>5952</v>
      </c>
      <c r="F437" s="12" t="s">
        <v>5953</v>
      </c>
      <c r="G437" s="12" t="s">
        <v>1058</v>
      </c>
      <c r="H437" s="12" t="s">
        <v>36</v>
      </c>
      <c r="I437" s="12" t="s">
        <v>26</v>
      </c>
      <c r="J437" s="13" t="s">
        <v>1064</v>
      </c>
      <c r="K437" s="14" t="s">
        <v>5998</v>
      </c>
      <c r="L437" s="15">
        <v>3</v>
      </c>
      <c r="M437" s="15" t="s">
        <v>144</v>
      </c>
      <c r="N437" s="16">
        <v>39461</v>
      </c>
      <c r="O437" s="12" t="s">
        <v>6017</v>
      </c>
      <c r="P437" s="14" t="s">
        <v>6018</v>
      </c>
      <c r="Q437" s="17" t="s">
        <v>137</v>
      </c>
      <c r="R437" s="17" t="s">
        <v>146</v>
      </c>
    </row>
    <row r="438" spans="1:18" x14ac:dyDescent="0.3">
      <c r="A438" s="12" t="s">
        <v>6019</v>
      </c>
      <c r="B438" s="12" t="s">
        <v>12</v>
      </c>
      <c r="C438" s="12"/>
      <c r="D438" s="12" t="s">
        <v>12</v>
      </c>
      <c r="E438" s="12" t="s">
        <v>1092</v>
      </c>
      <c r="F438" s="12" t="s">
        <v>1805</v>
      </c>
      <c r="G438" s="12" t="s">
        <v>1058</v>
      </c>
      <c r="H438" s="12" t="s">
        <v>36</v>
      </c>
      <c r="I438" s="12" t="s">
        <v>26</v>
      </c>
      <c r="J438" s="13" t="s">
        <v>1064</v>
      </c>
      <c r="K438" s="14" t="s">
        <v>6020</v>
      </c>
      <c r="L438" s="15">
        <v>2</v>
      </c>
      <c r="M438" s="15" t="s">
        <v>144</v>
      </c>
      <c r="N438" s="16">
        <v>44065</v>
      </c>
      <c r="O438" s="12" t="s">
        <v>6019</v>
      </c>
      <c r="P438" s="14" t="s">
        <v>6021</v>
      </c>
      <c r="Q438" s="17" t="s">
        <v>137</v>
      </c>
      <c r="R438" s="17" t="s">
        <v>146</v>
      </c>
    </row>
    <row r="439" spans="1:18" x14ac:dyDescent="0.3">
      <c r="A439" s="12" t="s">
        <v>6022</v>
      </c>
      <c r="B439" s="12" t="s">
        <v>12</v>
      </c>
      <c r="C439" s="12"/>
      <c r="D439" s="12" t="s">
        <v>12</v>
      </c>
      <c r="E439" s="12" t="s">
        <v>6023</v>
      </c>
      <c r="F439" s="12"/>
      <c r="G439" s="12" t="s">
        <v>1058</v>
      </c>
      <c r="H439" s="12" t="s">
        <v>36</v>
      </c>
      <c r="I439" s="12" t="s">
        <v>26</v>
      </c>
      <c r="J439" s="13" t="s">
        <v>1064</v>
      </c>
      <c r="K439" s="14" t="s">
        <v>6024</v>
      </c>
      <c r="L439" s="15">
        <v>1</v>
      </c>
      <c r="M439" s="15" t="s">
        <v>144</v>
      </c>
      <c r="N439" s="16">
        <v>42600</v>
      </c>
      <c r="O439" s="12" t="s">
        <v>6022</v>
      </c>
      <c r="P439" s="14" t="s">
        <v>6025</v>
      </c>
      <c r="Q439" s="17" t="s">
        <v>137</v>
      </c>
      <c r="R439" s="17" t="s">
        <v>146</v>
      </c>
    </row>
    <row r="440" spans="1:18" x14ac:dyDescent="0.3">
      <c r="A440" s="12" t="s">
        <v>6026</v>
      </c>
      <c r="B440" s="12" t="s">
        <v>12</v>
      </c>
      <c r="C440" s="12"/>
      <c r="D440" s="12" t="s">
        <v>12</v>
      </c>
      <c r="E440" s="12" t="s">
        <v>6027</v>
      </c>
      <c r="F440" s="12" t="s">
        <v>1708</v>
      </c>
      <c r="G440" s="12" t="s">
        <v>1158</v>
      </c>
      <c r="H440" s="12" t="s">
        <v>36</v>
      </c>
      <c r="I440" s="12" t="s">
        <v>26</v>
      </c>
      <c r="J440" s="13" t="s">
        <v>1159</v>
      </c>
      <c r="K440" s="14" t="s">
        <v>6028</v>
      </c>
      <c r="L440" s="15">
        <v>7</v>
      </c>
      <c r="M440" s="15" t="s">
        <v>144</v>
      </c>
      <c r="N440" s="16">
        <v>44065</v>
      </c>
      <c r="O440" s="12" t="s">
        <v>6029</v>
      </c>
      <c r="P440" s="14" t="s">
        <v>6030</v>
      </c>
      <c r="Q440" s="17" t="s">
        <v>137</v>
      </c>
      <c r="R440" s="17" t="s">
        <v>146</v>
      </c>
    </row>
    <row r="441" spans="1:18" x14ac:dyDescent="0.3">
      <c r="A441" s="12" t="s">
        <v>6031</v>
      </c>
      <c r="B441" s="12" t="s">
        <v>12</v>
      </c>
      <c r="C441" s="12"/>
      <c r="D441" s="12" t="s">
        <v>12</v>
      </c>
      <c r="E441" s="12" t="s">
        <v>6027</v>
      </c>
      <c r="F441" s="12" t="s">
        <v>1708</v>
      </c>
      <c r="G441" s="12" t="s">
        <v>1158</v>
      </c>
      <c r="H441" s="12" t="s">
        <v>36</v>
      </c>
      <c r="I441" s="12" t="s">
        <v>26</v>
      </c>
      <c r="J441" s="13" t="s">
        <v>1159</v>
      </c>
      <c r="K441" s="14" t="s">
        <v>6028</v>
      </c>
      <c r="L441" s="15">
        <v>7</v>
      </c>
      <c r="M441" s="15" t="s">
        <v>144</v>
      </c>
      <c r="N441" s="16">
        <v>44065</v>
      </c>
      <c r="O441" s="12" t="s">
        <v>6031</v>
      </c>
      <c r="P441" s="14" t="s">
        <v>6032</v>
      </c>
      <c r="Q441" s="17" t="s">
        <v>137</v>
      </c>
      <c r="R441" s="17" t="s">
        <v>146</v>
      </c>
    </row>
    <row r="442" spans="1:18" x14ac:dyDescent="0.3">
      <c r="A442" s="12" t="s">
        <v>6033</v>
      </c>
      <c r="B442" s="12" t="s">
        <v>10</v>
      </c>
      <c r="C442" s="12"/>
      <c r="D442" s="12" t="s">
        <v>157</v>
      </c>
      <c r="E442" s="12" t="s">
        <v>1274</v>
      </c>
      <c r="F442" s="12" t="s">
        <v>1275</v>
      </c>
      <c r="G442" s="12" t="s">
        <v>1158</v>
      </c>
      <c r="H442" s="12" t="s">
        <v>36</v>
      </c>
      <c r="I442" s="12" t="s">
        <v>26</v>
      </c>
      <c r="J442" s="13" t="s">
        <v>941</v>
      </c>
      <c r="K442" s="14" t="s">
        <v>6034</v>
      </c>
      <c r="L442" s="15">
        <v>0</v>
      </c>
      <c r="M442" s="15" t="s">
        <v>144</v>
      </c>
      <c r="N442" s="16">
        <v>43663</v>
      </c>
      <c r="O442" s="12" t="s">
        <v>6033</v>
      </c>
      <c r="P442" s="14" t="s">
        <v>6035</v>
      </c>
      <c r="Q442" s="17" t="s">
        <v>137</v>
      </c>
      <c r="R442" s="17" t="s">
        <v>146</v>
      </c>
    </row>
    <row r="443" spans="1:18" x14ac:dyDescent="0.3">
      <c r="A443" s="12" t="s">
        <v>6036</v>
      </c>
      <c r="B443" s="12" t="s">
        <v>12</v>
      </c>
      <c r="C443" s="12"/>
      <c r="D443" s="12" t="s">
        <v>12</v>
      </c>
      <c r="E443" s="12" t="s">
        <v>1233</v>
      </c>
      <c r="F443" s="12" t="s">
        <v>6037</v>
      </c>
      <c r="G443" s="12" t="s">
        <v>1158</v>
      </c>
      <c r="H443" s="12" t="s">
        <v>36</v>
      </c>
      <c r="I443" s="12" t="s">
        <v>26</v>
      </c>
      <c r="J443" s="13" t="s">
        <v>941</v>
      </c>
      <c r="K443" s="14" t="s">
        <v>6038</v>
      </c>
      <c r="L443" s="15">
        <v>4</v>
      </c>
      <c r="M443" s="15" t="s">
        <v>144</v>
      </c>
      <c r="N443" s="16">
        <v>40777</v>
      </c>
      <c r="O443" s="12" t="s">
        <v>6036</v>
      </c>
      <c r="P443" s="14" t="s">
        <v>6039</v>
      </c>
      <c r="Q443" s="17" t="s">
        <v>137</v>
      </c>
      <c r="R443" s="17" t="s">
        <v>146</v>
      </c>
    </row>
    <row r="444" spans="1:18" x14ac:dyDescent="0.3">
      <c r="A444" s="12" t="s">
        <v>6040</v>
      </c>
      <c r="B444" s="12" t="s">
        <v>18</v>
      </c>
      <c r="C444" s="12"/>
      <c r="D444" s="12" t="s">
        <v>967</v>
      </c>
      <c r="E444" s="12" t="s">
        <v>6041</v>
      </c>
      <c r="F444" s="12" t="s">
        <v>188</v>
      </c>
      <c r="G444" s="12" t="s">
        <v>1158</v>
      </c>
      <c r="H444" s="12" t="s">
        <v>36</v>
      </c>
      <c r="I444" s="12" t="s">
        <v>26</v>
      </c>
      <c r="J444" s="13" t="s">
        <v>1178</v>
      </c>
      <c r="K444" s="14" t="s">
        <v>6042</v>
      </c>
      <c r="L444" s="15">
        <v>1</v>
      </c>
      <c r="M444" s="15" t="s">
        <v>144</v>
      </c>
      <c r="N444" s="16">
        <v>44496</v>
      </c>
      <c r="O444" s="12" t="s">
        <v>6040</v>
      </c>
      <c r="P444" s="14" t="s">
        <v>6043</v>
      </c>
      <c r="Q444" s="17" t="s">
        <v>137</v>
      </c>
      <c r="R444" s="17" t="s">
        <v>146</v>
      </c>
    </row>
    <row r="445" spans="1:18" x14ac:dyDescent="0.3">
      <c r="A445" s="12" t="s">
        <v>6044</v>
      </c>
      <c r="B445" s="12" t="s">
        <v>14</v>
      </c>
      <c r="C445" s="12"/>
      <c r="D445" s="12" t="s">
        <v>14</v>
      </c>
      <c r="E445" s="12" t="s">
        <v>6045</v>
      </c>
      <c r="F445" s="12" t="s">
        <v>6046</v>
      </c>
      <c r="G445" s="12" t="s">
        <v>1158</v>
      </c>
      <c r="H445" s="12" t="s">
        <v>36</v>
      </c>
      <c r="I445" s="12" t="s">
        <v>26</v>
      </c>
      <c r="J445" s="13" t="s">
        <v>1178</v>
      </c>
      <c r="K445" s="14" t="s">
        <v>6047</v>
      </c>
      <c r="L445" s="15">
        <v>0</v>
      </c>
      <c r="M445" s="15" t="s">
        <v>144</v>
      </c>
      <c r="N445" s="16">
        <v>39654</v>
      </c>
      <c r="O445" s="12" t="s">
        <v>6048</v>
      </c>
      <c r="P445" s="14" t="s">
        <v>6049</v>
      </c>
      <c r="Q445" s="17" t="s">
        <v>137</v>
      </c>
      <c r="R445" s="17" t="s">
        <v>146</v>
      </c>
    </row>
    <row r="446" spans="1:18" x14ac:dyDescent="0.3">
      <c r="A446" s="12" t="s">
        <v>6050</v>
      </c>
      <c r="B446" s="12" t="s">
        <v>12</v>
      </c>
      <c r="C446" s="12"/>
      <c r="D446" s="12" t="s">
        <v>12</v>
      </c>
      <c r="E446" s="12" t="s">
        <v>6051</v>
      </c>
      <c r="F446" s="12" t="s">
        <v>6052</v>
      </c>
      <c r="G446" s="12" t="s">
        <v>1158</v>
      </c>
      <c r="H446" s="12" t="s">
        <v>36</v>
      </c>
      <c r="I446" s="12" t="s">
        <v>26</v>
      </c>
      <c r="J446" s="13" t="s">
        <v>1178</v>
      </c>
      <c r="K446" s="14" t="s">
        <v>6053</v>
      </c>
      <c r="L446" s="15">
        <v>3</v>
      </c>
      <c r="M446" s="15" t="s">
        <v>144</v>
      </c>
      <c r="N446" s="16">
        <v>41974</v>
      </c>
      <c r="O446" s="12" t="s">
        <v>6050</v>
      </c>
      <c r="P446" s="14" t="s">
        <v>6054</v>
      </c>
      <c r="Q446" s="17" t="s">
        <v>137</v>
      </c>
      <c r="R446" s="17" t="s">
        <v>146</v>
      </c>
    </row>
    <row r="447" spans="1:18" x14ac:dyDescent="0.3">
      <c r="A447" s="12" t="s">
        <v>6055</v>
      </c>
      <c r="B447" s="12" t="s">
        <v>12</v>
      </c>
      <c r="C447" s="12"/>
      <c r="D447" s="12" t="s">
        <v>12</v>
      </c>
      <c r="E447" s="12" t="s">
        <v>6056</v>
      </c>
      <c r="F447" s="12" t="s">
        <v>6057</v>
      </c>
      <c r="G447" s="12" t="s">
        <v>1158</v>
      </c>
      <c r="H447" s="12" t="s">
        <v>36</v>
      </c>
      <c r="I447" s="12" t="s">
        <v>26</v>
      </c>
      <c r="J447" s="13" t="s">
        <v>1178</v>
      </c>
      <c r="K447" s="14" t="s">
        <v>6058</v>
      </c>
      <c r="L447" s="15">
        <v>0</v>
      </c>
      <c r="M447" s="15" t="s">
        <v>144</v>
      </c>
      <c r="N447" s="16">
        <v>44065</v>
      </c>
      <c r="O447" s="12" t="s">
        <v>6055</v>
      </c>
      <c r="P447" s="14" t="s">
        <v>6059</v>
      </c>
      <c r="Q447" s="17" t="s">
        <v>137</v>
      </c>
      <c r="R447" s="17" t="s">
        <v>146</v>
      </c>
    </row>
    <row r="448" spans="1:18" x14ac:dyDescent="0.3">
      <c r="A448" s="12" t="s">
        <v>6060</v>
      </c>
      <c r="B448" s="12" t="s">
        <v>12</v>
      </c>
      <c r="C448" s="12"/>
      <c r="D448" s="12" t="s">
        <v>12</v>
      </c>
      <c r="E448" s="12" t="s">
        <v>6061</v>
      </c>
      <c r="F448" s="12" t="s">
        <v>188</v>
      </c>
      <c r="G448" s="12" t="s">
        <v>1158</v>
      </c>
      <c r="H448" s="12" t="s">
        <v>36</v>
      </c>
      <c r="I448" s="12" t="s">
        <v>26</v>
      </c>
      <c r="J448" s="13" t="s">
        <v>1178</v>
      </c>
      <c r="K448" s="14" t="s">
        <v>6062</v>
      </c>
      <c r="L448" s="15">
        <v>3</v>
      </c>
      <c r="M448" s="15" t="s">
        <v>144</v>
      </c>
      <c r="N448" s="16">
        <v>40129</v>
      </c>
      <c r="O448" s="12" t="s">
        <v>6060</v>
      </c>
      <c r="P448" s="14" t="s">
        <v>6063</v>
      </c>
      <c r="Q448" s="17" t="s">
        <v>137</v>
      </c>
      <c r="R448" s="17" t="s">
        <v>146</v>
      </c>
    </row>
    <row r="449" spans="1:18" x14ac:dyDescent="0.3">
      <c r="A449" s="12" t="s">
        <v>6064</v>
      </c>
      <c r="B449" s="12" t="s">
        <v>12</v>
      </c>
      <c r="C449" s="12"/>
      <c r="D449" s="12" t="s">
        <v>12</v>
      </c>
      <c r="E449" s="12" t="s">
        <v>6065</v>
      </c>
      <c r="F449" s="12" t="s">
        <v>6066</v>
      </c>
      <c r="G449" s="12" t="s">
        <v>1158</v>
      </c>
      <c r="H449" s="12" t="s">
        <v>36</v>
      </c>
      <c r="I449" s="12" t="s">
        <v>26</v>
      </c>
      <c r="J449" s="13" t="s">
        <v>1178</v>
      </c>
      <c r="K449" s="14" t="s">
        <v>6067</v>
      </c>
      <c r="L449" s="15">
        <v>7</v>
      </c>
      <c r="M449" s="15" t="s">
        <v>144</v>
      </c>
      <c r="N449" s="16">
        <v>40933</v>
      </c>
      <c r="O449" s="12" t="s">
        <v>6064</v>
      </c>
      <c r="P449" s="14" t="s">
        <v>6068</v>
      </c>
      <c r="Q449" s="17" t="s">
        <v>137</v>
      </c>
      <c r="R449" s="17" t="s">
        <v>146</v>
      </c>
    </row>
    <row r="450" spans="1:18" x14ac:dyDescent="0.3">
      <c r="A450" s="12" t="s">
        <v>6069</v>
      </c>
      <c r="B450" s="12" t="s">
        <v>12</v>
      </c>
      <c r="C450" s="12"/>
      <c r="D450" s="12" t="s">
        <v>12</v>
      </c>
      <c r="E450" s="12" t="s">
        <v>6070</v>
      </c>
      <c r="F450" s="12" t="s">
        <v>225</v>
      </c>
      <c r="G450" s="12" t="s">
        <v>1158</v>
      </c>
      <c r="H450" s="12" t="s">
        <v>36</v>
      </c>
      <c r="I450" s="12" t="s">
        <v>26</v>
      </c>
      <c r="J450" s="13" t="s">
        <v>1178</v>
      </c>
      <c r="K450" s="14" t="s">
        <v>6071</v>
      </c>
      <c r="L450" s="15">
        <v>1</v>
      </c>
      <c r="M450" s="15" t="s">
        <v>144</v>
      </c>
      <c r="N450" s="16">
        <v>40982</v>
      </c>
      <c r="O450" s="12" t="s">
        <v>6069</v>
      </c>
      <c r="P450" s="14" t="s">
        <v>6072</v>
      </c>
      <c r="Q450" s="17" t="s">
        <v>137</v>
      </c>
      <c r="R450" s="17" t="s">
        <v>146</v>
      </c>
    </row>
    <row r="451" spans="1:18" x14ac:dyDescent="0.3">
      <c r="A451" s="12" t="s">
        <v>6073</v>
      </c>
      <c r="B451" s="12" t="s">
        <v>12</v>
      </c>
      <c r="C451" s="12"/>
      <c r="D451" s="12" t="s">
        <v>12</v>
      </c>
      <c r="E451" s="12" t="s">
        <v>1157</v>
      </c>
      <c r="F451" s="12" t="s">
        <v>6074</v>
      </c>
      <c r="G451" s="12" t="s">
        <v>1158</v>
      </c>
      <c r="H451" s="12" t="s">
        <v>36</v>
      </c>
      <c r="I451" s="12" t="s">
        <v>26</v>
      </c>
      <c r="J451" s="13" t="s">
        <v>1159</v>
      </c>
      <c r="K451" s="14" t="s">
        <v>6075</v>
      </c>
      <c r="L451" s="15">
        <v>1</v>
      </c>
      <c r="M451" s="15" t="s">
        <v>144</v>
      </c>
      <c r="N451" s="16">
        <v>39875</v>
      </c>
      <c r="O451" s="12" t="s">
        <v>6073</v>
      </c>
      <c r="P451" s="14" t="s">
        <v>6076</v>
      </c>
      <c r="Q451" s="17" t="s">
        <v>137</v>
      </c>
      <c r="R451" s="17" t="s">
        <v>146</v>
      </c>
    </row>
    <row r="452" spans="1:18" x14ac:dyDescent="0.3">
      <c r="A452" s="12" t="s">
        <v>6077</v>
      </c>
      <c r="B452" s="12" t="s">
        <v>12</v>
      </c>
      <c r="C452" s="12"/>
      <c r="D452" s="12" t="s">
        <v>12</v>
      </c>
      <c r="E452" s="12" t="s">
        <v>6078</v>
      </c>
      <c r="F452" s="12" t="s">
        <v>6079</v>
      </c>
      <c r="G452" s="12" t="s">
        <v>1158</v>
      </c>
      <c r="H452" s="12" t="s">
        <v>36</v>
      </c>
      <c r="I452" s="12" t="s">
        <v>26</v>
      </c>
      <c r="J452" s="13" t="s">
        <v>1178</v>
      </c>
      <c r="K452" s="14" t="s">
        <v>6080</v>
      </c>
      <c r="L452" s="15">
        <v>2</v>
      </c>
      <c r="M452" s="15" t="s">
        <v>144</v>
      </c>
      <c r="N452" s="16">
        <v>39602</v>
      </c>
      <c r="O452" s="12" t="s">
        <v>6077</v>
      </c>
      <c r="P452" s="14" t="s">
        <v>6081</v>
      </c>
      <c r="Q452" s="17" t="s">
        <v>137</v>
      </c>
      <c r="R452" s="17" t="s">
        <v>146</v>
      </c>
    </row>
    <row r="453" spans="1:18" x14ac:dyDescent="0.3">
      <c r="A453" s="12" t="s">
        <v>6082</v>
      </c>
      <c r="B453" s="12" t="s">
        <v>12</v>
      </c>
      <c r="C453" s="12"/>
      <c r="D453" s="12" t="s">
        <v>12</v>
      </c>
      <c r="E453" s="12" t="s">
        <v>6083</v>
      </c>
      <c r="F453" s="12" t="s">
        <v>436</v>
      </c>
      <c r="G453" s="12" t="s">
        <v>1158</v>
      </c>
      <c r="H453" s="12" t="s">
        <v>36</v>
      </c>
      <c r="I453" s="12" t="s">
        <v>26</v>
      </c>
      <c r="J453" s="13" t="s">
        <v>1178</v>
      </c>
      <c r="K453" s="14" t="s">
        <v>6084</v>
      </c>
      <c r="L453" s="15">
        <v>2</v>
      </c>
      <c r="M453" s="15" t="s">
        <v>144</v>
      </c>
      <c r="N453" s="16">
        <v>41484</v>
      </c>
      <c r="O453" s="12" t="s">
        <v>6082</v>
      </c>
      <c r="P453" s="14" t="s">
        <v>6085</v>
      </c>
      <c r="Q453" s="17" t="s">
        <v>137</v>
      </c>
      <c r="R453" s="17" t="s">
        <v>146</v>
      </c>
    </row>
    <row r="454" spans="1:18" x14ac:dyDescent="0.3">
      <c r="A454" s="12" t="s">
        <v>6086</v>
      </c>
      <c r="B454" s="12" t="s">
        <v>10</v>
      </c>
      <c r="C454" s="12"/>
      <c r="D454" s="12" t="s">
        <v>252</v>
      </c>
      <c r="E454" s="12" t="s">
        <v>6087</v>
      </c>
      <c r="F454" s="12" t="s">
        <v>6088</v>
      </c>
      <c r="G454" s="12" t="s">
        <v>1158</v>
      </c>
      <c r="H454" s="12" t="s">
        <v>36</v>
      </c>
      <c r="I454" s="12" t="s">
        <v>26</v>
      </c>
      <c r="J454" s="13" t="s">
        <v>1178</v>
      </c>
      <c r="K454" s="14" t="s">
        <v>6089</v>
      </c>
      <c r="L454" s="15">
        <v>1</v>
      </c>
      <c r="M454" s="15" t="s">
        <v>144</v>
      </c>
      <c r="N454" s="16">
        <v>44065</v>
      </c>
      <c r="O454" s="12" t="s">
        <v>6086</v>
      </c>
      <c r="P454" s="14" t="s">
        <v>6090</v>
      </c>
      <c r="Q454" s="17" t="s">
        <v>137</v>
      </c>
      <c r="R454" s="17" t="s">
        <v>146</v>
      </c>
    </row>
    <row r="455" spans="1:18" x14ac:dyDescent="0.3">
      <c r="A455" s="12" t="s">
        <v>6091</v>
      </c>
      <c r="B455" s="12" t="s">
        <v>12</v>
      </c>
      <c r="C455" s="12"/>
      <c r="D455" s="12" t="s">
        <v>12</v>
      </c>
      <c r="E455" s="12" t="s">
        <v>6092</v>
      </c>
      <c r="F455" s="12" t="s">
        <v>6093</v>
      </c>
      <c r="G455" s="12" t="s">
        <v>1158</v>
      </c>
      <c r="H455" s="12" t="s">
        <v>36</v>
      </c>
      <c r="I455" s="12" t="s">
        <v>26</v>
      </c>
      <c r="J455" s="13" t="s">
        <v>941</v>
      </c>
      <c r="K455" s="14" t="s">
        <v>6094</v>
      </c>
      <c r="L455" s="15">
        <v>1</v>
      </c>
      <c r="M455" s="15" t="s">
        <v>144</v>
      </c>
      <c r="N455" s="16">
        <v>41428</v>
      </c>
      <c r="O455" s="12" t="s">
        <v>6091</v>
      </c>
      <c r="P455" s="14" t="s">
        <v>6095</v>
      </c>
      <c r="Q455" s="17" t="s">
        <v>137</v>
      </c>
      <c r="R455" s="17" t="s">
        <v>146</v>
      </c>
    </row>
    <row r="456" spans="1:18" x14ac:dyDescent="0.3">
      <c r="A456" s="12" t="s">
        <v>6096</v>
      </c>
      <c r="B456" s="12" t="s">
        <v>12</v>
      </c>
      <c r="C456" s="12"/>
      <c r="D456" s="12" t="s">
        <v>12</v>
      </c>
      <c r="E456" s="12" t="s">
        <v>6097</v>
      </c>
      <c r="F456" s="12"/>
      <c r="G456" s="12" t="s">
        <v>1158</v>
      </c>
      <c r="H456" s="12" t="s">
        <v>36</v>
      </c>
      <c r="I456" s="12" t="s">
        <v>26</v>
      </c>
      <c r="J456" s="13" t="s">
        <v>1606</v>
      </c>
      <c r="K456" s="14" t="s">
        <v>6098</v>
      </c>
      <c r="L456" s="15">
        <v>0</v>
      </c>
      <c r="M456" s="15" t="s">
        <v>144</v>
      </c>
      <c r="N456" s="16">
        <v>41121</v>
      </c>
      <c r="O456" s="12" t="s">
        <v>6096</v>
      </c>
      <c r="P456" s="14" t="s">
        <v>6099</v>
      </c>
      <c r="Q456" s="17" t="s">
        <v>137</v>
      </c>
      <c r="R456" s="17" t="s">
        <v>146</v>
      </c>
    </row>
    <row r="457" spans="1:18" x14ac:dyDescent="0.3">
      <c r="A457" s="12" t="s">
        <v>6100</v>
      </c>
      <c r="B457" s="12" t="s">
        <v>12</v>
      </c>
      <c r="C457" s="12"/>
      <c r="D457" s="12" t="s">
        <v>12</v>
      </c>
      <c r="E457" s="12" t="s">
        <v>6101</v>
      </c>
      <c r="F457" s="12" t="s">
        <v>3655</v>
      </c>
      <c r="G457" s="12" t="s">
        <v>1158</v>
      </c>
      <c r="H457" s="12" t="s">
        <v>36</v>
      </c>
      <c r="I457" s="12" t="s">
        <v>26</v>
      </c>
      <c r="J457" s="13" t="s">
        <v>1178</v>
      </c>
      <c r="K457" s="14" t="s">
        <v>6102</v>
      </c>
      <c r="L457" s="15">
        <v>3</v>
      </c>
      <c r="M457" s="15" t="s">
        <v>144</v>
      </c>
      <c r="N457" s="16">
        <v>43510</v>
      </c>
      <c r="O457" s="12" t="s">
        <v>6100</v>
      </c>
      <c r="P457" s="14" t="s">
        <v>6103</v>
      </c>
      <c r="Q457" s="17" t="s">
        <v>137</v>
      </c>
      <c r="R457" s="17" t="s">
        <v>146</v>
      </c>
    </row>
    <row r="458" spans="1:18" x14ac:dyDescent="0.3">
      <c r="A458" s="12" t="s">
        <v>6104</v>
      </c>
      <c r="B458" s="12" t="s">
        <v>12</v>
      </c>
      <c r="C458" s="12"/>
      <c r="D458" s="12" t="s">
        <v>12</v>
      </c>
      <c r="E458" s="12" t="s">
        <v>1186</v>
      </c>
      <c r="F458" s="12" t="s">
        <v>188</v>
      </c>
      <c r="G458" s="12" t="s">
        <v>1158</v>
      </c>
      <c r="H458" s="12" t="s">
        <v>36</v>
      </c>
      <c r="I458" s="12" t="s">
        <v>26</v>
      </c>
      <c r="J458" s="13" t="s">
        <v>1178</v>
      </c>
      <c r="K458" s="14" t="s">
        <v>6105</v>
      </c>
      <c r="L458" s="15">
        <v>3</v>
      </c>
      <c r="M458" s="15" t="s">
        <v>144</v>
      </c>
      <c r="N458" s="16">
        <v>40773</v>
      </c>
      <c r="O458" s="12" t="s">
        <v>6106</v>
      </c>
      <c r="P458" s="14" t="s">
        <v>6107</v>
      </c>
      <c r="Q458" s="17" t="s">
        <v>137</v>
      </c>
      <c r="R458" s="17" t="s">
        <v>146</v>
      </c>
    </row>
    <row r="459" spans="1:18" x14ac:dyDescent="0.3">
      <c r="A459" s="12" t="s">
        <v>6108</v>
      </c>
      <c r="B459" s="12" t="s">
        <v>12</v>
      </c>
      <c r="C459" s="12" t="s">
        <v>14</v>
      </c>
      <c r="D459" s="12" t="s">
        <v>180</v>
      </c>
      <c r="E459" s="12" t="s">
        <v>1186</v>
      </c>
      <c r="F459" s="12" t="s">
        <v>188</v>
      </c>
      <c r="G459" s="12" t="s">
        <v>1158</v>
      </c>
      <c r="H459" s="12" t="s">
        <v>36</v>
      </c>
      <c r="I459" s="12" t="s">
        <v>26</v>
      </c>
      <c r="J459" s="13" t="s">
        <v>1178</v>
      </c>
      <c r="K459" s="14" t="s">
        <v>6105</v>
      </c>
      <c r="L459" s="15">
        <v>3</v>
      </c>
      <c r="M459" s="15" t="s">
        <v>144</v>
      </c>
      <c r="N459" s="16">
        <v>40294</v>
      </c>
      <c r="O459" s="12" t="s">
        <v>6108</v>
      </c>
      <c r="P459" s="14" t="s">
        <v>6109</v>
      </c>
      <c r="Q459" s="17" t="s">
        <v>137</v>
      </c>
      <c r="R459" s="17" t="s">
        <v>146</v>
      </c>
    </row>
    <row r="460" spans="1:18" x14ac:dyDescent="0.3">
      <c r="A460" s="12" t="s">
        <v>6110</v>
      </c>
      <c r="B460" s="12" t="s">
        <v>12</v>
      </c>
      <c r="C460" s="12"/>
      <c r="D460" s="12" t="s">
        <v>12</v>
      </c>
      <c r="E460" s="12" t="s">
        <v>6111</v>
      </c>
      <c r="F460" s="12"/>
      <c r="G460" s="12" t="s">
        <v>1158</v>
      </c>
      <c r="H460" s="12" t="s">
        <v>36</v>
      </c>
      <c r="I460" s="12" t="s">
        <v>26</v>
      </c>
      <c r="J460" s="13" t="s">
        <v>941</v>
      </c>
      <c r="K460" s="14" t="s">
        <v>6112</v>
      </c>
      <c r="L460" s="15">
        <v>2</v>
      </c>
      <c r="M460" s="15" t="s">
        <v>144</v>
      </c>
      <c r="N460" s="16">
        <v>44065</v>
      </c>
      <c r="O460" s="12" t="s">
        <v>6110</v>
      </c>
      <c r="P460" s="14" t="s">
        <v>6113</v>
      </c>
      <c r="Q460" s="17" t="s">
        <v>137</v>
      </c>
      <c r="R460" s="17" t="s">
        <v>146</v>
      </c>
    </row>
    <row r="461" spans="1:18" x14ac:dyDescent="0.3">
      <c r="A461" s="12" t="s">
        <v>6114</v>
      </c>
      <c r="B461" s="12" t="s">
        <v>12</v>
      </c>
      <c r="C461" s="12"/>
      <c r="D461" s="12" t="s">
        <v>12</v>
      </c>
      <c r="E461" s="12" t="s">
        <v>6101</v>
      </c>
      <c r="F461" s="12" t="s">
        <v>218</v>
      </c>
      <c r="G461" s="12" t="s">
        <v>1158</v>
      </c>
      <c r="H461" s="12" t="s">
        <v>36</v>
      </c>
      <c r="I461" s="12" t="s">
        <v>26</v>
      </c>
      <c r="J461" s="13" t="s">
        <v>1178</v>
      </c>
      <c r="K461" s="14" t="s">
        <v>6115</v>
      </c>
      <c r="L461" s="15">
        <v>3</v>
      </c>
      <c r="M461" s="15" t="s">
        <v>144</v>
      </c>
      <c r="N461" s="16">
        <v>41645</v>
      </c>
      <c r="O461" s="12" t="s">
        <v>6114</v>
      </c>
      <c r="P461" s="14" t="s">
        <v>6116</v>
      </c>
      <c r="Q461" s="17" t="s">
        <v>137</v>
      </c>
      <c r="R461" s="17" t="s">
        <v>146</v>
      </c>
    </row>
    <row r="462" spans="1:18" x14ac:dyDescent="0.3">
      <c r="A462" s="12" t="s">
        <v>6117</v>
      </c>
      <c r="B462" s="12" t="s">
        <v>12</v>
      </c>
      <c r="C462" s="12"/>
      <c r="D462" s="12" t="s">
        <v>12</v>
      </c>
      <c r="E462" s="12" t="s">
        <v>6051</v>
      </c>
      <c r="F462" s="12" t="s">
        <v>6118</v>
      </c>
      <c r="G462" s="12" t="s">
        <v>1158</v>
      </c>
      <c r="H462" s="12" t="s">
        <v>36</v>
      </c>
      <c r="I462" s="12" t="s">
        <v>26</v>
      </c>
      <c r="J462" s="13" t="s">
        <v>1178</v>
      </c>
      <c r="K462" s="14" t="s">
        <v>6119</v>
      </c>
      <c r="L462" s="15">
        <v>3</v>
      </c>
      <c r="M462" s="15" t="s">
        <v>144</v>
      </c>
      <c r="N462" s="16">
        <v>41656</v>
      </c>
      <c r="O462" s="12" t="s">
        <v>6117</v>
      </c>
      <c r="P462" s="14" t="s">
        <v>6120</v>
      </c>
      <c r="Q462" s="17" t="s">
        <v>137</v>
      </c>
      <c r="R462" s="17" t="s">
        <v>146</v>
      </c>
    </row>
    <row r="463" spans="1:18" x14ac:dyDescent="0.3">
      <c r="A463" s="12" t="s">
        <v>6121</v>
      </c>
      <c r="B463" s="12" t="s">
        <v>14</v>
      </c>
      <c r="C463" s="12"/>
      <c r="D463" s="12" t="s">
        <v>14</v>
      </c>
      <c r="E463" s="12" t="s">
        <v>6051</v>
      </c>
      <c r="F463" s="12" t="s">
        <v>918</v>
      </c>
      <c r="G463" s="12" t="s">
        <v>1158</v>
      </c>
      <c r="H463" s="12" t="s">
        <v>36</v>
      </c>
      <c r="I463" s="12" t="s">
        <v>26</v>
      </c>
      <c r="J463" s="13" t="s">
        <v>1178</v>
      </c>
      <c r="K463" s="14" t="s">
        <v>6122</v>
      </c>
      <c r="L463" s="15">
        <v>11</v>
      </c>
      <c r="M463" s="15" t="s">
        <v>144</v>
      </c>
      <c r="N463" s="16">
        <v>39619</v>
      </c>
      <c r="O463" s="12" t="s">
        <v>4962</v>
      </c>
      <c r="P463" s="14" t="s">
        <v>6123</v>
      </c>
      <c r="Q463" s="17" t="s">
        <v>137</v>
      </c>
      <c r="R463" s="17" t="s">
        <v>146</v>
      </c>
    </row>
    <row r="464" spans="1:18" x14ac:dyDescent="0.3">
      <c r="A464" s="12" t="s">
        <v>4959</v>
      </c>
      <c r="B464" s="12" t="s">
        <v>14</v>
      </c>
      <c r="C464" s="12"/>
      <c r="D464" s="12" t="s">
        <v>14</v>
      </c>
      <c r="E464" s="12" t="s">
        <v>6124</v>
      </c>
      <c r="F464" s="12" t="s">
        <v>6125</v>
      </c>
      <c r="G464" s="12" t="s">
        <v>1158</v>
      </c>
      <c r="H464" s="12" t="s">
        <v>36</v>
      </c>
      <c r="I464" s="12" t="s">
        <v>26</v>
      </c>
      <c r="J464" s="13" t="s">
        <v>1217</v>
      </c>
      <c r="K464" s="14" t="s">
        <v>5047</v>
      </c>
      <c r="L464" s="15">
        <v>0</v>
      </c>
      <c r="M464" s="15" t="s">
        <v>144</v>
      </c>
      <c r="N464" s="16">
        <v>39619</v>
      </c>
      <c r="O464" s="12" t="s">
        <v>4962</v>
      </c>
      <c r="P464" s="14" t="s">
        <v>6126</v>
      </c>
      <c r="Q464" s="17" t="s">
        <v>137</v>
      </c>
      <c r="R464" s="17" t="s">
        <v>146</v>
      </c>
    </row>
    <row r="465" spans="1:18" x14ac:dyDescent="0.3">
      <c r="A465" s="12" t="s">
        <v>6127</v>
      </c>
      <c r="B465" s="12" t="s">
        <v>12</v>
      </c>
      <c r="C465" s="12"/>
      <c r="D465" s="12" t="s">
        <v>12</v>
      </c>
      <c r="E465" s="12" t="s">
        <v>1284</v>
      </c>
      <c r="F465" s="12" t="s">
        <v>6125</v>
      </c>
      <c r="G465" s="12" t="s">
        <v>1158</v>
      </c>
      <c r="H465" s="12" t="s">
        <v>36</v>
      </c>
      <c r="I465" s="12" t="s">
        <v>26</v>
      </c>
      <c r="J465" s="13" t="s">
        <v>1178</v>
      </c>
      <c r="K465" s="14" t="s">
        <v>6128</v>
      </c>
      <c r="L465" s="15">
        <v>0</v>
      </c>
      <c r="M465" s="15" t="s">
        <v>144</v>
      </c>
      <c r="N465" s="16">
        <v>42752</v>
      </c>
      <c r="O465" s="12" t="s">
        <v>6129</v>
      </c>
      <c r="P465" s="14" t="s">
        <v>6130</v>
      </c>
      <c r="Q465" s="17" t="s">
        <v>137</v>
      </c>
      <c r="R465" s="17" t="s">
        <v>146</v>
      </c>
    </row>
    <row r="466" spans="1:18" x14ac:dyDescent="0.3">
      <c r="A466" s="12" t="s">
        <v>6131</v>
      </c>
      <c r="B466" s="12" t="s">
        <v>12</v>
      </c>
      <c r="C466" s="12"/>
      <c r="D466" s="12" t="s">
        <v>12</v>
      </c>
      <c r="E466" s="12" t="s">
        <v>1300</v>
      </c>
      <c r="F466" s="12"/>
      <c r="G466" s="12" t="s">
        <v>1158</v>
      </c>
      <c r="H466" s="12" t="s">
        <v>36</v>
      </c>
      <c r="I466" s="12" t="s">
        <v>26</v>
      </c>
      <c r="J466" s="13" t="s">
        <v>1217</v>
      </c>
      <c r="K466" s="14" t="s">
        <v>6132</v>
      </c>
      <c r="L466" s="15">
        <v>0</v>
      </c>
      <c r="M466" s="15" t="s">
        <v>144</v>
      </c>
      <c r="N466" s="16">
        <v>39923</v>
      </c>
      <c r="O466" s="12" t="s">
        <v>6131</v>
      </c>
      <c r="P466" s="14" t="s">
        <v>6133</v>
      </c>
      <c r="Q466" s="17" t="s">
        <v>137</v>
      </c>
      <c r="R466" s="17" t="s">
        <v>146</v>
      </c>
    </row>
    <row r="467" spans="1:18" x14ac:dyDescent="0.3">
      <c r="A467" s="12" t="s">
        <v>6134</v>
      </c>
      <c r="B467" s="12" t="s">
        <v>14</v>
      </c>
      <c r="C467" s="12"/>
      <c r="D467" s="12" t="s">
        <v>14</v>
      </c>
      <c r="E467" s="12" t="s">
        <v>6135</v>
      </c>
      <c r="F467" s="12"/>
      <c r="G467" s="12" t="s">
        <v>1158</v>
      </c>
      <c r="H467" s="12" t="s">
        <v>36</v>
      </c>
      <c r="I467" s="12" t="s">
        <v>26</v>
      </c>
      <c r="J467" s="13" t="s">
        <v>941</v>
      </c>
      <c r="K467" s="14" t="s">
        <v>6136</v>
      </c>
      <c r="L467" s="15">
        <v>0</v>
      </c>
      <c r="M467" s="15" t="s">
        <v>144</v>
      </c>
      <c r="N467" s="16">
        <v>44065</v>
      </c>
      <c r="O467" s="12" t="s">
        <v>6134</v>
      </c>
      <c r="P467" s="14" t="s">
        <v>6137</v>
      </c>
      <c r="Q467" s="17" t="s">
        <v>137</v>
      </c>
      <c r="R467" s="17" t="s">
        <v>146</v>
      </c>
    </row>
    <row r="468" spans="1:18" x14ac:dyDescent="0.3">
      <c r="A468" s="12" t="s">
        <v>6138</v>
      </c>
      <c r="B468" s="12" t="s">
        <v>10</v>
      </c>
      <c r="C468" s="12"/>
      <c r="D468" s="12" t="s">
        <v>720</v>
      </c>
      <c r="E468" s="12" t="s">
        <v>1224</v>
      </c>
      <c r="F468" s="12" t="s">
        <v>6139</v>
      </c>
      <c r="G468" s="12" t="s">
        <v>1158</v>
      </c>
      <c r="H468" s="12" t="s">
        <v>36</v>
      </c>
      <c r="I468" s="12" t="s">
        <v>26</v>
      </c>
      <c r="J468" s="13" t="s">
        <v>1178</v>
      </c>
      <c r="K468" s="14" t="s">
        <v>6140</v>
      </c>
      <c r="L468" s="15">
        <v>1</v>
      </c>
      <c r="M468" s="15" t="s">
        <v>144</v>
      </c>
      <c r="N468" s="16">
        <v>42794</v>
      </c>
      <c r="O468" s="12" t="s">
        <v>6141</v>
      </c>
      <c r="P468" s="14" t="s">
        <v>6142</v>
      </c>
      <c r="Q468" s="17" t="s">
        <v>137</v>
      </c>
      <c r="R468" s="17" t="s">
        <v>146</v>
      </c>
    </row>
    <row r="469" spans="1:18" x14ac:dyDescent="0.3">
      <c r="A469" s="12" t="s">
        <v>6143</v>
      </c>
      <c r="B469" s="12" t="s">
        <v>10</v>
      </c>
      <c r="C469" s="12"/>
      <c r="D469" s="12" t="s">
        <v>216</v>
      </c>
      <c r="E469" s="12" t="s">
        <v>1176</v>
      </c>
      <c r="F469" s="12" t="s">
        <v>6144</v>
      </c>
      <c r="G469" s="12" t="s">
        <v>1158</v>
      </c>
      <c r="H469" s="12" t="s">
        <v>36</v>
      </c>
      <c r="I469" s="12" t="s">
        <v>26</v>
      </c>
      <c r="J469" s="13" t="s">
        <v>1178</v>
      </c>
      <c r="K469" s="14" t="s">
        <v>6145</v>
      </c>
      <c r="L469" s="15">
        <v>3</v>
      </c>
      <c r="M469" s="15" t="s">
        <v>220</v>
      </c>
      <c r="N469" s="16">
        <v>41666</v>
      </c>
      <c r="O469" s="12" t="s">
        <v>6143</v>
      </c>
      <c r="P469" s="14" t="s">
        <v>6146</v>
      </c>
      <c r="Q469" s="17" t="s">
        <v>137</v>
      </c>
      <c r="R469" s="17" t="s">
        <v>146</v>
      </c>
    </row>
    <row r="470" spans="1:18" x14ac:dyDescent="0.3">
      <c r="A470" s="12" t="s">
        <v>5049</v>
      </c>
      <c r="B470" s="12" t="s">
        <v>12</v>
      </c>
      <c r="C470" s="12"/>
      <c r="D470" s="12" t="s">
        <v>12</v>
      </c>
      <c r="E470" s="12" t="s">
        <v>1216</v>
      </c>
      <c r="F470" s="12" t="s">
        <v>182</v>
      </c>
      <c r="G470" s="12" t="s">
        <v>1158</v>
      </c>
      <c r="H470" s="12" t="s">
        <v>36</v>
      </c>
      <c r="I470" s="12" t="s">
        <v>26</v>
      </c>
      <c r="J470" s="13" t="s">
        <v>1217</v>
      </c>
      <c r="K470" s="14" t="s">
        <v>6147</v>
      </c>
      <c r="L470" s="15">
        <v>3</v>
      </c>
      <c r="M470" s="15" t="s">
        <v>144</v>
      </c>
      <c r="N470" s="16">
        <v>39972</v>
      </c>
      <c r="O470" s="12" t="s">
        <v>6148</v>
      </c>
      <c r="P470" s="14" t="s">
        <v>6149</v>
      </c>
      <c r="Q470" s="17" t="s">
        <v>137</v>
      </c>
      <c r="R470" s="17" t="s">
        <v>146</v>
      </c>
    </row>
    <row r="471" spans="1:18" x14ac:dyDescent="0.3">
      <c r="A471" s="12" t="s">
        <v>6150</v>
      </c>
      <c r="B471" s="12" t="s">
        <v>14</v>
      </c>
      <c r="C471" s="12"/>
      <c r="D471" s="12" t="s">
        <v>14</v>
      </c>
      <c r="E471" s="12" t="s">
        <v>6151</v>
      </c>
      <c r="F471" s="12"/>
      <c r="G471" s="12" t="s">
        <v>1158</v>
      </c>
      <c r="H471" s="12" t="s">
        <v>36</v>
      </c>
      <c r="I471" s="12" t="s">
        <v>26</v>
      </c>
      <c r="J471" s="13" t="s">
        <v>1178</v>
      </c>
      <c r="K471" s="14" t="s">
        <v>6152</v>
      </c>
      <c r="L471" s="15">
        <v>0</v>
      </c>
      <c r="M471" s="15" t="s">
        <v>144</v>
      </c>
      <c r="N471" s="16">
        <v>44222</v>
      </c>
      <c r="O471" s="12" t="s">
        <v>6150</v>
      </c>
      <c r="P471" s="14" t="s">
        <v>6153</v>
      </c>
      <c r="Q471" s="17" t="s">
        <v>137</v>
      </c>
      <c r="R471" s="17" t="s">
        <v>146</v>
      </c>
    </row>
    <row r="472" spans="1:18" x14ac:dyDescent="0.3">
      <c r="A472" s="12" t="s">
        <v>6154</v>
      </c>
      <c r="B472" s="12" t="s">
        <v>12</v>
      </c>
      <c r="C472" s="12"/>
      <c r="D472" s="12" t="s">
        <v>12</v>
      </c>
      <c r="E472" s="12" t="s">
        <v>1212</v>
      </c>
      <c r="F472" s="12" t="s">
        <v>389</v>
      </c>
      <c r="G472" s="12" t="s">
        <v>1158</v>
      </c>
      <c r="H472" s="12" t="s">
        <v>36</v>
      </c>
      <c r="I472" s="12" t="s">
        <v>26</v>
      </c>
      <c r="J472" s="13" t="s">
        <v>1178</v>
      </c>
      <c r="K472" s="14" t="s">
        <v>6155</v>
      </c>
      <c r="L472" s="15">
        <v>3</v>
      </c>
      <c r="M472" s="15" t="s">
        <v>144</v>
      </c>
      <c r="N472" s="16">
        <v>44065</v>
      </c>
      <c r="O472" s="12" t="s">
        <v>6154</v>
      </c>
      <c r="P472" s="14" t="s">
        <v>6156</v>
      </c>
      <c r="Q472" s="17" t="s">
        <v>137</v>
      </c>
      <c r="R472" s="17" t="s">
        <v>146</v>
      </c>
    </row>
    <row r="473" spans="1:18" x14ac:dyDescent="0.3">
      <c r="A473" s="12" t="s">
        <v>6157</v>
      </c>
      <c r="B473" s="12" t="s">
        <v>14</v>
      </c>
      <c r="C473" s="12"/>
      <c r="D473" s="12" t="s">
        <v>14</v>
      </c>
      <c r="E473" s="12" t="s">
        <v>6051</v>
      </c>
      <c r="F473" s="12" t="s">
        <v>6158</v>
      </c>
      <c r="G473" s="12" t="s">
        <v>1158</v>
      </c>
      <c r="H473" s="12" t="s">
        <v>36</v>
      </c>
      <c r="I473" s="12" t="s">
        <v>26</v>
      </c>
      <c r="J473" s="13" t="s">
        <v>1178</v>
      </c>
      <c r="K473" s="14" t="s">
        <v>6159</v>
      </c>
      <c r="L473" s="15">
        <v>11</v>
      </c>
      <c r="M473" s="15" t="s">
        <v>144</v>
      </c>
      <c r="N473" s="16">
        <v>41702</v>
      </c>
      <c r="O473" s="12" t="s">
        <v>6157</v>
      </c>
      <c r="P473" s="14" t="s">
        <v>6160</v>
      </c>
      <c r="Q473" s="17" t="s">
        <v>137</v>
      </c>
      <c r="R473" s="17" t="s">
        <v>146</v>
      </c>
    </row>
    <row r="474" spans="1:18" x14ac:dyDescent="0.3">
      <c r="A474" s="12" t="s">
        <v>6161</v>
      </c>
      <c r="B474" s="12" t="s">
        <v>16</v>
      </c>
      <c r="C474" s="12"/>
      <c r="D474" s="12" t="s">
        <v>471</v>
      </c>
      <c r="E474" s="12" t="s">
        <v>6162</v>
      </c>
      <c r="F474" s="12" t="s">
        <v>188</v>
      </c>
      <c r="G474" s="12" t="s">
        <v>1158</v>
      </c>
      <c r="H474" s="12" t="s">
        <v>36</v>
      </c>
      <c r="I474" s="12" t="s">
        <v>26</v>
      </c>
      <c r="J474" s="13" t="s">
        <v>1178</v>
      </c>
      <c r="K474" s="14" t="s">
        <v>6163</v>
      </c>
      <c r="L474" s="15">
        <v>0</v>
      </c>
      <c r="M474" s="15" t="s">
        <v>144</v>
      </c>
      <c r="N474" s="16">
        <v>39723</v>
      </c>
      <c r="O474" s="12" t="s">
        <v>6164</v>
      </c>
      <c r="P474" s="14" t="s">
        <v>6165</v>
      </c>
      <c r="Q474" s="17" t="s">
        <v>137</v>
      </c>
      <c r="R474" s="17" t="s">
        <v>146</v>
      </c>
    </row>
    <row r="475" spans="1:18" x14ac:dyDescent="0.3">
      <c r="A475" s="12" t="s">
        <v>6166</v>
      </c>
      <c r="B475" s="12" t="s">
        <v>12</v>
      </c>
      <c r="C475" s="12"/>
      <c r="D475" s="12" t="s">
        <v>12</v>
      </c>
      <c r="E475" s="12" t="s">
        <v>1176</v>
      </c>
      <c r="F475" s="12" t="s">
        <v>1204</v>
      </c>
      <c r="G475" s="12" t="s">
        <v>1158</v>
      </c>
      <c r="H475" s="12" t="s">
        <v>36</v>
      </c>
      <c r="I475" s="12" t="s">
        <v>26</v>
      </c>
      <c r="J475" s="13" t="s">
        <v>1178</v>
      </c>
      <c r="K475" s="14" t="s">
        <v>1254</v>
      </c>
      <c r="L475" s="15">
        <v>2</v>
      </c>
      <c r="M475" s="15" t="s">
        <v>144</v>
      </c>
      <c r="N475" s="16">
        <v>44167</v>
      </c>
      <c r="O475" s="12" t="s">
        <v>6166</v>
      </c>
      <c r="P475" s="14" t="s">
        <v>6167</v>
      </c>
      <c r="Q475" s="17" t="s">
        <v>137</v>
      </c>
      <c r="R475" s="17" t="s">
        <v>146</v>
      </c>
    </row>
    <row r="476" spans="1:18" x14ac:dyDescent="0.3">
      <c r="A476" s="12" t="s">
        <v>6166</v>
      </c>
      <c r="B476" s="12" t="s">
        <v>12</v>
      </c>
      <c r="C476" s="12"/>
      <c r="D476" s="12" t="s">
        <v>12</v>
      </c>
      <c r="E476" s="12" t="s">
        <v>1221</v>
      </c>
      <c r="F476" s="12" t="s">
        <v>6168</v>
      </c>
      <c r="G476" s="12" t="s">
        <v>1158</v>
      </c>
      <c r="H476" s="12" t="s">
        <v>36</v>
      </c>
      <c r="I476" s="12" t="s">
        <v>26</v>
      </c>
      <c r="J476" s="13" t="s">
        <v>1178</v>
      </c>
      <c r="K476" s="14" t="s">
        <v>1254</v>
      </c>
      <c r="L476" s="15">
        <v>15</v>
      </c>
      <c r="M476" s="15" t="s">
        <v>144</v>
      </c>
      <c r="N476" s="16">
        <v>44167</v>
      </c>
      <c r="O476" s="12" t="s">
        <v>6166</v>
      </c>
      <c r="P476" s="14" t="s">
        <v>6167</v>
      </c>
      <c r="Q476" s="17" t="s">
        <v>137</v>
      </c>
      <c r="R476" s="17" t="s">
        <v>146</v>
      </c>
    </row>
    <row r="477" spans="1:18" x14ac:dyDescent="0.3">
      <c r="A477" s="12" t="s">
        <v>6169</v>
      </c>
      <c r="B477" s="12" t="s">
        <v>12</v>
      </c>
      <c r="C477" s="12"/>
      <c r="D477" s="12" t="s">
        <v>12</v>
      </c>
      <c r="E477" s="12" t="s">
        <v>6101</v>
      </c>
      <c r="F477" s="12" t="s">
        <v>940</v>
      </c>
      <c r="G477" s="12" t="s">
        <v>1158</v>
      </c>
      <c r="H477" s="12" t="s">
        <v>36</v>
      </c>
      <c r="I477" s="12" t="s">
        <v>26</v>
      </c>
      <c r="J477" s="13" t="s">
        <v>1178</v>
      </c>
      <c r="K477" s="14" t="s">
        <v>6170</v>
      </c>
      <c r="L477" s="15">
        <v>3</v>
      </c>
      <c r="M477" s="15" t="s">
        <v>144</v>
      </c>
      <c r="N477" s="16">
        <v>42607</v>
      </c>
      <c r="O477" s="12" t="s">
        <v>6169</v>
      </c>
      <c r="P477" s="14" t="s">
        <v>6171</v>
      </c>
      <c r="Q477" s="17" t="s">
        <v>137</v>
      </c>
      <c r="R477" s="17" t="s">
        <v>146</v>
      </c>
    </row>
    <row r="478" spans="1:18" x14ac:dyDescent="0.3">
      <c r="A478" s="12" t="s">
        <v>6172</v>
      </c>
      <c r="B478" s="12" t="s">
        <v>10</v>
      </c>
      <c r="C478" s="12"/>
      <c r="D478" s="12" t="s">
        <v>647</v>
      </c>
      <c r="E478" s="12" t="s">
        <v>1176</v>
      </c>
      <c r="F478" s="12" t="s">
        <v>6173</v>
      </c>
      <c r="G478" s="12" t="s">
        <v>1158</v>
      </c>
      <c r="H478" s="12" t="s">
        <v>36</v>
      </c>
      <c r="I478" s="12" t="s">
        <v>26</v>
      </c>
      <c r="J478" s="13" t="s">
        <v>1178</v>
      </c>
      <c r="K478" s="14" t="s">
        <v>6145</v>
      </c>
      <c r="L478" s="15">
        <v>3</v>
      </c>
      <c r="M478" s="15" t="s">
        <v>144</v>
      </c>
      <c r="N478" s="16">
        <v>44065</v>
      </c>
      <c r="O478" s="12" t="s">
        <v>6172</v>
      </c>
      <c r="P478" s="14" t="s">
        <v>6174</v>
      </c>
      <c r="Q478" s="17" t="s">
        <v>137</v>
      </c>
      <c r="R478" s="17" t="s">
        <v>146</v>
      </c>
    </row>
    <row r="479" spans="1:18" x14ac:dyDescent="0.3">
      <c r="A479" s="12" t="s">
        <v>5960</v>
      </c>
      <c r="B479" s="12" t="s">
        <v>14</v>
      </c>
      <c r="C479" s="12"/>
      <c r="D479" s="12" t="s">
        <v>14</v>
      </c>
      <c r="E479" s="12" t="s">
        <v>1176</v>
      </c>
      <c r="F479" s="12" t="s">
        <v>712</v>
      </c>
      <c r="G479" s="12" t="s">
        <v>1158</v>
      </c>
      <c r="H479" s="12" t="s">
        <v>36</v>
      </c>
      <c r="I479" s="12" t="s">
        <v>26</v>
      </c>
      <c r="J479" s="13" t="s">
        <v>1178</v>
      </c>
      <c r="K479" s="14" t="s">
        <v>6175</v>
      </c>
      <c r="L479" s="15">
        <v>8</v>
      </c>
      <c r="M479" s="15" t="s">
        <v>144</v>
      </c>
      <c r="N479" s="16">
        <v>40393</v>
      </c>
      <c r="O479" s="12" t="s">
        <v>5960</v>
      </c>
      <c r="P479" s="14" t="s">
        <v>6176</v>
      </c>
      <c r="Q479" s="17" t="s">
        <v>137</v>
      </c>
      <c r="R479" s="17" t="s">
        <v>146</v>
      </c>
    </row>
    <row r="480" spans="1:18" x14ac:dyDescent="0.3">
      <c r="A480" s="12" t="s">
        <v>6177</v>
      </c>
      <c r="B480" s="12" t="s">
        <v>10</v>
      </c>
      <c r="C480" s="12"/>
      <c r="D480" s="12" t="s">
        <v>157</v>
      </c>
      <c r="E480" s="12" t="s">
        <v>6178</v>
      </c>
      <c r="F480" s="12"/>
      <c r="G480" s="12" t="s">
        <v>1158</v>
      </c>
      <c r="H480" s="12" t="s">
        <v>36</v>
      </c>
      <c r="I480" s="12" t="s">
        <v>26</v>
      </c>
      <c r="J480" s="13" t="s">
        <v>1159</v>
      </c>
      <c r="K480" s="14" t="s">
        <v>1553</v>
      </c>
      <c r="L480" s="15">
        <v>0</v>
      </c>
      <c r="M480" s="15" t="s">
        <v>144</v>
      </c>
      <c r="N480" s="16">
        <v>43342</v>
      </c>
      <c r="O480" s="12" t="s">
        <v>6179</v>
      </c>
      <c r="P480" s="14" t="s">
        <v>6180</v>
      </c>
      <c r="Q480" s="17" t="s">
        <v>137</v>
      </c>
      <c r="R480" s="17" t="s">
        <v>146</v>
      </c>
    </row>
    <row r="481" spans="1:18" x14ac:dyDescent="0.3">
      <c r="A481" s="12" t="s">
        <v>6181</v>
      </c>
      <c r="B481" s="12" t="s">
        <v>10</v>
      </c>
      <c r="C481" s="12"/>
      <c r="D481" s="12" t="s">
        <v>647</v>
      </c>
      <c r="E481" s="12" t="s">
        <v>1284</v>
      </c>
      <c r="F481" s="12" t="s">
        <v>6182</v>
      </c>
      <c r="G481" s="12" t="s">
        <v>1158</v>
      </c>
      <c r="H481" s="12" t="s">
        <v>36</v>
      </c>
      <c r="I481" s="12" t="s">
        <v>26</v>
      </c>
      <c r="J481" s="13" t="s">
        <v>1178</v>
      </c>
      <c r="K481" s="14" t="s">
        <v>6183</v>
      </c>
      <c r="L481" s="15">
        <v>0</v>
      </c>
      <c r="M481" s="15" t="s">
        <v>220</v>
      </c>
      <c r="N481" s="16">
        <v>40624</v>
      </c>
      <c r="O481" s="12" t="s">
        <v>6181</v>
      </c>
      <c r="P481" s="14" t="s">
        <v>6184</v>
      </c>
      <c r="Q481" s="17" t="s">
        <v>137</v>
      </c>
      <c r="R481" s="17" t="s">
        <v>146</v>
      </c>
    </row>
    <row r="482" spans="1:18" x14ac:dyDescent="0.3">
      <c r="A482" s="12" t="s">
        <v>6185</v>
      </c>
      <c r="B482" s="12" t="s">
        <v>12</v>
      </c>
      <c r="C482" s="12"/>
      <c r="D482" s="12" t="s">
        <v>12</v>
      </c>
      <c r="E482" s="12" t="s">
        <v>6101</v>
      </c>
      <c r="F482" s="12" t="s">
        <v>188</v>
      </c>
      <c r="G482" s="12" t="s">
        <v>1158</v>
      </c>
      <c r="H482" s="12" t="s">
        <v>36</v>
      </c>
      <c r="I482" s="12" t="s">
        <v>26</v>
      </c>
      <c r="J482" s="13" t="s">
        <v>1178</v>
      </c>
      <c r="K482" s="14" t="s">
        <v>6186</v>
      </c>
      <c r="L482" s="15">
        <v>3</v>
      </c>
      <c r="M482" s="15" t="s">
        <v>144</v>
      </c>
      <c r="N482" s="16">
        <v>39983</v>
      </c>
      <c r="O482" s="12" t="s">
        <v>6185</v>
      </c>
      <c r="P482" s="14" t="s">
        <v>6187</v>
      </c>
      <c r="Q482" s="17" t="s">
        <v>137</v>
      </c>
      <c r="R482" s="17" t="s">
        <v>146</v>
      </c>
    </row>
    <row r="483" spans="1:18" x14ac:dyDescent="0.3">
      <c r="A483" s="12" t="s">
        <v>6188</v>
      </c>
      <c r="B483" s="12" t="s">
        <v>10</v>
      </c>
      <c r="C483" s="12" t="s">
        <v>180</v>
      </c>
      <c r="D483" s="12" t="s">
        <v>283</v>
      </c>
      <c r="E483" s="12" t="s">
        <v>6189</v>
      </c>
      <c r="F483" s="12" t="s">
        <v>1270</v>
      </c>
      <c r="G483" s="12" t="s">
        <v>1158</v>
      </c>
      <c r="H483" s="12" t="s">
        <v>36</v>
      </c>
      <c r="I483" s="12" t="s">
        <v>26</v>
      </c>
      <c r="J483" s="13" t="s">
        <v>1178</v>
      </c>
      <c r="K483" s="14" t="s">
        <v>1266</v>
      </c>
      <c r="L483" s="15">
        <v>6</v>
      </c>
      <c r="M483" s="15" t="s">
        <v>144</v>
      </c>
      <c r="N483" s="16">
        <v>43795</v>
      </c>
      <c r="O483" s="12" t="s">
        <v>6188</v>
      </c>
      <c r="P483" s="14" t="s">
        <v>6190</v>
      </c>
      <c r="Q483" s="17" t="s">
        <v>137</v>
      </c>
      <c r="R483" s="17" t="s">
        <v>146</v>
      </c>
    </row>
    <row r="484" spans="1:18" x14ac:dyDescent="0.3">
      <c r="A484" s="12" t="s">
        <v>6191</v>
      </c>
      <c r="B484" s="12" t="s">
        <v>10</v>
      </c>
      <c r="C484" s="12"/>
      <c r="D484" s="12" t="s">
        <v>157</v>
      </c>
      <c r="E484" s="12" t="s">
        <v>6192</v>
      </c>
      <c r="F484" s="12"/>
      <c r="G484" s="12" t="s">
        <v>1158</v>
      </c>
      <c r="H484" s="12" t="s">
        <v>36</v>
      </c>
      <c r="I484" s="12" t="s">
        <v>26</v>
      </c>
      <c r="J484" s="13" t="s">
        <v>1178</v>
      </c>
      <c r="K484" s="14" t="s">
        <v>1271</v>
      </c>
      <c r="L484" s="15">
        <v>1</v>
      </c>
      <c r="M484" s="15" t="s">
        <v>144</v>
      </c>
      <c r="N484" s="16">
        <v>44277</v>
      </c>
      <c r="O484" s="12" t="s">
        <v>6191</v>
      </c>
      <c r="P484" s="14" t="s">
        <v>6193</v>
      </c>
      <c r="Q484" s="17" t="s">
        <v>137</v>
      </c>
      <c r="R484" s="17" t="s">
        <v>146</v>
      </c>
    </row>
    <row r="485" spans="1:18" x14ac:dyDescent="0.3">
      <c r="A485" s="12" t="s">
        <v>6194</v>
      </c>
      <c r="B485" s="12" t="s">
        <v>10</v>
      </c>
      <c r="C485" s="12"/>
      <c r="D485" s="12" t="s">
        <v>157</v>
      </c>
      <c r="E485" s="12" t="s">
        <v>6192</v>
      </c>
      <c r="F485" s="12" t="s">
        <v>1270</v>
      </c>
      <c r="G485" s="12" t="s">
        <v>1158</v>
      </c>
      <c r="H485" s="12" t="s">
        <v>36</v>
      </c>
      <c r="I485" s="12" t="s">
        <v>26</v>
      </c>
      <c r="J485" s="13" t="s">
        <v>1178</v>
      </c>
      <c r="K485" s="14" t="s">
        <v>1271</v>
      </c>
      <c r="L485" s="15">
        <v>1</v>
      </c>
      <c r="M485" s="15" t="s">
        <v>144</v>
      </c>
      <c r="N485" s="16">
        <v>44214</v>
      </c>
      <c r="O485" s="12" t="s">
        <v>6195</v>
      </c>
      <c r="P485" s="14" t="s">
        <v>6196</v>
      </c>
      <c r="Q485" s="17" t="s">
        <v>137</v>
      </c>
      <c r="R485" s="17" t="s">
        <v>146</v>
      </c>
    </row>
    <row r="486" spans="1:18" x14ac:dyDescent="0.3">
      <c r="A486" s="12" t="s">
        <v>6197</v>
      </c>
      <c r="B486" s="12" t="s">
        <v>12</v>
      </c>
      <c r="C486" s="12"/>
      <c r="D486" s="12" t="s">
        <v>12</v>
      </c>
      <c r="E486" s="12" t="s">
        <v>6056</v>
      </c>
      <c r="F486" s="12" t="s">
        <v>6198</v>
      </c>
      <c r="G486" s="12" t="s">
        <v>1158</v>
      </c>
      <c r="H486" s="12" t="s">
        <v>36</v>
      </c>
      <c r="I486" s="12" t="s">
        <v>26</v>
      </c>
      <c r="J486" s="13" t="s">
        <v>1178</v>
      </c>
      <c r="K486" s="14" t="s">
        <v>6199</v>
      </c>
      <c r="L486" s="15">
        <v>0</v>
      </c>
      <c r="M486" s="15" t="s">
        <v>144</v>
      </c>
      <c r="N486" s="16">
        <v>42202</v>
      </c>
      <c r="O486" s="12" t="s">
        <v>6197</v>
      </c>
      <c r="P486" s="14" t="s">
        <v>6200</v>
      </c>
      <c r="Q486" s="17" t="s">
        <v>137</v>
      </c>
      <c r="R486" s="17" t="s">
        <v>146</v>
      </c>
    </row>
    <row r="487" spans="1:18" x14ac:dyDescent="0.3">
      <c r="A487" s="12" t="s">
        <v>6201</v>
      </c>
      <c r="B487" s="12" t="s">
        <v>14</v>
      </c>
      <c r="C487" s="12"/>
      <c r="D487" s="12" t="s">
        <v>14</v>
      </c>
      <c r="E487" s="12" t="s">
        <v>6202</v>
      </c>
      <c r="F487" s="12" t="s">
        <v>6203</v>
      </c>
      <c r="G487" s="12" t="s">
        <v>1158</v>
      </c>
      <c r="H487" s="12" t="s">
        <v>36</v>
      </c>
      <c r="I487" s="12" t="s">
        <v>26</v>
      </c>
      <c r="J487" s="13" t="s">
        <v>1178</v>
      </c>
      <c r="K487" s="14" t="s">
        <v>6105</v>
      </c>
      <c r="L487" s="15">
        <v>0</v>
      </c>
      <c r="M487" s="15" t="s">
        <v>144</v>
      </c>
      <c r="N487" s="16">
        <v>43862</v>
      </c>
      <c r="O487" s="12" t="s">
        <v>6204</v>
      </c>
      <c r="P487" s="14" t="s">
        <v>6205</v>
      </c>
      <c r="Q487" s="17" t="s">
        <v>137</v>
      </c>
      <c r="R487" s="17" t="s">
        <v>146</v>
      </c>
    </row>
    <row r="488" spans="1:18" x14ac:dyDescent="0.3">
      <c r="A488" s="12" t="s">
        <v>6206</v>
      </c>
      <c r="B488" s="12" t="s">
        <v>12</v>
      </c>
      <c r="C488" s="12"/>
      <c r="D488" s="12" t="s">
        <v>12</v>
      </c>
      <c r="E488" s="12" t="s">
        <v>6083</v>
      </c>
      <c r="F488" s="12" t="s">
        <v>5611</v>
      </c>
      <c r="G488" s="12" t="s">
        <v>1158</v>
      </c>
      <c r="H488" s="12" t="s">
        <v>36</v>
      </c>
      <c r="I488" s="12" t="s">
        <v>26</v>
      </c>
      <c r="J488" s="13" t="s">
        <v>1178</v>
      </c>
      <c r="K488" s="14" t="s">
        <v>6207</v>
      </c>
      <c r="L488" s="15">
        <v>2</v>
      </c>
      <c r="M488" s="15" t="s">
        <v>144</v>
      </c>
      <c r="N488" s="16">
        <v>43292</v>
      </c>
      <c r="O488" s="12" t="s">
        <v>6208</v>
      </c>
      <c r="P488" s="14" t="s">
        <v>6209</v>
      </c>
      <c r="Q488" s="17" t="s">
        <v>137</v>
      </c>
      <c r="R488" s="17" t="s">
        <v>146</v>
      </c>
    </row>
    <row r="489" spans="1:18" x14ac:dyDescent="0.3">
      <c r="A489" s="12" t="s">
        <v>6210</v>
      </c>
      <c r="B489" s="12" t="s">
        <v>14</v>
      </c>
      <c r="C489" s="12"/>
      <c r="D489" s="12" t="s">
        <v>14</v>
      </c>
      <c r="E489" s="12" t="s">
        <v>6211</v>
      </c>
      <c r="F489" s="12"/>
      <c r="G489" s="12" t="s">
        <v>1158</v>
      </c>
      <c r="H489" s="12" t="s">
        <v>36</v>
      </c>
      <c r="I489" s="12" t="s">
        <v>26</v>
      </c>
      <c r="J489" s="13" t="s">
        <v>1606</v>
      </c>
      <c r="K489" s="14" t="s">
        <v>6212</v>
      </c>
      <c r="L489" s="15">
        <v>0</v>
      </c>
      <c r="M489" s="15" t="s">
        <v>144</v>
      </c>
      <c r="N489" s="16">
        <v>43479</v>
      </c>
      <c r="O489" s="12" t="s">
        <v>6210</v>
      </c>
      <c r="P489" s="14" t="s">
        <v>6213</v>
      </c>
      <c r="Q489" s="17" t="s">
        <v>137</v>
      </c>
      <c r="R489" s="17" t="s">
        <v>146</v>
      </c>
    </row>
    <row r="490" spans="1:18" x14ac:dyDescent="0.3">
      <c r="A490" s="12" t="s">
        <v>6214</v>
      </c>
      <c r="B490" s="12" t="s">
        <v>12</v>
      </c>
      <c r="C490" s="12"/>
      <c r="D490" s="12" t="s">
        <v>12</v>
      </c>
      <c r="E490" s="12" t="s">
        <v>1221</v>
      </c>
      <c r="F490" s="12" t="s">
        <v>6215</v>
      </c>
      <c r="G490" s="12" t="s">
        <v>1158</v>
      </c>
      <c r="H490" s="12" t="s">
        <v>36</v>
      </c>
      <c r="I490" s="12" t="s">
        <v>26</v>
      </c>
      <c r="J490" s="13" t="s">
        <v>1178</v>
      </c>
      <c r="K490" s="14" t="s">
        <v>6216</v>
      </c>
      <c r="L490" s="15">
        <v>15</v>
      </c>
      <c r="M490" s="15" t="s">
        <v>144</v>
      </c>
      <c r="N490" s="16">
        <v>40501</v>
      </c>
      <c r="O490" s="12" t="s">
        <v>6214</v>
      </c>
      <c r="P490" s="14" t="s">
        <v>6217</v>
      </c>
      <c r="Q490" s="17" t="s">
        <v>137</v>
      </c>
      <c r="R490" s="17" t="s">
        <v>146</v>
      </c>
    </row>
    <row r="491" spans="1:18" x14ac:dyDescent="0.3">
      <c r="A491" s="12" t="s">
        <v>6218</v>
      </c>
      <c r="B491" s="12" t="s">
        <v>12</v>
      </c>
      <c r="C491" s="12"/>
      <c r="D491" s="12" t="s">
        <v>12</v>
      </c>
      <c r="E491" s="12" t="s">
        <v>6078</v>
      </c>
      <c r="F491" s="12" t="s">
        <v>6219</v>
      </c>
      <c r="G491" s="12" t="s">
        <v>1158</v>
      </c>
      <c r="H491" s="12" t="s">
        <v>36</v>
      </c>
      <c r="I491" s="12" t="s">
        <v>26</v>
      </c>
      <c r="J491" s="13" t="s">
        <v>1178</v>
      </c>
      <c r="K491" s="14" t="s">
        <v>6220</v>
      </c>
      <c r="L491" s="15">
        <v>2</v>
      </c>
      <c r="M491" s="15" t="s">
        <v>144</v>
      </c>
      <c r="N491" s="16">
        <v>44065</v>
      </c>
      <c r="O491" s="12" t="s">
        <v>6218</v>
      </c>
      <c r="P491" s="14" t="s">
        <v>6221</v>
      </c>
      <c r="Q491" s="17" t="s">
        <v>137</v>
      </c>
      <c r="R491" s="17" t="s">
        <v>146</v>
      </c>
    </row>
    <row r="492" spans="1:18" x14ac:dyDescent="0.3">
      <c r="A492" s="12" t="s">
        <v>6222</v>
      </c>
      <c r="B492" s="12" t="s">
        <v>12</v>
      </c>
      <c r="C492" s="12"/>
      <c r="D492" s="12" t="s">
        <v>12</v>
      </c>
      <c r="E492" s="12" t="s">
        <v>1246</v>
      </c>
      <c r="F492" s="12" t="s">
        <v>1247</v>
      </c>
      <c r="G492" s="12" t="s">
        <v>1158</v>
      </c>
      <c r="H492" s="12" t="s">
        <v>36</v>
      </c>
      <c r="I492" s="12" t="s">
        <v>26</v>
      </c>
      <c r="J492" s="13" t="s">
        <v>941</v>
      </c>
      <c r="K492" s="14" t="s">
        <v>6223</v>
      </c>
      <c r="L492" s="15">
        <v>5</v>
      </c>
      <c r="M492" s="15" t="s">
        <v>144</v>
      </c>
      <c r="N492" s="16">
        <v>43522</v>
      </c>
      <c r="O492" s="12" t="s">
        <v>6222</v>
      </c>
      <c r="P492" s="14" t="s">
        <v>6224</v>
      </c>
      <c r="Q492" s="17" t="s">
        <v>137</v>
      </c>
      <c r="R492" s="17" t="s">
        <v>146</v>
      </c>
    </row>
    <row r="493" spans="1:18" x14ac:dyDescent="0.3">
      <c r="A493" s="12" t="s">
        <v>439</v>
      </c>
      <c r="B493" s="12" t="s">
        <v>10</v>
      </c>
      <c r="C493" s="12"/>
      <c r="D493" s="12" t="s">
        <v>252</v>
      </c>
      <c r="E493" s="12" t="s">
        <v>6225</v>
      </c>
      <c r="F493" s="12"/>
      <c r="G493" s="12" t="s">
        <v>1158</v>
      </c>
      <c r="H493" s="12" t="s">
        <v>36</v>
      </c>
      <c r="I493" s="12" t="s">
        <v>26</v>
      </c>
      <c r="J493" s="13" t="s">
        <v>941</v>
      </c>
      <c r="K493" s="14" t="s">
        <v>442</v>
      </c>
      <c r="L493" s="15">
        <v>2</v>
      </c>
      <c r="M493" s="15" t="s">
        <v>144</v>
      </c>
      <c r="N493" s="16">
        <v>43843</v>
      </c>
      <c r="O493" s="12" t="s">
        <v>443</v>
      </c>
      <c r="P493" s="14" t="s">
        <v>6226</v>
      </c>
      <c r="Q493" s="17" t="s">
        <v>137</v>
      </c>
      <c r="R493" s="17" t="s">
        <v>146</v>
      </c>
    </row>
    <row r="494" spans="1:18" x14ac:dyDescent="0.3">
      <c r="A494" s="12" t="s">
        <v>6227</v>
      </c>
      <c r="B494" s="12" t="s">
        <v>10</v>
      </c>
      <c r="C494" s="12"/>
      <c r="D494" s="12" t="s">
        <v>157</v>
      </c>
      <c r="E494" s="12" t="s">
        <v>6101</v>
      </c>
      <c r="F494" s="12" t="s">
        <v>2218</v>
      </c>
      <c r="G494" s="12" t="s">
        <v>1158</v>
      </c>
      <c r="H494" s="12" t="s">
        <v>36</v>
      </c>
      <c r="I494" s="12" t="s">
        <v>26</v>
      </c>
      <c r="J494" s="13" t="s">
        <v>1178</v>
      </c>
      <c r="K494" s="14" t="s">
        <v>6228</v>
      </c>
      <c r="L494" s="15">
        <v>0</v>
      </c>
      <c r="M494" s="15" t="s">
        <v>144</v>
      </c>
      <c r="N494" s="16">
        <v>43871</v>
      </c>
      <c r="O494" s="12" t="s">
        <v>6227</v>
      </c>
      <c r="P494" s="14" t="s">
        <v>6229</v>
      </c>
      <c r="Q494" s="17" t="s">
        <v>137</v>
      </c>
      <c r="R494" s="17" t="s">
        <v>146</v>
      </c>
    </row>
    <row r="495" spans="1:18" x14ac:dyDescent="0.3">
      <c r="A495" s="12" t="s">
        <v>6230</v>
      </c>
      <c r="B495" s="12" t="s">
        <v>12</v>
      </c>
      <c r="C495" s="12"/>
      <c r="D495" s="12" t="s">
        <v>12</v>
      </c>
      <c r="E495" s="12" t="s">
        <v>6231</v>
      </c>
      <c r="F495" s="12" t="s">
        <v>6232</v>
      </c>
      <c r="G495" s="12" t="s">
        <v>1158</v>
      </c>
      <c r="H495" s="12" t="s">
        <v>36</v>
      </c>
      <c r="I495" s="12" t="s">
        <v>26</v>
      </c>
      <c r="J495" s="13" t="s">
        <v>1178</v>
      </c>
      <c r="K495" s="14" t="s">
        <v>6233</v>
      </c>
      <c r="L495" s="15">
        <v>0</v>
      </c>
      <c r="M495" s="15" t="s">
        <v>144</v>
      </c>
      <c r="N495" s="16">
        <v>42118</v>
      </c>
      <c r="O495" s="12" t="s">
        <v>6230</v>
      </c>
      <c r="P495" s="14" t="s">
        <v>6234</v>
      </c>
      <c r="Q495" s="17" t="s">
        <v>137</v>
      </c>
      <c r="R495" s="17" t="s">
        <v>146</v>
      </c>
    </row>
    <row r="496" spans="1:18" x14ac:dyDescent="0.3">
      <c r="A496" s="12" t="s">
        <v>6235</v>
      </c>
      <c r="B496" s="12" t="s">
        <v>12</v>
      </c>
      <c r="C496" s="12"/>
      <c r="D496" s="12" t="s">
        <v>12</v>
      </c>
      <c r="E496" s="12" t="s">
        <v>6236</v>
      </c>
      <c r="F496" s="12" t="s">
        <v>6118</v>
      </c>
      <c r="G496" s="12" t="s">
        <v>1158</v>
      </c>
      <c r="H496" s="12" t="s">
        <v>36</v>
      </c>
      <c r="I496" s="12" t="s">
        <v>26</v>
      </c>
      <c r="J496" s="13" t="s">
        <v>1178</v>
      </c>
      <c r="K496" s="14" t="s">
        <v>6186</v>
      </c>
      <c r="L496" s="15">
        <v>3</v>
      </c>
      <c r="M496" s="15" t="s">
        <v>144</v>
      </c>
      <c r="N496" s="16">
        <v>43038</v>
      </c>
      <c r="O496" s="12" t="s">
        <v>6235</v>
      </c>
      <c r="P496" s="14" t="s">
        <v>6237</v>
      </c>
      <c r="Q496" s="17" t="s">
        <v>137</v>
      </c>
      <c r="R496" s="17" t="s">
        <v>146</v>
      </c>
    </row>
    <row r="497" spans="1:18" x14ac:dyDescent="0.3">
      <c r="A497" s="12" t="s">
        <v>1723</v>
      </c>
      <c r="B497" s="12" t="s">
        <v>14</v>
      </c>
      <c r="C497" s="12"/>
      <c r="D497" s="12" t="s">
        <v>14</v>
      </c>
      <c r="E497" s="12" t="s">
        <v>6238</v>
      </c>
      <c r="F497" s="12"/>
      <c r="G497" s="12" t="s">
        <v>1158</v>
      </c>
      <c r="H497" s="12" t="s">
        <v>36</v>
      </c>
      <c r="I497" s="12" t="s">
        <v>26</v>
      </c>
      <c r="J497" s="13" t="s">
        <v>1606</v>
      </c>
      <c r="K497" s="14" t="s">
        <v>980</v>
      </c>
      <c r="L497" s="15">
        <v>8</v>
      </c>
      <c r="M497" s="15" t="s">
        <v>144</v>
      </c>
      <c r="N497" s="16">
        <v>43983</v>
      </c>
      <c r="O497" s="12" t="s">
        <v>1723</v>
      </c>
      <c r="P497" s="14" t="s">
        <v>6239</v>
      </c>
      <c r="Q497" s="17" t="s">
        <v>137</v>
      </c>
      <c r="R497" s="17" t="s">
        <v>146</v>
      </c>
    </row>
    <row r="498" spans="1:18" x14ac:dyDescent="0.3">
      <c r="A498" s="12" t="s">
        <v>6240</v>
      </c>
      <c r="B498" s="12" t="s">
        <v>12</v>
      </c>
      <c r="C498" s="12"/>
      <c r="D498" s="12" t="s">
        <v>12</v>
      </c>
      <c r="E498" s="12" t="s">
        <v>6241</v>
      </c>
      <c r="F498" s="12" t="s">
        <v>6242</v>
      </c>
      <c r="G498" s="12" t="s">
        <v>1158</v>
      </c>
      <c r="H498" s="12" t="s">
        <v>36</v>
      </c>
      <c r="I498" s="12" t="s">
        <v>26</v>
      </c>
      <c r="J498" s="13" t="s">
        <v>1178</v>
      </c>
      <c r="K498" s="14" t="s">
        <v>6243</v>
      </c>
      <c r="L498" s="15">
        <v>1</v>
      </c>
      <c r="M498" s="15" t="s">
        <v>144</v>
      </c>
      <c r="N498" s="16">
        <v>40578</v>
      </c>
      <c r="O498" s="12" t="s">
        <v>6240</v>
      </c>
      <c r="P498" s="14" t="s">
        <v>6244</v>
      </c>
      <c r="Q498" s="17" t="s">
        <v>137</v>
      </c>
      <c r="R498" s="17" t="s">
        <v>146</v>
      </c>
    </row>
    <row r="499" spans="1:18" x14ac:dyDescent="0.3">
      <c r="A499" s="12" t="s">
        <v>6245</v>
      </c>
      <c r="B499" s="12" t="s">
        <v>10</v>
      </c>
      <c r="C499" s="12"/>
      <c r="D499" s="12" t="s">
        <v>216</v>
      </c>
      <c r="E499" s="12" t="s">
        <v>1176</v>
      </c>
      <c r="F499" s="12" t="s">
        <v>6173</v>
      </c>
      <c r="G499" s="12" t="s">
        <v>1158</v>
      </c>
      <c r="H499" s="12" t="s">
        <v>36</v>
      </c>
      <c r="I499" s="12" t="s">
        <v>26</v>
      </c>
      <c r="J499" s="13" t="s">
        <v>1178</v>
      </c>
      <c r="K499" s="14" t="s">
        <v>6246</v>
      </c>
      <c r="L499" s="15">
        <v>3</v>
      </c>
      <c r="M499" s="15" t="s">
        <v>144</v>
      </c>
      <c r="N499" s="16">
        <v>39835</v>
      </c>
      <c r="O499" s="12" t="s">
        <v>6245</v>
      </c>
      <c r="P499" s="14" t="s">
        <v>6247</v>
      </c>
      <c r="Q499" s="17" t="s">
        <v>137</v>
      </c>
      <c r="R499" s="17" t="s">
        <v>146</v>
      </c>
    </row>
    <row r="500" spans="1:18" x14ac:dyDescent="0.3">
      <c r="A500" s="12" t="s">
        <v>6248</v>
      </c>
      <c r="B500" s="12" t="s">
        <v>12</v>
      </c>
      <c r="C500" s="12"/>
      <c r="D500" s="12" t="s">
        <v>12</v>
      </c>
      <c r="E500" s="12" t="s">
        <v>6249</v>
      </c>
      <c r="F500" s="12" t="s">
        <v>188</v>
      </c>
      <c r="G500" s="12" t="s">
        <v>448</v>
      </c>
      <c r="H500" s="12" t="s">
        <v>36</v>
      </c>
      <c r="I500" s="12" t="s">
        <v>26</v>
      </c>
      <c r="J500" s="13" t="s">
        <v>449</v>
      </c>
      <c r="K500" s="14" t="s">
        <v>6250</v>
      </c>
      <c r="L500" s="15">
        <v>0</v>
      </c>
      <c r="M500" s="15" t="s">
        <v>144</v>
      </c>
      <c r="N500" s="16">
        <v>39288</v>
      </c>
      <c r="O500" s="12" t="s">
        <v>6251</v>
      </c>
      <c r="P500" s="14" t="s">
        <v>6252</v>
      </c>
      <c r="Q500" s="17" t="s">
        <v>137</v>
      </c>
      <c r="R500" s="17" t="s">
        <v>146</v>
      </c>
    </row>
    <row r="501" spans="1:18" x14ac:dyDescent="0.3">
      <c r="A501" s="12" t="s">
        <v>6253</v>
      </c>
      <c r="B501" s="12" t="s">
        <v>12</v>
      </c>
      <c r="C501" s="12"/>
      <c r="D501" s="12" t="s">
        <v>12</v>
      </c>
      <c r="E501" s="12" t="s">
        <v>1302</v>
      </c>
      <c r="F501" s="12"/>
      <c r="G501" s="12" t="s">
        <v>448</v>
      </c>
      <c r="H501" s="12" t="s">
        <v>36</v>
      </c>
      <c r="I501" s="12" t="s">
        <v>26</v>
      </c>
      <c r="J501" s="13" t="s">
        <v>449</v>
      </c>
      <c r="K501" s="14" t="s">
        <v>6254</v>
      </c>
      <c r="L501" s="15">
        <v>3</v>
      </c>
      <c r="M501" s="15" t="s">
        <v>144</v>
      </c>
      <c r="N501" s="16">
        <v>42396</v>
      </c>
      <c r="O501" s="12" t="s">
        <v>6253</v>
      </c>
      <c r="P501" s="14" t="s">
        <v>6255</v>
      </c>
      <c r="Q501" s="17" t="s">
        <v>137</v>
      </c>
      <c r="R501" s="17" t="s">
        <v>146</v>
      </c>
    </row>
    <row r="502" spans="1:18" x14ac:dyDescent="0.3">
      <c r="A502" s="12" t="s">
        <v>6256</v>
      </c>
      <c r="B502" s="12" t="s">
        <v>12</v>
      </c>
      <c r="C502" s="12"/>
      <c r="D502" s="12" t="s">
        <v>12</v>
      </c>
      <c r="E502" s="12" t="s">
        <v>6249</v>
      </c>
      <c r="F502" s="12" t="s">
        <v>188</v>
      </c>
      <c r="G502" s="12" t="s">
        <v>448</v>
      </c>
      <c r="H502" s="12" t="s">
        <v>36</v>
      </c>
      <c r="I502" s="12" t="s">
        <v>26</v>
      </c>
      <c r="J502" s="13" t="s">
        <v>449</v>
      </c>
      <c r="K502" s="14" t="s">
        <v>6250</v>
      </c>
      <c r="L502" s="15">
        <v>0</v>
      </c>
      <c r="M502" s="15" t="s">
        <v>144</v>
      </c>
      <c r="N502" s="16">
        <v>40056</v>
      </c>
      <c r="O502" s="12" t="s">
        <v>6256</v>
      </c>
      <c r="P502" s="14" t="s">
        <v>6257</v>
      </c>
      <c r="Q502" s="17" t="s">
        <v>137</v>
      </c>
      <c r="R502" s="17" t="s">
        <v>146</v>
      </c>
    </row>
    <row r="503" spans="1:18" x14ac:dyDescent="0.3">
      <c r="A503" s="12" t="s">
        <v>6258</v>
      </c>
      <c r="B503" s="12" t="s">
        <v>12</v>
      </c>
      <c r="C503" s="12"/>
      <c r="D503" s="12" t="s">
        <v>12</v>
      </c>
      <c r="E503" s="12" t="s">
        <v>6259</v>
      </c>
      <c r="F503" s="12" t="s">
        <v>188</v>
      </c>
      <c r="G503" s="12" t="s">
        <v>448</v>
      </c>
      <c r="H503" s="12" t="s">
        <v>36</v>
      </c>
      <c r="I503" s="12" t="s">
        <v>26</v>
      </c>
      <c r="J503" s="13" t="s">
        <v>449</v>
      </c>
      <c r="K503" s="14" t="s">
        <v>6260</v>
      </c>
      <c r="L503" s="15">
        <v>12</v>
      </c>
      <c r="M503" s="15" t="s">
        <v>144</v>
      </c>
      <c r="N503" s="16">
        <v>39419</v>
      </c>
      <c r="O503" s="12" t="s">
        <v>6258</v>
      </c>
      <c r="P503" s="14" t="s">
        <v>6261</v>
      </c>
      <c r="Q503" s="17" t="s">
        <v>137</v>
      </c>
      <c r="R503" s="17" t="s">
        <v>146</v>
      </c>
    </row>
    <row r="504" spans="1:18" x14ac:dyDescent="0.3">
      <c r="A504" s="12" t="s">
        <v>6262</v>
      </c>
      <c r="B504" s="12" t="s">
        <v>12</v>
      </c>
      <c r="C504" s="12"/>
      <c r="D504" s="12" t="s">
        <v>12</v>
      </c>
      <c r="E504" s="12" t="s">
        <v>6263</v>
      </c>
      <c r="F504" s="12"/>
      <c r="G504" s="12" t="s">
        <v>448</v>
      </c>
      <c r="H504" s="12" t="s">
        <v>36</v>
      </c>
      <c r="I504" s="12" t="s">
        <v>26</v>
      </c>
      <c r="J504" s="13" t="s">
        <v>449</v>
      </c>
      <c r="K504" s="14" t="s">
        <v>6264</v>
      </c>
      <c r="L504" s="15">
        <v>1</v>
      </c>
      <c r="M504" s="15" t="s">
        <v>144</v>
      </c>
      <c r="N504" s="16">
        <v>43877</v>
      </c>
      <c r="O504" s="12" t="s">
        <v>6262</v>
      </c>
      <c r="P504" s="14" t="s">
        <v>6265</v>
      </c>
      <c r="Q504" s="17" t="s">
        <v>137</v>
      </c>
      <c r="R504" s="17" t="s">
        <v>146</v>
      </c>
    </row>
    <row r="505" spans="1:18" x14ac:dyDescent="0.3">
      <c r="A505" s="12" t="s">
        <v>6266</v>
      </c>
      <c r="B505" s="12" t="s">
        <v>12</v>
      </c>
      <c r="C505" s="12"/>
      <c r="D505" s="12" t="s">
        <v>12</v>
      </c>
      <c r="E505" s="12" t="s">
        <v>6267</v>
      </c>
      <c r="F505" s="12"/>
      <c r="G505" s="12" t="s">
        <v>448</v>
      </c>
      <c r="H505" s="12" t="s">
        <v>36</v>
      </c>
      <c r="I505" s="12" t="s">
        <v>26</v>
      </c>
      <c r="J505" s="13" t="s">
        <v>449</v>
      </c>
      <c r="K505" s="14" t="s">
        <v>6268</v>
      </c>
      <c r="L505" s="15">
        <v>3</v>
      </c>
      <c r="M505" s="15" t="s">
        <v>144</v>
      </c>
      <c r="N505" s="16">
        <v>40750</v>
      </c>
      <c r="O505" s="12" t="s">
        <v>6266</v>
      </c>
      <c r="P505" s="14" t="s">
        <v>6269</v>
      </c>
      <c r="Q505" s="17" t="s">
        <v>137</v>
      </c>
      <c r="R505" s="17" t="s">
        <v>146</v>
      </c>
    </row>
    <row r="506" spans="1:18" x14ac:dyDescent="0.3">
      <c r="A506" s="12" t="s">
        <v>6270</v>
      </c>
      <c r="B506" s="12" t="s">
        <v>12</v>
      </c>
      <c r="C506" s="12"/>
      <c r="D506" s="12" t="s">
        <v>12</v>
      </c>
      <c r="E506" s="12" t="s">
        <v>6271</v>
      </c>
      <c r="F506" s="12" t="s">
        <v>447</v>
      </c>
      <c r="G506" s="12" t="s">
        <v>448</v>
      </c>
      <c r="H506" s="12" t="s">
        <v>36</v>
      </c>
      <c r="I506" s="12" t="s">
        <v>26</v>
      </c>
      <c r="J506" s="13" t="s">
        <v>449</v>
      </c>
      <c r="K506" s="14" t="s">
        <v>6272</v>
      </c>
      <c r="L506" s="15">
        <v>3</v>
      </c>
      <c r="M506" s="15" t="s">
        <v>144</v>
      </c>
      <c r="N506" s="16">
        <v>44065</v>
      </c>
      <c r="O506" s="12" t="s">
        <v>6270</v>
      </c>
      <c r="P506" s="14" t="s">
        <v>6273</v>
      </c>
      <c r="Q506" s="17" t="s">
        <v>137</v>
      </c>
      <c r="R506" s="17" t="s">
        <v>146</v>
      </c>
    </row>
    <row r="507" spans="1:18" x14ac:dyDescent="0.3">
      <c r="A507" s="12" t="s">
        <v>6274</v>
      </c>
      <c r="B507" s="12" t="s">
        <v>12</v>
      </c>
      <c r="C507" s="12"/>
      <c r="D507" s="12" t="s">
        <v>12</v>
      </c>
      <c r="E507" s="12" t="s">
        <v>6275</v>
      </c>
      <c r="F507" s="12" t="s">
        <v>6276</v>
      </c>
      <c r="G507" s="12" t="s">
        <v>448</v>
      </c>
      <c r="H507" s="12" t="s">
        <v>36</v>
      </c>
      <c r="I507" s="12" t="s">
        <v>26</v>
      </c>
      <c r="J507" s="13" t="s">
        <v>449</v>
      </c>
      <c r="K507" s="14" t="s">
        <v>6277</v>
      </c>
      <c r="L507" s="15">
        <v>5</v>
      </c>
      <c r="M507" s="15" t="s">
        <v>144</v>
      </c>
      <c r="N507" s="16">
        <v>42160</v>
      </c>
      <c r="O507" s="12" t="s">
        <v>6274</v>
      </c>
      <c r="P507" s="14" t="s">
        <v>6278</v>
      </c>
      <c r="Q507" s="17" t="s">
        <v>137</v>
      </c>
      <c r="R507" s="17" t="s">
        <v>146</v>
      </c>
    </row>
    <row r="508" spans="1:18" x14ac:dyDescent="0.3">
      <c r="A508" s="12" t="s">
        <v>6279</v>
      </c>
      <c r="B508" s="12" t="s">
        <v>12</v>
      </c>
      <c r="C508" s="12"/>
      <c r="D508" s="12" t="s">
        <v>12</v>
      </c>
      <c r="E508" s="12" t="s">
        <v>6280</v>
      </c>
      <c r="F508" s="12" t="s">
        <v>3485</v>
      </c>
      <c r="G508" s="12" t="s">
        <v>448</v>
      </c>
      <c r="H508" s="12" t="s">
        <v>36</v>
      </c>
      <c r="I508" s="12" t="s">
        <v>26</v>
      </c>
      <c r="J508" s="13" t="s">
        <v>449</v>
      </c>
      <c r="K508" s="14" t="s">
        <v>6281</v>
      </c>
      <c r="L508" s="15">
        <v>0</v>
      </c>
      <c r="M508" s="15" t="s">
        <v>144</v>
      </c>
      <c r="N508" s="16">
        <v>44065</v>
      </c>
      <c r="O508" s="12" t="s">
        <v>6282</v>
      </c>
      <c r="P508" s="14" t="s">
        <v>6283</v>
      </c>
      <c r="Q508" s="17" t="s">
        <v>137</v>
      </c>
      <c r="R508" s="17" t="s">
        <v>146</v>
      </c>
    </row>
    <row r="509" spans="1:18" x14ac:dyDescent="0.3">
      <c r="A509" s="12" t="s">
        <v>4731</v>
      </c>
      <c r="B509" s="12" t="s">
        <v>10</v>
      </c>
      <c r="C509" s="12"/>
      <c r="D509" s="12" t="s">
        <v>647</v>
      </c>
      <c r="E509" s="12" t="s">
        <v>6284</v>
      </c>
      <c r="F509" s="12"/>
      <c r="G509" s="12" t="s">
        <v>448</v>
      </c>
      <c r="H509" s="12" t="s">
        <v>36</v>
      </c>
      <c r="I509" s="12" t="s">
        <v>26</v>
      </c>
      <c r="J509" s="13" t="s">
        <v>449</v>
      </c>
      <c r="K509" s="14" t="s">
        <v>6285</v>
      </c>
      <c r="L509" s="15">
        <v>0</v>
      </c>
      <c r="M509" s="15" t="s">
        <v>144</v>
      </c>
      <c r="N509" s="16">
        <v>39988</v>
      </c>
      <c r="O509" s="12" t="s">
        <v>4722</v>
      </c>
      <c r="P509" s="14" t="s">
        <v>6286</v>
      </c>
      <c r="Q509" s="17" t="s">
        <v>137</v>
      </c>
      <c r="R509" s="17" t="s">
        <v>146</v>
      </c>
    </row>
    <row r="510" spans="1:18" x14ac:dyDescent="0.3">
      <c r="A510" s="12" t="s">
        <v>6287</v>
      </c>
      <c r="B510" s="12" t="s">
        <v>12</v>
      </c>
      <c r="C510" s="12"/>
      <c r="D510" s="12" t="s">
        <v>12</v>
      </c>
      <c r="E510" s="12" t="s">
        <v>6288</v>
      </c>
      <c r="F510" s="12" t="s">
        <v>1191</v>
      </c>
      <c r="G510" s="12" t="s">
        <v>1316</v>
      </c>
      <c r="H510" s="12" t="s">
        <v>36</v>
      </c>
      <c r="I510" s="12" t="s">
        <v>26</v>
      </c>
      <c r="J510" s="13" t="s">
        <v>1317</v>
      </c>
      <c r="K510" s="14" t="s">
        <v>6289</v>
      </c>
      <c r="L510" s="15">
        <v>3</v>
      </c>
      <c r="M510" s="15" t="s">
        <v>144</v>
      </c>
      <c r="N510" s="16">
        <v>40515</v>
      </c>
      <c r="O510" s="12" t="s">
        <v>6287</v>
      </c>
      <c r="P510" s="14" t="s">
        <v>6290</v>
      </c>
      <c r="Q510" s="17" t="s">
        <v>137</v>
      </c>
      <c r="R510" s="17" t="s">
        <v>146</v>
      </c>
    </row>
    <row r="511" spans="1:18" x14ac:dyDescent="0.3">
      <c r="A511" s="12" t="s">
        <v>6291</v>
      </c>
      <c r="B511" s="12" t="s">
        <v>12</v>
      </c>
      <c r="C511" s="12"/>
      <c r="D511" s="12" t="s">
        <v>12</v>
      </c>
      <c r="E511" s="12" t="s">
        <v>6292</v>
      </c>
      <c r="F511" s="12"/>
      <c r="G511" s="12" t="s">
        <v>1316</v>
      </c>
      <c r="H511" s="12" t="s">
        <v>36</v>
      </c>
      <c r="I511" s="12" t="s">
        <v>26</v>
      </c>
      <c r="J511" s="13" t="s">
        <v>1317</v>
      </c>
      <c r="K511" s="14" t="s">
        <v>6293</v>
      </c>
      <c r="L511" s="15">
        <v>1</v>
      </c>
      <c r="M511" s="15" t="s">
        <v>144</v>
      </c>
      <c r="N511" s="16">
        <v>39490</v>
      </c>
      <c r="O511" s="12" t="s">
        <v>6291</v>
      </c>
      <c r="P511" s="14" t="s">
        <v>6294</v>
      </c>
      <c r="Q511" s="17" t="s">
        <v>137</v>
      </c>
      <c r="R511" s="17" t="s">
        <v>146</v>
      </c>
    </row>
    <row r="512" spans="1:18" x14ac:dyDescent="0.3">
      <c r="A512" s="12" t="s">
        <v>6295</v>
      </c>
      <c r="B512" s="12" t="s">
        <v>12</v>
      </c>
      <c r="C512" s="12"/>
      <c r="D512" s="12" t="s">
        <v>12</v>
      </c>
      <c r="E512" s="12" t="s">
        <v>6296</v>
      </c>
      <c r="F512" s="12" t="s">
        <v>366</v>
      </c>
      <c r="G512" s="12" t="s">
        <v>1316</v>
      </c>
      <c r="H512" s="12" t="s">
        <v>36</v>
      </c>
      <c r="I512" s="12" t="s">
        <v>26</v>
      </c>
      <c r="J512" s="13" t="s">
        <v>1898</v>
      </c>
      <c r="K512" s="14" t="s">
        <v>6297</v>
      </c>
      <c r="L512" s="15">
        <v>4</v>
      </c>
      <c r="M512" s="15" t="s">
        <v>144</v>
      </c>
      <c r="N512" s="16">
        <v>43237</v>
      </c>
      <c r="O512" s="12" t="s">
        <v>6295</v>
      </c>
      <c r="P512" s="14" t="s">
        <v>6298</v>
      </c>
      <c r="Q512" s="17" t="s">
        <v>137</v>
      </c>
      <c r="R512" s="17" t="s">
        <v>146</v>
      </c>
    </row>
    <row r="513" spans="1:18" x14ac:dyDescent="0.3">
      <c r="A513" s="12" t="s">
        <v>6299</v>
      </c>
      <c r="B513" s="12" t="s">
        <v>12</v>
      </c>
      <c r="C513" s="12"/>
      <c r="D513" s="12" t="s">
        <v>12</v>
      </c>
      <c r="E513" s="12" t="s">
        <v>6288</v>
      </c>
      <c r="F513" s="12" t="s">
        <v>1191</v>
      </c>
      <c r="G513" s="12" t="s">
        <v>1316</v>
      </c>
      <c r="H513" s="12" t="s">
        <v>36</v>
      </c>
      <c r="I513" s="12" t="s">
        <v>26</v>
      </c>
      <c r="J513" s="13" t="s">
        <v>1317</v>
      </c>
      <c r="K513" s="14" t="s">
        <v>6289</v>
      </c>
      <c r="L513" s="15">
        <v>3</v>
      </c>
      <c r="M513" s="15" t="s">
        <v>144</v>
      </c>
      <c r="N513" s="16">
        <v>39322</v>
      </c>
      <c r="O513" s="12" t="s">
        <v>6300</v>
      </c>
      <c r="P513" s="14" t="s">
        <v>6301</v>
      </c>
      <c r="Q513" s="17" t="s">
        <v>137</v>
      </c>
      <c r="R513" s="17" t="s">
        <v>146</v>
      </c>
    </row>
    <row r="514" spans="1:18" x14ac:dyDescent="0.3">
      <c r="A514" s="12" t="s">
        <v>6302</v>
      </c>
      <c r="B514" s="12" t="s">
        <v>10</v>
      </c>
      <c r="C514" s="12"/>
      <c r="D514" s="12" t="s">
        <v>157</v>
      </c>
      <c r="E514" s="12" t="s">
        <v>6303</v>
      </c>
      <c r="F514" s="12"/>
      <c r="G514" s="12" t="s">
        <v>1316</v>
      </c>
      <c r="H514" s="12" t="s">
        <v>36</v>
      </c>
      <c r="I514" s="12" t="s">
        <v>26</v>
      </c>
      <c r="J514" s="13" t="s">
        <v>1323</v>
      </c>
      <c r="K514" s="14" t="s">
        <v>6304</v>
      </c>
      <c r="L514" s="15">
        <v>0</v>
      </c>
      <c r="M514" s="15" t="s">
        <v>220</v>
      </c>
      <c r="N514" s="16">
        <v>39563</v>
      </c>
      <c r="O514" s="12" t="s">
        <v>6305</v>
      </c>
      <c r="P514" s="14" t="s">
        <v>6306</v>
      </c>
      <c r="Q514" s="17" t="s">
        <v>137</v>
      </c>
      <c r="R514" s="17" t="s">
        <v>146</v>
      </c>
    </row>
    <row r="515" spans="1:18" x14ac:dyDescent="0.3">
      <c r="A515" s="12" t="s">
        <v>6307</v>
      </c>
      <c r="B515" s="12" t="s">
        <v>12</v>
      </c>
      <c r="C515" s="12"/>
      <c r="D515" s="12" t="s">
        <v>12</v>
      </c>
      <c r="E515" s="12" t="s">
        <v>6308</v>
      </c>
      <c r="F515" s="12" t="s">
        <v>6309</v>
      </c>
      <c r="G515" s="12" t="s">
        <v>1316</v>
      </c>
      <c r="H515" s="12" t="s">
        <v>36</v>
      </c>
      <c r="I515" s="12" t="s">
        <v>26</v>
      </c>
      <c r="J515" s="13" t="s">
        <v>1898</v>
      </c>
      <c r="K515" s="14" t="s">
        <v>6310</v>
      </c>
      <c r="L515" s="15">
        <v>8</v>
      </c>
      <c r="M515" s="15" t="s">
        <v>144</v>
      </c>
      <c r="N515" s="16">
        <v>39493</v>
      </c>
      <c r="O515" s="12" t="s">
        <v>6307</v>
      </c>
      <c r="P515" s="14" t="s">
        <v>6311</v>
      </c>
      <c r="Q515" s="17" t="s">
        <v>137</v>
      </c>
      <c r="R515" s="17" t="s">
        <v>146</v>
      </c>
    </row>
    <row r="516" spans="1:18" x14ac:dyDescent="0.3">
      <c r="A516" s="12" t="s">
        <v>6305</v>
      </c>
      <c r="B516" s="12" t="s">
        <v>10</v>
      </c>
      <c r="C516" s="12"/>
      <c r="D516" s="12" t="s">
        <v>252</v>
      </c>
      <c r="E516" s="12" t="s">
        <v>6303</v>
      </c>
      <c r="F516" s="12"/>
      <c r="G516" s="12" t="s">
        <v>1316</v>
      </c>
      <c r="H516" s="12" t="s">
        <v>36</v>
      </c>
      <c r="I516" s="12" t="s">
        <v>26</v>
      </c>
      <c r="J516" s="13" t="s">
        <v>1323</v>
      </c>
      <c r="K516" s="14" t="s">
        <v>6312</v>
      </c>
      <c r="L516" s="15">
        <v>0</v>
      </c>
      <c r="M516" s="15" t="s">
        <v>220</v>
      </c>
      <c r="N516" s="16">
        <v>39276</v>
      </c>
      <c r="O516" s="12" t="s">
        <v>6305</v>
      </c>
      <c r="P516" s="14" t="s">
        <v>6313</v>
      </c>
      <c r="Q516" s="17" t="s">
        <v>137</v>
      </c>
      <c r="R516" s="17" t="s">
        <v>146</v>
      </c>
    </row>
    <row r="517" spans="1:18" x14ac:dyDescent="0.3">
      <c r="A517" s="12" t="s">
        <v>6314</v>
      </c>
      <c r="B517" s="12" t="s">
        <v>12</v>
      </c>
      <c r="C517" s="12"/>
      <c r="D517" s="12" t="s">
        <v>12</v>
      </c>
      <c r="E517" s="12" t="s">
        <v>6315</v>
      </c>
      <c r="F517" s="12" t="s">
        <v>6316</v>
      </c>
      <c r="G517" s="12" t="s">
        <v>1316</v>
      </c>
      <c r="H517" s="12" t="s">
        <v>36</v>
      </c>
      <c r="I517" s="12" t="s">
        <v>26</v>
      </c>
      <c r="J517" s="13" t="s">
        <v>1323</v>
      </c>
      <c r="K517" s="14" t="s">
        <v>6317</v>
      </c>
      <c r="L517" s="15">
        <v>3</v>
      </c>
      <c r="M517" s="15" t="s">
        <v>144</v>
      </c>
      <c r="N517" s="16">
        <v>39750</v>
      </c>
      <c r="O517" s="12" t="s">
        <v>6314</v>
      </c>
      <c r="P517" s="14" t="s">
        <v>6318</v>
      </c>
      <c r="Q517" s="17" t="s">
        <v>137</v>
      </c>
      <c r="R517" s="17" t="s">
        <v>146</v>
      </c>
    </row>
    <row r="518" spans="1:18" x14ac:dyDescent="0.3">
      <c r="A518" s="12" t="s">
        <v>6319</v>
      </c>
      <c r="B518" s="12" t="s">
        <v>12</v>
      </c>
      <c r="C518" s="12"/>
      <c r="D518" s="12" t="s">
        <v>12</v>
      </c>
      <c r="E518" s="12" t="s">
        <v>6320</v>
      </c>
      <c r="F518" s="12" t="s">
        <v>6321</v>
      </c>
      <c r="G518" s="12" t="s">
        <v>1316</v>
      </c>
      <c r="H518" s="12" t="s">
        <v>36</v>
      </c>
      <c r="I518" s="12" t="s">
        <v>26</v>
      </c>
      <c r="J518" s="13" t="s">
        <v>1323</v>
      </c>
      <c r="K518" s="14" t="s">
        <v>6322</v>
      </c>
      <c r="L518" s="15">
        <v>0</v>
      </c>
      <c r="M518" s="15" t="s">
        <v>144</v>
      </c>
      <c r="N518" s="16">
        <v>41298</v>
      </c>
      <c r="O518" s="12" t="s">
        <v>6319</v>
      </c>
      <c r="P518" s="14" t="s">
        <v>6323</v>
      </c>
      <c r="Q518" s="17" t="s">
        <v>137</v>
      </c>
      <c r="R518" s="17" t="s">
        <v>146</v>
      </c>
    </row>
    <row r="519" spans="1:18" x14ac:dyDescent="0.3">
      <c r="A519" s="12" t="s">
        <v>6324</v>
      </c>
      <c r="B519" s="12" t="s">
        <v>12</v>
      </c>
      <c r="C519" s="12"/>
      <c r="D519" s="12" t="s">
        <v>12</v>
      </c>
      <c r="E519" s="12" t="s">
        <v>6325</v>
      </c>
      <c r="F519" s="12"/>
      <c r="G519" s="12" t="s">
        <v>1316</v>
      </c>
      <c r="H519" s="12" t="s">
        <v>36</v>
      </c>
      <c r="I519" s="12" t="s">
        <v>26</v>
      </c>
      <c r="J519" s="13" t="s">
        <v>1624</v>
      </c>
      <c r="K519" s="14" t="s">
        <v>6326</v>
      </c>
      <c r="L519" s="15">
        <v>0</v>
      </c>
      <c r="M519" s="15" t="s">
        <v>144</v>
      </c>
      <c r="N519" s="16">
        <v>40070</v>
      </c>
      <c r="O519" s="12" t="s">
        <v>6324</v>
      </c>
      <c r="P519" s="14" t="s">
        <v>6327</v>
      </c>
      <c r="Q519" s="17" t="s">
        <v>137</v>
      </c>
      <c r="R519" s="17" t="s">
        <v>146</v>
      </c>
    </row>
    <row r="520" spans="1:18" x14ac:dyDescent="0.3">
      <c r="A520" s="12" t="s">
        <v>6328</v>
      </c>
      <c r="B520" s="12" t="s">
        <v>12</v>
      </c>
      <c r="C520" s="12"/>
      <c r="D520" s="12" t="s">
        <v>12</v>
      </c>
      <c r="E520" s="12" t="s">
        <v>6320</v>
      </c>
      <c r="F520" s="12" t="s">
        <v>6321</v>
      </c>
      <c r="G520" s="12" t="s">
        <v>1316</v>
      </c>
      <c r="H520" s="12" t="s">
        <v>36</v>
      </c>
      <c r="I520" s="12" t="s">
        <v>26</v>
      </c>
      <c r="J520" s="13" t="s">
        <v>1323</v>
      </c>
      <c r="K520" s="14" t="s">
        <v>6329</v>
      </c>
      <c r="L520" s="15">
        <v>0</v>
      </c>
      <c r="M520" s="15" t="s">
        <v>144</v>
      </c>
      <c r="N520" s="16">
        <v>41316</v>
      </c>
      <c r="O520" s="12" t="s">
        <v>6328</v>
      </c>
      <c r="P520" s="14" t="s">
        <v>6330</v>
      </c>
      <c r="Q520" s="17" t="s">
        <v>137</v>
      </c>
      <c r="R520" s="17" t="s">
        <v>146</v>
      </c>
    </row>
    <row r="521" spans="1:18" x14ac:dyDescent="0.3">
      <c r="A521" s="12" t="s">
        <v>6331</v>
      </c>
      <c r="B521" s="12" t="s">
        <v>12</v>
      </c>
      <c r="C521" s="12"/>
      <c r="D521" s="12" t="s">
        <v>12</v>
      </c>
      <c r="E521" s="12" t="s">
        <v>6332</v>
      </c>
      <c r="F521" s="12" t="s">
        <v>366</v>
      </c>
      <c r="G521" s="12" t="s">
        <v>1316</v>
      </c>
      <c r="H521" s="12" t="s">
        <v>36</v>
      </c>
      <c r="I521" s="12" t="s">
        <v>26</v>
      </c>
      <c r="J521" s="13" t="s">
        <v>1898</v>
      </c>
      <c r="K521" s="14" t="s">
        <v>6333</v>
      </c>
      <c r="L521" s="15">
        <v>4</v>
      </c>
      <c r="M521" s="15" t="s">
        <v>144</v>
      </c>
      <c r="N521" s="16">
        <v>40483</v>
      </c>
      <c r="O521" s="12" t="s">
        <v>6331</v>
      </c>
      <c r="P521" s="14" t="s">
        <v>6334</v>
      </c>
      <c r="Q521" s="17" t="s">
        <v>137</v>
      </c>
      <c r="R521" s="17" t="s">
        <v>146</v>
      </c>
    </row>
    <row r="522" spans="1:18" x14ac:dyDescent="0.3">
      <c r="A522" s="12" t="s">
        <v>6335</v>
      </c>
      <c r="B522" s="12" t="s">
        <v>12</v>
      </c>
      <c r="C522" s="12"/>
      <c r="D522" s="12" t="s">
        <v>12</v>
      </c>
      <c r="E522" s="12" t="s">
        <v>6308</v>
      </c>
      <c r="F522" s="12" t="s">
        <v>6309</v>
      </c>
      <c r="G522" s="12" t="s">
        <v>1316</v>
      </c>
      <c r="H522" s="12" t="s">
        <v>36</v>
      </c>
      <c r="I522" s="12" t="s">
        <v>26</v>
      </c>
      <c r="J522" s="13" t="s">
        <v>1898</v>
      </c>
      <c r="K522" s="14" t="s">
        <v>6336</v>
      </c>
      <c r="L522" s="15">
        <v>8</v>
      </c>
      <c r="M522" s="15" t="s">
        <v>144</v>
      </c>
      <c r="N522" s="16">
        <v>42354</v>
      </c>
      <c r="O522" s="12" t="s">
        <v>6335</v>
      </c>
      <c r="P522" s="14" t="s">
        <v>6337</v>
      </c>
      <c r="Q522" s="17" t="s">
        <v>137</v>
      </c>
      <c r="R522" s="17" t="s">
        <v>146</v>
      </c>
    </row>
    <row r="523" spans="1:18" x14ac:dyDescent="0.3">
      <c r="A523" s="12" t="s">
        <v>6338</v>
      </c>
      <c r="B523" s="12" t="s">
        <v>10</v>
      </c>
      <c r="C523" s="12" t="s">
        <v>14</v>
      </c>
      <c r="D523" s="12" t="s">
        <v>6339</v>
      </c>
      <c r="E523" s="12" t="s">
        <v>6340</v>
      </c>
      <c r="F523" s="12"/>
      <c r="G523" s="12" t="s">
        <v>1316</v>
      </c>
      <c r="H523" s="12" t="s">
        <v>36</v>
      </c>
      <c r="I523" s="12" t="s">
        <v>26</v>
      </c>
      <c r="J523" s="13" t="s">
        <v>1323</v>
      </c>
      <c r="K523" s="14" t="s">
        <v>6341</v>
      </c>
      <c r="L523" s="15">
        <v>30</v>
      </c>
      <c r="M523" s="15" t="s">
        <v>144</v>
      </c>
      <c r="N523" s="16">
        <v>40149</v>
      </c>
      <c r="O523" s="12" t="s">
        <v>6338</v>
      </c>
      <c r="P523" s="14" t="s">
        <v>6342</v>
      </c>
      <c r="Q523" s="17" t="s">
        <v>137</v>
      </c>
      <c r="R523" s="17" t="s">
        <v>146</v>
      </c>
    </row>
    <row r="524" spans="1:18" x14ac:dyDescent="0.3">
      <c r="A524" s="12" t="s">
        <v>6343</v>
      </c>
      <c r="B524" s="12" t="s">
        <v>12</v>
      </c>
      <c r="C524" s="12"/>
      <c r="D524" s="12" t="s">
        <v>12</v>
      </c>
      <c r="E524" s="12" t="s">
        <v>6344</v>
      </c>
      <c r="F524" s="12" t="s">
        <v>6345</v>
      </c>
      <c r="G524" s="12" t="s">
        <v>1316</v>
      </c>
      <c r="H524" s="12" t="s">
        <v>36</v>
      </c>
      <c r="I524" s="12" t="s">
        <v>26</v>
      </c>
      <c r="J524" s="13" t="s">
        <v>1323</v>
      </c>
      <c r="K524" s="14" t="s">
        <v>6346</v>
      </c>
      <c r="L524" s="15">
        <v>1</v>
      </c>
      <c r="M524" s="15" t="s">
        <v>144</v>
      </c>
      <c r="N524" s="16">
        <v>41141</v>
      </c>
      <c r="O524" s="12" t="s">
        <v>6343</v>
      </c>
      <c r="P524" s="14" t="s">
        <v>6347</v>
      </c>
      <c r="Q524" s="17" t="s">
        <v>137</v>
      </c>
      <c r="R524" s="17" t="s">
        <v>146</v>
      </c>
    </row>
    <row r="525" spans="1:18" x14ac:dyDescent="0.3">
      <c r="A525" s="12" t="s">
        <v>6348</v>
      </c>
      <c r="B525" s="12" t="s">
        <v>12</v>
      </c>
      <c r="C525" s="12"/>
      <c r="D525" s="12" t="s">
        <v>12</v>
      </c>
      <c r="E525" s="12" t="s">
        <v>6349</v>
      </c>
      <c r="F525" s="12" t="s">
        <v>6350</v>
      </c>
      <c r="G525" s="12" t="s">
        <v>1316</v>
      </c>
      <c r="H525" s="12" t="s">
        <v>36</v>
      </c>
      <c r="I525" s="12" t="s">
        <v>26</v>
      </c>
      <c r="J525" s="13" t="s">
        <v>1323</v>
      </c>
      <c r="K525" s="14" t="s">
        <v>6351</v>
      </c>
      <c r="L525" s="15">
        <v>2</v>
      </c>
      <c r="M525" s="15" t="s">
        <v>144</v>
      </c>
      <c r="N525" s="16">
        <v>39624</v>
      </c>
      <c r="O525" s="12" t="s">
        <v>6348</v>
      </c>
      <c r="P525" s="14" t="s">
        <v>6352</v>
      </c>
      <c r="Q525" s="17" t="s">
        <v>137</v>
      </c>
      <c r="R525" s="17" t="s">
        <v>146</v>
      </c>
    </row>
    <row r="526" spans="1:18" x14ac:dyDescent="0.3">
      <c r="A526" s="12" t="s">
        <v>6353</v>
      </c>
      <c r="B526" s="12" t="s">
        <v>12</v>
      </c>
      <c r="C526" s="12"/>
      <c r="D526" s="12" t="s">
        <v>12</v>
      </c>
      <c r="E526" s="12" t="s">
        <v>6354</v>
      </c>
      <c r="F526" s="12" t="s">
        <v>6355</v>
      </c>
      <c r="G526" s="12" t="s">
        <v>1316</v>
      </c>
      <c r="H526" s="12" t="s">
        <v>36</v>
      </c>
      <c r="I526" s="12" t="s">
        <v>26</v>
      </c>
      <c r="J526" s="13" t="s">
        <v>1323</v>
      </c>
      <c r="K526" s="14" t="s">
        <v>6356</v>
      </c>
      <c r="L526" s="15">
        <v>5</v>
      </c>
      <c r="M526" s="15" t="s">
        <v>144</v>
      </c>
      <c r="N526" s="16">
        <v>44158</v>
      </c>
      <c r="O526" s="12" t="s">
        <v>6357</v>
      </c>
      <c r="P526" s="14" t="s">
        <v>6358</v>
      </c>
      <c r="Q526" s="17" t="s">
        <v>137</v>
      </c>
      <c r="R526" s="17" t="s">
        <v>146</v>
      </c>
    </row>
    <row r="527" spans="1:18" x14ac:dyDescent="0.3">
      <c r="A527" s="12" t="s">
        <v>6359</v>
      </c>
      <c r="B527" s="12" t="s">
        <v>14</v>
      </c>
      <c r="C527" s="12"/>
      <c r="D527" s="12" t="s">
        <v>14</v>
      </c>
      <c r="E527" s="12" t="s">
        <v>6360</v>
      </c>
      <c r="F527" s="12"/>
      <c r="G527" s="12" t="s">
        <v>1316</v>
      </c>
      <c r="H527" s="12" t="s">
        <v>36</v>
      </c>
      <c r="I527" s="12" t="s">
        <v>26</v>
      </c>
      <c r="J527" s="13" t="s">
        <v>1317</v>
      </c>
      <c r="K527" s="14" t="s">
        <v>6361</v>
      </c>
      <c r="L527" s="15">
        <v>5</v>
      </c>
      <c r="M527" s="15" t="s">
        <v>144</v>
      </c>
      <c r="N527" s="16">
        <v>41974</v>
      </c>
      <c r="O527" s="12" t="s">
        <v>6359</v>
      </c>
      <c r="P527" s="14" t="s">
        <v>6362</v>
      </c>
      <c r="Q527" s="17" t="s">
        <v>137</v>
      </c>
      <c r="R527" s="17" t="s">
        <v>146</v>
      </c>
    </row>
    <row r="528" spans="1:18" x14ac:dyDescent="0.3">
      <c r="A528" s="12" t="s">
        <v>6363</v>
      </c>
      <c r="B528" s="12" t="s">
        <v>12</v>
      </c>
      <c r="C528" s="12"/>
      <c r="D528" s="12" t="s">
        <v>12</v>
      </c>
      <c r="E528" s="12" t="s">
        <v>6364</v>
      </c>
      <c r="F528" s="12"/>
      <c r="G528" s="12" t="s">
        <v>1316</v>
      </c>
      <c r="H528" s="12" t="s">
        <v>36</v>
      </c>
      <c r="I528" s="12" t="s">
        <v>26</v>
      </c>
      <c r="J528" s="13" t="s">
        <v>1323</v>
      </c>
      <c r="K528" s="14" t="s">
        <v>6365</v>
      </c>
      <c r="L528" s="15">
        <v>0</v>
      </c>
      <c r="M528" s="15" t="s">
        <v>144</v>
      </c>
      <c r="N528" s="16">
        <v>41304</v>
      </c>
      <c r="O528" s="12" t="s">
        <v>6363</v>
      </c>
      <c r="P528" s="14" t="s">
        <v>6366</v>
      </c>
      <c r="Q528" s="17" t="s">
        <v>137</v>
      </c>
      <c r="R528" s="17" t="s">
        <v>146</v>
      </c>
    </row>
    <row r="529" spans="1:18" x14ac:dyDescent="0.3">
      <c r="A529" s="12" t="s">
        <v>6367</v>
      </c>
      <c r="B529" s="12" t="s">
        <v>14</v>
      </c>
      <c r="C529" s="12"/>
      <c r="D529" s="12" t="s">
        <v>14</v>
      </c>
      <c r="E529" s="12" t="s">
        <v>6368</v>
      </c>
      <c r="F529" s="12" t="s">
        <v>1708</v>
      </c>
      <c r="G529" s="12" t="s">
        <v>1316</v>
      </c>
      <c r="H529" s="12" t="s">
        <v>36</v>
      </c>
      <c r="I529" s="12" t="s">
        <v>26</v>
      </c>
      <c r="J529" s="13" t="s">
        <v>1323</v>
      </c>
      <c r="K529" s="14" t="s">
        <v>6369</v>
      </c>
      <c r="L529" s="15">
        <v>2</v>
      </c>
      <c r="M529" s="15" t="s">
        <v>144</v>
      </c>
      <c r="N529" s="16">
        <v>44065</v>
      </c>
      <c r="O529" s="12" t="s">
        <v>6367</v>
      </c>
      <c r="P529" s="14" t="s">
        <v>6370</v>
      </c>
      <c r="Q529" s="17" t="s">
        <v>137</v>
      </c>
      <c r="R529" s="17" t="s">
        <v>146</v>
      </c>
    </row>
    <row r="530" spans="1:18" x14ac:dyDescent="0.3">
      <c r="A530" s="12" t="s">
        <v>6371</v>
      </c>
      <c r="B530" s="12" t="s">
        <v>12</v>
      </c>
      <c r="C530" s="12"/>
      <c r="D530" s="12" t="s">
        <v>12</v>
      </c>
      <c r="E530" s="12" t="s">
        <v>6315</v>
      </c>
      <c r="F530" s="12" t="s">
        <v>1025</v>
      </c>
      <c r="G530" s="12" t="s">
        <v>1316</v>
      </c>
      <c r="H530" s="12" t="s">
        <v>36</v>
      </c>
      <c r="I530" s="12" t="s">
        <v>26</v>
      </c>
      <c r="J530" s="13" t="s">
        <v>1323</v>
      </c>
      <c r="K530" s="14" t="s">
        <v>6372</v>
      </c>
      <c r="L530" s="15">
        <v>3</v>
      </c>
      <c r="M530" s="15" t="s">
        <v>144</v>
      </c>
      <c r="N530" s="16">
        <v>42172</v>
      </c>
      <c r="O530" s="12" t="s">
        <v>6371</v>
      </c>
      <c r="P530" s="14" t="s">
        <v>6373</v>
      </c>
      <c r="Q530" s="17" t="s">
        <v>137</v>
      </c>
      <c r="R530" s="17" t="s">
        <v>146</v>
      </c>
    </row>
    <row r="531" spans="1:18" x14ac:dyDescent="0.3">
      <c r="A531" s="12" t="s">
        <v>6374</v>
      </c>
      <c r="B531" s="12" t="s">
        <v>16</v>
      </c>
      <c r="C531" s="12"/>
      <c r="D531" s="12" t="s">
        <v>2142</v>
      </c>
      <c r="E531" s="12" t="s">
        <v>6375</v>
      </c>
      <c r="F531" s="12" t="s">
        <v>188</v>
      </c>
      <c r="G531" s="12" t="s">
        <v>1316</v>
      </c>
      <c r="H531" s="12" t="s">
        <v>36</v>
      </c>
      <c r="I531" s="12" t="s">
        <v>26</v>
      </c>
      <c r="J531" s="13" t="s">
        <v>1323</v>
      </c>
      <c r="K531" s="14" t="s">
        <v>6376</v>
      </c>
      <c r="L531" s="15">
        <v>0</v>
      </c>
      <c r="M531" s="15" t="s">
        <v>144</v>
      </c>
      <c r="N531" s="16">
        <v>39660</v>
      </c>
      <c r="O531" s="12" t="s">
        <v>6377</v>
      </c>
      <c r="P531" s="14" t="s">
        <v>6378</v>
      </c>
      <c r="Q531" s="17" t="s">
        <v>137</v>
      </c>
      <c r="R531" s="17" t="s">
        <v>146</v>
      </c>
    </row>
    <row r="532" spans="1:18" x14ac:dyDescent="0.3">
      <c r="A532" s="12" t="s">
        <v>6379</v>
      </c>
      <c r="B532" s="12" t="s">
        <v>16</v>
      </c>
      <c r="C532" s="12"/>
      <c r="D532" s="12" t="s">
        <v>993</v>
      </c>
      <c r="E532" s="12" t="s">
        <v>6380</v>
      </c>
      <c r="F532" s="12"/>
      <c r="G532" s="12" t="s">
        <v>1316</v>
      </c>
      <c r="H532" s="12" t="s">
        <v>36</v>
      </c>
      <c r="I532" s="12" t="s">
        <v>26</v>
      </c>
      <c r="J532" s="13" t="s">
        <v>1898</v>
      </c>
      <c r="K532" s="14" t="s">
        <v>6381</v>
      </c>
      <c r="L532" s="15">
        <v>0</v>
      </c>
      <c r="M532" s="15" t="s">
        <v>144</v>
      </c>
      <c r="N532" s="16">
        <v>41453</v>
      </c>
      <c r="O532" s="12" t="s">
        <v>6379</v>
      </c>
      <c r="P532" s="14" t="s">
        <v>6382</v>
      </c>
      <c r="Q532" s="17" t="s">
        <v>137</v>
      </c>
      <c r="R532" s="17" t="s">
        <v>146</v>
      </c>
    </row>
    <row r="533" spans="1:18" x14ac:dyDescent="0.3">
      <c r="A533" s="12" t="s">
        <v>6383</v>
      </c>
      <c r="B533" s="12" t="s">
        <v>10</v>
      </c>
      <c r="C533" s="12"/>
      <c r="D533" s="12" t="s">
        <v>230</v>
      </c>
      <c r="E533" s="12" t="s">
        <v>6384</v>
      </c>
      <c r="F533" s="12"/>
      <c r="G533" s="12" t="s">
        <v>1316</v>
      </c>
      <c r="H533" s="12" t="s">
        <v>36</v>
      </c>
      <c r="I533" s="12" t="s">
        <v>26</v>
      </c>
      <c r="J533" s="13" t="s">
        <v>1624</v>
      </c>
      <c r="K533" s="14" t="s">
        <v>6385</v>
      </c>
      <c r="L533" s="15">
        <v>1</v>
      </c>
      <c r="M533" s="15" t="s">
        <v>220</v>
      </c>
      <c r="N533" s="16">
        <v>44065</v>
      </c>
      <c r="O533" s="12" t="s">
        <v>6383</v>
      </c>
      <c r="P533" s="14" t="s">
        <v>6386</v>
      </c>
      <c r="Q533" s="17" t="s">
        <v>137</v>
      </c>
      <c r="R533" s="17" t="s">
        <v>146</v>
      </c>
    </row>
    <row r="534" spans="1:18" x14ac:dyDescent="0.3">
      <c r="A534" s="12" t="s">
        <v>6387</v>
      </c>
      <c r="B534" s="12" t="s">
        <v>10</v>
      </c>
      <c r="C534" s="12"/>
      <c r="D534" s="12" t="s">
        <v>230</v>
      </c>
      <c r="E534" s="12" t="s">
        <v>6340</v>
      </c>
      <c r="F534" s="12"/>
      <c r="G534" s="12" t="s">
        <v>1316</v>
      </c>
      <c r="H534" s="12" t="s">
        <v>36</v>
      </c>
      <c r="I534" s="12" t="s">
        <v>26</v>
      </c>
      <c r="J534" s="13" t="s">
        <v>1323</v>
      </c>
      <c r="K534" s="14" t="s">
        <v>6341</v>
      </c>
      <c r="L534" s="15">
        <v>0</v>
      </c>
      <c r="M534" s="15" t="s">
        <v>220</v>
      </c>
      <c r="N534" s="16">
        <v>44433</v>
      </c>
      <c r="O534" s="12" t="s">
        <v>6387</v>
      </c>
      <c r="P534" s="14" t="s">
        <v>6388</v>
      </c>
      <c r="Q534" s="17" t="s">
        <v>137</v>
      </c>
      <c r="R534" s="17" t="s">
        <v>146</v>
      </c>
    </row>
    <row r="535" spans="1:18" x14ac:dyDescent="0.3">
      <c r="A535" s="12" t="s">
        <v>6389</v>
      </c>
      <c r="B535" s="12" t="s">
        <v>12</v>
      </c>
      <c r="C535" s="12"/>
      <c r="D535" s="12" t="s">
        <v>12</v>
      </c>
      <c r="E535" s="12" t="s">
        <v>6349</v>
      </c>
      <c r="F535" s="12" t="s">
        <v>366</v>
      </c>
      <c r="G535" s="12" t="s">
        <v>1316</v>
      </c>
      <c r="H535" s="12" t="s">
        <v>36</v>
      </c>
      <c r="I535" s="12" t="s">
        <v>26</v>
      </c>
      <c r="J535" s="13" t="s">
        <v>1323</v>
      </c>
      <c r="K535" s="14" t="s">
        <v>6390</v>
      </c>
      <c r="L535" s="15">
        <v>2</v>
      </c>
      <c r="M535" s="15" t="s">
        <v>144</v>
      </c>
      <c r="N535" s="16">
        <v>39644</v>
      </c>
      <c r="O535" s="12" t="s">
        <v>6391</v>
      </c>
      <c r="P535" s="14" t="s">
        <v>6392</v>
      </c>
      <c r="Q535" s="17" t="s">
        <v>137</v>
      </c>
      <c r="R535" s="17" t="s">
        <v>146</v>
      </c>
    </row>
    <row r="536" spans="1:18" x14ac:dyDescent="0.3">
      <c r="A536" s="12" t="s">
        <v>6393</v>
      </c>
      <c r="B536" s="12" t="s">
        <v>12</v>
      </c>
      <c r="C536" s="12"/>
      <c r="D536" s="12" t="s">
        <v>12</v>
      </c>
      <c r="E536" s="12" t="s">
        <v>6394</v>
      </c>
      <c r="F536" s="12"/>
      <c r="G536" s="12" t="s">
        <v>1335</v>
      </c>
      <c r="H536" s="12" t="s">
        <v>36</v>
      </c>
      <c r="I536" s="12" t="s">
        <v>26</v>
      </c>
      <c r="J536" s="13" t="s">
        <v>1336</v>
      </c>
      <c r="K536" s="14" t="s">
        <v>6395</v>
      </c>
      <c r="L536" s="15">
        <v>0</v>
      </c>
      <c r="M536" s="15" t="s">
        <v>144</v>
      </c>
      <c r="N536" s="16">
        <v>44065</v>
      </c>
      <c r="O536" s="12" t="s">
        <v>6393</v>
      </c>
      <c r="P536" s="14" t="s">
        <v>6396</v>
      </c>
      <c r="Q536" s="17" t="s">
        <v>137</v>
      </c>
      <c r="R536" s="17" t="s">
        <v>146</v>
      </c>
    </row>
    <row r="537" spans="1:18" x14ac:dyDescent="0.3">
      <c r="A537" s="12" t="s">
        <v>6397</v>
      </c>
      <c r="B537" s="12" t="s">
        <v>12</v>
      </c>
      <c r="C537" s="12"/>
      <c r="D537" s="12" t="s">
        <v>12</v>
      </c>
      <c r="E537" s="12" t="s">
        <v>6398</v>
      </c>
      <c r="F537" s="12"/>
      <c r="G537" s="12" t="s">
        <v>1341</v>
      </c>
      <c r="H537" s="12" t="s">
        <v>36</v>
      </c>
      <c r="I537" s="12" t="s">
        <v>26</v>
      </c>
      <c r="J537" s="13" t="s">
        <v>1342</v>
      </c>
      <c r="K537" s="14" t="s">
        <v>6399</v>
      </c>
      <c r="L537" s="15">
        <v>0</v>
      </c>
      <c r="M537" s="15" t="s">
        <v>144</v>
      </c>
      <c r="N537" s="16">
        <v>44065</v>
      </c>
      <c r="O537" s="12" t="s">
        <v>6400</v>
      </c>
      <c r="P537" s="14" t="s">
        <v>6401</v>
      </c>
      <c r="Q537" s="17" t="s">
        <v>137</v>
      </c>
      <c r="R537" s="17" t="s">
        <v>146</v>
      </c>
    </row>
    <row r="538" spans="1:18" x14ac:dyDescent="0.3">
      <c r="A538" s="12" t="s">
        <v>6397</v>
      </c>
      <c r="B538" s="12" t="s">
        <v>12</v>
      </c>
      <c r="C538" s="12"/>
      <c r="D538" s="12" t="s">
        <v>12</v>
      </c>
      <c r="E538" s="12" t="s">
        <v>6402</v>
      </c>
      <c r="F538" s="12"/>
      <c r="G538" s="12" t="s">
        <v>1341</v>
      </c>
      <c r="H538" s="12" t="s">
        <v>36</v>
      </c>
      <c r="I538" s="12" t="s">
        <v>26</v>
      </c>
      <c r="J538" s="13" t="s">
        <v>1662</v>
      </c>
      <c r="K538" s="14" t="s">
        <v>6399</v>
      </c>
      <c r="L538" s="15">
        <v>2</v>
      </c>
      <c r="M538" s="15" t="s">
        <v>144</v>
      </c>
      <c r="N538" s="16">
        <v>40498</v>
      </c>
      <c r="O538" s="12" t="s">
        <v>6403</v>
      </c>
      <c r="P538" s="14" t="s">
        <v>6404</v>
      </c>
      <c r="Q538" s="17" t="s">
        <v>137</v>
      </c>
      <c r="R538" s="17" t="s">
        <v>146</v>
      </c>
    </row>
    <row r="539" spans="1:18" x14ac:dyDescent="0.3">
      <c r="A539" s="12" t="s">
        <v>6405</v>
      </c>
      <c r="B539" s="12" t="s">
        <v>12</v>
      </c>
      <c r="C539" s="12"/>
      <c r="D539" s="12" t="s">
        <v>12</v>
      </c>
      <c r="E539" s="12" t="s">
        <v>6406</v>
      </c>
      <c r="F539" s="12"/>
      <c r="G539" s="12" t="s">
        <v>1341</v>
      </c>
      <c r="H539" s="12" t="s">
        <v>36</v>
      </c>
      <c r="I539" s="12" t="s">
        <v>26</v>
      </c>
      <c r="J539" s="13" t="s">
        <v>1342</v>
      </c>
      <c r="K539" s="14" t="s">
        <v>6407</v>
      </c>
      <c r="L539" s="15">
        <v>4</v>
      </c>
      <c r="M539" s="15" t="s">
        <v>144</v>
      </c>
      <c r="N539" s="16">
        <v>41865</v>
      </c>
      <c r="O539" s="12" t="s">
        <v>6405</v>
      </c>
      <c r="P539" s="14" t="s">
        <v>6408</v>
      </c>
      <c r="Q539" s="17" t="s">
        <v>137</v>
      </c>
      <c r="R539" s="17" t="s">
        <v>146</v>
      </c>
    </row>
    <row r="540" spans="1:18" x14ac:dyDescent="0.3">
      <c r="A540" s="12" t="s">
        <v>6409</v>
      </c>
      <c r="B540" s="12" t="s">
        <v>12</v>
      </c>
      <c r="C540" s="12"/>
      <c r="D540" s="12" t="s">
        <v>12</v>
      </c>
      <c r="E540" s="12" t="s">
        <v>6410</v>
      </c>
      <c r="F540" s="12"/>
      <c r="G540" s="12" t="s">
        <v>1341</v>
      </c>
      <c r="H540" s="12" t="s">
        <v>36</v>
      </c>
      <c r="I540" s="12" t="s">
        <v>26</v>
      </c>
      <c r="J540" s="13" t="s">
        <v>1342</v>
      </c>
      <c r="K540" s="14" t="s">
        <v>6411</v>
      </c>
      <c r="L540" s="15">
        <v>3</v>
      </c>
      <c r="M540" s="15" t="s">
        <v>144</v>
      </c>
      <c r="N540" s="16">
        <v>39539</v>
      </c>
      <c r="O540" s="12" t="s">
        <v>6412</v>
      </c>
      <c r="P540" s="14" t="s">
        <v>6413</v>
      </c>
      <c r="Q540" s="17" t="s">
        <v>137</v>
      </c>
      <c r="R540" s="17" t="s">
        <v>146</v>
      </c>
    </row>
    <row r="541" spans="1:18" x14ac:dyDescent="0.3">
      <c r="A541" s="12" t="s">
        <v>6414</v>
      </c>
      <c r="B541" s="12" t="s">
        <v>12</v>
      </c>
      <c r="C541" s="12"/>
      <c r="D541" s="12" t="s">
        <v>12</v>
      </c>
      <c r="E541" s="12" t="s">
        <v>6410</v>
      </c>
      <c r="F541" s="12"/>
      <c r="G541" s="12" t="s">
        <v>1341</v>
      </c>
      <c r="H541" s="12" t="s">
        <v>36</v>
      </c>
      <c r="I541" s="12" t="s">
        <v>26</v>
      </c>
      <c r="J541" s="13" t="s">
        <v>1342</v>
      </c>
      <c r="K541" s="14" t="s">
        <v>6411</v>
      </c>
      <c r="L541" s="15">
        <v>3</v>
      </c>
      <c r="M541" s="15" t="s">
        <v>144</v>
      </c>
      <c r="N541" s="16">
        <v>41591</v>
      </c>
      <c r="O541" s="12" t="s">
        <v>6415</v>
      </c>
      <c r="P541" s="14" t="s">
        <v>6416</v>
      </c>
      <c r="Q541" s="17" t="s">
        <v>137</v>
      </c>
      <c r="R541" s="17" t="s">
        <v>146</v>
      </c>
    </row>
    <row r="542" spans="1:18" x14ac:dyDescent="0.3">
      <c r="A542" s="12" t="s">
        <v>6417</v>
      </c>
      <c r="B542" s="12" t="s">
        <v>12</v>
      </c>
      <c r="C542" s="12" t="s">
        <v>14</v>
      </c>
      <c r="D542" s="12" t="s">
        <v>180</v>
      </c>
      <c r="E542" s="12" t="s">
        <v>1340</v>
      </c>
      <c r="F542" s="12"/>
      <c r="G542" s="12" t="s">
        <v>1341</v>
      </c>
      <c r="H542" s="12" t="s">
        <v>36</v>
      </c>
      <c r="I542" s="12" t="s">
        <v>26</v>
      </c>
      <c r="J542" s="13" t="s">
        <v>1342</v>
      </c>
      <c r="K542" s="14" t="s">
        <v>6418</v>
      </c>
      <c r="L542" s="15">
        <v>18</v>
      </c>
      <c r="M542" s="15" t="s">
        <v>144</v>
      </c>
      <c r="N542" s="16">
        <v>44523</v>
      </c>
      <c r="O542" s="12" t="s">
        <v>6419</v>
      </c>
      <c r="P542" s="14" t="s">
        <v>6420</v>
      </c>
      <c r="Q542" s="17" t="s">
        <v>137</v>
      </c>
      <c r="R542" s="17" t="s">
        <v>146</v>
      </c>
    </row>
    <row r="543" spans="1:18" x14ac:dyDescent="0.3">
      <c r="A543" s="12" t="s">
        <v>6421</v>
      </c>
      <c r="B543" s="12" t="s">
        <v>12</v>
      </c>
      <c r="C543" s="12"/>
      <c r="D543" s="12" t="s">
        <v>12</v>
      </c>
      <c r="E543" s="12" t="s">
        <v>6406</v>
      </c>
      <c r="F543" s="12"/>
      <c r="G543" s="12" t="s">
        <v>1341</v>
      </c>
      <c r="H543" s="12" t="s">
        <v>36</v>
      </c>
      <c r="I543" s="12" t="s">
        <v>26</v>
      </c>
      <c r="J543" s="13" t="s">
        <v>1342</v>
      </c>
      <c r="K543" s="14" t="s">
        <v>6422</v>
      </c>
      <c r="L543" s="15">
        <v>4</v>
      </c>
      <c r="M543" s="15" t="s">
        <v>144</v>
      </c>
      <c r="N543" s="16">
        <v>42530</v>
      </c>
      <c r="O543" s="12" t="s">
        <v>6421</v>
      </c>
      <c r="P543" s="14" t="s">
        <v>6423</v>
      </c>
      <c r="Q543" s="17" t="s">
        <v>137</v>
      </c>
      <c r="R543" s="17" t="s">
        <v>146</v>
      </c>
    </row>
    <row r="544" spans="1:18" x14ac:dyDescent="0.3">
      <c r="A544" s="12" t="s">
        <v>6424</v>
      </c>
      <c r="B544" s="12" t="s">
        <v>14</v>
      </c>
      <c r="C544" s="12" t="s">
        <v>12</v>
      </c>
      <c r="D544" s="12" t="s">
        <v>180</v>
      </c>
      <c r="E544" s="12" t="s">
        <v>6425</v>
      </c>
      <c r="F544" s="12"/>
      <c r="G544" s="12" t="s">
        <v>1341</v>
      </c>
      <c r="H544" s="12" t="s">
        <v>36</v>
      </c>
      <c r="I544" s="12" t="s">
        <v>26</v>
      </c>
      <c r="J544" s="13" t="s">
        <v>1342</v>
      </c>
      <c r="K544" s="14" t="s">
        <v>6426</v>
      </c>
      <c r="L544" s="15">
        <v>2</v>
      </c>
      <c r="M544" s="15" t="s">
        <v>144</v>
      </c>
      <c r="N544" s="16">
        <v>39696</v>
      </c>
      <c r="O544" s="12" t="s">
        <v>6424</v>
      </c>
      <c r="P544" s="14" t="s">
        <v>6427</v>
      </c>
      <c r="Q544" s="17" t="s">
        <v>137</v>
      </c>
      <c r="R544" s="17" t="s">
        <v>146</v>
      </c>
    </row>
    <row r="545" spans="1:18" x14ac:dyDescent="0.3">
      <c r="A545" s="12" t="s">
        <v>6428</v>
      </c>
      <c r="B545" s="12" t="s">
        <v>12</v>
      </c>
      <c r="C545" s="12"/>
      <c r="D545" s="12" t="s">
        <v>12</v>
      </c>
      <c r="E545" s="12" t="s">
        <v>6410</v>
      </c>
      <c r="F545" s="12"/>
      <c r="G545" s="12" t="s">
        <v>1341</v>
      </c>
      <c r="H545" s="12" t="s">
        <v>36</v>
      </c>
      <c r="I545" s="12" t="s">
        <v>26</v>
      </c>
      <c r="J545" s="13" t="s">
        <v>1342</v>
      </c>
      <c r="K545" s="14" t="s">
        <v>6411</v>
      </c>
      <c r="L545" s="15">
        <v>3</v>
      </c>
      <c r="M545" s="15" t="s">
        <v>144</v>
      </c>
      <c r="N545" s="16">
        <v>40098</v>
      </c>
      <c r="O545" s="12" t="s">
        <v>6428</v>
      </c>
      <c r="P545" s="14" t="s">
        <v>6429</v>
      </c>
      <c r="Q545" s="17" t="s">
        <v>137</v>
      </c>
      <c r="R545" s="17" t="s">
        <v>146</v>
      </c>
    </row>
    <row r="546" spans="1:18" x14ac:dyDescent="0.3">
      <c r="A546" s="12" t="s">
        <v>6430</v>
      </c>
      <c r="B546" s="12" t="s">
        <v>12</v>
      </c>
      <c r="C546" s="12"/>
      <c r="D546" s="12" t="s">
        <v>12</v>
      </c>
      <c r="E546" s="12" t="s">
        <v>6406</v>
      </c>
      <c r="F546" s="12"/>
      <c r="G546" s="12" t="s">
        <v>1341</v>
      </c>
      <c r="H546" s="12" t="s">
        <v>36</v>
      </c>
      <c r="I546" s="12" t="s">
        <v>26</v>
      </c>
      <c r="J546" s="13" t="s">
        <v>1342</v>
      </c>
      <c r="K546" s="14" t="s">
        <v>6431</v>
      </c>
      <c r="L546" s="15">
        <v>4</v>
      </c>
      <c r="M546" s="15" t="s">
        <v>144</v>
      </c>
      <c r="N546" s="16">
        <v>42801</v>
      </c>
      <c r="O546" s="12" t="s">
        <v>6430</v>
      </c>
      <c r="P546" s="14" t="s">
        <v>6432</v>
      </c>
      <c r="Q546" s="17" t="s">
        <v>137</v>
      </c>
      <c r="R546" s="17" t="s">
        <v>146</v>
      </c>
    </row>
    <row r="547" spans="1:18" x14ac:dyDescent="0.3">
      <c r="A547" s="12" t="s">
        <v>6433</v>
      </c>
      <c r="B547" s="12" t="s">
        <v>12</v>
      </c>
      <c r="C547" s="12"/>
      <c r="D547" s="12" t="s">
        <v>12</v>
      </c>
      <c r="E547" s="12" t="s">
        <v>6406</v>
      </c>
      <c r="F547" s="12"/>
      <c r="G547" s="12" t="s">
        <v>1341</v>
      </c>
      <c r="H547" s="12" t="s">
        <v>36</v>
      </c>
      <c r="I547" s="12" t="s">
        <v>26</v>
      </c>
      <c r="J547" s="13" t="s">
        <v>1342</v>
      </c>
      <c r="K547" s="14" t="s">
        <v>6431</v>
      </c>
      <c r="L547" s="15">
        <v>4</v>
      </c>
      <c r="M547" s="15" t="s">
        <v>144</v>
      </c>
      <c r="N547" s="16">
        <v>41968</v>
      </c>
      <c r="O547" s="12" t="s">
        <v>6433</v>
      </c>
      <c r="P547" s="14" t="s">
        <v>6434</v>
      </c>
      <c r="Q547" s="17" t="s">
        <v>137</v>
      </c>
      <c r="R547" s="17" t="s">
        <v>146</v>
      </c>
    </row>
    <row r="548" spans="1:18" x14ac:dyDescent="0.3">
      <c r="A548" s="12" t="s">
        <v>6435</v>
      </c>
      <c r="B548" s="12" t="s">
        <v>12</v>
      </c>
      <c r="C548" s="12"/>
      <c r="D548" s="12" t="s">
        <v>12</v>
      </c>
      <c r="E548" s="12" t="s">
        <v>6410</v>
      </c>
      <c r="F548" s="12"/>
      <c r="G548" s="12" t="s">
        <v>1341</v>
      </c>
      <c r="H548" s="12" t="s">
        <v>36</v>
      </c>
      <c r="I548" s="12" t="s">
        <v>26</v>
      </c>
      <c r="J548" s="13" t="s">
        <v>1342</v>
      </c>
      <c r="K548" s="14" t="s">
        <v>6411</v>
      </c>
      <c r="L548" s="15">
        <v>3</v>
      </c>
      <c r="M548" s="15" t="s">
        <v>144</v>
      </c>
      <c r="N548" s="16">
        <v>39364</v>
      </c>
      <c r="O548" s="12" t="s">
        <v>6409</v>
      </c>
      <c r="P548" s="14" t="s">
        <v>6436</v>
      </c>
      <c r="Q548" s="17" t="s">
        <v>137</v>
      </c>
      <c r="R548" s="17" t="s">
        <v>146</v>
      </c>
    </row>
    <row r="549" spans="1:18" x14ac:dyDescent="0.3">
      <c r="A549" s="12" t="s">
        <v>6437</v>
      </c>
      <c r="B549" s="12" t="s">
        <v>12</v>
      </c>
      <c r="C549" s="12"/>
      <c r="D549" s="12" t="s">
        <v>12</v>
      </c>
      <c r="E549" s="12" t="s">
        <v>6438</v>
      </c>
      <c r="F549" s="12"/>
      <c r="G549" s="12" t="s">
        <v>1355</v>
      </c>
      <c r="H549" s="12" t="s">
        <v>36</v>
      </c>
      <c r="I549" s="12" t="s">
        <v>26</v>
      </c>
      <c r="J549" s="13" t="s">
        <v>1356</v>
      </c>
      <c r="K549" s="14" t="s">
        <v>6439</v>
      </c>
      <c r="L549" s="15">
        <v>2</v>
      </c>
      <c r="M549" s="15" t="s">
        <v>144</v>
      </c>
      <c r="N549" s="16">
        <v>41746</v>
      </c>
      <c r="O549" s="12" t="s">
        <v>6437</v>
      </c>
      <c r="P549" s="14" t="s">
        <v>6440</v>
      </c>
      <c r="Q549" s="17" t="s">
        <v>137</v>
      </c>
      <c r="R549" s="17" t="s">
        <v>146</v>
      </c>
    </row>
    <row r="550" spans="1:18" x14ac:dyDescent="0.3">
      <c r="A550" s="12" t="s">
        <v>6441</v>
      </c>
      <c r="B550" s="12" t="s">
        <v>12</v>
      </c>
      <c r="C550" s="12"/>
      <c r="D550" s="12" t="s">
        <v>12</v>
      </c>
      <c r="E550" s="12" t="s">
        <v>6438</v>
      </c>
      <c r="F550" s="12"/>
      <c r="G550" s="12" t="s">
        <v>1355</v>
      </c>
      <c r="H550" s="12" t="s">
        <v>36</v>
      </c>
      <c r="I550" s="12" t="s">
        <v>26</v>
      </c>
      <c r="J550" s="13" t="s">
        <v>1356</v>
      </c>
      <c r="K550" s="14" t="s">
        <v>6439</v>
      </c>
      <c r="L550" s="15">
        <v>2</v>
      </c>
      <c r="M550" s="15" t="s">
        <v>144</v>
      </c>
      <c r="N550" s="16">
        <v>39484</v>
      </c>
      <c r="O550" s="12" t="s">
        <v>6442</v>
      </c>
      <c r="P550" s="14" t="s">
        <v>6443</v>
      </c>
      <c r="Q550" s="17" t="s">
        <v>137</v>
      </c>
      <c r="R550" s="17" t="s">
        <v>146</v>
      </c>
    </row>
    <row r="551" spans="1:18" x14ac:dyDescent="0.3">
      <c r="A551" s="12" t="s">
        <v>6444</v>
      </c>
      <c r="B551" s="12" t="s">
        <v>12</v>
      </c>
      <c r="C551" s="12"/>
      <c r="D551" s="12" t="s">
        <v>12</v>
      </c>
      <c r="E551" s="12" t="s">
        <v>6445</v>
      </c>
      <c r="F551" s="12" t="s">
        <v>447</v>
      </c>
      <c r="G551" s="12" t="s">
        <v>1355</v>
      </c>
      <c r="H551" s="12" t="s">
        <v>36</v>
      </c>
      <c r="I551" s="12" t="s">
        <v>26</v>
      </c>
      <c r="J551" s="13" t="s">
        <v>1356</v>
      </c>
      <c r="K551" s="14" t="s">
        <v>1357</v>
      </c>
      <c r="L551" s="15">
        <v>1</v>
      </c>
      <c r="M551" s="15" t="s">
        <v>144</v>
      </c>
      <c r="N551" s="16">
        <v>40478</v>
      </c>
      <c r="O551" s="12" t="s">
        <v>6444</v>
      </c>
      <c r="P551" s="14" t="s">
        <v>6446</v>
      </c>
      <c r="Q551" s="17" t="s">
        <v>137</v>
      </c>
      <c r="R551" s="17" t="s">
        <v>146</v>
      </c>
    </row>
    <row r="552" spans="1:18" x14ac:dyDescent="0.3">
      <c r="A552" s="12" t="s">
        <v>6447</v>
      </c>
      <c r="B552" s="12" t="s">
        <v>12</v>
      </c>
      <c r="C552" s="12"/>
      <c r="D552" s="12" t="s">
        <v>12</v>
      </c>
      <c r="E552" s="12" t="s">
        <v>6448</v>
      </c>
      <c r="F552" s="12" t="s">
        <v>1163</v>
      </c>
      <c r="G552" s="12" t="s">
        <v>1362</v>
      </c>
      <c r="H552" s="12" t="s">
        <v>36</v>
      </c>
      <c r="I552" s="12" t="s">
        <v>26</v>
      </c>
      <c r="J552" s="13" t="s">
        <v>1363</v>
      </c>
      <c r="K552" s="14" t="s">
        <v>6449</v>
      </c>
      <c r="L552" s="15">
        <v>2</v>
      </c>
      <c r="M552" s="15" t="s">
        <v>144</v>
      </c>
      <c r="N552" s="16">
        <v>44065</v>
      </c>
      <c r="O552" s="12" t="s">
        <v>6447</v>
      </c>
      <c r="P552" s="14" t="s">
        <v>6450</v>
      </c>
      <c r="Q552" s="17" t="s">
        <v>137</v>
      </c>
      <c r="R552" s="17" t="s">
        <v>146</v>
      </c>
    </row>
    <row r="553" spans="1:18" x14ac:dyDescent="0.3">
      <c r="A553" s="12" t="s">
        <v>6451</v>
      </c>
      <c r="B553" s="12" t="s">
        <v>12</v>
      </c>
      <c r="C553" s="12"/>
      <c r="D553" s="12" t="s">
        <v>12</v>
      </c>
      <c r="E553" s="12" t="s">
        <v>1379</v>
      </c>
      <c r="F553" s="12" t="s">
        <v>6452</v>
      </c>
      <c r="G553" s="12" t="s">
        <v>1362</v>
      </c>
      <c r="H553" s="12" t="s">
        <v>36</v>
      </c>
      <c r="I553" s="12" t="s">
        <v>26</v>
      </c>
      <c r="J553" s="13" t="s">
        <v>1363</v>
      </c>
      <c r="K553" s="14" t="s">
        <v>6453</v>
      </c>
      <c r="L553" s="15">
        <v>2</v>
      </c>
      <c r="M553" s="15" t="s">
        <v>144</v>
      </c>
      <c r="N553" s="16">
        <v>40968</v>
      </c>
      <c r="O553" s="12" t="s">
        <v>6451</v>
      </c>
      <c r="P553" s="14" t="s">
        <v>6454</v>
      </c>
      <c r="Q553" s="17" t="s">
        <v>137</v>
      </c>
      <c r="R553" s="17" t="s">
        <v>146</v>
      </c>
    </row>
    <row r="554" spans="1:18" x14ac:dyDescent="0.3">
      <c r="A554" s="12" t="s">
        <v>6455</v>
      </c>
      <c r="B554" s="12" t="s">
        <v>12</v>
      </c>
      <c r="C554" s="12"/>
      <c r="D554" s="12" t="s">
        <v>12</v>
      </c>
      <c r="E554" s="12" t="s">
        <v>6456</v>
      </c>
      <c r="F554" s="12"/>
      <c r="G554" s="12" t="s">
        <v>1362</v>
      </c>
      <c r="H554" s="12" t="s">
        <v>36</v>
      </c>
      <c r="I554" s="12" t="s">
        <v>26</v>
      </c>
      <c r="J554" s="13" t="s">
        <v>1363</v>
      </c>
      <c r="K554" s="14" t="s">
        <v>6457</v>
      </c>
      <c r="L554" s="15">
        <v>1</v>
      </c>
      <c r="M554" s="15" t="s">
        <v>144</v>
      </c>
      <c r="N554" s="16">
        <v>42331</v>
      </c>
      <c r="O554" s="12" t="s">
        <v>6455</v>
      </c>
      <c r="P554" s="14" t="s">
        <v>6458</v>
      </c>
      <c r="Q554" s="17" t="s">
        <v>137</v>
      </c>
      <c r="R554" s="17" t="s">
        <v>146</v>
      </c>
    </row>
    <row r="555" spans="1:18" x14ac:dyDescent="0.3">
      <c r="A555" s="12" t="s">
        <v>6459</v>
      </c>
      <c r="B555" s="12" t="s">
        <v>12</v>
      </c>
      <c r="C555" s="12"/>
      <c r="D555" s="12" t="s">
        <v>12</v>
      </c>
      <c r="E555" s="12" t="s">
        <v>6460</v>
      </c>
      <c r="F555" s="12"/>
      <c r="G555" s="12" t="s">
        <v>1362</v>
      </c>
      <c r="H555" s="12" t="s">
        <v>36</v>
      </c>
      <c r="I555" s="12" t="s">
        <v>26</v>
      </c>
      <c r="J555" s="13" t="s">
        <v>1363</v>
      </c>
      <c r="K555" s="14" t="s">
        <v>6461</v>
      </c>
      <c r="L555" s="15">
        <v>4</v>
      </c>
      <c r="M555" s="15" t="s">
        <v>144</v>
      </c>
      <c r="N555" s="16">
        <v>39904</v>
      </c>
      <c r="O555" s="12" t="s">
        <v>6459</v>
      </c>
      <c r="P555" s="14" t="s">
        <v>6462</v>
      </c>
      <c r="Q555" s="17" t="s">
        <v>137</v>
      </c>
      <c r="R555" s="17" t="s">
        <v>146</v>
      </c>
    </row>
    <row r="556" spans="1:18" x14ac:dyDescent="0.3">
      <c r="A556" s="12" t="s">
        <v>6463</v>
      </c>
      <c r="B556" s="12" t="s">
        <v>12</v>
      </c>
      <c r="C556" s="12"/>
      <c r="D556" s="12" t="s">
        <v>12</v>
      </c>
      <c r="E556" s="12" t="s">
        <v>6464</v>
      </c>
      <c r="F556" s="12"/>
      <c r="G556" s="12" t="s">
        <v>1362</v>
      </c>
      <c r="H556" s="12" t="s">
        <v>36</v>
      </c>
      <c r="I556" s="12" t="s">
        <v>26</v>
      </c>
      <c r="J556" s="13" t="s">
        <v>1363</v>
      </c>
      <c r="K556" s="14" t="s">
        <v>6465</v>
      </c>
      <c r="L556" s="15">
        <v>3</v>
      </c>
      <c r="M556" s="15" t="s">
        <v>144</v>
      </c>
      <c r="N556" s="16">
        <v>39478</v>
      </c>
      <c r="O556" s="12" t="s">
        <v>6463</v>
      </c>
      <c r="P556" s="14" t="s">
        <v>6466</v>
      </c>
      <c r="Q556" s="17" t="s">
        <v>137</v>
      </c>
      <c r="R556" s="17" t="s">
        <v>146</v>
      </c>
    </row>
    <row r="557" spans="1:18" x14ac:dyDescent="0.3">
      <c r="A557" s="12" t="s">
        <v>6467</v>
      </c>
      <c r="B557" s="12" t="s">
        <v>12</v>
      </c>
      <c r="C557" s="12"/>
      <c r="D557" s="12" t="s">
        <v>12</v>
      </c>
      <c r="E557" s="12" t="s">
        <v>6468</v>
      </c>
      <c r="F557" s="12"/>
      <c r="G557" s="12" t="s">
        <v>1362</v>
      </c>
      <c r="H557" s="12" t="s">
        <v>36</v>
      </c>
      <c r="I557" s="12" t="s">
        <v>26</v>
      </c>
      <c r="J557" s="13" t="s">
        <v>1386</v>
      </c>
      <c r="K557" s="14" t="s">
        <v>6469</v>
      </c>
      <c r="L557" s="15">
        <v>1</v>
      </c>
      <c r="M557" s="15" t="s">
        <v>144</v>
      </c>
      <c r="N557" s="16">
        <v>44065</v>
      </c>
      <c r="O557" s="12" t="s">
        <v>6467</v>
      </c>
      <c r="P557" s="14" t="s">
        <v>6470</v>
      </c>
      <c r="Q557" s="17" t="s">
        <v>137</v>
      </c>
      <c r="R557" s="17" t="s">
        <v>146</v>
      </c>
    </row>
    <row r="558" spans="1:18" x14ac:dyDescent="0.3">
      <c r="A558" s="12" t="s">
        <v>6471</v>
      </c>
      <c r="B558" s="12" t="s">
        <v>12</v>
      </c>
      <c r="C558" s="12"/>
      <c r="D558" s="12" t="s">
        <v>12</v>
      </c>
      <c r="E558" s="12" t="s">
        <v>6472</v>
      </c>
      <c r="F558" s="12"/>
      <c r="G558" s="12" t="s">
        <v>1362</v>
      </c>
      <c r="H558" s="12" t="s">
        <v>36</v>
      </c>
      <c r="I558" s="12" t="s">
        <v>26</v>
      </c>
      <c r="J558" s="13" t="s">
        <v>1386</v>
      </c>
      <c r="K558" s="14" t="s">
        <v>6473</v>
      </c>
      <c r="L558" s="15">
        <v>0</v>
      </c>
      <c r="M558" s="15" t="s">
        <v>144</v>
      </c>
      <c r="N558" s="16">
        <v>42837</v>
      </c>
      <c r="O558" s="12" t="s">
        <v>6471</v>
      </c>
      <c r="P558" s="14" t="s">
        <v>6474</v>
      </c>
      <c r="Q558" s="17" t="s">
        <v>137</v>
      </c>
      <c r="R558" s="17" t="s">
        <v>146</v>
      </c>
    </row>
    <row r="559" spans="1:18" x14ac:dyDescent="0.3">
      <c r="A559" s="12" t="s">
        <v>6475</v>
      </c>
      <c r="B559" s="12" t="s">
        <v>14</v>
      </c>
      <c r="C559" s="12"/>
      <c r="D559" s="12" t="s">
        <v>14</v>
      </c>
      <c r="E559" s="12" t="s">
        <v>6476</v>
      </c>
      <c r="F559" s="12"/>
      <c r="G559" s="12" t="s">
        <v>1362</v>
      </c>
      <c r="H559" s="12" t="s">
        <v>36</v>
      </c>
      <c r="I559" s="12" t="s">
        <v>26</v>
      </c>
      <c r="J559" s="13" t="s">
        <v>1363</v>
      </c>
      <c r="K559" s="14" t="s">
        <v>6477</v>
      </c>
      <c r="L559" s="15">
        <v>0</v>
      </c>
      <c r="M559" s="15" t="s">
        <v>144</v>
      </c>
      <c r="N559" s="16">
        <v>44432</v>
      </c>
      <c r="O559" s="12" t="s">
        <v>6475</v>
      </c>
      <c r="P559" s="14" t="s">
        <v>6478</v>
      </c>
      <c r="Q559" s="17" t="s">
        <v>137</v>
      </c>
      <c r="R559" s="17" t="s">
        <v>146</v>
      </c>
    </row>
    <row r="560" spans="1:18" x14ac:dyDescent="0.3">
      <c r="A560" s="12" t="s">
        <v>6479</v>
      </c>
      <c r="B560" s="12" t="s">
        <v>12</v>
      </c>
      <c r="C560" s="12"/>
      <c r="D560" s="12" t="s">
        <v>12</v>
      </c>
      <c r="E560" s="12" t="s">
        <v>6480</v>
      </c>
      <c r="F560" s="12"/>
      <c r="G560" s="12" t="s">
        <v>1362</v>
      </c>
      <c r="H560" s="12" t="s">
        <v>36</v>
      </c>
      <c r="I560" s="12" t="s">
        <v>26</v>
      </c>
      <c r="J560" s="13" t="s">
        <v>1386</v>
      </c>
      <c r="K560" s="14" t="s">
        <v>6481</v>
      </c>
      <c r="L560" s="15">
        <v>1</v>
      </c>
      <c r="M560" s="15" t="s">
        <v>144</v>
      </c>
      <c r="N560" s="16">
        <v>40581</v>
      </c>
      <c r="O560" s="12" t="s">
        <v>6482</v>
      </c>
      <c r="P560" s="14" t="s">
        <v>6483</v>
      </c>
      <c r="Q560" s="17" t="s">
        <v>137</v>
      </c>
      <c r="R560" s="17" t="s">
        <v>146</v>
      </c>
    </row>
    <row r="561" spans="1:18" x14ac:dyDescent="0.3">
      <c r="A561" s="12" t="s">
        <v>6484</v>
      </c>
      <c r="B561" s="12" t="s">
        <v>12</v>
      </c>
      <c r="C561" s="12"/>
      <c r="D561" s="12" t="s">
        <v>12</v>
      </c>
      <c r="E561" s="12" t="s">
        <v>6485</v>
      </c>
      <c r="F561" s="12"/>
      <c r="G561" s="12" t="s">
        <v>1362</v>
      </c>
      <c r="H561" s="12" t="s">
        <v>36</v>
      </c>
      <c r="I561" s="12" t="s">
        <v>26</v>
      </c>
      <c r="J561" s="13" t="s">
        <v>1386</v>
      </c>
      <c r="K561" s="14" t="s">
        <v>6486</v>
      </c>
      <c r="L561" s="15">
        <v>1</v>
      </c>
      <c r="M561" s="15" t="s">
        <v>144</v>
      </c>
      <c r="N561" s="16">
        <v>41381</v>
      </c>
      <c r="O561" s="12" t="s">
        <v>6487</v>
      </c>
      <c r="P561" s="14" t="s">
        <v>6488</v>
      </c>
      <c r="Q561" s="17" t="s">
        <v>137</v>
      </c>
      <c r="R561" s="17" t="s">
        <v>146</v>
      </c>
    </row>
    <row r="562" spans="1:18" x14ac:dyDescent="0.3">
      <c r="A562" s="12" t="s">
        <v>6489</v>
      </c>
      <c r="B562" s="12" t="s">
        <v>12</v>
      </c>
      <c r="C562" s="12"/>
      <c r="D562" s="12" t="s">
        <v>12</v>
      </c>
      <c r="E562" s="12" t="s">
        <v>6490</v>
      </c>
      <c r="F562" s="12" t="s">
        <v>583</v>
      </c>
      <c r="G562" s="12" t="s">
        <v>1362</v>
      </c>
      <c r="H562" s="12" t="s">
        <v>36</v>
      </c>
      <c r="I562" s="12" t="s">
        <v>26</v>
      </c>
      <c r="J562" s="13" t="s">
        <v>1363</v>
      </c>
      <c r="K562" s="14" t="s">
        <v>6491</v>
      </c>
      <c r="L562" s="15">
        <v>1</v>
      </c>
      <c r="M562" s="15" t="s">
        <v>144</v>
      </c>
      <c r="N562" s="16">
        <v>40353</v>
      </c>
      <c r="O562" s="12" t="s">
        <v>6489</v>
      </c>
      <c r="P562" s="14" t="s">
        <v>6492</v>
      </c>
      <c r="Q562" s="17" t="s">
        <v>137</v>
      </c>
      <c r="R562" s="17" t="s">
        <v>146</v>
      </c>
    </row>
    <row r="563" spans="1:18" x14ac:dyDescent="0.3">
      <c r="A563" s="12" t="s">
        <v>6493</v>
      </c>
      <c r="B563" s="12" t="s">
        <v>12</v>
      </c>
      <c r="C563" s="12"/>
      <c r="D563" s="12" t="s">
        <v>12</v>
      </c>
      <c r="E563" s="12" t="s">
        <v>6494</v>
      </c>
      <c r="F563" s="12"/>
      <c r="G563" s="12" t="s">
        <v>1362</v>
      </c>
      <c r="H563" s="12" t="s">
        <v>36</v>
      </c>
      <c r="I563" s="12" t="s">
        <v>26</v>
      </c>
      <c r="J563" s="13" t="s">
        <v>1386</v>
      </c>
      <c r="K563" s="14" t="s">
        <v>6495</v>
      </c>
      <c r="L563" s="15">
        <v>1</v>
      </c>
      <c r="M563" s="15" t="s">
        <v>144</v>
      </c>
      <c r="N563" s="16">
        <v>39310</v>
      </c>
      <c r="O563" s="12" t="s">
        <v>6493</v>
      </c>
      <c r="P563" s="14" t="s">
        <v>6496</v>
      </c>
      <c r="Q563" s="17" t="s">
        <v>137</v>
      </c>
      <c r="R563" s="17" t="s">
        <v>146</v>
      </c>
    </row>
    <row r="564" spans="1:18" x14ac:dyDescent="0.3">
      <c r="A564" s="12" t="s">
        <v>6497</v>
      </c>
      <c r="B564" s="12" t="s">
        <v>12</v>
      </c>
      <c r="C564" s="12"/>
      <c r="D564" s="12" t="s">
        <v>12</v>
      </c>
      <c r="E564" s="12" t="s">
        <v>1379</v>
      </c>
      <c r="F564" s="12" t="s">
        <v>6452</v>
      </c>
      <c r="G564" s="12" t="s">
        <v>1362</v>
      </c>
      <c r="H564" s="12" t="s">
        <v>36</v>
      </c>
      <c r="I564" s="12" t="s">
        <v>26</v>
      </c>
      <c r="J564" s="13" t="s">
        <v>1363</v>
      </c>
      <c r="K564" s="14" t="s">
        <v>6498</v>
      </c>
      <c r="L564" s="15">
        <v>2</v>
      </c>
      <c r="M564" s="15" t="s">
        <v>144</v>
      </c>
      <c r="N564" s="16">
        <v>40448</v>
      </c>
      <c r="O564" s="12" t="s">
        <v>6497</v>
      </c>
      <c r="P564" s="14" t="s">
        <v>6499</v>
      </c>
      <c r="Q564" s="17" t="s">
        <v>137</v>
      </c>
      <c r="R564" s="17" t="s">
        <v>146</v>
      </c>
    </row>
    <row r="565" spans="1:18" x14ac:dyDescent="0.3">
      <c r="A565" s="12" t="s">
        <v>6500</v>
      </c>
      <c r="B565" s="12" t="s">
        <v>12</v>
      </c>
      <c r="C565" s="12"/>
      <c r="D565" s="12" t="s">
        <v>12</v>
      </c>
      <c r="E565" s="12" t="s">
        <v>6501</v>
      </c>
      <c r="F565" s="12" t="s">
        <v>447</v>
      </c>
      <c r="G565" s="12" t="s">
        <v>1362</v>
      </c>
      <c r="H565" s="12" t="s">
        <v>36</v>
      </c>
      <c r="I565" s="12" t="s">
        <v>26</v>
      </c>
      <c r="J565" s="13" t="s">
        <v>1363</v>
      </c>
      <c r="K565" s="14" t="s">
        <v>6502</v>
      </c>
      <c r="L565" s="15">
        <v>3</v>
      </c>
      <c r="M565" s="15" t="s">
        <v>144</v>
      </c>
      <c r="N565" s="16">
        <v>44065</v>
      </c>
      <c r="O565" s="12" t="s">
        <v>6500</v>
      </c>
      <c r="P565" s="14" t="s">
        <v>6503</v>
      </c>
      <c r="Q565" s="17" t="s">
        <v>137</v>
      </c>
      <c r="R565" s="17" t="s">
        <v>146</v>
      </c>
    </row>
    <row r="566" spans="1:18" x14ac:dyDescent="0.3">
      <c r="A566" s="12" t="s">
        <v>6504</v>
      </c>
      <c r="B566" s="12" t="s">
        <v>10</v>
      </c>
      <c r="C566" s="12"/>
      <c r="D566" s="12" t="s">
        <v>230</v>
      </c>
      <c r="E566" s="12" t="s">
        <v>1360</v>
      </c>
      <c r="F566" s="12" t="s">
        <v>644</v>
      </c>
      <c r="G566" s="12" t="s">
        <v>1362</v>
      </c>
      <c r="H566" s="12" t="s">
        <v>36</v>
      </c>
      <c r="I566" s="12" t="s">
        <v>26</v>
      </c>
      <c r="J566" s="13" t="s">
        <v>1363</v>
      </c>
      <c r="K566" s="14" t="s">
        <v>6505</v>
      </c>
      <c r="L566" s="15">
        <v>2</v>
      </c>
      <c r="M566" s="15" t="s">
        <v>144</v>
      </c>
      <c r="N566" s="16">
        <v>44488</v>
      </c>
      <c r="O566" s="12" t="s">
        <v>6506</v>
      </c>
      <c r="P566" s="14" t="s">
        <v>6507</v>
      </c>
      <c r="Q566" s="17" t="s">
        <v>137</v>
      </c>
      <c r="R566" s="17" t="s">
        <v>146</v>
      </c>
    </row>
    <row r="567" spans="1:18" x14ac:dyDescent="0.3">
      <c r="A567" s="12" t="s">
        <v>6508</v>
      </c>
      <c r="B567" s="12" t="s">
        <v>12</v>
      </c>
      <c r="C567" s="12"/>
      <c r="D567" s="12" t="s">
        <v>12</v>
      </c>
      <c r="E567" s="12" t="s">
        <v>6509</v>
      </c>
      <c r="F567" s="12"/>
      <c r="G567" s="12" t="s">
        <v>1362</v>
      </c>
      <c r="H567" s="12" t="s">
        <v>36</v>
      </c>
      <c r="I567" s="12" t="s">
        <v>26</v>
      </c>
      <c r="J567" s="13" t="s">
        <v>1386</v>
      </c>
      <c r="K567" s="14" t="s">
        <v>6481</v>
      </c>
      <c r="L567" s="15">
        <v>1</v>
      </c>
      <c r="M567" s="15" t="s">
        <v>144</v>
      </c>
      <c r="N567" s="16">
        <v>41109</v>
      </c>
      <c r="O567" s="12" t="s">
        <v>6508</v>
      </c>
      <c r="P567" s="14" t="s">
        <v>6510</v>
      </c>
      <c r="Q567" s="17" t="s">
        <v>137</v>
      </c>
      <c r="R567" s="17" t="s">
        <v>146</v>
      </c>
    </row>
    <row r="568" spans="1:18" x14ac:dyDescent="0.3">
      <c r="A568" s="12" t="s">
        <v>6511</v>
      </c>
      <c r="B568" s="12" t="s">
        <v>12</v>
      </c>
      <c r="C568" s="12"/>
      <c r="D568" s="12" t="s">
        <v>12</v>
      </c>
      <c r="E568" s="12" t="s">
        <v>6512</v>
      </c>
      <c r="F568" s="12" t="s">
        <v>389</v>
      </c>
      <c r="G568" s="12" t="s">
        <v>1362</v>
      </c>
      <c r="H568" s="12" t="s">
        <v>36</v>
      </c>
      <c r="I568" s="12" t="s">
        <v>26</v>
      </c>
      <c r="J568" s="13" t="s">
        <v>1363</v>
      </c>
      <c r="K568" s="14" t="s">
        <v>6513</v>
      </c>
      <c r="L568" s="15">
        <v>1</v>
      </c>
      <c r="M568" s="15" t="s">
        <v>144</v>
      </c>
      <c r="N568" s="16">
        <v>39299</v>
      </c>
      <c r="O568" s="12" t="s">
        <v>6514</v>
      </c>
      <c r="P568" s="14" t="s">
        <v>6515</v>
      </c>
      <c r="Q568" s="17" t="s">
        <v>137</v>
      </c>
      <c r="R568" s="17" t="s">
        <v>146</v>
      </c>
    </row>
    <row r="569" spans="1:18" x14ac:dyDescent="0.3">
      <c r="A569" s="12" t="s">
        <v>6516</v>
      </c>
      <c r="B569" s="12" t="s">
        <v>12</v>
      </c>
      <c r="C569" s="12"/>
      <c r="D569" s="12" t="s">
        <v>12</v>
      </c>
      <c r="E569" s="12" t="s">
        <v>6517</v>
      </c>
      <c r="F569" s="12"/>
      <c r="G569" s="12" t="s">
        <v>1362</v>
      </c>
      <c r="H569" s="12" t="s">
        <v>36</v>
      </c>
      <c r="I569" s="12" t="s">
        <v>26</v>
      </c>
      <c r="J569" s="13" t="s">
        <v>1363</v>
      </c>
      <c r="K569" s="14" t="s">
        <v>6518</v>
      </c>
      <c r="L569" s="15">
        <v>1</v>
      </c>
      <c r="M569" s="15" t="s">
        <v>144</v>
      </c>
      <c r="N569" s="16">
        <v>43267</v>
      </c>
      <c r="O569" s="12" t="s">
        <v>6519</v>
      </c>
      <c r="P569" s="14" t="s">
        <v>6520</v>
      </c>
      <c r="Q569" s="17" t="s">
        <v>137</v>
      </c>
      <c r="R569" s="17" t="s">
        <v>146</v>
      </c>
    </row>
    <row r="570" spans="1:18" x14ac:dyDescent="0.3">
      <c r="A570" s="12" t="s">
        <v>6521</v>
      </c>
      <c r="B570" s="12" t="s">
        <v>16</v>
      </c>
      <c r="C570" s="12"/>
      <c r="D570" s="12" t="s">
        <v>471</v>
      </c>
      <c r="E570" s="12" t="s">
        <v>6522</v>
      </c>
      <c r="F570" s="12" t="s">
        <v>6523</v>
      </c>
      <c r="G570" s="12" t="s">
        <v>1362</v>
      </c>
      <c r="H570" s="12" t="s">
        <v>36</v>
      </c>
      <c r="I570" s="12" t="s">
        <v>26</v>
      </c>
      <c r="J570" s="13" t="s">
        <v>1363</v>
      </c>
      <c r="K570" s="14" t="s">
        <v>6524</v>
      </c>
      <c r="L570" s="15">
        <v>0</v>
      </c>
      <c r="M570" s="15" t="s">
        <v>144</v>
      </c>
      <c r="N570" s="16">
        <v>43784</v>
      </c>
      <c r="O570" s="12" t="s">
        <v>6525</v>
      </c>
      <c r="P570" s="14" t="s">
        <v>6526</v>
      </c>
      <c r="Q570" s="17" t="s">
        <v>137</v>
      </c>
      <c r="R570" s="17" t="s">
        <v>146</v>
      </c>
    </row>
    <row r="571" spans="1:18" x14ac:dyDescent="0.3">
      <c r="A571" s="12" t="s">
        <v>6527</v>
      </c>
      <c r="B571" s="12" t="s">
        <v>10</v>
      </c>
      <c r="C571" s="12"/>
      <c r="D571" s="12" t="s">
        <v>647</v>
      </c>
      <c r="E571" s="12" t="s">
        <v>1360</v>
      </c>
      <c r="F571" s="12" t="s">
        <v>644</v>
      </c>
      <c r="G571" s="12" t="s">
        <v>1362</v>
      </c>
      <c r="H571" s="12" t="s">
        <v>36</v>
      </c>
      <c r="I571" s="12" t="s">
        <v>26</v>
      </c>
      <c r="J571" s="13" t="s">
        <v>1363</v>
      </c>
      <c r="K571" s="14" t="s">
        <v>6528</v>
      </c>
      <c r="L571" s="15">
        <v>2</v>
      </c>
      <c r="M571" s="15" t="s">
        <v>220</v>
      </c>
      <c r="N571" s="16">
        <v>40891</v>
      </c>
      <c r="O571" s="12" t="s">
        <v>6527</v>
      </c>
      <c r="P571" s="14" t="s">
        <v>6529</v>
      </c>
      <c r="Q571" s="17" t="s">
        <v>137</v>
      </c>
      <c r="R571" s="17" t="s">
        <v>146</v>
      </c>
    </row>
    <row r="572" spans="1:18" x14ac:dyDescent="0.3">
      <c r="A572" s="12" t="s">
        <v>6530</v>
      </c>
      <c r="B572" s="12" t="s">
        <v>12</v>
      </c>
      <c r="C572" s="12"/>
      <c r="D572" s="12" t="s">
        <v>12</v>
      </c>
      <c r="E572" s="12" t="s">
        <v>6531</v>
      </c>
      <c r="F572" s="12" t="s">
        <v>359</v>
      </c>
      <c r="G572" s="12" t="s">
        <v>1362</v>
      </c>
      <c r="H572" s="12" t="s">
        <v>36</v>
      </c>
      <c r="I572" s="12" t="s">
        <v>26</v>
      </c>
      <c r="J572" s="13" t="s">
        <v>1363</v>
      </c>
      <c r="K572" s="14" t="s">
        <v>6532</v>
      </c>
      <c r="L572" s="15">
        <v>4</v>
      </c>
      <c r="M572" s="15" t="s">
        <v>144</v>
      </c>
      <c r="N572" s="16">
        <v>44484</v>
      </c>
      <c r="O572" s="12" t="s">
        <v>6530</v>
      </c>
      <c r="P572" s="14" t="s">
        <v>6533</v>
      </c>
      <c r="Q572" s="17" t="s">
        <v>137</v>
      </c>
      <c r="R572" s="17" t="s">
        <v>146</v>
      </c>
    </row>
    <row r="573" spans="1:18" x14ac:dyDescent="0.3">
      <c r="A573" s="12" t="s">
        <v>6534</v>
      </c>
      <c r="B573" s="12" t="s">
        <v>10</v>
      </c>
      <c r="C573" s="12"/>
      <c r="D573" s="12" t="s">
        <v>1561</v>
      </c>
      <c r="E573" s="12" t="s">
        <v>6535</v>
      </c>
      <c r="F573" s="12" t="s">
        <v>4565</v>
      </c>
      <c r="G573" s="12" t="s">
        <v>1362</v>
      </c>
      <c r="H573" s="12" t="s">
        <v>36</v>
      </c>
      <c r="I573" s="12" t="s">
        <v>26</v>
      </c>
      <c r="J573" s="13" t="s">
        <v>1363</v>
      </c>
      <c r="K573" s="14" t="s">
        <v>6536</v>
      </c>
      <c r="L573" s="15">
        <v>0</v>
      </c>
      <c r="M573" s="15" t="s">
        <v>144</v>
      </c>
      <c r="N573" s="16">
        <v>40127</v>
      </c>
      <c r="O573" s="12" t="s">
        <v>6534</v>
      </c>
      <c r="P573" s="14" t="s">
        <v>6537</v>
      </c>
      <c r="Q573" s="17" t="s">
        <v>137</v>
      </c>
      <c r="R573" s="17" t="s">
        <v>146</v>
      </c>
    </row>
    <row r="574" spans="1:18" x14ac:dyDescent="0.3">
      <c r="A574" s="12" t="s">
        <v>6538</v>
      </c>
      <c r="B574" s="12" t="s">
        <v>10</v>
      </c>
      <c r="C574" s="12"/>
      <c r="D574" s="12" t="s">
        <v>157</v>
      </c>
      <c r="E574" s="12" t="s">
        <v>1367</v>
      </c>
      <c r="F574" s="12" t="s">
        <v>4565</v>
      </c>
      <c r="G574" s="12" t="s">
        <v>1362</v>
      </c>
      <c r="H574" s="12" t="s">
        <v>36</v>
      </c>
      <c r="I574" s="12" t="s">
        <v>26</v>
      </c>
      <c r="J574" s="13" t="s">
        <v>1363</v>
      </c>
      <c r="K574" s="14" t="s">
        <v>6536</v>
      </c>
      <c r="L574" s="15">
        <v>4</v>
      </c>
      <c r="M574" s="15" t="s">
        <v>144</v>
      </c>
      <c r="N574" s="16">
        <v>44065</v>
      </c>
      <c r="O574" s="12" t="s">
        <v>6538</v>
      </c>
      <c r="P574" s="14" t="s">
        <v>6539</v>
      </c>
      <c r="Q574" s="17" t="s">
        <v>137</v>
      </c>
      <c r="R574" s="17" t="s">
        <v>146</v>
      </c>
    </row>
    <row r="575" spans="1:18" x14ac:dyDescent="0.3">
      <c r="A575" s="12" t="s">
        <v>6540</v>
      </c>
      <c r="B575" s="12" t="s">
        <v>12</v>
      </c>
      <c r="C575" s="12"/>
      <c r="D575" s="12" t="s">
        <v>12</v>
      </c>
      <c r="E575" s="12" t="s">
        <v>6541</v>
      </c>
      <c r="F575" s="12" t="s">
        <v>547</v>
      </c>
      <c r="G575" s="12" t="s">
        <v>1362</v>
      </c>
      <c r="H575" s="12" t="s">
        <v>36</v>
      </c>
      <c r="I575" s="12" t="s">
        <v>26</v>
      </c>
      <c r="J575" s="13" t="s">
        <v>1363</v>
      </c>
      <c r="K575" s="14" t="s">
        <v>6542</v>
      </c>
      <c r="L575" s="15">
        <v>1</v>
      </c>
      <c r="M575" s="15" t="s">
        <v>144</v>
      </c>
      <c r="N575" s="16">
        <v>41696</v>
      </c>
      <c r="O575" s="12" t="s">
        <v>6540</v>
      </c>
      <c r="P575" s="14" t="s">
        <v>6543</v>
      </c>
      <c r="Q575" s="17" t="s">
        <v>137</v>
      </c>
      <c r="R575" s="17" t="s">
        <v>146</v>
      </c>
    </row>
    <row r="576" spans="1:18" x14ac:dyDescent="0.3">
      <c r="A576" s="12" t="s">
        <v>6544</v>
      </c>
      <c r="B576" s="12" t="s">
        <v>12</v>
      </c>
      <c r="C576" s="12"/>
      <c r="D576" s="12" t="s">
        <v>12</v>
      </c>
      <c r="E576" s="12" t="s">
        <v>6545</v>
      </c>
      <c r="F576" s="12" t="s">
        <v>1542</v>
      </c>
      <c r="G576" s="12" t="s">
        <v>1362</v>
      </c>
      <c r="H576" s="12" t="s">
        <v>36</v>
      </c>
      <c r="I576" s="12" t="s">
        <v>26</v>
      </c>
      <c r="J576" s="13" t="s">
        <v>1363</v>
      </c>
      <c r="K576" s="14" t="s">
        <v>6546</v>
      </c>
      <c r="L576" s="15">
        <v>1</v>
      </c>
      <c r="M576" s="15" t="s">
        <v>144</v>
      </c>
      <c r="N576" s="16">
        <v>43852</v>
      </c>
      <c r="O576" s="12" t="s">
        <v>6544</v>
      </c>
      <c r="P576" s="14" t="s">
        <v>6547</v>
      </c>
      <c r="Q576" s="17" t="s">
        <v>137</v>
      </c>
      <c r="R576" s="17" t="s">
        <v>146</v>
      </c>
    </row>
    <row r="577" spans="1:18" x14ac:dyDescent="0.3">
      <c r="A577" s="12" t="s">
        <v>6548</v>
      </c>
      <c r="B577" s="12" t="s">
        <v>14</v>
      </c>
      <c r="C577" s="12"/>
      <c r="D577" s="12" t="s">
        <v>14</v>
      </c>
      <c r="E577" s="12" t="s">
        <v>6549</v>
      </c>
      <c r="F577" s="12" t="s">
        <v>345</v>
      </c>
      <c r="G577" s="12" t="s">
        <v>1362</v>
      </c>
      <c r="H577" s="12" t="s">
        <v>36</v>
      </c>
      <c r="I577" s="12" t="s">
        <v>26</v>
      </c>
      <c r="J577" s="13" t="s">
        <v>1363</v>
      </c>
      <c r="K577" s="14" t="s">
        <v>6550</v>
      </c>
      <c r="L577" s="15">
        <v>0</v>
      </c>
      <c r="M577" s="15" t="s">
        <v>144</v>
      </c>
      <c r="N577" s="16">
        <v>40519</v>
      </c>
      <c r="O577" s="12" t="s">
        <v>6548</v>
      </c>
      <c r="P577" s="14" t="s">
        <v>6551</v>
      </c>
      <c r="Q577" s="17" t="s">
        <v>137</v>
      </c>
      <c r="R577" s="17" t="s">
        <v>146</v>
      </c>
    </row>
    <row r="578" spans="1:18" x14ac:dyDescent="0.3">
      <c r="A578" s="12" t="s">
        <v>1118</v>
      </c>
      <c r="B578" s="12" t="s">
        <v>14</v>
      </c>
      <c r="C578" s="12"/>
      <c r="D578" s="12" t="s">
        <v>14</v>
      </c>
      <c r="E578" s="12" t="s">
        <v>1360</v>
      </c>
      <c r="F578" s="12" t="s">
        <v>1163</v>
      </c>
      <c r="G578" s="12" t="s">
        <v>1362</v>
      </c>
      <c r="H578" s="12" t="s">
        <v>36</v>
      </c>
      <c r="I578" s="12" t="s">
        <v>26</v>
      </c>
      <c r="J578" s="13" t="s">
        <v>1363</v>
      </c>
      <c r="K578" s="14" t="s">
        <v>1412</v>
      </c>
      <c r="L578" s="15">
        <v>7</v>
      </c>
      <c r="M578" s="15" t="s">
        <v>144</v>
      </c>
      <c r="N578" s="16">
        <v>41627</v>
      </c>
      <c r="O578" s="12" t="s">
        <v>6552</v>
      </c>
      <c r="P578" s="14" t="s">
        <v>6553</v>
      </c>
      <c r="Q578" s="17" t="s">
        <v>137</v>
      </c>
      <c r="R578" s="17" t="s">
        <v>146</v>
      </c>
    </row>
    <row r="579" spans="1:18" x14ac:dyDescent="0.3">
      <c r="A579" s="12" t="s">
        <v>6554</v>
      </c>
      <c r="B579" s="12" t="s">
        <v>12</v>
      </c>
      <c r="C579" s="12"/>
      <c r="D579" s="12" t="s">
        <v>12</v>
      </c>
      <c r="E579" s="12" t="s">
        <v>6555</v>
      </c>
      <c r="F579" s="12"/>
      <c r="G579" s="12" t="s">
        <v>1362</v>
      </c>
      <c r="H579" s="12" t="s">
        <v>36</v>
      </c>
      <c r="I579" s="12" t="s">
        <v>26</v>
      </c>
      <c r="J579" s="13" t="s">
        <v>1386</v>
      </c>
      <c r="K579" s="14" t="s">
        <v>6556</v>
      </c>
      <c r="L579" s="15">
        <v>0</v>
      </c>
      <c r="M579" s="15" t="s">
        <v>144</v>
      </c>
      <c r="N579" s="16">
        <v>42082</v>
      </c>
      <c r="O579" s="12" t="s">
        <v>6554</v>
      </c>
      <c r="P579" s="14" t="s">
        <v>6557</v>
      </c>
      <c r="Q579" s="17" t="s">
        <v>137</v>
      </c>
      <c r="R579" s="17" t="s">
        <v>146</v>
      </c>
    </row>
    <row r="580" spans="1:18" x14ac:dyDescent="0.3">
      <c r="A580" s="12" t="s">
        <v>6558</v>
      </c>
      <c r="B580" s="12" t="s">
        <v>12</v>
      </c>
      <c r="C580" s="12"/>
      <c r="D580" s="12" t="s">
        <v>12</v>
      </c>
      <c r="E580" s="12" t="s">
        <v>6559</v>
      </c>
      <c r="F580" s="12"/>
      <c r="G580" s="12" t="s">
        <v>1362</v>
      </c>
      <c r="H580" s="12" t="s">
        <v>36</v>
      </c>
      <c r="I580" s="12" t="s">
        <v>26</v>
      </c>
      <c r="J580" s="13" t="s">
        <v>1363</v>
      </c>
      <c r="K580" s="14" t="s">
        <v>6560</v>
      </c>
      <c r="L580" s="15">
        <v>1</v>
      </c>
      <c r="M580" s="15" t="s">
        <v>144</v>
      </c>
      <c r="N580" s="16">
        <v>44140</v>
      </c>
      <c r="O580" s="12" t="s">
        <v>6558</v>
      </c>
      <c r="P580" s="14" t="s">
        <v>6561</v>
      </c>
      <c r="Q580" s="17" t="s">
        <v>137</v>
      </c>
      <c r="R580" s="17" t="s">
        <v>146</v>
      </c>
    </row>
    <row r="581" spans="1:18" x14ac:dyDescent="0.3">
      <c r="A581" s="12" t="s">
        <v>6562</v>
      </c>
      <c r="B581" s="12" t="s">
        <v>12</v>
      </c>
      <c r="C581" s="12"/>
      <c r="D581" s="12" t="s">
        <v>12</v>
      </c>
      <c r="E581" s="12" t="s">
        <v>6456</v>
      </c>
      <c r="F581" s="12"/>
      <c r="G581" s="12" t="s">
        <v>1362</v>
      </c>
      <c r="H581" s="12" t="s">
        <v>36</v>
      </c>
      <c r="I581" s="12" t="s">
        <v>26</v>
      </c>
      <c r="J581" s="13" t="s">
        <v>1363</v>
      </c>
      <c r="K581" s="14" t="s">
        <v>6563</v>
      </c>
      <c r="L581" s="15">
        <v>1</v>
      </c>
      <c r="M581" s="15" t="s">
        <v>144</v>
      </c>
      <c r="N581" s="16">
        <v>41150</v>
      </c>
      <c r="O581" s="12" t="s">
        <v>6562</v>
      </c>
      <c r="P581" s="14" t="s">
        <v>6564</v>
      </c>
      <c r="Q581" s="17" t="s">
        <v>137</v>
      </c>
      <c r="R581" s="17" t="s">
        <v>146</v>
      </c>
    </row>
    <row r="582" spans="1:18" x14ac:dyDescent="0.3">
      <c r="A582" s="12" t="s">
        <v>6565</v>
      </c>
      <c r="B582" s="12" t="s">
        <v>12</v>
      </c>
      <c r="C582" s="12"/>
      <c r="D582" s="12" t="s">
        <v>12</v>
      </c>
      <c r="E582" s="12" t="s">
        <v>1367</v>
      </c>
      <c r="F582" s="12"/>
      <c r="G582" s="12" t="s">
        <v>1362</v>
      </c>
      <c r="H582" s="12" t="s">
        <v>36</v>
      </c>
      <c r="I582" s="12" t="s">
        <v>26</v>
      </c>
      <c r="J582" s="13" t="s">
        <v>1363</v>
      </c>
      <c r="K582" s="14" t="s">
        <v>6566</v>
      </c>
      <c r="L582" s="15">
        <v>2</v>
      </c>
      <c r="M582" s="15" t="s">
        <v>144</v>
      </c>
      <c r="N582" s="16">
        <v>44065</v>
      </c>
      <c r="O582" s="12" t="s">
        <v>6565</v>
      </c>
      <c r="P582" s="14" t="s">
        <v>6567</v>
      </c>
      <c r="Q582" s="17" t="s">
        <v>137</v>
      </c>
      <c r="R582" s="17" t="s">
        <v>146</v>
      </c>
    </row>
    <row r="583" spans="1:18" x14ac:dyDescent="0.3">
      <c r="A583" s="12" t="s">
        <v>6568</v>
      </c>
      <c r="B583" s="12" t="s">
        <v>12</v>
      </c>
      <c r="C583" s="12"/>
      <c r="D583" s="12" t="s">
        <v>12</v>
      </c>
      <c r="E583" s="12" t="s">
        <v>6569</v>
      </c>
      <c r="F583" s="12" t="s">
        <v>1163</v>
      </c>
      <c r="G583" s="12" t="s">
        <v>1362</v>
      </c>
      <c r="H583" s="12" t="s">
        <v>36</v>
      </c>
      <c r="I583" s="12" t="s">
        <v>26</v>
      </c>
      <c r="J583" s="13" t="s">
        <v>1363</v>
      </c>
      <c r="K583" s="14" t="s">
        <v>1412</v>
      </c>
      <c r="L583" s="15">
        <v>3</v>
      </c>
      <c r="M583" s="15" t="s">
        <v>144</v>
      </c>
      <c r="N583" s="16">
        <v>44065</v>
      </c>
      <c r="O583" s="12" t="s">
        <v>6568</v>
      </c>
      <c r="P583" s="14" t="s">
        <v>6570</v>
      </c>
      <c r="Q583" s="17" t="s">
        <v>137</v>
      </c>
      <c r="R583" s="17" t="s">
        <v>146</v>
      </c>
    </row>
    <row r="584" spans="1:18" x14ac:dyDescent="0.3">
      <c r="A584" s="12" t="s">
        <v>6571</v>
      </c>
      <c r="B584" s="12" t="s">
        <v>12</v>
      </c>
      <c r="C584" s="12"/>
      <c r="D584" s="12" t="s">
        <v>12</v>
      </c>
      <c r="E584" s="12" t="s">
        <v>1360</v>
      </c>
      <c r="F584" s="12" t="s">
        <v>1163</v>
      </c>
      <c r="G584" s="12" t="s">
        <v>1362</v>
      </c>
      <c r="H584" s="12" t="s">
        <v>36</v>
      </c>
      <c r="I584" s="12" t="s">
        <v>26</v>
      </c>
      <c r="J584" s="13" t="s">
        <v>1363</v>
      </c>
      <c r="K584" s="14" t="s">
        <v>1412</v>
      </c>
      <c r="L584" s="15">
        <v>3</v>
      </c>
      <c r="M584" s="15" t="s">
        <v>144</v>
      </c>
      <c r="N584" s="16">
        <v>39558</v>
      </c>
      <c r="O584" s="12" t="s">
        <v>6571</v>
      </c>
      <c r="P584" s="14" t="s">
        <v>6572</v>
      </c>
      <c r="Q584" s="17" t="s">
        <v>137</v>
      </c>
      <c r="R584" s="17" t="s">
        <v>146</v>
      </c>
    </row>
    <row r="585" spans="1:18" x14ac:dyDescent="0.3">
      <c r="A585" s="12" t="s">
        <v>6573</v>
      </c>
      <c r="B585" s="12" t="s">
        <v>12</v>
      </c>
      <c r="C585" s="12"/>
      <c r="D585" s="12" t="s">
        <v>12</v>
      </c>
      <c r="E585" s="12" t="s">
        <v>6574</v>
      </c>
      <c r="F585" s="12"/>
      <c r="G585" s="12" t="s">
        <v>1362</v>
      </c>
      <c r="H585" s="12" t="s">
        <v>36</v>
      </c>
      <c r="I585" s="12" t="s">
        <v>26</v>
      </c>
      <c r="J585" s="13" t="s">
        <v>1386</v>
      </c>
      <c r="K585" s="14" t="s">
        <v>6575</v>
      </c>
      <c r="L585" s="15">
        <v>1</v>
      </c>
      <c r="M585" s="15" t="s">
        <v>144</v>
      </c>
      <c r="N585" s="16">
        <v>41324</v>
      </c>
      <c r="O585" s="12" t="s">
        <v>6576</v>
      </c>
      <c r="P585" s="14" t="s">
        <v>6577</v>
      </c>
      <c r="Q585" s="17" t="s">
        <v>137</v>
      </c>
      <c r="R585" s="17" t="s">
        <v>146</v>
      </c>
    </row>
    <row r="586" spans="1:18" x14ac:dyDescent="0.3">
      <c r="A586" s="12" t="s">
        <v>6578</v>
      </c>
      <c r="B586" s="12" t="s">
        <v>12</v>
      </c>
      <c r="C586" s="12"/>
      <c r="D586" s="12" t="s">
        <v>12</v>
      </c>
      <c r="E586" s="12" t="s">
        <v>6579</v>
      </c>
      <c r="F586" s="12" t="s">
        <v>843</v>
      </c>
      <c r="G586" s="12" t="s">
        <v>1362</v>
      </c>
      <c r="H586" s="12" t="s">
        <v>36</v>
      </c>
      <c r="I586" s="12" t="s">
        <v>26</v>
      </c>
      <c r="J586" s="13" t="s">
        <v>1386</v>
      </c>
      <c r="K586" s="14" t="s">
        <v>6469</v>
      </c>
      <c r="L586" s="15">
        <v>0</v>
      </c>
      <c r="M586" s="15" t="s">
        <v>144</v>
      </c>
      <c r="N586" s="16">
        <v>42880</v>
      </c>
      <c r="O586" s="12" t="s">
        <v>6578</v>
      </c>
      <c r="P586" s="14" t="s">
        <v>6580</v>
      </c>
      <c r="Q586" s="17" t="s">
        <v>137</v>
      </c>
      <c r="R586" s="17" t="s">
        <v>146</v>
      </c>
    </row>
    <row r="587" spans="1:18" x14ac:dyDescent="0.3">
      <c r="A587" s="12" t="s">
        <v>6581</v>
      </c>
      <c r="B587" s="12" t="s">
        <v>12</v>
      </c>
      <c r="C587" s="12"/>
      <c r="D587" s="12" t="s">
        <v>12</v>
      </c>
      <c r="E587" s="12" t="s">
        <v>6468</v>
      </c>
      <c r="F587" s="12"/>
      <c r="G587" s="12" t="s">
        <v>1362</v>
      </c>
      <c r="H587" s="12" t="s">
        <v>36</v>
      </c>
      <c r="I587" s="12" t="s">
        <v>26</v>
      </c>
      <c r="J587" s="13" t="s">
        <v>1386</v>
      </c>
      <c r="K587" s="14" t="s">
        <v>6469</v>
      </c>
      <c r="L587" s="15">
        <v>1</v>
      </c>
      <c r="M587" s="15" t="s">
        <v>144</v>
      </c>
      <c r="N587" s="16">
        <v>40582</v>
      </c>
      <c r="O587" s="12" t="s">
        <v>6581</v>
      </c>
      <c r="P587" s="14" t="s">
        <v>6582</v>
      </c>
      <c r="Q587" s="17" t="s">
        <v>137</v>
      </c>
      <c r="R587" s="17" t="s">
        <v>146</v>
      </c>
    </row>
    <row r="588" spans="1:18" x14ac:dyDescent="0.3">
      <c r="A588" s="12" t="s">
        <v>6583</v>
      </c>
      <c r="B588" s="12" t="s">
        <v>12</v>
      </c>
      <c r="C588" s="12"/>
      <c r="D588" s="12" t="s">
        <v>12</v>
      </c>
      <c r="E588" s="12" t="s">
        <v>1360</v>
      </c>
      <c r="F588" s="12" t="s">
        <v>1163</v>
      </c>
      <c r="G588" s="12" t="s">
        <v>1362</v>
      </c>
      <c r="H588" s="12" t="s">
        <v>36</v>
      </c>
      <c r="I588" s="12" t="s">
        <v>26</v>
      </c>
      <c r="J588" s="13" t="s">
        <v>1363</v>
      </c>
      <c r="K588" s="14" t="s">
        <v>1412</v>
      </c>
      <c r="L588" s="15">
        <v>3</v>
      </c>
      <c r="M588" s="15" t="s">
        <v>144</v>
      </c>
      <c r="N588" s="16">
        <v>41432</v>
      </c>
      <c r="O588" s="12" t="s">
        <v>6583</v>
      </c>
      <c r="P588" s="14" t="s">
        <v>6584</v>
      </c>
      <c r="Q588" s="17" t="s">
        <v>137</v>
      </c>
      <c r="R588" s="17" t="s">
        <v>146</v>
      </c>
    </row>
    <row r="589" spans="1:18" x14ac:dyDescent="0.3">
      <c r="A589" s="12" t="s">
        <v>6585</v>
      </c>
      <c r="B589" s="12" t="s">
        <v>12</v>
      </c>
      <c r="C589" s="12"/>
      <c r="D589" s="12" t="s">
        <v>12</v>
      </c>
      <c r="E589" s="12" t="s">
        <v>6586</v>
      </c>
      <c r="F589" s="12"/>
      <c r="G589" s="12" t="s">
        <v>1430</v>
      </c>
      <c r="H589" s="12" t="s">
        <v>36</v>
      </c>
      <c r="I589" s="12" t="s">
        <v>26</v>
      </c>
      <c r="J589" s="13" t="s">
        <v>1431</v>
      </c>
      <c r="K589" s="14" t="s">
        <v>6587</v>
      </c>
      <c r="L589" s="15">
        <v>3</v>
      </c>
      <c r="M589" s="15" t="s">
        <v>144</v>
      </c>
      <c r="N589" s="16">
        <v>42180</v>
      </c>
      <c r="O589" s="12" t="s">
        <v>6585</v>
      </c>
      <c r="P589" s="14" t="s">
        <v>6588</v>
      </c>
      <c r="Q589" s="17" t="s">
        <v>137</v>
      </c>
      <c r="R589" s="17" t="s">
        <v>146</v>
      </c>
    </row>
    <row r="590" spans="1:18" x14ac:dyDescent="0.3">
      <c r="A590" s="12" t="s">
        <v>6589</v>
      </c>
      <c r="B590" s="12" t="s">
        <v>12</v>
      </c>
      <c r="C590" s="12"/>
      <c r="D590" s="12" t="s">
        <v>12</v>
      </c>
      <c r="E590" s="12" t="s">
        <v>6590</v>
      </c>
      <c r="F590" s="12" t="s">
        <v>225</v>
      </c>
      <c r="G590" s="12" t="s">
        <v>367</v>
      </c>
      <c r="H590" s="12" t="s">
        <v>36</v>
      </c>
      <c r="I590" s="12" t="s">
        <v>26</v>
      </c>
      <c r="J590" s="13" t="s">
        <v>1456</v>
      </c>
      <c r="K590" s="14" t="s">
        <v>6591</v>
      </c>
      <c r="L590" s="15">
        <v>3</v>
      </c>
      <c r="M590" s="15" t="s">
        <v>144</v>
      </c>
      <c r="N590" s="16">
        <v>44065</v>
      </c>
      <c r="O590" s="12" t="s">
        <v>6589</v>
      </c>
      <c r="P590" s="14" t="s">
        <v>6592</v>
      </c>
      <c r="Q590" s="17" t="s">
        <v>137</v>
      </c>
      <c r="R590" s="17" t="s">
        <v>146</v>
      </c>
    </row>
    <row r="591" spans="1:18" x14ac:dyDescent="0.3">
      <c r="A591" s="12" t="s">
        <v>6593</v>
      </c>
      <c r="B591" s="12" t="s">
        <v>14</v>
      </c>
      <c r="C591" s="12"/>
      <c r="D591" s="12" t="s">
        <v>14</v>
      </c>
      <c r="E591" s="12" t="s">
        <v>1467</v>
      </c>
      <c r="F591" s="12"/>
      <c r="G591" s="12" t="s">
        <v>367</v>
      </c>
      <c r="H591" s="12" t="s">
        <v>36</v>
      </c>
      <c r="I591" s="12" t="s">
        <v>26</v>
      </c>
      <c r="J591" s="13" t="s">
        <v>1449</v>
      </c>
      <c r="K591" s="14" t="s">
        <v>6594</v>
      </c>
      <c r="L591" s="15">
        <v>150</v>
      </c>
      <c r="M591" s="15" t="s">
        <v>144</v>
      </c>
      <c r="N591" s="16">
        <v>39612</v>
      </c>
      <c r="O591" s="12" t="s">
        <v>6593</v>
      </c>
      <c r="P591" s="14" t="s">
        <v>6595</v>
      </c>
      <c r="Q591" s="17" t="s">
        <v>137</v>
      </c>
      <c r="R591" s="17" t="s">
        <v>146</v>
      </c>
    </row>
    <row r="592" spans="1:18" x14ac:dyDescent="0.3">
      <c r="A592" s="12" t="s">
        <v>6596</v>
      </c>
      <c r="B592" s="12" t="s">
        <v>12</v>
      </c>
      <c r="C592" s="12"/>
      <c r="D592" s="12" t="s">
        <v>12</v>
      </c>
      <c r="E592" s="12" t="s">
        <v>6597</v>
      </c>
      <c r="F592" s="12" t="s">
        <v>516</v>
      </c>
      <c r="G592" s="12" t="s">
        <v>367</v>
      </c>
      <c r="H592" s="12" t="s">
        <v>36</v>
      </c>
      <c r="I592" s="12" t="s">
        <v>26</v>
      </c>
      <c r="J592" s="13" t="s">
        <v>1442</v>
      </c>
      <c r="K592" s="14" t="s">
        <v>6598</v>
      </c>
      <c r="L592" s="15">
        <v>2</v>
      </c>
      <c r="M592" s="15" t="s">
        <v>144</v>
      </c>
      <c r="N592" s="16">
        <v>39855</v>
      </c>
      <c r="O592" s="12" t="s">
        <v>6596</v>
      </c>
      <c r="P592" s="14" t="s">
        <v>6599</v>
      </c>
      <c r="Q592" s="17" t="s">
        <v>137</v>
      </c>
      <c r="R592" s="17" t="s">
        <v>146</v>
      </c>
    </row>
    <row r="593" spans="1:18" x14ac:dyDescent="0.3">
      <c r="A593" s="12" t="s">
        <v>6600</v>
      </c>
      <c r="B593" s="12" t="s">
        <v>12</v>
      </c>
      <c r="C593" s="12"/>
      <c r="D593" s="12" t="s">
        <v>12</v>
      </c>
      <c r="E593" s="12" t="s">
        <v>6601</v>
      </c>
      <c r="F593" s="12"/>
      <c r="G593" s="12" t="s">
        <v>367</v>
      </c>
      <c r="H593" s="12" t="s">
        <v>36</v>
      </c>
      <c r="I593" s="12" t="s">
        <v>26</v>
      </c>
      <c r="J593" s="13" t="s">
        <v>1630</v>
      </c>
      <c r="K593" s="14" t="s">
        <v>6602</v>
      </c>
      <c r="L593" s="15">
        <v>1</v>
      </c>
      <c r="M593" s="15" t="s">
        <v>144</v>
      </c>
      <c r="N593" s="16">
        <v>40071</v>
      </c>
      <c r="O593" s="12" t="s">
        <v>6600</v>
      </c>
      <c r="P593" s="14" t="s">
        <v>6603</v>
      </c>
      <c r="Q593" s="17" t="s">
        <v>137</v>
      </c>
      <c r="R593" s="17" t="s">
        <v>146</v>
      </c>
    </row>
    <row r="594" spans="1:18" x14ac:dyDescent="0.3">
      <c r="A594" s="12" t="s">
        <v>6604</v>
      </c>
      <c r="B594" s="12" t="s">
        <v>14</v>
      </c>
      <c r="C594" s="12"/>
      <c r="D594" s="12" t="s">
        <v>14</v>
      </c>
      <c r="E594" s="12" t="s">
        <v>6605</v>
      </c>
      <c r="F594" s="12"/>
      <c r="G594" s="12" t="s">
        <v>367</v>
      </c>
      <c r="H594" s="12" t="s">
        <v>36</v>
      </c>
      <c r="I594" s="12" t="s">
        <v>26</v>
      </c>
      <c r="J594" s="13" t="s">
        <v>1436</v>
      </c>
      <c r="K594" s="14" t="s">
        <v>6606</v>
      </c>
      <c r="L594" s="15">
        <v>0</v>
      </c>
      <c r="M594" s="15" t="s">
        <v>144</v>
      </c>
      <c r="N594" s="16">
        <v>41395</v>
      </c>
      <c r="O594" s="12" t="s">
        <v>6604</v>
      </c>
      <c r="P594" s="14" t="s">
        <v>6607</v>
      </c>
      <c r="Q594" s="17" t="s">
        <v>137</v>
      </c>
      <c r="R594" s="17" t="s">
        <v>146</v>
      </c>
    </row>
    <row r="595" spans="1:18" x14ac:dyDescent="0.3">
      <c r="A595" s="12" t="s">
        <v>6608</v>
      </c>
      <c r="B595" s="12" t="s">
        <v>12</v>
      </c>
      <c r="C595" s="12"/>
      <c r="D595" s="12" t="s">
        <v>12</v>
      </c>
      <c r="E595" s="12" t="s">
        <v>6609</v>
      </c>
      <c r="F595" s="12"/>
      <c r="G595" s="12" t="s">
        <v>367</v>
      </c>
      <c r="H595" s="12" t="s">
        <v>36</v>
      </c>
      <c r="I595" s="12" t="s">
        <v>26</v>
      </c>
      <c r="J595" s="13" t="s">
        <v>1482</v>
      </c>
      <c r="K595" s="14" t="s">
        <v>6610</v>
      </c>
      <c r="L595" s="15">
        <v>0</v>
      </c>
      <c r="M595" s="15" t="s">
        <v>144</v>
      </c>
      <c r="N595" s="16">
        <v>39477</v>
      </c>
      <c r="O595" s="12" t="s">
        <v>6611</v>
      </c>
      <c r="P595" s="14" t="s">
        <v>6612</v>
      </c>
      <c r="Q595" s="17" t="s">
        <v>137</v>
      </c>
      <c r="R595" s="17" t="s">
        <v>146</v>
      </c>
    </row>
    <row r="596" spans="1:18" x14ac:dyDescent="0.3">
      <c r="A596" s="12" t="s">
        <v>6613</v>
      </c>
      <c r="B596" s="12" t="s">
        <v>12</v>
      </c>
      <c r="C596" s="12"/>
      <c r="D596" s="12" t="s">
        <v>12</v>
      </c>
      <c r="E596" s="12" t="s">
        <v>6614</v>
      </c>
      <c r="F596" s="12" t="s">
        <v>516</v>
      </c>
      <c r="G596" s="12" t="s">
        <v>367</v>
      </c>
      <c r="H596" s="12" t="s">
        <v>36</v>
      </c>
      <c r="I596" s="12" t="s">
        <v>26</v>
      </c>
      <c r="J596" s="13" t="s">
        <v>1442</v>
      </c>
      <c r="K596" s="14" t="s">
        <v>6615</v>
      </c>
      <c r="L596" s="15">
        <v>1</v>
      </c>
      <c r="M596" s="15" t="s">
        <v>144</v>
      </c>
      <c r="N596" s="16">
        <v>40288</v>
      </c>
      <c r="O596" s="12" t="s">
        <v>6613</v>
      </c>
      <c r="P596" s="14" t="s">
        <v>6616</v>
      </c>
      <c r="Q596" s="17" t="s">
        <v>137</v>
      </c>
      <c r="R596" s="17" t="s">
        <v>146</v>
      </c>
    </row>
    <row r="597" spans="1:18" x14ac:dyDescent="0.3">
      <c r="A597" s="12" t="s">
        <v>6617</v>
      </c>
      <c r="B597" s="12" t="s">
        <v>12</v>
      </c>
      <c r="C597" s="12"/>
      <c r="D597" s="12" t="s">
        <v>12</v>
      </c>
      <c r="E597" s="12" t="s">
        <v>6618</v>
      </c>
      <c r="F597" s="12" t="s">
        <v>520</v>
      </c>
      <c r="G597" s="12" t="s">
        <v>367</v>
      </c>
      <c r="H597" s="12" t="s">
        <v>36</v>
      </c>
      <c r="I597" s="12" t="s">
        <v>26</v>
      </c>
      <c r="J597" s="13" t="s">
        <v>1547</v>
      </c>
      <c r="K597" s="14" t="s">
        <v>6619</v>
      </c>
      <c r="L597" s="15">
        <v>0</v>
      </c>
      <c r="M597" s="15" t="s">
        <v>144</v>
      </c>
      <c r="N597" s="16">
        <v>41794</v>
      </c>
      <c r="O597" s="12" t="s">
        <v>6617</v>
      </c>
      <c r="P597" s="14" t="s">
        <v>6620</v>
      </c>
      <c r="Q597" s="17" t="s">
        <v>137</v>
      </c>
      <c r="R597" s="17" t="s">
        <v>146</v>
      </c>
    </row>
    <row r="598" spans="1:18" x14ac:dyDescent="0.3">
      <c r="A598" s="12" t="s">
        <v>6621</v>
      </c>
      <c r="B598" s="12" t="s">
        <v>12</v>
      </c>
      <c r="C598" s="12"/>
      <c r="D598" s="12" t="s">
        <v>12</v>
      </c>
      <c r="E598" s="12" t="s">
        <v>6622</v>
      </c>
      <c r="F598" s="12" t="s">
        <v>6623</v>
      </c>
      <c r="G598" s="12" t="s">
        <v>367</v>
      </c>
      <c r="H598" s="12" t="s">
        <v>36</v>
      </c>
      <c r="I598" s="12" t="s">
        <v>26</v>
      </c>
      <c r="J598" s="13" t="s">
        <v>1557</v>
      </c>
      <c r="K598" s="14" t="s">
        <v>6624</v>
      </c>
      <c r="L598" s="15">
        <v>1</v>
      </c>
      <c r="M598" s="15" t="s">
        <v>144</v>
      </c>
      <c r="N598" s="16">
        <v>41698</v>
      </c>
      <c r="O598" s="12" t="s">
        <v>6625</v>
      </c>
      <c r="P598" s="14" t="s">
        <v>6626</v>
      </c>
      <c r="Q598" s="17" t="s">
        <v>137</v>
      </c>
      <c r="R598" s="17" t="s">
        <v>146</v>
      </c>
    </row>
    <row r="599" spans="1:18" x14ac:dyDescent="0.3">
      <c r="A599" s="12" t="s">
        <v>6627</v>
      </c>
      <c r="B599" s="12" t="s">
        <v>12</v>
      </c>
      <c r="C599" s="12"/>
      <c r="D599" s="12" t="s">
        <v>12</v>
      </c>
      <c r="E599" s="12" t="s">
        <v>6628</v>
      </c>
      <c r="F599" s="12" t="s">
        <v>454</v>
      </c>
      <c r="G599" s="12" t="s">
        <v>367</v>
      </c>
      <c r="H599" s="12" t="s">
        <v>36</v>
      </c>
      <c r="I599" s="12" t="s">
        <v>26</v>
      </c>
      <c r="J599" s="13" t="s">
        <v>1456</v>
      </c>
      <c r="K599" s="14" t="s">
        <v>6629</v>
      </c>
      <c r="L599" s="15">
        <v>1</v>
      </c>
      <c r="M599" s="15" t="s">
        <v>144</v>
      </c>
      <c r="N599" s="16">
        <v>40634</v>
      </c>
      <c r="O599" s="12" t="s">
        <v>6627</v>
      </c>
      <c r="P599" s="14" t="s">
        <v>6630</v>
      </c>
      <c r="Q599" s="17" t="s">
        <v>137</v>
      </c>
      <c r="R599" s="17" t="s">
        <v>146</v>
      </c>
    </row>
    <row r="600" spans="1:18" x14ac:dyDescent="0.3">
      <c r="A600" s="12" t="s">
        <v>6631</v>
      </c>
      <c r="B600" s="12" t="s">
        <v>12</v>
      </c>
      <c r="C600" s="12"/>
      <c r="D600" s="12" t="s">
        <v>12</v>
      </c>
      <c r="E600" s="12" t="s">
        <v>6632</v>
      </c>
      <c r="F600" s="12" t="s">
        <v>6633</v>
      </c>
      <c r="G600" s="12" t="s">
        <v>367</v>
      </c>
      <c r="H600" s="12" t="s">
        <v>36</v>
      </c>
      <c r="I600" s="12" t="s">
        <v>26</v>
      </c>
      <c r="J600" s="13" t="s">
        <v>1654</v>
      </c>
      <c r="K600" s="14" t="s">
        <v>6634</v>
      </c>
      <c r="L600" s="15">
        <v>0</v>
      </c>
      <c r="M600" s="15" t="s">
        <v>144</v>
      </c>
      <c r="N600" s="16">
        <v>44042</v>
      </c>
      <c r="O600" s="12" t="s">
        <v>6631</v>
      </c>
      <c r="P600" s="14" t="s">
        <v>6635</v>
      </c>
      <c r="Q600" s="17" t="s">
        <v>137</v>
      </c>
      <c r="R600" s="17" t="s">
        <v>146</v>
      </c>
    </row>
    <row r="601" spans="1:18" x14ac:dyDescent="0.3">
      <c r="A601" s="12" t="s">
        <v>6636</v>
      </c>
      <c r="B601" s="12" t="s">
        <v>12</v>
      </c>
      <c r="C601" s="12"/>
      <c r="D601" s="12" t="s">
        <v>12</v>
      </c>
      <c r="E601" s="12" t="s">
        <v>6637</v>
      </c>
      <c r="F601" s="12"/>
      <c r="G601" s="12" t="s">
        <v>367</v>
      </c>
      <c r="H601" s="12" t="s">
        <v>36</v>
      </c>
      <c r="I601" s="12" t="s">
        <v>26</v>
      </c>
      <c r="J601" s="13" t="s">
        <v>1557</v>
      </c>
      <c r="K601" s="14" t="s">
        <v>6638</v>
      </c>
      <c r="L601" s="15">
        <v>1</v>
      </c>
      <c r="M601" s="15" t="s">
        <v>144</v>
      </c>
      <c r="N601" s="16">
        <v>40666</v>
      </c>
      <c r="O601" s="12" t="s">
        <v>6636</v>
      </c>
      <c r="P601" s="14" t="s">
        <v>6639</v>
      </c>
      <c r="Q601" s="17" t="s">
        <v>137</v>
      </c>
      <c r="R601" s="17" t="s">
        <v>146</v>
      </c>
    </row>
    <row r="602" spans="1:18" x14ac:dyDescent="0.3">
      <c r="A602" s="12" t="s">
        <v>6640</v>
      </c>
      <c r="B602" s="12" t="s">
        <v>12</v>
      </c>
      <c r="C602" s="12"/>
      <c r="D602" s="12" t="s">
        <v>12</v>
      </c>
      <c r="E602" s="12" t="s">
        <v>6641</v>
      </c>
      <c r="F602" s="12"/>
      <c r="G602" s="12" t="s">
        <v>367</v>
      </c>
      <c r="H602" s="12" t="s">
        <v>36</v>
      </c>
      <c r="I602" s="12" t="s">
        <v>26</v>
      </c>
      <c r="J602" s="13" t="s">
        <v>1630</v>
      </c>
      <c r="K602" s="14" t="s">
        <v>6642</v>
      </c>
      <c r="L602" s="15">
        <v>1</v>
      </c>
      <c r="M602" s="15" t="s">
        <v>144</v>
      </c>
      <c r="N602" s="16">
        <v>43697</v>
      </c>
      <c r="O602" s="12" t="s">
        <v>6640</v>
      </c>
      <c r="P602" s="14" t="s">
        <v>6643</v>
      </c>
      <c r="Q602" s="17" t="s">
        <v>137</v>
      </c>
      <c r="R602" s="17" t="s">
        <v>146</v>
      </c>
    </row>
    <row r="603" spans="1:18" x14ac:dyDescent="0.3">
      <c r="A603" s="12" t="s">
        <v>6644</v>
      </c>
      <c r="B603" s="12" t="s">
        <v>12</v>
      </c>
      <c r="C603" s="12"/>
      <c r="D603" s="12" t="s">
        <v>12</v>
      </c>
      <c r="E603" s="12" t="s">
        <v>6645</v>
      </c>
      <c r="F603" s="12" t="s">
        <v>6646</v>
      </c>
      <c r="G603" s="12" t="s">
        <v>367</v>
      </c>
      <c r="H603" s="12" t="s">
        <v>36</v>
      </c>
      <c r="I603" s="12" t="s">
        <v>26</v>
      </c>
      <c r="J603" s="13" t="s">
        <v>1557</v>
      </c>
      <c r="K603" s="14" t="s">
        <v>6647</v>
      </c>
      <c r="L603" s="15">
        <v>1</v>
      </c>
      <c r="M603" s="15" t="s">
        <v>144</v>
      </c>
      <c r="N603" s="16">
        <v>39680</v>
      </c>
      <c r="O603" s="12" t="s">
        <v>6644</v>
      </c>
      <c r="P603" s="14" t="s">
        <v>6648</v>
      </c>
      <c r="Q603" s="17" t="s">
        <v>137</v>
      </c>
      <c r="R603" s="17" t="s">
        <v>146</v>
      </c>
    </row>
    <row r="604" spans="1:18" x14ac:dyDescent="0.3">
      <c r="A604" s="12" t="s">
        <v>6649</v>
      </c>
      <c r="B604" s="12" t="s">
        <v>12</v>
      </c>
      <c r="C604" s="12"/>
      <c r="D604" s="12" t="s">
        <v>12</v>
      </c>
      <c r="E604" s="12" t="s">
        <v>6650</v>
      </c>
      <c r="F604" s="12"/>
      <c r="G604" s="12" t="s">
        <v>367</v>
      </c>
      <c r="H604" s="12" t="s">
        <v>36</v>
      </c>
      <c r="I604" s="12" t="s">
        <v>26</v>
      </c>
      <c r="J604" s="13" t="s">
        <v>6651</v>
      </c>
      <c r="K604" s="14" t="s">
        <v>6652</v>
      </c>
      <c r="L604" s="15">
        <v>1</v>
      </c>
      <c r="M604" s="15" t="s">
        <v>144</v>
      </c>
      <c r="N604" s="16">
        <v>40007</v>
      </c>
      <c r="O604" s="12" t="s">
        <v>6649</v>
      </c>
      <c r="P604" s="14" t="s">
        <v>6653</v>
      </c>
      <c r="Q604" s="17" t="s">
        <v>137</v>
      </c>
      <c r="R604" s="17" t="s">
        <v>146</v>
      </c>
    </row>
    <row r="605" spans="1:18" x14ac:dyDescent="0.3">
      <c r="A605" s="12" t="s">
        <v>6654</v>
      </c>
      <c r="B605" s="12" t="s">
        <v>12</v>
      </c>
      <c r="C605" s="12"/>
      <c r="D605" s="12" t="s">
        <v>12</v>
      </c>
      <c r="E605" s="12" t="s">
        <v>6655</v>
      </c>
      <c r="F605" s="12" t="s">
        <v>6656</v>
      </c>
      <c r="G605" s="12" t="s">
        <v>367</v>
      </c>
      <c r="H605" s="12" t="s">
        <v>36</v>
      </c>
      <c r="I605" s="12" t="s">
        <v>26</v>
      </c>
      <c r="J605" s="13" t="s">
        <v>1449</v>
      </c>
      <c r="K605" s="14" t="s">
        <v>6657</v>
      </c>
      <c r="L605" s="15">
        <v>0</v>
      </c>
      <c r="M605" s="15" t="s">
        <v>144</v>
      </c>
      <c r="N605" s="16">
        <v>44065</v>
      </c>
      <c r="O605" s="12" t="s">
        <v>6658</v>
      </c>
      <c r="P605" s="14" t="s">
        <v>6659</v>
      </c>
      <c r="Q605" s="17" t="s">
        <v>137</v>
      </c>
      <c r="R605" s="17" t="s">
        <v>146</v>
      </c>
    </row>
    <row r="606" spans="1:18" x14ac:dyDescent="0.3">
      <c r="A606" s="12" t="s">
        <v>6660</v>
      </c>
      <c r="B606" s="12" t="s">
        <v>12</v>
      </c>
      <c r="C606" s="12"/>
      <c r="D606" s="12" t="s">
        <v>12</v>
      </c>
      <c r="E606" s="12" t="s">
        <v>6661</v>
      </c>
      <c r="F606" s="12" t="s">
        <v>871</v>
      </c>
      <c r="G606" s="12" t="s">
        <v>367</v>
      </c>
      <c r="H606" s="12" t="s">
        <v>36</v>
      </c>
      <c r="I606" s="12" t="s">
        <v>26</v>
      </c>
      <c r="J606" s="13" t="s">
        <v>1751</v>
      </c>
      <c r="K606" s="14" t="s">
        <v>6662</v>
      </c>
      <c r="L606" s="15">
        <v>0</v>
      </c>
      <c r="M606" s="15" t="s">
        <v>144</v>
      </c>
      <c r="N606" s="16">
        <v>42394</v>
      </c>
      <c r="O606" s="12" t="s">
        <v>6660</v>
      </c>
      <c r="P606" s="14" t="s">
        <v>6663</v>
      </c>
      <c r="Q606" s="17" t="s">
        <v>137</v>
      </c>
      <c r="R606" s="17" t="s">
        <v>146</v>
      </c>
    </row>
    <row r="607" spans="1:18" x14ac:dyDescent="0.3">
      <c r="A607" s="12" t="s">
        <v>6664</v>
      </c>
      <c r="B607" s="12" t="s">
        <v>12</v>
      </c>
      <c r="C607" s="12"/>
      <c r="D607" s="12" t="s">
        <v>12</v>
      </c>
      <c r="E607" s="12" t="s">
        <v>6665</v>
      </c>
      <c r="F607" s="12"/>
      <c r="G607" s="12" t="s">
        <v>367</v>
      </c>
      <c r="H607" s="12" t="s">
        <v>36</v>
      </c>
      <c r="I607" s="12" t="s">
        <v>26</v>
      </c>
      <c r="J607" s="13" t="s">
        <v>1436</v>
      </c>
      <c r="K607" s="14" t="s">
        <v>6666</v>
      </c>
      <c r="L607" s="15">
        <v>1</v>
      </c>
      <c r="M607" s="15" t="s">
        <v>144</v>
      </c>
      <c r="N607" s="16">
        <v>40071</v>
      </c>
      <c r="O607" s="12" t="s">
        <v>6664</v>
      </c>
      <c r="P607" s="14" t="s">
        <v>6667</v>
      </c>
      <c r="Q607" s="17" t="s">
        <v>137</v>
      </c>
      <c r="R607" s="17" t="s">
        <v>146</v>
      </c>
    </row>
    <row r="608" spans="1:18" x14ac:dyDescent="0.3">
      <c r="A608" s="12" t="s">
        <v>6668</v>
      </c>
      <c r="B608" s="12" t="s">
        <v>12</v>
      </c>
      <c r="C608" s="12"/>
      <c r="D608" s="12" t="s">
        <v>12</v>
      </c>
      <c r="E608" s="12" t="s">
        <v>6669</v>
      </c>
      <c r="F608" s="12"/>
      <c r="G608" s="12" t="s">
        <v>367</v>
      </c>
      <c r="H608" s="12" t="s">
        <v>36</v>
      </c>
      <c r="I608" s="12" t="s">
        <v>26</v>
      </c>
      <c r="J608" s="13" t="s">
        <v>1482</v>
      </c>
      <c r="K608" s="14" t="s">
        <v>6670</v>
      </c>
      <c r="L608" s="15">
        <v>1</v>
      </c>
      <c r="M608" s="15" t="s">
        <v>144</v>
      </c>
      <c r="N608" s="16">
        <v>41757</v>
      </c>
      <c r="O608" s="12" t="s">
        <v>6671</v>
      </c>
      <c r="P608" s="14" t="s">
        <v>6672</v>
      </c>
      <c r="Q608" s="17" t="s">
        <v>137</v>
      </c>
      <c r="R608" s="17" t="s">
        <v>146</v>
      </c>
    </row>
    <row r="609" spans="1:18" x14ac:dyDescent="0.3">
      <c r="A609" s="12" t="s">
        <v>6673</v>
      </c>
      <c r="B609" s="12" t="s">
        <v>12</v>
      </c>
      <c r="C609" s="12"/>
      <c r="D609" s="12" t="s">
        <v>12</v>
      </c>
      <c r="E609" s="12" t="s">
        <v>6674</v>
      </c>
      <c r="F609" s="12" t="s">
        <v>447</v>
      </c>
      <c r="G609" s="12" t="s">
        <v>367</v>
      </c>
      <c r="H609" s="12" t="s">
        <v>36</v>
      </c>
      <c r="I609" s="12" t="s">
        <v>26</v>
      </c>
      <c r="J609" s="13" t="s">
        <v>6675</v>
      </c>
      <c r="K609" s="14" t="s">
        <v>6676</v>
      </c>
      <c r="L609" s="15">
        <v>0</v>
      </c>
      <c r="M609" s="15" t="s">
        <v>144</v>
      </c>
      <c r="N609" s="16">
        <v>39434</v>
      </c>
      <c r="O609" s="12" t="s">
        <v>6677</v>
      </c>
      <c r="P609" s="14" t="s">
        <v>6678</v>
      </c>
      <c r="Q609" s="17" t="s">
        <v>137</v>
      </c>
      <c r="R609" s="17" t="s">
        <v>146</v>
      </c>
    </row>
    <row r="610" spans="1:18" x14ac:dyDescent="0.3">
      <c r="A610" s="12" t="s">
        <v>6679</v>
      </c>
      <c r="B610" s="12" t="s">
        <v>12</v>
      </c>
      <c r="C610" s="12"/>
      <c r="D610" s="12" t="s">
        <v>12</v>
      </c>
      <c r="E610" s="12" t="s">
        <v>6680</v>
      </c>
      <c r="F610" s="12" t="s">
        <v>6681</v>
      </c>
      <c r="G610" s="12" t="s">
        <v>367</v>
      </c>
      <c r="H610" s="12" t="s">
        <v>36</v>
      </c>
      <c r="I610" s="12" t="s">
        <v>26</v>
      </c>
      <c r="J610" s="13" t="s">
        <v>1606</v>
      </c>
      <c r="K610" s="14" t="s">
        <v>6682</v>
      </c>
      <c r="L610" s="15">
        <v>1</v>
      </c>
      <c r="M610" s="15" t="s">
        <v>144</v>
      </c>
      <c r="N610" s="16">
        <v>41534</v>
      </c>
      <c r="O610" s="12" t="s">
        <v>6679</v>
      </c>
      <c r="P610" s="14" t="s">
        <v>6683</v>
      </c>
      <c r="Q610" s="17" t="s">
        <v>137</v>
      </c>
      <c r="R610" s="17" t="s">
        <v>146</v>
      </c>
    </row>
    <row r="611" spans="1:18" x14ac:dyDescent="0.3">
      <c r="A611" s="12" t="s">
        <v>6684</v>
      </c>
      <c r="B611" s="12" t="s">
        <v>12</v>
      </c>
      <c r="C611" s="12"/>
      <c r="D611" s="12" t="s">
        <v>12</v>
      </c>
      <c r="E611" s="12" t="s">
        <v>6685</v>
      </c>
      <c r="F611" s="12" t="s">
        <v>6686</v>
      </c>
      <c r="G611" s="12" t="s">
        <v>367</v>
      </c>
      <c r="H611" s="12" t="s">
        <v>36</v>
      </c>
      <c r="I611" s="12" t="s">
        <v>26</v>
      </c>
      <c r="J611" s="13" t="s">
        <v>6687</v>
      </c>
      <c r="K611" s="14" t="s">
        <v>6688</v>
      </c>
      <c r="L611" s="15">
        <v>0</v>
      </c>
      <c r="M611" s="15" t="s">
        <v>144</v>
      </c>
      <c r="N611" s="16">
        <v>42584</v>
      </c>
      <c r="O611" s="12" t="s">
        <v>6684</v>
      </c>
      <c r="P611" s="14" t="s">
        <v>6689</v>
      </c>
      <c r="Q611" s="17" t="s">
        <v>137</v>
      </c>
      <c r="R611" s="17" t="s">
        <v>146</v>
      </c>
    </row>
    <row r="612" spans="1:18" x14ac:dyDescent="0.3">
      <c r="A612" s="12" t="s">
        <v>6690</v>
      </c>
      <c r="B612" s="12" t="s">
        <v>12</v>
      </c>
      <c r="C612" s="12"/>
      <c r="D612" s="12" t="s">
        <v>12</v>
      </c>
      <c r="E612" s="12" t="s">
        <v>6691</v>
      </c>
      <c r="F612" s="12"/>
      <c r="G612" s="12" t="s">
        <v>367</v>
      </c>
      <c r="H612" s="12" t="s">
        <v>36</v>
      </c>
      <c r="I612" s="12" t="s">
        <v>26</v>
      </c>
      <c r="J612" s="13" t="s">
        <v>1472</v>
      </c>
      <c r="K612" s="14" t="s">
        <v>6692</v>
      </c>
      <c r="L612" s="15">
        <v>0</v>
      </c>
      <c r="M612" s="15" t="s">
        <v>144</v>
      </c>
      <c r="N612" s="16">
        <v>39463</v>
      </c>
      <c r="O612" s="12" t="s">
        <v>6690</v>
      </c>
      <c r="P612" s="14" t="s">
        <v>6693</v>
      </c>
      <c r="Q612" s="17" t="s">
        <v>137</v>
      </c>
      <c r="R612" s="17" t="s">
        <v>146</v>
      </c>
    </row>
    <row r="613" spans="1:18" x14ac:dyDescent="0.3">
      <c r="A613" s="12" t="s">
        <v>6694</v>
      </c>
      <c r="B613" s="12" t="s">
        <v>12</v>
      </c>
      <c r="C613" s="12"/>
      <c r="D613" s="12" t="s">
        <v>12</v>
      </c>
      <c r="E613" s="12" t="s">
        <v>6695</v>
      </c>
      <c r="F613" s="12"/>
      <c r="G613" s="12" t="s">
        <v>367</v>
      </c>
      <c r="H613" s="12" t="s">
        <v>36</v>
      </c>
      <c r="I613" s="12" t="s">
        <v>26</v>
      </c>
      <c r="J613" s="13" t="s">
        <v>1449</v>
      </c>
      <c r="K613" s="14" t="s">
        <v>6696</v>
      </c>
      <c r="L613" s="15">
        <v>1</v>
      </c>
      <c r="M613" s="15" t="s">
        <v>144</v>
      </c>
      <c r="N613" s="16">
        <v>40367</v>
      </c>
      <c r="O613" s="12" t="s">
        <v>6697</v>
      </c>
      <c r="P613" s="14" t="s">
        <v>6698</v>
      </c>
      <c r="Q613" s="17" t="s">
        <v>137</v>
      </c>
      <c r="R613" s="17" t="s">
        <v>146</v>
      </c>
    </row>
    <row r="614" spans="1:18" x14ac:dyDescent="0.3">
      <c r="A614" s="12" t="s">
        <v>6699</v>
      </c>
      <c r="B614" s="12" t="s">
        <v>12</v>
      </c>
      <c r="C614" s="12"/>
      <c r="D614" s="12" t="s">
        <v>12</v>
      </c>
      <c r="E614" s="12" t="s">
        <v>6700</v>
      </c>
      <c r="F614" s="12" t="s">
        <v>454</v>
      </c>
      <c r="G614" s="12" t="s">
        <v>367</v>
      </c>
      <c r="H614" s="12" t="s">
        <v>36</v>
      </c>
      <c r="I614" s="12" t="s">
        <v>26</v>
      </c>
      <c r="J614" s="13" t="s">
        <v>1482</v>
      </c>
      <c r="K614" s="14" t="s">
        <v>6701</v>
      </c>
      <c r="L614" s="15">
        <v>0</v>
      </c>
      <c r="M614" s="15" t="s">
        <v>144</v>
      </c>
      <c r="N614" s="16">
        <v>41913</v>
      </c>
      <c r="O614" s="12" t="s">
        <v>6699</v>
      </c>
      <c r="P614" s="14" t="s">
        <v>6702</v>
      </c>
      <c r="Q614" s="17" t="s">
        <v>137</v>
      </c>
      <c r="R614" s="17" t="s">
        <v>146</v>
      </c>
    </row>
    <row r="615" spans="1:18" x14ac:dyDescent="0.3">
      <c r="A615" s="12" t="s">
        <v>6703</v>
      </c>
      <c r="B615" s="12" t="s">
        <v>12</v>
      </c>
      <c r="C615" s="12"/>
      <c r="D615" s="12" t="s">
        <v>12</v>
      </c>
      <c r="E615" s="12" t="s">
        <v>6704</v>
      </c>
      <c r="F615" s="12"/>
      <c r="G615" s="12" t="s">
        <v>367</v>
      </c>
      <c r="H615" s="12" t="s">
        <v>36</v>
      </c>
      <c r="I615" s="12" t="s">
        <v>26</v>
      </c>
      <c r="J615" s="13" t="s">
        <v>6675</v>
      </c>
      <c r="K615" s="14" t="s">
        <v>6705</v>
      </c>
      <c r="L615" s="15">
        <v>0</v>
      </c>
      <c r="M615" s="15" t="s">
        <v>144</v>
      </c>
      <c r="N615" s="16">
        <v>44065</v>
      </c>
      <c r="O615" s="12" t="s">
        <v>6703</v>
      </c>
      <c r="P615" s="14" t="s">
        <v>6706</v>
      </c>
      <c r="Q615" s="17" t="s">
        <v>137</v>
      </c>
      <c r="R615" s="17" t="s">
        <v>146</v>
      </c>
    </row>
    <row r="616" spans="1:18" x14ac:dyDescent="0.3">
      <c r="A616" s="12" t="s">
        <v>6707</v>
      </c>
      <c r="B616" s="12" t="s">
        <v>12</v>
      </c>
      <c r="C616" s="12"/>
      <c r="D616" s="12" t="s">
        <v>12</v>
      </c>
      <c r="E616" s="12" t="s">
        <v>6708</v>
      </c>
      <c r="F616" s="12"/>
      <c r="G616" s="12" t="s">
        <v>367</v>
      </c>
      <c r="H616" s="12" t="s">
        <v>36</v>
      </c>
      <c r="I616" s="12" t="s">
        <v>26</v>
      </c>
      <c r="J616" s="13" t="s">
        <v>1547</v>
      </c>
      <c r="K616" s="14" t="s">
        <v>6709</v>
      </c>
      <c r="L616" s="15">
        <v>3</v>
      </c>
      <c r="M616" s="15" t="s">
        <v>144</v>
      </c>
      <c r="N616" s="16">
        <v>41302</v>
      </c>
      <c r="O616" s="12" t="s">
        <v>6707</v>
      </c>
      <c r="P616" s="14" t="s">
        <v>6710</v>
      </c>
      <c r="Q616" s="17" t="s">
        <v>137</v>
      </c>
      <c r="R616" s="17" t="s">
        <v>146</v>
      </c>
    </row>
    <row r="617" spans="1:18" x14ac:dyDescent="0.3">
      <c r="A617" s="12" t="s">
        <v>6711</v>
      </c>
      <c r="B617" s="12" t="s">
        <v>12</v>
      </c>
      <c r="C617" s="12"/>
      <c r="D617" s="12" t="s">
        <v>12</v>
      </c>
      <c r="E617" s="12" t="s">
        <v>6712</v>
      </c>
      <c r="F617" s="12"/>
      <c r="G617" s="12" t="s">
        <v>367</v>
      </c>
      <c r="H617" s="12" t="s">
        <v>36</v>
      </c>
      <c r="I617" s="12" t="s">
        <v>26</v>
      </c>
      <c r="J617" s="13" t="s">
        <v>1606</v>
      </c>
      <c r="K617" s="14" t="s">
        <v>6713</v>
      </c>
      <c r="L617" s="15">
        <v>0</v>
      </c>
      <c r="M617" s="15" t="s">
        <v>144</v>
      </c>
      <c r="N617" s="16">
        <v>39507</v>
      </c>
      <c r="O617" s="12" t="s">
        <v>6711</v>
      </c>
      <c r="P617" s="14" t="s">
        <v>6714</v>
      </c>
      <c r="Q617" s="17" t="s">
        <v>137</v>
      </c>
      <c r="R617" s="17" t="s">
        <v>146</v>
      </c>
    </row>
    <row r="618" spans="1:18" x14ac:dyDescent="0.3">
      <c r="A618" s="12" t="s">
        <v>6715</v>
      </c>
      <c r="B618" s="12" t="s">
        <v>14</v>
      </c>
      <c r="C618" s="12"/>
      <c r="D618" s="12" t="s">
        <v>14</v>
      </c>
      <c r="E618" s="12" t="s">
        <v>6716</v>
      </c>
      <c r="F618" s="12" t="s">
        <v>6717</v>
      </c>
      <c r="G618" s="12" t="s">
        <v>367</v>
      </c>
      <c r="H618" s="12" t="s">
        <v>36</v>
      </c>
      <c r="I618" s="12" t="s">
        <v>26</v>
      </c>
      <c r="J618" s="13" t="s">
        <v>1482</v>
      </c>
      <c r="K618" s="14" t="s">
        <v>6718</v>
      </c>
      <c r="L618" s="15">
        <v>0</v>
      </c>
      <c r="M618" s="15" t="s">
        <v>144</v>
      </c>
      <c r="N618" s="16">
        <v>43871</v>
      </c>
      <c r="O618" s="12" t="s">
        <v>6715</v>
      </c>
      <c r="P618" s="14" t="s">
        <v>6719</v>
      </c>
      <c r="Q618" s="17" t="s">
        <v>137</v>
      </c>
      <c r="R618" s="17" t="s">
        <v>146</v>
      </c>
    </row>
    <row r="619" spans="1:18" x14ac:dyDescent="0.3">
      <c r="A619" s="12" t="s">
        <v>6720</v>
      </c>
      <c r="B619" s="12" t="s">
        <v>12</v>
      </c>
      <c r="C619" s="12"/>
      <c r="D619" s="12" t="s">
        <v>12</v>
      </c>
      <c r="E619" s="12" t="s">
        <v>6721</v>
      </c>
      <c r="F619" s="12"/>
      <c r="G619" s="12" t="s">
        <v>367</v>
      </c>
      <c r="H619" s="12" t="s">
        <v>36</v>
      </c>
      <c r="I619" s="12" t="s">
        <v>26</v>
      </c>
      <c r="J619" s="13" t="s">
        <v>1482</v>
      </c>
      <c r="K619" s="14" t="s">
        <v>6722</v>
      </c>
      <c r="L619" s="15">
        <v>1</v>
      </c>
      <c r="M619" s="15" t="s">
        <v>144</v>
      </c>
      <c r="N619" s="16">
        <v>39743</v>
      </c>
      <c r="O619" s="12" t="s">
        <v>6720</v>
      </c>
      <c r="P619" s="14" t="s">
        <v>6723</v>
      </c>
      <c r="Q619" s="17" t="s">
        <v>137</v>
      </c>
      <c r="R619" s="17" t="s">
        <v>146</v>
      </c>
    </row>
    <row r="620" spans="1:18" x14ac:dyDescent="0.3">
      <c r="A620" s="12" t="s">
        <v>6724</v>
      </c>
      <c r="B620" s="12" t="s">
        <v>12</v>
      </c>
      <c r="C620" s="12"/>
      <c r="D620" s="12" t="s">
        <v>12</v>
      </c>
      <c r="E620" s="12" t="s">
        <v>6721</v>
      </c>
      <c r="F620" s="12"/>
      <c r="G620" s="12" t="s">
        <v>367</v>
      </c>
      <c r="H620" s="12" t="s">
        <v>36</v>
      </c>
      <c r="I620" s="12" t="s">
        <v>26</v>
      </c>
      <c r="J620" s="13" t="s">
        <v>1482</v>
      </c>
      <c r="K620" s="14" t="s">
        <v>6722</v>
      </c>
      <c r="L620" s="15">
        <v>1</v>
      </c>
      <c r="M620" s="15" t="s">
        <v>144</v>
      </c>
      <c r="N620" s="16">
        <v>39568</v>
      </c>
      <c r="O620" s="12" t="s">
        <v>6724</v>
      </c>
      <c r="P620" s="14" t="s">
        <v>6725</v>
      </c>
      <c r="Q620" s="17" t="s">
        <v>137</v>
      </c>
      <c r="R620" s="17" t="s">
        <v>146</v>
      </c>
    </row>
    <row r="621" spans="1:18" x14ac:dyDescent="0.3">
      <c r="A621" s="12" t="s">
        <v>6726</v>
      </c>
      <c r="B621" s="12" t="s">
        <v>12</v>
      </c>
      <c r="C621" s="12"/>
      <c r="D621" s="12" t="s">
        <v>12</v>
      </c>
      <c r="E621" s="12" t="s">
        <v>6727</v>
      </c>
      <c r="F621" s="12"/>
      <c r="G621" s="12" t="s">
        <v>367</v>
      </c>
      <c r="H621" s="12" t="s">
        <v>36</v>
      </c>
      <c r="I621" s="12" t="s">
        <v>26</v>
      </c>
      <c r="J621" s="13" t="s">
        <v>6728</v>
      </c>
      <c r="K621" s="14" t="s">
        <v>6729</v>
      </c>
      <c r="L621" s="15">
        <v>0</v>
      </c>
      <c r="M621" s="15" t="s">
        <v>144</v>
      </c>
      <c r="N621" s="16">
        <v>44065</v>
      </c>
      <c r="O621" s="12" t="s">
        <v>6726</v>
      </c>
      <c r="P621" s="14" t="s">
        <v>6730</v>
      </c>
      <c r="Q621" s="17" t="s">
        <v>137</v>
      </c>
      <c r="R621" s="17" t="s">
        <v>146</v>
      </c>
    </row>
    <row r="622" spans="1:18" x14ac:dyDescent="0.3">
      <c r="A622" s="12" t="s">
        <v>6731</v>
      </c>
      <c r="B622" s="12" t="s">
        <v>12</v>
      </c>
      <c r="C622" s="12"/>
      <c r="D622" s="12" t="s">
        <v>12</v>
      </c>
      <c r="E622" s="12" t="s">
        <v>6732</v>
      </c>
      <c r="F622" s="12" t="s">
        <v>1191</v>
      </c>
      <c r="G622" s="12" t="s">
        <v>367</v>
      </c>
      <c r="H622" s="12" t="s">
        <v>36</v>
      </c>
      <c r="I622" s="12" t="s">
        <v>26</v>
      </c>
      <c r="J622" s="13" t="s">
        <v>1557</v>
      </c>
      <c r="K622" s="14" t="s">
        <v>6733</v>
      </c>
      <c r="L622" s="15">
        <v>1</v>
      </c>
      <c r="M622" s="15" t="s">
        <v>144</v>
      </c>
      <c r="N622" s="16">
        <v>40700</v>
      </c>
      <c r="O622" s="12" t="s">
        <v>6731</v>
      </c>
      <c r="P622" s="14" t="s">
        <v>6734</v>
      </c>
      <c r="Q622" s="17" t="s">
        <v>137</v>
      </c>
      <c r="R622" s="17" t="s">
        <v>146</v>
      </c>
    </row>
    <row r="623" spans="1:18" x14ac:dyDescent="0.3">
      <c r="A623" s="12" t="s">
        <v>6735</v>
      </c>
      <c r="B623" s="12" t="s">
        <v>12</v>
      </c>
      <c r="C623" s="12"/>
      <c r="D623" s="12" t="s">
        <v>12</v>
      </c>
      <c r="E623" s="12" t="s">
        <v>6736</v>
      </c>
      <c r="F623" s="12" t="s">
        <v>195</v>
      </c>
      <c r="G623" s="12" t="s">
        <v>367</v>
      </c>
      <c r="H623" s="12" t="s">
        <v>36</v>
      </c>
      <c r="I623" s="12" t="s">
        <v>26</v>
      </c>
      <c r="J623" s="13" t="s">
        <v>1449</v>
      </c>
      <c r="K623" s="14" t="s">
        <v>6737</v>
      </c>
      <c r="L623" s="15">
        <v>0</v>
      </c>
      <c r="M623" s="15" t="s">
        <v>144</v>
      </c>
      <c r="N623" s="16">
        <v>44068</v>
      </c>
      <c r="O623" s="12" t="s">
        <v>6735</v>
      </c>
      <c r="P623" s="14" t="s">
        <v>6738</v>
      </c>
      <c r="Q623" s="17" t="s">
        <v>137</v>
      </c>
      <c r="R623" s="17" t="s">
        <v>146</v>
      </c>
    </row>
    <row r="624" spans="1:18" x14ac:dyDescent="0.3">
      <c r="A624" s="12" t="s">
        <v>6739</v>
      </c>
      <c r="B624" s="12" t="s">
        <v>12</v>
      </c>
      <c r="C624" s="12"/>
      <c r="D624" s="12" t="s">
        <v>12</v>
      </c>
      <c r="E624" s="12" t="s">
        <v>6740</v>
      </c>
      <c r="F624" s="12" t="s">
        <v>225</v>
      </c>
      <c r="G624" s="12" t="s">
        <v>367</v>
      </c>
      <c r="H624" s="12" t="s">
        <v>36</v>
      </c>
      <c r="I624" s="12" t="s">
        <v>26</v>
      </c>
      <c r="J624" s="13" t="s">
        <v>1456</v>
      </c>
      <c r="K624" s="14" t="s">
        <v>6741</v>
      </c>
      <c r="L624" s="15">
        <v>2</v>
      </c>
      <c r="M624" s="15" t="s">
        <v>144</v>
      </c>
      <c r="N624" s="16">
        <v>40561</v>
      </c>
      <c r="O624" s="12" t="s">
        <v>6739</v>
      </c>
      <c r="P624" s="14" t="s">
        <v>6742</v>
      </c>
      <c r="Q624" s="17" t="s">
        <v>137</v>
      </c>
      <c r="R624" s="17" t="s">
        <v>146</v>
      </c>
    </row>
    <row r="625" spans="1:18" x14ac:dyDescent="0.3">
      <c r="A625" s="12" t="s">
        <v>6743</v>
      </c>
      <c r="B625" s="12" t="s">
        <v>12</v>
      </c>
      <c r="C625" s="12"/>
      <c r="D625" s="12" t="s">
        <v>12</v>
      </c>
      <c r="E625" s="12" t="s">
        <v>6695</v>
      </c>
      <c r="F625" s="12"/>
      <c r="G625" s="12" t="s">
        <v>367</v>
      </c>
      <c r="H625" s="12" t="s">
        <v>36</v>
      </c>
      <c r="I625" s="12" t="s">
        <v>26</v>
      </c>
      <c r="J625" s="13" t="s">
        <v>1449</v>
      </c>
      <c r="K625" s="14" t="s">
        <v>6696</v>
      </c>
      <c r="L625" s="15">
        <v>1</v>
      </c>
      <c r="M625" s="15" t="s">
        <v>144</v>
      </c>
      <c r="N625" s="16">
        <v>40367</v>
      </c>
      <c r="O625" s="12" t="s">
        <v>6743</v>
      </c>
      <c r="P625" s="14" t="s">
        <v>6744</v>
      </c>
      <c r="Q625" s="17" t="s">
        <v>137</v>
      </c>
      <c r="R625" s="17" t="s">
        <v>146</v>
      </c>
    </row>
    <row r="626" spans="1:18" x14ac:dyDescent="0.3">
      <c r="A626" s="12" t="s">
        <v>6745</v>
      </c>
      <c r="B626" s="12" t="s">
        <v>12</v>
      </c>
      <c r="C626" s="12"/>
      <c r="D626" s="12" t="s">
        <v>12</v>
      </c>
      <c r="E626" s="12" t="s">
        <v>6746</v>
      </c>
      <c r="F626" s="12"/>
      <c r="G626" s="12" t="s">
        <v>367</v>
      </c>
      <c r="H626" s="12" t="s">
        <v>36</v>
      </c>
      <c r="I626" s="12" t="s">
        <v>26</v>
      </c>
      <c r="J626" s="13" t="s">
        <v>1436</v>
      </c>
      <c r="K626" s="14" t="s">
        <v>6747</v>
      </c>
      <c r="L626" s="15">
        <v>0</v>
      </c>
      <c r="M626" s="15" t="s">
        <v>144</v>
      </c>
      <c r="N626" s="16">
        <v>41229</v>
      </c>
      <c r="O626" s="12" t="s">
        <v>6748</v>
      </c>
      <c r="P626" s="14" t="s">
        <v>6749</v>
      </c>
      <c r="Q626" s="17" t="s">
        <v>137</v>
      </c>
      <c r="R626" s="17" t="s">
        <v>146</v>
      </c>
    </row>
    <row r="627" spans="1:18" x14ac:dyDescent="0.3">
      <c r="A627" s="12" t="s">
        <v>6750</v>
      </c>
      <c r="B627" s="12" t="s">
        <v>12</v>
      </c>
      <c r="C627" s="12"/>
      <c r="D627" s="12" t="s">
        <v>12</v>
      </c>
      <c r="E627" s="12" t="s">
        <v>6751</v>
      </c>
      <c r="F627" s="12"/>
      <c r="G627" s="12" t="s">
        <v>367</v>
      </c>
      <c r="H627" s="12" t="s">
        <v>36</v>
      </c>
      <c r="I627" s="12" t="s">
        <v>26</v>
      </c>
      <c r="J627" s="13" t="s">
        <v>1482</v>
      </c>
      <c r="K627" s="14" t="s">
        <v>6752</v>
      </c>
      <c r="L627" s="15">
        <v>1</v>
      </c>
      <c r="M627" s="15" t="s">
        <v>144</v>
      </c>
      <c r="N627" s="16">
        <v>40779</v>
      </c>
      <c r="O627" s="12" t="s">
        <v>6750</v>
      </c>
      <c r="P627" s="14" t="s">
        <v>6753</v>
      </c>
      <c r="Q627" s="17" t="s">
        <v>137</v>
      </c>
      <c r="R627" s="17" t="s">
        <v>146</v>
      </c>
    </row>
    <row r="628" spans="1:18" x14ac:dyDescent="0.3">
      <c r="A628" s="12" t="s">
        <v>6754</v>
      </c>
      <c r="B628" s="12" t="s">
        <v>12</v>
      </c>
      <c r="C628" s="12"/>
      <c r="D628" s="12" t="s">
        <v>12</v>
      </c>
      <c r="E628" s="12" t="s">
        <v>6755</v>
      </c>
      <c r="F628" s="12" t="s">
        <v>516</v>
      </c>
      <c r="G628" s="12" t="s">
        <v>367</v>
      </c>
      <c r="H628" s="12" t="s">
        <v>36</v>
      </c>
      <c r="I628" s="12" t="s">
        <v>26</v>
      </c>
      <c r="J628" s="13" t="s">
        <v>1436</v>
      </c>
      <c r="K628" s="14" t="s">
        <v>6756</v>
      </c>
      <c r="L628" s="15">
        <v>2</v>
      </c>
      <c r="M628" s="15" t="s">
        <v>144</v>
      </c>
      <c r="N628" s="16">
        <v>39871</v>
      </c>
      <c r="O628" s="12" t="s">
        <v>6754</v>
      </c>
      <c r="P628" s="14" t="s">
        <v>6757</v>
      </c>
      <c r="Q628" s="17" t="s">
        <v>137</v>
      </c>
      <c r="R628" s="17" t="s">
        <v>146</v>
      </c>
    </row>
    <row r="629" spans="1:18" x14ac:dyDescent="0.3">
      <c r="A629" s="12" t="s">
        <v>6758</v>
      </c>
      <c r="B629" s="12" t="s">
        <v>12</v>
      </c>
      <c r="C629" s="12"/>
      <c r="D629" s="12" t="s">
        <v>12</v>
      </c>
      <c r="E629" s="12" t="s">
        <v>6759</v>
      </c>
      <c r="F629" s="12" t="s">
        <v>1765</v>
      </c>
      <c r="G629" s="12" t="s">
        <v>367</v>
      </c>
      <c r="H629" s="12" t="s">
        <v>36</v>
      </c>
      <c r="I629" s="12" t="s">
        <v>26</v>
      </c>
      <c r="J629" s="13" t="s">
        <v>1898</v>
      </c>
      <c r="K629" s="14" t="s">
        <v>6760</v>
      </c>
      <c r="L629" s="15">
        <v>1</v>
      </c>
      <c r="M629" s="15" t="s">
        <v>144</v>
      </c>
      <c r="N629" s="16">
        <v>44074</v>
      </c>
      <c r="O629" s="12" t="s">
        <v>6758</v>
      </c>
      <c r="P629" s="14" t="s">
        <v>6761</v>
      </c>
      <c r="Q629" s="17" t="s">
        <v>137</v>
      </c>
      <c r="R629" s="17" t="s">
        <v>146</v>
      </c>
    </row>
    <row r="630" spans="1:18" x14ac:dyDescent="0.3">
      <c r="A630" s="12" t="s">
        <v>6762</v>
      </c>
      <c r="B630" s="12" t="s">
        <v>12</v>
      </c>
      <c r="C630" s="12"/>
      <c r="D630" s="12" t="s">
        <v>12</v>
      </c>
      <c r="E630" s="12" t="s">
        <v>6763</v>
      </c>
      <c r="F630" s="12"/>
      <c r="G630" s="12" t="s">
        <v>367</v>
      </c>
      <c r="H630" s="12" t="s">
        <v>36</v>
      </c>
      <c r="I630" s="12" t="s">
        <v>26</v>
      </c>
      <c r="J630" s="13" t="s">
        <v>1630</v>
      </c>
      <c r="K630" s="14" t="s">
        <v>6764</v>
      </c>
      <c r="L630" s="15">
        <v>1</v>
      </c>
      <c r="M630" s="15" t="s">
        <v>144</v>
      </c>
      <c r="N630" s="16">
        <v>42223</v>
      </c>
      <c r="O630" s="12" t="s">
        <v>6762</v>
      </c>
      <c r="P630" s="14" t="s">
        <v>6765</v>
      </c>
      <c r="Q630" s="17" t="s">
        <v>137</v>
      </c>
      <c r="R630" s="17" t="s">
        <v>146</v>
      </c>
    </row>
    <row r="631" spans="1:18" x14ac:dyDescent="0.3">
      <c r="A631" s="12" t="s">
        <v>6766</v>
      </c>
      <c r="B631" s="12" t="s">
        <v>12</v>
      </c>
      <c r="C631" s="12"/>
      <c r="D631" s="12" t="s">
        <v>12</v>
      </c>
      <c r="E631" s="12" t="s">
        <v>6767</v>
      </c>
      <c r="F631" s="12"/>
      <c r="G631" s="12" t="s">
        <v>367</v>
      </c>
      <c r="H631" s="12" t="s">
        <v>36</v>
      </c>
      <c r="I631" s="12" t="s">
        <v>26</v>
      </c>
      <c r="J631" s="13" t="s">
        <v>1547</v>
      </c>
      <c r="K631" s="14" t="s">
        <v>6768</v>
      </c>
      <c r="L631" s="15">
        <v>1</v>
      </c>
      <c r="M631" s="15" t="s">
        <v>144</v>
      </c>
      <c r="N631" s="16">
        <v>40514</v>
      </c>
      <c r="O631" s="12" t="s">
        <v>6766</v>
      </c>
      <c r="P631" s="14" t="s">
        <v>6769</v>
      </c>
      <c r="Q631" s="17" t="s">
        <v>137</v>
      </c>
      <c r="R631" s="17" t="s">
        <v>146</v>
      </c>
    </row>
    <row r="632" spans="1:18" x14ac:dyDescent="0.3">
      <c r="A632" s="12" t="s">
        <v>6770</v>
      </c>
      <c r="B632" s="12" t="s">
        <v>14</v>
      </c>
      <c r="C632" s="12"/>
      <c r="D632" s="12" t="s">
        <v>14</v>
      </c>
      <c r="E632" s="12" t="s">
        <v>6771</v>
      </c>
      <c r="F632" s="12" t="s">
        <v>1088</v>
      </c>
      <c r="G632" s="12" t="s">
        <v>367</v>
      </c>
      <c r="H632" s="12" t="s">
        <v>36</v>
      </c>
      <c r="I632" s="12" t="s">
        <v>26</v>
      </c>
      <c r="J632" s="13" t="s">
        <v>1624</v>
      </c>
      <c r="K632" s="14" t="s">
        <v>6772</v>
      </c>
      <c r="L632" s="15">
        <v>0</v>
      </c>
      <c r="M632" s="15" t="s">
        <v>144</v>
      </c>
      <c r="N632" s="16">
        <v>39667</v>
      </c>
      <c r="O632" s="12" t="s">
        <v>6770</v>
      </c>
      <c r="P632" s="14" t="s">
        <v>6773</v>
      </c>
      <c r="Q632" s="17" t="s">
        <v>137</v>
      </c>
      <c r="R632" s="17" t="s">
        <v>146</v>
      </c>
    </row>
    <row r="633" spans="1:18" x14ac:dyDescent="0.3">
      <c r="A633" s="12" t="s">
        <v>6774</v>
      </c>
      <c r="B633" s="12" t="s">
        <v>12</v>
      </c>
      <c r="C633" s="12"/>
      <c r="D633" s="12" t="s">
        <v>12</v>
      </c>
      <c r="E633" s="12" t="s">
        <v>6700</v>
      </c>
      <c r="F633" s="12" t="s">
        <v>454</v>
      </c>
      <c r="G633" s="12" t="s">
        <v>367</v>
      </c>
      <c r="H633" s="12" t="s">
        <v>36</v>
      </c>
      <c r="I633" s="12" t="s">
        <v>26</v>
      </c>
      <c r="J633" s="13" t="s">
        <v>1482</v>
      </c>
      <c r="K633" s="14" t="s">
        <v>5676</v>
      </c>
      <c r="L633" s="15">
        <v>0</v>
      </c>
      <c r="M633" s="15" t="s">
        <v>144</v>
      </c>
      <c r="N633" s="16">
        <v>43882</v>
      </c>
      <c r="O633" s="12" t="s">
        <v>6774</v>
      </c>
      <c r="P633" s="14" t="s">
        <v>6775</v>
      </c>
      <c r="Q633" s="17" t="s">
        <v>137</v>
      </c>
      <c r="R633" s="17" t="s">
        <v>146</v>
      </c>
    </row>
    <row r="634" spans="1:18" x14ac:dyDescent="0.3">
      <c r="A634" s="12" t="s">
        <v>6776</v>
      </c>
      <c r="B634" s="12" t="s">
        <v>12</v>
      </c>
      <c r="C634" s="12"/>
      <c r="D634" s="12" t="s">
        <v>12</v>
      </c>
      <c r="E634" s="12" t="s">
        <v>6777</v>
      </c>
      <c r="F634" s="12" t="s">
        <v>6778</v>
      </c>
      <c r="G634" s="12" t="s">
        <v>367</v>
      </c>
      <c r="H634" s="12" t="s">
        <v>36</v>
      </c>
      <c r="I634" s="12" t="s">
        <v>26</v>
      </c>
      <c r="J634" s="13" t="s">
        <v>1442</v>
      </c>
      <c r="K634" s="14" t="s">
        <v>6779</v>
      </c>
      <c r="L634" s="15">
        <v>1</v>
      </c>
      <c r="M634" s="15" t="s">
        <v>144</v>
      </c>
      <c r="N634" s="16">
        <v>41002</v>
      </c>
      <c r="O634" s="12" t="s">
        <v>6776</v>
      </c>
      <c r="P634" s="14" t="s">
        <v>6780</v>
      </c>
      <c r="Q634" s="17" t="s">
        <v>137</v>
      </c>
      <c r="R634" s="17" t="s">
        <v>146</v>
      </c>
    </row>
    <row r="635" spans="1:18" x14ac:dyDescent="0.3">
      <c r="A635" s="12" t="s">
        <v>6781</v>
      </c>
      <c r="B635" s="12" t="s">
        <v>10</v>
      </c>
      <c r="C635" s="12"/>
      <c r="D635" s="12" t="s">
        <v>230</v>
      </c>
      <c r="E635" s="12" t="s">
        <v>6782</v>
      </c>
      <c r="F635" s="12"/>
      <c r="G635" s="12" t="s">
        <v>367</v>
      </c>
      <c r="H635" s="12" t="s">
        <v>36</v>
      </c>
      <c r="I635" s="12" t="s">
        <v>26</v>
      </c>
      <c r="J635" s="13" t="s">
        <v>1442</v>
      </c>
      <c r="K635" s="14" t="s">
        <v>6783</v>
      </c>
      <c r="L635" s="15">
        <v>0</v>
      </c>
      <c r="M635" s="15" t="s">
        <v>220</v>
      </c>
      <c r="N635" s="16">
        <v>41830</v>
      </c>
      <c r="O635" s="12" t="s">
        <v>6781</v>
      </c>
      <c r="P635" s="14" t="s">
        <v>6784</v>
      </c>
      <c r="Q635" s="17" t="s">
        <v>137</v>
      </c>
      <c r="R635" s="17" t="s">
        <v>146</v>
      </c>
    </row>
    <row r="636" spans="1:18" x14ac:dyDescent="0.3">
      <c r="A636" s="12" t="s">
        <v>6785</v>
      </c>
      <c r="B636" s="12" t="s">
        <v>12</v>
      </c>
      <c r="C636" s="12"/>
      <c r="D636" s="12" t="s">
        <v>12</v>
      </c>
      <c r="E636" s="12" t="s">
        <v>6786</v>
      </c>
      <c r="F636" s="12"/>
      <c r="G636" s="12" t="s">
        <v>367</v>
      </c>
      <c r="H636" s="12" t="s">
        <v>36</v>
      </c>
      <c r="I636" s="12" t="s">
        <v>26</v>
      </c>
      <c r="J636" s="13" t="s">
        <v>1482</v>
      </c>
      <c r="K636" s="14" t="s">
        <v>6787</v>
      </c>
      <c r="L636" s="15">
        <v>2</v>
      </c>
      <c r="M636" s="15" t="s">
        <v>144</v>
      </c>
      <c r="N636" s="16">
        <v>39896</v>
      </c>
      <c r="O636" s="12" t="s">
        <v>6785</v>
      </c>
      <c r="P636" s="14" t="s">
        <v>6788</v>
      </c>
      <c r="Q636" s="17" t="s">
        <v>137</v>
      </c>
      <c r="R636" s="17" t="s">
        <v>146</v>
      </c>
    </row>
    <row r="637" spans="1:18" x14ac:dyDescent="0.3">
      <c r="A637" s="12" t="s">
        <v>6789</v>
      </c>
      <c r="B637" s="12" t="s">
        <v>12</v>
      </c>
      <c r="C637" s="12"/>
      <c r="D637" s="12" t="s">
        <v>12</v>
      </c>
      <c r="E637" s="12" t="s">
        <v>6790</v>
      </c>
      <c r="F637" s="12"/>
      <c r="G637" s="12" t="s">
        <v>367</v>
      </c>
      <c r="H637" s="12" t="s">
        <v>36</v>
      </c>
      <c r="I637" s="12" t="s">
        <v>26</v>
      </c>
      <c r="J637" s="13" t="s">
        <v>1436</v>
      </c>
      <c r="K637" s="14" t="s">
        <v>6791</v>
      </c>
      <c r="L637" s="15">
        <v>0</v>
      </c>
      <c r="M637" s="15" t="s">
        <v>144</v>
      </c>
      <c r="N637" s="16">
        <v>39555</v>
      </c>
      <c r="O637" s="12" t="s">
        <v>6789</v>
      </c>
      <c r="P637" s="14" t="s">
        <v>6792</v>
      </c>
      <c r="Q637" s="17" t="s">
        <v>137</v>
      </c>
      <c r="R637" s="17" t="s">
        <v>146</v>
      </c>
    </row>
    <row r="638" spans="1:18" x14ac:dyDescent="0.3">
      <c r="A638" s="12" t="s">
        <v>6793</v>
      </c>
      <c r="B638" s="12" t="s">
        <v>12</v>
      </c>
      <c r="C638" s="12"/>
      <c r="D638" s="12" t="s">
        <v>12</v>
      </c>
      <c r="E638" s="12" t="s">
        <v>6794</v>
      </c>
      <c r="F638" s="12" t="s">
        <v>6795</v>
      </c>
      <c r="G638" s="12" t="s">
        <v>367</v>
      </c>
      <c r="H638" s="12" t="s">
        <v>36</v>
      </c>
      <c r="I638" s="12" t="s">
        <v>26</v>
      </c>
      <c r="J638" s="13" t="s">
        <v>1492</v>
      </c>
      <c r="K638" s="14" t="s">
        <v>6796</v>
      </c>
      <c r="L638" s="15">
        <v>1</v>
      </c>
      <c r="M638" s="15" t="s">
        <v>144</v>
      </c>
      <c r="N638" s="16">
        <v>41359</v>
      </c>
      <c r="O638" s="12" t="s">
        <v>6797</v>
      </c>
      <c r="P638" s="14" t="s">
        <v>6798</v>
      </c>
      <c r="Q638" s="17" t="s">
        <v>137</v>
      </c>
      <c r="R638" s="17" t="s">
        <v>146</v>
      </c>
    </row>
    <row r="639" spans="1:18" x14ac:dyDescent="0.3">
      <c r="A639" s="12" t="s">
        <v>6799</v>
      </c>
      <c r="B639" s="12" t="s">
        <v>12</v>
      </c>
      <c r="C639" s="12"/>
      <c r="D639" s="12" t="s">
        <v>12</v>
      </c>
      <c r="E639" s="12" t="s">
        <v>6800</v>
      </c>
      <c r="F639" s="12" t="s">
        <v>832</v>
      </c>
      <c r="G639" s="12" t="s">
        <v>367</v>
      </c>
      <c r="H639" s="12" t="s">
        <v>36</v>
      </c>
      <c r="I639" s="12" t="s">
        <v>26</v>
      </c>
      <c r="J639" s="13" t="s">
        <v>1547</v>
      </c>
      <c r="K639" s="14" t="s">
        <v>6801</v>
      </c>
      <c r="L639" s="15">
        <v>1</v>
      </c>
      <c r="M639" s="15" t="s">
        <v>144</v>
      </c>
      <c r="N639" s="16">
        <v>42361</v>
      </c>
      <c r="O639" s="12" t="s">
        <v>6799</v>
      </c>
      <c r="P639" s="14" t="s">
        <v>6802</v>
      </c>
      <c r="Q639" s="17" t="s">
        <v>137</v>
      </c>
      <c r="R639" s="17" t="s">
        <v>146</v>
      </c>
    </row>
    <row r="640" spans="1:18" x14ac:dyDescent="0.3">
      <c r="A640" s="12" t="s">
        <v>6803</v>
      </c>
      <c r="B640" s="12" t="s">
        <v>12</v>
      </c>
      <c r="C640" s="12"/>
      <c r="D640" s="12" t="s">
        <v>12</v>
      </c>
      <c r="E640" s="12" t="s">
        <v>6732</v>
      </c>
      <c r="F640" s="12" t="s">
        <v>1191</v>
      </c>
      <c r="G640" s="12" t="s">
        <v>367</v>
      </c>
      <c r="H640" s="12" t="s">
        <v>36</v>
      </c>
      <c r="I640" s="12" t="s">
        <v>26</v>
      </c>
      <c r="J640" s="13" t="s">
        <v>1557</v>
      </c>
      <c r="K640" s="14" t="s">
        <v>6804</v>
      </c>
      <c r="L640" s="15">
        <v>1</v>
      </c>
      <c r="M640" s="15" t="s">
        <v>144</v>
      </c>
      <c r="N640" s="16">
        <v>40602</v>
      </c>
      <c r="O640" s="12" t="s">
        <v>6803</v>
      </c>
      <c r="P640" s="14" t="s">
        <v>6805</v>
      </c>
      <c r="Q640" s="17" t="s">
        <v>137</v>
      </c>
      <c r="R640" s="17" t="s">
        <v>146</v>
      </c>
    </row>
    <row r="641" spans="1:18" x14ac:dyDescent="0.3">
      <c r="A641" s="12" t="s">
        <v>6806</v>
      </c>
      <c r="B641" s="12" t="s">
        <v>12</v>
      </c>
      <c r="C641" s="12"/>
      <c r="D641" s="12" t="s">
        <v>12</v>
      </c>
      <c r="E641" s="12" t="s">
        <v>6807</v>
      </c>
      <c r="F641" s="12" t="s">
        <v>6808</v>
      </c>
      <c r="G641" s="12" t="s">
        <v>367</v>
      </c>
      <c r="H641" s="12" t="s">
        <v>36</v>
      </c>
      <c r="I641" s="12" t="s">
        <v>26</v>
      </c>
      <c r="J641" s="13" t="s">
        <v>1449</v>
      </c>
      <c r="K641" s="14" t="s">
        <v>6809</v>
      </c>
      <c r="L641" s="15">
        <v>1</v>
      </c>
      <c r="M641" s="15" t="s">
        <v>144</v>
      </c>
      <c r="N641" s="16">
        <v>39993</v>
      </c>
      <c r="O641" s="12" t="s">
        <v>6806</v>
      </c>
      <c r="P641" s="14" t="s">
        <v>6810</v>
      </c>
      <c r="Q641" s="17" t="s">
        <v>137</v>
      </c>
      <c r="R641" s="17" t="s">
        <v>146</v>
      </c>
    </row>
    <row r="642" spans="1:18" x14ac:dyDescent="0.3">
      <c r="A642" s="12" t="s">
        <v>6811</v>
      </c>
      <c r="B642" s="12" t="s">
        <v>14</v>
      </c>
      <c r="C642" s="12"/>
      <c r="D642" s="12" t="s">
        <v>14</v>
      </c>
      <c r="E642" s="12" t="s">
        <v>6812</v>
      </c>
      <c r="F642" s="12" t="s">
        <v>6813</v>
      </c>
      <c r="G642" s="12" t="s">
        <v>367</v>
      </c>
      <c r="H642" s="12" t="s">
        <v>36</v>
      </c>
      <c r="I642" s="12" t="s">
        <v>26</v>
      </c>
      <c r="J642" s="13" t="s">
        <v>905</v>
      </c>
      <c r="K642" s="14" t="s">
        <v>6814</v>
      </c>
      <c r="L642" s="15">
        <v>0</v>
      </c>
      <c r="M642" s="15" t="s">
        <v>144</v>
      </c>
      <c r="N642" s="16">
        <v>40627</v>
      </c>
      <c r="O642" s="12" t="s">
        <v>6811</v>
      </c>
      <c r="P642" s="14" t="s">
        <v>6815</v>
      </c>
      <c r="Q642" s="17" t="s">
        <v>137</v>
      </c>
      <c r="R642" s="17" t="s">
        <v>146</v>
      </c>
    </row>
    <row r="643" spans="1:18" x14ac:dyDescent="0.3">
      <c r="A643" s="12" t="s">
        <v>6816</v>
      </c>
      <c r="B643" s="12" t="s">
        <v>12</v>
      </c>
      <c r="C643" s="12"/>
      <c r="D643" s="12" t="s">
        <v>12</v>
      </c>
      <c r="E643" s="12" t="s">
        <v>6817</v>
      </c>
      <c r="F643" s="12"/>
      <c r="G643" s="12" t="s">
        <v>367</v>
      </c>
      <c r="H643" s="12" t="s">
        <v>36</v>
      </c>
      <c r="I643" s="12" t="s">
        <v>26</v>
      </c>
      <c r="J643" s="13" t="s">
        <v>1482</v>
      </c>
      <c r="K643" s="14" t="s">
        <v>6818</v>
      </c>
      <c r="L643" s="15">
        <v>0</v>
      </c>
      <c r="M643" s="15" t="s">
        <v>144</v>
      </c>
      <c r="N643" s="16">
        <v>44065</v>
      </c>
      <c r="O643" s="12" t="s">
        <v>6816</v>
      </c>
      <c r="P643" s="14" t="s">
        <v>6819</v>
      </c>
      <c r="Q643" s="17" t="s">
        <v>137</v>
      </c>
      <c r="R643" s="17" t="s">
        <v>146</v>
      </c>
    </row>
    <row r="644" spans="1:18" x14ac:dyDescent="0.3">
      <c r="A644" s="12" t="s">
        <v>6820</v>
      </c>
      <c r="B644" s="12" t="s">
        <v>12</v>
      </c>
      <c r="C644" s="12"/>
      <c r="D644" s="12" t="s">
        <v>12</v>
      </c>
      <c r="E644" s="12" t="s">
        <v>6821</v>
      </c>
      <c r="F644" s="12"/>
      <c r="G644" s="12" t="s">
        <v>367</v>
      </c>
      <c r="H644" s="12" t="s">
        <v>36</v>
      </c>
      <c r="I644" s="12" t="s">
        <v>26</v>
      </c>
      <c r="J644" s="13" t="s">
        <v>1547</v>
      </c>
      <c r="K644" s="14" t="s">
        <v>6822</v>
      </c>
      <c r="L644" s="15">
        <v>1</v>
      </c>
      <c r="M644" s="15" t="s">
        <v>144</v>
      </c>
      <c r="N644" s="16">
        <v>39942</v>
      </c>
      <c r="O644" s="12" t="s">
        <v>6823</v>
      </c>
      <c r="P644" s="14" t="s">
        <v>6824</v>
      </c>
      <c r="Q644" s="17" t="s">
        <v>137</v>
      </c>
      <c r="R644" s="17" t="s">
        <v>146</v>
      </c>
    </row>
    <row r="645" spans="1:18" x14ac:dyDescent="0.3">
      <c r="A645" s="12" t="s">
        <v>6825</v>
      </c>
      <c r="B645" s="12" t="s">
        <v>12</v>
      </c>
      <c r="C645" s="12"/>
      <c r="D645" s="12" t="s">
        <v>12</v>
      </c>
      <c r="E645" s="12" t="s">
        <v>1578</v>
      </c>
      <c r="F645" s="12" t="s">
        <v>6826</v>
      </c>
      <c r="G645" s="12" t="s">
        <v>367</v>
      </c>
      <c r="H645" s="12" t="s">
        <v>36</v>
      </c>
      <c r="I645" s="12" t="s">
        <v>26</v>
      </c>
      <c r="J645" s="13" t="s">
        <v>1492</v>
      </c>
      <c r="K645" s="14" t="s">
        <v>6827</v>
      </c>
      <c r="L645" s="15">
        <v>3</v>
      </c>
      <c r="M645" s="15" t="s">
        <v>144</v>
      </c>
      <c r="N645" s="16">
        <v>44065</v>
      </c>
      <c r="O645" s="12" t="s">
        <v>6825</v>
      </c>
      <c r="P645" s="14" t="s">
        <v>6828</v>
      </c>
      <c r="Q645" s="17" t="s">
        <v>137</v>
      </c>
      <c r="R645" s="17" t="s">
        <v>146</v>
      </c>
    </row>
    <row r="646" spans="1:18" x14ac:dyDescent="0.3">
      <c r="A646" s="12" t="s">
        <v>6829</v>
      </c>
      <c r="B646" s="12" t="s">
        <v>12</v>
      </c>
      <c r="C646" s="12"/>
      <c r="D646" s="12" t="s">
        <v>12</v>
      </c>
      <c r="E646" s="12" t="s">
        <v>6830</v>
      </c>
      <c r="F646" s="12"/>
      <c r="G646" s="12" t="s">
        <v>367</v>
      </c>
      <c r="H646" s="12" t="s">
        <v>36</v>
      </c>
      <c r="I646" s="12" t="s">
        <v>26</v>
      </c>
      <c r="J646" s="13" t="s">
        <v>1630</v>
      </c>
      <c r="K646" s="14" t="s">
        <v>6831</v>
      </c>
      <c r="L646" s="15">
        <v>0</v>
      </c>
      <c r="M646" s="15" t="s">
        <v>144</v>
      </c>
      <c r="N646" s="16">
        <v>44065</v>
      </c>
      <c r="O646" s="12" t="s">
        <v>6829</v>
      </c>
      <c r="P646" s="14" t="s">
        <v>6832</v>
      </c>
      <c r="Q646" s="17" t="s">
        <v>137</v>
      </c>
      <c r="R646" s="17" t="s">
        <v>146</v>
      </c>
    </row>
    <row r="647" spans="1:18" x14ac:dyDescent="0.3">
      <c r="A647" s="12" t="s">
        <v>6833</v>
      </c>
      <c r="B647" s="12" t="s">
        <v>14</v>
      </c>
      <c r="C647" s="12"/>
      <c r="D647" s="12" t="s">
        <v>14</v>
      </c>
      <c r="E647" s="12" t="s">
        <v>6655</v>
      </c>
      <c r="F647" s="12" t="s">
        <v>520</v>
      </c>
      <c r="G647" s="12" t="s">
        <v>367</v>
      </c>
      <c r="H647" s="12" t="s">
        <v>36</v>
      </c>
      <c r="I647" s="12" t="s">
        <v>26</v>
      </c>
      <c r="J647" s="13" t="s">
        <v>1449</v>
      </c>
      <c r="K647" s="14" t="s">
        <v>6834</v>
      </c>
      <c r="L647" s="15">
        <v>0</v>
      </c>
      <c r="M647" s="15" t="s">
        <v>144</v>
      </c>
      <c r="N647" s="16">
        <v>42773</v>
      </c>
      <c r="O647" s="12" t="s">
        <v>6833</v>
      </c>
      <c r="P647" s="14" t="s">
        <v>6835</v>
      </c>
      <c r="Q647" s="17" t="s">
        <v>137</v>
      </c>
      <c r="R647" s="17" t="s">
        <v>146</v>
      </c>
    </row>
    <row r="648" spans="1:18" x14ac:dyDescent="0.3">
      <c r="A648" s="12" t="s">
        <v>6836</v>
      </c>
      <c r="B648" s="12" t="s">
        <v>14</v>
      </c>
      <c r="C648" s="12"/>
      <c r="D648" s="12" t="s">
        <v>14</v>
      </c>
      <c r="E648" s="12" t="s">
        <v>6837</v>
      </c>
      <c r="F648" s="12"/>
      <c r="G648" s="12" t="s">
        <v>367</v>
      </c>
      <c r="H648" s="12" t="s">
        <v>36</v>
      </c>
      <c r="I648" s="12" t="s">
        <v>26</v>
      </c>
      <c r="J648" s="13" t="s">
        <v>1547</v>
      </c>
      <c r="K648" s="14" t="s">
        <v>6838</v>
      </c>
      <c r="L648" s="15">
        <v>3</v>
      </c>
      <c r="M648" s="15" t="s">
        <v>144</v>
      </c>
      <c r="N648" s="16">
        <v>42640</v>
      </c>
      <c r="O648" s="12" t="s">
        <v>6836</v>
      </c>
      <c r="P648" s="14" t="s">
        <v>6839</v>
      </c>
      <c r="Q648" s="17" t="s">
        <v>137</v>
      </c>
      <c r="R648" s="17" t="s">
        <v>146</v>
      </c>
    </row>
    <row r="649" spans="1:18" x14ac:dyDescent="0.3">
      <c r="A649" s="12" t="s">
        <v>6840</v>
      </c>
      <c r="B649" s="12" t="s">
        <v>12</v>
      </c>
      <c r="C649" s="12"/>
      <c r="D649" s="12" t="s">
        <v>12</v>
      </c>
      <c r="E649" s="12" t="s">
        <v>6841</v>
      </c>
      <c r="F649" s="12" t="s">
        <v>744</v>
      </c>
      <c r="G649" s="12" t="s">
        <v>367</v>
      </c>
      <c r="H649" s="12" t="s">
        <v>36</v>
      </c>
      <c r="I649" s="12" t="s">
        <v>26</v>
      </c>
      <c r="J649" s="13" t="s">
        <v>1482</v>
      </c>
      <c r="K649" s="14" t="s">
        <v>6842</v>
      </c>
      <c r="L649" s="15">
        <v>0</v>
      </c>
      <c r="M649" s="15" t="s">
        <v>144</v>
      </c>
      <c r="N649" s="16">
        <v>41164</v>
      </c>
      <c r="O649" s="12" t="s">
        <v>6840</v>
      </c>
      <c r="P649" s="14" t="s">
        <v>6843</v>
      </c>
      <c r="Q649" s="17" t="s">
        <v>137</v>
      </c>
      <c r="R649" s="17" t="s">
        <v>146</v>
      </c>
    </row>
    <row r="650" spans="1:18" x14ac:dyDescent="0.3">
      <c r="A650" s="12" t="s">
        <v>6844</v>
      </c>
      <c r="B650" s="12" t="s">
        <v>12</v>
      </c>
      <c r="C650" s="12"/>
      <c r="D650" s="12" t="s">
        <v>12</v>
      </c>
      <c r="E650" s="12" t="s">
        <v>6817</v>
      </c>
      <c r="F650" s="12" t="s">
        <v>1765</v>
      </c>
      <c r="G650" s="12" t="s">
        <v>367</v>
      </c>
      <c r="H650" s="12" t="s">
        <v>36</v>
      </c>
      <c r="I650" s="12" t="s">
        <v>26</v>
      </c>
      <c r="J650" s="13" t="s">
        <v>1482</v>
      </c>
      <c r="K650" s="14" t="s">
        <v>1483</v>
      </c>
      <c r="L650" s="15">
        <v>0</v>
      </c>
      <c r="M650" s="15" t="s">
        <v>144</v>
      </c>
      <c r="N650" s="16">
        <v>44065</v>
      </c>
      <c r="O650" s="12" t="s">
        <v>6844</v>
      </c>
      <c r="P650" s="14" t="s">
        <v>6845</v>
      </c>
      <c r="Q650" s="17" t="s">
        <v>137</v>
      </c>
      <c r="R650" s="17" t="s">
        <v>146</v>
      </c>
    </row>
    <row r="651" spans="1:18" x14ac:dyDescent="0.3">
      <c r="A651" s="12" t="s">
        <v>6846</v>
      </c>
      <c r="B651" s="12" t="s">
        <v>12</v>
      </c>
      <c r="C651" s="12"/>
      <c r="D651" s="12" t="s">
        <v>12</v>
      </c>
      <c r="E651" s="12" t="s">
        <v>1522</v>
      </c>
      <c r="F651" s="12" t="s">
        <v>510</v>
      </c>
      <c r="G651" s="12" t="s">
        <v>367</v>
      </c>
      <c r="H651" s="12" t="s">
        <v>36</v>
      </c>
      <c r="I651" s="12" t="s">
        <v>26</v>
      </c>
      <c r="J651" s="13" t="s">
        <v>1482</v>
      </c>
      <c r="K651" s="14" t="s">
        <v>6847</v>
      </c>
      <c r="L651" s="15">
        <v>0</v>
      </c>
      <c r="M651" s="15" t="s">
        <v>144</v>
      </c>
      <c r="N651" s="16">
        <v>42373</v>
      </c>
      <c r="O651" s="12" t="s">
        <v>6846</v>
      </c>
      <c r="P651" s="14" t="s">
        <v>6848</v>
      </c>
      <c r="Q651" s="17" t="s">
        <v>137</v>
      </c>
      <c r="R651" s="17" t="s">
        <v>146</v>
      </c>
    </row>
    <row r="652" spans="1:18" x14ac:dyDescent="0.3">
      <c r="A652" s="12" t="s">
        <v>6849</v>
      </c>
      <c r="B652" s="12" t="s">
        <v>12</v>
      </c>
      <c r="C652" s="12"/>
      <c r="D652" s="12" t="s">
        <v>12</v>
      </c>
      <c r="E652" s="12" t="s">
        <v>6850</v>
      </c>
      <c r="F652" s="12"/>
      <c r="G652" s="12" t="s">
        <v>367</v>
      </c>
      <c r="H652" s="12" t="s">
        <v>36</v>
      </c>
      <c r="I652" s="12" t="s">
        <v>26</v>
      </c>
      <c r="J652" s="13" t="s">
        <v>1630</v>
      </c>
      <c r="K652" s="14" t="s">
        <v>6851</v>
      </c>
      <c r="L652" s="15">
        <v>2</v>
      </c>
      <c r="M652" s="15" t="s">
        <v>144</v>
      </c>
      <c r="N652" s="16">
        <v>39657</v>
      </c>
      <c r="O652" s="12" t="s">
        <v>6849</v>
      </c>
      <c r="P652" s="14" t="s">
        <v>6852</v>
      </c>
      <c r="Q652" s="17" t="s">
        <v>137</v>
      </c>
      <c r="R652" s="17" t="s">
        <v>146</v>
      </c>
    </row>
    <row r="653" spans="1:18" x14ac:dyDescent="0.3">
      <c r="A653" s="12" t="s">
        <v>6853</v>
      </c>
      <c r="B653" s="12" t="s">
        <v>12</v>
      </c>
      <c r="C653" s="12"/>
      <c r="D653" s="12" t="s">
        <v>12</v>
      </c>
      <c r="E653" s="12" t="s">
        <v>6854</v>
      </c>
      <c r="F653" s="12"/>
      <c r="G653" s="12" t="s">
        <v>367</v>
      </c>
      <c r="H653" s="12" t="s">
        <v>36</v>
      </c>
      <c r="I653" s="12" t="s">
        <v>26</v>
      </c>
      <c r="J653" s="13" t="s">
        <v>1630</v>
      </c>
      <c r="K653" s="14" t="s">
        <v>6855</v>
      </c>
      <c r="L653" s="15">
        <v>1</v>
      </c>
      <c r="M653" s="15" t="s">
        <v>144</v>
      </c>
      <c r="N653" s="16">
        <v>41316</v>
      </c>
      <c r="O653" s="12" t="s">
        <v>6856</v>
      </c>
      <c r="P653" s="14" t="s">
        <v>6857</v>
      </c>
      <c r="Q653" s="17" t="s">
        <v>137</v>
      </c>
      <c r="R653" s="17" t="s">
        <v>146</v>
      </c>
    </row>
    <row r="654" spans="1:18" x14ac:dyDescent="0.3">
      <c r="A654" s="12" t="s">
        <v>6858</v>
      </c>
      <c r="B654" s="12" t="s">
        <v>12</v>
      </c>
      <c r="C654" s="12"/>
      <c r="D654" s="12" t="s">
        <v>12</v>
      </c>
      <c r="E654" s="12" t="s">
        <v>6859</v>
      </c>
      <c r="F654" s="12"/>
      <c r="G654" s="12" t="s">
        <v>367</v>
      </c>
      <c r="H654" s="12" t="s">
        <v>36</v>
      </c>
      <c r="I654" s="12" t="s">
        <v>26</v>
      </c>
      <c r="J654" s="13" t="s">
        <v>1547</v>
      </c>
      <c r="K654" s="14" t="s">
        <v>6860</v>
      </c>
      <c r="L654" s="15">
        <v>0</v>
      </c>
      <c r="M654" s="15" t="s">
        <v>144</v>
      </c>
      <c r="N654" s="16">
        <v>40984</v>
      </c>
      <c r="O654" s="12" t="s">
        <v>6858</v>
      </c>
      <c r="P654" s="14" t="s">
        <v>6861</v>
      </c>
      <c r="Q654" s="17" t="s">
        <v>137</v>
      </c>
      <c r="R654" s="17" t="s">
        <v>146</v>
      </c>
    </row>
    <row r="655" spans="1:18" x14ac:dyDescent="0.3">
      <c r="A655" s="12" t="s">
        <v>6862</v>
      </c>
      <c r="B655" s="12" t="s">
        <v>12</v>
      </c>
      <c r="C655" s="12"/>
      <c r="D655" s="12" t="s">
        <v>12</v>
      </c>
      <c r="E655" s="12" t="s">
        <v>6863</v>
      </c>
      <c r="F655" s="12"/>
      <c r="G655" s="12" t="s">
        <v>367</v>
      </c>
      <c r="H655" s="12" t="s">
        <v>36</v>
      </c>
      <c r="I655" s="12" t="s">
        <v>26</v>
      </c>
      <c r="J655" s="13" t="s">
        <v>1436</v>
      </c>
      <c r="K655" s="14" t="s">
        <v>6864</v>
      </c>
      <c r="L655" s="15">
        <v>2</v>
      </c>
      <c r="M655" s="15" t="s">
        <v>144</v>
      </c>
      <c r="N655" s="16">
        <v>41344</v>
      </c>
      <c r="O655" s="12" t="s">
        <v>6862</v>
      </c>
      <c r="P655" s="14" t="s">
        <v>6865</v>
      </c>
      <c r="Q655" s="17" t="s">
        <v>137</v>
      </c>
      <c r="R655" s="17" t="s">
        <v>146</v>
      </c>
    </row>
    <row r="656" spans="1:18" x14ac:dyDescent="0.3">
      <c r="A656" s="12" t="s">
        <v>6866</v>
      </c>
      <c r="B656" s="12" t="s">
        <v>12</v>
      </c>
      <c r="C656" s="12"/>
      <c r="D656" s="12" t="s">
        <v>12</v>
      </c>
      <c r="E656" s="12" t="s">
        <v>6867</v>
      </c>
      <c r="F656" s="12" t="s">
        <v>6868</v>
      </c>
      <c r="G656" s="12" t="s">
        <v>367</v>
      </c>
      <c r="H656" s="12" t="s">
        <v>36</v>
      </c>
      <c r="I656" s="12" t="s">
        <v>26</v>
      </c>
      <c r="J656" s="13" t="s">
        <v>1518</v>
      </c>
      <c r="K656" s="14" t="s">
        <v>6869</v>
      </c>
      <c r="L656" s="15">
        <v>0</v>
      </c>
      <c r="M656" s="15" t="s">
        <v>144</v>
      </c>
      <c r="N656" s="16">
        <v>44065</v>
      </c>
      <c r="O656" s="12" t="s">
        <v>6866</v>
      </c>
      <c r="P656" s="14" t="s">
        <v>6870</v>
      </c>
      <c r="Q656" s="17" t="s">
        <v>137</v>
      </c>
      <c r="R656" s="17" t="s">
        <v>146</v>
      </c>
    </row>
    <row r="657" spans="1:18" x14ac:dyDescent="0.3">
      <c r="A657" s="12" t="s">
        <v>6871</v>
      </c>
      <c r="B657" s="12" t="s">
        <v>12</v>
      </c>
      <c r="C657" s="12"/>
      <c r="D657" s="12" t="s">
        <v>12</v>
      </c>
      <c r="E657" s="12" t="s">
        <v>6763</v>
      </c>
      <c r="F657" s="12"/>
      <c r="G657" s="12" t="s">
        <v>367</v>
      </c>
      <c r="H657" s="12" t="s">
        <v>36</v>
      </c>
      <c r="I657" s="12" t="s">
        <v>26</v>
      </c>
      <c r="J657" s="13" t="s">
        <v>1630</v>
      </c>
      <c r="K657" s="14" t="s">
        <v>6872</v>
      </c>
      <c r="L657" s="15">
        <v>1</v>
      </c>
      <c r="M657" s="15" t="s">
        <v>144</v>
      </c>
      <c r="N657" s="16">
        <v>40668</v>
      </c>
      <c r="O657" s="12" t="s">
        <v>6871</v>
      </c>
      <c r="P657" s="14" t="s">
        <v>6873</v>
      </c>
      <c r="Q657" s="17" t="s">
        <v>137</v>
      </c>
      <c r="R657" s="17" t="s">
        <v>146</v>
      </c>
    </row>
    <row r="658" spans="1:18" x14ac:dyDescent="0.3">
      <c r="A658" s="12" t="s">
        <v>6874</v>
      </c>
      <c r="B658" s="12" t="s">
        <v>12</v>
      </c>
      <c r="C658" s="12"/>
      <c r="D658" s="12" t="s">
        <v>12</v>
      </c>
      <c r="E658" s="12" t="s">
        <v>6605</v>
      </c>
      <c r="F658" s="12"/>
      <c r="G658" s="12" t="s">
        <v>367</v>
      </c>
      <c r="H658" s="12" t="s">
        <v>36</v>
      </c>
      <c r="I658" s="12" t="s">
        <v>26</v>
      </c>
      <c r="J658" s="13" t="s">
        <v>1436</v>
      </c>
      <c r="K658" s="14" t="s">
        <v>6875</v>
      </c>
      <c r="L658" s="15">
        <v>0</v>
      </c>
      <c r="M658" s="15" t="s">
        <v>144</v>
      </c>
      <c r="N658" s="16">
        <v>43727</v>
      </c>
      <c r="O658" s="12" t="s">
        <v>6874</v>
      </c>
      <c r="P658" s="14" t="s">
        <v>6876</v>
      </c>
      <c r="Q658" s="17" t="s">
        <v>137</v>
      </c>
      <c r="R658" s="17" t="s">
        <v>146</v>
      </c>
    </row>
    <row r="659" spans="1:18" x14ac:dyDescent="0.3">
      <c r="A659" s="12" t="s">
        <v>6877</v>
      </c>
      <c r="B659" s="12" t="s">
        <v>12</v>
      </c>
      <c r="C659" s="12"/>
      <c r="D659" s="12" t="s">
        <v>12</v>
      </c>
      <c r="E659" s="12" t="s">
        <v>6878</v>
      </c>
      <c r="F659" s="12" t="s">
        <v>6879</v>
      </c>
      <c r="G659" s="12" t="s">
        <v>367</v>
      </c>
      <c r="H659" s="12" t="s">
        <v>36</v>
      </c>
      <c r="I659" s="12" t="s">
        <v>26</v>
      </c>
      <c r="J659" s="13" t="s">
        <v>1456</v>
      </c>
      <c r="K659" s="14" t="s">
        <v>6880</v>
      </c>
      <c r="L659" s="15">
        <v>1</v>
      </c>
      <c r="M659" s="15" t="s">
        <v>144</v>
      </c>
      <c r="N659" s="16">
        <v>44065</v>
      </c>
      <c r="O659" s="12" t="s">
        <v>6877</v>
      </c>
      <c r="P659" s="14" t="s">
        <v>6881</v>
      </c>
      <c r="Q659" s="17" t="s">
        <v>137</v>
      </c>
      <c r="R659" s="17" t="s">
        <v>146</v>
      </c>
    </row>
    <row r="660" spans="1:18" x14ac:dyDescent="0.3">
      <c r="A660" s="12" t="s">
        <v>6882</v>
      </c>
      <c r="B660" s="12" t="s">
        <v>12</v>
      </c>
      <c r="C660" s="12"/>
      <c r="D660" s="12" t="s">
        <v>12</v>
      </c>
      <c r="E660" s="12" t="s">
        <v>6883</v>
      </c>
      <c r="F660" s="12" t="s">
        <v>6884</v>
      </c>
      <c r="G660" s="12" t="s">
        <v>367</v>
      </c>
      <c r="H660" s="12" t="s">
        <v>36</v>
      </c>
      <c r="I660" s="12" t="s">
        <v>26</v>
      </c>
      <c r="J660" s="13" t="s">
        <v>1482</v>
      </c>
      <c r="K660" s="14" t="s">
        <v>6885</v>
      </c>
      <c r="L660" s="15">
        <v>1</v>
      </c>
      <c r="M660" s="15" t="s">
        <v>144</v>
      </c>
      <c r="N660" s="16">
        <v>41395</v>
      </c>
      <c r="O660" s="12" t="s">
        <v>6882</v>
      </c>
      <c r="P660" s="14" t="s">
        <v>6886</v>
      </c>
      <c r="Q660" s="17" t="s">
        <v>137</v>
      </c>
      <c r="R660" s="17" t="s">
        <v>146</v>
      </c>
    </row>
    <row r="661" spans="1:18" x14ac:dyDescent="0.3">
      <c r="A661" s="12" t="s">
        <v>6887</v>
      </c>
      <c r="B661" s="12" t="s">
        <v>12</v>
      </c>
      <c r="C661" s="12"/>
      <c r="D661" s="12" t="s">
        <v>12</v>
      </c>
      <c r="E661" s="12" t="s">
        <v>1623</v>
      </c>
      <c r="F661" s="12" t="s">
        <v>520</v>
      </c>
      <c r="G661" s="12" t="s">
        <v>367</v>
      </c>
      <c r="H661" s="12" t="s">
        <v>36</v>
      </c>
      <c r="I661" s="12" t="s">
        <v>26</v>
      </c>
      <c r="J661" s="13" t="s">
        <v>1624</v>
      </c>
      <c r="K661" s="14" t="s">
        <v>6888</v>
      </c>
      <c r="L661" s="15">
        <v>5</v>
      </c>
      <c r="M661" s="15" t="s">
        <v>144</v>
      </c>
      <c r="N661" s="16">
        <v>44065</v>
      </c>
      <c r="O661" s="12" t="s">
        <v>6889</v>
      </c>
      <c r="P661" s="14" t="s">
        <v>6890</v>
      </c>
      <c r="Q661" s="17" t="s">
        <v>137</v>
      </c>
      <c r="R661" s="17" t="s">
        <v>146</v>
      </c>
    </row>
    <row r="662" spans="1:18" x14ac:dyDescent="0.3">
      <c r="A662" s="12" t="s">
        <v>6891</v>
      </c>
      <c r="B662" s="12" t="s">
        <v>12</v>
      </c>
      <c r="C662" s="12"/>
      <c r="D662" s="12" t="s">
        <v>12</v>
      </c>
      <c r="E662" s="12" t="s">
        <v>1522</v>
      </c>
      <c r="F662" s="12" t="s">
        <v>510</v>
      </c>
      <c r="G662" s="12" t="s">
        <v>367</v>
      </c>
      <c r="H662" s="12" t="s">
        <v>36</v>
      </c>
      <c r="I662" s="12" t="s">
        <v>26</v>
      </c>
      <c r="J662" s="13" t="s">
        <v>1482</v>
      </c>
      <c r="K662" s="14" t="s">
        <v>1523</v>
      </c>
      <c r="L662" s="15">
        <v>0</v>
      </c>
      <c r="M662" s="15" t="s">
        <v>144</v>
      </c>
      <c r="N662" s="16">
        <v>43906</v>
      </c>
      <c r="O662" s="12" t="s">
        <v>6891</v>
      </c>
      <c r="P662" s="14" t="s">
        <v>6892</v>
      </c>
      <c r="Q662" s="17" t="s">
        <v>137</v>
      </c>
      <c r="R662" s="17" t="s">
        <v>146</v>
      </c>
    </row>
    <row r="663" spans="1:18" x14ac:dyDescent="0.3">
      <c r="A663" s="12" t="s">
        <v>6893</v>
      </c>
      <c r="B663" s="12" t="s">
        <v>14</v>
      </c>
      <c r="C663" s="12"/>
      <c r="D663" s="12" t="s">
        <v>14</v>
      </c>
      <c r="E663" s="12" t="s">
        <v>6894</v>
      </c>
      <c r="F663" s="12" t="s">
        <v>6895</v>
      </c>
      <c r="G663" s="12" t="s">
        <v>367</v>
      </c>
      <c r="H663" s="12" t="s">
        <v>36</v>
      </c>
      <c r="I663" s="12" t="s">
        <v>26</v>
      </c>
      <c r="J663" s="13" t="s">
        <v>1557</v>
      </c>
      <c r="K663" s="14" t="s">
        <v>6896</v>
      </c>
      <c r="L663" s="15">
        <v>4</v>
      </c>
      <c r="M663" s="15" t="s">
        <v>144</v>
      </c>
      <c r="N663" s="16">
        <v>39558</v>
      </c>
      <c r="O663" s="12" t="s">
        <v>6897</v>
      </c>
      <c r="P663" s="14" t="s">
        <v>6898</v>
      </c>
      <c r="Q663" s="17" t="s">
        <v>137</v>
      </c>
      <c r="R663" s="17" t="s">
        <v>146</v>
      </c>
    </row>
    <row r="664" spans="1:18" x14ac:dyDescent="0.3">
      <c r="A664" s="12" t="s">
        <v>6899</v>
      </c>
      <c r="B664" s="12" t="s">
        <v>12</v>
      </c>
      <c r="C664" s="12"/>
      <c r="D664" s="12" t="s">
        <v>12</v>
      </c>
      <c r="E664" s="12" t="s">
        <v>6900</v>
      </c>
      <c r="F664" s="12"/>
      <c r="G664" s="12" t="s">
        <v>367</v>
      </c>
      <c r="H664" s="12" t="s">
        <v>36</v>
      </c>
      <c r="I664" s="12" t="s">
        <v>26</v>
      </c>
      <c r="J664" s="13" t="s">
        <v>6687</v>
      </c>
      <c r="K664" s="14" t="s">
        <v>6901</v>
      </c>
      <c r="L664" s="15">
        <v>4</v>
      </c>
      <c r="M664" s="15" t="s">
        <v>144</v>
      </c>
      <c r="N664" s="16">
        <v>42074</v>
      </c>
      <c r="O664" s="12" t="s">
        <v>6902</v>
      </c>
      <c r="P664" s="14" t="s">
        <v>6903</v>
      </c>
      <c r="Q664" s="17" t="s">
        <v>137</v>
      </c>
      <c r="R664" s="17" t="s">
        <v>146</v>
      </c>
    </row>
    <row r="665" spans="1:18" x14ac:dyDescent="0.3">
      <c r="A665" s="12" t="s">
        <v>6904</v>
      </c>
      <c r="B665" s="12" t="s">
        <v>12</v>
      </c>
      <c r="C665" s="12"/>
      <c r="D665" s="12" t="s">
        <v>12</v>
      </c>
      <c r="E665" s="12" t="s">
        <v>6905</v>
      </c>
      <c r="F665" s="12" t="s">
        <v>918</v>
      </c>
      <c r="G665" s="12" t="s">
        <v>367</v>
      </c>
      <c r="H665" s="12" t="s">
        <v>36</v>
      </c>
      <c r="I665" s="12" t="s">
        <v>26</v>
      </c>
      <c r="J665" s="13" t="s">
        <v>1557</v>
      </c>
      <c r="K665" s="14" t="s">
        <v>6906</v>
      </c>
      <c r="L665" s="15">
        <v>2</v>
      </c>
      <c r="M665" s="15" t="s">
        <v>144</v>
      </c>
      <c r="N665" s="16">
        <v>44412</v>
      </c>
      <c r="O665" s="12" t="s">
        <v>6904</v>
      </c>
      <c r="P665" s="14" t="s">
        <v>6907</v>
      </c>
      <c r="Q665" s="17" t="s">
        <v>137</v>
      </c>
      <c r="R665" s="17" t="s">
        <v>146</v>
      </c>
    </row>
    <row r="666" spans="1:18" x14ac:dyDescent="0.3">
      <c r="A666" s="12" t="s">
        <v>6908</v>
      </c>
      <c r="B666" s="12" t="s">
        <v>12</v>
      </c>
      <c r="C666" s="12"/>
      <c r="D666" s="12" t="s">
        <v>12</v>
      </c>
      <c r="E666" s="12" t="s">
        <v>6905</v>
      </c>
      <c r="F666" s="12" t="s">
        <v>6052</v>
      </c>
      <c r="G666" s="12" t="s">
        <v>367</v>
      </c>
      <c r="H666" s="12" t="s">
        <v>36</v>
      </c>
      <c r="I666" s="12" t="s">
        <v>26</v>
      </c>
      <c r="J666" s="13" t="s">
        <v>1557</v>
      </c>
      <c r="K666" s="14" t="s">
        <v>6909</v>
      </c>
      <c r="L666" s="15">
        <v>2</v>
      </c>
      <c r="M666" s="15" t="s">
        <v>144</v>
      </c>
      <c r="N666" s="16">
        <v>42144</v>
      </c>
      <c r="O666" s="12" t="s">
        <v>6908</v>
      </c>
      <c r="P666" s="14" t="s">
        <v>6910</v>
      </c>
      <c r="Q666" s="17" t="s">
        <v>137</v>
      </c>
      <c r="R666" s="17" t="s">
        <v>146</v>
      </c>
    </row>
    <row r="667" spans="1:18" x14ac:dyDescent="0.3">
      <c r="A667" s="12" t="s">
        <v>6911</v>
      </c>
      <c r="B667" s="12" t="s">
        <v>12</v>
      </c>
      <c r="C667" s="12"/>
      <c r="D667" s="12" t="s">
        <v>12</v>
      </c>
      <c r="E667" s="12" t="s">
        <v>6912</v>
      </c>
      <c r="F667" s="12"/>
      <c r="G667" s="12" t="s">
        <v>367</v>
      </c>
      <c r="H667" s="12" t="s">
        <v>36</v>
      </c>
      <c r="I667" s="12" t="s">
        <v>26</v>
      </c>
      <c r="J667" s="13" t="s">
        <v>1442</v>
      </c>
      <c r="K667" s="14" t="s">
        <v>6913</v>
      </c>
      <c r="L667" s="15">
        <v>1</v>
      </c>
      <c r="M667" s="15" t="s">
        <v>144</v>
      </c>
      <c r="N667" s="16">
        <v>39279</v>
      </c>
      <c r="O667" s="12" t="s">
        <v>6914</v>
      </c>
      <c r="P667" s="14" t="s">
        <v>6915</v>
      </c>
      <c r="Q667" s="17" t="s">
        <v>137</v>
      </c>
      <c r="R667" s="17" t="s">
        <v>146</v>
      </c>
    </row>
    <row r="668" spans="1:18" x14ac:dyDescent="0.3">
      <c r="A668" s="12" t="s">
        <v>6916</v>
      </c>
      <c r="B668" s="12" t="s">
        <v>12</v>
      </c>
      <c r="C668" s="12"/>
      <c r="D668" s="12" t="s">
        <v>12</v>
      </c>
      <c r="E668" s="12" t="s">
        <v>6917</v>
      </c>
      <c r="F668" s="12"/>
      <c r="G668" s="12" t="s">
        <v>367</v>
      </c>
      <c r="H668" s="12" t="s">
        <v>36</v>
      </c>
      <c r="I668" s="12" t="s">
        <v>26</v>
      </c>
      <c r="J668" s="13" t="s">
        <v>1547</v>
      </c>
      <c r="K668" s="14" t="s">
        <v>6918</v>
      </c>
      <c r="L668" s="15">
        <v>1</v>
      </c>
      <c r="M668" s="15" t="s">
        <v>144</v>
      </c>
      <c r="N668" s="16">
        <v>42381</v>
      </c>
      <c r="O668" s="12" t="s">
        <v>6916</v>
      </c>
      <c r="P668" s="14" t="s">
        <v>6919</v>
      </c>
      <c r="Q668" s="17" t="s">
        <v>137</v>
      </c>
      <c r="R668" s="17" t="s">
        <v>146</v>
      </c>
    </row>
    <row r="669" spans="1:18" x14ac:dyDescent="0.3">
      <c r="A669" s="12" t="s">
        <v>6920</v>
      </c>
      <c r="B669" s="12" t="s">
        <v>14</v>
      </c>
      <c r="C669" s="12"/>
      <c r="D669" s="12" t="s">
        <v>14</v>
      </c>
      <c r="E669" s="12" t="s">
        <v>6921</v>
      </c>
      <c r="F669" s="12"/>
      <c r="G669" s="12" t="s">
        <v>367</v>
      </c>
      <c r="H669" s="12" t="s">
        <v>36</v>
      </c>
      <c r="I669" s="12" t="s">
        <v>26</v>
      </c>
      <c r="J669" s="13" t="s">
        <v>1606</v>
      </c>
      <c r="K669" s="14" t="s">
        <v>6922</v>
      </c>
      <c r="L669" s="15">
        <v>0</v>
      </c>
      <c r="M669" s="15" t="s">
        <v>144</v>
      </c>
      <c r="N669" s="16">
        <v>44208</v>
      </c>
      <c r="O669" s="12" t="s">
        <v>6920</v>
      </c>
      <c r="P669" s="14" t="s">
        <v>6923</v>
      </c>
      <c r="Q669" s="17" t="s">
        <v>137</v>
      </c>
      <c r="R669" s="17" t="s">
        <v>146</v>
      </c>
    </row>
    <row r="670" spans="1:18" x14ac:dyDescent="0.3">
      <c r="A670" s="12" t="s">
        <v>6920</v>
      </c>
      <c r="B670" s="12" t="s">
        <v>14</v>
      </c>
      <c r="C670" s="12"/>
      <c r="D670" s="12" t="s">
        <v>14</v>
      </c>
      <c r="E670" s="12" t="s">
        <v>6924</v>
      </c>
      <c r="F670" s="12" t="s">
        <v>389</v>
      </c>
      <c r="G670" s="12" t="s">
        <v>367</v>
      </c>
      <c r="H670" s="12" t="s">
        <v>36</v>
      </c>
      <c r="I670" s="12" t="s">
        <v>26</v>
      </c>
      <c r="J670" s="13" t="s">
        <v>6728</v>
      </c>
      <c r="K670" s="14" t="s">
        <v>6922</v>
      </c>
      <c r="L670" s="15">
        <v>0</v>
      </c>
      <c r="M670" s="15" t="s">
        <v>144</v>
      </c>
      <c r="N670" s="16">
        <v>44208</v>
      </c>
      <c r="O670" s="12" t="s">
        <v>6920</v>
      </c>
      <c r="P670" s="14" t="s">
        <v>6923</v>
      </c>
      <c r="Q670" s="17" t="s">
        <v>137</v>
      </c>
      <c r="R670" s="17" t="s">
        <v>146</v>
      </c>
    </row>
    <row r="671" spans="1:18" x14ac:dyDescent="0.3">
      <c r="A671" s="12" t="s">
        <v>6925</v>
      </c>
      <c r="B671" s="12" t="s">
        <v>12</v>
      </c>
      <c r="C671" s="12"/>
      <c r="D671" s="12" t="s">
        <v>12</v>
      </c>
      <c r="E671" s="12" t="s">
        <v>6926</v>
      </c>
      <c r="F671" s="12" t="s">
        <v>4565</v>
      </c>
      <c r="G671" s="12" t="s">
        <v>367</v>
      </c>
      <c r="H671" s="12" t="s">
        <v>36</v>
      </c>
      <c r="I671" s="12" t="s">
        <v>26</v>
      </c>
      <c r="J671" s="13" t="s">
        <v>1624</v>
      </c>
      <c r="K671" s="14" t="s">
        <v>6927</v>
      </c>
      <c r="L671" s="15">
        <v>2</v>
      </c>
      <c r="M671" s="15" t="s">
        <v>144</v>
      </c>
      <c r="N671" s="16">
        <v>44065</v>
      </c>
      <c r="O671" s="12" t="s">
        <v>6925</v>
      </c>
      <c r="P671" s="14" t="s">
        <v>6928</v>
      </c>
      <c r="Q671" s="17" t="s">
        <v>137</v>
      </c>
      <c r="R671" s="17" t="s">
        <v>146</v>
      </c>
    </row>
    <row r="672" spans="1:18" x14ac:dyDescent="0.3">
      <c r="A672" s="12" t="s">
        <v>6929</v>
      </c>
      <c r="B672" s="12" t="s">
        <v>12</v>
      </c>
      <c r="C672" s="12"/>
      <c r="D672" s="12" t="s">
        <v>12</v>
      </c>
      <c r="E672" s="12" t="s">
        <v>6704</v>
      </c>
      <c r="F672" s="12"/>
      <c r="G672" s="12" t="s">
        <v>367</v>
      </c>
      <c r="H672" s="12" t="s">
        <v>36</v>
      </c>
      <c r="I672" s="12" t="s">
        <v>26</v>
      </c>
      <c r="J672" s="13" t="s">
        <v>6675</v>
      </c>
      <c r="K672" s="14" t="s">
        <v>6705</v>
      </c>
      <c r="L672" s="15">
        <v>0</v>
      </c>
      <c r="M672" s="15" t="s">
        <v>144</v>
      </c>
      <c r="N672" s="16">
        <v>44065</v>
      </c>
      <c r="O672" s="12" t="s">
        <v>6929</v>
      </c>
      <c r="P672" s="14" t="s">
        <v>6930</v>
      </c>
      <c r="Q672" s="17" t="s">
        <v>137</v>
      </c>
      <c r="R672" s="17" t="s">
        <v>146</v>
      </c>
    </row>
    <row r="673" spans="1:18" x14ac:dyDescent="0.3">
      <c r="A673" s="12" t="s">
        <v>6931</v>
      </c>
      <c r="B673" s="12" t="s">
        <v>12</v>
      </c>
      <c r="C673" s="12"/>
      <c r="D673" s="12" t="s">
        <v>12</v>
      </c>
      <c r="E673" s="12" t="s">
        <v>6932</v>
      </c>
      <c r="F673" s="12" t="s">
        <v>6933</v>
      </c>
      <c r="G673" s="12" t="s">
        <v>367</v>
      </c>
      <c r="H673" s="12" t="s">
        <v>36</v>
      </c>
      <c r="I673" s="12" t="s">
        <v>26</v>
      </c>
      <c r="J673" s="13" t="s">
        <v>1482</v>
      </c>
      <c r="K673" s="14" t="s">
        <v>6934</v>
      </c>
      <c r="L673" s="15">
        <v>3</v>
      </c>
      <c r="M673" s="15" t="s">
        <v>144</v>
      </c>
      <c r="N673" s="16">
        <v>40485</v>
      </c>
      <c r="O673" s="12" t="s">
        <v>6935</v>
      </c>
      <c r="P673" s="14" t="s">
        <v>6936</v>
      </c>
      <c r="Q673" s="17" t="s">
        <v>137</v>
      </c>
      <c r="R673" s="17" t="s">
        <v>146</v>
      </c>
    </row>
    <row r="674" spans="1:18" x14ac:dyDescent="0.3">
      <c r="A674" s="12" t="s">
        <v>6937</v>
      </c>
      <c r="B674" s="12" t="s">
        <v>12</v>
      </c>
      <c r="C674" s="12"/>
      <c r="D674" s="12" t="s">
        <v>12</v>
      </c>
      <c r="E674" s="12" t="s">
        <v>6938</v>
      </c>
      <c r="F674" s="12"/>
      <c r="G674" s="12" t="s">
        <v>367</v>
      </c>
      <c r="H674" s="12" t="s">
        <v>36</v>
      </c>
      <c r="I674" s="12" t="s">
        <v>26</v>
      </c>
      <c r="J674" s="13" t="s">
        <v>1557</v>
      </c>
      <c r="K674" s="14" t="s">
        <v>6939</v>
      </c>
      <c r="L674" s="15">
        <v>0</v>
      </c>
      <c r="M674" s="15" t="s">
        <v>144</v>
      </c>
      <c r="N674" s="16">
        <v>42688</v>
      </c>
      <c r="O674" s="12" t="s">
        <v>6937</v>
      </c>
      <c r="P674" s="14" t="s">
        <v>6940</v>
      </c>
      <c r="Q674" s="17" t="s">
        <v>137</v>
      </c>
      <c r="R674" s="17" t="s">
        <v>146</v>
      </c>
    </row>
    <row r="675" spans="1:18" x14ac:dyDescent="0.3">
      <c r="A675" s="12" t="s">
        <v>6941</v>
      </c>
      <c r="B675" s="12" t="s">
        <v>12</v>
      </c>
      <c r="C675" s="12"/>
      <c r="D675" s="12" t="s">
        <v>12</v>
      </c>
      <c r="E675" s="12" t="s">
        <v>6942</v>
      </c>
      <c r="F675" s="12"/>
      <c r="G675" s="12" t="s">
        <v>367</v>
      </c>
      <c r="H675" s="12" t="s">
        <v>36</v>
      </c>
      <c r="I675" s="12" t="s">
        <v>26</v>
      </c>
      <c r="J675" s="13" t="s">
        <v>1482</v>
      </c>
      <c r="K675" s="14" t="s">
        <v>6943</v>
      </c>
      <c r="L675" s="15">
        <v>1</v>
      </c>
      <c r="M675" s="15" t="s">
        <v>144</v>
      </c>
      <c r="N675" s="16">
        <v>39454</v>
      </c>
      <c r="O675" s="12" t="s">
        <v>6941</v>
      </c>
      <c r="P675" s="14" t="s">
        <v>6944</v>
      </c>
      <c r="Q675" s="17" t="s">
        <v>137</v>
      </c>
      <c r="R675" s="17" t="s">
        <v>146</v>
      </c>
    </row>
    <row r="676" spans="1:18" x14ac:dyDescent="0.3">
      <c r="A676" s="12" t="s">
        <v>6945</v>
      </c>
      <c r="B676" s="12" t="s">
        <v>12</v>
      </c>
      <c r="C676" s="12"/>
      <c r="D676" s="12" t="s">
        <v>12</v>
      </c>
      <c r="E676" s="12" t="s">
        <v>1578</v>
      </c>
      <c r="F676" s="12" t="s">
        <v>6946</v>
      </c>
      <c r="G676" s="12" t="s">
        <v>367</v>
      </c>
      <c r="H676" s="12" t="s">
        <v>36</v>
      </c>
      <c r="I676" s="12" t="s">
        <v>26</v>
      </c>
      <c r="J676" s="13" t="s">
        <v>1492</v>
      </c>
      <c r="K676" s="14" t="s">
        <v>6947</v>
      </c>
      <c r="L676" s="15">
        <v>3</v>
      </c>
      <c r="M676" s="15" t="s">
        <v>144</v>
      </c>
      <c r="N676" s="16">
        <v>39588</v>
      </c>
      <c r="O676" s="12" t="s">
        <v>6945</v>
      </c>
      <c r="P676" s="14" t="s">
        <v>6948</v>
      </c>
      <c r="Q676" s="17" t="s">
        <v>137</v>
      </c>
      <c r="R676" s="17" t="s">
        <v>146</v>
      </c>
    </row>
    <row r="677" spans="1:18" x14ac:dyDescent="0.3">
      <c r="A677" s="12" t="s">
        <v>6949</v>
      </c>
      <c r="B677" s="12" t="s">
        <v>12</v>
      </c>
      <c r="C677" s="12"/>
      <c r="D677" s="12" t="s">
        <v>12</v>
      </c>
      <c r="E677" s="12" t="s">
        <v>6950</v>
      </c>
      <c r="F677" s="12" t="s">
        <v>6951</v>
      </c>
      <c r="G677" s="12" t="s">
        <v>367</v>
      </c>
      <c r="H677" s="12" t="s">
        <v>36</v>
      </c>
      <c r="I677" s="12" t="s">
        <v>26</v>
      </c>
      <c r="J677" s="13" t="s">
        <v>1482</v>
      </c>
      <c r="K677" s="14" t="s">
        <v>6952</v>
      </c>
      <c r="L677" s="15">
        <v>2</v>
      </c>
      <c r="M677" s="15" t="s">
        <v>144</v>
      </c>
      <c r="N677" s="16">
        <v>40140</v>
      </c>
      <c r="O677" s="12" t="s">
        <v>6949</v>
      </c>
      <c r="P677" s="14" t="s">
        <v>6953</v>
      </c>
      <c r="Q677" s="17" t="s">
        <v>137</v>
      </c>
      <c r="R677" s="17" t="s">
        <v>146</v>
      </c>
    </row>
    <row r="678" spans="1:18" x14ac:dyDescent="0.3">
      <c r="A678" s="12" t="s">
        <v>6954</v>
      </c>
      <c r="B678" s="12" t="s">
        <v>10</v>
      </c>
      <c r="C678" s="12" t="s">
        <v>12</v>
      </c>
      <c r="D678" s="12" t="s">
        <v>4990</v>
      </c>
      <c r="E678" s="12" t="s">
        <v>6955</v>
      </c>
      <c r="F678" s="12"/>
      <c r="G678" s="12" t="s">
        <v>367</v>
      </c>
      <c r="H678" s="12" t="s">
        <v>36</v>
      </c>
      <c r="I678" s="12" t="s">
        <v>26</v>
      </c>
      <c r="J678" s="13" t="s">
        <v>1482</v>
      </c>
      <c r="K678" s="14" t="s">
        <v>6956</v>
      </c>
      <c r="L678" s="15">
        <v>0</v>
      </c>
      <c r="M678" s="15" t="s">
        <v>144</v>
      </c>
      <c r="N678" s="16">
        <v>41948</v>
      </c>
      <c r="O678" s="12" t="s">
        <v>6954</v>
      </c>
      <c r="P678" s="14" t="s">
        <v>6957</v>
      </c>
      <c r="Q678" s="17" t="s">
        <v>137</v>
      </c>
      <c r="R678" s="17" t="s">
        <v>146</v>
      </c>
    </row>
    <row r="679" spans="1:18" x14ac:dyDescent="0.3">
      <c r="A679" s="12" t="s">
        <v>6958</v>
      </c>
      <c r="B679" s="12" t="s">
        <v>16</v>
      </c>
      <c r="C679" s="12"/>
      <c r="D679" s="12" t="s">
        <v>993</v>
      </c>
      <c r="E679" s="12" t="s">
        <v>5725</v>
      </c>
      <c r="F679" s="12"/>
      <c r="G679" s="12" t="s">
        <v>367</v>
      </c>
      <c r="H679" s="12" t="s">
        <v>36</v>
      </c>
      <c r="I679" s="12" t="s">
        <v>26</v>
      </c>
      <c r="J679" s="13" t="s">
        <v>1006</v>
      </c>
      <c r="K679" s="14" t="s">
        <v>5756</v>
      </c>
      <c r="L679" s="15">
        <v>0</v>
      </c>
      <c r="M679" s="15" t="s">
        <v>144</v>
      </c>
      <c r="N679" s="16">
        <v>42408</v>
      </c>
      <c r="O679" s="12" t="s">
        <v>6958</v>
      </c>
      <c r="P679" s="14" t="s">
        <v>6959</v>
      </c>
      <c r="Q679" s="17" t="s">
        <v>137</v>
      </c>
      <c r="R679" s="17" t="s">
        <v>146</v>
      </c>
    </row>
    <row r="680" spans="1:18" x14ac:dyDescent="0.3">
      <c r="A680" s="12" t="s">
        <v>6960</v>
      </c>
      <c r="B680" s="12" t="s">
        <v>12</v>
      </c>
      <c r="C680" s="12"/>
      <c r="D680" s="12" t="s">
        <v>12</v>
      </c>
      <c r="E680" s="12" t="s">
        <v>6961</v>
      </c>
      <c r="F680" s="12" t="s">
        <v>615</v>
      </c>
      <c r="G680" s="12" t="s">
        <v>367</v>
      </c>
      <c r="H680" s="12" t="s">
        <v>36</v>
      </c>
      <c r="I680" s="12" t="s">
        <v>26</v>
      </c>
      <c r="J680" s="13" t="s">
        <v>1482</v>
      </c>
      <c r="K680" s="14" t="s">
        <v>4515</v>
      </c>
      <c r="L680" s="15">
        <v>1</v>
      </c>
      <c r="M680" s="15" t="s">
        <v>144</v>
      </c>
      <c r="N680" s="16">
        <v>41928</v>
      </c>
      <c r="O680" s="12" t="s">
        <v>6960</v>
      </c>
      <c r="P680" s="14" t="s">
        <v>6962</v>
      </c>
      <c r="Q680" s="17" t="s">
        <v>137</v>
      </c>
      <c r="R680" s="17" t="s">
        <v>146</v>
      </c>
    </row>
    <row r="681" spans="1:18" x14ac:dyDescent="0.3">
      <c r="A681" s="12" t="s">
        <v>6963</v>
      </c>
      <c r="B681" s="12" t="s">
        <v>14</v>
      </c>
      <c r="C681" s="12"/>
      <c r="D681" s="12" t="s">
        <v>14</v>
      </c>
      <c r="E681" s="12" t="s">
        <v>6655</v>
      </c>
      <c r="F681" s="12" t="s">
        <v>6964</v>
      </c>
      <c r="G681" s="12" t="s">
        <v>367</v>
      </c>
      <c r="H681" s="12" t="s">
        <v>36</v>
      </c>
      <c r="I681" s="12" t="s">
        <v>26</v>
      </c>
      <c r="J681" s="13" t="s">
        <v>1449</v>
      </c>
      <c r="K681" s="14" t="s">
        <v>6965</v>
      </c>
      <c r="L681" s="15">
        <v>0</v>
      </c>
      <c r="M681" s="15" t="s">
        <v>144</v>
      </c>
      <c r="N681" s="16">
        <v>42158</v>
      </c>
      <c r="O681" s="12" t="s">
        <v>6963</v>
      </c>
      <c r="P681" s="14" t="s">
        <v>6966</v>
      </c>
      <c r="Q681" s="17" t="s">
        <v>137</v>
      </c>
      <c r="R681" s="17" t="s">
        <v>146</v>
      </c>
    </row>
    <row r="682" spans="1:18" x14ac:dyDescent="0.3">
      <c r="A682" s="12" t="s">
        <v>6967</v>
      </c>
      <c r="B682" s="12" t="s">
        <v>12</v>
      </c>
      <c r="C682" s="12"/>
      <c r="D682" s="12" t="s">
        <v>12</v>
      </c>
      <c r="E682" s="12" t="s">
        <v>6968</v>
      </c>
      <c r="F682" s="12"/>
      <c r="G682" s="12" t="s">
        <v>367</v>
      </c>
      <c r="H682" s="12" t="s">
        <v>36</v>
      </c>
      <c r="I682" s="12" t="s">
        <v>26</v>
      </c>
      <c r="J682" s="13" t="s">
        <v>1482</v>
      </c>
      <c r="K682" s="14" t="s">
        <v>6969</v>
      </c>
      <c r="L682" s="15">
        <v>1</v>
      </c>
      <c r="M682" s="15" t="s">
        <v>144</v>
      </c>
      <c r="N682" s="16">
        <v>43693</v>
      </c>
      <c r="O682" s="12" t="s">
        <v>6970</v>
      </c>
      <c r="P682" s="14" t="s">
        <v>6971</v>
      </c>
      <c r="Q682" s="17" t="s">
        <v>137</v>
      </c>
      <c r="R682" s="17" t="s">
        <v>146</v>
      </c>
    </row>
    <row r="683" spans="1:18" x14ac:dyDescent="0.3">
      <c r="A683" s="12" t="s">
        <v>6972</v>
      </c>
      <c r="B683" s="12" t="s">
        <v>12</v>
      </c>
      <c r="C683" s="12" t="s">
        <v>14</v>
      </c>
      <c r="D683" s="12" t="s">
        <v>180</v>
      </c>
      <c r="E683" s="12" t="s">
        <v>1631</v>
      </c>
      <c r="F683" s="12" t="s">
        <v>218</v>
      </c>
      <c r="G683" s="12" t="s">
        <v>367</v>
      </c>
      <c r="H683" s="12" t="s">
        <v>36</v>
      </c>
      <c r="I683" s="12" t="s">
        <v>26</v>
      </c>
      <c r="J683" s="13" t="s">
        <v>1436</v>
      </c>
      <c r="K683" s="14" t="s">
        <v>6973</v>
      </c>
      <c r="L683" s="15">
        <v>0</v>
      </c>
      <c r="M683" s="15" t="s">
        <v>144</v>
      </c>
      <c r="N683" s="16">
        <v>43525</v>
      </c>
      <c r="O683" s="12" t="s">
        <v>6972</v>
      </c>
      <c r="P683" s="14" t="s">
        <v>6974</v>
      </c>
      <c r="Q683" s="17" t="s">
        <v>137</v>
      </c>
      <c r="R683" s="17" t="s">
        <v>146</v>
      </c>
    </row>
    <row r="684" spans="1:18" x14ac:dyDescent="0.3">
      <c r="A684" s="12" t="s">
        <v>6975</v>
      </c>
      <c r="B684" s="12" t="s">
        <v>20</v>
      </c>
      <c r="C684" s="12"/>
      <c r="D684" s="12" t="s">
        <v>193</v>
      </c>
      <c r="E684" s="12" t="s">
        <v>1578</v>
      </c>
      <c r="F684" s="12" t="s">
        <v>6976</v>
      </c>
      <c r="G684" s="12" t="s">
        <v>367</v>
      </c>
      <c r="H684" s="12" t="s">
        <v>36</v>
      </c>
      <c r="I684" s="12" t="s">
        <v>26</v>
      </c>
      <c r="J684" s="13" t="s">
        <v>1492</v>
      </c>
      <c r="K684" s="14" t="s">
        <v>6977</v>
      </c>
      <c r="L684" s="15">
        <v>1</v>
      </c>
      <c r="M684" s="15" t="s">
        <v>144</v>
      </c>
      <c r="N684" s="16">
        <v>44065</v>
      </c>
      <c r="O684" s="12" t="s">
        <v>6978</v>
      </c>
      <c r="P684" s="14" t="s">
        <v>6979</v>
      </c>
      <c r="Q684" s="17" t="s">
        <v>137</v>
      </c>
      <c r="R684" s="17" t="s">
        <v>146</v>
      </c>
    </row>
    <row r="685" spans="1:18" x14ac:dyDescent="0.3">
      <c r="A685" s="12" t="s">
        <v>6980</v>
      </c>
      <c r="B685" s="12" t="s">
        <v>14</v>
      </c>
      <c r="C685" s="12" t="s">
        <v>16</v>
      </c>
      <c r="D685" s="12" t="s">
        <v>2277</v>
      </c>
      <c r="E685" s="12" t="s">
        <v>6981</v>
      </c>
      <c r="F685" s="12" t="s">
        <v>5508</v>
      </c>
      <c r="G685" s="12" t="s">
        <v>367</v>
      </c>
      <c r="H685" s="12" t="s">
        <v>36</v>
      </c>
      <c r="I685" s="12" t="s">
        <v>26</v>
      </c>
      <c r="J685" s="13" t="s">
        <v>1442</v>
      </c>
      <c r="K685" s="14" t="s">
        <v>6982</v>
      </c>
      <c r="L685" s="15">
        <v>2</v>
      </c>
      <c r="M685" s="15" t="s">
        <v>144</v>
      </c>
      <c r="N685" s="16">
        <v>42027</v>
      </c>
      <c r="O685" s="12" t="s">
        <v>6980</v>
      </c>
      <c r="P685" s="14" t="s">
        <v>6983</v>
      </c>
      <c r="Q685" s="17" t="s">
        <v>137</v>
      </c>
      <c r="R685" s="17" t="s">
        <v>146</v>
      </c>
    </row>
    <row r="686" spans="1:18" x14ac:dyDescent="0.3">
      <c r="A686" s="12" t="s">
        <v>6984</v>
      </c>
      <c r="B686" s="12" t="s">
        <v>10</v>
      </c>
      <c r="C686" s="12"/>
      <c r="D686" s="12" t="s">
        <v>252</v>
      </c>
      <c r="E686" s="12" t="s">
        <v>1467</v>
      </c>
      <c r="F686" s="12" t="s">
        <v>6985</v>
      </c>
      <c r="G686" s="12" t="s">
        <v>367</v>
      </c>
      <c r="H686" s="12" t="s">
        <v>36</v>
      </c>
      <c r="I686" s="12" t="s">
        <v>26</v>
      </c>
      <c r="J686" s="13" t="s">
        <v>1449</v>
      </c>
      <c r="K686" s="14" t="s">
        <v>6986</v>
      </c>
      <c r="L686" s="15">
        <v>23</v>
      </c>
      <c r="M686" s="15" t="s">
        <v>144</v>
      </c>
      <c r="N686" s="16">
        <v>41845</v>
      </c>
      <c r="O686" s="12" t="s">
        <v>6984</v>
      </c>
      <c r="P686" s="14" t="s">
        <v>6987</v>
      </c>
      <c r="Q686" s="17" t="s">
        <v>137</v>
      </c>
      <c r="R686" s="17" t="s">
        <v>146</v>
      </c>
    </row>
    <row r="687" spans="1:18" x14ac:dyDescent="0.3">
      <c r="A687" s="12" t="s">
        <v>6988</v>
      </c>
      <c r="B687" s="12" t="s">
        <v>10</v>
      </c>
      <c r="C687" s="12"/>
      <c r="D687" s="12" t="s">
        <v>230</v>
      </c>
      <c r="E687" s="12" t="s">
        <v>6989</v>
      </c>
      <c r="F687" s="12" t="s">
        <v>542</v>
      </c>
      <c r="G687" s="12" t="s">
        <v>367</v>
      </c>
      <c r="H687" s="12" t="s">
        <v>36</v>
      </c>
      <c r="I687" s="12" t="s">
        <v>26</v>
      </c>
      <c r="J687" s="13" t="s">
        <v>1624</v>
      </c>
      <c r="K687" s="14" t="s">
        <v>6990</v>
      </c>
      <c r="L687" s="15">
        <v>0</v>
      </c>
      <c r="M687" s="15" t="s">
        <v>220</v>
      </c>
      <c r="N687" s="16">
        <v>39534</v>
      </c>
      <c r="O687" s="12" t="s">
        <v>6988</v>
      </c>
      <c r="P687" s="14" t="s">
        <v>6991</v>
      </c>
      <c r="Q687" s="17" t="s">
        <v>137</v>
      </c>
      <c r="R687" s="17" t="s">
        <v>146</v>
      </c>
    </row>
    <row r="688" spans="1:18" x14ac:dyDescent="0.3">
      <c r="A688" s="12" t="s">
        <v>6992</v>
      </c>
      <c r="B688" s="12" t="s">
        <v>10</v>
      </c>
      <c r="C688" s="12"/>
      <c r="D688" s="12" t="s">
        <v>157</v>
      </c>
      <c r="E688" s="12" t="s">
        <v>1562</v>
      </c>
      <c r="F688" s="12" t="s">
        <v>218</v>
      </c>
      <c r="G688" s="12" t="s">
        <v>367</v>
      </c>
      <c r="H688" s="12" t="s">
        <v>36</v>
      </c>
      <c r="I688" s="12" t="s">
        <v>26</v>
      </c>
      <c r="J688" s="13" t="s">
        <v>1564</v>
      </c>
      <c r="K688" s="14" t="s">
        <v>6993</v>
      </c>
      <c r="L688" s="15">
        <v>0</v>
      </c>
      <c r="M688" s="15" t="s">
        <v>144</v>
      </c>
      <c r="N688" s="16">
        <v>41164</v>
      </c>
      <c r="O688" s="12" t="s">
        <v>6992</v>
      </c>
      <c r="P688" s="14" t="s">
        <v>6994</v>
      </c>
      <c r="Q688" s="17" t="s">
        <v>137</v>
      </c>
      <c r="R688" s="17" t="s">
        <v>146</v>
      </c>
    </row>
    <row r="689" spans="1:18" x14ac:dyDescent="0.3">
      <c r="A689" s="12" t="s">
        <v>6995</v>
      </c>
      <c r="B689" s="12" t="s">
        <v>12</v>
      </c>
      <c r="C689" s="12"/>
      <c r="D689" s="12" t="s">
        <v>12</v>
      </c>
      <c r="E689" s="12" t="s">
        <v>6786</v>
      </c>
      <c r="F689" s="12"/>
      <c r="G689" s="12" t="s">
        <v>367</v>
      </c>
      <c r="H689" s="12" t="s">
        <v>36</v>
      </c>
      <c r="I689" s="12" t="s">
        <v>26</v>
      </c>
      <c r="J689" s="13" t="s">
        <v>1482</v>
      </c>
      <c r="K689" s="14" t="s">
        <v>6787</v>
      </c>
      <c r="L689" s="15">
        <v>2</v>
      </c>
      <c r="M689" s="15" t="s">
        <v>144</v>
      </c>
      <c r="N689" s="16">
        <v>40165</v>
      </c>
      <c r="O689" s="12" t="s">
        <v>6996</v>
      </c>
      <c r="P689" s="14" t="s">
        <v>6997</v>
      </c>
      <c r="Q689" s="17" t="s">
        <v>137</v>
      </c>
      <c r="R689" s="17" t="s">
        <v>146</v>
      </c>
    </row>
    <row r="690" spans="1:18" x14ac:dyDescent="0.3">
      <c r="A690" s="12" t="s">
        <v>6998</v>
      </c>
      <c r="B690" s="12" t="s">
        <v>14</v>
      </c>
      <c r="C690" s="12"/>
      <c r="D690" s="12" t="s">
        <v>14</v>
      </c>
      <c r="E690" s="12" t="s">
        <v>6999</v>
      </c>
      <c r="F690" s="12"/>
      <c r="G690" s="12" t="s">
        <v>367</v>
      </c>
      <c r="H690" s="12" t="s">
        <v>36</v>
      </c>
      <c r="I690" s="12" t="s">
        <v>26</v>
      </c>
      <c r="J690" s="13" t="s">
        <v>925</v>
      </c>
      <c r="K690" s="14" t="s">
        <v>7000</v>
      </c>
      <c r="L690" s="15">
        <v>0</v>
      </c>
      <c r="M690" s="15" t="s">
        <v>144</v>
      </c>
      <c r="N690" s="16">
        <v>44407</v>
      </c>
      <c r="O690" s="12" t="s">
        <v>6998</v>
      </c>
      <c r="P690" s="14" t="s">
        <v>7001</v>
      </c>
      <c r="Q690" s="17" t="s">
        <v>137</v>
      </c>
      <c r="R690" s="17" t="s">
        <v>146</v>
      </c>
    </row>
    <row r="691" spans="1:18" x14ac:dyDescent="0.3">
      <c r="A691" s="12" t="s">
        <v>7002</v>
      </c>
      <c r="B691" s="12" t="s">
        <v>12</v>
      </c>
      <c r="C691" s="12"/>
      <c r="D691" s="12" t="s">
        <v>12</v>
      </c>
      <c r="E691" s="12" t="s">
        <v>6590</v>
      </c>
      <c r="F691" s="12" t="s">
        <v>7003</v>
      </c>
      <c r="G691" s="12" t="s">
        <v>367</v>
      </c>
      <c r="H691" s="12" t="s">
        <v>36</v>
      </c>
      <c r="I691" s="12" t="s">
        <v>26</v>
      </c>
      <c r="J691" s="13" t="s">
        <v>1456</v>
      </c>
      <c r="K691" s="14" t="s">
        <v>7004</v>
      </c>
      <c r="L691" s="15">
        <v>3</v>
      </c>
      <c r="M691" s="15" t="s">
        <v>144</v>
      </c>
      <c r="N691" s="16">
        <v>39619</v>
      </c>
      <c r="O691" s="12" t="s">
        <v>7005</v>
      </c>
      <c r="P691" s="14" t="s">
        <v>7006</v>
      </c>
      <c r="Q691" s="17" t="s">
        <v>137</v>
      </c>
      <c r="R691" s="17" t="s">
        <v>146</v>
      </c>
    </row>
    <row r="692" spans="1:18" x14ac:dyDescent="0.3">
      <c r="A692" s="12" t="s">
        <v>7007</v>
      </c>
      <c r="B692" s="12" t="s">
        <v>12</v>
      </c>
      <c r="C692" s="12"/>
      <c r="D692" s="12" t="s">
        <v>12</v>
      </c>
      <c r="E692" s="12" t="s">
        <v>6837</v>
      </c>
      <c r="F692" s="12" t="s">
        <v>7008</v>
      </c>
      <c r="G692" s="12" t="s">
        <v>367</v>
      </c>
      <c r="H692" s="12" t="s">
        <v>36</v>
      </c>
      <c r="I692" s="12" t="s">
        <v>26</v>
      </c>
      <c r="J692" s="13" t="s">
        <v>1547</v>
      </c>
      <c r="K692" s="14" t="s">
        <v>7009</v>
      </c>
      <c r="L692" s="15">
        <v>1</v>
      </c>
      <c r="M692" s="15" t="s">
        <v>144</v>
      </c>
      <c r="N692" s="16">
        <v>41940</v>
      </c>
      <c r="O692" s="12" t="s">
        <v>7007</v>
      </c>
      <c r="P692" s="14" t="s">
        <v>7010</v>
      </c>
      <c r="Q692" s="17" t="s">
        <v>137</v>
      </c>
      <c r="R692" s="17" t="s">
        <v>146</v>
      </c>
    </row>
    <row r="693" spans="1:18" x14ac:dyDescent="0.3">
      <c r="A693" s="12" t="s">
        <v>7011</v>
      </c>
      <c r="B693" s="12" t="s">
        <v>10</v>
      </c>
      <c r="C693" s="12"/>
      <c r="D693" s="12" t="s">
        <v>1561</v>
      </c>
      <c r="E693" s="12" t="s">
        <v>7012</v>
      </c>
      <c r="F693" s="12" t="s">
        <v>7008</v>
      </c>
      <c r="G693" s="12" t="s">
        <v>367</v>
      </c>
      <c r="H693" s="12" t="s">
        <v>36</v>
      </c>
      <c r="I693" s="12" t="s">
        <v>26</v>
      </c>
      <c r="J693" s="13" t="s">
        <v>1557</v>
      </c>
      <c r="K693" s="14" t="s">
        <v>7013</v>
      </c>
      <c r="L693" s="15">
        <v>0</v>
      </c>
      <c r="M693" s="15" t="s">
        <v>144</v>
      </c>
      <c r="N693" s="16">
        <v>44065</v>
      </c>
      <c r="O693" s="12" t="s">
        <v>7011</v>
      </c>
      <c r="P693" s="14" t="s">
        <v>7014</v>
      </c>
      <c r="Q693" s="17" t="s">
        <v>137</v>
      </c>
      <c r="R693" s="17" t="s">
        <v>146</v>
      </c>
    </row>
    <row r="694" spans="1:18" x14ac:dyDescent="0.3">
      <c r="A694" s="12" t="s">
        <v>7015</v>
      </c>
      <c r="B694" s="12" t="s">
        <v>12</v>
      </c>
      <c r="C694" s="12"/>
      <c r="D694" s="12" t="s">
        <v>12</v>
      </c>
      <c r="E694" s="12" t="s">
        <v>7016</v>
      </c>
      <c r="F694" s="12"/>
      <c r="G694" s="12" t="s">
        <v>367</v>
      </c>
      <c r="H694" s="12" t="s">
        <v>36</v>
      </c>
      <c r="I694" s="12" t="s">
        <v>26</v>
      </c>
      <c r="J694" s="13" t="s">
        <v>6687</v>
      </c>
      <c r="K694" s="14" t="s">
        <v>7017</v>
      </c>
      <c r="L694" s="15">
        <v>1</v>
      </c>
      <c r="M694" s="15" t="s">
        <v>144</v>
      </c>
      <c r="N694" s="16">
        <v>44065</v>
      </c>
      <c r="O694" s="12" t="s">
        <v>7015</v>
      </c>
      <c r="P694" s="14" t="s">
        <v>7018</v>
      </c>
      <c r="Q694" s="17" t="s">
        <v>137</v>
      </c>
      <c r="R694" s="17" t="s">
        <v>146</v>
      </c>
    </row>
    <row r="695" spans="1:18" x14ac:dyDescent="0.3">
      <c r="A695" s="12" t="s">
        <v>7019</v>
      </c>
      <c r="B695" s="12" t="s">
        <v>12</v>
      </c>
      <c r="C695" s="12"/>
      <c r="D695" s="12" t="s">
        <v>12</v>
      </c>
      <c r="E695" s="12" t="s">
        <v>7020</v>
      </c>
      <c r="F695" s="12"/>
      <c r="G695" s="12" t="s">
        <v>367</v>
      </c>
      <c r="H695" s="12" t="s">
        <v>36</v>
      </c>
      <c r="I695" s="12" t="s">
        <v>26</v>
      </c>
      <c r="J695" s="13" t="s">
        <v>1630</v>
      </c>
      <c r="K695" s="14" t="s">
        <v>7021</v>
      </c>
      <c r="L695" s="15">
        <v>2</v>
      </c>
      <c r="M695" s="15" t="s">
        <v>144</v>
      </c>
      <c r="N695" s="16">
        <v>44065</v>
      </c>
      <c r="O695" s="12" t="s">
        <v>7019</v>
      </c>
      <c r="P695" s="14" t="s">
        <v>7022</v>
      </c>
      <c r="Q695" s="17" t="s">
        <v>137</v>
      </c>
      <c r="R695" s="17" t="s">
        <v>146</v>
      </c>
    </row>
    <row r="696" spans="1:18" x14ac:dyDescent="0.3">
      <c r="A696" s="12" t="s">
        <v>7023</v>
      </c>
      <c r="B696" s="12" t="s">
        <v>14</v>
      </c>
      <c r="C696" s="12"/>
      <c r="D696" s="12" t="s">
        <v>14</v>
      </c>
      <c r="E696" s="12" t="s">
        <v>7024</v>
      </c>
      <c r="F696" s="12"/>
      <c r="G696" s="12" t="s">
        <v>367</v>
      </c>
      <c r="H696" s="12" t="s">
        <v>36</v>
      </c>
      <c r="I696" s="12" t="s">
        <v>26</v>
      </c>
      <c r="J696" s="13" t="s">
        <v>1518</v>
      </c>
      <c r="K696" s="14" t="s">
        <v>7025</v>
      </c>
      <c r="L696" s="15">
        <v>1</v>
      </c>
      <c r="M696" s="15" t="s">
        <v>144</v>
      </c>
      <c r="N696" s="16">
        <v>44065</v>
      </c>
      <c r="O696" s="12" t="s">
        <v>7026</v>
      </c>
      <c r="P696" s="14" t="s">
        <v>7027</v>
      </c>
      <c r="Q696" s="17" t="s">
        <v>137</v>
      </c>
      <c r="R696" s="17" t="s">
        <v>146</v>
      </c>
    </row>
    <row r="697" spans="1:18" x14ac:dyDescent="0.3">
      <c r="A697" s="12" t="s">
        <v>7028</v>
      </c>
      <c r="B697" s="12" t="s">
        <v>12</v>
      </c>
      <c r="C697" s="12"/>
      <c r="D697" s="12" t="s">
        <v>12</v>
      </c>
      <c r="E697" s="12" t="s">
        <v>7029</v>
      </c>
      <c r="F697" s="12"/>
      <c r="G697" s="12" t="s">
        <v>367</v>
      </c>
      <c r="H697" s="12" t="s">
        <v>36</v>
      </c>
      <c r="I697" s="12" t="s">
        <v>26</v>
      </c>
      <c r="J697" s="13" t="s">
        <v>6728</v>
      </c>
      <c r="K697" s="14" t="s">
        <v>7030</v>
      </c>
      <c r="L697" s="15">
        <v>2</v>
      </c>
      <c r="M697" s="15" t="s">
        <v>144</v>
      </c>
      <c r="N697" s="16">
        <v>41465</v>
      </c>
      <c r="O697" s="12" t="s">
        <v>7028</v>
      </c>
      <c r="P697" s="14" t="s">
        <v>7031</v>
      </c>
      <c r="Q697" s="17" t="s">
        <v>137</v>
      </c>
      <c r="R697" s="17" t="s">
        <v>146</v>
      </c>
    </row>
    <row r="698" spans="1:18" x14ac:dyDescent="0.3">
      <c r="A698" s="12" t="s">
        <v>7032</v>
      </c>
      <c r="B698" s="12" t="s">
        <v>12</v>
      </c>
      <c r="C698" s="12"/>
      <c r="D698" s="12" t="s">
        <v>12</v>
      </c>
      <c r="E698" s="12" t="s">
        <v>7033</v>
      </c>
      <c r="F698" s="12"/>
      <c r="G698" s="12" t="s">
        <v>367</v>
      </c>
      <c r="H698" s="12" t="s">
        <v>36</v>
      </c>
      <c r="I698" s="12" t="s">
        <v>26</v>
      </c>
      <c r="J698" s="13" t="s">
        <v>1547</v>
      </c>
      <c r="K698" s="14" t="s">
        <v>7034</v>
      </c>
      <c r="L698" s="15">
        <v>1</v>
      </c>
      <c r="M698" s="15" t="s">
        <v>144</v>
      </c>
      <c r="N698" s="16">
        <v>42418</v>
      </c>
      <c r="O698" s="12" t="s">
        <v>7032</v>
      </c>
      <c r="P698" s="14" t="s">
        <v>7035</v>
      </c>
      <c r="Q698" s="17" t="s">
        <v>137</v>
      </c>
      <c r="R698" s="17" t="s">
        <v>146</v>
      </c>
    </row>
    <row r="699" spans="1:18" x14ac:dyDescent="0.3">
      <c r="A699" s="12" t="s">
        <v>7036</v>
      </c>
      <c r="B699" s="12" t="s">
        <v>12</v>
      </c>
      <c r="C699" s="12"/>
      <c r="D699" s="12" t="s">
        <v>12</v>
      </c>
      <c r="E699" s="12" t="s">
        <v>6628</v>
      </c>
      <c r="F699" s="12" t="s">
        <v>447</v>
      </c>
      <c r="G699" s="12" t="s">
        <v>367</v>
      </c>
      <c r="H699" s="12" t="s">
        <v>36</v>
      </c>
      <c r="I699" s="12" t="s">
        <v>26</v>
      </c>
      <c r="J699" s="13" t="s">
        <v>1456</v>
      </c>
      <c r="K699" s="14" t="s">
        <v>7037</v>
      </c>
      <c r="L699" s="15">
        <v>1</v>
      </c>
      <c r="M699" s="15" t="s">
        <v>144</v>
      </c>
      <c r="N699" s="16">
        <v>39309</v>
      </c>
      <c r="O699" s="12" t="s">
        <v>7036</v>
      </c>
      <c r="P699" s="14" t="s">
        <v>7038</v>
      </c>
      <c r="Q699" s="17" t="s">
        <v>137</v>
      </c>
      <c r="R699" s="17" t="s">
        <v>146</v>
      </c>
    </row>
    <row r="700" spans="1:18" x14ac:dyDescent="0.3">
      <c r="A700" s="12" t="s">
        <v>7039</v>
      </c>
      <c r="B700" s="12" t="s">
        <v>14</v>
      </c>
      <c r="C700" s="12"/>
      <c r="D700" s="12" t="s">
        <v>14</v>
      </c>
      <c r="E700" s="12" t="s">
        <v>1578</v>
      </c>
      <c r="F700" s="12" t="s">
        <v>7040</v>
      </c>
      <c r="G700" s="12" t="s">
        <v>367</v>
      </c>
      <c r="H700" s="12" t="s">
        <v>36</v>
      </c>
      <c r="I700" s="12" t="s">
        <v>26</v>
      </c>
      <c r="J700" s="13" t="s">
        <v>1492</v>
      </c>
      <c r="K700" s="14" t="s">
        <v>7041</v>
      </c>
      <c r="L700" s="15">
        <v>7</v>
      </c>
      <c r="M700" s="15" t="s">
        <v>144</v>
      </c>
      <c r="N700" s="16">
        <v>41593</v>
      </c>
      <c r="O700" s="12" t="s">
        <v>7039</v>
      </c>
      <c r="P700" s="14" t="s">
        <v>7042</v>
      </c>
      <c r="Q700" s="17" t="s">
        <v>137</v>
      </c>
      <c r="R700" s="17" t="s">
        <v>146</v>
      </c>
    </row>
    <row r="701" spans="1:18" x14ac:dyDescent="0.3">
      <c r="A701" s="12" t="s">
        <v>7043</v>
      </c>
      <c r="B701" s="12" t="s">
        <v>12</v>
      </c>
      <c r="C701" s="12"/>
      <c r="D701" s="12" t="s">
        <v>12</v>
      </c>
      <c r="E701" s="12" t="s">
        <v>7044</v>
      </c>
      <c r="F701" s="12"/>
      <c r="G701" s="12" t="s">
        <v>367</v>
      </c>
      <c r="H701" s="12" t="s">
        <v>36</v>
      </c>
      <c r="I701" s="12" t="s">
        <v>26</v>
      </c>
      <c r="J701" s="13" t="s">
        <v>1630</v>
      </c>
      <c r="K701" s="14" t="s">
        <v>7045</v>
      </c>
      <c r="L701" s="15">
        <v>0</v>
      </c>
      <c r="M701" s="15" t="s">
        <v>144</v>
      </c>
      <c r="N701" s="16">
        <v>39381</v>
      </c>
      <c r="O701" s="12" t="s">
        <v>7043</v>
      </c>
      <c r="P701" s="14" t="s">
        <v>7046</v>
      </c>
      <c r="Q701" s="17" t="s">
        <v>137</v>
      </c>
      <c r="R701" s="17" t="s">
        <v>146</v>
      </c>
    </row>
    <row r="702" spans="1:18" x14ac:dyDescent="0.3">
      <c r="A702" s="12" t="s">
        <v>7047</v>
      </c>
      <c r="B702" s="12" t="s">
        <v>10</v>
      </c>
      <c r="C702" s="12"/>
      <c r="D702" s="12" t="s">
        <v>157</v>
      </c>
      <c r="E702" s="12" t="s">
        <v>7048</v>
      </c>
      <c r="F702" s="12" t="s">
        <v>188</v>
      </c>
      <c r="G702" s="12" t="s">
        <v>367</v>
      </c>
      <c r="H702" s="12" t="s">
        <v>36</v>
      </c>
      <c r="I702" s="12" t="s">
        <v>26</v>
      </c>
      <c r="J702" s="13" t="s">
        <v>1449</v>
      </c>
      <c r="K702" s="14" t="s">
        <v>7049</v>
      </c>
      <c r="L702" s="15">
        <v>0</v>
      </c>
      <c r="M702" s="15" t="s">
        <v>144</v>
      </c>
      <c r="N702" s="16">
        <v>41894</v>
      </c>
      <c r="O702" s="12" t="s">
        <v>7050</v>
      </c>
      <c r="P702" s="14" t="s">
        <v>7051</v>
      </c>
      <c r="Q702" s="17" t="s">
        <v>137</v>
      </c>
      <c r="R702" s="17" t="s">
        <v>146</v>
      </c>
    </row>
    <row r="703" spans="1:18" x14ac:dyDescent="0.3">
      <c r="A703" s="12" t="s">
        <v>5773</v>
      </c>
      <c r="B703" s="12" t="s">
        <v>12</v>
      </c>
      <c r="C703" s="12"/>
      <c r="D703" s="12" t="s">
        <v>12</v>
      </c>
      <c r="E703" s="12" t="s">
        <v>6632</v>
      </c>
      <c r="F703" s="12" t="s">
        <v>7052</v>
      </c>
      <c r="G703" s="12" t="s">
        <v>367</v>
      </c>
      <c r="H703" s="12" t="s">
        <v>36</v>
      </c>
      <c r="I703" s="12" t="s">
        <v>26</v>
      </c>
      <c r="J703" s="13" t="s">
        <v>1654</v>
      </c>
      <c r="K703" s="14" t="s">
        <v>7053</v>
      </c>
      <c r="L703" s="15">
        <v>0</v>
      </c>
      <c r="M703" s="15" t="s">
        <v>144</v>
      </c>
      <c r="N703" s="16">
        <v>44494</v>
      </c>
      <c r="O703" s="12" t="s">
        <v>5773</v>
      </c>
      <c r="P703" s="14" t="s">
        <v>7054</v>
      </c>
      <c r="Q703" s="17" t="s">
        <v>137</v>
      </c>
      <c r="R703" s="17" t="s">
        <v>146</v>
      </c>
    </row>
    <row r="704" spans="1:18" x14ac:dyDescent="0.3">
      <c r="A704" s="12" t="s">
        <v>7055</v>
      </c>
      <c r="B704" s="12" t="s">
        <v>16</v>
      </c>
      <c r="C704" s="12"/>
      <c r="D704" s="12" t="s">
        <v>993</v>
      </c>
      <c r="E704" s="12" t="s">
        <v>7056</v>
      </c>
      <c r="F704" s="12"/>
      <c r="G704" s="12" t="s">
        <v>367</v>
      </c>
      <c r="H704" s="12" t="s">
        <v>36</v>
      </c>
      <c r="I704" s="12" t="s">
        <v>26</v>
      </c>
      <c r="J704" s="13" t="s">
        <v>1456</v>
      </c>
      <c r="K704" s="14" t="s">
        <v>7057</v>
      </c>
      <c r="L704" s="15">
        <v>0</v>
      </c>
      <c r="M704" s="15" t="s">
        <v>144</v>
      </c>
      <c r="N704" s="16">
        <v>39567</v>
      </c>
      <c r="O704" s="12" t="s">
        <v>7055</v>
      </c>
      <c r="P704" s="14" t="s">
        <v>7058</v>
      </c>
      <c r="Q704" s="17" t="s">
        <v>137</v>
      </c>
      <c r="R704" s="17" t="s">
        <v>146</v>
      </c>
    </row>
    <row r="705" spans="1:18" x14ac:dyDescent="0.3">
      <c r="A705" s="12" t="s">
        <v>7059</v>
      </c>
      <c r="B705" s="12" t="s">
        <v>12</v>
      </c>
      <c r="C705" s="12"/>
      <c r="D705" s="12" t="s">
        <v>12</v>
      </c>
      <c r="E705" s="12" t="s">
        <v>7060</v>
      </c>
      <c r="F705" s="12"/>
      <c r="G705" s="12" t="s">
        <v>367</v>
      </c>
      <c r="H705" s="12" t="s">
        <v>36</v>
      </c>
      <c r="I705" s="12" t="s">
        <v>26</v>
      </c>
      <c r="J705" s="13" t="s">
        <v>1449</v>
      </c>
      <c r="K705" s="14" t="s">
        <v>7061</v>
      </c>
      <c r="L705" s="15">
        <v>7</v>
      </c>
      <c r="M705" s="15" t="s">
        <v>144</v>
      </c>
      <c r="N705" s="16">
        <v>39699</v>
      </c>
      <c r="O705" s="12" t="s">
        <v>7059</v>
      </c>
      <c r="P705" s="14" t="s">
        <v>7062</v>
      </c>
      <c r="Q705" s="17" t="s">
        <v>137</v>
      </c>
      <c r="R705" s="17" t="s">
        <v>146</v>
      </c>
    </row>
    <row r="706" spans="1:18" x14ac:dyDescent="0.3">
      <c r="A706" s="12" t="s">
        <v>7063</v>
      </c>
      <c r="B706" s="12" t="s">
        <v>14</v>
      </c>
      <c r="C706" s="12"/>
      <c r="D706" s="12" t="s">
        <v>14</v>
      </c>
      <c r="E706" s="12" t="s">
        <v>7064</v>
      </c>
      <c r="F706" s="12"/>
      <c r="G706" s="12" t="s">
        <v>367</v>
      </c>
      <c r="H706" s="12" t="s">
        <v>36</v>
      </c>
      <c r="I706" s="12" t="s">
        <v>26</v>
      </c>
      <c r="J706" s="13" t="s">
        <v>1442</v>
      </c>
      <c r="K706" s="14" t="s">
        <v>7065</v>
      </c>
      <c r="L706" s="15">
        <v>0</v>
      </c>
      <c r="M706" s="15" t="s">
        <v>144</v>
      </c>
      <c r="N706" s="16">
        <v>43046</v>
      </c>
      <c r="O706" s="12" t="s">
        <v>7063</v>
      </c>
      <c r="P706" s="14" t="s">
        <v>7066</v>
      </c>
      <c r="Q706" s="17" t="s">
        <v>137</v>
      </c>
      <c r="R706" s="17" t="s">
        <v>146</v>
      </c>
    </row>
    <row r="707" spans="1:18" x14ac:dyDescent="0.3">
      <c r="A707" s="12" t="s">
        <v>7067</v>
      </c>
      <c r="B707" s="12" t="s">
        <v>14</v>
      </c>
      <c r="C707" s="12"/>
      <c r="D707" s="12" t="s">
        <v>14</v>
      </c>
      <c r="E707" s="12" t="s">
        <v>7068</v>
      </c>
      <c r="F707" s="12" t="s">
        <v>7069</v>
      </c>
      <c r="G707" s="12" t="s">
        <v>367</v>
      </c>
      <c r="H707" s="12" t="s">
        <v>36</v>
      </c>
      <c r="I707" s="12" t="s">
        <v>26</v>
      </c>
      <c r="J707" s="13" t="s">
        <v>1547</v>
      </c>
      <c r="K707" s="14" t="s">
        <v>7070</v>
      </c>
      <c r="L707" s="15">
        <v>1</v>
      </c>
      <c r="M707" s="15" t="s">
        <v>144</v>
      </c>
      <c r="N707" s="16">
        <v>41481</v>
      </c>
      <c r="O707" s="12" t="s">
        <v>7067</v>
      </c>
      <c r="P707" s="14" t="s">
        <v>7071</v>
      </c>
      <c r="Q707" s="17" t="s">
        <v>137</v>
      </c>
      <c r="R707" s="17" t="s">
        <v>146</v>
      </c>
    </row>
    <row r="708" spans="1:18" x14ac:dyDescent="0.3">
      <c r="A708" s="12" t="s">
        <v>7072</v>
      </c>
      <c r="B708" s="12" t="s">
        <v>12</v>
      </c>
      <c r="C708" s="12"/>
      <c r="D708" s="12" t="s">
        <v>12</v>
      </c>
      <c r="E708" s="12" t="s">
        <v>7073</v>
      </c>
      <c r="F708" s="12"/>
      <c r="G708" s="12" t="s">
        <v>367</v>
      </c>
      <c r="H708" s="12" t="s">
        <v>36</v>
      </c>
      <c r="I708" s="12" t="s">
        <v>26</v>
      </c>
      <c r="J708" s="13" t="s">
        <v>1482</v>
      </c>
      <c r="K708" s="14" t="s">
        <v>7074</v>
      </c>
      <c r="L708" s="15">
        <v>1</v>
      </c>
      <c r="M708" s="15" t="s">
        <v>144</v>
      </c>
      <c r="N708" s="16">
        <v>44065</v>
      </c>
      <c r="O708" s="12" t="s">
        <v>7072</v>
      </c>
      <c r="P708" s="14" t="s">
        <v>7075</v>
      </c>
      <c r="Q708" s="17" t="s">
        <v>137</v>
      </c>
      <c r="R708" s="17" t="s">
        <v>146</v>
      </c>
    </row>
    <row r="709" spans="1:18" x14ac:dyDescent="0.3">
      <c r="A709" s="12" t="s">
        <v>7076</v>
      </c>
      <c r="B709" s="12" t="s">
        <v>14</v>
      </c>
      <c r="C709" s="12"/>
      <c r="D709" s="12" t="s">
        <v>14</v>
      </c>
      <c r="E709" s="12" t="s">
        <v>7077</v>
      </c>
      <c r="F709" s="12"/>
      <c r="G709" s="12" t="s">
        <v>367</v>
      </c>
      <c r="H709" s="12" t="s">
        <v>36</v>
      </c>
      <c r="I709" s="12" t="s">
        <v>26</v>
      </c>
      <c r="J709" s="13" t="s">
        <v>6675</v>
      </c>
      <c r="K709" s="14" t="s">
        <v>7078</v>
      </c>
      <c r="L709" s="15">
        <v>1</v>
      </c>
      <c r="M709" s="15" t="s">
        <v>144</v>
      </c>
      <c r="N709" s="16">
        <v>42492</v>
      </c>
      <c r="O709" s="12" t="s">
        <v>7079</v>
      </c>
      <c r="P709" s="14" t="s">
        <v>7080</v>
      </c>
      <c r="Q709" s="17" t="s">
        <v>137</v>
      </c>
      <c r="R709" s="17" t="s">
        <v>146</v>
      </c>
    </row>
    <row r="710" spans="1:18" x14ac:dyDescent="0.3">
      <c r="A710" s="12" t="s">
        <v>7081</v>
      </c>
      <c r="B710" s="12" t="s">
        <v>12</v>
      </c>
      <c r="C710" s="12"/>
      <c r="D710" s="12" t="s">
        <v>12</v>
      </c>
      <c r="E710" s="12" t="s">
        <v>7082</v>
      </c>
      <c r="F710" s="12"/>
      <c r="G710" s="12" t="s">
        <v>367</v>
      </c>
      <c r="H710" s="12" t="s">
        <v>36</v>
      </c>
      <c r="I710" s="12" t="s">
        <v>26</v>
      </c>
      <c r="J710" s="13" t="s">
        <v>1449</v>
      </c>
      <c r="K710" s="14" t="s">
        <v>7083</v>
      </c>
      <c r="L710" s="15">
        <v>3</v>
      </c>
      <c r="M710" s="15" t="s">
        <v>144</v>
      </c>
      <c r="N710" s="16">
        <v>44065</v>
      </c>
      <c r="O710" s="12" t="s">
        <v>7081</v>
      </c>
      <c r="P710" s="14" t="s">
        <v>7084</v>
      </c>
      <c r="Q710" s="17" t="s">
        <v>137</v>
      </c>
      <c r="R710" s="17" t="s">
        <v>146</v>
      </c>
    </row>
    <row r="711" spans="1:18" x14ac:dyDescent="0.3">
      <c r="A711" s="12" t="s">
        <v>7085</v>
      </c>
      <c r="B711" s="12" t="s">
        <v>12</v>
      </c>
      <c r="C711" s="12"/>
      <c r="D711" s="12" t="s">
        <v>12</v>
      </c>
      <c r="E711" s="12" t="s">
        <v>7086</v>
      </c>
      <c r="F711" s="12" t="s">
        <v>7087</v>
      </c>
      <c r="G711" s="12" t="s">
        <v>367</v>
      </c>
      <c r="H711" s="12" t="s">
        <v>36</v>
      </c>
      <c r="I711" s="12" t="s">
        <v>26</v>
      </c>
      <c r="J711" s="13" t="s">
        <v>1547</v>
      </c>
      <c r="K711" s="14" t="s">
        <v>7088</v>
      </c>
      <c r="L711" s="15">
        <v>1</v>
      </c>
      <c r="M711" s="15" t="s">
        <v>144</v>
      </c>
      <c r="N711" s="16">
        <v>44342</v>
      </c>
      <c r="O711" s="12" t="s">
        <v>7085</v>
      </c>
      <c r="P711" s="14" t="s">
        <v>7089</v>
      </c>
      <c r="Q711" s="17" t="s">
        <v>137</v>
      </c>
      <c r="R711" s="17" t="s">
        <v>146</v>
      </c>
    </row>
    <row r="712" spans="1:18" x14ac:dyDescent="0.3">
      <c r="A712" s="12" t="s">
        <v>7090</v>
      </c>
      <c r="B712" s="12" t="s">
        <v>14</v>
      </c>
      <c r="C712" s="12"/>
      <c r="D712" s="12" t="s">
        <v>14</v>
      </c>
      <c r="E712" s="12" t="s">
        <v>7091</v>
      </c>
      <c r="F712" s="12" t="s">
        <v>7092</v>
      </c>
      <c r="G712" s="12" t="s">
        <v>367</v>
      </c>
      <c r="H712" s="12" t="s">
        <v>36</v>
      </c>
      <c r="I712" s="12" t="s">
        <v>26</v>
      </c>
      <c r="J712" s="13" t="s">
        <v>1624</v>
      </c>
      <c r="K712" s="14" t="s">
        <v>6772</v>
      </c>
      <c r="L712" s="15">
        <v>0</v>
      </c>
      <c r="M712" s="15" t="s">
        <v>144</v>
      </c>
      <c r="N712" s="16">
        <v>39695</v>
      </c>
      <c r="O712" s="12" t="s">
        <v>7090</v>
      </c>
      <c r="P712" s="14" t="s">
        <v>7093</v>
      </c>
      <c r="Q712" s="17" t="s">
        <v>137</v>
      </c>
      <c r="R712" s="17" t="s">
        <v>146</v>
      </c>
    </row>
    <row r="713" spans="1:18" x14ac:dyDescent="0.3">
      <c r="A713" s="12" t="s">
        <v>7094</v>
      </c>
      <c r="B713" s="12" t="s">
        <v>14</v>
      </c>
      <c r="C713" s="12"/>
      <c r="D713" s="12" t="s">
        <v>14</v>
      </c>
      <c r="E713" s="12" t="s">
        <v>994</v>
      </c>
      <c r="F713" s="12" t="s">
        <v>995</v>
      </c>
      <c r="G713" s="12" t="s">
        <v>367</v>
      </c>
      <c r="H713" s="12" t="s">
        <v>36</v>
      </c>
      <c r="I713" s="12" t="s">
        <v>26</v>
      </c>
      <c r="J713" s="13" t="s">
        <v>989</v>
      </c>
      <c r="K713" s="14" t="s">
        <v>7095</v>
      </c>
      <c r="L713" s="15">
        <v>0</v>
      </c>
      <c r="M713" s="15" t="s">
        <v>144</v>
      </c>
      <c r="N713" s="16">
        <v>44267</v>
      </c>
      <c r="O713" s="12" t="s">
        <v>7094</v>
      </c>
      <c r="P713" s="14" t="s">
        <v>7096</v>
      </c>
      <c r="Q713" s="17" t="s">
        <v>137</v>
      </c>
      <c r="R713" s="17" t="s">
        <v>146</v>
      </c>
    </row>
    <row r="714" spans="1:18" x14ac:dyDescent="0.3">
      <c r="A714" s="12" t="s">
        <v>2699</v>
      </c>
      <c r="B714" s="12" t="s">
        <v>10</v>
      </c>
      <c r="C714" s="12"/>
      <c r="D714" s="12" t="s">
        <v>647</v>
      </c>
      <c r="E714" s="12" t="s">
        <v>7097</v>
      </c>
      <c r="F714" s="12"/>
      <c r="G714" s="12" t="s">
        <v>367</v>
      </c>
      <c r="H714" s="12" t="s">
        <v>36</v>
      </c>
      <c r="I714" s="12" t="s">
        <v>26</v>
      </c>
      <c r="J714" s="13" t="s">
        <v>1456</v>
      </c>
      <c r="K714" s="14" t="s">
        <v>7098</v>
      </c>
      <c r="L714" s="15">
        <v>4</v>
      </c>
      <c r="M714" s="15" t="s">
        <v>220</v>
      </c>
      <c r="N714" s="16">
        <v>41919</v>
      </c>
      <c r="O714" s="12" t="s">
        <v>2699</v>
      </c>
      <c r="P714" s="14" t="s">
        <v>7099</v>
      </c>
      <c r="Q714" s="17" t="s">
        <v>137</v>
      </c>
      <c r="R714" s="17" t="s">
        <v>146</v>
      </c>
    </row>
    <row r="715" spans="1:18" x14ac:dyDescent="0.3">
      <c r="A715" s="12" t="s">
        <v>7100</v>
      </c>
      <c r="B715" s="12" t="s">
        <v>12</v>
      </c>
      <c r="C715" s="12"/>
      <c r="D715" s="12" t="s">
        <v>12</v>
      </c>
      <c r="E715" s="12" t="s">
        <v>1578</v>
      </c>
      <c r="F715" s="12" t="s">
        <v>7101</v>
      </c>
      <c r="G715" s="12" t="s">
        <v>367</v>
      </c>
      <c r="H715" s="12" t="s">
        <v>36</v>
      </c>
      <c r="I715" s="12" t="s">
        <v>26</v>
      </c>
      <c r="J715" s="13" t="s">
        <v>1492</v>
      </c>
      <c r="K715" s="14" t="s">
        <v>7102</v>
      </c>
      <c r="L715" s="15">
        <v>3</v>
      </c>
      <c r="M715" s="15" t="s">
        <v>144</v>
      </c>
      <c r="N715" s="16">
        <v>44065</v>
      </c>
      <c r="O715" s="12" t="s">
        <v>7103</v>
      </c>
      <c r="P715" s="14" t="s">
        <v>7104</v>
      </c>
      <c r="Q715" s="17" t="s">
        <v>137</v>
      </c>
      <c r="R715" s="17" t="s">
        <v>146</v>
      </c>
    </row>
    <row r="716" spans="1:18" x14ac:dyDescent="0.3">
      <c r="A716" s="12" t="s">
        <v>7105</v>
      </c>
      <c r="B716" s="12" t="s">
        <v>16</v>
      </c>
      <c r="C716" s="12"/>
      <c r="D716" s="12" t="s">
        <v>993</v>
      </c>
      <c r="E716" s="12" t="s">
        <v>7106</v>
      </c>
      <c r="F716" s="12"/>
      <c r="G716" s="12" t="s">
        <v>367</v>
      </c>
      <c r="H716" s="12" t="s">
        <v>36</v>
      </c>
      <c r="I716" s="12" t="s">
        <v>26</v>
      </c>
      <c r="J716" s="13" t="s">
        <v>1837</v>
      </c>
      <c r="K716" s="14" t="s">
        <v>5994</v>
      </c>
      <c r="L716" s="15">
        <v>0</v>
      </c>
      <c r="M716" s="15" t="s">
        <v>144</v>
      </c>
      <c r="N716" s="16">
        <v>43293</v>
      </c>
      <c r="O716" s="12" t="s">
        <v>5992</v>
      </c>
      <c r="P716" s="14" t="s">
        <v>7107</v>
      </c>
      <c r="Q716" s="17" t="s">
        <v>137</v>
      </c>
      <c r="R716" s="17" t="s">
        <v>146</v>
      </c>
    </row>
    <row r="717" spans="1:18" x14ac:dyDescent="0.3">
      <c r="A717" s="12" t="s">
        <v>7108</v>
      </c>
      <c r="B717" s="12" t="s">
        <v>14</v>
      </c>
      <c r="C717" s="12"/>
      <c r="D717" s="12" t="s">
        <v>14</v>
      </c>
      <c r="E717" s="12" t="s">
        <v>7109</v>
      </c>
      <c r="F717" s="12"/>
      <c r="G717" s="12" t="s">
        <v>367</v>
      </c>
      <c r="H717" s="12" t="s">
        <v>36</v>
      </c>
      <c r="I717" s="12" t="s">
        <v>26</v>
      </c>
      <c r="J717" s="13" t="s">
        <v>1449</v>
      </c>
      <c r="K717" s="14" t="s">
        <v>7110</v>
      </c>
      <c r="L717" s="15">
        <v>0</v>
      </c>
      <c r="M717" s="15" t="s">
        <v>144</v>
      </c>
      <c r="N717" s="16">
        <v>44065</v>
      </c>
      <c r="O717" s="12" t="s">
        <v>7108</v>
      </c>
      <c r="P717" s="14" t="s">
        <v>7111</v>
      </c>
      <c r="Q717" s="17" t="s">
        <v>137</v>
      </c>
      <c r="R717" s="17" t="s">
        <v>146</v>
      </c>
    </row>
    <row r="718" spans="1:18" x14ac:dyDescent="0.3">
      <c r="A718" s="12" t="s">
        <v>7112</v>
      </c>
      <c r="B718" s="12" t="s">
        <v>12</v>
      </c>
      <c r="C718" s="12"/>
      <c r="D718" s="12" t="s">
        <v>12</v>
      </c>
      <c r="E718" s="12" t="s">
        <v>7113</v>
      </c>
      <c r="F718" s="12"/>
      <c r="G718" s="12" t="s">
        <v>367</v>
      </c>
      <c r="H718" s="12" t="s">
        <v>36</v>
      </c>
      <c r="I718" s="12" t="s">
        <v>26</v>
      </c>
      <c r="J718" s="13" t="s">
        <v>1518</v>
      </c>
      <c r="K718" s="14" t="s">
        <v>7114</v>
      </c>
      <c r="L718" s="15">
        <v>7</v>
      </c>
      <c r="M718" s="15" t="s">
        <v>144</v>
      </c>
      <c r="N718" s="16">
        <v>39497</v>
      </c>
      <c r="O718" s="12" t="s">
        <v>7112</v>
      </c>
      <c r="P718" s="14" t="s">
        <v>7115</v>
      </c>
      <c r="Q718" s="17" t="s">
        <v>137</v>
      </c>
      <c r="R718" s="17" t="s">
        <v>146</v>
      </c>
    </row>
    <row r="719" spans="1:18" x14ac:dyDescent="0.3">
      <c r="A719" s="12" t="s">
        <v>7116</v>
      </c>
      <c r="B719" s="12" t="s">
        <v>12</v>
      </c>
      <c r="C719" s="12"/>
      <c r="D719" s="12" t="s">
        <v>12</v>
      </c>
      <c r="E719" s="12" t="s">
        <v>7117</v>
      </c>
      <c r="F719" s="12"/>
      <c r="G719" s="12" t="s">
        <v>367</v>
      </c>
      <c r="H719" s="12" t="s">
        <v>36</v>
      </c>
      <c r="I719" s="12" t="s">
        <v>26</v>
      </c>
      <c r="J719" s="13" t="s">
        <v>1436</v>
      </c>
      <c r="K719" s="14" t="s">
        <v>7118</v>
      </c>
      <c r="L719" s="15">
        <v>1</v>
      </c>
      <c r="M719" s="15" t="s">
        <v>144</v>
      </c>
      <c r="N719" s="16">
        <v>44319</v>
      </c>
      <c r="O719" s="12" t="s">
        <v>7119</v>
      </c>
      <c r="P719" s="14" t="s">
        <v>7120</v>
      </c>
      <c r="Q719" s="17" t="s">
        <v>137</v>
      </c>
      <c r="R719" s="17" t="s">
        <v>146</v>
      </c>
    </row>
    <row r="720" spans="1:18" x14ac:dyDescent="0.3">
      <c r="A720" s="12" t="s">
        <v>5249</v>
      </c>
      <c r="B720" s="12" t="s">
        <v>10</v>
      </c>
      <c r="C720" s="12"/>
      <c r="D720" s="12" t="s">
        <v>252</v>
      </c>
      <c r="E720" s="12" t="s">
        <v>1578</v>
      </c>
      <c r="F720" s="12" t="s">
        <v>7121</v>
      </c>
      <c r="G720" s="12" t="s">
        <v>367</v>
      </c>
      <c r="H720" s="12" t="s">
        <v>36</v>
      </c>
      <c r="I720" s="12" t="s">
        <v>26</v>
      </c>
      <c r="J720" s="13" t="s">
        <v>1492</v>
      </c>
      <c r="K720" s="14" t="s">
        <v>5250</v>
      </c>
      <c r="L720" s="15">
        <v>1</v>
      </c>
      <c r="M720" s="15" t="s">
        <v>144</v>
      </c>
      <c r="N720" s="16">
        <v>43776</v>
      </c>
      <c r="O720" s="12" t="s">
        <v>5249</v>
      </c>
      <c r="P720" s="14" t="s">
        <v>5251</v>
      </c>
      <c r="Q720" s="17" t="s">
        <v>137</v>
      </c>
      <c r="R720" s="17" t="s">
        <v>146</v>
      </c>
    </row>
    <row r="721" spans="1:18" x14ac:dyDescent="0.3">
      <c r="A721" s="12" t="s">
        <v>7122</v>
      </c>
      <c r="B721" s="12" t="s">
        <v>12</v>
      </c>
      <c r="C721" s="12"/>
      <c r="D721" s="12" t="s">
        <v>12</v>
      </c>
      <c r="E721" s="12" t="s">
        <v>7123</v>
      </c>
      <c r="F721" s="12" t="s">
        <v>843</v>
      </c>
      <c r="G721" s="12" t="s">
        <v>367</v>
      </c>
      <c r="H721" s="12" t="s">
        <v>36</v>
      </c>
      <c r="I721" s="12" t="s">
        <v>26</v>
      </c>
      <c r="J721" s="13" t="s">
        <v>1654</v>
      </c>
      <c r="K721" s="14" t="s">
        <v>7124</v>
      </c>
      <c r="L721" s="15">
        <v>1</v>
      </c>
      <c r="M721" s="15" t="s">
        <v>144</v>
      </c>
      <c r="N721" s="16">
        <v>42296</v>
      </c>
      <c r="O721" s="12" t="s">
        <v>7122</v>
      </c>
      <c r="P721" s="14" t="s">
        <v>7125</v>
      </c>
      <c r="Q721" s="17" t="s">
        <v>137</v>
      </c>
      <c r="R721" s="17" t="s">
        <v>146</v>
      </c>
    </row>
    <row r="722" spans="1:18" x14ac:dyDescent="0.3">
      <c r="A722" s="12" t="s">
        <v>7126</v>
      </c>
      <c r="B722" s="12" t="s">
        <v>10</v>
      </c>
      <c r="C722" s="12"/>
      <c r="D722" s="12" t="s">
        <v>588</v>
      </c>
      <c r="E722" s="12" t="s">
        <v>1578</v>
      </c>
      <c r="F722" s="12" t="s">
        <v>7127</v>
      </c>
      <c r="G722" s="12" t="s">
        <v>367</v>
      </c>
      <c r="H722" s="12" t="s">
        <v>36</v>
      </c>
      <c r="I722" s="12" t="s">
        <v>26</v>
      </c>
      <c r="J722" s="13" t="s">
        <v>1492</v>
      </c>
      <c r="K722" s="14" t="s">
        <v>7128</v>
      </c>
      <c r="L722" s="15">
        <v>0</v>
      </c>
      <c r="M722" s="15" t="s">
        <v>144</v>
      </c>
      <c r="N722" s="16">
        <v>39386</v>
      </c>
      <c r="O722" s="12" t="s">
        <v>7129</v>
      </c>
      <c r="P722" s="14" t="s">
        <v>7130</v>
      </c>
      <c r="Q722" s="17" t="s">
        <v>137</v>
      </c>
      <c r="R722" s="17" t="s">
        <v>146</v>
      </c>
    </row>
    <row r="723" spans="1:18" x14ac:dyDescent="0.3">
      <c r="A723" s="12" t="s">
        <v>7131</v>
      </c>
      <c r="B723" s="12" t="s">
        <v>14</v>
      </c>
      <c r="C723" s="12"/>
      <c r="D723" s="12" t="s">
        <v>14</v>
      </c>
      <c r="E723" s="12" t="s">
        <v>994</v>
      </c>
      <c r="F723" s="12" t="s">
        <v>995</v>
      </c>
      <c r="G723" s="12" t="s">
        <v>367</v>
      </c>
      <c r="H723" s="12" t="s">
        <v>36</v>
      </c>
      <c r="I723" s="12" t="s">
        <v>26</v>
      </c>
      <c r="J723" s="13" t="s">
        <v>989</v>
      </c>
      <c r="K723" s="14" t="s">
        <v>7095</v>
      </c>
      <c r="L723" s="15">
        <v>0</v>
      </c>
      <c r="M723" s="15" t="s">
        <v>144</v>
      </c>
      <c r="N723" s="16">
        <v>44216</v>
      </c>
      <c r="O723" s="12" t="s">
        <v>7132</v>
      </c>
      <c r="P723" s="14" t="s">
        <v>7133</v>
      </c>
      <c r="Q723" s="17" t="s">
        <v>137</v>
      </c>
      <c r="R723" s="17" t="s">
        <v>146</v>
      </c>
    </row>
    <row r="724" spans="1:18" x14ac:dyDescent="0.3">
      <c r="A724" s="12" t="s">
        <v>7131</v>
      </c>
      <c r="B724" s="12" t="s">
        <v>14</v>
      </c>
      <c r="C724" s="12"/>
      <c r="D724" s="12" t="s">
        <v>14</v>
      </c>
      <c r="E724" s="12" t="s">
        <v>1616</v>
      </c>
      <c r="F724" s="12" t="s">
        <v>1542</v>
      </c>
      <c r="G724" s="12" t="s">
        <v>367</v>
      </c>
      <c r="H724" s="12" t="s">
        <v>36</v>
      </c>
      <c r="I724" s="12" t="s">
        <v>26</v>
      </c>
      <c r="J724" s="13" t="s">
        <v>1442</v>
      </c>
      <c r="K724" s="14" t="s">
        <v>1617</v>
      </c>
      <c r="L724" s="15">
        <v>1</v>
      </c>
      <c r="M724" s="15" t="s">
        <v>144</v>
      </c>
      <c r="N724" s="16">
        <v>44211</v>
      </c>
      <c r="O724" s="12" t="s">
        <v>7132</v>
      </c>
      <c r="P724" s="14" t="s">
        <v>7134</v>
      </c>
      <c r="Q724" s="17" t="s">
        <v>137</v>
      </c>
      <c r="R724" s="17" t="s">
        <v>146</v>
      </c>
    </row>
    <row r="725" spans="1:18" x14ac:dyDescent="0.3">
      <c r="A725" s="12" t="s">
        <v>7135</v>
      </c>
      <c r="B725" s="12" t="s">
        <v>12</v>
      </c>
      <c r="C725" s="12"/>
      <c r="D725" s="12" t="s">
        <v>12</v>
      </c>
      <c r="E725" s="12" t="s">
        <v>6926</v>
      </c>
      <c r="F725" s="12" t="s">
        <v>4565</v>
      </c>
      <c r="G725" s="12" t="s">
        <v>367</v>
      </c>
      <c r="H725" s="12" t="s">
        <v>36</v>
      </c>
      <c r="I725" s="12" t="s">
        <v>26</v>
      </c>
      <c r="J725" s="13" t="s">
        <v>1624</v>
      </c>
      <c r="K725" s="14" t="s">
        <v>7136</v>
      </c>
      <c r="L725" s="15">
        <v>2</v>
      </c>
      <c r="M725" s="15" t="s">
        <v>144</v>
      </c>
      <c r="N725" s="16">
        <v>44065</v>
      </c>
      <c r="O725" s="12" t="s">
        <v>7135</v>
      </c>
      <c r="P725" s="14" t="s">
        <v>7137</v>
      </c>
      <c r="Q725" s="17" t="s">
        <v>137</v>
      </c>
      <c r="R725" s="17" t="s">
        <v>146</v>
      </c>
    </row>
    <row r="726" spans="1:18" x14ac:dyDescent="0.3">
      <c r="A726" s="12" t="s">
        <v>7138</v>
      </c>
      <c r="B726" s="12" t="s">
        <v>12</v>
      </c>
      <c r="C726" s="12"/>
      <c r="D726" s="12" t="s">
        <v>12</v>
      </c>
      <c r="E726" s="12" t="s">
        <v>6926</v>
      </c>
      <c r="F726" s="12" t="s">
        <v>4565</v>
      </c>
      <c r="G726" s="12" t="s">
        <v>367</v>
      </c>
      <c r="H726" s="12" t="s">
        <v>36</v>
      </c>
      <c r="I726" s="12" t="s">
        <v>26</v>
      </c>
      <c r="J726" s="13" t="s">
        <v>1624</v>
      </c>
      <c r="K726" s="14" t="s">
        <v>7136</v>
      </c>
      <c r="L726" s="15">
        <v>2</v>
      </c>
      <c r="M726" s="15" t="s">
        <v>144</v>
      </c>
      <c r="N726" s="16">
        <v>42692</v>
      </c>
      <c r="O726" s="12" t="s">
        <v>7138</v>
      </c>
      <c r="P726" s="14" t="s">
        <v>7139</v>
      </c>
      <c r="Q726" s="17" t="s">
        <v>137</v>
      </c>
      <c r="R726" s="17" t="s">
        <v>146</v>
      </c>
    </row>
    <row r="727" spans="1:18" x14ac:dyDescent="0.3">
      <c r="A727" s="12" t="s">
        <v>7140</v>
      </c>
      <c r="B727" s="12" t="s">
        <v>14</v>
      </c>
      <c r="C727" s="12"/>
      <c r="D727" s="12" t="s">
        <v>14</v>
      </c>
      <c r="E727" s="12" t="s">
        <v>7141</v>
      </c>
      <c r="F727" s="12" t="s">
        <v>7142</v>
      </c>
      <c r="G727" s="12" t="s">
        <v>367</v>
      </c>
      <c r="H727" s="12" t="s">
        <v>36</v>
      </c>
      <c r="I727" s="12" t="s">
        <v>26</v>
      </c>
      <c r="J727" s="13" t="s">
        <v>1482</v>
      </c>
      <c r="K727" s="14" t="s">
        <v>7143</v>
      </c>
      <c r="L727" s="15">
        <v>2</v>
      </c>
      <c r="M727" s="15" t="s">
        <v>144</v>
      </c>
      <c r="N727" s="16">
        <v>40454</v>
      </c>
      <c r="O727" s="12" t="s">
        <v>7144</v>
      </c>
      <c r="P727" s="14" t="s">
        <v>7145</v>
      </c>
      <c r="Q727" s="17" t="s">
        <v>137</v>
      </c>
      <c r="R727" s="17" t="s">
        <v>146</v>
      </c>
    </row>
    <row r="728" spans="1:18" x14ac:dyDescent="0.3">
      <c r="A728" s="12" t="s">
        <v>1706</v>
      </c>
      <c r="B728" s="12" t="s">
        <v>12</v>
      </c>
      <c r="C728" s="12"/>
      <c r="D728" s="12" t="s">
        <v>12</v>
      </c>
      <c r="E728" s="12" t="s">
        <v>7146</v>
      </c>
      <c r="F728" s="12" t="s">
        <v>188</v>
      </c>
      <c r="G728" s="12" t="s">
        <v>367</v>
      </c>
      <c r="H728" s="12" t="s">
        <v>36</v>
      </c>
      <c r="I728" s="12" t="s">
        <v>26</v>
      </c>
      <c r="J728" s="13" t="s">
        <v>1606</v>
      </c>
      <c r="K728" s="14" t="s">
        <v>7147</v>
      </c>
      <c r="L728" s="15">
        <v>4</v>
      </c>
      <c r="M728" s="15" t="s">
        <v>144</v>
      </c>
      <c r="N728" s="16">
        <v>42095</v>
      </c>
      <c r="O728" s="12" t="s">
        <v>7148</v>
      </c>
      <c r="P728" s="14" t="s">
        <v>7149</v>
      </c>
      <c r="Q728" s="17" t="s">
        <v>137</v>
      </c>
      <c r="R728" s="17" t="s">
        <v>146</v>
      </c>
    </row>
    <row r="729" spans="1:18" x14ac:dyDescent="0.3">
      <c r="A729" s="12" t="s">
        <v>7150</v>
      </c>
      <c r="B729" s="12" t="s">
        <v>14</v>
      </c>
      <c r="C729" s="12"/>
      <c r="D729" s="12" t="s">
        <v>14</v>
      </c>
      <c r="E729" s="12" t="s">
        <v>7151</v>
      </c>
      <c r="F729" s="12"/>
      <c r="G729" s="12" t="s">
        <v>367</v>
      </c>
      <c r="H729" s="12" t="s">
        <v>36</v>
      </c>
      <c r="I729" s="12" t="s">
        <v>26</v>
      </c>
      <c r="J729" s="13" t="s">
        <v>1606</v>
      </c>
      <c r="K729" s="14" t="s">
        <v>7152</v>
      </c>
      <c r="L729" s="15">
        <v>1</v>
      </c>
      <c r="M729" s="15" t="s">
        <v>144</v>
      </c>
      <c r="N729" s="16">
        <v>44065</v>
      </c>
      <c r="O729" s="12" t="s">
        <v>7150</v>
      </c>
      <c r="P729" s="14" t="s">
        <v>7153</v>
      </c>
      <c r="Q729" s="17" t="s">
        <v>137</v>
      </c>
      <c r="R729" s="17" t="s">
        <v>146</v>
      </c>
    </row>
    <row r="730" spans="1:18" x14ac:dyDescent="0.3">
      <c r="A730" s="12" t="s">
        <v>7154</v>
      </c>
      <c r="B730" s="12" t="s">
        <v>12</v>
      </c>
      <c r="C730" s="12"/>
      <c r="D730" s="12" t="s">
        <v>12</v>
      </c>
      <c r="E730" s="12" t="s">
        <v>7155</v>
      </c>
      <c r="F730" s="12"/>
      <c r="G730" s="12" t="s">
        <v>367</v>
      </c>
      <c r="H730" s="12" t="s">
        <v>36</v>
      </c>
      <c r="I730" s="12" t="s">
        <v>26</v>
      </c>
      <c r="J730" s="13" t="s">
        <v>1482</v>
      </c>
      <c r="K730" s="14" t="s">
        <v>7156</v>
      </c>
      <c r="L730" s="15">
        <v>0</v>
      </c>
      <c r="M730" s="15" t="s">
        <v>144</v>
      </c>
      <c r="N730" s="16">
        <v>41075</v>
      </c>
      <c r="O730" s="12" t="s">
        <v>7154</v>
      </c>
      <c r="P730" s="14" t="s">
        <v>7157</v>
      </c>
      <c r="Q730" s="17" t="s">
        <v>137</v>
      </c>
      <c r="R730" s="17" t="s">
        <v>146</v>
      </c>
    </row>
    <row r="731" spans="1:18" x14ac:dyDescent="0.3">
      <c r="A731" s="12" t="s">
        <v>7158</v>
      </c>
      <c r="B731" s="12" t="s">
        <v>12</v>
      </c>
      <c r="C731" s="12"/>
      <c r="D731" s="12" t="s">
        <v>12</v>
      </c>
      <c r="E731" s="12" t="s">
        <v>7159</v>
      </c>
      <c r="F731" s="12"/>
      <c r="G731" s="12" t="s">
        <v>367</v>
      </c>
      <c r="H731" s="12" t="s">
        <v>36</v>
      </c>
      <c r="I731" s="12" t="s">
        <v>26</v>
      </c>
      <c r="J731" s="13" t="s">
        <v>1606</v>
      </c>
      <c r="K731" s="14" t="s">
        <v>7147</v>
      </c>
      <c r="L731" s="15">
        <v>0</v>
      </c>
      <c r="M731" s="15" t="s">
        <v>144</v>
      </c>
      <c r="N731" s="16">
        <v>40105</v>
      </c>
      <c r="O731" s="12" t="s">
        <v>7158</v>
      </c>
      <c r="P731" s="14" t="s">
        <v>7160</v>
      </c>
      <c r="Q731" s="17" t="s">
        <v>137</v>
      </c>
      <c r="R731" s="17" t="s">
        <v>146</v>
      </c>
    </row>
    <row r="732" spans="1:18" x14ac:dyDescent="0.3">
      <c r="A732" s="12" t="s">
        <v>7161</v>
      </c>
      <c r="B732" s="12" t="s">
        <v>12</v>
      </c>
      <c r="C732" s="12"/>
      <c r="D732" s="12" t="s">
        <v>12</v>
      </c>
      <c r="E732" s="12" t="s">
        <v>7162</v>
      </c>
      <c r="F732" s="12" t="s">
        <v>7163</v>
      </c>
      <c r="G732" s="12" t="s">
        <v>367</v>
      </c>
      <c r="H732" s="12" t="s">
        <v>36</v>
      </c>
      <c r="I732" s="12" t="s">
        <v>26</v>
      </c>
      <c r="J732" s="13" t="s">
        <v>1547</v>
      </c>
      <c r="K732" s="14" t="s">
        <v>7164</v>
      </c>
      <c r="L732" s="15">
        <v>0</v>
      </c>
      <c r="M732" s="15" t="s">
        <v>144</v>
      </c>
      <c r="N732" s="16">
        <v>42053</v>
      </c>
      <c r="O732" s="12" t="s">
        <v>7161</v>
      </c>
      <c r="P732" s="14" t="s">
        <v>7165</v>
      </c>
      <c r="Q732" s="17" t="s">
        <v>137</v>
      </c>
      <c r="R732" s="17" t="s">
        <v>146</v>
      </c>
    </row>
    <row r="733" spans="1:18" x14ac:dyDescent="0.3">
      <c r="A733" s="12" t="s">
        <v>7166</v>
      </c>
      <c r="B733" s="12" t="s">
        <v>12</v>
      </c>
      <c r="C733" s="12"/>
      <c r="D733" s="12" t="s">
        <v>12</v>
      </c>
      <c r="E733" s="12" t="s">
        <v>7167</v>
      </c>
      <c r="F733" s="12" t="s">
        <v>7168</v>
      </c>
      <c r="G733" s="12" t="s">
        <v>367</v>
      </c>
      <c r="H733" s="12" t="s">
        <v>36</v>
      </c>
      <c r="I733" s="12" t="s">
        <v>26</v>
      </c>
      <c r="J733" s="13" t="s">
        <v>1557</v>
      </c>
      <c r="K733" s="14" t="s">
        <v>7169</v>
      </c>
      <c r="L733" s="15">
        <v>1</v>
      </c>
      <c r="M733" s="15" t="s">
        <v>144</v>
      </c>
      <c r="N733" s="16">
        <v>41724</v>
      </c>
      <c r="O733" s="12" t="s">
        <v>7166</v>
      </c>
      <c r="P733" s="14" t="s">
        <v>7170</v>
      </c>
      <c r="Q733" s="17" t="s">
        <v>137</v>
      </c>
      <c r="R733" s="17" t="s">
        <v>146</v>
      </c>
    </row>
    <row r="734" spans="1:18" x14ac:dyDescent="0.3">
      <c r="A734" s="12" t="s">
        <v>7171</v>
      </c>
      <c r="B734" s="12" t="s">
        <v>12</v>
      </c>
      <c r="C734" s="12"/>
      <c r="D734" s="12" t="s">
        <v>12</v>
      </c>
      <c r="E734" s="12" t="s">
        <v>7172</v>
      </c>
      <c r="F734" s="12"/>
      <c r="G734" s="12" t="s">
        <v>367</v>
      </c>
      <c r="H734" s="12" t="s">
        <v>36</v>
      </c>
      <c r="I734" s="12" t="s">
        <v>26</v>
      </c>
      <c r="J734" s="13" t="s">
        <v>1547</v>
      </c>
      <c r="K734" s="14" t="s">
        <v>7173</v>
      </c>
      <c r="L734" s="15">
        <v>0</v>
      </c>
      <c r="M734" s="15" t="s">
        <v>144</v>
      </c>
      <c r="N734" s="16">
        <v>39622</v>
      </c>
      <c r="O734" s="12" t="s">
        <v>7171</v>
      </c>
      <c r="P734" s="14" t="s">
        <v>7174</v>
      </c>
      <c r="Q734" s="17" t="s">
        <v>137</v>
      </c>
      <c r="R734" s="17" t="s">
        <v>146</v>
      </c>
    </row>
    <row r="735" spans="1:18" x14ac:dyDescent="0.3">
      <c r="A735" s="12" t="s">
        <v>7175</v>
      </c>
      <c r="B735" s="12" t="s">
        <v>16</v>
      </c>
      <c r="C735" s="12"/>
      <c r="D735" s="12" t="s">
        <v>471</v>
      </c>
      <c r="E735" s="12" t="s">
        <v>1237</v>
      </c>
      <c r="F735" s="12" t="s">
        <v>940</v>
      </c>
      <c r="G735" s="12" t="s">
        <v>367</v>
      </c>
      <c r="H735" s="12" t="s">
        <v>36</v>
      </c>
      <c r="I735" s="12" t="s">
        <v>26</v>
      </c>
      <c r="J735" s="13" t="s">
        <v>941</v>
      </c>
      <c r="K735" s="14" t="s">
        <v>7176</v>
      </c>
      <c r="L735" s="15">
        <v>19</v>
      </c>
      <c r="M735" s="15" t="s">
        <v>144</v>
      </c>
      <c r="N735" s="16">
        <v>42314</v>
      </c>
      <c r="O735" s="12" t="s">
        <v>7175</v>
      </c>
      <c r="P735" s="14" t="s">
        <v>7177</v>
      </c>
      <c r="Q735" s="17" t="s">
        <v>137</v>
      </c>
      <c r="R735" s="17" t="s">
        <v>146</v>
      </c>
    </row>
    <row r="736" spans="1:18" x14ac:dyDescent="0.3">
      <c r="A736" s="12" t="s">
        <v>7178</v>
      </c>
      <c r="B736" s="12" t="s">
        <v>10</v>
      </c>
      <c r="C736" s="12"/>
      <c r="D736" s="12" t="s">
        <v>157</v>
      </c>
      <c r="E736" s="12" t="s">
        <v>7179</v>
      </c>
      <c r="F736" s="12"/>
      <c r="G736" s="12" t="s">
        <v>367</v>
      </c>
      <c r="H736" s="12" t="s">
        <v>36</v>
      </c>
      <c r="I736" s="12" t="s">
        <v>26</v>
      </c>
      <c r="J736" s="13" t="s">
        <v>1482</v>
      </c>
      <c r="K736" s="14" t="s">
        <v>7180</v>
      </c>
      <c r="L736" s="15">
        <v>0</v>
      </c>
      <c r="M736" s="15" t="s">
        <v>144</v>
      </c>
      <c r="N736" s="16">
        <v>40771</v>
      </c>
      <c r="O736" s="12" t="s">
        <v>7178</v>
      </c>
      <c r="P736" s="14" t="s">
        <v>7181</v>
      </c>
      <c r="Q736" s="17" t="s">
        <v>137</v>
      </c>
      <c r="R736" s="17" t="s">
        <v>146</v>
      </c>
    </row>
    <row r="737" spans="1:18" x14ac:dyDescent="0.3">
      <c r="A737" s="12" t="s">
        <v>7182</v>
      </c>
      <c r="B737" s="12" t="s">
        <v>12</v>
      </c>
      <c r="C737" s="12"/>
      <c r="D737" s="12" t="s">
        <v>12</v>
      </c>
      <c r="E737" s="12" t="s">
        <v>7183</v>
      </c>
      <c r="F737" s="12"/>
      <c r="G737" s="12" t="s">
        <v>367</v>
      </c>
      <c r="H737" s="12" t="s">
        <v>36</v>
      </c>
      <c r="I737" s="12" t="s">
        <v>26</v>
      </c>
      <c r="J737" s="13" t="s">
        <v>1547</v>
      </c>
      <c r="K737" s="14" t="s">
        <v>7184</v>
      </c>
      <c r="L737" s="15">
        <v>0</v>
      </c>
      <c r="M737" s="15" t="s">
        <v>144</v>
      </c>
      <c r="N737" s="16">
        <v>41402</v>
      </c>
      <c r="O737" s="12" t="s">
        <v>7182</v>
      </c>
      <c r="P737" s="14" t="s">
        <v>7185</v>
      </c>
      <c r="Q737" s="17" t="s">
        <v>137</v>
      </c>
      <c r="R737" s="17" t="s">
        <v>146</v>
      </c>
    </row>
    <row r="738" spans="1:18" x14ac:dyDescent="0.3">
      <c r="A738" s="12" t="s">
        <v>7186</v>
      </c>
      <c r="B738" s="12" t="s">
        <v>12</v>
      </c>
      <c r="C738" s="12"/>
      <c r="D738" s="12" t="s">
        <v>12</v>
      </c>
      <c r="E738" s="12" t="s">
        <v>7187</v>
      </c>
      <c r="F738" s="12"/>
      <c r="G738" s="12" t="s">
        <v>367</v>
      </c>
      <c r="H738" s="12" t="s">
        <v>36</v>
      </c>
      <c r="I738" s="12" t="s">
        <v>26</v>
      </c>
      <c r="J738" s="13" t="s">
        <v>1482</v>
      </c>
      <c r="K738" s="14" t="s">
        <v>7074</v>
      </c>
      <c r="L738" s="15">
        <v>1</v>
      </c>
      <c r="M738" s="15" t="s">
        <v>144</v>
      </c>
      <c r="N738" s="16">
        <v>44065</v>
      </c>
      <c r="O738" s="12" t="s">
        <v>7186</v>
      </c>
      <c r="P738" s="14" t="s">
        <v>7188</v>
      </c>
      <c r="Q738" s="17" t="s">
        <v>137</v>
      </c>
      <c r="R738" s="17" t="s">
        <v>146</v>
      </c>
    </row>
    <row r="739" spans="1:18" x14ac:dyDescent="0.3">
      <c r="A739" s="12" t="s">
        <v>7189</v>
      </c>
      <c r="B739" s="12" t="s">
        <v>12</v>
      </c>
      <c r="C739" s="12"/>
      <c r="D739" s="12" t="s">
        <v>12</v>
      </c>
      <c r="E739" s="12" t="s">
        <v>7190</v>
      </c>
      <c r="F739" s="12"/>
      <c r="G739" s="12" t="s">
        <v>367</v>
      </c>
      <c r="H739" s="12" t="s">
        <v>36</v>
      </c>
      <c r="I739" s="12" t="s">
        <v>26</v>
      </c>
      <c r="J739" s="13" t="s">
        <v>1436</v>
      </c>
      <c r="K739" s="14" t="s">
        <v>7191</v>
      </c>
      <c r="L739" s="15">
        <v>2</v>
      </c>
      <c r="M739" s="15" t="s">
        <v>144</v>
      </c>
      <c r="N739" s="16">
        <v>44065</v>
      </c>
      <c r="O739" s="12" t="s">
        <v>7189</v>
      </c>
      <c r="P739" s="14" t="s">
        <v>7192</v>
      </c>
      <c r="Q739" s="17" t="s">
        <v>137</v>
      </c>
      <c r="R739" s="17" t="s">
        <v>146</v>
      </c>
    </row>
    <row r="740" spans="1:18" x14ac:dyDescent="0.3">
      <c r="A740" s="12" t="s">
        <v>7193</v>
      </c>
      <c r="B740" s="12" t="s">
        <v>12</v>
      </c>
      <c r="C740" s="12"/>
      <c r="D740" s="12" t="s">
        <v>12</v>
      </c>
      <c r="E740" s="12" t="s">
        <v>7194</v>
      </c>
      <c r="F740" s="12"/>
      <c r="G740" s="12" t="s">
        <v>367</v>
      </c>
      <c r="H740" s="12" t="s">
        <v>36</v>
      </c>
      <c r="I740" s="12" t="s">
        <v>26</v>
      </c>
      <c r="J740" s="13" t="s">
        <v>1472</v>
      </c>
      <c r="K740" s="14" t="s">
        <v>7195</v>
      </c>
      <c r="L740" s="15">
        <v>2</v>
      </c>
      <c r="M740" s="15" t="s">
        <v>144</v>
      </c>
      <c r="N740" s="16">
        <v>40371</v>
      </c>
      <c r="O740" s="12" t="s">
        <v>7193</v>
      </c>
      <c r="P740" s="14" t="s">
        <v>7196</v>
      </c>
      <c r="Q740" s="17" t="s">
        <v>137</v>
      </c>
      <c r="R740" s="17" t="s">
        <v>146</v>
      </c>
    </row>
    <row r="741" spans="1:18" x14ac:dyDescent="0.3">
      <c r="A741" s="12" t="s">
        <v>7197</v>
      </c>
      <c r="B741" s="12" t="s">
        <v>12</v>
      </c>
      <c r="C741" s="12"/>
      <c r="D741" s="12" t="s">
        <v>12</v>
      </c>
      <c r="E741" s="12" t="s">
        <v>7198</v>
      </c>
      <c r="F741" s="12"/>
      <c r="G741" s="12" t="s">
        <v>367</v>
      </c>
      <c r="H741" s="12" t="s">
        <v>36</v>
      </c>
      <c r="I741" s="12" t="s">
        <v>26</v>
      </c>
      <c r="J741" s="13" t="s">
        <v>6728</v>
      </c>
      <c r="K741" s="14" t="s">
        <v>7199</v>
      </c>
      <c r="L741" s="15">
        <v>2</v>
      </c>
      <c r="M741" s="15" t="s">
        <v>144</v>
      </c>
      <c r="N741" s="16">
        <v>44065</v>
      </c>
      <c r="O741" s="12" t="s">
        <v>7200</v>
      </c>
      <c r="P741" s="14" t="s">
        <v>7201</v>
      </c>
      <c r="Q741" s="17" t="s">
        <v>137</v>
      </c>
      <c r="R741" s="17" t="s">
        <v>146</v>
      </c>
    </row>
    <row r="742" spans="1:18" x14ac:dyDescent="0.3">
      <c r="A742" s="12" t="s">
        <v>7202</v>
      </c>
      <c r="B742" s="12" t="s">
        <v>12</v>
      </c>
      <c r="C742" s="12"/>
      <c r="D742" s="12" t="s">
        <v>12</v>
      </c>
      <c r="E742" s="12" t="s">
        <v>7203</v>
      </c>
      <c r="F742" s="12" t="s">
        <v>6139</v>
      </c>
      <c r="G742" s="12" t="s">
        <v>367</v>
      </c>
      <c r="H742" s="12" t="s">
        <v>36</v>
      </c>
      <c r="I742" s="12" t="s">
        <v>26</v>
      </c>
      <c r="J742" s="13" t="s">
        <v>1564</v>
      </c>
      <c r="K742" s="14" t="s">
        <v>7204</v>
      </c>
      <c r="L742" s="15">
        <v>1</v>
      </c>
      <c r="M742" s="15" t="s">
        <v>144</v>
      </c>
      <c r="N742" s="16">
        <v>42062</v>
      </c>
      <c r="O742" s="12" t="s">
        <v>7205</v>
      </c>
      <c r="P742" s="14" t="s">
        <v>7206</v>
      </c>
      <c r="Q742" s="17" t="s">
        <v>137</v>
      </c>
      <c r="R742" s="17" t="s">
        <v>146</v>
      </c>
    </row>
    <row r="743" spans="1:18" x14ac:dyDescent="0.3">
      <c r="A743" s="12" t="s">
        <v>7207</v>
      </c>
      <c r="B743" s="12" t="s">
        <v>12</v>
      </c>
      <c r="C743" s="12"/>
      <c r="D743" s="12" t="s">
        <v>12</v>
      </c>
      <c r="E743" s="12" t="s">
        <v>7208</v>
      </c>
      <c r="F743" s="12"/>
      <c r="G743" s="12" t="s">
        <v>367</v>
      </c>
      <c r="H743" s="12" t="s">
        <v>36</v>
      </c>
      <c r="I743" s="12" t="s">
        <v>26</v>
      </c>
      <c r="J743" s="13" t="s">
        <v>1606</v>
      </c>
      <c r="K743" s="14" t="s">
        <v>7209</v>
      </c>
      <c r="L743" s="15">
        <v>0</v>
      </c>
      <c r="M743" s="15" t="s">
        <v>144</v>
      </c>
      <c r="N743" s="16">
        <v>41591</v>
      </c>
      <c r="O743" s="12" t="s">
        <v>7207</v>
      </c>
      <c r="P743" s="14" t="s">
        <v>7210</v>
      </c>
      <c r="Q743" s="17" t="s">
        <v>137</v>
      </c>
      <c r="R743" s="17" t="s">
        <v>146</v>
      </c>
    </row>
    <row r="744" spans="1:18" x14ac:dyDescent="0.3">
      <c r="A744" s="12" t="s">
        <v>7211</v>
      </c>
      <c r="B744" s="12" t="s">
        <v>12</v>
      </c>
      <c r="C744" s="12"/>
      <c r="D744" s="12" t="s">
        <v>12</v>
      </c>
      <c r="E744" s="12" t="s">
        <v>7212</v>
      </c>
      <c r="F744" s="12"/>
      <c r="G744" s="12" t="s">
        <v>367</v>
      </c>
      <c r="H744" s="12" t="s">
        <v>36</v>
      </c>
      <c r="I744" s="12" t="s">
        <v>26</v>
      </c>
      <c r="J744" s="13" t="s">
        <v>1547</v>
      </c>
      <c r="K744" s="14" t="s">
        <v>7213</v>
      </c>
      <c r="L744" s="15">
        <v>0</v>
      </c>
      <c r="M744" s="15" t="s">
        <v>144</v>
      </c>
      <c r="N744" s="16">
        <v>41320</v>
      </c>
      <c r="O744" s="12" t="s">
        <v>7211</v>
      </c>
      <c r="P744" s="14" t="s">
        <v>7214</v>
      </c>
      <c r="Q744" s="17" t="s">
        <v>137</v>
      </c>
      <c r="R744" s="17" t="s">
        <v>146</v>
      </c>
    </row>
    <row r="745" spans="1:18" x14ac:dyDescent="0.3">
      <c r="A745" s="12" t="s">
        <v>7215</v>
      </c>
      <c r="B745" s="12" t="s">
        <v>12</v>
      </c>
      <c r="C745" s="12"/>
      <c r="D745" s="12" t="s">
        <v>12</v>
      </c>
      <c r="E745" s="12" t="s">
        <v>7216</v>
      </c>
      <c r="F745" s="12"/>
      <c r="G745" s="12" t="s">
        <v>367</v>
      </c>
      <c r="H745" s="12" t="s">
        <v>36</v>
      </c>
      <c r="I745" s="12" t="s">
        <v>26</v>
      </c>
      <c r="J745" s="13" t="s">
        <v>1518</v>
      </c>
      <c r="K745" s="14" t="s">
        <v>7217</v>
      </c>
      <c r="L745" s="15">
        <v>1</v>
      </c>
      <c r="M745" s="15" t="s">
        <v>144</v>
      </c>
      <c r="N745" s="16">
        <v>39595</v>
      </c>
      <c r="O745" s="12" t="s">
        <v>7215</v>
      </c>
      <c r="P745" s="14" t="s">
        <v>7218</v>
      </c>
      <c r="Q745" s="17" t="s">
        <v>137</v>
      </c>
      <c r="R745" s="17" t="s">
        <v>146</v>
      </c>
    </row>
    <row r="746" spans="1:18" x14ac:dyDescent="0.3">
      <c r="A746" s="12" t="s">
        <v>7219</v>
      </c>
      <c r="B746" s="12" t="s">
        <v>12</v>
      </c>
      <c r="C746" s="12"/>
      <c r="D746" s="12" t="s">
        <v>12</v>
      </c>
      <c r="E746" s="12" t="s">
        <v>7220</v>
      </c>
      <c r="F746" s="12" t="s">
        <v>188</v>
      </c>
      <c r="G746" s="12" t="s">
        <v>1661</v>
      </c>
      <c r="H746" s="12" t="s">
        <v>36</v>
      </c>
      <c r="I746" s="12" t="s">
        <v>26</v>
      </c>
      <c r="J746" s="13" t="s">
        <v>1662</v>
      </c>
      <c r="K746" s="14" t="s">
        <v>7221</v>
      </c>
      <c r="L746" s="15">
        <v>2</v>
      </c>
      <c r="M746" s="15" t="s">
        <v>144</v>
      </c>
      <c r="N746" s="16">
        <v>39952</v>
      </c>
      <c r="O746" s="12" t="s">
        <v>7219</v>
      </c>
      <c r="P746" s="14" t="s">
        <v>7222</v>
      </c>
      <c r="Q746" s="17" t="s">
        <v>137</v>
      </c>
      <c r="R746" s="17" t="s">
        <v>146</v>
      </c>
    </row>
    <row r="747" spans="1:18" x14ac:dyDescent="0.3">
      <c r="A747" s="12" t="s">
        <v>7223</v>
      </c>
      <c r="B747" s="12" t="s">
        <v>12</v>
      </c>
      <c r="C747" s="12"/>
      <c r="D747" s="12" t="s">
        <v>12</v>
      </c>
      <c r="E747" s="12" t="s">
        <v>1659</v>
      </c>
      <c r="F747" s="12" t="s">
        <v>615</v>
      </c>
      <c r="G747" s="12" t="s">
        <v>1661</v>
      </c>
      <c r="H747" s="12" t="s">
        <v>36</v>
      </c>
      <c r="I747" s="12" t="s">
        <v>26</v>
      </c>
      <c r="J747" s="13" t="s">
        <v>1662</v>
      </c>
      <c r="K747" s="14" t="s">
        <v>7224</v>
      </c>
      <c r="L747" s="15">
        <v>10</v>
      </c>
      <c r="M747" s="15" t="s">
        <v>144</v>
      </c>
      <c r="N747" s="16">
        <v>40940</v>
      </c>
      <c r="O747" s="12" t="s">
        <v>7223</v>
      </c>
      <c r="P747" s="14" t="s">
        <v>7225</v>
      </c>
      <c r="Q747" s="17" t="s">
        <v>137</v>
      </c>
      <c r="R747" s="17" t="s">
        <v>146</v>
      </c>
    </row>
    <row r="748" spans="1:18" x14ac:dyDescent="0.3">
      <c r="A748" s="12" t="s">
        <v>7226</v>
      </c>
      <c r="B748" s="12" t="s">
        <v>10</v>
      </c>
      <c r="C748" s="12"/>
      <c r="D748" s="12" t="s">
        <v>880</v>
      </c>
      <c r="E748" s="12" t="s">
        <v>7227</v>
      </c>
      <c r="F748" s="12"/>
      <c r="G748" s="12" t="s">
        <v>1661</v>
      </c>
      <c r="H748" s="12" t="s">
        <v>36</v>
      </c>
      <c r="I748" s="12" t="s">
        <v>26</v>
      </c>
      <c r="J748" s="13" t="s">
        <v>1662</v>
      </c>
      <c r="K748" s="14" t="s">
        <v>7228</v>
      </c>
      <c r="L748" s="15">
        <v>0</v>
      </c>
      <c r="M748" s="15" t="s">
        <v>144</v>
      </c>
      <c r="N748" s="16">
        <v>44065</v>
      </c>
      <c r="O748" s="12" t="s">
        <v>7226</v>
      </c>
      <c r="P748" s="14" t="s">
        <v>7229</v>
      </c>
      <c r="Q748" s="17" t="s">
        <v>137</v>
      </c>
      <c r="R748" s="17" t="s">
        <v>146</v>
      </c>
    </row>
    <row r="749" spans="1:18" x14ac:dyDescent="0.3">
      <c r="A749" s="12" t="s">
        <v>7230</v>
      </c>
      <c r="B749" s="12" t="s">
        <v>12</v>
      </c>
      <c r="C749" s="12"/>
      <c r="D749" s="12" t="s">
        <v>12</v>
      </c>
      <c r="E749" s="12" t="s">
        <v>7231</v>
      </c>
      <c r="F749" s="12" t="s">
        <v>7232</v>
      </c>
      <c r="G749" s="12" t="s">
        <v>1661</v>
      </c>
      <c r="H749" s="12" t="s">
        <v>36</v>
      </c>
      <c r="I749" s="12" t="s">
        <v>26</v>
      </c>
      <c r="J749" s="13" t="s">
        <v>1662</v>
      </c>
      <c r="K749" s="14" t="s">
        <v>7233</v>
      </c>
      <c r="L749" s="15">
        <v>4</v>
      </c>
      <c r="M749" s="15" t="s">
        <v>144</v>
      </c>
      <c r="N749" s="16">
        <v>42202</v>
      </c>
      <c r="O749" s="12" t="s">
        <v>7230</v>
      </c>
      <c r="P749" s="14" t="s">
        <v>7234</v>
      </c>
      <c r="Q749" s="17" t="s">
        <v>137</v>
      </c>
      <c r="R749" s="17" t="s">
        <v>146</v>
      </c>
    </row>
    <row r="750" spans="1:18" x14ac:dyDescent="0.3">
      <c r="A750" s="12" t="s">
        <v>7235</v>
      </c>
      <c r="B750" s="12" t="s">
        <v>12</v>
      </c>
      <c r="C750" s="12"/>
      <c r="D750" s="12" t="s">
        <v>12</v>
      </c>
      <c r="E750" s="12" t="s">
        <v>7231</v>
      </c>
      <c r="F750" s="12" t="s">
        <v>7232</v>
      </c>
      <c r="G750" s="12" t="s">
        <v>1661</v>
      </c>
      <c r="H750" s="12" t="s">
        <v>36</v>
      </c>
      <c r="I750" s="12" t="s">
        <v>26</v>
      </c>
      <c r="J750" s="13" t="s">
        <v>1662</v>
      </c>
      <c r="K750" s="14" t="s">
        <v>7236</v>
      </c>
      <c r="L750" s="15">
        <v>4</v>
      </c>
      <c r="M750" s="15" t="s">
        <v>144</v>
      </c>
      <c r="N750" s="16">
        <v>42430</v>
      </c>
      <c r="O750" s="12" t="s">
        <v>7235</v>
      </c>
      <c r="P750" s="14" t="s">
        <v>7237</v>
      </c>
      <c r="Q750" s="17" t="s">
        <v>137</v>
      </c>
      <c r="R750" s="17" t="s">
        <v>146</v>
      </c>
    </row>
    <row r="751" spans="1:18" x14ac:dyDescent="0.3">
      <c r="A751" s="12" t="s">
        <v>7238</v>
      </c>
      <c r="B751" s="12" t="s">
        <v>12</v>
      </c>
      <c r="C751" s="12"/>
      <c r="D751" s="12" t="s">
        <v>12</v>
      </c>
      <c r="E751" s="12" t="s">
        <v>7239</v>
      </c>
      <c r="F751" s="12" t="s">
        <v>447</v>
      </c>
      <c r="G751" s="12" t="s">
        <v>1661</v>
      </c>
      <c r="H751" s="12" t="s">
        <v>36</v>
      </c>
      <c r="I751" s="12" t="s">
        <v>26</v>
      </c>
      <c r="J751" s="13" t="s">
        <v>1681</v>
      </c>
      <c r="K751" s="14" t="s">
        <v>7240</v>
      </c>
      <c r="L751" s="15">
        <v>1</v>
      </c>
      <c r="M751" s="15" t="s">
        <v>144</v>
      </c>
      <c r="N751" s="16">
        <v>40613</v>
      </c>
      <c r="O751" s="12" t="s">
        <v>7238</v>
      </c>
      <c r="P751" s="14" t="s">
        <v>7241</v>
      </c>
      <c r="Q751" s="17" t="s">
        <v>137</v>
      </c>
      <c r="R751" s="17" t="s">
        <v>146</v>
      </c>
    </row>
    <row r="752" spans="1:18" x14ac:dyDescent="0.3">
      <c r="A752" s="12" t="s">
        <v>7242</v>
      </c>
      <c r="B752" s="12" t="s">
        <v>12</v>
      </c>
      <c r="C752" s="12"/>
      <c r="D752" s="12" t="s">
        <v>12</v>
      </c>
      <c r="E752" s="12" t="s">
        <v>1659</v>
      </c>
      <c r="F752" s="12" t="s">
        <v>615</v>
      </c>
      <c r="G752" s="12" t="s">
        <v>1661</v>
      </c>
      <c r="H752" s="12" t="s">
        <v>36</v>
      </c>
      <c r="I752" s="12" t="s">
        <v>26</v>
      </c>
      <c r="J752" s="13" t="s">
        <v>1662</v>
      </c>
      <c r="K752" s="14" t="s">
        <v>7224</v>
      </c>
      <c r="L752" s="15">
        <v>10</v>
      </c>
      <c r="M752" s="15" t="s">
        <v>144</v>
      </c>
      <c r="N752" s="16">
        <v>44065</v>
      </c>
      <c r="O752" s="12" t="s">
        <v>7242</v>
      </c>
      <c r="P752" s="14" t="s">
        <v>7243</v>
      </c>
      <c r="Q752" s="17" t="s">
        <v>137</v>
      </c>
      <c r="R752" s="17" t="s">
        <v>146</v>
      </c>
    </row>
    <row r="753" spans="1:18" x14ac:dyDescent="0.3">
      <c r="A753" s="12" t="s">
        <v>7244</v>
      </c>
      <c r="B753" s="12" t="s">
        <v>12</v>
      </c>
      <c r="C753" s="12"/>
      <c r="D753" s="12" t="s">
        <v>12</v>
      </c>
      <c r="E753" s="12" t="s">
        <v>1659</v>
      </c>
      <c r="F753" s="12" t="s">
        <v>188</v>
      </c>
      <c r="G753" s="12" t="s">
        <v>1661</v>
      </c>
      <c r="H753" s="12" t="s">
        <v>36</v>
      </c>
      <c r="I753" s="12" t="s">
        <v>26</v>
      </c>
      <c r="J753" s="13" t="s">
        <v>1662</v>
      </c>
      <c r="K753" s="14" t="s">
        <v>7245</v>
      </c>
      <c r="L753" s="15">
        <v>10</v>
      </c>
      <c r="M753" s="15" t="s">
        <v>144</v>
      </c>
      <c r="N753" s="16">
        <v>41585</v>
      </c>
      <c r="O753" s="12" t="s">
        <v>7244</v>
      </c>
      <c r="P753" s="14" t="s">
        <v>7246</v>
      </c>
      <c r="Q753" s="17" t="s">
        <v>137</v>
      </c>
      <c r="R753" s="17" t="s">
        <v>146</v>
      </c>
    </row>
    <row r="754" spans="1:18" x14ac:dyDescent="0.3">
      <c r="A754" s="12" t="s">
        <v>7247</v>
      </c>
      <c r="B754" s="12" t="s">
        <v>12</v>
      </c>
      <c r="C754" s="12"/>
      <c r="D754" s="12" t="s">
        <v>12</v>
      </c>
      <c r="E754" s="12" t="s">
        <v>7248</v>
      </c>
      <c r="F754" s="12" t="s">
        <v>547</v>
      </c>
      <c r="G754" s="12" t="s">
        <v>1661</v>
      </c>
      <c r="H754" s="12" t="s">
        <v>36</v>
      </c>
      <c r="I754" s="12" t="s">
        <v>26</v>
      </c>
      <c r="J754" s="13" t="s">
        <v>1681</v>
      </c>
      <c r="K754" s="14" t="s">
        <v>7249</v>
      </c>
      <c r="L754" s="15">
        <v>3</v>
      </c>
      <c r="M754" s="15" t="s">
        <v>144</v>
      </c>
      <c r="N754" s="16">
        <v>40849</v>
      </c>
      <c r="O754" s="12" t="s">
        <v>7247</v>
      </c>
      <c r="P754" s="14" t="s">
        <v>7250</v>
      </c>
      <c r="Q754" s="17" t="s">
        <v>137</v>
      </c>
      <c r="R754" s="17" t="s">
        <v>146</v>
      </c>
    </row>
    <row r="755" spans="1:18" x14ac:dyDescent="0.3">
      <c r="A755" s="12" t="s">
        <v>7251</v>
      </c>
      <c r="B755" s="12" t="s">
        <v>12</v>
      </c>
      <c r="C755" s="12"/>
      <c r="D755" s="12" t="s">
        <v>12</v>
      </c>
      <c r="E755" s="12" t="s">
        <v>7252</v>
      </c>
      <c r="F755" s="12" t="s">
        <v>832</v>
      </c>
      <c r="G755" s="12" t="s">
        <v>1661</v>
      </c>
      <c r="H755" s="12" t="s">
        <v>36</v>
      </c>
      <c r="I755" s="12" t="s">
        <v>26</v>
      </c>
      <c r="J755" s="13" t="s">
        <v>1662</v>
      </c>
      <c r="K755" s="14" t="s">
        <v>7253</v>
      </c>
      <c r="L755" s="15">
        <v>1</v>
      </c>
      <c r="M755" s="15" t="s">
        <v>144</v>
      </c>
      <c r="N755" s="16">
        <v>39630</v>
      </c>
      <c r="O755" s="12" t="s">
        <v>7254</v>
      </c>
      <c r="P755" s="14" t="s">
        <v>7255</v>
      </c>
      <c r="Q755" s="17" t="s">
        <v>137</v>
      </c>
      <c r="R755" s="17" t="s">
        <v>146</v>
      </c>
    </row>
    <row r="756" spans="1:18" x14ac:dyDescent="0.3">
      <c r="A756" s="12" t="s">
        <v>7256</v>
      </c>
      <c r="B756" s="12" t="s">
        <v>12</v>
      </c>
      <c r="C756" s="12"/>
      <c r="D756" s="12" t="s">
        <v>12</v>
      </c>
      <c r="E756" s="12" t="s">
        <v>7257</v>
      </c>
      <c r="F756" s="12" t="s">
        <v>7258</v>
      </c>
      <c r="G756" s="12" t="s">
        <v>1661</v>
      </c>
      <c r="H756" s="12" t="s">
        <v>36</v>
      </c>
      <c r="I756" s="12" t="s">
        <v>26</v>
      </c>
      <c r="J756" s="13" t="s">
        <v>1662</v>
      </c>
      <c r="K756" s="14" t="s">
        <v>7259</v>
      </c>
      <c r="L756" s="15">
        <v>0</v>
      </c>
      <c r="M756" s="15" t="s">
        <v>144</v>
      </c>
      <c r="N756" s="16">
        <v>42769</v>
      </c>
      <c r="O756" s="12" t="s">
        <v>7256</v>
      </c>
      <c r="P756" s="14" t="s">
        <v>7260</v>
      </c>
      <c r="Q756" s="17" t="s">
        <v>137</v>
      </c>
      <c r="R756" s="17" t="s">
        <v>146</v>
      </c>
    </row>
    <row r="757" spans="1:18" x14ac:dyDescent="0.3">
      <c r="A757" s="12" t="s">
        <v>7261</v>
      </c>
      <c r="B757" s="12" t="s">
        <v>12</v>
      </c>
      <c r="C757" s="12"/>
      <c r="D757" s="12" t="s">
        <v>12</v>
      </c>
      <c r="E757" s="12" t="s">
        <v>7262</v>
      </c>
      <c r="F757" s="12" t="s">
        <v>7263</v>
      </c>
      <c r="G757" s="12" t="s">
        <v>1661</v>
      </c>
      <c r="H757" s="12" t="s">
        <v>36</v>
      </c>
      <c r="I757" s="12" t="s">
        <v>26</v>
      </c>
      <c r="J757" s="13" t="s">
        <v>1662</v>
      </c>
      <c r="K757" s="14" t="s">
        <v>7264</v>
      </c>
      <c r="L757" s="15">
        <v>0</v>
      </c>
      <c r="M757" s="15" t="s">
        <v>144</v>
      </c>
      <c r="N757" s="16">
        <v>40156</v>
      </c>
      <c r="O757" s="12" t="s">
        <v>7261</v>
      </c>
      <c r="P757" s="14" t="s">
        <v>7265</v>
      </c>
      <c r="Q757" s="17" t="s">
        <v>137</v>
      </c>
      <c r="R757" s="17" t="s">
        <v>146</v>
      </c>
    </row>
    <row r="758" spans="1:18" x14ac:dyDescent="0.3">
      <c r="A758" s="12" t="s">
        <v>7266</v>
      </c>
      <c r="B758" s="12" t="s">
        <v>12</v>
      </c>
      <c r="C758" s="12"/>
      <c r="D758" s="12" t="s">
        <v>12</v>
      </c>
      <c r="E758" s="12" t="s">
        <v>7267</v>
      </c>
      <c r="F758" s="12" t="s">
        <v>218</v>
      </c>
      <c r="G758" s="12" t="s">
        <v>1661</v>
      </c>
      <c r="H758" s="12" t="s">
        <v>36</v>
      </c>
      <c r="I758" s="12" t="s">
        <v>26</v>
      </c>
      <c r="J758" s="13" t="s">
        <v>1662</v>
      </c>
      <c r="K758" s="14" t="s">
        <v>7268</v>
      </c>
      <c r="L758" s="15">
        <v>3</v>
      </c>
      <c r="M758" s="15" t="s">
        <v>144</v>
      </c>
      <c r="N758" s="16">
        <v>41078</v>
      </c>
      <c r="O758" s="12" t="s">
        <v>7269</v>
      </c>
      <c r="P758" s="14" t="s">
        <v>7270</v>
      </c>
      <c r="Q758" s="17" t="s">
        <v>137</v>
      </c>
      <c r="R758" s="17" t="s">
        <v>146</v>
      </c>
    </row>
    <row r="759" spans="1:18" x14ac:dyDescent="0.3">
      <c r="A759" s="12" t="s">
        <v>7271</v>
      </c>
      <c r="B759" s="12" t="s">
        <v>12</v>
      </c>
      <c r="C759" s="12"/>
      <c r="D759" s="12" t="s">
        <v>12</v>
      </c>
      <c r="E759" s="12" t="s">
        <v>7272</v>
      </c>
      <c r="F759" s="12"/>
      <c r="G759" s="12" t="s">
        <v>1661</v>
      </c>
      <c r="H759" s="12" t="s">
        <v>36</v>
      </c>
      <c r="I759" s="12" t="s">
        <v>26</v>
      </c>
      <c r="J759" s="13" t="s">
        <v>1681</v>
      </c>
      <c r="K759" s="14" t="s">
        <v>7273</v>
      </c>
      <c r="L759" s="15">
        <v>3</v>
      </c>
      <c r="M759" s="15" t="s">
        <v>144</v>
      </c>
      <c r="N759" s="16">
        <v>39511</v>
      </c>
      <c r="O759" s="12" t="s">
        <v>7271</v>
      </c>
      <c r="P759" s="14" t="s">
        <v>7274</v>
      </c>
      <c r="Q759" s="17" t="s">
        <v>137</v>
      </c>
      <c r="R759" s="17" t="s">
        <v>146</v>
      </c>
    </row>
    <row r="760" spans="1:18" x14ac:dyDescent="0.3">
      <c r="A760" s="12" t="s">
        <v>7275</v>
      </c>
      <c r="B760" s="12" t="s">
        <v>12</v>
      </c>
      <c r="C760" s="12"/>
      <c r="D760" s="12" t="s">
        <v>12</v>
      </c>
      <c r="E760" s="12" t="s">
        <v>7276</v>
      </c>
      <c r="F760" s="12"/>
      <c r="G760" s="12" t="s">
        <v>1661</v>
      </c>
      <c r="H760" s="12" t="s">
        <v>36</v>
      </c>
      <c r="I760" s="12" t="s">
        <v>26</v>
      </c>
      <c r="J760" s="13" t="s">
        <v>1662</v>
      </c>
      <c r="K760" s="14" t="s">
        <v>7277</v>
      </c>
      <c r="L760" s="15">
        <v>2</v>
      </c>
      <c r="M760" s="15" t="s">
        <v>144</v>
      </c>
      <c r="N760" s="16">
        <v>39351</v>
      </c>
      <c r="O760" s="12" t="s">
        <v>7275</v>
      </c>
      <c r="P760" s="14" t="s">
        <v>7278</v>
      </c>
      <c r="Q760" s="17" t="s">
        <v>137</v>
      </c>
      <c r="R760" s="17" t="s">
        <v>146</v>
      </c>
    </row>
    <row r="761" spans="1:18" x14ac:dyDescent="0.3">
      <c r="A761" s="12" t="s">
        <v>7279</v>
      </c>
      <c r="B761" s="12" t="s">
        <v>14</v>
      </c>
      <c r="C761" s="12"/>
      <c r="D761" s="12" t="s">
        <v>14</v>
      </c>
      <c r="E761" s="12" t="s">
        <v>7280</v>
      </c>
      <c r="F761" s="12"/>
      <c r="G761" s="12" t="s">
        <v>1661</v>
      </c>
      <c r="H761" s="12" t="s">
        <v>36</v>
      </c>
      <c r="I761" s="12" t="s">
        <v>26</v>
      </c>
      <c r="J761" s="13" t="s">
        <v>1662</v>
      </c>
      <c r="K761" s="14" t="s">
        <v>7281</v>
      </c>
      <c r="L761" s="15">
        <v>14</v>
      </c>
      <c r="M761" s="15" t="s">
        <v>144</v>
      </c>
      <c r="N761" s="16">
        <v>43551</v>
      </c>
      <c r="O761" s="12" t="s">
        <v>7279</v>
      </c>
      <c r="P761" s="14" t="s">
        <v>7282</v>
      </c>
      <c r="Q761" s="17" t="s">
        <v>137</v>
      </c>
      <c r="R761" s="17" t="s">
        <v>146</v>
      </c>
    </row>
    <row r="762" spans="1:18" x14ac:dyDescent="0.3">
      <c r="A762" s="12" t="s">
        <v>7283</v>
      </c>
      <c r="B762" s="12" t="s">
        <v>12</v>
      </c>
      <c r="C762" s="12"/>
      <c r="D762" s="12" t="s">
        <v>12</v>
      </c>
      <c r="E762" s="12" t="s">
        <v>7284</v>
      </c>
      <c r="F762" s="12" t="s">
        <v>2820</v>
      </c>
      <c r="G762" s="12" t="s">
        <v>1661</v>
      </c>
      <c r="H762" s="12" t="s">
        <v>36</v>
      </c>
      <c r="I762" s="12" t="s">
        <v>26</v>
      </c>
      <c r="J762" s="13" t="s">
        <v>1681</v>
      </c>
      <c r="K762" s="14" t="s">
        <v>7285</v>
      </c>
      <c r="L762" s="15">
        <v>1</v>
      </c>
      <c r="M762" s="15" t="s">
        <v>144</v>
      </c>
      <c r="N762" s="16">
        <v>43564</v>
      </c>
      <c r="O762" s="12" t="s">
        <v>7286</v>
      </c>
      <c r="P762" s="14" t="s">
        <v>7287</v>
      </c>
      <c r="Q762" s="17" t="s">
        <v>137</v>
      </c>
      <c r="R762" s="17" t="s">
        <v>146</v>
      </c>
    </row>
    <row r="763" spans="1:18" x14ac:dyDescent="0.3">
      <c r="A763" s="12" t="s">
        <v>7288</v>
      </c>
      <c r="B763" s="12" t="s">
        <v>12</v>
      </c>
      <c r="C763" s="12"/>
      <c r="D763" s="12" t="s">
        <v>12</v>
      </c>
      <c r="E763" s="12" t="s">
        <v>7289</v>
      </c>
      <c r="F763" s="12"/>
      <c r="G763" s="12" t="s">
        <v>1661</v>
      </c>
      <c r="H763" s="12" t="s">
        <v>36</v>
      </c>
      <c r="I763" s="12" t="s">
        <v>26</v>
      </c>
      <c r="J763" s="13" t="s">
        <v>1681</v>
      </c>
      <c r="K763" s="14" t="s">
        <v>7290</v>
      </c>
      <c r="L763" s="15">
        <v>2</v>
      </c>
      <c r="M763" s="15" t="s">
        <v>144</v>
      </c>
      <c r="N763" s="16">
        <v>42247</v>
      </c>
      <c r="O763" s="12" t="s">
        <v>7288</v>
      </c>
      <c r="P763" s="14" t="s">
        <v>7291</v>
      </c>
      <c r="Q763" s="17" t="s">
        <v>137</v>
      </c>
      <c r="R763" s="17" t="s">
        <v>146</v>
      </c>
    </row>
    <row r="764" spans="1:18" x14ac:dyDescent="0.3">
      <c r="A764" s="12" t="s">
        <v>7292</v>
      </c>
      <c r="B764" s="12" t="s">
        <v>10</v>
      </c>
      <c r="C764" s="12" t="s">
        <v>12</v>
      </c>
      <c r="D764" s="12" t="s">
        <v>7293</v>
      </c>
      <c r="E764" s="12" t="s">
        <v>1727</v>
      </c>
      <c r="F764" s="12" t="s">
        <v>447</v>
      </c>
      <c r="G764" s="12" t="s">
        <v>1661</v>
      </c>
      <c r="H764" s="12" t="s">
        <v>36</v>
      </c>
      <c r="I764" s="12" t="s">
        <v>26</v>
      </c>
      <c r="J764" s="13" t="s">
        <v>1662</v>
      </c>
      <c r="K764" s="14" t="s">
        <v>7259</v>
      </c>
      <c r="L764" s="15">
        <v>0</v>
      </c>
      <c r="M764" s="15" t="s">
        <v>220</v>
      </c>
      <c r="N764" s="16">
        <v>41807</v>
      </c>
      <c r="O764" s="12" t="s">
        <v>7292</v>
      </c>
      <c r="P764" s="14" t="s">
        <v>7294</v>
      </c>
      <c r="Q764" s="17" t="s">
        <v>137</v>
      </c>
      <c r="R764" s="17" t="s">
        <v>146</v>
      </c>
    </row>
    <row r="765" spans="1:18" x14ac:dyDescent="0.3">
      <c r="A765" s="12" t="s">
        <v>7295</v>
      </c>
      <c r="B765" s="12" t="s">
        <v>12</v>
      </c>
      <c r="C765" s="12"/>
      <c r="D765" s="12" t="s">
        <v>12</v>
      </c>
      <c r="E765" s="12" t="s">
        <v>1701</v>
      </c>
      <c r="F765" s="12" t="s">
        <v>1702</v>
      </c>
      <c r="G765" s="12" t="s">
        <v>1661</v>
      </c>
      <c r="H765" s="12" t="s">
        <v>36</v>
      </c>
      <c r="I765" s="12" t="s">
        <v>26</v>
      </c>
      <c r="J765" s="13" t="s">
        <v>1342</v>
      </c>
      <c r="K765" s="14" t="s">
        <v>1703</v>
      </c>
      <c r="L765" s="15">
        <v>1</v>
      </c>
      <c r="M765" s="15" t="s">
        <v>144</v>
      </c>
      <c r="N765" s="16">
        <v>41311</v>
      </c>
      <c r="O765" s="12" t="s">
        <v>7296</v>
      </c>
      <c r="P765" s="14" t="s">
        <v>7297</v>
      </c>
      <c r="Q765" s="17" t="s">
        <v>137</v>
      </c>
      <c r="R765" s="17" t="s">
        <v>146</v>
      </c>
    </row>
    <row r="766" spans="1:18" x14ac:dyDescent="0.3">
      <c r="A766" s="12" t="s">
        <v>7298</v>
      </c>
      <c r="B766" s="12" t="s">
        <v>12</v>
      </c>
      <c r="C766" s="12"/>
      <c r="D766" s="12" t="s">
        <v>12</v>
      </c>
      <c r="E766" s="12" t="s">
        <v>7299</v>
      </c>
      <c r="F766" s="12"/>
      <c r="G766" s="12" t="s">
        <v>1661</v>
      </c>
      <c r="H766" s="12" t="s">
        <v>36</v>
      </c>
      <c r="I766" s="12" t="s">
        <v>26</v>
      </c>
      <c r="J766" s="13" t="s">
        <v>1681</v>
      </c>
      <c r="K766" s="14" t="s">
        <v>7300</v>
      </c>
      <c r="L766" s="15">
        <v>2</v>
      </c>
      <c r="M766" s="15" t="s">
        <v>144</v>
      </c>
      <c r="N766" s="16">
        <v>41317</v>
      </c>
      <c r="O766" s="12" t="s">
        <v>7298</v>
      </c>
      <c r="P766" s="14" t="s">
        <v>7301</v>
      </c>
      <c r="Q766" s="17" t="s">
        <v>137</v>
      </c>
      <c r="R766" s="17" t="s">
        <v>146</v>
      </c>
    </row>
    <row r="767" spans="1:18" x14ac:dyDescent="0.3">
      <c r="A767" s="12" t="s">
        <v>7302</v>
      </c>
      <c r="B767" s="12" t="s">
        <v>14</v>
      </c>
      <c r="C767" s="12"/>
      <c r="D767" s="12" t="s">
        <v>14</v>
      </c>
      <c r="E767" s="12" t="s">
        <v>7303</v>
      </c>
      <c r="F767" s="12"/>
      <c r="G767" s="12" t="s">
        <v>1661</v>
      </c>
      <c r="H767" s="12" t="s">
        <v>36</v>
      </c>
      <c r="I767" s="12" t="s">
        <v>26</v>
      </c>
      <c r="J767" s="13" t="s">
        <v>1681</v>
      </c>
      <c r="K767" s="14" t="s">
        <v>7304</v>
      </c>
      <c r="L767" s="15">
        <v>10</v>
      </c>
      <c r="M767" s="15" t="s">
        <v>144</v>
      </c>
      <c r="N767" s="16">
        <v>39723</v>
      </c>
      <c r="O767" s="12" t="s">
        <v>7305</v>
      </c>
      <c r="P767" s="14" t="s">
        <v>7306</v>
      </c>
      <c r="Q767" s="17" t="s">
        <v>137</v>
      </c>
      <c r="R767" s="17" t="s">
        <v>146</v>
      </c>
    </row>
    <row r="768" spans="1:18" x14ac:dyDescent="0.3">
      <c r="A768" s="12" t="s">
        <v>7307</v>
      </c>
      <c r="B768" s="12" t="s">
        <v>12</v>
      </c>
      <c r="C768" s="12"/>
      <c r="D768" s="12" t="s">
        <v>12</v>
      </c>
      <c r="E768" s="12" t="s">
        <v>1727</v>
      </c>
      <c r="F768" s="12" t="s">
        <v>447</v>
      </c>
      <c r="G768" s="12" t="s">
        <v>1661</v>
      </c>
      <c r="H768" s="12" t="s">
        <v>36</v>
      </c>
      <c r="I768" s="12" t="s">
        <v>26</v>
      </c>
      <c r="J768" s="13" t="s">
        <v>1662</v>
      </c>
      <c r="K768" s="14" t="s">
        <v>7259</v>
      </c>
      <c r="L768" s="15">
        <v>0</v>
      </c>
      <c r="M768" s="15" t="s">
        <v>144</v>
      </c>
      <c r="N768" s="16">
        <v>41892</v>
      </c>
      <c r="O768" s="12" t="s">
        <v>7308</v>
      </c>
      <c r="P768" s="14" t="s">
        <v>7309</v>
      </c>
      <c r="Q768" s="17" t="s">
        <v>137</v>
      </c>
      <c r="R768" s="17" t="s">
        <v>146</v>
      </c>
    </row>
    <row r="769" spans="1:18" x14ac:dyDescent="0.3">
      <c r="A769" s="12" t="s">
        <v>7310</v>
      </c>
      <c r="B769" s="12" t="s">
        <v>12</v>
      </c>
      <c r="C769" s="12"/>
      <c r="D769" s="12" t="s">
        <v>12</v>
      </c>
      <c r="E769" s="12" t="s">
        <v>7311</v>
      </c>
      <c r="F769" s="12" t="s">
        <v>7312</v>
      </c>
      <c r="G769" s="12" t="s">
        <v>1661</v>
      </c>
      <c r="H769" s="12" t="s">
        <v>36</v>
      </c>
      <c r="I769" s="12" t="s">
        <v>26</v>
      </c>
      <c r="J769" s="13" t="s">
        <v>1662</v>
      </c>
      <c r="K769" s="14" t="s">
        <v>7313</v>
      </c>
      <c r="L769" s="15">
        <v>1</v>
      </c>
      <c r="M769" s="15" t="s">
        <v>144</v>
      </c>
      <c r="N769" s="16">
        <v>43525</v>
      </c>
      <c r="O769" s="12" t="s">
        <v>7310</v>
      </c>
      <c r="P769" s="14" t="s">
        <v>7314</v>
      </c>
      <c r="Q769" s="17" t="s">
        <v>137</v>
      </c>
      <c r="R769" s="17" t="s">
        <v>146</v>
      </c>
    </row>
    <row r="770" spans="1:18" x14ac:dyDescent="0.3">
      <c r="A770" s="12" t="s">
        <v>7315</v>
      </c>
      <c r="B770" s="12" t="s">
        <v>12</v>
      </c>
      <c r="C770" s="12"/>
      <c r="D770" s="12" t="s">
        <v>12</v>
      </c>
      <c r="E770" s="12" t="s">
        <v>7252</v>
      </c>
      <c r="F770" s="12" t="s">
        <v>832</v>
      </c>
      <c r="G770" s="12" t="s">
        <v>1661</v>
      </c>
      <c r="H770" s="12" t="s">
        <v>36</v>
      </c>
      <c r="I770" s="12" t="s">
        <v>26</v>
      </c>
      <c r="J770" s="13" t="s">
        <v>1662</v>
      </c>
      <c r="K770" s="14" t="s">
        <v>7316</v>
      </c>
      <c r="L770" s="15">
        <v>1</v>
      </c>
      <c r="M770" s="15" t="s">
        <v>144</v>
      </c>
      <c r="N770" s="16">
        <v>40372</v>
      </c>
      <c r="O770" s="12" t="s">
        <v>7315</v>
      </c>
      <c r="P770" s="14" t="s">
        <v>7317</v>
      </c>
      <c r="Q770" s="17" t="s">
        <v>137</v>
      </c>
      <c r="R770" s="17" t="s">
        <v>146</v>
      </c>
    </row>
    <row r="771" spans="1:18" x14ac:dyDescent="0.3">
      <c r="A771" s="12" t="s">
        <v>7318</v>
      </c>
      <c r="B771" s="12" t="s">
        <v>12</v>
      </c>
      <c r="C771" s="12"/>
      <c r="D771" s="12" t="s">
        <v>12</v>
      </c>
      <c r="E771" s="12" t="s">
        <v>7252</v>
      </c>
      <c r="F771" s="12" t="s">
        <v>832</v>
      </c>
      <c r="G771" s="12" t="s">
        <v>1661</v>
      </c>
      <c r="H771" s="12" t="s">
        <v>36</v>
      </c>
      <c r="I771" s="12" t="s">
        <v>26</v>
      </c>
      <c r="J771" s="13" t="s">
        <v>1662</v>
      </c>
      <c r="K771" s="14" t="s">
        <v>7319</v>
      </c>
      <c r="L771" s="15">
        <v>1</v>
      </c>
      <c r="M771" s="15" t="s">
        <v>144</v>
      </c>
      <c r="N771" s="16">
        <v>39380</v>
      </c>
      <c r="O771" s="12" t="s">
        <v>7318</v>
      </c>
      <c r="P771" s="14" t="s">
        <v>7320</v>
      </c>
      <c r="Q771" s="17" t="s">
        <v>137</v>
      </c>
      <c r="R771" s="17" t="s">
        <v>146</v>
      </c>
    </row>
    <row r="772" spans="1:18" x14ac:dyDescent="0.3">
      <c r="A772" s="12" t="s">
        <v>4710</v>
      </c>
      <c r="B772" s="12" t="s">
        <v>14</v>
      </c>
      <c r="C772" s="12"/>
      <c r="D772" s="12" t="s">
        <v>14</v>
      </c>
      <c r="E772" s="12" t="s">
        <v>7321</v>
      </c>
      <c r="F772" s="12"/>
      <c r="G772" s="12" t="s">
        <v>1661</v>
      </c>
      <c r="H772" s="12" t="s">
        <v>36</v>
      </c>
      <c r="I772" s="12" t="s">
        <v>26</v>
      </c>
      <c r="J772" s="13" t="s">
        <v>1681</v>
      </c>
      <c r="K772" s="14" t="s">
        <v>7322</v>
      </c>
      <c r="L772" s="15">
        <v>0</v>
      </c>
      <c r="M772" s="15" t="s">
        <v>144</v>
      </c>
      <c r="N772" s="16">
        <v>44159</v>
      </c>
      <c r="O772" s="12" t="s">
        <v>4710</v>
      </c>
      <c r="P772" s="14" t="s">
        <v>4713</v>
      </c>
      <c r="Q772" s="17" t="s">
        <v>137</v>
      </c>
      <c r="R772" s="17" t="s">
        <v>146</v>
      </c>
    </row>
    <row r="773" spans="1:18" x14ac:dyDescent="0.3">
      <c r="A773" s="12" t="s">
        <v>7323</v>
      </c>
      <c r="B773" s="12" t="s">
        <v>12</v>
      </c>
      <c r="C773" s="12"/>
      <c r="D773" s="12" t="s">
        <v>12</v>
      </c>
      <c r="E773" s="12" t="s">
        <v>7272</v>
      </c>
      <c r="F773" s="12"/>
      <c r="G773" s="12" t="s">
        <v>1661</v>
      </c>
      <c r="H773" s="12" t="s">
        <v>36</v>
      </c>
      <c r="I773" s="12" t="s">
        <v>26</v>
      </c>
      <c r="J773" s="13" t="s">
        <v>1681</v>
      </c>
      <c r="K773" s="14" t="s">
        <v>7324</v>
      </c>
      <c r="L773" s="15">
        <v>3</v>
      </c>
      <c r="M773" s="15" t="s">
        <v>144</v>
      </c>
      <c r="N773" s="16">
        <v>41948</v>
      </c>
      <c r="O773" s="12" t="s">
        <v>7323</v>
      </c>
      <c r="P773" s="14" t="s">
        <v>7325</v>
      </c>
      <c r="Q773" s="17" t="s">
        <v>137</v>
      </c>
      <c r="R773" s="17" t="s">
        <v>146</v>
      </c>
    </row>
    <row r="774" spans="1:18" x14ac:dyDescent="0.3">
      <c r="A774" s="12" t="s">
        <v>7326</v>
      </c>
      <c r="B774" s="12" t="s">
        <v>12</v>
      </c>
      <c r="C774" s="12"/>
      <c r="D774" s="12" t="s">
        <v>12</v>
      </c>
      <c r="E774" s="12" t="s">
        <v>7248</v>
      </c>
      <c r="F774" s="12"/>
      <c r="G774" s="12" t="s">
        <v>1661</v>
      </c>
      <c r="H774" s="12" t="s">
        <v>36</v>
      </c>
      <c r="I774" s="12" t="s">
        <v>26</v>
      </c>
      <c r="J774" s="13" t="s">
        <v>1681</v>
      </c>
      <c r="K774" s="14" t="s">
        <v>7327</v>
      </c>
      <c r="L774" s="15">
        <v>3</v>
      </c>
      <c r="M774" s="15" t="s">
        <v>144</v>
      </c>
      <c r="N774" s="16">
        <v>42844</v>
      </c>
      <c r="O774" s="12" t="s">
        <v>7326</v>
      </c>
      <c r="P774" s="14" t="s">
        <v>7328</v>
      </c>
      <c r="Q774" s="17" t="s">
        <v>137</v>
      </c>
      <c r="R774" s="17" t="s">
        <v>146</v>
      </c>
    </row>
    <row r="775" spans="1:18" x14ac:dyDescent="0.3">
      <c r="A775" s="12" t="s">
        <v>7329</v>
      </c>
      <c r="B775" s="12" t="s">
        <v>12</v>
      </c>
      <c r="C775" s="12"/>
      <c r="D775" s="12" t="s">
        <v>12</v>
      </c>
      <c r="E775" s="12" t="s">
        <v>1727</v>
      </c>
      <c r="F775" s="12" t="s">
        <v>447</v>
      </c>
      <c r="G775" s="12" t="s">
        <v>1661</v>
      </c>
      <c r="H775" s="12" t="s">
        <v>36</v>
      </c>
      <c r="I775" s="12" t="s">
        <v>26</v>
      </c>
      <c r="J775" s="13" t="s">
        <v>1662</v>
      </c>
      <c r="K775" s="14" t="s">
        <v>7259</v>
      </c>
      <c r="L775" s="15">
        <v>0</v>
      </c>
      <c r="M775" s="15" t="s">
        <v>144</v>
      </c>
      <c r="N775" s="16">
        <v>41310</v>
      </c>
      <c r="O775" s="12" t="s">
        <v>7329</v>
      </c>
      <c r="P775" s="14" t="s">
        <v>7330</v>
      </c>
      <c r="Q775" s="17" t="s">
        <v>137</v>
      </c>
      <c r="R775" s="17" t="s">
        <v>146</v>
      </c>
    </row>
    <row r="776" spans="1:18" x14ac:dyDescent="0.3">
      <c r="A776" s="12" t="s">
        <v>7331</v>
      </c>
      <c r="B776" s="12" t="s">
        <v>12</v>
      </c>
      <c r="C776" s="12"/>
      <c r="D776" s="12" t="s">
        <v>12</v>
      </c>
      <c r="E776" s="12" t="s">
        <v>1727</v>
      </c>
      <c r="F776" s="12" t="s">
        <v>447</v>
      </c>
      <c r="G776" s="12" t="s">
        <v>1661</v>
      </c>
      <c r="H776" s="12" t="s">
        <v>36</v>
      </c>
      <c r="I776" s="12" t="s">
        <v>26</v>
      </c>
      <c r="J776" s="13" t="s">
        <v>1662</v>
      </c>
      <c r="K776" s="14" t="s">
        <v>7259</v>
      </c>
      <c r="L776" s="15">
        <v>0</v>
      </c>
      <c r="M776" s="15" t="s">
        <v>144</v>
      </c>
      <c r="N776" s="16">
        <v>42013</v>
      </c>
      <c r="O776" s="12" t="s">
        <v>7331</v>
      </c>
      <c r="P776" s="14" t="s">
        <v>7332</v>
      </c>
      <c r="Q776" s="17" t="s">
        <v>137</v>
      </c>
      <c r="R776" s="17" t="s">
        <v>146</v>
      </c>
    </row>
    <row r="777" spans="1:18" x14ac:dyDescent="0.3">
      <c r="A777" s="12" t="s">
        <v>7333</v>
      </c>
      <c r="B777" s="12" t="s">
        <v>12</v>
      </c>
      <c r="C777" s="12"/>
      <c r="D777" s="12" t="s">
        <v>12</v>
      </c>
      <c r="E777" s="12" t="s">
        <v>7334</v>
      </c>
      <c r="F777" s="12" t="s">
        <v>7335</v>
      </c>
      <c r="G777" s="12" t="s">
        <v>1661</v>
      </c>
      <c r="H777" s="12" t="s">
        <v>36</v>
      </c>
      <c r="I777" s="12" t="s">
        <v>26</v>
      </c>
      <c r="J777" s="13" t="s">
        <v>1662</v>
      </c>
      <c r="K777" s="14" t="s">
        <v>7336</v>
      </c>
      <c r="L777" s="15">
        <v>0</v>
      </c>
      <c r="M777" s="15" t="s">
        <v>144</v>
      </c>
      <c r="N777" s="16">
        <v>42058</v>
      </c>
      <c r="O777" s="12" t="s">
        <v>7333</v>
      </c>
      <c r="P777" s="14" t="s">
        <v>7337</v>
      </c>
      <c r="Q777" s="17" t="s">
        <v>137</v>
      </c>
      <c r="R777" s="17" t="s">
        <v>146</v>
      </c>
    </row>
    <row r="778" spans="1:18" x14ac:dyDescent="0.3">
      <c r="A778" s="12" t="s">
        <v>7338</v>
      </c>
      <c r="B778" s="12" t="s">
        <v>12</v>
      </c>
      <c r="C778" s="12"/>
      <c r="D778" s="12" t="s">
        <v>12</v>
      </c>
      <c r="E778" s="12" t="s">
        <v>7339</v>
      </c>
      <c r="F778" s="12" t="s">
        <v>359</v>
      </c>
      <c r="G778" s="12" t="s">
        <v>1661</v>
      </c>
      <c r="H778" s="12" t="s">
        <v>36</v>
      </c>
      <c r="I778" s="12" t="s">
        <v>26</v>
      </c>
      <c r="J778" s="13" t="s">
        <v>1342</v>
      </c>
      <c r="K778" s="14" t="s">
        <v>7340</v>
      </c>
      <c r="L778" s="15">
        <v>1</v>
      </c>
      <c r="M778" s="15" t="s">
        <v>144</v>
      </c>
      <c r="N778" s="16">
        <v>40002</v>
      </c>
      <c r="O778" s="12" t="s">
        <v>7338</v>
      </c>
      <c r="P778" s="14" t="s">
        <v>7341</v>
      </c>
      <c r="Q778" s="17" t="s">
        <v>137</v>
      </c>
      <c r="R778" s="17" t="s">
        <v>146</v>
      </c>
    </row>
    <row r="779" spans="1:18" x14ac:dyDescent="0.3">
      <c r="A779" s="12" t="s">
        <v>7342</v>
      </c>
      <c r="B779" s="12" t="s">
        <v>12</v>
      </c>
      <c r="C779" s="12"/>
      <c r="D779" s="12" t="s">
        <v>12</v>
      </c>
      <c r="E779" s="12" t="s">
        <v>7343</v>
      </c>
      <c r="F779" s="12" t="s">
        <v>1025</v>
      </c>
      <c r="G779" s="12" t="s">
        <v>1661</v>
      </c>
      <c r="H779" s="12" t="s">
        <v>36</v>
      </c>
      <c r="I779" s="12" t="s">
        <v>26</v>
      </c>
      <c r="J779" s="13" t="s">
        <v>1681</v>
      </c>
      <c r="K779" s="14" t="s">
        <v>7344</v>
      </c>
      <c r="L779" s="15">
        <v>3</v>
      </c>
      <c r="M779" s="15" t="s">
        <v>144</v>
      </c>
      <c r="N779" s="16">
        <v>43055</v>
      </c>
      <c r="O779" s="12" t="s">
        <v>7342</v>
      </c>
      <c r="P779" s="14" t="s">
        <v>7345</v>
      </c>
      <c r="Q779" s="17" t="s">
        <v>137</v>
      </c>
      <c r="R779" s="17" t="s">
        <v>146</v>
      </c>
    </row>
    <row r="780" spans="1:18" x14ac:dyDescent="0.3">
      <c r="A780" s="12" t="s">
        <v>7346</v>
      </c>
      <c r="B780" s="12" t="s">
        <v>12</v>
      </c>
      <c r="C780" s="12"/>
      <c r="D780" s="12" t="s">
        <v>12</v>
      </c>
      <c r="E780" s="12" t="s">
        <v>7347</v>
      </c>
      <c r="F780" s="12"/>
      <c r="G780" s="12" t="s">
        <v>1733</v>
      </c>
      <c r="H780" s="12" t="s">
        <v>36</v>
      </c>
      <c r="I780" s="12" t="s">
        <v>26</v>
      </c>
      <c r="J780" s="13" t="s">
        <v>1734</v>
      </c>
      <c r="K780" s="14" t="s">
        <v>7348</v>
      </c>
      <c r="L780" s="15">
        <v>1</v>
      </c>
      <c r="M780" s="15" t="s">
        <v>144</v>
      </c>
      <c r="N780" s="16">
        <v>41045</v>
      </c>
      <c r="O780" s="12" t="s">
        <v>7346</v>
      </c>
      <c r="P780" s="14" t="s">
        <v>7349</v>
      </c>
      <c r="Q780" s="17" t="s">
        <v>137</v>
      </c>
      <c r="R780" s="17" t="s">
        <v>146</v>
      </c>
    </row>
    <row r="781" spans="1:18" x14ac:dyDescent="0.3">
      <c r="A781" s="12" t="s">
        <v>7350</v>
      </c>
      <c r="B781" s="12" t="s">
        <v>12</v>
      </c>
      <c r="C781" s="12"/>
      <c r="D781" s="12" t="s">
        <v>12</v>
      </c>
      <c r="E781" s="12" t="s">
        <v>7351</v>
      </c>
      <c r="F781" s="12"/>
      <c r="G781" s="12" t="s">
        <v>1733</v>
      </c>
      <c r="H781" s="12" t="s">
        <v>36</v>
      </c>
      <c r="I781" s="12" t="s">
        <v>26</v>
      </c>
      <c r="J781" s="13" t="s">
        <v>1734</v>
      </c>
      <c r="K781" s="14" t="s">
        <v>7352</v>
      </c>
      <c r="L781" s="15">
        <v>1</v>
      </c>
      <c r="M781" s="15" t="s">
        <v>144</v>
      </c>
      <c r="N781" s="16">
        <v>41744</v>
      </c>
      <c r="O781" s="12" t="s">
        <v>7350</v>
      </c>
      <c r="P781" s="14" t="s">
        <v>7353</v>
      </c>
      <c r="Q781" s="17" t="s">
        <v>137</v>
      </c>
      <c r="R781" s="17" t="s">
        <v>146</v>
      </c>
    </row>
    <row r="782" spans="1:18" x14ac:dyDescent="0.3">
      <c r="A782" s="12" t="s">
        <v>6720</v>
      </c>
      <c r="B782" s="12" t="s">
        <v>12</v>
      </c>
      <c r="C782" s="12"/>
      <c r="D782" s="12" t="s">
        <v>12</v>
      </c>
      <c r="E782" s="12" t="s">
        <v>7354</v>
      </c>
      <c r="F782" s="12"/>
      <c r="G782" s="12" t="s">
        <v>7355</v>
      </c>
      <c r="H782" s="12" t="s">
        <v>36</v>
      </c>
      <c r="I782" s="12" t="s">
        <v>26</v>
      </c>
      <c r="J782" s="13" t="s">
        <v>1547</v>
      </c>
      <c r="K782" s="14" t="s">
        <v>7356</v>
      </c>
      <c r="L782" s="15">
        <v>1</v>
      </c>
      <c r="M782" s="15" t="s">
        <v>144</v>
      </c>
      <c r="N782" s="16">
        <v>40577</v>
      </c>
      <c r="O782" s="12" t="s">
        <v>7357</v>
      </c>
      <c r="P782" s="14" t="s">
        <v>7358</v>
      </c>
      <c r="Q782" s="17" t="s">
        <v>137</v>
      </c>
      <c r="R782" s="17" t="s">
        <v>146</v>
      </c>
    </row>
    <row r="783" spans="1:18" x14ac:dyDescent="0.3">
      <c r="A783" s="12" t="s">
        <v>7359</v>
      </c>
      <c r="B783" s="12" t="s">
        <v>10</v>
      </c>
      <c r="C783" s="12" t="s">
        <v>12</v>
      </c>
      <c r="D783" s="12" t="s">
        <v>7360</v>
      </c>
      <c r="E783" s="12" t="s">
        <v>7361</v>
      </c>
      <c r="F783" s="12"/>
      <c r="G783" s="12" t="s">
        <v>1741</v>
      </c>
      <c r="H783" s="12" t="s">
        <v>36</v>
      </c>
      <c r="I783" s="12" t="s">
        <v>26</v>
      </c>
      <c r="J783" s="13" t="s">
        <v>1317</v>
      </c>
      <c r="K783" s="14" t="s">
        <v>7362</v>
      </c>
      <c r="L783" s="15">
        <v>1</v>
      </c>
      <c r="M783" s="15" t="s">
        <v>144</v>
      </c>
      <c r="N783" s="16">
        <v>41291</v>
      </c>
      <c r="O783" s="12" t="s">
        <v>7359</v>
      </c>
      <c r="P783" s="14" t="s">
        <v>7363</v>
      </c>
      <c r="Q783" s="17" t="s">
        <v>137</v>
      </c>
      <c r="R783" s="17" t="s">
        <v>146</v>
      </c>
    </row>
    <row r="784" spans="1:18" x14ac:dyDescent="0.3">
      <c r="A784" s="12" t="s">
        <v>7364</v>
      </c>
      <c r="B784" s="12" t="s">
        <v>12</v>
      </c>
      <c r="C784" s="12"/>
      <c r="D784" s="12" t="s">
        <v>12</v>
      </c>
      <c r="E784" s="12" t="s">
        <v>7365</v>
      </c>
      <c r="F784" s="12"/>
      <c r="G784" s="12" t="s">
        <v>1741</v>
      </c>
      <c r="H784" s="12" t="s">
        <v>36</v>
      </c>
      <c r="I784" s="12" t="s">
        <v>26</v>
      </c>
      <c r="J784" s="13" t="s">
        <v>1742</v>
      </c>
      <c r="K784" s="14" t="s">
        <v>7366</v>
      </c>
      <c r="L784" s="15">
        <v>2</v>
      </c>
      <c r="M784" s="15" t="s">
        <v>144</v>
      </c>
      <c r="N784" s="16">
        <v>42122</v>
      </c>
      <c r="O784" s="12" t="s">
        <v>7364</v>
      </c>
      <c r="P784" s="14" t="s">
        <v>7367</v>
      </c>
      <c r="Q784" s="17" t="s">
        <v>137</v>
      </c>
      <c r="R784" s="17" t="s">
        <v>146</v>
      </c>
    </row>
    <row r="785" spans="1:18" x14ac:dyDescent="0.3">
      <c r="A785" s="12" t="s">
        <v>7368</v>
      </c>
      <c r="B785" s="12" t="s">
        <v>12</v>
      </c>
      <c r="C785" s="12"/>
      <c r="D785" s="12" t="s">
        <v>12</v>
      </c>
      <c r="E785" s="12" t="s">
        <v>7369</v>
      </c>
      <c r="F785" s="12" t="s">
        <v>6868</v>
      </c>
      <c r="G785" s="12" t="s">
        <v>1741</v>
      </c>
      <c r="H785" s="12" t="s">
        <v>36</v>
      </c>
      <c r="I785" s="12" t="s">
        <v>26</v>
      </c>
      <c r="J785" s="13" t="s">
        <v>1317</v>
      </c>
      <c r="K785" s="14" t="s">
        <v>7370</v>
      </c>
      <c r="L785" s="15">
        <v>1</v>
      </c>
      <c r="M785" s="15" t="s">
        <v>144</v>
      </c>
      <c r="N785" s="16">
        <v>41129</v>
      </c>
      <c r="O785" s="12" t="s">
        <v>7368</v>
      </c>
      <c r="P785" s="14" t="s">
        <v>7371</v>
      </c>
      <c r="Q785" s="17" t="s">
        <v>137</v>
      </c>
      <c r="R785" s="17" t="s">
        <v>146</v>
      </c>
    </row>
    <row r="786" spans="1:18" x14ac:dyDescent="0.3">
      <c r="A786" s="12" t="s">
        <v>7372</v>
      </c>
      <c r="B786" s="12" t="s">
        <v>12</v>
      </c>
      <c r="C786" s="12"/>
      <c r="D786" s="12" t="s">
        <v>12</v>
      </c>
      <c r="E786" s="12" t="s">
        <v>1739</v>
      </c>
      <c r="F786" s="12" t="s">
        <v>6125</v>
      </c>
      <c r="G786" s="12" t="s">
        <v>1741</v>
      </c>
      <c r="H786" s="12" t="s">
        <v>36</v>
      </c>
      <c r="I786" s="12" t="s">
        <v>26</v>
      </c>
      <c r="J786" s="13" t="s">
        <v>1742</v>
      </c>
      <c r="K786" s="14" t="s">
        <v>7373</v>
      </c>
      <c r="L786" s="15">
        <v>4</v>
      </c>
      <c r="M786" s="15" t="s">
        <v>144</v>
      </c>
      <c r="N786" s="16">
        <v>43850</v>
      </c>
      <c r="O786" s="12" t="s">
        <v>7374</v>
      </c>
      <c r="P786" s="14" t="s">
        <v>7375</v>
      </c>
      <c r="Q786" s="17" t="s">
        <v>137</v>
      </c>
      <c r="R786" s="17" t="s">
        <v>146</v>
      </c>
    </row>
    <row r="787" spans="1:18" x14ac:dyDescent="0.3">
      <c r="A787" s="12" t="s">
        <v>7376</v>
      </c>
      <c r="B787" s="12" t="s">
        <v>14</v>
      </c>
      <c r="C787" s="12"/>
      <c r="D787" s="12" t="s">
        <v>14</v>
      </c>
      <c r="E787" s="12" t="s">
        <v>7377</v>
      </c>
      <c r="F787" s="12"/>
      <c r="G787" s="12" t="s">
        <v>1741</v>
      </c>
      <c r="H787" s="12" t="s">
        <v>36</v>
      </c>
      <c r="I787" s="12" t="s">
        <v>26</v>
      </c>
      <c r="J787" s="13" t="s">
        <v>1317</v>
      </c>
      <c r="K787" s="14" t="s">
        <v>7378</v>
      </c>
      <c r="L787" s="15">
        <v>1</v>
      </c>
      <c r="M787" s="15" t="s">
        <v>144</v>
      </c>
      <c r="N787" s="16">
        <v>44221</v>
      </c>
      <c r="O787" s="12" t="s">
        <v>7376</v>
      </c>
      <c r="P787" s="14" t="s">
        <v>7379</v>
      </c>
      <c r="Q787" s="17" t="s">
        <v>137</v>
      </c>
      <c r="R787" s="17" t="s">
        <v>146</v>
      </c>
    </row>
    <row r="788" spans="1:18" x14ac:dyDescent="0.3">
      <c r="A788" s="12" t="s">
        <v>7380</v>
      </c>
      <c r="B788" s="12" t="s">
        <v>12</v>
      </c>
      <c r="C788" s="12"/>
      <c r="D788" s="12" t="s">
        <v>12</v>
      </c>
      <c r="E788" s="12" t="s">
        <v>7381</v>
      </c>
      <c r="F788" s="12"/>
      <c r="G788" s="12" t="s">
        <v>1741</v>
      </c>
      <c r="H788" s="12" t="s">
        <v>36</v>
      </c>
      <c r="I788" s="12" t="s">
        <v>26</v>
      </c>
      <c r="J788" s="13" t="s">
        <v>1317</v>
      </c>
      <c r="K788" s="14" t="s">
        <v>7382</v>
      </c>
      <c r="L788" s="15">
        <v>1</v>
      </c>
      <c r="M788" s="15" t="s">
        <v>144</v>
      </c>
      <c r="N788" s="16">
        <v>39974</v>
      </c>
      <c r="O788" s="12" t="s">
        <v>7380</v>
      </c>
      <c r="P788" s="14" t="s">
        <v>7383</v>
      </c>
      <c r="Q788" s="17" t="s">
        <v>137</v>
      </c>
      <c r="R788" s="17" t="s">
        <v>146</v>
      </c>
    </row>
    <row r="789" spans="1:18" x14ac:dyDescent="0.3">
      <c r="A789" s="12" t="s">
        <v>7384</v>
      </c>
      <c r="B789" s="12" t="s">
        <v>10</v>
      </c>
      <c r="C789" s="12"/>
      <c r="D789" s="12" t="s">
        <v>252</v>
      </c>
      <c r="E789" s="12" t="s">
        <v>7385</v>
      </c>
      <c r="F789" s="12"/>
      <c r="G789" s="12" t="s">
        <v>1741</v>
      </c>
      <c r="H789" s="12" t="s">
        <v>36</v>
      </c>
      <c r="I789" s="12" t="s">
        <v>26</v>
      </c>
      <c r="J789" s="13" t="s">
        <v>1742</v>
      </c>
      <c r="K789" s="14" t="s">
        <v>7386</v>
      </c>
      <c r="L789" s="15">
        <v>1</v>
      </c>
      <c r="M789" s="15" t="s">
        <v>144</v>
      </c>
      <c r="N789" s="16">
        <v>43698</v>
      </c>
      <c r="O789" s="12" t="s">
        <v>7384</v>
      </c>
      <c r="P789" s="14" t="s">
        <v>7387</v>
      </c>
      <c r="Q789" s="17" t="s">
        <v>137</v>
      </c>
      <c r="R789" s="17" t="s">
        <v>146</v>
      </c>
    </row>
    <row r="790" spans="1:18" x14ac:dyDescent="0.3">
      <c r="A790" s="12" t="s">
        <v>7388</v>
      </c>
      <c r="B790" s="12" t="s">
        <v>12</v>
      </c>
      <c r="C790" s="12"/>
      <c r="D790" s="12" t="s">
        <v>12</v>
      </c>
      <c r="E790" s="12" t="s">
        <v>7389</v>
      </c>
      <c r="F790" s="12" t="s">
        <v>345</v>
      </c>
      <c r="G790" s="12" t="s">
        <v>1741</v>
      </c>
      <c r="H790" s="12" t="s">
        <v>36</v>
      </c>
      <c r="I790" s="12" t="s">
        <v>26</v>
      </c>
      <c r="J790" s="13" t="s">
        <v>1317</v>
      </c>
      <c r="K790" s="14" t="s">
        <v>7390</v>
      </c>
      <c r="L790" s="15">
        <v>1</v>
      </c>
      <c r="M790" s="15" t="s">
        <v>144</v>
      </c>
      <c r="N790" s="16">
        <v>43599</v>
      </c>
      <c r="O790" s="12" t="s">
        <v>7388</v>
      </c>
      <c r="P790" s="14" t="s">
        <v>7391</v>
      </c>
      <c r="Q790" s="17" t="s">
        <v>137</v>
      </c>
      <c r="R790" s="17" t="s">
        <v>146</v>
      </c>
    </row>
    <row r="791" spans="1:18" x14ac:dyDescent="0.3">
      <c r="A791" s="12" t="s">
        <v>5804</v>
      </c>
      <c r="B791" s="12" t="s">
        <v>12</v>
      </c>
      <c r="C791" s="12"/>
      <c r="D791" s="12" t="s">
        <v>12</v>
      </c>
      <c r="E791" s="12" t="s">
        <v>7392</v>
      </c>
      <c r="F791" s="12"/>
      <c r="G791" s="12" t="s">
        <v>1746</v>
      </c>
      <c r="H791" s="12" t="s">
        <v>36</v>
      </c>
      <c r="I791" s="12" t="s">
        <v>26</v>
      </c>
      <c r="J791" s="13" t="s">
        <v>1363</v>
      </c>
      <c r="K791" s="14" t="s">
        <v>7393</v>
      </c>
      <c r="L791" s="15">
        <v>0</v>
      </c>
      <c r="M791" s="15" t="s">
        <v>144</v>
      </c>
      <c r="N791" s="16">
        <v>43176</v>
      </c>
      <c r="O791" s="12" t="s">
        <v>5804</v>
      </c>
      <c r="P791" s="14" t="s">
        <v>5807</v>
      </c>
      <c r="Q791" s="17" t="s">
        <v>137</v>
      </c>
      <c r="R791" s="17" t="s">
        <v>146</v>
      </c>
    </row>
    <row r="792" spans="1:18" x14ac:dyDescent="0.3">
      <c r="A792" s="12" t="s">
        <v>7394</v>
      </c>
      <c r="B792" s="12" t="s">
        <v>12</v>
      </c>
      <c r="C792" s="12"/>
      <c r="D792" s="12" t="s">
        <v>12</v>
      </c>
      <c r="E792" s="12" t="s">
        <v>7395</v>
      </c>
      <c r="F792" s="12" t="s">
        <v>345</v>
      </c>
      <c r="G792" s="12" t="s">
        <v>1746</v>
      </c>
      <c r="H792" s="12" t="s">
        <v>36</v>
      </c>
      <c r="I792" s="12" t="s">
        <v>26</v>
      </c>
      <c r="J792" s="13" t="s">
        <v>1363</v>
      </c>
      <c r="K792" s="14" t="s">
        <v>7396</v>
      </c>
      <c r="L792" s="15">
        <v>0</v>
      </c>
      <c r="M792" s="15" t="s">
        <v>144</v>
      </c>
      <c r="N792" s="16">
        <v>43906</v>
      </c>
      <c r="O792" s="12" t="s">
        <v>7394</v>
      </c>
      <c r="P792" s="14" t="s">
        <v>7397</v>
      </c>
      <c r="Q792" s="17" t="s">
        <v>137</v>
      </c>
      <c r="R792" s="17" t="s">
        <v>146</v>
      </c>
    </row>
    <row r="793" spans="1:18" x14ac:dyDescent="0.3">
      <c r="A793" s="12" t="s">
        <v>7398</v>
      </c>
      <c r="B793" s="12" t="s">
        <v>12</v>
      </c>
      <c r="C793" s="12"/>
      <c r="D793" s="12" t="s">
        <v>12</v>
      </c>
      <c r="E793" s="12" t="s">
        <v>7399</v>
      </c>
      <c r="F793" s="12"/>
      <c r="G793" s="12" t="s">
        <v>1746</v>
      </c>
      <c r="H793" s="12" t="s">
        <v>36</v>
      </c>
      <c r="I793" s="12" t="s">
        <v>26</v>
      </c>
      <c r="J793" s="13" t="s">
        <v>1363</v>
      </c>
      <c r="K793" s="14" t="s">
        <v>1747</v>
      </c>
      <c r="L793" s="15">
        <v>2</v>
      </c>
      <c r="M793" s="15" t="s">
        <v>144</v>
      </c>
      <c r="N793" s="16">
        <v>39356</v>
      </c>
      <c r="O793" s="12" t="s">
        <v>7400</v>
      </c>
      <c r="P793" s="14" t="s">
        <v>7401</v>
      </c>
      <c r="Q793" s="17" t="s">
        <v>137</v>
      </c>
      <c r="R793" s="17" t="s">
        <v>146</v>
      </c>
    </row>
    <row r="794" spans="1:18" x14ac:dyDescent="0.3">
      <c r="A794" s="12" t="s">
        <v>7402</v>
      </c>
      <c r="B794" s="12" t="s">
        <v>12</v>
      </c>
      <c r="C794" s="12"/>
      <c r="D794" s="12" t="s">
        <v>12</v>
      </c>
      <c r="E794" s="12" t="s">
        <v>7403</v>
      </c>
      <c r="F794" s="12"/>
      <c r="G794" s="12" t="s">
        <v>1746</v>
      </c>
      <c r="H794" s="12" t="s">
        <v>36</v>
      </c>
      <c r="I794" s="12" t="s">
        <v>26</v>
      </c>
      <c r="J794" s="13" t="s">
        <v>1363</v>
      </c>
      <c r="K794" s="14" t="s">
        <v>7404</v>
      </c>
      <c r="L794" s="15">
        <v>1</v>
      </c>
      <c r="M794" s="15" t="s">
        <v>144</v>
      </c>
      <c r="N794" s="16">
        <v>39611</v>
      </c>
      <c r="O794" s="12" t="s">
        <v>7405</v>
      </c>
      <c r="P794" s="14" t="s">
        <v>7406</v>
      </c>
      <c r="Q794" s="17" t="s">
        <v>137</v>
      </c>
      <c r="R794" s="17" t="s">
        <v>146</v>
      </c>
    </row>
    <row r="795" spans="1:18" x14ac:dyDescent="0.3">
      <c r="A795" s="12" t="s">
        <v>7407</v>
      </c>
      <c r="B795" s="12" t="s">
        <v>14</v>
      </c>
      <c r="C795" s="12"/>
      <c r="D795" s="12" t="s">
        <v>14</v>
      </c>
      <c r="E795" s="12" t="s">
        <v>1828</v>
      </c>
      <c r="F795" s="12" t="s">
        <v>5065</v>
      </c>
      <c r="G795" s="12" t="s">
        <v>1750</v>
      </c>
      <c r="H795" s="12" t="s">
        <v>36</v>
      </c>
      <c r="I795" s="12" t="s">
        <v>26</v>
      </c>
      <c r="J795" s="13" t="s">
        <v>1751</v>
      </c>
      <c r="K795" s="14" t="s">
        <v>1829</v>
      </c>
      <c r="L795" s="15">
        <v>8</v>
      </c>
      <c r="M795" s="15" t="s">
        <v>144</v>
      </c>
      <c r="N795" s="16">
        <v>44065</v>
      </c>
      <c r="O795" s="12" t="s">
        <v>7407</v>
      </c>
      <c r="P795" s="14" t="s">
        <v>7408</v>
      </c>
      <c r="Q795" s="17" t="s">
        <v>137</v>
      </c>
      <c r="R795" s="17" t="s">
        <v>146</v>
      </c>
    </row>
    <row r="796" spans="1:18" x14ac:dyDescent="0.3">
      <c r="A796" s="12" t="s">
        <v>7409</v>
      </c>
      <c r="B796" s="12" t="s">
        <v>16</v>
      </c>
      <c r="C796" s="12"/>
      <c r="D796" s="12" t="s">
        <v>993</v>
      </c>
      <c r="E796" s="12" t="s">
        <v>7410</v>
      </c>
      <c r="F796" s="12"/>
      <c r="G796" s="12" t="s">
        <v>1750</v>
      </c>
      <c r="H796" s="12" t="s">
        <v>36</v>
      </c>
      <c r="I796" s="12" t="s">
        <v>26</v>
      </c>
      <c r="J796" s="13" t="s">
        <v>1751</v>
      </c>
      <c r="K796" s="14" t="s">
        <v>7411</v>
      </c>
      <c r="L796" s="15">
        <v>0</v>
      </c>
      <c r="M796" s="15" t="s">
        <v>144</v>
      </c>
      <c r="N796" s="16">
        <v>44065</v>
      </c>
      <c r="O796" s="12" t="s">
        <v>7412</v>
      </c>
      <c r="P796" s="14" t="s">
        <v>7413</v>
      </c>
      <c r="Q796" s="17" t="s">
        <v>137</v>
      </c>
      <c r="R796" s="17" t="s">
        <v>146</v>
      </c>
    </row>
    <row r="797" spans="1:18" x14ac:dyDescent="0.3">
      <c r="A797" s="12" t="s">
        <v>7414</v>
      </c>
      <c r="B797" s="12" t="s">
        <v>12</v>
      </c>
      <c r="C797" s="12"/>
      <c r="D797" s="12" t="s">
        <v>12</v>
      </c>
      <c r="E797" s="12" t="s">
        <v>7415</v>
      </c>
      <c r="F797" s="12" t="s">
        <v>372</v>
      </c>
      <c r="G797" s="12" t="s">
        <v>1750</v>
      </c>
      <c r="H797" s="12" t="s">
        <v>36</v>
      </c>
      <c r="I797" s="12" t="s">
        <v>26</v>
      </c>
      <c r="J797" s="13" t="s">
        <v>1552</v>
      </c>
      <c r="K797" s="14" t="s">
        <v>7416</v>
      </c>
      <c r="L797" s="15">
        <v>1</v>
      </c>
      <c r="M797" s="15" t="s">
        <v>144</v>
      </c>
      <c r="N797" s="16">
        <v>39458</v>
      </c>
      <c r="O797" s="12" t="s">
        <v>7414</v>
      </c>
      <c r="P797" s="14" t="s">
        <v>7417</v>
      </c>
      <c r="Q797" s="17" t="s">
        <v>137</v>
      </c>
      <c r="R797" s="17" t="s">
        <v>146</v>
      </c>
    </row>
    <row r="798" spans="1:18" x14ac:dyDescent="0.3">
      <c r="A798" s="12" t="s">
        <v>7418</v>
      </c>
      <c r="B798" s="12" t="s">
        <v>12</v>
      </c>
      <c r="C798" s="12"/>
      <c r="D798" s="12" t="s">
        <v>12</v>
      </c>
      <c r="E798" s="12" t="s">
        <v>7419</v>
      </c>
      <c r="F798" s="12" t="s">
        <v>1702</v>
      </c>
      <c r="G798" s="12" t="s">
        <v>1750</v>
      </c>
      <c r="H798" s="12" t="s">
        <v>36</v>
      </c>
      <c r="I798" s="12" t="s">
        <v>26</v>
      </c>
      <c r="J798" s="13" t="s">
        <v>1552</v>
      </c>
      <c r="K798" s="14" t="s">
        <v>7420</v>
      </c>
      <c r="L798" s="15">
        <v>2</v>
      </c>
      <c r="M798" s="15" t="s">
        <v>144</v>
      </c>
      <c r="N798" s="16">
        <v>40471</v>
      </c>
      <c r="O798" s="12" t="s">
        <v>7418</v>
      </c>
      <c r="P798" s="14" t="s">
        <v>7421</v>
      </c>
      <c r="Q798" s="17" t="s">
        <v>137</v>
      </c>
      <c r="R798" s="17" t="s">
        <v>146</v>
      </c>
    </row>
    <row r="799" spans="1:18" x14ac:dyDescent="0.3">
      <c r="A799" s="12" t="s">
        <v>7422</v>
      </c>
      <c r="B799" s="12" t="s">
        <v>12</v>
      </c>
      <c r="C799" s="12"/>
      <c r="D799" s="12" t="s">
        <v>12</v>
      </c>
      <c r="E799" s="12" t="s">
        <v>7423</v>
      </c>
      <c r="F799" s="12" t="s">
        <v>871</v>
      </c>
      <c r="G799" s="12" t="s">
        <v>1750</v>
      </c>
      <c r="H799" s="12" t="s">
        <v>36</v>
      </c>
      <c r="I799" s="12" t="s">
        <v>26</v>
      </c>
      <c r="J799" s="13" t="s">
        <v>1751</v>
      </c>
      <c r="K799" s="14" t="s">
        <v>7424</v>
      </c>
      <c r="L799" s="15">
        <v>1</v>
      </c>
      <c r="M799" s="15" t="s">
        <v>144</v>
      </c>
      <c r="N799" s="16">
        <v>44065</v>
      </c>
      <c r="O799" s="12" t="s">
        <v>7422</v>
      </c>
      <c r="P799" s="14" t="s">
        <v>7425</v>
      </c>
      <c r="Q799" s="17" t="s">
        <v>137</v>
      </c>
      <c r="R799" s="17" t="s">
        <v>146</v>
      </c>
    </row>
    <row r="800" spans="1:18" x14ac:dyDescent="0.3">
      <c r="A800" s="12" t="s">
        <v>7426</v>
      </c>
      <c r="B800" s="12" t="s">
        <v>12</v>
      </c>
      <c r="C800" s="12"/>
      <c r="D800" s="12" t="s">
        <v>12</v>
      </c>
      <c r="E800" s="12" t="s">
        <v>7427</v>
      </c>
      <c r="F800" s="12"/>
      <c r="G800" s="12" t="s">
        <v>1750</v>
      </c>
      <c r="H800" s="12" t="s">
        <v>36</v>
      </c>
      <c r="I800" s="12" t="s">
        <v>26</v>
      </c>
      <c r="J800" s="13" t="s">
        <v>1751</v>
      </c>
      <c r="K800" s="14" t="s">
        <v>7428</v>
      </c>
      <c r="L800" s="15">
        <v>0</v>
      </c>
      <c r="M800" s="15" t="s">
        <v>144</v>
      </c>
      <c r="N800" s="16">
        <v>39791</v>
      </c>
      <c r="O800" s="12" t="s">
        <v>7426</v>
      </c>
      <c r="P800" s="14" t="s">
        <v>7429</v>
      </c>
      <c r="Q800" s="17" t="s">
        <v>137</v>
      </c>
      <c r="R800" s="17" t="s">
        <v>146</v>
      </c>
    </row>
    <row r="801" spans="1:18" x14ac:dyDescent="0.3">
      <c r="A801" s="12" t="s">
        <v>7430</v>
      </c>
      <c r="B801" s="12" t="s">
        <v>12</v>
      </c>
      <c r="C801" s="12"/>
      <c r="D801" s="12" t="s">
        <v>12</v>
      </c>
      <c r="E801" s="12" t="s">
        <v>7431</v>
      </c>
      <c r="F801" s="12"/>
      <c r="G801" s="12" t="s">
        <v>1750</v>
      </c>
      <c r="H801" s="12" t="s">
        <v>36</v>
      </c>
      <c r="I801" s="12" t="s">
        <v>26</v>
      </c>
      <c r="J801" s="13" t="s">
        <v>1552</v>
      </c>
      <c r="K801" s="14" t="s">
        <v>7432</v>
      </c>
      <c r="L801" s="15">
        <v>1</v>
      </c>
      <c r="M801" s="15" t="s">
        <v>144</v>
      </c>
      <c r="N801" s="16">
        <v>40449</v>
      </c>
      <c r="O801" s="12" t="s">
        <v>7430</v>
      </c>
      <c r="P801" s="14" t="s">
        <v>7433</v>
      </c>
      <c r="Q801" s="17" t="s">
        <v>137</v>
      </c>
      <c r="R801" s="17" t="s">
        <v>146</v>
      </c>
    </row>
    <row r="802" spans="1:18" x14ac:dyDescent="0.3">
      <c r="A802" s="12" t="s">
        <v>7434</v>
      </c>
      <c r="B802" s="12" t="s">
        <v>12</v>
      </c>
      <c r="C802" s="12"/>
      <c r="D802" s="12" t="s">
        <v>12</v>
      </c>
      <c r="E802" s="12" t="s">
        <v>7435</v>
      </c>
      <c r="F802" s="12" t="s">
        <v>1163</v>
      </c>
      <c r="G802" s="12" t="s">
        <v>1750</v>
      </c>
      <c r="H802" s="12" t="s">
        <v>36</v>
      </c>
      <c r="I802" s="12" t="s">
        <v>26</v>
      </c>
      <c r="J802" s="13" t="s">
        <v>1751</v>
      </c>
      <c r="K802" s="14" t="s">
        <v>7436</v>
      </c>
      <c r="L802" s="15">
        <v>0</v>
      </c>
      <c r="M802" s="15" t="s">
        <v>144</v>
      </c>
      <c r="N802" s="16">
        <v>44210</v>
      </c>
      <c r="O802" s="12" t="s">
        <v>7437</v>
      </c>
      <c r="P802" s="14" t="s">
        <v>7438</v>
      </c>
      <c r="Q802" s="17" t="s">
        <v>137</v>
      </c>
      <c r="R802" s="17" t="s">
        <v>146</v>
      </c>
    </row>
    <row r="803" spans="1:18" x14ac:dyDescent="0.3">
      <c r="A803" s="12" t="s">
        <v>7439</v>
      </c>
      <c r="B803" s="12" t="s">
        <v>12</v>
      </c>
      <c r="C803" s="12"/>
      <c r="D803" s="12" t="s">
        <v>12</v>
      </c>
      <c r="E803" s="12" t="s">
        <v>7440</v>
      </c>
      <c r="F803" s="12"/>
      <c r="G803" s="12" t="s">
        <v>1750</v>
      </c>
      <c r="H803" s="12" t="s">
        <v>36</v>
      </c>
      <c r="I803" s="12" t="s">
        <v>26</v>
      </c>
      <c r="J803" s="13" t="s">
        <v>1751</v>
      </c>
      <c r="K803" s="14" t="s">
        <v>7441</v>
      </c>
      <c r="L803" s="15">
        <v>0</v>
      </c>
      <c r="M803" s="15" t="s">
        <v>144</v>
      </c>
      <c r="N803" s="16">
        <v>41431</v>
      </c>
      <c r="O803" s="12" t="s">
        <v>7442</v>
      </c>
      <c r="P803" s="14" t="s">
        <v>7443</v>
      </c>
      <c r="Q803" s="17" t="s">
        <v>137</v>
      </c>
      <c r="R803" s="17" t="s">
        <v>146</v>
      </c>
    </row>
    <row r="804" spans="1:18" x14ac:dyDescent="0.3">
      <c r="A804" s="12" t="s">
        <v>7444</v>
      </c>
      <c r="B804" s="12" t="s">
        <v>12</v>
      </c>
      <c r="C804" s="12"/>
      <c r="D804" s="12" t="s">
        <v>12</v>
      </c>
      <c r="E804" s="12" t="s">
        <v>7445</v>
      </c>
      <c r="F804" s="12"/>
      <c r="G804" s="12" t="s">
        <v>1750</v>
      </c>
      <c r="H804" s="12" t="s">
        <v>36</v>
      </c>
      <c r="I804" s="12" t="s">
        <v>26</v>
      </c>
      <c r="J804" s="13" t="s">
        <v>1751</v>
      </c>
      <c r="K804" s="14" t="s">
        <v>7446</v>
      </c>
      <c r="L804" s="15">
        <v>1</v>
      </c>
      <c r="M804" s="15" t="s">
        <v>144</v>
      </c>
      <c r="N804" s="16">
        <v>39370</v>
      </c>
      <c r="O804" s="12" t="s">
        <v>7447</v>
      </c>
      <c r="P804" s="14" t="s">
        <v>7448</v>
      </c>
      <c r="Q804" s="17" t="s">
        <v>137</v>
      </c>
      <c r="R804" s="17" t="s">
        <v>146</v>
      </c>
    </row>
    <row r="805" spans="1:18" x14ac:dyDescent="0.3">
      <c r="A805" s="12" t="s">
        <v>7449</v>
      </c>
      <c r="B805" s="12" t="s">
        <v>12</v>
      </c>
      <c r="C805" s="12"/>
      <c r="D805" s="12" t="s">
        <v>12</v>
      </c>
      <c r="E805" s="12" t="s">
        <v>7450</v>
      </c>
      <c r="F805" s="12"/>
      <c r="G805" s="12" t="s">
        <v>1750</v>
      </c>
      <c r="H805" s="12" t="s">
        <v>36</v>
      </c>
      <c r="I805" s="12" t="s">
        <v>26</v>
      </c>
      <c r="J805" s="13" t="s">
        <v>1552</v>
      </c>
      <c r="K805" s="14" t="s">
        <v>7451</v>
      </c>
      <c r="L805" s="15">
        <v>1</v>
      </c>
      <c r="M805" s="15" t="s">
        <v>144</v>
      </c>
      <c r="N805" s="16">
        <v>44065</v>
      </c>
      <c r="O805" s="12" t="s">
        <v>7449</v>
      </c>
      <c r="P805" s="14" t="s">
        <v>7452</v>
      </c>
      <c r="Q805" s="17" t="s">
        <v>137</v>
      </c>
      <c r="R805" s="17" t="s">
        <v>146</v>
      </c>
    </row>
    <row r="806" spans="1:18" x14ac:dyDescent="0.3">
      <c r="A806" s="12" t="s">
        <v>7453</v>
      </c>
      <c r="B806" s="12" t="s">
        <v>12</v>
      </c>
      <c r="C806" s="12"/>
      <c r="D806" s="12" t="s">
        <v>12</v>
      </c>
      <c r="E806" s="12" t="s">
        <v>7454</v>
      </c>
      <c r="F806" s="12" t="s">
        <v>447</v>
      </c>
      <c r="G806" s="12" t="s">
        <v>1750</v>
      </c>
      <c r="H806" s="12" t="s">
        <v>36</v>
      </c>
      <c r="I806" s="12" t="s">
        <v>26</v>
      </c>
      <c r="J806" s="13" t="s">
        <v>1820</v>
      </c>
      <c r="K806" s="14" t="s">
        <v>7455</v>
      </c>
      <c r="L806" s="15">
        <v>3</v>
      </c>
      <c r="M806" s="15" t="s">
        <v>144</v>
      </c>
      <c r="N806" s="16">
        <v>40297</v>
      </c>
      <c r="O806" s="12" t="s">
        <v>7453</v>
      </c>
      <c r="P806" s="14" t="s">
        <v>7456</v>
      </c>
      <c r="Q806" s="17" t="s">
        <v>137</v>
      </c>
      <c r="R806" s="17" t="s">
        <v>146</v>
      </c>
    </row>
    <row r="807" spans="1:18" x14ac:dyDescent="0.3">
      <c r="A807" s="12" t="s">
        <v>7457</v>
      </c>
      <c r="B807" s="12" t="s">
        <v>12</v>
      </c>
      <c r="C807" s="12"/>
      <c r="D807" s="12" t="s">
        <v>12</v>
      </c>
      <c r="E807" s="12" t="s">
        <v>7458</v>
      </c>
      <c r="F807" s="12" t="s">
        <v>516</v>
      </c>
      <c r="G807" s="12" t="s">
        <v>1750</v>
      </c>
      <c r="H807" s="12" t="s">
        <v>36</v>
      </c>
      <c r="I807" s="12" t="s">
        <v>26</v>
      </c>
      <c r="J807" s="13" t="s">
        <v>1552</v>
      </c>
      <c r="K807" s="14" t="s">
        <v>7459</v>
      </c>
      <c r="L807" s="15">
        <v>1</v>
      </c>
      <c r="M807" s="15" t="s">
        <v>144</v>
      </c>
      <c r="N807" s="16">
        <v>43812</v>
      </c>
      <c r="O807" s="12" t="s">
        <v>7457</v>
      </c>
      <c r="P807" s="14" t="s">
        <v>7460</v>
      </c>
      <c r="Q807" s="17" t="s">
        <v>137</v>
      </c>
      <c r="R807" s="17" t="s">
        <v>146</v>
      </c>
    </row>
    <row r="808" spans="1:18" x14ac:dyDescent="0.3">
      <c r="A808" s="12" t="s">
        <v>5586</v>
      </c>
      <c r="B808" s="12" t="s">
        <v>10</v>
      </c>
      <c r="C808" s="12"/>
      <c r="D808" s="12" t="s">
        <v>588</v>
      </c>
      <c r="E808" s="12" t="s">
        <v>7461</v>
      </c>
      <c r="F808" s="12" t="s">
        <v>583</v>
      </c>
      <c r="G808" s="12" t="s">
        <v>1750</v>
      </c>
      <c r="H808" s="12" t="s">
        <v>36</v>
      </c>
      <c r="I808" s="12" t="s">
        <v>26</v>
      </c>
      <c r="J808" s="13" t="s">
        <v>1780</v>
      </c>
      <c r="K808" s="14" t="s">
        <v>5588</v>
      </c>
      <c r="L808" s="15">
        <v>8</v>
      </c>
      <c r="M808" s="15" t="s">
        <v>220</v>
      </c>
      <c r="N808" s="16">
        <v>42033</v>
      </c>
      <c r="O808" s="12" t="s">
        <v>5589</v>
      </c>
      <c r="P808" s="14" t="s">
        <v>7462</v>
      </c>
      <c r="Q808" s="17" t="s">
        <v>137</v>
      </c>
      <c r="R808" s="17" t="s">
        <v>146</v>
      </c>
    </row>
    <row r="809" spans="1:18" x14ac:dyDescent="0.3">
      <c r="A809" s="12" t="s">
        <v>7463</v>
      </c>
      <c r="B809" s="12" t="s">
        <v>12</v>
      </c>
      <c r="C809" s="12"/>
      <c r="D809" s="12" t="s">
        <v>12</v>
      </c>
      <c r="E809" s="12" t="s">
        <v>7464</v>
      </c>
      <c r="F809" s="12" t="s">
        <v>1573</v>
      </c>
      <c r="G809" s="12" t="s">
        <v>1750</v>
      </c>
      <c r="H809" s="12" t="s">
        <v>36</v>
      </c>
      <c r="I809" s="12" t="s">
        <v>26</v>
      </c>
      <c r="J809" s="13" t="s">
        <v>1552</v>
      </c>
      <c r="K809" s="14" t="s">
        <v>7465</v>
      </c>
      <c r="L809" s="15">
        <v>1</v>
      </c>
      <c r="M809" s="15" t="s">
        <v>144</v>
      </c>
      <c r="N809" s="16">
        <v>41339</v>
      </c>
      <c r="O809" s="12" t="s">
        <v>7463</v>
      </c>
      <c r="P809" s="14" t="s">
        <v>7466</v>
      </c>
      <c r="Q809" s="17" t="s">
        <v>137</v>
      </c>
      <c r="R809" s="17" t="s">
        <v>146</v>
      </c>
    </row>
    <row r="810" spans="1:18" x14ac:dyDescent="0.3">
      <c r="A810" s="12" t="s">
        <v>7467</v>
      </c>
      <c r="B810" s="12" t="s">
        <v>12</v>
      </c>
      <c r="C810" s="12"/>
      <c r="D810" s="12" t="s">
        <v>12</v>
      </c>
      <c r="E810" s="12" t="s">
        <v>7468</v>
      </c>
      <c r="F810" s="12" t="s">
        <v>7168</v>
      </c>
      <c r="G810" s="12" t="s">
        <v>1750</v>
      </c>
      <c r="H810" s="12" t="s">
        <v>36</v>
      </c>
      <c r="I810" s="12" t="s">
        <v>26</v>
      </c>
      <c r="J810" s="13" t="s">
        <v>1820</v>
      </c>
      <c r="K810" s="14" t="s">
        <v>7469</v>
      </c>
      <c r="L810" s="15">
        <v>1</v>
      </c>
      <c r="M810" s="15" t="s">
        <v>144</v>
      </c>
      <c r="N810" s="16">
        <v>44065</v>
      </c>
      <c r="O810" s="12" t="s">
        <v>7467</v>
      </c>
      <c r="P810" s="14" t="s">
        <v>7470</v>
      </c>
      <c r="Q810" s="17" t="s">
        <v>137</v>
      </c>
      <c r="R810" s="17" t="s">
        <v>146</v>
      </c>
    </row>
    <row r="811" spans="1:18" x14ac:dyDescent="0.3">
      <c r="A811" s="12" t="s">
        <v>7471</v>
      </c>
      <c r="B811" s="12" t="s">
        <v>14</v>
      </c>
      <c r="C811" s="12"/>
      <c r="D811" s="12" t="s">
        <v>14</v>
      </c>
      <c r="E811" s="12" t="s">
        <v>7472</v>
      </c>
      <c r="F811" s="12" t="s">
        <v>3555</v>
      </c>
      <c r="G811" s="12" t="s">
        <v>1750</v>
      </c>
      <c r="H811" s="12" t="s">
        <v>36</v>
      </c>
      <c r="I811" s="12" t="s">
        <v>26</v>
      </c>
      <c r="J811" s="13" t="s">
        <v>1552</v>
      </c>
      <c r="K811" s="14" t="s">
        <v>7473</v>
      </c>
      <c r="L811" s="15">
        <v>0</v>
      </c>
      <c r="M811" s="15" t="s">
        <v>144</v>
      </c>
      <c r="N811" s="16">
        <v>39290</v>
      </c>
      <c r="O811" s="12" t="s">
        <v>7471</v>
      </c>
      <c r="P811" s="14" t="s">
        <v>7474</v>
      </c>
      <c r="Q811" s="17" t="s">
        <v>137</v>
      </c>
      <c r="R811" s="17" t="s">
        <v>146</v>
      </c>
    </row>
    <row r="812" spans="1:18" x14ac:dyDescent="0.3">
      <c r="A812" s="12" t="s">
        <v>7475</v>
      </c>
      <c r="B812" s="12" t="s">
        <v>12</v>
      </c>
      <c r="C812" s="12"/>
      <c r="D812" s="12" t="s">
        <v>12</v>
      </c>
      <c r="E812" s="12" t="s">
        <v>7476</v>
      </c>
      <c r="F812" s="12" t="s">
        <v>7477</v>
      </c>
      <c r="G812" s="12" t="s">
        <v>1750</v>
      </c>
      <c r="H812" s="12" t="s">
        <v>36</v>
      </c>
      <c r="I812" s="12" t="s">
        <v>26</v>
      </c>
      <c r="J812" s="13" t="s">
        <v>1780</v>
      </c>
      <c r="K812" s="14" t="s">
        <v>7478</v>
      </c>
      <c r="L812" s="15">
        <v>0</v>
      </c>
      <c r="M812" s="15" t="s">
        <v>144</v>
      </c>
      <c r="N812" s="16">
        <v>39324</v>
      </c>
      <c r="O812" s="12" t="s">
        <v>7475</v>
      </c>
      <c r="P812" s="14" t="s">
        <v>7479</v>
      </c>
      <c r="Q812" s="17" t="s">
        <v>137</v>
      </c>
      <c r="R812" s="17" t="s">
        <v>146</v>
      </c>
    </row>
    <row r="813" spans="1:18" x14ac:dyDescent="0.3">
      <c r="A813" s="12" t="s">
        <v>7480</v>
      </c>
      <c r="B813" s="12" t="s">
        <v>12</v>
      </c>
      <c r="C813" s="12"/>
      <c r="D813" s="12" t="s">
        <v>12</v>
      </c>
      <c r="E813" s="12" t="s">
        <v>7481</v>
      </c>
      <c r="F813" s="12" t="s">
        <v>188</v>
      </c>
      <c r="G813" s="12" t="s">
        <v>1750</v>
      </c>
      <c r="H813" s="12" t="s">
        <v>36</v>
      </c>
      <c r="I813" s="12" t="s">
        <v>26</v>
      </c>
      <c r="J813" s="13" t="s">
        <v>1751</v>
      </c>
      <c r="K813" s="14" t="s">
        <v>7482</v>
      </c>
      <c r="L813" s="15">
        <v>2</v>
      </c>
      <c r="M813" s="15" t="s">
        <v>144</v>
      </c>
      <c r="N813" s="16">
        <v>40555</v>
      </c>
      <c r="O813" s="12" t="s">
        <v>7480</v>
      </c>
      <c r="P813" s="14" t="s">
        <v>7483</v>
      </c>
      <c r="Q813" s="17" t="s">
        <v>137</v>
      </c>
      <c r="R813" s="17" t="s">
        <v>146</v>
      </c>
    </row>
    <row r="814" spans="1:18" x14ac:dyDescent="0.3">
      <c r="A814" s="12" t="s">
        <v>7484</v>
      </c>
      <c r="B814" s="12" t="s">
        <v>12</v>
      </c>
      <c r="C814" s="12"/>
      <c r="D814" s="12" t="s">
        <v>12</v>
      </c>
      <c r="E814" s="12" t="s">
        <v>7485</v>
      </c>
      <c r="F814" s="12" t="s">
        <v>7486</v>
      </c>
      <c r="G814" s="12" t="s">
        <v>1750</v>
      </c>
      <c r="H814" s="12" t="s">
        <v>36</v>
      </c>
      <c r="I814" s="12" t="s">
        <v>26</v>
      </c>
      <c r="J814" s="13" t="s">
        <v>1552</v>
      </c>
      <c r="K814" s="14" t="s">
        <v>7487</v>
      </c>
      <c r="L814" s="15">
        <v>2</v>
      </c>
      <c r="M814" s="15" t="s">
        <v>144</v>
      </c>
      <c r="N814" s="16">
        <v>40527</v>
      </c>
      <c r="O814" s="12" t="s">
        <v>7484</v>
      </c>
      <c r="P814" s="14" t="s">
        <v>7488</v>
      </c>
      <c r="Q814" s="17" t="s">
        <v>137</v>
      </c>
      <c r="R814" s="17" t="s">
        <v>146</v>
      </c>
    </row>
    <row r="815" spans="1:18" x14ac:dyDescent="0.3">
      <c r="A815" s="12" t="s">
        <v>7489</v>
      </c>
      <c r="B815" s="12" t="s">
        <v>20</v>
      </c>
      <c r="C815" s="12"/>
      <c r="D815" s="12" t="s">
        <v>193</v>
      </c>
      <c r="E815" s="12" t="s">
        <v>1754</v>
      </c>
      <c r="F815" s="12" t="s">
        <v>7490</v>
      </c>
      <c r="G815" s="12" t="s">
        <v>1750</v>
      </c>
      <c r="H815" s="12" t="s">
        <v>36</v>
      </c>
      <c r="I815" s="12" t="s">
        <v>26</v>
      </c>
      <c r="J815" s="13" t="s">
        <v>1751</v>
      </c>
      <c r="K815" s="14" t="s">
        <v>7491</v>
      </c>
      <c r="L815" s="15">
        <v>1</v>
      </c>
      <c r="M815" s="15" t="s">
        <v>144</v>
      </c>
      <c r="N815" s="16">
        <v>39590</v>
      </c>
      <c r="O815" s="12" t="s">
        <v>7489</v>
      </c>
      <c r="P815" s="14" t="s">
        <v>7492</v>
      </c>
      <c r="Q815" s="17" t="s">
        <v>137</v>
      </c>
      <c r="R815" s="17" t="s">
        <v>146</v>
      </c>
    </row>
    <row r="816" spans="1:18" x14ac:dyDescent="0.3">
      <c r="A816" s="12" t="s">
        <v>7493</v>
      </c>
      <c r="B816" s="12" t="s">
        <v>20</v>
      </c>
      <c r="C816" s="12"/>
      <c r="D816" s="12" t="s">
        <v>193</v>
      </c>
      <c r="E816" s="12" t="s">
        <v>7494</v>
      </c>
      <c r="F816" s="12" t="s">
        <v>7495</v>
      </c>
      <c r="G816" s="12" t="s">
        <v>1750</v>
      </c>
      <c r="H816" s="12" t="s">
        <v>36</v>
      </c>
      <c r="I816" s="12" t="s">
        <v>26</v>
      </c>
      <c r="J816" s="13" t="s">
        <v>1780</v>
      </c>
      <c r="K816" s="14" t="s">
        <v>7491</v>
      </c>
      <c r="L816" s="15">
        <v>1</v>
      </c>
      <c r="M816" s="15" t="s">
        <v>144</v>
      </c>
      <c r="N816" s="16">
        <v>41942</v>
      </c>
      <c r="O816" s="12" t="s">
        <v>7493</v>
      </c>
      <c r="P816" s="14" t="s">
        <v>7496</v>
      </c>
      <c r="Q816" s="17" t="s">
        <v>137</v>
      </c>
      <c r="R816" s="17" t="s">
        <v>146</v>
      </c>
    </row>
    <row r="817" spans="1:18" x14ac:dyDescent="0.3">
      <c r="A817" s="12" t="s">
        <v>7497</v>
      </c>
      <c r="B817" s="12" t="s">
        <v>14</v>
      </c>
      <c r="C817" s="12"/>
      <c r="D817" s="12" t="s">
        <v>14</v>
      </c>
      <c r="E817" s="12" t="s">
        <v>1796</v>
      </c>
      <c r="F817" s="12" t="s">
        <v>520</v>
      </c>
      <c r="G817" s="12" t="s">
        <v>1750</v>
      </c>
      <c r="H817" s="12" t="s">
        <v>36</v>
      </c>
      <c r="I817" s="12" t="s">
        <v>26</v>
      </c>
      <c r="J817" s="13" t="s">
        <v>1780</v>
      </c>
      <c r="K817" s="14" t="s">
        <v>7498</v>
      </c>
      <c r="L817" s="15">
        <v>2</v>
      </c>
      <c r="M817" s="15" t="s">
        <v>144</v>
      </c>
      <c r="N817" s="16">
        <v>44225</v>
      </c>
      <c r="O817" s="12" t="s">
        <v>7497</v>
      </c>
      <c r="P817" s="14" t="s">
        <v>7499</v>
      </c>
      <c r="Q817" s="17" t="s">
        <v>137</v>
      </c>
      <c r="R817" s="17" t="s">
        <v>146</v>
      </c>
    </row>
    <row r="818" spans="1:18" x14ac:dyDescent="0.3">
      <c r="A818" s="12" t="s">
        <v>7500</v>
      </c>
      <c r="B818" s="12" t="s">
        <v>12</v>
      </c>
      <c r="C818" s="12"/>
      <c r="D818" s="12" t="s">
        <v>12</v>
      </c>
      <c r="E818" s="12" t="s">
        <v>7501</v>
      </c>
      <c r="F818" s="12" t="s">
        <v>467</v>
      </c>
      <c r="G818" s="12" t="s">
        <v>1750</v>
      </c>
      <c r="H818" s="12" t="s">
        <v>36</v>
      </c>
      <c r="I818" s="12" t="s">
        <v>26</v>
      </c>
      <c r="J818" s="13" t="s">
        <v>1820</v>
      </c>
      <c r="K818" s="14" t="s">
        <v>7502</v>
      </c>
      <c r="L818" s="15">
        <v>2</v>
      </c>
      <c r="M818" s="15" t="s">
        <v>144</v>
      </c>
      <c r="N818" s="16">
        <v>41786</v>
      </c>
      <c r="O818" s="12" t="s">
        <v>7500</v>
      </c>
      <c r="P818" s="14" t="s">
        <v>7503</v>
      </c>
      <c r="Q818" s="17" t="s">
        <v>137</v>
      </c>
      <c r="R818" s="17" t="s">
        <v>146</v>
      </c>
    </row>
    <row r="819" spans="1:18" x14ac:dyDescent="0.3">
      <c r="A819" s="12" t="s">
        <v>7504</v>
      </c>
      <c r="B819" s="12" t="s">
        <v>12</v>
      </c>
      <c r="C819" s="12"/>
      <c r="D819" s="12" t="s">
        <v>12</v>
      </c>
      <c r="E819" s="12" t="s">
        <v>7505</v>
      </c>
      <c r="F819" s="12" t="s">
        <v>447</v>
      </c>
      <c r="G819" s="12" t="s">
        <v>1750</v>
      </c>
      <c r="H819" s="12" t="s">
        <v>36</v>
      </c>
      <c r="I819" s="12" t="s">
        <v>26</v>
      </c>
      <c r="J819" s="13" t="s">
        <v>1820</v>
      </c>
      <c r="K819" s="14" t="s">
        <v>7455</v>
      </c>
      <c r="L819" s="15">
        <v>3</v>
      </c>
      <c r="M819" s="15" t="s">
        <v>144</v>
      </c>
      <c r="N819" s="16">
        <v>41422</v>
      </c>
      <c r="O819" s="12" t="s">
        <v>7504</v>
      </c>
      <c r="P819" s="14" t="s">
        <v>7506</v>
      </c>
      <c r="Q819" s="17" t="s">
        <v>137</v>
      </c>
      <c r="R819" s="17" t="s">
        <v>146</v>
      </c>
    </row>
    <row r="820" spans="1:18" x14ac:dyDescent="0.3">
      <c r="A820" s="12" t="s">
        <v>7507</v>
      </c>
      <c r="B820" s="12" t="s">
        <v>12</v>
      </c>
      <c r="C820" s="12"/>
      <c r="D820" s="12" t="s">
        <v>12</v>
      </c>
      <c r="E820" s="12" t="s">
        <v>7464</v>
      </c>
      <c r="F820" s="12" t="s">
        <v>1573</v>
      </c>
      <c r="G820" s="12" t="s">
        <v>1750</v>
      </c>
      <c r="H820" s="12" t="s">
        <v>36</v>
      </c>
      <c r="I820" s="12" t="s">
        <v>26</v>
      </c>
      <c r="J820" s="13" t="s">
        <v>1552</v>
      </c>
      <c r="K820" s="14" t="s">
        <v>7508</v>
      </c>
      <c r="L820" s="15">
        <v>1</v>
      </c>
      <c r="M820" s="15" t="s">
        <v>144</v>
      </c>
      <c r="N820" s="16">
        <v>44065</v>
      </c>
      <c r="O820" s="12" t="s">
        <v>7507</v>
      </c>
      <c r="P820" s="14" t="s">
        <v>7509</v>
      </c>
      <c r="Q820" s="17" t="s">
        <v>137</v>
      </c>
      <c r="R820" s="17" t="s">
        <v>146</v>
      </c>
    </row>
    <row r="821" spans="1:18" x14ac:dyDescent="0.3">
      <c r="A821" s="12" t="s">
        <v>7510</v>
      </c>
      <c r="B821" s="12" t="s">
        <v>12</v>
      </c>
      <c r="C821" s="12"/>
      <c r="D821" s="12" t="s">
        <v>12</v>
      </c>
      <c r="E821" s="12" t="s">
        <v>1813</v>
      </c>
      <c r="F821" s="12" t="s">
        <v>1814</v>
      </c>
      <c r="G821" s="12" t="s">
        <v>1750</v>
      </c>
      <c r="H821" s="12" t="s">
        <v>36</v>
      </c>
      <c r="I821" s="12" t="s">
        <v>26</v>
      </c>
      <c r="J821" s="13" t="s">
        <v>1751</v>
      </c>
      <c r="K821" s="14" t="s">
        <v>1815</v>
      </c>
      <c r="L821" s="15">
        <v>6</v>
      </c>
      <c r="M821" s="15" t="s">
        <v>144</v>
      </c>
      <c r="N821" s="16">
        <v>44065</v>
      </c>
      <c r="O821" s="12" t="s">
        <v>7510</v>
      </c>
      <c r="P821" s="14" t="s">
        <v>7511</v>
      </c>
      <c r="Q821" s="17" t="s">
        <v>137</v>
      </c>
      <c r="R821" s="17" t="s">
        <v>146</v>
      </c>
    </row>
    <row r="822" spans="1:18" x14ac:dyDescent="0.3">
      <c r="A822" s="12" t="s">
        <v>7512</v>
      </c>
      <c r="B822" s="12" t="s">
        <v>12</v>
      </c>
      <c r="C822" s="12"/>
      <c r="D822" s="12" t="s">
        <v>12</v>
      </c>
      <c r="E822" s="12" t="s">
        <v>7513</v>
      </c>
      <c r="F822" s="12" t="s">
        <v>1204</v>
      </c>
      <c r="G822" s="12" t="s">
        <v>1750</v>
      </c>
      <c r="H822" s="12" t="s">
        <v>36</v>
      </c>
      <c r="I822" s="12" t="s">
        <v>26</v>
      </c>
      <c r="J822" s="13" t="s">
        <v>1552</v>
      </c>
      <c r="K822" s="14" t="s">
        <v>7514</v>
      </c>
      <c r="L822" s="15">
        <v>1</v>
      </c>
      <c r="M822" s="15" t="s">
        <v>144</v>
      </c>
      <c r="N822" s="16">
        <v>42297</v>
      </c>
      <c r="O822" s="12" t="s">
        <v>7512</v>
      </c>
      <c r="P822" s="14" t="s">
        <v>7515</v>
      </c>
      <c r="Q822" s="17" t="s">
        <v>137</v>
      </c>
      <c r="R822" s="17" t="s">
        <v>146</v>
      </c>
    </row>
    <row r="823" spans="1:18" x14ac:dyDescent="0.3">
      <c r="A823" s="12" t="s">
        <v>7516</v>
      </c>
      <c r="B823" s="12" t="s">
        <v>16</v>
      </c>
      <c r="C823" s="12"/>
      <c r="D823" s="12" t="s">
        <v>471</v>
      </c>
      <c r="E823" s="12" t="s">
        <v>7517</v>
      </c>
      <c r="F823" s="12"/>
      <c r="G823" s="12" t="s">
        <v>1750</v>
      </c>
      <c r="H823" s="12" t="s">
        <v>36</v>
      </c>
      <c r="I823" s="12" t="s">
        <v>26</v>
      </c>
      <c r="J823" s="13" t="s">
        <v>1751</v>
      </c>
      <c r="K823" s="14" t="s">
        <v>7518</v>
      </c>
      <c r="L823" s="15">
        <v>0</v>
      </c>
      <c r="M823" s="15" t="s">
        <v>144</v>
      </c>
      <c r="N823" s="16">
        <v>39749</v>
      </c>
      <c r="O823" s="12" t="s">
        <v>7516</v>
      </c>
      <c r="P823" s="14" t="s">
        <v>7519</v>
      </c>
      <c r="Q823" s="17" t="s">
        <v>137</v>
      </c>
      <c r="R823" s="17" t="s">
        <v>146</v>
      </c>
    </row>
    <row r="824" spans="1:18" x14ac:dyDescent="0.3">
      <c r="A824" s="12" t="s">
        <v>7520</v>
      </c>
      <c r="B824" s="12" t="s">
        <v>12</v>
      </c>
      <c r="C824" s="12"/>
      <c r="D824" s="12" t="s">
        <v>12</v>
      </c>
      <c r="E824" s="12" t="s">
        <v>7419</v>
      </c>
      <c r="F824" s="12" t="s">
        <v>201</v>
      </c>
      <c r="G824" s="12" t="s">
        <v>1750</v>
      </c>
      <c r="H824" s="12" t="s">
        <v>36</v>
      </c>
      <c r="I824" s="12" t="s">
        <v>26</v>
      </c>
      <c r="J824" s="13" t="s">
        <v>1552</v>
      </c>
      <c r="K824" s="14" t="s">
        <v>7521</v>
      </c>
      <c r="L824" s="15">
        <v>2</v>
      </c>
      <c r="M824" s="15" t="s">
        <v>144</v>
      </c>
      <c r="N824" s="16">
        <v>39929</v>
      </c>
      <c r="O824" s="12" t="s">
        <v>7520</v>
      </c>
      <c r="P824" s="14" t="s">
        <v>7522</v>
      </c>
      <c r="Q824" s="17" t="s">
        <v>137</v>
      </c>
      <c r="R824" s="17" t="s">
        <v>146</v>
      </c>
    </row>
    <row r="825" spans="1:18" x14ac:dyDescent="0.3">
      <c r="A825" s="12" t="s">
        <v>7523</v>
      </c>
      <c r="B825" s="12" t="s">
        <v>12</v>
      </c>
      <c r="C825" s="12"/>
      <c r="D825" s="12" t="s">
        <v>12</v>
      </c>
      <c r="E825" s="12" t="s">
        <v>7524</v>
      </c>
      <c r="F825" s="12" t="s">
        <v>520</v>
      </c>
      <c r="G825" s="12" t="s">
        <v>1750</v>
      </c>
      <c r="H825" s="12" t="s">
        <v>36</v>
      </c>
      <c r="I825" s="12" t="s">
        <v>26</v>
      </c>
      <c r="J825" s="13" t="s">
        <v>1552</v>
      </c>
      <c r="K825" s="14" t="s">
        <v>7525</v>
      </c>
      <c r="L825" s="15">
        <v>1</v>
      </c>
      <c r="M825" s="15" t="s">
        <v>144</v>
      </c>
      <c r="N825" s="16">
        <v>40262</v>
      </c>
      <c r="O825" s="12" t="s">
        <v>7523</v>
      </c>
      <c r="P825" s="14" t="s">
        <v>7526</v>
      </c>
      <c r="Q825" s="17" t="s">
        <v>137</v>
      </c>
      <c r="R825" s="17" t="s">
        <v>146</v>
      </c>
    </row>
    <row r="826" spans="1:18" x14ac:dyDescent="0.3">
      <c r="A826" s="12" t="s">
        <v>7527</v>
      </c>
      <c r="B826" s="12" t="s">
        <v>14</v>
      </c>
      <c r="C826" s="12"/>
      <c r="D826" s="12" t="s">
        <v>14</v>
      </c>
      <c r="E826" s="12" t="s">
        <v>7528</v>
      </c>
      <c r="F826" s="12"/>
      <c r="G826" s="12" t="s">
        <v>1750</v>
      </c>
      <c r="H826" s="12" t="s">
        <v>36</v>
      </c>
      <c r="I826" s="12" t="s">
        <v>26</v>
      </c>
      <c r="J826" s="13" t="s">
        <v>1751</v>
      </c>
      <c r="K826" s="14" t="s">
        <v>7529</v>
      </c>
      <c r="L826" s="15">
        <v>1</v>
      </c>
      <c r="M826" s="15" t="s">
        <v>144</v>
      </c>
      <c r="N826" s="16">
        <v>44455</v>
      </c>
      <c r="O826" s="12" t="s">
        <v>7527</v>
      </c>
      <c r="P826" s="14" t="s">
        <v>7530</v>
      </c>
      <c r="Q826" s="17" t="s">
        <v>137</v>
      </c>
      <c r="R826" s="17" t="s">
        <v>146</v>
      </c>
    </row>
    <row r="827" spans="1:18" x14ac:dyDescent="0.3">
      <c r="A827" s="12" t="s">
        <v>7531</v>
      </c>
      <c r="B827" s="12" t="s">
        <v>12</v>
      </c>
      <c r="C827" s="12"/>
      <c r="D827" s="12" t="s">
        <v>12</v>
      </c>
      <c r="E827" s="12" t="s">
        <v>7532</v>
      </c>
      <c r="F827" s="12" t="s">
        <v>1270</v>
      </c>
      <c r="G827" s="12" t="s">
        <v>1750</v>
      </c>
      <c r="H827" s="12" t="s">
        <v>36</v>
      </c>
      <c r="I827" s="12" t="s">
        <v>26</v>
      </c>
      <c r="J827" s="13" t="s">
        <v>1751</v>
      </c>
      <c r="K827" s="14" t="s">
        <v>7533</v>
      </c>
      <c r="L827" s="15">
        <v>0</v>
      </c>
      <c r="M827" s="15" t="s">
        <v>144</v>
      </c>
      <c r="N827" s="16">
        <v>44065</v>
      </c>
      <c r="O827" s="12" t="s">
        <v>7531</v>
      </c>
      <c r="P827" s="14" t="s">
        <v>7534</v>
      </c>
      <c r="Q827" s="17" t="s">
        <v>137</v>
      </c>
      <c r="R827" s="17" t="s">
        <v>146</v>
      </c>
    </row>
    <row r="828" spans="1:18" x14ac:dyDescent="0.3">
      <c r="A828" s="12" t="s">
        <v>7535</v>
      </c>
      <c r="B828" s="12" t="s">
        <v>12</v>
      </c>
      <c r="C828" s="12"/>
      <c r="D828" s="12" t="s">
        <v>12</v>
      </c>
      <c r="E828" s="12" t="s">
        <v>7536</v>
      </c>
      <c r="F828" s="12" t="s">
        <v>188</v>
      </c>
      <c r="G828" s="12" t="s">
        <v>1750</v>
      </c>
      <c r="H828" s="12" t="s">
        <v>36</v>
      </c>
      <c r="I828" s="12" t="s">
        <v>26</v>
      </c>
      <c r="J828" s="13" t="s">
        <v>1552</v>
      </c>
      <c r="K828" s="14" t="s">
        <v>6560</v>
      </c>
      <c r="L828" s="15">
        <v>1</v>
      </c>
      <c r="M828" s="15" t="s">
        <v>144</v>
      </c>
      <c r="N828" s="16">
        <v>39383</v>
      </c>
      <c r="O828" s="12" t="s">
        <v>7535</v>
      </c>
      <c r="P828" s="14" t="s">
        <v>7537</v>
      </c>
      <c r="Q828" s="17" t="s">
        <v>137</v>
      </c>
      <c r="R828" s="17" t="s">
        <v>146</v>
      </c>
    </row>
    <row r="829" spans="1:18" x14ac:dyDescent="0.3">
      <c r="A829" s="12" t="s">
        <v>7538</v>
      </c>
      <c r="B829" s="12" t="s">
        <v>12</v>
      </c>
      <c r="C829" s="12"/>
      <c r="D829" s="12" t="s">
        <v>12</v>
      </c>
      <c r="E829" s="12" t="s">
        <v>7539</v>
      </c>
      <c r="F829" s="12" t="s">
        <v>447</v>
      </c>
      <c r="G829" s="12" t="s">
        <v>1750</v>
      </c>
      <c r="H829" s="12" t="s">
        <v>36</v>
      </c>
      <c r="I829" s="12" t="s">
        <v>26</v>
      </c>
      <c r="J829" s="13" t="s">
        <v>1820</v>
      </c>
      <c r="K829" s="14" t="s">
        <v>7455</v>
      </c>
      <c r="L829" s="15">
        <v>1</v>
      </c>
      <c r="M829" s="15" t="s">
        <v>144</v>
      </c>
      <c r="N829" s="16">
        <v>44065</v>
      </c>
      <c r="O829" s="12" t="s">
        <v>7538</v>
      </c>
      <c r="P829" s="14" t="s">
        <v>7540</v>
      </c>
      <c r="Q829" s="17" t="s">
        <v>137</v>
      </c>
      <c r="R829" s="17" t="s">
        <v>146</v>
      </c>
    </row>
    <row r="830" spans="1:18" x14ac:dyDescent="0.3">
      <c r="A830" s="12" t="s">
        <v>7541</v>
      </c>
      <c r="B830" s="12" t="s">
        <v>12</v>
      </c>
      <c r="C830" s="12"/>
      <c r="D830" s="12" t="s">
        <v>12</v>
      </c>
      <c r="E830" s="12" t="s">
        <v>7505</v>
      </c>
      <c r="F830" s="12" t="s">
        <v>7542</v>
      </c>
      <c r="G830" s="12" t="s">
        <v>1750</v>
      </c>
      <c r="H830" s="12" t="s">
        <v>36</v>
      </c>
      <c r="I830" s="12" t="s">
        <v>26</v>
      </c>
      <c r="J830" s="13" t="s">
        <v>1820</v>
      </c>
      <c r="K830" s="14" t="s">
        <v>7455</v>
      </c>
      <c r="L830" s="15">
        <v>3</v>
      </c>
      <c r="M830" s="15" t="s">
        <v>144</v>
      </c>
      <c r="N830" s="16">
        <v>42069</v>
      </c>
      <c r="O830" s="12" t="s">
        <v>7541</v>
      </c>
      <c r="P830" s="14" t="s">
        <v>7543</v>
      </c>
      <c r="Q830" s="17" t="s">
        <v>137</v>
      </c>
      <c r="R830" s="17" t="s">
        <v>146</v>
      </c>
    </row>
    <row r="831" spans="1:18" x14ac:dyDescent="0.3">
      <c r="A831" s="12" t="s">
        <v>7544</v>
      </c>
      <c r="B831" s="12" t="s">
        <v>10</v>
      </c>
      <c r="C831" s="12"/>
      <c r="D831" s="12" t="s">
        <v>647</v>
      </c>
      <c r="E831" s="12" t="s">
        <v>1761</v>
      </c>
      <c r="F831" s="12" t="s">
        <v>7545</v>
      </c>
      <c r="G831" s="12" t="s">
        <v>1750</v>
      </c>
      <c r="H831" s="12" t="s">
        <v>36</v>
      </c>
      <c r="I831" s="12" t="s">
        <v>26</v>
      </c>
      <c r="J831" s="13" t="s">
        <v>1751</v>
      </c>
      <c r="K831" s="14" t="s">
        <v>7546</v>
      </c>
      <c r="L831" s="15">
        <v>1</v>
      </c>
      <c r="M831" s="15" t="s">
        <v>220</v>
      </c>
      <c r="N831" s="16">
        <v>39744</v>
      </c>
      <c r="O831" s="12" t="s">
        <v>7544</v>
      </c>
      <c r="P831" s="14" t="s">
        <v>7547</v>
      </c>
      <c r="Q831" s="17" t="s">
        <v>137</v>
      </c>
      <c r="R831" s="17" t="s">
        <v>146</v>
      </c>
    </row>
    <row r="832" spans="1:18" x14ac:dyDescent="0.3">
      <c r="A832" s="12" t="s">
        <v>7548</v>
      </c>
      <c r="B832" s="12" t="s">
        <v>10</v>
      </c>
      <c r="C832" s="12"/>
      <c r="D832" s="12" t="s">
        <v>647</v>
      </c>
      <c r="E832" s="12" t="s">
        <v>1761</v>
      </c>
      <c r="F832" s="12" t="s">
        <v>7545</v>
      </c>
      <c r="G832" s="12" t="s">
        <v>1750</v>
      </c>
      <c r="H832" s="12" t="s">
        <v>36</v>
      </c>
      <c r="I832" s="12" t="s">
        <v>26</v>
      </c>
      <c r="J832" s="13" t="s">
        <v>1751</v>
      </c>
      <c r="K832" s="14" t="s">
        <v>7546</v>
      </c>
      <c r="L832" s="15">
        <v>1</v>
      </c>
      <c r="M832" s="15" t="s">
        <v>220</v>
      </c>
      <c r="N832" s="16">
        <v>41478</v>
      </c>
      <c r="O832" s="12" t="s">
        <v>7548</v>
      </c>
      <c r="P832" s="14" t="s">
        <v>7549</v>
      </c>
      <c r="Q832" s="17" t="s">
        <v>137</v>
      </c>
      <c r="R832" s="17" t="s">
        <v>146</v>
      </c>
    </row>
    <row r="833" spans="1:18" x14ac:dyDescent="0.3">
      <c r="A833" s="12" t="s">
        <v>7550</v>
      </c>
      <c r="B833" s="12" t="s">
        <v>12</v>
      </c>
      <c r="C833" s="12"/>
      <c r="D833" s="12" t="s">
        <v>12</v>
      </c>
      <c r="E833" s="12" t="s">
        <v>7551</v>
      </c>
      <c r="F833" s="12"/>
      <c r="G833" s="12" t="s">
        <v>1836</v>
      </c>
      <c r="H833" s="12" t="s">
        <v>36</v>
      </c>
      <c r="I833" s="12" t="s">
        <v>26</v>
      </c>
      <c r="J833" s="13" t="s">
        <v>1837</v>
      </c>
      <c r="K833" s="14" t="s">
        <v>7552</v>
      </c>
      <c r="L833" s="15">
        <v>0</v>
      </c>
      <c r="M833" s="15" t="s">
        <v>144</v>
      </c>
      <c r="N833" s="16">
        <v>44065</v>
      </c>
      <c r="O833" s="12" t="s">
        <v>7553</v>
      </c>
      <c r="P833" s="14" t="s">
        <v>7554</v>
      </c>
      <c r="Q833" s="17" t="s">
        <v>137</v>
      </c>
      <c r="R833" s="17" t="s">
        <v>146</v>
      </c>
    </row>
    <row r="834" spans="1:18" x14ac:dyDescent="0.3">
      <c r="A834" s="12" t="s">
        <v>7555</v>
      </c>
      <c r="B834" s="12" t="s">
        <v>12</v>
      </c>
      <c r="C834" s="12"/>
      <c r="D834" s="12" t="s">
        <v>12</v>
      </c>
      <c r="E834" s="12" t="s">
        <v>7556</v>
      </c>
      <c r="F834" s="12" t="s">
        <v>7557</v>
      </c>
      <c r="G834" s="12" t="s">
        <v>1836</v>
      </c>
      <c r="H834" s="12" t="s">
        <v>36</v>
      </c>
      <c r="I834" s="12" t="s">
        <v>26</v>
      </c>
      <c r="J834" s="13" t="s">
        <v>1837</v>
      </c>
      <c r="K834" s="14" t="s">
        <v>7558</v>
      </c>
      <c r="L834" s="15">
        <v>2</v>
      </c>
      <c r="M834" s="15" t="s">
        <v>144</v>
      </c>
      <c r="N834" s="16">
        <v>41306</v>
      </c>
      <c r="O834" s="12" t="s">
        <v>7555</v>
      </c>
      <c r="P834" s="14" t="s">
        <v>7559</v>
      </c>
      <c r="Q834" s="17" t="s">
        <v>137</v>
      </c>
      <c r="R834" s="17" t="s">
        <v>146</v>
      </c>
    </row>
    <row r="835" spans="1:18" x14ac:dyDescent="0.3">
      <c r="A835" s="12" t="s">
        <v>7560</v>
      </c>
      <c r="B835" s="12" t="s">
        <v>12</v>
      </c>
      <c r="C835" s="12"/>
      <c r="D835" s="12" t="s">
        <v>12</v>
      </c>
      <c r="E835" s="12" t="s">
        <v>7561</v>
      </c>
      <c r="F835" s="12"/>
      <c r="G835" s="12" t="s">
        <v>1836</v>
      </c>
      <c r="H835" s="12" t="s">
        <v>36</v>
      </c>
      <c r="I835" s="12" t="s">
        <v>26</v>
      </c>
      <c r="J835" s="13" t="s">
        <v>1837</v>
      </c>
      <c r="K835" s="14" t="s">
        <v>7562</v>
      </c>
      <c r="L835" s="15">
        <v>1</v>
      </c>
      <c r="M835" s="15" t="s">
        <v>144</v>
      </c>
      <c r="N835" s="16">
        <v>44065</v>
      </c>
      <c r="O835" s="12" t="s">
        <v>7560</v>
      </c>
      <c r="P835" s="14" t="s">
        <v>7563</v>
      </c>
      <c r="Q835" s="17" t="s">
        <v>137</v>
      </c>
      <c r="R835" s="17" t="s">
        <v>146</v>
      </c>
    </row>
    <row r="836" spans="1:18" x14ac:dyDescent="0.3">
      <c r="A836" s="12" t="s">
        <v>7564</v>
      </c>
      <c r="B836" s="12" t="s">
        <v>12</v>
      </c>
      <c r="C836" s="12"/>
      <c r="D836" s="12" t="s">
        <v>12</v>
      </c>
      <c r="E836" s="12" t="s">
        <v>7556</v>
      </c>
      <c r="F836" s="12" t="s">
        <v>182</v>
      </c>
      <c r="G836" s="12" t="s">
        <v>1836</v>
      </c>
      <c r="H836" s="12" t="s">
        <v>36</v>
      </c>
      <c r="I836" s="12" t="s">
        <v>26</v>
      </c>
      <c r="J836" s="13" t="s">
        <v>1837</v>
      </c>
      <c r="K836" s="14" t="s">
        <v>7565</v>
      </c>
      <c r="L836" s="15">
        <v>2</v>
      </c>
      <c r="M836" s="15" t="s">
        <v>144</v>
      </c>
      <c r="N836" s="16">
        <v>44065</v>
      </c>
      <c r="O836" s="12" t="s">
        <v>7564</v>
      </c>
      <c r="P836" s="14" t="s">
        <v>7566</v>
      </c>
      <c r="Q836" s="17" t="s">
        <v>137</v>
      </c>
      <c r="R836" s="17" t="s">
        <v>146</v>
      </c>
    </row>
    <row r="837" spans="1:18" x14ac:dyDescent="0.3">
      <c r="A837" s="12" t="s">
        <v>7567</v>
      </c>
      <c r="B837" s="12" t="s">
        <v>12</v>
      </c>
      <c r="C837" s="12"/>
      <c r="D837" s="12" t="s">
        <v>12</v>
      </c>
      <c r="E837" s="12" t="s">
        <v>7568</v>
      </c>
      <c r="F837" s="12"/>
      <c r="G837" s="12" t="s">
        <v>1836</v>
      </c>
      <c r="H837" s="12" t="s">
        <v>36</v>
      </c>
      <c r="I837" s="12" t="s">
        <v>26</v>
      </c>
      <c r="J837" s="13" t="s">
        <v>1837</v>
      </c>
      <c r="K837" s="14" t="s">
        <v>7569</v>
      </c>
      <c r="L837" s="15">
        <v>0</v>
      </c>
      <c r="M837" s="15" t="s">
        <v>144</v>
      </c>
      <c r="N837" s="16">
        <v>42713</v>
      </c>
      <c r="O837" s="12" t="s">
        <v>7570</v>
      </c>
      <c r="P837" s="14" t="s">
        <v>7571</v>
      </c>
      <c r="Q837" s="17" t="s">
        <v>137</v>
      </c>
      <c r="R837" s="17" t="s">
        <v>146</v>
      </c>
    </row>
    <row r="838" spans="1:18" x14ac:dyDescent="0.3">
      <c r="A838" s="12" t="s">
        <v>7572</v>
      </c>
      <c r="B838" s="12" t="s">
        <v>12</v>
      </c>
      <c r="C838" s="12"/>
      <c r="D838" s="12" t="s">
        <v>12</v>
      </c>
      <c r="E838" s="12" t="s">
        <v>7573</v>
      </c>
      <c r="F838" s="12"/>
      <c r="G838" s="12" t="s">
        <v>1836</v>
      </c>
      <c r="H838" s="12" t="s">
        <v>36</v>
      </c>
      <c r="I838" s="12" t="s">
        <v>26</v>
      </c>
      <c r="J838" s="13" t="s">
        <v>1837</v>
      </c>
      <c r="K838" s="14" t="s">
        <v>7574</v>
      </c>
      <c r="L838" s="15">
        <v>2</v>
      </c>
      <c r="M838" s="15" t="s">
        <v>144</v>
      </c>
      <c r="N838" s="16">
        <v>41758</v>
      </c>
      <c r="O838" s="12" t="s">
        <v>7572</v>
      </c>
      <c r="P838" s="14" t="s">
        <v>7575</v>
      </c>
      <c r="Q838" s="17" t="s">
        <v>137</v>
      </c>
      <c r="R838" s="17" t="s">
        <v>146</v>
      </c>
    </row>
    <row r="839" spans="1:18" x14ac:dyDescent="0.3">
      <c r="A839" s="12" t="s">
        <v>7576</v>
      </c>
      <c r="B839" s="12" t="s">
        <v>12</v>
      </c>
      <c r="C839" s="12"/>
      <c r="D839" s="12" t="s">
        <v>12</v>
      </c>
      <c r="E839" s="12" t="s">
        <v>7577</v>
      </c>
      <c r="F839" s="12" t="s">
        <v>1222</v>
      </c>
      <c r="G839" s="12" t="s">
        <v>1836</v>
      </c>
      <c r="H839" s="12" t="s">
        <v>36</v>
      </c>
      <c r="I839" s="12" t="s">
        <v>26</v>
      </c>
      <c r="J839" s="13" t="s">
        <v>1837</v>
      </c>
      <c r="K839" s="14" t="s">
        <v>7578</v>
      </c>
      <c r="L839" s="15">
        <v>1</v>
      </c>
      <c r="M839" s="15" t="s">
        <v>144</v>
      </c>
      <c r="N839" s="16">
        <v>43895</v>
      </c>
      <c r="O839" s="12" t="s">
        <v>7576</v>
      </c>
      <c r="P839" s="14" t="s">
        <v>7579</v>
      </c>
      <c r="Q839" s="17" t="s">
        <v>137</v>
      </c>
      <c r="R839" s="17" t="s">
        <v>146</v>
      </c>
    </row>
    <row r="840" spans="1:18" x14ac:dyDescent="0.3">
      <c r="A840" s="12" t="s">
        <v>7580</v>
      </c>
      <c r="B840" s="12" t="s">
        <v>10</v>
      </c>
      <c r="C840" s="12"/>
      <c r="D840" s="12" t="s">
        <v>720</v>
      </c>
      <c r="E840" s="12" t="s">
        <v>7581</v>
      </c>
      <c r="F840" s="12" t="s">
        <v>557</v>
      </c>
      <c r="G840" s="12" t="s">
        <v>1836</v>
      </c>
      <c r="H840" s="12" t="s">
        <v>36</v>
      </c>
      <c r="I840" s="12" t="s">
        <v>26</v>
      </c>
      <c r="J840" s="13" t="s">
        <v>1837</v>
      </c>
      <c r="K840" s="14" t="s">
        <v>7582</v>
      </c>
      <c r="L840" s="15">
        <v>1</v>
      </c>
      <c r="M840" s="15" t="s">
        <v>144</v>
      </c>
      <c r="N840" s="16">
        <v>42233</v>
      </c>
      <c r="O840" s="12" t="s">
        <v>7580</v>
      </c>
      <c r="P840" s="14" t="s">
        <v>7583</v>
      </c>
      <c r="Q840" s="17" t="s">
        <v>137</v>
      </c>
      <c r="R840" s="17" t="s">
        <v>146</v>
      </c>
    </row>
    <row r="841" spans="1:18" x14ac:dyDescent="0.3">
      <c r="A841" s="12" t="s">
        <v>7584</v>
      </c>
      <c r="B841" s="12" t="s">
        <v>12</v>
      </c>
      <c r="C841" s="12"/>
      <c r="D841" s="12" t="s">
        <v>12</v>
      </c>
      <c r="E841" s="12" t="s">
        <v>7585</v>
      </c>
      <c r="F841" s="12" t="s">
        <v>218</v>
      </c>
      <c r="G841" s="12" t="s">
        <v>1836</v>
      </c>
      <c r="H841" s="12" t="s">
        <v>36</v>
      </c>
      <c r="I841" s="12" t="s">
        <v>26</v>
      </c>
      <c r="J841" s="13" t="s">
        <v>1837</v>
      </c>
      <c r="K841" s="14" t="s">
        <v>7586</v>
      </c>
      <c r="L841" s="15">
        <v>0</v>
      </c>
      <c r="M841" s="15" t="s">
        <v>144</v>
      </c>
      <c r="N841" s="16">
        <v>41493</v>
      </c>
      <c r="O841" s="12" t="s">
        <v>7584</v>
      </c>
      <c r="P841" s="14" t="s">
        <v>7587</v>
      </c>
      <c r="Q841" s="17" t="s">
        <v>137</v>
      </c>
      <c r="R841" s="17" t="s">
        <v>146</v>
      </c>
    </row>
    <row r="842" spans="1:18" x14ac:dyDescent="0.3">
      <c r="A842" s="12" t="s">
        <v>7588</v>
      </c>
      <c r="B842" s="12" t="s">
        <v>12</v>
      </c>
      <c r="C842" s="12"/>
      <c r="D842" s="12" t="s">
        <v>12</v>
      </c>
      <c r="E842" s="12" t="s">
        <v>7589</v>
      </c>
      <c r="F842" s="12"/>
      <c r="G842" s="12" t="s">
        <v>1836</v>
      </c>
      <c r="H842" s="12" t="s">
        <v>36</v>
      </c>
      <c r="I842" s="12" t="s">
        <v>26</v>
      </c>
      <c r="J842" s="13" t="s">
        <v>1837</v>
      </c>
      <c r="K842" s="14" t="s">
        <v>7590</v>
      </c>
      <c r="L842" s="15">
        <v>1</v>
      </c>
      <c r="M842" s="15" t="s">
        <v>144</v>
      </c>
      <c r="N842" s="16">
        <v>41977</v>
      </c>
      <c r="O842" s="12" t="s">
        <v>7588</v>
      </c>
      <c r="P842" s="14" t="s">
        <v>7591</v>
      </c>
      <c r="Q842" s="17" t="s">
        <v>137</v>
      </c>
      <c r="R842" s="17" t="s">
        <v>146</v>
      </c>
    </row>
    <row r="843" spans="1:18" x14ac:dyDescent="0.3">
      <c r="A843" s="12" t="s">
        <v>7592</v>
      </c>
      <c r="B843" s="12" t="s">
        <v>12</v>
      </c>
      <c r="C843" s="12"/>
      <c r="D843" s="12" t="s">
        <v>12</v>
      </c>
      <c r="E843" s="12" t="s">
        <v>7589</v>
      </c>
      <c r="F843" s="12"/>
      <c r="G843" s="12" t="s">
        <v>1836</v>
      </c>
      <c r="H843" s="12" t="s">
        <v>36</v>
      </c>
      <c r="I843" s="12" t="s">
        <v>26</v>
      </c>
      <c r="J843" s="13" t="s">
        <v>1837</v>
      </c>
      <c r="K843" s="14" t="s">
        <v>7590</v>
      </c>
      <c r="L843" s="15">
        <v>1</v>
      </c>
      <c r="M843" s="15" t="s">
        <v>144</v>
      </c>
      <c r="N843" s="16">
        <v>41592</v>
      </c>
      <c r="O843" s="12" t="s">
        <v>7592</v>
      </c>
      <c r="P843" s="14" t="s">
        <v>7593</v>
      </c>
      <c r="Q843" s="17" t="s">
        <v>137</v>
      </c>
      <c r="R843" s="17" t="s">
        <v>146</v>
      </c>
    </row>
    <row r="844" spans="1:18" x14ac:dyDescent="0.3">
      <c r="A844" s="12" t="s">
        <v>7594</v>
      </c>
      <c r="B844" s="12" t="s">
        <v>12</v>
      </c>
      <c r="C844" s="12"/>
      <c r="D844" s="12" t="s">
        <v>12</v>
      </c>
      <c r="E844" s="12" t="s">
        <v>7589</v>
      </c>
      <c r="F844" s="12"/>
      <c r="G844" s="12" t="s">
        <v>1836</v>
      </c>
      <c r="H844" s="12" t="s">
        <v>36</v>
      </c>
      <c r="I844" s="12" t="s">
        <v>26</v>
      </c>
      <c r="J844" s="13" t="s">
        <v>1837</v>
      </c>
      <c r="K844" s="14" t="s">
        <v>7590</v>
      </c>
      <c r="L844" s="15">
        <v>1</v>
      </c>
      <c r="M844" s="15" t="s">
        <v>144</v>
      </c>
      <c r="N844" s="16">
        <v>41781</v>
      </c>
      <c r="O844" s="12" t="s">
        <v>7594</v>
      </c>
      <c r="P844" s="14" t="s">
        <v>7595</v>
      </c>
      <c r="Q844" s="17" t="s">
        <v>137</v>
      </c>
      <c r="R844" s="17" t="s">
        <v>146</v>
      </c>
    </row>
    <row r="845" spans="1:18" x14ac:dyDescent="0.3">
      <c r="A845" s="12" t="s">
        <v>7596</v>
      </c>
      <c r="B845" s="12" t="s">
        <v>12</v>
      </c>
      <c r="C845" s="12"/>
      <c r="D845" s="12" t="s">
        <v>12</v>
      </c>
      <c r="E845" s="12" t="s">
        <v>7573</v>
      </c>
      <c r="F845" s="12" t="s">
        <v>188</v>
      </c>
      <c r="G845" s="12" t="s">
        <v>1836</v>
      </c>
      <c r="H845" s="12" t="s">
        <v>36</v>
      </c>
      <c r="I845" s="12" t="s">
        <v>26</v>
      </c>
      <c r="J845" s="13" t="s">
        <v>1837</v>
      </c>
      <c r="K845" s="14" t="s">
        <v>7597</v>
      </c>
      <c r="L845" s="15">
        <v>2</v>
      </c>
      <c r="M845" s="15" t="s">
        <v>144</v>
      </c>
      <c r="N845" s="16">
        <v>42352</v>
      </c>
      <c r="O845" s="12" t="s">
        <v>7596</v>
      </c>
      <c r="P845" s="14" t="s">
        <v>7598</v>
      </c>
      <c r="Q845" s="17" t="s">
        <v>137</v>
      </c>
      <c r="R845" s="17" t="s">
        <v>146</v>
      </c>
    </row>
    <row r="846" spans="1:18" x14ac:dyDescent="0.3">
      <c r="A846" s="12" t="s">
        <v>7599</v>
      </c>
      <c r="B846" s="12" t="s">
        <v>12</v>
      </c>
      <c r="C846" s="12"/>
      <c r="D846" s="12" t="s">
        <v>12</v>
      </c>
      <c r="E846" s="12" t="s">
        <v>7600</v>
      </c>
      <c r="F846" s="12"/>
      <c r="G846" s="12" t="s">
        <v>1836</v>
      </c>
      <c r="H846" s="12" t="s">
        <v>36</v>
      </c>
      <c r="I846" s="12" t="s">
        <v>26</v>
      </c>
      <c r="J846" s="13" t="s">
        <v>1837</v>
      </c>
      <c r="K846" s="14" t="s">
        <v>7601</v>
      </c>
      <c r="L846" s="15">
        <v>3</v>
      </c>
      <c r="M846" s="15" t="s">
        <v>144</v>
      </c>
      <c r="N846" s="16">
        <v>39444</v>
      </c>
      <c r="O846" s="12" t="s">
        <v>7599</v>
      </c>
      <c r="P846" s="14" t="s">
        <v>7602</v>
      </c>
      <c r="Q846" s="17" t="s">
        <v>137</v>
      </c>
      <c r="R846" s="17" t="s">
        <v>146</v>
      </c>
    </row>
    <row r="847" spans="1:18" x14ac:dyDescent="0.3">
      <c r="A847" s="12" t="s">
        <v>7603</v>
      </c>
      <c r="B847" s="12" t="s">
        <v>12</v>
      </c>
      <c r="C847" s="12"/>
      <c r="D847" s="12" t="s">
        <v>12</v>
      </c>
      <c r="E847" s="12" t="s">
        <v>7604</v>
      </c>
      <c r="F847" s="12"/>
      <c r="G847" s="12" t="s">
        <v>1854</v>
      </c>
      <c r="H847" s="12" t="s">
        <v>36</v>
      </c>
      <c r="I847" s="12" t="s">
        <v>26</v>
      </c>
      <c r="J847" s="13" t="s">
        <v>1323</v>
      </c>
      <c r="K847" s="14" t="s">
        <v>7605</v>
      </c>
      <c r="L847" s="15">
        <v>0</v>
      </c>
      <c r="M847" s="15" t="s">
        <v>144</v>
      </c>
      <c r="N847" s="16">
        <v>43585</v>
      </c>
      <c r="O847" s="12" t="s">
        <v>7606</v>
      </c>
      <c r="P847" s="14" t="s">
        <v>7607</v>
      </c>
      <c r="Q847" s="17" t="s">
        <v>137</v>
      </c>
      <c r="R847" s="17" t="s">
        <v>146</v>
      </c>
    </row>
    <row r="848" spans="1:18" x14ac:dyDescent="0.3">
      <c r="A848" s="12" t="s">
        <v>7608</v>
      </c>
      <c r="B848" s="12" t="s">
        <v>12</v>
      </c>
      <c r="C848" s="12"/>
      <c r="D848" s="12" t="s">
        <v>12</v>
      </c>
      <c r="E848" s="12" t="s">
        <v>1853</v>
      </c>
      <c r="F848" s="12" t="s">
        <v>6066</v>
      </c>
      <c r="G848" s="12" t="s">
        <v>1854</v>
      </c>
      <c r="H848" s="12" t="s">
        <v>36</v>
      </c>
      <c r="I848" s="12" t="s">
        <v>26</v>
      </c>
      <c r="J848" s="13" t="s">
        <v>1323</v>
      </c>
      <c r="K848" s="14" t="s">
        <v>7609</v>
      </c>
      <c r="L848" s="15">
        <v>4</v>
      </c>
      <c r="M848" s="15" t="s">
        <v>144</v>
      </c>
      <c r="N848" s="16">
        <v>44065</v>
      </c>
      <c r="O848" s="12" t="s">
        <v>7610</v>
      </c>
      <c r="P848" s="14" t="s">
        <v>7611</v>
      </c>
      <c r="Q848" s="17" t="s">
        <v>137</v>
      </c>
      <c r="R848" s="17" t="s">
        <v>146</v>
      </c>
    </row>
    <row r="849" spans="1:18" x14ac:dyDescent="0.3">
      <c r="A849" s="12" t="s">
        <v>7612</v>
      </c>
      <c r="B849" s="12" t="s">
        <v>12</v>
      </c>
      <c r="C849" s="12" t="s">
        <v>14</v>
      </c>
      <c r="D849" s="12" t="s">
        <v>180</v>
      </c>
      <c r="E849" s="12" t="s">
        <v>7613</v>
      </c>
      <c r="F849" s="12" t="s">
        <v>1765</v>
      </c>
      <c r="G849" s="12" t="s">
        <v>1854</v>
      </c>
      <c r="H849" s="12" t="s">
        <v>36</v>
      </c>
      <c r="I849" s="12" t="s">
        <v>26</v>
      </c>
      <c r="J849" s="13" t="s">
        <v>1323</v>
      </c>
      <c r="K849" s="14" t="s">
        <v>7614</v>
      </c>
      <c r="L849" s="15">
        <v>2</v>
      </c>
      <c r="M849" s="15" t="s">
        <v>144</v>
      </c>
      <c r="N849" s="16">
        <v>40921</v>
      </c>
      <c r="O849" s="12" t="s">
        <v>7615</v>
      </c>
      <c r="P849" s="14" t="s">
        <v>7616</v>
      </c>
      <c r="Q849" s="17" t="s">
        <v>137</v>
      </c>
      <c r="R849" s="17" t="s">
        <v>146</v>
      </c>
    </row>
    <row r="850" spans="1:18" x14ac:dyDescent="0.3">
      <c r="A850" s="12" t="s">
        <v>7617</v>
      </c>
      <c r="B850" s="12" t="s">
        <v>12</v>
      </c>
      <c r="C850" s="12"/>
      <c r="D850" s="12" t="s">
        <v>12</v>
      </c>
      <c r="E850" s="12" t="s">
        <v>1853</v>
      </c>
      <c r="F850" s="12" t="s">
        <v>6066</v>
      </c>
      <c r="G850" s="12" t="s">
        <v>1854</v>
      </c>
      <c r="H850" s="12" t="s">
        <v>36</v>
      </c>
      <c r="I850" s="12" t="s">
        <v>26</v>
      </c>
      <c r="J850" s="13" t="s">
        <v>1323</v>
      </c>
      <c r="K850" s="14" t="s">
        <v>7609</v>
      </c>
      <c r="L850" s="15">
        <v>4</v>
      </c>
      <c r="M850" s="15" t="s">
        <v>144</v>
      </c>
      <c r="N850" s="16">
        <v>39413</v>
      </c>
      <c r="O850" s="12" t="s">
        <v>7617</v>
      </c>
      <c r="P850" s="14" t="s">
        <v>7618</v>
      </c>
      <c r="Q850" s="17" t="s">
        <v>137</v>
      </c>
      <c r="R850" s="17" t="s">
        <v>146</v>
      </c>
    </row>
    <row r="851" spans="1:18" x14ac:dyDescent="0.3">
      <c r="A851" s="12" t="s">
        <v>7619</v>
      </c>
      <c r="B851" s="12" t="s">
        <v>12</v>
      </c>
      <c r="C851" s="12"/>
      <c r="D851" s="12" t="s">
        <v>12</v>
      </c>
      <c r="E851" s="12" t="s">
        <v>1853</v>
      </c>
      <c r="F851" s="12" t="s">
        <v>6066</v>
      </c>
      <c r="G851" s="12" t="s">
        <v>1854</v>
      </c>
      <c r="H851" s="12" t="s">
        <v>36</v>
      </c>
      <c r="I851" s="12" t="s">
        <v>26</v>
      </c>
      <c r="J851" s="13" t="s">
        <v>1323</v>
      </c>
      <c r="K851" s="14" t="s">
        <v>7609</v>
      </c>
      <c r="L851" s="15">
        <v>4</v>
      </c>
      <c r="M851" s="15" t="s">
        <v>144</v>
      </c>
      <c r="N851" s="16">
        <v>41513</v>
      </c>
      <c r="O851" s="12" t="s">
        <v>7619</v>
      </c>
      <c r="P851" s="14" t="s">
        <v>7620</v>
      </c>
      <c r="Q851" s="17" t="s">
        <v>137</v>
      </c>
      <c r="R851" s="17" t="s">
        <v>146</v>
      </c>
    </row>
    <row r="852" spans="1:18" x14ac:dyDescent="0.3">
      <c r="A852" s="12" t="s">
        <v>7621</v>
      </c>
      <c r="B852" s="12" t="s">
        <v>12</v>
      </c>
      <c r="C852" s="12"/>
      <c r="D852" s="12" t="s">
        <v>12</v>
      </c>
      <c r="E852" s="12" t="s">
        <v>7622</v>
      </c>
      <c r="F852" s="12"/>
      <c r="G852" s="12" t="s">
        <v>1854</v>
      </c>
      <c r="H852" s="12" t="s">
        <v>36</v>
      </c>
      <c r="I852" s="12" t="s">
        <v>26</v>
      </c>
      <c r="J852" s="13" t="s">
        <v>1323</v>
      </c>
      <c r="K852" s="14" t="s">
        <v>7623</v>
      </c>
      <c r="L852" s="15">
        <v>2</v>
      </c>
      <c r="M852" s="15" t="s">
        <v>144</v>
      </c>
      <c r="N852" s="16">
        <v>39797</v>
      </c>
      <c r="O852" s="12" t="s">
        <v>7624</v>
      </c>
      <c r="P852" s="14" t="s">
        <v>7625</v>
      </c>
      <c r="Q852" s="17" t="s">
        <v>137</v>
      </c>
      <c r="R852" s="17" t="s">
        <v>146</v>
      </c>
    </row>
    <row r="853" spans="1:18" x14ac:dyDescent="0.3">
      <c r="A853" s="12" t="s">
        <v>7626</v>
      </c>
      <c r="B853" s="12" t="s">
        <v>12</v>
      </c>
      <c r="C853" s="12"/>
      <c r="D853" s="12" t="s">
        <v>12</v>
      </c>
      <c r="E853" s="12" t="s">
        <v>1858</v>
      </c>
      <c r="F853" s="12"/>
      <c r="G853" s="12" t="s">
        <v>1854</v>
      </c>
      <c r="H853" s="12" t="s">
        <v>36</v>
      </c>
      <c r="I853" s="12" t="s">
        <v>26</v>
      </c>
      <c r="J853" s="13" t="s">
        <v>1323</v>
      </c>
      <c r="K853" s="14" t="s">
        <v>7627</v>
      </c>
      <c r="L853" s="15">
        <v>1</v>
      </c>
      <c r="M853" s="15" t="s">
        <v>144</v>
      </c>
      <c r="N853" s="16">
        <v>41936</v>
      </c>
      <c r="O853" s="12" t="s">
        <v>7628</v>
      </c>
      <c r="P853" s="14" t="s">
        <v>7629</v>
      </c>
      <c r="Q853" s="17" t="s">
        <v>137</v>
      </c>
      <c r="R853" s="17" t="s">
        <v>146</v>
      </c>
    </row>
    <row r="854" spans="1:18" x14ac:dyDescent="0.3">
      <c r="A854" s="12" t="s">
        <v>7630</v>
      </c>
      <c r="B854" s="12" t="s">
        <v>16</v>
      </c>
      <c r="C854" s="12"/>
      <c r="D854" s="12" t="s">
        <v>471</v>
      </c>
      <c r="E854" s="12" t="s">
        <v>7631</v>
      </c>
      <c r="F854" s="12" t="s">
        <v>1583</v>
      </c>
      <c r="G854" s="12" t="s">
        <v>1854</v>
      </c>
      <c r="H854" s="12" t="s">
        <v>36</v>
      </c>
      <c r="I854" s="12" t="s">
        <v>26</v>
      </c>
      <c r="J854" s="13" t="s">
        <v>1323</v>
      </c>
      <c r="K854" s="14" t="s">
        <v>6524</v>
      </c>
      <c r="L854" s="15">
        <v>3</v>
      </c>
      <c r="M854" s="15" t="s">
        <v>144</v>
      </c>
      <c r="N854" s="16">
        <v>43782</v>
      </c>
      <c r="O854" s="12" t="s">
        <v>7632</v>
      </c>
      <c r="P854" s="14" t="s">
        <v>7633</v>
      </c>
      <c r="Q854" s="17" t="s">
        <v>137</v>
      </c>
      <c r="R854" s="17" t="s">
        <v>146</v>
      </c>
    </row>
    <row r="855" spans="1:18" x14ac:dyDescent="0.3">
      <c r="A855" s="12" t="s">
        <v>7634</v>
      </c>
      <c r="B855" s="12" t="s">
        <v>12</v>
      </c>
      <c r="C855" s="12"/>
      <c r="D855" s="12" t="s">
        <v>12</v>
      </c>
      <c r="E855" s="12" t="s">
        <v>7635</v>
      </c>
      <c r="F855" s="12"/>
      <c r="G855" s="12" t="s">
        <v>1854</v>
      </c>
      <c r="H855" s="12" t="s">
        <v>36</v>
      </c>
      <c r="I855" s="12" t="s">
        <v>26</v>
      </c>
      <c r="J855" s="13" t="s">
        <v>1323</v>
      </c>
      <c r="K855" s="14" t="s">
        <v>1380</v>
      </c>
      <c r="L855" s="15">
        <v>1</v>
      </c>
      <c r="M855" s="15" t="s">
        <v>144</v>
      </c>
      <c r="N855" s="16">
        <v>39321</v>
      </c>
      <c r="O855" s="12" t="s">
        <v>7634</v>
      </c>
      <c r="P855" s="14" t="s">
        <v>7636</v>
      </c>
      <c r="Q855" s="17" t="s">
        <v>137</v>
      </c>
      <c r="R855" s="17" t="s">
        <v>146</v>
      </c>
    </row>
    <row r="856" spans="1:18" x14ac:dyDescent="0.3">
      <c r="A856" s="12" t="s">
        <v>7637</v>
      </c>
      <c r="B856" s="12" t="s">
        <v>12</v>
      </c>
      <c r="C856" s="12"/>
      <c r="D856" s="12" t="s">
        <v>12</v>
      </c>
      <c r="E856" s="12" t="s">
        <v>7638</v>
      </c>
      <c r="F856" s="12"/>
      <c r="G856" s="12" t="s">
        <v>1854</v>
      </c>
      <c r="H856" s="12" t="s">
        <v>36</v>
      </c>
      <c r="I856" s="12" t="s">
        <v>26</v>
      </c>
      <c r="J856" s="13" t="s">
        <v>1323</v>
      </c>
      <c r="K856" s="14" t="s">
        <v>7639</v>
      </c>
      <c r="L856" s="15">
        <v>6</v>
      </c>
      <c r="M856" s="15" t="s">
        <v>144</v>
      </c>
      <c r="N856" s="16">
        <v>42013</v>
      </c>
      <c r="O856" s="12" t="s">
        <v>7640</v>
      </c>
      <c r="P856" s="14" t="s">
        <v>7641</v>
      </c>
      <c r="Q856" s="17" t="s">
        <v>137</v>
      </c>
      <c r="R856" s="17" t="s">
        <v>146</v>
      </c>
    </row>
    <row r="857" spans="1:18" x14ac:dyDescent="0.3">
      <c r="A857" s="12" t="s">
        <v>7642</v>
      </c>
      <c r="B857" s="12" t="s">
        <v>12</v>
      </c>
      <c r="C857" s="12"/>
      <c r="D857" s="12" t="s">
        <v>12</v>
      </c>
      <c r="E857" s="12" t="s">
        <v>7643</v>
      </c>
      <c r="F857" s="12"/>
      <c r="G857" s="12" t="s">
        <v>1854</v>
      </c>
      <c r="H857" s="12" t="s">
        <v>36</v>
      </c>
      <c r="I857" s="12" t="s">
        <v>26</v>
      </c>
      <c r="J857" s="13" t="s">
        <v>1323</v>
      </c>
      <c r="K857" s="14" t="s">
        <v>7639</v>
      </c>
      <c r="L857" s="15">
        <v>6</v>
      </c>
      <c r="M857" s="15" t="s">
        <v>144</v>
      </c>
      <c r="N857" s="16">
        <v>39547</v>
      </c>
      <c r="O857" s="12" t="s">
        <v>7642</v>
      </c>
      <c r="P857" s="14" t="s">
        <v>7644</v>
      </c>
      <c r="Q857" s="17" t="s">
        <v>137</v>
      </c>
      <c r="R857" s="17" t="s">
        <v>146</v>
      </c>
    </row>
    <row r="858" spans="1:18" x14ac:dyDescent="0.3">
      <c r="A858" s="12" t="s">
        <v>7645</v>
      </c>
      <c r="B858" s="12" t="s">
        <v>12</v>
      </c>
      <c r="C858" s="12"/>
      <c r="D858" s="12" t="s">
        <v>12</v>
      </c>
      <c r="E858" s="12" t="s">
        <v>7622</v>
      </c>
      <c r="F858" s="12"/>
      <c r="G858" s="12" t="s">
        <v>1854</v>
      </c>
      <c r="H858" s="12" t="s">
        <v>36</v>
      </c>
      <c r="I858" s="12" t="s">
        <v>26</v>
      </c>
      <c r="J858" s="13" t="s">
        <v>1323</v>
      </c>
      <c r="K858" s="14" t="s">
        <v>7646</v>
      </c>
      <c r="L858" s="15">
        <v>2</v>
      </c>
      <c r="M858" s="15" t="s">
        <v>144</v>
      </c>
      <c r="N858" s="16">
        <v>39461</v>
      </c>
      <c r="O858" s="12" t="s">
        <v>7647</v>
      </c>
      <c r="P858" s="14" t="s">
        <v>7648</v>
      </c>
      <c r="Q858" s="17" t="s">
        <v>137</v>
      </c>
      <c r="R858" s="17" t="s">
        <v>146</v>
      </c>
    </row>
    <row r="859" spans="1:18" x14ac:dyDescent="0.3">
      <c r="A859" s="12" t="s">
        <v>7649</v>
      </c>
      <c r="B859" s="12" t="s">
        <v>12</v>
      </c>
      <c r="C859" s="12"/>
      <c r="D859" s="12" t="s">
        <v>12</v>
      </c>
      <c r="E859" s="12" t="s">
        <v>7650</v>
      </c>
      <c r="F859" s="12" t="s">
        <v>389</v>
      </c>
      <c r="G859" s="12" t="s">
        <v>1863</v>
      </c>
      <c r="H859" s="12" t="s">
        <v>36</v>
      </c>
      <c r="I859" s="12" t="s">
        <v>26</v>
      </c>
      <c r="J859" s="13" t="s">
        <v>1864</v>
      </c>
      <c r="K859" s="14" t="s">
        <v>7651</v>
      </c>
      <c r="L859" s="15">
        <v>2</v>
      </c>
      <c r="M859" s="15" t="s">
        <v>144</v>
      </c>
      <c r="N859" s="16">
        <v>43298</v>
      </c>
      <c r="O859" s="12" t="s">
        <v>7652</v>
      </c>
      <c r="P859" s="14" t="s">
        <v>7653</v>
      </c>
      <c r="Q859" s="17" t="s">
        <v>137</v>
      </c>
      <c r="R859" s="17" t="s">
        <v>146</v>
      </c>
    </row>
    <row r="860" spans="1:18" x14ac:dyDescent="0.3">
      <c r="A860" s="12" t="s">
        <v>7654</v>
      </c>
      <c r="B860" s="12" t="s">
        <v>12</v>
      </c>
      <c r="C860" s="12"/>
      <c r="D860" s="12" t="s">
        <v>12</v>
      </c>
      <c r="E860" s="12" t="s">
        <v>7655</v>
      </c>
      <c r="F860" s="12"/>
      <c r="G860" s="12" t="s">
        <v>1863</v>
      </c>
      <c r="H860" s="12" t="s">
        <v>36</v>
      </c>
      <c r="I860" s="12" t="s">
        <v>26</v>
      </c>
      <c r="J860" s="13" t="s">
        <v>1864</v>
      </c>
      <c r="K860" s="14" t="s">
        <v>7656</v>
      </c>
      <c r="L860" s="15">
        <v>2</v>
      </c>
      <c r="M860" s="15" t="s">
        <v>144</v>
      </c>
      <c r="N860" s="16">
        <v>44065</v>
      </c>
      <c r="O860" s="12" t="s">
        <v>7654</v>
      </c>
      <c r="P860" s="14" t="s">
        <v>7657</v>
      </c>
      <c r="Q860" s="17" t="s">
        <v>137</v>
      </c>
      <c r="R860" s="17" t="s">
        <v>146</v>
      </c>
    </row>
    <row r="861" spans="1:18" x14ac:dyDescent="0.3">
      <c r="A861" s="12" t="s">
        <v>7658</v>
      </c>
      <c r="B861" s="12" t="s">
        <v>12</v>
      </c>
      <c r="C861" s="12"/>
      <c r="D861" s="12" t="s">
        <v>12</v>
      </c>
      <c r="E861" s="12" t="s">
        <v>7655</v>
      </c>
      <c r="F861" s="12"/>
      <c r="G861" s="12" t="s">
        <v>1863</v>
      </c>
      <c r="H861" s="12" t="s">
        <v>36</v>
      </c>
      <c r="I861" s="12" t="s">
        <v>26</v>
      </c>
      <c r="J861" s="13" t="s">
        <v>1864</v>
      </c>
      <c r="K861" s="14" t="s">
        <v>7656</v>
      </c>
      <c r="L861" s="15">
        <v>2</v>
      </c>
      <c r="M861" s="15" t="s">
        <v>144</v>
      </c>
      <c r="N861" s="16">
        <v>41635</v>
      </c>
      <c r="O861" s="12" t="s">
        <v>7658</v>
      </c>
      <c r="P861" s="14" t="s">
        <v>7659</v>
      </c>
      <c r="Q861" s="17" t="s">
        <v>137</v>
      </c>
      <c r="R861" s="17" t="s">
        <v>146</v>
      </c>
    </row>
    <row r="862" spans="1:18" x14ac:dyDescent="0.3">
      <c r="A862" s="12" t="s">
        <v>7660</v>
      </c>
      <c r="B862" s="12" t="s">
        <v>12</v>
      </c>
      <c r="C862" s="12"/>
      <c r="D862" s="12" t="s">
        <v>12</v>
      </c>
      <c r="E862" s="12" t="s">
        <v>1869</v>
      </c>
      <c r="F862" s="12" t="s">
        <v>3655</v>
      </c>
      <c r="G862" s="12" t="s">
        <v>1863</v>
      </c>
      <c r="H862" s="12" t="s">
        <v>36</v>
      </c>
      <c r="I862" s="12" t="s">
        <v>26</v>
      </c>
      <c r="J862" s="13" t="s">
        <v>1864</v>
      </c>
      <c r="K862" s="14" t="s">
        <v>7661</v>
      </c>
      <c r="L862" s="15">
        <v>1</v>
      </c>
      <c r="M862" s="15" t="s">
        <v>144</v>
      </c>
      <c r="N862" s="16">
        <v>42843</v>
      </c>
      <c r="O862" s="12" t="s">
        <v>7660</v>
      </c>
      <c r="P862" s="14" t="s">
        <v>7662</v>
      </c>
      <c r="Q862" s="17" t="s">
        <v>137</v>
      </c>
      <c r="R862" s="17" t="s">
        <v>146</v>
      </c>
    </row>
    <row r="863" spans="1:18" x14ac:dyDescent="0.3">
      <c r="A863" s="12" t="s">
        <v>7663</v>
      </c>
      <c r="B863" s="12" t="s">
        <v>12</v>
      </c>
      <c r="C863" s="12"/>
      <c r="D863" s="12" t="s">
        <v>12</v>
      </c>
      <c r="E863" s="12" t="s">
        <v>7664</v>
      </c>
      <c r="F863" s="12" t="s">
        <v>7665</v>
      </c>
      <c r="G863" s="12" t="s">
        <v>1863</v>
      </c>
      <c r="H863" s="12" t="s">
        <v>36</v>
      </c>
      <c r="I863" s="12" t="s">
        <v>26</v>
      </c>
      <c r="J863" s="13" t="s">
        <v>1864</v>
      </c>
      <c r="K863" s="14" t="s">
        <v>7666</v>
      </c>
      <c r="L863" s="15">
        <v>0</v>
      </c>
      <c r="M863" s="15" t="s">
        <v>144</v>
      </c>
      <c r="N863" s="16">
        <v>40834</v>
      </c>
      <c r="O863" s="12" t="s">
        <v>7667</v>
      </c>
      <c r="P863" s="14" t="s">
        <v>7668</v>
      </c>
      <c r="Q863" s="17" t="s">
        <v>137</v>
      </c>
      <c r="R863" s="17" t="s">
        <v>146</v>
      </c>
    </row>
    <row r="864" spans="1:18" x14ac:dyDescent="0.3">
      <c r="A864" s="12" t="s">
        <v>7669</v>
      </c>
      <c r="B864" s="12" t="s">
        <v>12</v>
      </c>
      <c r="C864" s="12"/>
      <c r="D864" s="12" t="s">
        <v>12</v>
      </c>
      <c r="E864" s="12" t="s">
        <v>7650</v>
      </c>
      <c r="F864" s="12" t="s">
        <v>389</v>
      </c>
      <c r="G864" s="12" t="s">
        <v>1863</v>
      </c>
      <c r="H864" s="12" t="s">
        <v>36</v>
      </c>
      <c r="I864" s="12" t="s">
        <v>26</v>
      </c>
      <c r="J864" s="13" t="s">
        <v>1864</v>
      </c>
      <c r="K864" s="14" t="s">
        <v>7651</v>
      </c>
      <c r="L864" s="15">
        <v>2</v>
      </c>
      <c r="M864" s="15" t="s">
        <v>144</v>
      </c>
      <c r="N864" s="16">
        <v>39622</v>
      </c>
      <c r="O864" s="12" t="s">
        <v>7669</v>
      </c>
      <c r="P864" s="14" t="s">
        <v>7670</v>
      </c>
      <c r="Q864" s="17" t="s">
        <v>137</v>
      </c>
      <c r="R864" s="17" t="s">
        <v>146</v>
      </c>
    </row>
    <row r="865" spans="1:18" x14ac:dyDescent="0.3">
      <c r="A865" s="12" t="s">
        <v>7671</v>
      </c>
      <c r="B865" s="12" t="s">
        <v>12</v>
      </c>
      <c r="C865" s="12"/>
      <c r="D865" s="12" t="s">
        <v>12</v>
      </c>
      <c r="E865" s="12" t="s">
        <v>7672</v>
      </c>
      <c r="F865" s="12" t="s">
        <v>7673</v>
      </c>
      <c r="G865" s="12" t="s">
        <v>1863</v>
      </c>
      <c r="H865" s="12" t="s">
        <v>36</v>
      </c>
      <c r="I865" s="12" t="s">
        <v>26</v>
      </c>
      <c r="J865" s="13" t="s">
        <v>1864</v>
      </c>
      <c r="K865" s="14" t="s">
        <v>7674</v>
      </c>
      <c r="L865" s="15">
        <v>0</v>
      </c>
      <c r="M865" s="15" t="s">
        <v>144</v>
      </c>
      <c r="N865" s="16">
        <v>39678</v>
      </c>
      <c r="O865" s="12" t="s">
        <v>7675</v>
      </c>
      <c r="P865" s="14" t="s">
        <v>7676</v>
      </c>
      <c r="Q865" s="17" t="s">
        <v>137</v>
      </c>
      <c r="R865" s="17" t="s">
        <v>146</v>
      </c>
    </row>
    <row r="866" spans="1:18" x14ac:dyDescent="0.3">
      <c r="A866" s="12" t="s">
        <v>7677</v>
      </c>
      <c r="B866" s="12" t="s">
        <v>12</v>
      </c>
      <c r="C866" s="12"/>
      <c r="D866" s="12" t="s">
        <v>12</v>
      </c>
      <c r="E866" s="12" t="s">
        <v>7678</v>
      </c>
      <c r="F866" s="12" t="s">
        <v>6276</v>
      </c>
      <c r="G866" s="12" t="s">
        <v>1863</v>
      </c>
      <c r="H866" s="12" t="s">
        <v>36</v>
      </c>
      <c r="I866" s="12" t="s">
        <v>26</v>
      </c>
      <c r="J866" s="13" t="s">
        <v>1864</v>
      </c>
      <c r="K866" s="14" t="s">
        <v>7674</v>
      </c>
      <c r="L866" s="15">
        <v>1</v>
      </c>
      <c r="M866" s="15" t="s">
        <v>144</v>
      </c>
      <c r="N866" s="16">
        <v>42382</v>
      </c>
      <c r="O866" s="12" t="s">
        <v>7677</v>
      </c>
      <c r="P866" s="14" t="s">
        <v>7679</v>
      </c>
      <c r="Q866" s="17" t="s">
        <v>137</v>
      </c>
      <c r="R866" s="17" t="s">
        <v>146</v>
      </c>
    </row>
    <row r="867" spans="1:18" x14ac:dyDescent="0.3">
      <c r="A867" s="12" t="s">
        <v>7680</v>
      </c>
      <c r="B867" s="12" t="s">
        <v>12</v>
      </c>
      <c r="C867" s="12"/>
      <c r="D867" s="12" t="s">
        <v>12</v>
      </c>
      <c r="E867" s="12" t="s">
        <v>7681</v>
      </c>
      <c r="F867" s="12" t="s">
        <v>7682</v>
      </c>
      <c r="G867" s="12" t="s">
        <v>1880</v>
      </c>
      <c r="H867" s="12" t="s">
        <v>36</v>
      </c>
      <c r="I867" s="12" t="s">
        <v>26</v>
      </c>
      <c r="J867" s="13" t="s">
        <v>449</v>
      </c>
      <c r="K867" s="14" t="s">
        <v>7683</v>
      </c>
      <c r="L867" s="15">
        <v>0</v>
      </c>
      <c r="M867" s="15" t="s">
        <v>144</v>
      </c>
      <c r="N867" s="16">
        <v>44065</v>
      </c>
      <c r="O867" s="12" t="s">
        <v>7680</v>
      </c>
      <c r="P867" s="14" t="s">
        <v>7684</v>
      </c>
      <c r="Q867" s="17" t="s">
        <v>137</v>
      </c>
      <c r="R867" s="17" t="s">
        <v>146</v>
      </c>
    </row>
    <row r="868" spans="1:18" x14ac:dyDescent="0.3">
      <c r="A868" s="12" t="s">
        <v>4731</v>
      </c>
      <c r="B868" s="12" t="s">
        <v>10</v>
      </c>
      <c r="C868" s="12"/>
      <c r="D868" s="12" t="s">
        <v>647</v>
      </c>
      <c r="E868" s="12" t="s">
        <v>7685</v>
      </c>
      <c r="F868" s="12"/>
      <c r="G868" s="12" t="s">
        <v>7686</v>
      </c>
      <c r="H868" s="12" t="s">
        <v>36</v>
      </c>
      <c r="I868" s="12" t="s">
        <v>26</v>
      </c>
      <c r="J868" s="13" t="s">
        <v>7687</v>
      </c>
      <c r="K868" s="14" t="s">
        <v>7688</v>
      </c>
      <c r="L868" s="15">
        <v>0</v>
      </c>
      <c r="M868" s="15" t="s">
        <v>144</v>
      </c>
      <c r="N868" s="16">
        <v>39988</v>
      </c>
      <c r="O868" s="12" t="s">
        <v>4722</v>
      </c>
      <c r="P868" s="14" t="s">
        <v>7689</v>
      </c>
      <c r="Q868" s="17" t="s">
        <v>137</v>
      </c>
      <c r="R868" s="17" t="s">
        <v>146</v>
      </c>
    </row>
    <row r="869" spans="1:18" x14ac:dyDescent="0.3">
      <c r="A869" s="12" t="s">
        <v>7690</v>
      </c>
      <c r="B869" s="12" t="s">
        <v>12</v>
      </c>
      <c r="C869" s="12"/>
      <c r="D869" s="12" t="s">
        <v>12</v>
      </c>
      <c r="E869" s="12" t="s">
        <v>7691</v>
      </c>
      <c r="F869" s="12" t="s">
        <v>7692</v>
      </c>
      <c r="G869" s="12" t="s">
        <v>7693</v>
      </c>
      <c r="H869" s="12" t="s">
        <v>36</v>
      </c>
      <c r="I869" s="12" t="s">
        <v>26</v>
      </c>
      <c r="J869" s="13" t="s">
        <v>7694</v>
      </c>
      <c r="K869" s="14" t="s">
        <v>7695</v>
      </c>
      <c r="L869" s="15">
        <v>1</v>
      </c>
      <c r="M869" s="15" t="s">
        <v>144</v>
      </c>
      <c r="N869" s="16">
        <v>41661</v>
      </c>
      <c r="O869" s="12" t="s">
        <v>7690</v>
      </c>
      <c r="P869" s="14" t="s">
        <v>7696</v>
      </c>
      <c r="Q869" s="17" t="s">
        <v>137</v>
      </c>
      <c r="R869" s="17" t="s">
        <v>146</v>
      </c>
    </row>
    <row r="870" spans="1:18" x14ac:dyDescent="0.3">
      <c r="A870" s="12" t="s">
        <v>7697</v>
      </c>
      <c r="B870" s="12" t="s">
        <v>12</v>
      </c>
      <c r="C870" s="12"/>
      <c r="D870" s="12" t="s">
        <v>12</v>
      </c>
      <c r="E870" s="12" t="s">
        <v>7698</v>
      </c>
      <c r="F870" s="12" t="s">
        <v>7699</v>
      </c>
      <c r="G870" s="12" t="s">
        <v>7693</v>
      </c>
      <c r="H870" s="12" t="s">
        <v>36</v>
      </c>
      <c r="I870" s="12" t="s">
        <v>26</v>
      </c>
      <c r="J870" s="13" t="s">
        <v>7694</v>
      </c>
      <c r="K870" s="14" t="s">
        <v>7700</v>
      </c>
      <c r="L870" s="15">
        <v>1</v>
      </c>
      <c r="M870" s="15" t="s">
        <v>144</v>
      </c>
      <c r="N870" s="16">
        <v>43859</v>
      </c>
      <c r="O870" s="12" t="s">
        <v>7701</v>
      </c>
      <c r="P870" s="14" t="s">
        <v>7702</v>
      </c>
      <c r="Q870" s="17" t="s">
        <v>137</v>
      </c>
      <c r="R870" s="17" t="s">
        <v>146</v>
      </c>
    </row>
    <row r="871" spans="1:18" x14ac:dyDescent="0.3">
      <c r="A871" s="12" t="s">
        <v>7703</v>
      </c>
      <c r="B871" s="12" t="s">
        <v>12</v>
      </c>
      <c r="C871" s="12"/>
      <c r="D871" s="12" t="s">
        <v>12</v>
      </c>
      <c r="E871" s="12" t="s">
        <v>7691</v>
      </c>
      <c r="F871" s="12" t="s">
        <v>7699</v>
      </c>
      <c r="G871" s="12" t="s">
        <v>7693</v>
      </c>
      <c r="H871" s="12" t="s">
        <v>36</v>
      </c>
      <c r="I871" s="12" t="s">
        <v>26</v>
      </c>
      <c r="J871" s="13" t="s">
        <v>7694</v>
      </c>
      <c r="K871" s="14" t="s">
        <v>7704</v>
      </c>
      <c r="L871" s="15">
        <v>1</v>
      </c>
      <c r="M871" s="15" t="s">
        <v>144</v>
      </c>
      <c r="N871" s="16">
        <v>40113</v>
      </c>
      <c r="O871" s="12" t="s">
        <v>7703</v>
      </c>
      <c r="P871" s="14" t="s">
        <v>7705</v>
      </c>
      <c r="Q871" s="17" t="s">
        <v>137</v>
      </c>
      <c r="R871" s="17" t="s">
        <v>146</v>
      </c>
    </row>
    <row r="872" spans="1:18" x14ac:dyDescent="0.3">
      <c r="A872" s="12" t="s">
        <v>7706</v>
      </c>
      <c r="B872" s="12" t="s">
        <v>12</v>
      </c>
      <c r="C872" s="12"/>
      <c r="D872" s="12" t="s">
        <v>12</v>
      </c>
      <c r="E872" s="12" t="s">
        <v>7707</v>
      </c>
      <c r="F872" s="12"/>
      <c r="G872" s="12" t="s">
        <v>1884</v>
      </c>
      <c r="H872" s="12" t="s">
        <v>36</v>
      </c>
      <c r="I872" s="12" t="s">
        <v>26</v>
      </c>
      <c r="J872" s="13" t="s">
        <v>1624</v>
      </c>
      <c r="K872" s="14" t="s">
        <v>7708</v>
      </c>
      <c r="L872" s="15">
        <v>5</v>
      </c>
      <c r="M872" s="15" t="s">
        <v>144</v>
      </c>
      <c r="N872" s="16">
        <v>41080</v>
      </c>
      <c r="O872" s="12" t="s">
        <v>7706</v>
      </c>
      <c r="P872" s="14" t="s">
        <v>7709</v>
      </c>
      <c r="Q872" s="17" t="s">
        <v>137</v>
      </c>
      <c r="R872" s="17" t="s">
        <v>146</v>
      </c>
    </row>
    <row r="873" spans="1:18" x14ac:dyDescent="0.3">
      <c r="A873" s="12" t="s">
        <v>7710</v>
      </c>
      <c r="B873" s="12" t="s">
        <v>12</v>
      </c>
      <c r="C873" s="12"/>
      <c r="D873" s="12" t="s">
        <v>12</v>
      </c>
      <c r="E873" s="12" t="s">
        <v>7711</v>
      </c>
      <c r="F873" s="12"/>
      <c r="G873" s="12" t="s">
        <v>1884</v>
      </c>
      <c r="H873" s="12" t="s">
        <v>36</v>
      </c>
      <c r="I873" s="12" t="s">
        <v>26</v>
      </c>
      <c r="J873" s="13" t="s">
        <v>1624</v>
      </c>
      <c r="K873" s="14" t="s">
        <v>7712</v>
      </c>
      <c r="L873" s="15">
        <v>1</v>
      </c>
      <c r="M873" s="15" t="s">
        <v>144</v>
      </c>
      <c r="N873" s="16">
        <v>40983</v>
      </c>
      <c r="O873" s="12" t="s">
        <v>7713</v>
      </c>
      <c r="P873" s="14" t="s">
        <v>7714</v>
      </c>
      <c r="Q873" s="17" t="s">
        <v>137</v>
      </c>
      <c r="R873" s="17" t="s">
        <v>146</v>
      </c>
    </row>
    <row r="874" spans="1:18" x14ac:dyDescent="0.3">
      <c r="A874" s="12" t="s">
        <v>6631</v>
      </c>
      <c r="B874" s="12" t="s">
        <v>12</v>
      </c>
      <c r="C874" s="12"/>
      <c r="D874" s="12" t="s">
        <v>12</v>
      </c>
      <c r="E874" s="12" t="s">
        <v>7715</v>
      </c>
      <c r="F874" s="12"/>
      <c r="G874" s="12" t="s">
        <v>1884</v>
      </c>
      <c r="H874" s="12" t="s">
        <v>36</v>
      </c>
      <c r="I874" s="12" t="s">
        <v>26</v>
      </c>
      <c r="J874" s="13" t="s">
        <v>1624</v>
      </c>
      <c r="K874" s="14" t="s">
        <v>6634</v>
      </c>
      <c r="L874" s="15">
        <v>1</v>
      </c>
      <c r="M874" s="15" t="s">
        <v>144</v>
      </c>
      <c r="N874" s="16">
        <v>44042</v>
      </c>
      <c r="O874" s="12" t="s">
        <v>6631</v>
      </c>
      <c r="P874" s="14" t="s">
        <v>6635</v>
      </c>
      <c r="Q874" s="17" t="s">
        <v>137</v>
      </c>
      <c r="R874" s="17" t="s">
        <v>146</v>
      </c>
    </row>
    <row r="875" spans="1:18" x14ac:dyDescent="0.3">
      <c r="A875" s="12" t="s">
        <v>7716</v>
      </c>
      <c r="B875" s="12" t="s">
        <v>12</v>
      </c>
      <c r="C875" s="12"/>
      <c r="D875" s="12" t="s">
        <v>12</v>
      </c>
      <c r="E875" s="12" t="s">
        <v>7717</v>
      </c>
      <c r="F875" s="12"/>
      <c r="G875" s="12" t="s">
        <v>1884</v>
      </c>
      <c r="H875" s="12" t="s">
        <v>36</v>
      </c>
      <c r="I875" s="12" t="s">
        <v>26</v>
      </c>
      <c r="J875" s="13" t="s">
        <v>1898</v>
      </c>
      <c r="K875" s="14" t="s">
        <v>6864</v>
      </c>
      <c r="L875" s="15">
        <v>0</v>
      </c>
      <c r="M875" s="15" t="s">
        <v>144</v>
      </c>
      <c r="N875" s="16">
        <v>43711</v>
      </c>
      <c r="O875" s="12" t="s">
        <v>7716</v>
      </c>
      <c r="P875" s="14" t="s">
        <v>7718</v>
      </c>
      <c r="Q875" s="17" t="s">
        <v>137</v>
      </c>
      <c r="R875" s="17" t="s">
        <v>146</v>
      </c>
    </row>
    <row r="876" spans="1:18" x14ac:dyDescent="0.3">
      <c r="A876" s="12" t="s">
        <v>7719</v>
      </c>
      <c r="B876" s="12" t="s">
        <v>12</v>
      </c>
      <c r="C876" s="12"/>
      <c r="D876" s="12" t="s">
        <v>12</v>
      </c>
      <c r="E876" s="12" t="s">
        <v>7720</v>
      </c>
      <c r="F876" s="12"/>
      <c r="G876" s="12" t="s">
        <v>1884</v>
      </c>
      <c r="H876" s="12" t="s">
        <v>36</v>
      </c>
      <c r="I876" s="12" t="s">
        <v>26</v>
      </c>
      <c r="J876" s="13" t="s">
        <v>1898</v>
      </c>
      <c r="K876" s="14" t="s">
        <v>7721</v>
      </c>
      <c r="L876" s="15">
        <v>4</v>
      </c>
      <c r="M876" s="15" t="s">
        <v>144</v>
      </c>
      <c r="N876" s="16">
        <v>41617</v>
      </c>
      <c r="O876" s="12" t="s">
        <v>7719</v>
      </c>
      <c r="P876" s="14" t="s">
        <v>7722</v>
      </c>
      <c r="Q876" s="17" t="s">
        <v>137</v>
      </c>
      <c r="R876" s="17" t="s">
        <v>146</v>
      </c>
    </row>
    <row r="877" spans="1:18" x14ac:dyDescent="0.3">
      <c r="A877" s="12" t="s">
        <v>7723</v>
      </c>
      <c r="B877" s="12" t="s">
        <v>12</v>
      </c>
      <c r="C877" s="12"/>
      <c r="D877" s="12" t="s">
        <v>12</v>
      </c>
      <c r="E877" s="12" t="s">
        <v>7724</v>
      </c>
      <c r="F877" s="12" t="s">
        <v>1708</v>
      </c>
      <c r="G877" s="12" t="s">
        <v>1884</v>
      </c>
      <c r="H877" s="12" t="s">
        <v>36</v>
      </c>
      <c r="I877" s="12" t="s">
        <v>26</v>
      </c>
      <c r="J877" s="13" t="s">
        <v>1624</v>
      </c>
      <c r="K877" s="14" t="s">
        <v>7725</v>
      </c>
      <c r="L877" s="15">
        <v>4</v>
      </c>
      <c r="M877" s="15" t="s">
        <v>144</v>
      </c>
      <c r="N877" s="16">
        <v>40591</v>
      </c>
      <c r="O877" s="12" t="s">
        <v>7723</v>
      </c>
      <c r="P877" s="14" t="s">
        <v>7726</v>
      </c>
      <c r="Q877" s="17" t="s">
        <v>137</v>
      </c>
      <c r="R877" s="17" t="s">
        <v>146</v>
      </c>
    </row>
    <row r="878" spans="1:18" x14ac:dyDescent="0.3">
      <c r="A878" s="12" t="s">
        <v>7727</v>
      </c>
      <c r="B878" s="12" t="s">
        <v>12</v>
      </c>
      <c r="C878" s="12"/>
      <c r="D878" s="12" t="s">
        <v>12</v>
      </c>
      <c r="E878" s="12" t="s">
        <v>7724</v>
      </c>
      <c r="F878" s="12" t="s">
        <v>7728</v>
      </c>
      <c r="G878" s="12" t="s">
        <v>1884</v>
      </c>
      <c r="H878" s="12" t="s">
        <v>36</v>
      </c>
      <c r="I878" s="12" t="s">
        <v>26</v>
      </c>
      <c r="J878" s="13" t="s">
        <v>1624</v>
      </c>
      <c r="K878" s="14" t="s">
        <v>7725</v>
      </c>
      <c r="L878" s="15">
        <v>4</v>
      </c>
      <c r="M878" s="15" t="s">
        <v>144</v>
      </c>
      <c r="N878" s="16">
        <v>39287</v>
      </c>
      <c r="O878" s="12" t="s">
        <v>7727</v>
      </c>
      <c r="P878" s="14" t="s">
        <v>7729</v>
      </c>
      <c r="Q878" s="17" t="s">
        <v>137</v>
      </c>
      <c r="R878" s="17" t="s">
        <v>146</v>
      </c>
    </row>
    <row r="879" spans="1:18" x14ac:dyDescent="0.3">
      <c r="A879" s="12" t="s">
        <v>7730</v>
      </c>
      <c r="B879" s="12" t="s">
        <v>12</v>
      </c>
      <c r="C879" s="12"/>
      <c r="D879" s="12" t="s">
        <v>12</v>
      </c>
      <c r="E879" s="12" t="s">
        <v>7731</v>
      </c>
      <c r="F879" s="12" t="s">
        <v>547</v>
      </c>
      <c r="G879" s="12" t="s">
        <v>1884</v>
      </c>
      <c r="H879" s="12" t="s">
        <v>36</v>
      </c>
      <c r="I879" s="12" t="s">
        <v>26</v>
      </c>
      <c r="J879" s="13" t="s">
        <v>1624</v>
      </c>
      <c r="K879" s="14" t="s">
        <v>7732</v>
      </c>
      <c r="L879" s="15">
        <v>3</v>
      </c>
      <c r="M879" s="15" t="s">
        <v>144</v>
      </c>
      <c r="N879" s="16">
        <v>44406</v>
      </c>
      <c r="O879" s="12" t="s">
        <v>7730</v>
      </c>
      <c r="P879" s="14" t="s">
        <v>7733</v>
      </c>
      <c r="Q879" s="17" t="s">
        <v>137</v>
      </c>
      <c r="R879" s="17" t="s">
        <v>146</v>
      </c>
    </row>
    <row r="880" spans="1:18" x14ac:dyDescent="0.3">
      <c r="A880" s="12" t="s">
        <v>7734</v>
      </c>
      <c r="B880" s="12" t="s">
        <v>12</v>
      </c>
      <c r="C880" s="12"/>
      <c r="D880" s="12" t="s">
        <v>12</v>
      </c>
      <c r="E880" s="12" t="s">
        <v>7735</v>
      </c>
      <c r="F880" s="12" t="s">
        <v>7736</v>
      </c>
      <c r="G880" s="12" t="s">
        <v>1884</v>
      </c>
      <c r="H880" s="12" t="s">
        <v>36</v>
      </c>
      <c r="I880" s="12" t="s">
        <v>26</v>
      </c>
      <c r="J880" s="13" t="s">
        <v>1624</v>
      </c>
      <c r="K880" s="14" t="s">
        <v>7737</v>
      </c>
      <c r="L880" s="15">
        <v>0</v>
      </c>
      <c r="M880" s="15" t="s">
        <v>144</v>
      </c>
      <c r="N880" s="16">
        <v>44065</v>
      </c>
      <c r="O880" s="12" t="s">
        <v>7734</v>
      </c>
      <c r="P880" s="14" t="s">
        <v>7738</v>
      </c>
      <c r="Q880" s="17" t="s">
        <v>137</v>
      </c>
      <c r="R880" s="17" t="s">
        <v>146</v>
      </c>
    </row>
    <row r="881" spans="1:18" x14ac:dyDescent="0.3">
      <c r="A881" s="12" t="s">
        <v>7739</v>
      </c>
      <c r="B881" s="12" t="s">
        <v>12</v>
      </c>
      <c r="C881" s="12"/>
      <c r="D881" s="12" t="s">
        <v>12</v>
      </c>
      <c r="E881" s="12" t="s">
        <v>7740</v>
      </c>
      <c r="F881" s="12" t="s">
        <v>7741</v>
      </c>
      <c r="G881" s="12" t="s">
        <v>1884</v>
      </c>
      <c r="H881" s="12" t="s">
        <v>36</v>
      </c>
      <c r="I881" s="12" t="s">
        <v>26</v>
      </c>
      <c r="J881" s="13" t="s">
        <v>1624</v>
      </c>
      <c r="K881" s="14" t="s">
        <v>7742</v>
      </c>
      <c r="L881" s="15">
        <v>1</v>
      </c>
      <c r="M881" s="15" t="s">
        <v>144</v>
      </c>
      <c r="N881" s="16">
        <v>39688</v>
      </c>
      <c r="O881" s="12" t="s">
        <v>7739</v>
      </c>
      <c r="P881" s="14" t="s">
        <v>7743</v>
      </c>
      <c r="Q881" s="17" t="s">
        <v>137</v>
      </c>
      <c r="R881" s="17" t="s">
        <v>146</v>
      </c>
    </row>
    <row r="882" spans="1:18" x14ac:dyDescent="0.3">
      <c r="A882" s="12" t="s">
        <v>7744</v>
      </c>
      <c r="B882" s="12" t="s">
        <v>14</v>
      </c>
      <c r="C882" s="12"/>
      <c r="D882" s="12" t="s">
        <v>14</v>
      </c>
      <c r="E882" s="12" t="s">
        <v>7745</v>
      </c>
      <c r="F882" s="12"/>
      <c r="G882" s="12" t="s">
        <v>1884</v>
      </c>
      <c r="H882" s="12" t="s">
        <v>36</v>
      </c>
      <c r="I882" s="12" t="s">
        <v>26</v>
      </c>
      <c r="J882" s="13" t="s">
        <v>1159</v>
      </c>
      <c r="K882" s="14" t="s">
        <v>7746</v>
      </c>
      <c r="L882" s="15">
        <v>0</v>
      </c>
      <c r="M882" s="15" t="s">
        <v>144</v>
      </c>
      <c r="N882" s="16">
        <v>43649</v>
      </c>
      <c r="O882" s="12" t="s">
        <v>7744</v>
      </c>
      <c r="P882" s="14" t="s">
        <v>7747</v>
      </c>
      <c r="Q882" s="17" t="s">
        <v>137</v>
      </c>
      <c r="R882" s="17" t="s">
        <v>146</v>
      </c>
    </row>
    <row r="883" spans="1:18" x14ac:dyDescent="0.3">
      <c r="A883" s="12" t="s">
        <v>7748</v>
      </c>
      <c r="B883" s="12" t="s">
        <v>12</v>
      </c>
      <c r="C883" s="12"/>
      <c r="D883" s="12" t="s">
        <v>12</v>
      </c>
      <c r="E883" s="12" t="s">
        <v>7735</v>
      </c>
      <c r="F883" s="12" t="s">
        <v>4565</v>
      </c>
      <c r="G883" s="12" t="s">
        <v>1884</v>
      </c>
      <c r="H883" s="12" t="s">
        <v>36</v>
      </c>
      <c r="I883" s="12" t="s">
        <v>26</v>
      </c>
      <c r="J883" s="13" t="s">
        <v>1624</v>
      </c>
      <c r="K883" s="14" t="s">
        <v>7749</v>
      </c>
      <c r="L883" s="15">
        <v>0</v>
      </c>
      <c r="M883" s="15" t="s">
        <v>144</v>
      </c>
      <c r="N883" s="16">
        <v>40410</v>
      </c>
      <c r="O883" s="12" t="s">
        <v>7748</v>
      </c>
      <c r="P883" s="14" t="s">
        <v>7750</v>
      </c>
      <c r="Q883" s="17" t="s">
        <v>137</v>
      </c>
      <c r="R883" s="17" t="s">
        <v>146</v>
      </c>
    </row>
    <row r="884" spans="1:18" x14ac:dyDescent="0.3">
      <c r="A884" s="12" t="s">
        <v>7751</v>
      </c>
      <c r="B884" s="12" t="s">
        <v>12</v>
      </c>
      <c r="C884" s="12"/>
      <c r="D884" s="12" t="s">
        <v>12</v>
      </c>
      <c r="E884" s="12" t="s">
        <v>7752</v>
      </c>
      <c r="F884" s="12" t="s">
        <v>6232</v>
      </c>
      <c r="G884" s="12" t="s">
        <v>1884</v>
      </c>
      <c r="H884" s="12" t="s">
        <v>36</v>
      </c>
      <c r="I884" s="12" t="s">
        <v>26</v>
      </c>
      <c r="J884" s="13" t="s">
        <v>1898</v>
      </c>
      <c r="K884" s="14" t="s">
        <v>7753</v>
      </c>
      <c r="L884" s="15">
        <v>1</v>
      </c>
      <c r="M884" s="15" t="s">
        <v>144</v>
      </c>
      <c r="N884" s="16">
        <v>39472</v>
      </c>
      <c r="O884" s="12" t="s">
        <v>7751</v>
      </c>
      <c r="P884" s="14" t="s">
        <v>7754</v>
      </c>
      <c r="Q884" s="17" t="s">
        <v>137</v>
      </c>
      <c r="R884" s="17" t="s">
        <v>146</v>
      </c>
    </row>
    <row r="885" spans="1:18" x14ac:dyDescent="0.3">
      <c r="A885" s="12" t="s">
        <v>7755</v>
      </c>
      <c r="B885" s="12" t="s">
        <v>14</v>
      </c>
      <c r="C885" s="12"/>
      <c r="D885" s="12" t="s">
        <v>14</v>
      </c>
      <c r="E885" s="12" t="s">
        <v>7756</v>
      </c>
      <c r="F885" s="12"/>
      <c r="G885" s="12" t="s">
        <v>1884</v>
      </c>
      <c r="H885" s="12" t="s">
        <v>36</v>
      </c>
      <c r="I885" s="12" t="s">
        <v>26</v>
      </c>
      <c r="J885" s="13" t="s">
        <v>1624</v>
      </c>
      <c r="K885" s="14" t="s">
        <v>7757</v>
      </c>
      <c r="L885" s="15">
        <v>0</v>
      </c>
      <c r="M885" s="15" t="s">
        <v>144</v>
      </c>
      <c r="N885" s="16">
        <v>44260</v>
      </c>
      <c r="O885" s="12" t="s">
        <v>7755</v>
      </c>
      <c r="P885" s="14" t="s">
        <v>7758</v>
      </c>
      <c r="Q885" s="17" t="s">
        <v>137</v>
      </c>
      <c r="R885" s="17" t="s">
        <v>146</v>
      </c>
    </row>
    <row r="886" spans="1:18" x14ac:dyDescent="0.3">
      <c r="A886" s="12" t="s">
        <v>7759</v>
      </c>
      <c r="B886" s="12" t="s">
        <v>12</v>
      </c>
      <c r="C886" s="12"/>
      <c r="D886" s="12" t="s">
        <v>12</v>
      </c>
      <c r="E886" s="12" t="s">
        <v>7735</v>
      </c>
      <c r="F886" s="12" t="s">
        <v>4565</v>
      </c>
      <c r="G886" s="12" t="s">
        <v>1884</v>
      </c>
      <c r="H886" s="12" t="s">
        <v>36</v>
      </c>
      <c r="I886" s="12" t="s">
        <v>26</v>
      </c>
      <c r="J886" s="13" t="s">
        <v>1624</v>
      </c>
      <c r="K886" s="14" t="s">
        <v>7737</v>
      </c>
      <c r="L886" s="15">
        <v>0</v>
      </c>
      <c r="M886" s="15" t="s">
        <v>144</v>
      </c>
      <c r="N886" s="16">
        <v>39466</v>
      </c>
      <c r="O886" s="12" t="s">
        <v>7759</v>
      </c>
      <c r="P886" s="14" t="s">
        <v>7760</v>
      </c>
      <c r="Q886" s="17" t="s">
        <v>137</v>
      </c>
      <c r="R886" s="17" t="s">
        <v>146</v>
      </c>
    </row>
    <row r="887" spans="1:18" x14ac:dyDescent="0.3">
      <c r="A887" s="12" t="s">
        <v>7761</v>
      </c>
      <c r="B887" s="12" t="s">
        <v>12</v>
      </c>
      <c r="C887" s="12"/>
      <c r="D887" s="12" t="s">
        <v>12</v>
      </c>
      <c r="E887" s="12" t="s">
        <v>7724</v>
      </c>
      <c r="F887" s="12" t="s">
        <v>832</v>
      </c>
      <c r="G887" s="12" t="s">
        <v>1884</v>
      </c>
      <c r="H887" s="12" t="s">
        <v>36</v>
      </c>
      <c r="I887" s="12" t="s">
        <v>26</v>
      </c>
      <c r="J887" s="13" t="s">
        <v>1624</v>
      </c>
      <c r="K887" s="14" t="s">
        <v>7762</v>
      </c>
      <c r="L887" s="15">
        <v>4</v>
      </c>
      <c r="M887" s="15" t="s">
        <v>144</v>
      </c>
      <c r="N887" s="16">
        <v>42745</v>
      </c>
      <c r="O887" s="12" t="s">
        <v>7761</v>
      </c>
      <c r="P887" s="14" t="s">
        <v>7763</v>
      </c>
      <c r="Q887" s="17" t="s">
        <v>137</v>
      </c>
      <c r="R887" s="17" t="s">
        <v>146</v>
      </c>
    </row>
    <row r="888" spans="1:18" x14ac:dyDescent="0.3">
      <c r="A888" s="12" t="s">
        <v>7764</v>
      </c>
      <c r="B888" s="12" t="s">
        <v>12</v>
      </c>
      <c r="C888" s="12" t="s">
        <v>14</v>
      </c>
      <c r="D888" s="12" t="s">
        <v>180</v>
      </c>
      <c r="E888" s="12" t="s">
        <v>7765</v>
      </c>
      <c r="F888" s="12"/>
      <c r="G888" s="12" t="s">
        <v>1884</v>
      </c>
      <c r="H888" s="12" t="s">
        <v>36</v>
      </c>
      <c r="I888" s="12" t="s">
        <v>26</v>
      </c>
      <c r="J888" s="13" t="s">
        <v>1624</v>
      </c>
      <c r="K888" s="14" t="s">
        <v>7766</v>
      </c>
      <c r="L888" s="15">
        <v>4</v>
      </c>
      <c r="M888" s="15" t="s">
        <v>144</v>
      </c>
      <c r="N888" s="16">
        <v>41862</v>
      </c>
      <c r="O888" s="12" t="s">
        <v>7764</v>
      </c>
      <c r="P888" s="14" t="s">
        <v>7767</v>
      </c>
      <c r="Q888" s="17" t="s">
        <v>137</v>
      </c>
      <c r="R888" s="17" t="s">
        <v>146</v>
      </c>
    </row>
    <row r="889" spans="1:18" x14ac:dyDescent="0.3">
      <c r="A889" s="12" t="s">
        <v>7768</v>
      </c>
      <c r="B889" s="12" t="s">
        <v>12</v>
      </c>
      <c r="C889" s="12" t="s">
        <v>14</v>
      </c>
      <c r="D889" s="12" t="s">
        <v>180</v>
      </c>
      <c r="E889" s="12" t="s">
        <v>7765</v>
      </c>
      <c r="F889" s="12"/>
      <c r="G889" s="12" t="s">
        <v>1884</v>
      </c>
      <c r="H889" s="12" t="s">
        <v>36</v>
      </c>
      <c r="I889" s="12" t="s">
        <v>26</v>
      </c>
      <c r="J889" s="13" t="s">
        <v>1624</v>
      </c>
      <c r="K889" s="14" t="s">
        <v>7769</v>
      </c>
      <c r="L889" s="15">
        <v>4</v>
      </c>
      <c r="M889" s="15" t="s">
        <v>144</v>
      </c>
      <c r="N889" s="16">
        <v>41851</v>
      </c>
      <c r="O889" s="12" t="s">
        <v>7768</v>
      </c>
      <c r="P889" s="14" t="s">
        <v>7770</v>
      </c>
      <c r="Q889" s="17" t="s">
        <v>137</v>
      </c>
      <c r="R889" s="17" t="s">
        <v>146</v>
      </c>
    </row>
    <row r="890" spans="1:18" x14ac:dyDescent="0.3">
      <c r="A890" s="12" t="s">
        <v>7771</v>
      </c>
      <c r="B890" s="12" t="s">
        <v>12</v>
      </c>
      <c r="C890" s="12"/>
      <c r="D890" s="12" t="s">
        <v>12</v>
      </c>
      <c r="E890" s="12" t="s">
        <v>7765</v>
      </c>
      <c r="F890" s="12"/>
      <c r="G890" s="12" t="s">
        <v>1884</v>
      </c>
      <c r="H890" s="12" t="s">
        <v>36</v>
      </c>
      <c r="I890" s="12" t="s">
        <v>26</v>
      </c>
      <c r="J890" s="13" t="s">
        <v>1624</v>
      </c>
      <c r="K890" s="14" t="s">
        <v>7772</v>
      </c>
      <c r="L890" s="15">
        <v>2</v>
      </c>
      <c r="M890" s="15" t="s">
        <v>144</v>
      </c>
      <c r="N890" s="16">
        <v>41757</v>
      </c>
      <c r="O890" s="12" t="s">
        <v>7771</v>
      </c>
      <c r="P890" s="14" t="s">
        <v>7773</v>
      </c>
      <c r="Q890" s="17" t="s">
        <v>137</v>
      </c>
      <c r="R890" s="17" t="s">
        <v>146</v>
      </c>
    </row>
    <row r="891" spans="1:18" x14ac:dyDescent="0.3">
      <c r="A891" s="12" t="s">
        <v>7774</v>
      </c>
      <c r="B891" s="12" t="s">
        <v>16</v>
      </c>
      <c r="C891" s="12"/>
      <c r="D891" s="12" t="s">
        <v>993</v>
      </c>
      <c r="E891" s="12" t="s">
        <v>7775</v>
      </c>
      <c r="F891" s="12" t="s">
        <v>7776</v>
      </c>
      <c r="G891" s="12" t="s">
        <v>1884</v>
      </c>
      <c r="H891" s="12" t="s">
        <v>36</v>
      </c>
      <c r="I891" s="12" t="s">
        <v>26</v>
      </c>
      <c r="J891" s="13" t="s">
        <v>1624</v>
      </c>
      <c r="K891" s="14" t="s">
        <v>7777</v>
      </c>
      <c r="L891" s="15">
        <v>0</v>
      </c>
      <c r="M891" s="15" t="s">
        <v>144</v>
      </c>
      <c r="N891" s="16">
        <v>39636</v>
      </c>
      <c r="O891" s="12" t="s">
        <v>7774</v>
      </c>
      <c r="P891" s="14" t="s">
        <v>7778</v>
      </c>
      <c r="Q891" s="17" t="s">
        <v>137</v>
      </c>
      <c r="R891" s="17" t="s">
        <v>146</v>
      </c>
    </row>
    <row r="892" spans="1:18" x14ac:dyDescent="0.3">
      <c r="A892" s="12" t="s">
        <v>7779</v>
      </c>
      <c r="B892" s="12" t="s">
        <v>10</v>
      </c>
      <c r="C892" s="12" t="s">
        <v>12</v>
      </c>
      <c r="D892" s="12" t="s">
        <v>7780</v>
      </c>
      <c r="E892" s="12" t="s">
        <v>7781</v>
      </c>
      <c r="F892" s="12"/>
      <c r="G892" s="12" t="s">
        <v>1884</v>
      </c>
      <c r="H892" s="12" t="s">
        <v>36</v>
      </c>
      <c r="I892" s="12" t="s">
        <v>26</v>
      </c>
      <c r="J892" s="13" t="s">
        <v>1624</v>
      </c>
      <c r="K892" s="14" t="s">
        <v>7782</v>
      </c>
      <c r="L892" s="15">
        <v>2</v>
      </c>
      <c r="M892" s="15" t="s">
        <v>144</v>
      </c>
      <c r="N892" s="16">
        <v>40039</v>
      </c>
      <c r="O892" s="12" t="s">
        <v>7779</v>
      </c>
      <c r="P892" s="14" t="s">
        <v>7783</v>
      </c>
      <c r="Q892" s="17" t="s">
        <v>137</v>
      </c>
      <c r="R892" s="17" t="s">
        <v>146</v>
      </c>
    </row>
    <row r="893" spans="1:18" x14ac:dyDescent="0.3">
      <c r="A893" s="12" t="s">
        <v>7784</v>
      </c>
      <c r="B893" s="12" t="s">
        <v>10</v>
      </c>
      <c r="C893" s="12"/>
      <c r="D893" s="12" t="s">
        <v>1561</v>
      </c>
      <c r="E893" s="12" t="s">
        <v>1892</v>
      </c>
      <c r="F893" s="12" t="s">
        <v>447</v>
      </c>
      <c r="G893" s="12" t="s">
        <v>1884</v>
      </c>
      <c r="H893" s="12" t="s">
        <v>36</v>
      </c>
      <c r="I893" s="12" t="s">
        <v>26</v>
      </c>
      <c r="J893" s="13" t="s">
        <v>1624</v>
      </c>
      <c r="K893" s="14" t="s">
        <v>7785</v>
      </c>
      <c r="L893" s="15">
        <v>4</v>
      </c>
      <c r="M893" s="15" t="s">
        <v>144</v>
      </c>
      <c r="N893" s="16">
        <v>44065</v>
      </c>
      <c r="O893" s="12" t="s">
        <v>7786</v>
      </c>
      <c r="P893" s="14" t="s">
        <v>7787</v>
      </c>
      <c r="Q893" s="17" t="s">
        <v>137</v>
      </c>
      <c r="R893" s="17" t="s">
        <v>146</v>
      </c>
    </row>
    <row r="894" spans="1:18" x14ac:dyDescent="0.3">
      <c r="A894" s="12" t="s">
        <v>7788</v>
      </c>
      <c r="B894" s="12" t="s">
        <v>10</v>
      </c>
      <c r="C894" s="12"/>
      <c r="D894" s="12" t="s">
        <v>647</v>
      </c>
      <c r="E894" s="12" t="s">
        <v>7789</v>
      </c>
      <c r="F894" s="12" t="s">
        <v>7790</v>
      </c>
      <c r="G894" s="12" t="s">
        <v>1884</v>
      </c>
      <c r="H894" s="12" t="s">
        <v>36</v>
      </c>
      <c r="I894" s="12" t="s">
        <v>26</v>
      </c>
      <c r="J894" s="13" t="s">
        <v>1898</v>
      </c>
      <c r="K894" s="14" t="s">
        <v>7791</v>
      </c>
      <c r="L894" s="15">
        <v>3</v>
      </c>
      <c r="M894" s="15" t="s">
        <v>220</v>
      </c>
      <c r="N894" s="16">
        <v>44065</v>
      </c>
      <c r="O894" s="12" t="s">
        <v>7788</v>
      </c>
      <c r="P894" s="14" t="s">
        <v>7792</v>
      </c>
      <c r="Q894" s="17" t="s">
        <v>137</v>
      </c>
      <c r="R894" s="17" t="s">
        <v>146</v>
      </c>
    </row>
    <row r="895" spans="1:18" x14ac:dyDescent="0.3">
      <c r="A895" s="12" t="s">
        <v>7011</v>
      </c>
      <c r="B895" s="12" t="s">
        <v>10</v>
      </c>
      <c r="C895" s="12"/>
      <c r="D895" s="12" t="s">
        <v>1561</v>
      </c>
      <c r="E895" s="12" t="s">
        <v>7793</v>
      </c>
      <c r="F895" s="12" t="s">
        <v>995</v>
      </c>
      <c r="G895" s="12" t="s">
        <v>1884</v>
      </c>
      <c r="H895" s="12" t="s">
        <v>36</v>
      </c>
      <c r="I895" s="12" t="s">
        <v>26</v>
      </c>
      <c r="J895" s="13" t="s">
        <v>1624</v>
      </c>
      <c r="K895" s="14" t="s">
        <v>7794</v>
      </c>
      <c r="L895" s="15">
        <v>1</v>
      </c>
      <c r="M895" s="15" t="s">
        <v>144</v>
      </c>
      <c r="N895" s="16">
        <v>41001</v>
      </c>
      <c r="O895" s="12" t="s">
        <v>7011</v>
      </c>
      <c r="P895" s="14" t="s">
        <v>7795</v>
      </c>
      <c r="Q895" s="17" t="s">
        <v>137</v>
      </c>
      <c r="R895" s="17" t="s">
        <v>146</v>
      </c>
    </row>
    <row r="896" spans="1:18" x14ac:dyDescent="0.3">
      <c r="A896" s="12" t="s">
        <v>7796</v>
      </c>
      <c r="B896" s="12" t="s">
        <v>12</v>
      </c>
      <c r="C896" s="12"/>
      <c r="D896" s="12" t="s">
        <v>12</v>
      </c>
      <c r="E896" s="12" t="s">
        <v>7724</v>
      </c>
      <c r="F896" s="12" t="s">
        <v>7797</v>
      </c>
      <c r="G896" s="12" t="s">
        <v>1884</v>
      </c>
      <c r="H896" s="12" t="s">
        <v>36</v>
      </c>
      <c r="I896" s="12" t="s">
        <v>26</v>
      </c>
      <c r="J896" s="13" t="s">
        <v>1624</v>
      </c>
      <c r="K896" s="14" t="s">
        <v>7725</v>
      </c>
      <c r="L896" s="15">
        <v>4</v>
      </c>
      <c r="M896" s="15" t="s">
        <v>144</v>
      </c>
      <c r="N896" s="16">
        <v>39720</v>
      </c>
      <c r="O896" s="12" t="s">
        <v>7796</v>
      </c>
      <c r="P896" s="14" t="s">
        <v>7798</v>
      </c>
      <c r="Q896" s="17" t="s">
        <v>137</v>
      </c>
      <c r="R896" s="17" t="s">
        <v>146</v>
      </c>
    </row>
    <row r="897" spans="1:18" x14ac:dyDescent="0.3">
      <c r="A897" s="12" t="s">
        <v>7799</v>
      </c>
      <c r="B897" s="12" t="s">
        <v>14</v>
      </c>
      <c r="C897" s="12"/>
      <c r="D897" s="12" t="s">
        <v>14</v>
      </c>
      <c r="E897" s="12" t="s">
        <v>7800</v>
      </c>
      <c r="F897" s="12"/>
      <c r="G897" s="12" t="s">
        <v>1884</v>
      </c>
      <c r="H897" s="12" t="s">
        <v>36</v>
      </c>
      <c r="I897" s="12" t="s">
        <v>26</v>
      </c>
      <c r="J897" s="13" t="s">
        <v>1624</v>
      </c>
      <c r="K897" s="14" t="s">
        <v>7801</v>
      </c>
      <c r="L897" s="15">
        <v>0</v>
      </c>
      <c r="M897" s="15" t="s">
        <v>144</v>
      </c>
      <c r="N897" s="16">
        <v>41087</v>
      </c>
      <c r="O897" s="12" t="s">
        <v>7799</v>
      </c>
      <c r="P897" s="14" t="s">
        <v>7802</v>
      </c>
      <c r="Q897" s="17" t="s">
        <v>137</v>
      </c>
      <c r="R897" s="17" t="s">
        <v>146</v>
      </c>
    </row>
    <row r="898" spans="1:18" x14ac:dyDescent="0.3">
      <c r="A898" s="12" t="s">
        <v>7803</v>
      </c>
      <c r="B898" s="12" t="s">
        <v>10</v>
      </c>
      <c r="C898" s="12"/>
      <c r="D898" s="12" t="s">
        <v>157</v>
      </c>
      <c r="E898" s="12" t="s">
        <v>7804</v>
      </c>
      <c r="F898" s="12"/>
      <c r="G898" s="12" t="s">
        <v>1884</v>
      </c>
      <c r="H898" s="12" t="s">
        <v>36</v>
      </c>
      <c r="I898" s="12" t="s">
        <v>26</v>
      </c>
      <c r="J898" s="13" t="s">
        <v>1624</v>
      </c>
      <c r="K898" s="14" t="s">
        <v>7805</v>
      </c>
      <c r="L898" s="15">
        <v>0</v>
      </c>
      <c r="M898" s="15" t="s">
        <v>144</v>
      </c>
      <c r="N898" s="16">
        <v>39609</v>
      </c>
      <c r="O898" s="12" t="s">
        <v>7803</v>
      </c>
      <c r="P898" s="14" t="s">
        <v>7806</v>
      </c>
      <c r="Q898" s="17" t="s">
        <v>137</v>
      </c>
      <c r="R898" s="17" t="s">
        <v>146</v>
      </c>
    </row>
    <row r="899" spans="1:18" x14ac:dyDescent="0.3">
      <c r="A899" s="12" t="s">
        <v>7807</v>
      </c>
      <c r="B899" s="12" t="s">
        <v>10</v>
      </c>
      <c r="C899" s="12"/>
      <c r="D899" s="12" t="s">
        <v>157</v>
      </c>
      <c r="E899" s="12" t="s">
        <v>1888</v>
      </c>
      <c r="F899" s="12" t="s">
        <v>7808</v>
      </c>
      <c r="G899" s="12" t="s">
        <v>1884</v>
      </c>
      <c r="H899" s="12" t="s">
        <v>36</v>
      </c>
      <c r="I899" s="12" t="s">
        <v>26</v>
      </c>
      <c r="J899" s="13" t="s">
        <v>1624</v>
      </c>
      <c r="K899" s="14" t="s">
        <v>7809</v>
      </c>
      <c r="L899" s="15">
        <v>0</v>
      </c>
      <c r="M899" s="15" t="s">
        <v>144</v>
      </c>
      <c r="N899" s="16">
        <v>41537</v>
      </c>
      <c r="O899" s="12" t="s">
        <v>7807</v>
      </c>
      <c r="P899" s="14" t="s">
        <v>7810</v>
      </c>
      <c r="Q899" s="17" t="s">
        <v>137</v>
      </c>
      <c r="R899" s="17" t="s">
        <v>146</v>
      </c>
    </row>
    <row r="900" spans="1:18" x14ac:dyDescent="0.3">
      <c r="A900" s="12" t="s">
        <v>7811</v>
      </c>
      <c r="B900" s="12" t="s">
        <v>14</v>
      </c>
      <c r="C900" s="12"/>
      <c r="D900" s="12" t="s">
        <v>14</v>
      </c>
      <c r="E900" s="12" t="s">
        <v>1888</v>
      </c>
      <c r="F900" s="12" t="s">
        <v>1925</v>
      </c>
      <c r="G900" s="12" t="s">
        <v>1884</v>
      </c>
      <c r="H900" s="12" t="s">
        <v>36</v>
      </c>
      <c r="I900" s="12" t="s">
        <v>26</v>
      </c>
      <c r="J900" s="13" t="s">
        <v>1624</v>
      </c>
      <c r="K900" s="14" t="s">
        <v>7809</v>
      </c>
      <c r="L900" s="15">
        <v>2</v>
      </c>
      <c r="M900" s="15" t="s">
        <v>144</v>
      </c>
      <c r="N900" s="16">
        <v>41200</v>
      </c>
      <c r="O900" s="12" t="s">
        <v>7812</v>
      </c>
      <c r="P900" s="14" t="s">
        <v>7813</v>
      </c>
      <c r="Q900" s="17" t="s">
        <v>137</v>
      </c>
      <c r="R900" s="17" t="s">
        <v>146</v>
      </c>
    </row>
    <row r="901" spans="1:18" x14ac:dyDescent="0.3">
      <c r="A901" s="12" t="s">
        <v>7814</v>
      </c>
      <c r="B901" s="12" t="s">
        <v>12</v>
      </c>
      <c r="C901" s="12"/>
      <c r="D901" s="12" t="s">
        <v>12</v>
      </c>
      <c r="E901" s="12" t="s">
        <v>7707</v>
      </c>
      <c r="F901" s="12"/>
      <c r="G901" s="12" t="s">
        <v>1884</v>
      </c>
      <c r="H901" s="12" t="s">
        <v>36</v>
      </c>
      <c r="I901" s="12" t="s">
        <v>26</v>
      </c>
      <c r="J901" s="13" t="s">
        <v>1624</v>
      </c>
      <c r="K901" s="14" t="s">
        <v>7815</v>
      </c>
      <c r="L901" s="15">
        <v>5</v>
      </c>
      <c r="M901" s="15" t="s">
        <v>144</v>
      </c>
      <c r="N901" s="16">
        <v>44475</v>
      </c>
      <c r="O901" s="12" t="s">
        <v>7816</v>
      </c>
      <c r="P901" s="14" t="s">
        <v>7817</v>
      </c>
      <c r="Q901" s="17" t="s">
        <v>137</v>
      </c>
      <c r="R901" s="17" t="s">
        <v>146</v>
      </c>
    </row>
    <row r="902" spans="1:18" x14ac:dyDescent="0.3">
      <c r="A902" s="12" t="s">
        <v>7818</v>
      </c>
      <c r="B902" s="12" t="s">
        <v>14</v>
      </c>
      <c r="C902" s="12"/>
      <c r="D902" s="12" t="s">
        <v>14</v>
      </c>
      <c r="E902" s="12" t="s">
        <v>7819</v>
      </c>
      <c r="F902" s="12"/>
      <c r="G902" s="12" t="s">
        <v>1884</v>
      </c>
      <c r="H902" s="12" t="s">
        <v>36</v>
      </c>
      <c r="I902" s="12" t="s">
        <v>26</v>
      </c>
      <c r="J902" s="13" t="s">
        <v>1624</v>
      </c>
      <c r="K902" s="14" t="s">
        <v>7820</v>
      </c>
      <c r="L902" s="15">
        <v>1</v>
      </c>
      <c r="M902" s="15" t="s">
        <v>144</v>
      </c>
      <c r="N902" s="16">
        <v>44216</v>
      </c>
      <c r="O902" s="12" t="s">
        <v>7818</v>
      </c>
      <c r="P902" s="14" t="s">
        <v>7821</v>
      </c>
      <c r="Q902" s="17" t="s">
        <v>137</v>
      </c>
      <c r="R902" s="17" t="s">
        <v>146</v>
      </c>
    </row>
    <row r="903" spans="1:18" x14ac:dyDescent="0.3">
      <c r="A903" s="12" t="s">
        <v>7822</v>
      </c>
      <c r="B903" s="12" t="s">
        <v>12</v>
      </c>
      <c r="C903" s="12"/>
      <c r="D903" s="12" t="s">
        <v>12</v>
      </c>
      <c r="E903" s="12" t="s">
        <v>7823</v>
      </c>
      <c r="F903" s="12"/>
      <c r="G903" s="12" t="s">
        <v>1884</v>
      </c>
      <c r="H903" s="12" t="s">
        <v>36</v>
      </c>
      <c r="I903" s="12" t="s">
        <v>26</v>
      </c>
      <c r="J903" s="13" t="s">
        <v>1898</v>
      </c>
      <c r="K903" s="14" t="s">
        <v>7824</v>
      </c>
      <c r="L903" s="15">
        <v>2</v>
      </c>
      <c r="M903" s="15" t="s">
        <v>144</v>
      </c>
      <c r="N903" s="16">
        <v>44076</v>
      </c>
      <c r="O903" s="12" t="s">
        <v>7822</v>
      </c>
      <c r="P903" s="14" t="s">
        <v>7825</v>
      </c>
      <c r="Q903" s="17" t="s">
        <v>137</v>
      </c>
      <c r="R903" s="17" t="s">
        <v>146</v>
      </c>
    </row>
    <row r="904" spans="1:18" x14ac:dyDescent="0.3">
      <c r="A904" s="12" t="s">
        <v>7826</v>
      </c>
      <c r="B904" s="12" t="s">
        <v>12</v>
      </c>
      <c r="C904" s="12"/>
      <c r="D904" s="12" t="s">
        <v>12</v>
      </c>
      <c r="E904" s="12" t="s">
        <v>7827</v>
      </c>
      <c r="F904" s="12"/>
      <c r="G904" s="12" t="s">
        <v>1884</v>
      </c>
      <c r="H904" s="12" t="s">
        <v>36</v>
      </c>
      <c r="I904" s="12" t="s">
        <v>26</v>
      </c>
      <c r="J904" s="13" t="s">
        <v>1624</v>
      </c>
      <c r="K904" s="14" t="s">
        <v>7828</v>
      </c>
      <c r="L904" s="15">
        <v>2</v>
      </c>
      <c r="M904" s="15" t="s">
        <v>144</v>
      </c>
      <c r="N904" s="16">
        <v>44065</v>
      </c>
      <c r="O904" s="12" t="s">
        <v>7826</v>
      </c>
      <c r="P904" s="14" t="s">
        <v>7829</v>
      </c>
      <c r="Q904" s="17" t="s">
        <v>137</v>
      </c>
      <c r="R904" s="17" t="s">
        <v>146</v>
      </c>
    </row>
    <row r="905" spans="1:18" x14ac:dyDescent="0.3">
      <c r="A905" s="12" t="s">
        <v>7830</v>
      </c>
      <c r="B905" s="12" t="s">
        <v>12</v>
      </c>
      <c r="C905" s="12"/>
      <c r="D905" s="12" t="s">
        <v>12</v>
      </c>
      <c r="E905" s="12" t="s">
        <v>7731</v>
      </c>
      <c r="F905" s="12"/>
      <c r="G905" s="12" t="s">
        <v>1884</v>
      </c>
      <c r="H905" s="12" t="s">
        <v>36</v>
      </c>
      <c r="I905" s="12" t="s">
        <v>26</v>
      </c>
      <c r="J905" s="13" t="s">
        <v>1624</v>
      </c>
      <c r="K905" s="14" t="s">
        <v>7831</v>
      </c>
      <c r="L905" s="15">
        <v>3</v>
      </c>
      <c r="M905" s="15" t="s">
        <v>144</v>
      </c>
      <c r="N905" s="16">
        <v>40009</v>
      </c>
      <c r="O905" s="12" t="s">
        <v>7830</v>
      </c>
      <c r="P905" s="14" t="s">
        <v>7832</v>
      </c>
      <c r="Q905" s="17" t="s">
        <v>137</v>
      </c>
      <c r="R905" s="17" t="s">
        <v>146</v>
      </c>
    </row>
    <row r="906" spans="1:18" x14ac:dyDescent="0.3">
      <c r="A906" s="12" t="s">
        <v>6251</v>
      </c>
      <c r="B906" s="12" t="s">
        <v>12</v>
      </c>
      <c r="C906" s="12"/>
      <c r="D906" s="12" t="s">
        <v>12</v>
      </c>
      <c r="E906" s="12" t="s">
        <v>7833</v>
      </c>
      <c r="F906" s="12"/>
      <c r="G906" s="12" t="s">
        <v>1884</v>
      </c>
      <c r="H906" s="12" t="s">
        <v>36</v>
      </c>
      <c r="I906" s="12" t="s">
        <v>26</v>
      </c>
      <c r="J906" s="13" t="s">
        <v>1624</v>
      </c>
      <c r="K906" s="14" t="s">
        <v>1931</v>
      </c>
      <c r="L906" s="15">
        <v>3</v>
      </c>
      <c r="M906" s="15" t="s">
        <v>144</v>
      </c>
      <c r="N906" s="16">
        <v>39280</v>
      </c>
      <c r="O906" s="12" t="s">
        <v>6251</v>
      </c>
      <c r="P906" s="14" t="s">
        <v>7834</v>
      </c>
      <c r="Q906" s="17" t="s">
        <v>137</v>
      </c>
      <c r="R906" s="17" t="s">
        <v>146</v>
      </c>
    </row>
    <row r="907" spans="1:18" x14ac:dyDescent="0.3">
      <c r="A907" s="12" t="s">
        <v>1723</v>
      </c>
      <c r="B907" s="12" t="s">
        <v>14</v>
      </c>
      <c r="C907" s="12"/>
      <c r="D907" s="12" t="s">
        <v>14</v>
      </c>
      <c r="E907" s="12" t="s">
        <v>7835</v>
      </c>
      <c r="F907" s="12"/>
      <c r="G907" s="12" t="s">
        <v>1884</v>
      </c>
      <c r="H907" s="12" t="s">
        <v>36</v>
      </c>
      <c r="I907" s="12" t="s">
        <v>26</v>
      </c>
      <c r="J907" s="13" t="s">
        <v>1624</v>
      </c>
      <c r="K907" s="14" t="s">
        <v>980</v>
      </c>
      <c r="L907" s="15">
        <v>13</v>
      </c>
      <c r="M907" s="15" t="s">
        <v>144</v>
      </c>
      <c r="N907" s="16">
        <v>43983</v>
      </c>
      <c r="O907" s="12" t="s">
        <v>1723</v>
      </c>
      <c r="P907" s="14" t="s">
        <v>7836</v>
      </c>
      <c r="Q907" s="17" t="s">
        <v>137</v>
      </c>
      <c r="R907" s="17" t="s">
        <v>146</v>
      </c>
    </row>
    <row r="908" spans="1:18" x14ac:dyDescent="0.3">
      <c r="A908" s="12" t="s">
        <v>7837</v>
      </c>
      <c r="B908" s="12" t="s">
        <v>12</v>
      </c>
      <c r="C908" s="12"/>
      <c r="D908" s="12" t="s">
        <v>12</v>
      </c>
      <c r="E908" s="12" t="s">
        <v>1888</v>
      </c>
      <c r="F908" s="12" t="s">
        <v>7838</v>
      </c>
      <c r="G908" s="12" t="s">
        <v>1884</v>
      </c>
      <c r="H908" s="12" t="s">
        <v>36</v>
      </c>
      <c r="I908" s="12" t="s">
        <v>26</v>
      </c>
      <c r="J908" s="13" t="s">
        <v>1624</v>
      </c>
      <c r="K908" s="14" t="s">
        <v>1936</v>
      </c>
      <c r="L908" s="15">
        <v>9</v>
      </c>
      <c r="M908" s="15" t="s">
        <v>144</v>
      </c>
      <c r="N908" s="16">
        <v>44160</v>
      </c>
      <c r="O908" s="12" t="s">
        <v>7837</v>
      </c>
      <c r="P908" s="14" t="s">
        <v>7839</v>
      </c>
      <c r="Q908" s="17" t="s">
        <v>137</v>
      </c>
      <c r="R908" s="17" t="s">
        <v>146</v>
      </c>
    </row>
    <row r="909" spans="1:18" x14ac:dyDescent="0.3">
      <c r="A909" s="12" t="s">
        <v>7840</v>
      </c>
      <c r="B909" s="12" t="s">
        <v>14</v>
      </c>
      <c r="C909" s="12"/>
      <c r="D909" s="12" t="s">
        <v>14</v>
      </c>
      <c r="E909" s="12" t="s">
        <v>7841</v>
      </c>
      <c r="F909" s="12" t="s">
        <v>7842</v>
      </c>
      <c r="G909" s="12" t="s">
        <v>876</v>
      </c>
      <c r="H909" s="12" t="s">
        <v>36</v>
      </c>
      <c r="I909" s="12" t="s">
        <v>26</v>
      </c>
      <c r="J909" s="13" t="s">
        <v>7843</v>
      </c>
      <c r="K909" s="14" t="s">
        <v>7844</v>
      </c>
      <c r="L909" s="15">
        <v>0</v>
      </c>
      <c r="M909" s="15" t="s">
        <v>144</v>
      </c>
      <c r="N909" s="16">
        <v>39644</v>
      </c>
      <c r="O909" s="12" t="s">
        <v>7840</v>
      </c>
      <c r="P909" s="14" t="s">
        <v>7845</v>
      </c>
      <c r="Q909" s="17" t="s">
        <v>137</v>
      </c>
      <c r="R909" s="17" t="s">
        <v>146</v>
      </c>
    </row>
    <row r="910" spans="1:18" x14ac:dyDescent="0.3">
      <c r="A910" s="12" t="s">
        <v>978</v>
      </c>
      <c r="B910" s="12" t="s">
        <v>14</v>
      </c>
      <c r="C910" s="12"/>
      <c r="D910" s="12" t="s">
        <v>14</v>
      </c>
      <c r="E910" s="12" t="s">
        <v>7835</v>
      </c>
      <c r="F910" s="12"/>
      <c r="G910" s="12" t="s">
        <v>7846</v>
      </c>
      <c r="H910" s="12" t="s">
        <v>36</v>
      </c>
      <c r="I910" s="12" t="s">
        <v>26</v>
      </c>
      <c r="J910" s="13" t="s">
        <v>1624</v>
      </c>
      <c r="K910" s="14" t="s">
        <v>980</v>
      </c>
      <c r="L910" s="15">
        <v>13</v>
      </c>
      <c r="M910" s="15" t="s">
        <v>144</v>
      </c>
      <c r="N910" s="16">
        <v>43970</v>
      </c>
      <c r="O910" s="12" t="s">
        <v>978</v>
      </c>
      <c r="P910" s="14" t="s">
        <v>7847</v>
      </c>
      <c r="Q910" s="17" t="s">
        <v>137</v>
      </c>
      <c r="R910" s="17" t="s">
        <v>146</v>
      </c>
    </row>
    <row r="911" spans="1:18" x14ac:dyDescent="0.3">
      <c r="A911" s="12" t="s">
        <v>7848</v>
      </c>
      <c r="B911" s="12" t="s">
        <v>12</v>
      </c>
      <c r="C911" s="12"/>
      <c r="D911" s="12" t="s">
        <v>12</v>
      </c>
      <c r="E911" s="12" t="s">
        <v>7849</v>
      </c>
      <c r="F911" s="12" t="s">
        <v>7850</v>
      </c>
      <c r="G911" s="12" t="s">
        <v>1946</v>
      </c>
      <c r="H911" s="12" t="s">
        <v>36</v>
      </c>
      <c r="I911" s="12" t="s">
        <v>26</v>
      </c>
      <c r="J911" s="13" t="s">
        <v>1947</v>
      </c>
      <c r="K911" s="14" t="s">
        <v>7851</v>
      </c>
      <c r="L911" s="15">
        <v>1</v>
      </c>
      <c r="M911" s="15" t="s">
        <v>144</v>
      </c>
      <c r="N911" s="16">
        <v>44065</v>
      </c>
      <c r="O911" s="12" t="s">
        <v>7848</v>
      </c>
      <c r="P911" s="14" t="s">
        <v>7852</v>
      </c>
      <c r="Q911" s="17" t="s">
        <v>137</v>
      </c>
      <c r="R911" s="17" t="s">
        <v>146</v>
      </c>
    </row>
    <row r="912" spans="1:18" x14ac:dyDescent="0.3">
      <c r="A912" s="12" t="s">
        <v>7853</v>
      </c>
      <c r="B912" s="12" t="s">
        <v>12</v>
      </c>
      <c r="C912" s="12"/>
      <c r="D912" s="12" t="s">
        <v>12</v>
      </c>
      <c r="E912" s="12" t="s">
        <v>1960</v>
      </c>
      <c r="F912" s="12" t="s">
        <v>248</v>
      </c>
      <c r="G912" s="12" t="s">
        <v>1946</v>
      </c>
      <c r="H912" s="12" t="s">
        <v>36</v>
      </c>
      <c r="I912" s="12" t="s">
        <v>26</v>
      </c>
      <c r="J912" s="13" t="s">
        <v>1947</v>
      </c>
      <c r="K912" s="14" t="s">
        <v>7854</v>
      </c>
      <c r="L912" s="15">
        <v>0</v>
      </c>
      <c r="M912" s="15" t="s">
        <v>144</v>
      </c>
      <c r="N912" s="16">
        <v>42311</v>
      </c>
      <c r="O912" s="12" t="s">
        <v>7853</v>
      </c>
      <c r="P912" s="14" t="s">
        <v>7855</v>
      </c>
      <c r="Q912" s="17" t="s">
        <v>137</v>
      </c>
      <c r="R912" s="17" t="s">
        <v>146</v>
      </c>
    </row>
    <row r="913" spans="1:18" x14ac:dyDescent="0.3">
      <c r="A913" s="12" t="s">
        <v>7856</v>
      </c>
      <c r="B913" s="12" t="s">
        <v>12</v>
      </c>
      <c r="C913" s="12"/>
      <c r="D913" s="12" t="s">
        <v>12</v>
      </c>
      <c r="E913" s="12" t="s">
        <v>7857</v>
      </c>
      <c r="F913" s="12" t="s">
        <v>7858</v>
      </c>
      <c r="G913" s="12" t="s">
        <v>1946</v>
      </c>
      <c r="H913" s="12" t="s">
        <v>36</v>
      </c>
      <c r="I913" s="12" t="s">
        <v>26</v>
      </c>
      <c r="J913" s="13" t="s">
        <v>1947</v>
      </c>
      <c r="K913" s="14" t="s">
        <v>7859</v>
      </c>
      <c r="L913" s="15">
        <v>3</v>
      </c>
      <c r="M913" s="15" t="s">
        <v>144</v>
      </c>
      <c r="N913" s="16">
        <v>42087</v>
      </c>
      <c r="O913" s="12" t="s">
        <v>7856</v>
      </c>
      <c r="P913" s="14" t="s">
        <v>7860</v>
      </c>
      <c r="Q913" s="17" t="s">
        <v>137</v>
      </c>
      <c r="R913" s="17" t="s">
        <v>146</v>
      </c>
    </row>
    <row r="914" spans="1:18" x14ac:dyDescent="0.3">
      <c r="A914" s="12" t="s">
        <v>7861</v>
      </c>
      <c r="B914" s="12" t="s">
        <v>12</v>
      </c>
      <c r="C914" s="12"/>
      <c r="D914" s="12" t="s">
        <v>12</v>
      </c>
      <c r="E914" s="12" t="s">
        <v>7862</v>
      </c>
      <c r="F914" s="12"/>
      <c r="G914" s="12" t="s">
        <v>1946</v>
      </c>
      <c r="H914" s="12" t="s">
        <v>36</v>
      </c>
      <c r="I914" s="12" t="s">
        <v>26</v>
      </c>
      <c r="J914" s="13" t="s">
        <v>1947</v>
      </c>
      <c r="K914" s="14" t="s">
        <v>7863</v>
      </c>
      <c r="L914" s="15">
        <v>1</v>
      </c>
      <c r="M914" s="15" t="s">
        <v>144</v>
      </c>
      <c r="N914" s="16">
        <v>40655</v>
      </c>
      <c r="O914" s="12" t="s">
        <v>7864</v>
      </c>
      <c r="P914" s="14" t="s">
        <v>7865</v>
      </c>
      <c r="Q914" s="17" t="s">
        <v>137</v>
      </c>
      <c r="R914" s="17" t="s">
        <v>146</v>
      </c>
    </row>
    <row r="915" spans="1:18" x14ac:dyDescent="0.3">
      <c r="A915" s="12" t="s">
        <v>7866</v>
      </c>
      <c r="B915" s="12" t="s">
        <v>12</v>
      </c>
      <c r="C915" s="12"/>
      <c r="D915" s="12" t="s">
        <v>12</v>
      </c>
      <c r="E915" s="12" t="s">
        <v>1960</v>
      </c>
      <c r="F915" s="12" t="s">
        <v>248</v>
      </c>
      <c r="G915" s="12" t="s">
        <v>1946</v>
      </c>
      <c r="H915" s="12" t="s">
        <v>36</v>
      </c>
      <c r="I915" s="12" t="s">
        <v>26</v>
      </c>
      <c r="J915" s="13" t="s">
        <v>1947</v>
      </c>
      <c r="K915" s="14" t="s">
        <v>7867</v>
      </c>
      <c r="L915" s="15">
        <v>0</v>
      </c>
      <c r="M915" s="15" t="s">
        <v>144</v>
      </c>
      <c r="N915" s="16">
        <v>41004</v>
      </c>
      <c r="O915" s="12" t="s">
        <v>7866</v>
      </c>
      <c r="P915" s="14" t="s">
        <v>7868</v>
      </c>
      <c r="Q915" s="17" t="s">
        <v>137</v>
      </c>
      <c r="R915" s="17" t="s">
        <v>146</v>
      </c>
    </row>
    <row r="916" spans="1:18" x14ac:dyDescent="0.3">
      <c r="A916" s="12" t="s">
        <v>7869</v>
      </c>
      <c r="B916" s="12" t="s">
        <v>12</v>
      </c>
      <c r="C916" s="12"/>
      <c r="D916" s="12" t="s">
        <v>12</v>
      </c>
      <c r="E916" s="12" t="s">
        <v>7857</v>
      </c>
      <c r="F916" s="12" t="s">
        <v>516</v>
      </c>
      <c r="G916" s="12" t="s">
        <v>1946</v>
      </c>
      <c r="H916" s="12" t="s">
        <v>36</v>
      </c>
      <c r="I916" s="12" t="s">
        <v>26</v>
      </c>
      <c r="J916" s="13" t="s">
        <v>1947</v>
      </c>
      <c r="K916" s="14" t="s">
        <v>7236</v>
      </c>
      <c r="L916" s="15">
        <v>3</v>
      </c>
      <c r="M916" s="15" t="s">
        <v>144</v>
      </c>
      <c r="N916" s="16">
        <v>39791</v>
      </c>
      <c r="O916" s="12" t="s">
        <v>7869</v>
      </c>
      <c r="P916" s="14" t="s">
        <v>7870</v>
      </c>
      <c r="Q916" s="17" t="s">
        <v>137</v>
      </c>
      <c r="R916" s="17" t="s">
        <v>146</v>
      </c>
    </row>
    <row r="917" spans="1:18" x14ac:dyDescent="0.3">
      <c r="A917" s="12" t="s">
        <v>7871</v>
      </c>
      <c r="B917" s="12" t="s">
        <v>12</v>
      </c>
      <c r="C917" s="12"/>
      <c r="D917" s="12" t="s">
        <v>12</v>
      </c>
      <c r="E917" s="12" t="s">
        <v>7872</v>
      </c>
      <c r="F917" s="12"/>
      <c r="G917" s="12" t="s">
        <v>1946</v>
      </c>
      <c r="H917" s="12" t="s">
        <v>36</v>
      </c>
      <c r="I917" s="12" t="s">
        <v>26</v>
      </c>
      <c r="J917" s="13" t="s">
        <v>1947</v>
      </c>
      <c r="K917" s="14" t="s">
        <v>7873</v>
      </c>
      <c r="L917" s="15">
        <v>2</v>
      </c>
      <c r="M917" s="15" t="s">
        <v>144</v>
      </c>
      <c r="N917" s="16">
        <v>40192</v>
      </c>
      <c r="O917" s="12" t="s">
        <v>7871</v>
      </c>
      <c r="P917" s="14" t="s">
        <v>7874</v>
      </c>
      <c r="Q917" s="17" t="s">
        <v>137</v>
      </c>
      <c r="R917" s="17" t="s">
        <v>146</v>
      </c>
    </row>
    <row r="918" spans="1:18" x14ac:dyDescent="0.3">
      <c r="A918" s="12" t="s">
        <v>7875</v>
      </c>
      <c r="B918" s="12" t="s">
        <v>12</v>
      </c>
      <c r="C918" s="12"/>
      <c r="D918" s="12" t="s">
        <v>12</v>
      </c>
      <c r="E918" s="12" t="s">
        <v>7876</v>
      </c>
      <c r="F918" s="12" t="s">
        <v>7877</v>
      </c>
      <c r="G918" s="12" t="s">
        <v>1946</v>
      </c>
      <c r="H918" s="12" t="s">
        <v>36</v>
      </c>
      <c r="I918" s="12" t="s">
        <v>26</v>
      </c>
      <c r="J918" s="13" t="s">
        <v>1947</v>
      </c>
      <c r="K918" s="14" t="s">
        <v>7878</v>
      </c>
      <c r="L918" s="15">
        <v>2</v>
      </c>
      <c r="M918" s="15" t="s">
        <v>144</v>
      </c>
      <c r="N918" s="16">
        <v>40618</v>
      </c>
      <c r="O918" s="12" t="s">
        <v>7875</v>
      </c>
      <c r="P918" s="14" t="s">
        <v>7879</v>
      </c>
      <c r="Q918" s="17" t="s">
        <v>137</v>
      </c>
      <c r="R918" s="17" t="s">
        <v>146</v>
      </c>
    </row>
    <row r="919" spans="1:18" x14ac:dyDescent="0.3">
      <c r="A919" s="12" t="s">
        <v>7880</v>
      </c>
      <c r="B919" s="12" t="s">
        <v>12</v>
      </c>
      <c r="C919" s="12"/>
      <c r="D919" s="12" t="s">
        <v>12</v>
      </c>
      <c r="E919" s="12" t="s">
        <v>7857</v>
      </c>
      <c r="F919" s="12" t="s">
        <v>516</v>
      </c>
      <c r="G919" s="12" t="s">
        <v>1946</v>
      </c>
      <c r="H919" s="12" t="s">
        <v>36</v>
      </c>
      <c r="I919" s="12" t="s">
        <v>26</v>
      </c>
      <c r="J919" s="13" t="s">
        <v>1947</v>
      </c>
      <c r="K919" s="14" t="s">
        <v>7236</v>
      </c>
      <c r="L919" s="15">
        <v>3</v>
      </c>
      <c r="M919" s="15" t="s">
        <v>144</v>
      </c>
      <c r="N919" s="16">
        <v>39927</v>
      </c>
      <c r="O919" s="12" t="s">
        <v>7880</v>
      </c>
      <c r="P919" s="14" t="s">
        <v>7881</v>
      </c>
      <c r="Q919" s="17" t="s">
        <v>137</v>
      </c>
      <c r="R919" s="17" t="s">
        <v>146</v>
      </c>
    </row>
    <row r="920" spans="1:18" x14ac:dyDescent="0.3">
      <c r="A920" s="12" t="s">
        <v>7882</v>
      </c>
      <c r="B920" s="12" t="s">
        <v>12</v>
      </c>
      <c r="C920" s="12"/>
      <c r="D920" s="12" t="s">
        <v>12</v>
      </c>
      <c r="E920" s="12" t="s">
        <v>7883</v>
      </c>
      <c r="F920" s="12" t="s">
        <v>188</v>
      </c>
      <c r="G920" s="12" t="s">
        <v>1946</v>
      </c>
      <c r="H920" s="12" t="s">
        <v>36</v>
      </c>
      <c r="I920" s="12" t="s">
        <v>26</v>
      </c>
      <c r="J920" s="13" t="s">
        <v>1947</v>
      </c>
      <c r="K920" s="14" t="s">
        <v>7884</v>
      </c>
      <c r="L920" s="15">
        <v>1</v>
      </c>
      <c r="M920" s="15" t="s">
        <v>144</v>
      </c>
      <c r="N920" s="16">
        <v>39777</v>
      </c>
      <c r="O920" s="12" t="s">
        <v>7882</v>
      </c>
      <c r="P920" s="14" t="s">
        <v>7885</v>
      </c>
      <c r="Q920" s="17" t="s">
        <v>137</v>
      </c>
      <c r="R920" s="17" t="s">
        <v>146</v>
      </c>
    </row>
    <row r="921" spans="1:18" x14ac:dyDescent="0.3">
      <c r="A921" s="12" t="s">
        <v>7886</v>
      </c>
      <c r="B921" s="12" t="s">
        <v>12</v>
      </c>
      <c r="C921" s="12"/>
      <c r="D921" s="12" t="s">
        <v>12</v>
      </c>
      <c r="E921" s="12" t="s">
        <v>7887</v>
      </c>
      <c r="F921" s="12" t="s">
        <v>345</v>
      </c>
      <c r="G921" s="12" t="s">
        <v>1946</v>
      </c>
      <c r="H921" s="12" t="s">
        <v>36</v>
      </c>
      <c r="I921" s="12" t="s">
        <v>26</v>
      </c>
      <c r="J921" s="13" t="s">
        <v>1947</v>
      </c>
      <c r="K921" s="14" t="s">
        <v>7888</v>
      </c>
      <c r="L921" s="15">
        <v>1</v>
      </c>
      <c r="M921" s="15" t="s">
        <v>144</v>
      </c>
      <c r="N921" s="16">
        <v>43803</v>
      </c>
      <c r="O921" s="12" t="s">
        <v>7889</v>
      </c>
      <c r="P921" s="14" t="s">
        <v>7890</v>
      </c>
      <c r="Q921" s="17" t="s">
        <v>137</v>
      </c>
      <c r="R921" s="17" t="s">
        <v>146</v>
      </c>
    </row>
    <row r="922" spans="1:18" x14ac:dyDescent="0.3">
      <c r="A922" s="12" t="s">
        <v>7891</v>
      </c>
      <c r="B922" s="12" t="s">
        <v>14</v>
      </c>
      <c r="C922" s="12"/>
      <c r="D922" s="12" t="s">
        <v>14</v>
      </c>
      <c r="E922" s="12" t="s">
        <v>7892</v>
      </c>
      <c r="F922" s="12"/>
      <c r="G922" s="12" t="s">
        <v>1946</v>
      </c>
      <c r="H922" s="12" t="s">
        <v>36</v>
      </c>
      <c r="I922" s="12" t="s">
        <v>26</v>
      </c>
      <c r="J922" s="13" t="s">
        <v>1947</v>
      </c>
      <c r="K922" s="14" t="s">
        <v>7893</v>
      </c>
      <c r="L922" s="15">
        <v>0</v>
      </c>
      <c r="M922" s="15" t="s">
        <v>144</v>
      </c>
      <c r="N922" s="16">
        <v>40673</v>
      </c>
      <c r="O922" s="12" t="s">
        <v>7891</v>
      </c>
      <c r="P922" s="14" t="s">
        <v>7894</v>
      </c>
      <c r="Q922" s="17" t="s">
        <v>137</v>
      </c>
      <c r="R922" s="17" t="s">
        <v>146</v>
      </c>
    </row>
    <row r="923" spans="1:18" x14ac:dyDescent="0.3">
      <c r="A923" s="12" t="s">
        <v>7895</v>
      </c>
      <c r="B923" s="12" t="s">
        <v>12</v>
      </c>
      <c r="C923" s="12"/>
      <c r="D923" s="12" t="s">
        <v>12</v>
      </c>
      <c r="E923" s="12" t="s">
        <v>7896</v>
      </c>
      <c r="F923" s="12" t="s">
        <v>7897</v>
      </c>
      <c r="G923" s="12" t="s">
        <v>1946</v>
      </c>
      <c r="H923" s="12" t="s">
        <v>36</v>
      </c>
      <c r="I923" s="12" t="s">
        <v>26</v>
      </c>
      <c r="J923" s="13" t="s">
        <v>1947</v>
      </c>
      <c r="K923" s="14" t="s">
        <v>7898</v>
      </c>
      <c r="L923" s="15">
        <v>7</v>
      </c>
      <c r="M923" s="15" t="s">
        <v>144</v>
      </c>
      <c r="N923" s="16">
        <v>39532</v>
      </c>
      <c r="O923" s="12" t="s">
        <v>7895</v>
      </c>
      <c r="P923" s="14" t="s">
        <v>7899</v>
      </c>
      <c r="Q923" s="17" t="s">
        <v>137</v>
      </c>
      <c r="R923" s="17" t="s">
        <v>146</v>
      </c>
    </row>
    <row r="924" spans="1:18" x14ac:dyDescent="0.3">
      <c r="A924" s="12" t="s">
        <v>7900</v>
      </c>
      <c r="B924" s="12" t="s">
        <v>12</v>
      </c>
      <c r="C924" s="12" t="s">
        <v>14</v>
      </c>
      <c r="D924" s="12" t="s">
        <v>180</v>
      </c>
      <c r="E924" s="12" t="s">
        <v>7857</v>
      </c>
      <c r="F924" s="12" t="s">
        <v>516</v>
      </c>
      <c r="G924" s="12" t="s">
        <v>1946</v>
      </c>
      <c r="H924" s="12" t="s">
        <v>36</v>
      </c>
      <c r="I924" s="12" t="s">
        <v>26</v>
      </c>
      <c r="J924" s="13" t="s">
        <v>1947</v>
      </c>
      <c r="K924" s="14" t="s">
        <v>7236</v>
      </c>
      <c r="L924" s="15">
        <v>4</v>
      </c>
      <c r="M924" s="15" t="s">
        <v>144</v>
      </c>
      <c r="N924" s="16">
        <v>40150</v>
      </c>
      <c r="O924" s="12" t="s">
        <v>7901</v>
      </c>
      <c r="P924" s="14" t="s">
        <v>7902</v>
      </c>
      <c r="Q924" s="17" t="s">
        <v>137</v>
      </c>
      <c r="R924" s="17" t="s">
        <v>146</v>
      </c>
    </row>
    <row r="925" spans="1:18" x14ac:dyDescent="0.3">
      <c r="A925" s="12" t="s">
        <v>7903</v>
      </c>
      <c r="B925" s="12" t="s">
        <v>12</v>
      </c>
      <c r="C925" s="12"/>
      <c r="D925" s="12" t="s">
        <v>12</v>
      </c>
      <c r="E925" s="12" t="s">
        <v>7876</v>
      </c>
      <c r="F925" s="12" t="s">
        <v>7121</v>
      </c>
      <c r="G925" s="12" t="s">
        <v>1946</v>
      </c>
      <c r="H925" s="12" t="s">
        <v>36</v>
      </c>
      <c r="I925" s="12" t="s">
        <v>26</v>
      </c>
      <c r="J925" s="13" t="s">
        <v>1947</v>
      </c>
      <c r="K925" s="14" t="s">
        <v>7904</v>
      </c>
      <c r="L925" s="15">
        <v>2</v>
      </c>
      <c r="M925" s="15" t="s">
        <v>144</v>
      </c>
      <c r="N925" s="16">
        <v>42424</v>
      </c>
      <c r="O925" s="12" t="s">
        <v>7905</v>
      </c>
      <c r="P925" s="14" t="s">
        <v>7906</v>
      </c>
      <c r="Q925" s="17" t="s">
        <v>137</v>
      </c>
      <c r="R925" s="17" t="s">
        <v>146</v>
      </c>
    </row>
    <row r="926" spans="1:18" x14ac:dyDescent="0.3">
      <c r="A926" s="12" t="s">
        <v>7907</v>
      </c>
      <c r="B926" s="12" t="s">
        <v>12</v>
      </c>
      <c r="C926" s="12"/>
      <c r="D926" s="12" t="s">
        <v>12</v>
      </c>
      <c r="E926" s="12" t="s">
        <v>7908</v>
      </c>
      <c r="F926" s="12" t="s">
        <v>7909</v>
      </c>
      <c r="G926" s="12" t="s">
        <v>1946</v>
      </c>
      <c r="H926" s="12" t="s">
        <v>36</v>
      </c>
      <c r="I926" s="12" t="s">
        <v>26</v>
      </c>
      <c r="J926" s="13" t="s">
        <v>1947</v>
      </c>
      <c r="K926" s="14" t="s">
        <v>7737</v>
      </c>
      <c r="L926" s="15">
        <v>0</v>
      </c>
      <c r="M926" s="15" t="s">
        <v>144</v>
      </c>
      <c r="N926" s="16">
        <v>44454</v>
      </c>
      <c r="O926" s="12" t="s">
        <v>7907</v>
      </c>
      <c r="P926" s="14" t="s">
        <v>7910</v>
      </c>
      <c r="Q926" s="17" t="s">
        <v>137</v>
      </c>
      <c r="R926" s="17" t="s">
        <v>146</v>
      </c>
    </row>
    <row r="927" spans="1:18" x14ac:dyDescent="0.3">
      <c r="A927" s="12" t="s">
        <v>7911</v>
      </c>
      <c r="B927" s="12" t="s">
        <v>12</v>
      </c>
      <c r="C927" s="12"/>
      <c r="D927" s="12" t="s">
        <v>12</v>
      </c>
      <c r="E927" s="12" t="s">
        <v>1955</v>
      </c>
      <c r="F927" s="12" t="s">
        <v>583</v>
      </c>
      <c r="G927" s="12" t="s">
        <v>1946</v>
      </c>
      <c r="H927" s="12" t="s">
        <v>36</v>
      </c>
      <c r="I927" s="12" t="s">
        <v>26</v>
      </c>
      <c r="J927" s="13" t="s">
        <v>1947</v>
      </c>
      <c r="K927" s="14" t="s">
        <v>7912</v>
      </c>
      <c r="L927" s="15">
        <v>3</v>
      </c>
      <c r="M927" s="15" t="s">
        <v>144</v>
      </c>
      <c r="N927" s="16">
        <v>42374</v>
      </c>
      <c r="O927" s="12" t="s">
        <v>7911</v>
      </c>
      <c r="P927" s="14" t="s">
        <v>7913</v>
      </c>
      <c r="Q927" s="17" t="s">
        <v>137</v>
      </c>
      <c r="R927" s="17" t="s">
        <v>146</v>
      </c>
    </row>
    <row r="928" spans="1:18" x14ac:dyDescent="0.3">
      <c r="A928" s="12" t="s">
        <v>7914</v>
      </c>
      <c r="B928" s="12" t="s">
        <v>12</v>
      </c>
      <c r="C928" s="12"/>
      <c r="D928" s="12" t="s">
        <v>12</v>
      </c>
      <c r="E928" s="12" t="s">
        <v>7915</v>
      </c>
      <c r="F928" s="12" t="s">
        <v>188</v>
      </c>
      <c r="G928" s="12" t="s">
        <v>1946</v>
      </c>
      <c r="H928" s="12" t="s">
        <v>36</v>
      </c>
      <c r="I928" s="12" t="s">
        <v>26</v>
      </c>
      <c r="J928" s="13" t="s">
        <v>1947</v>
      </c>
      <c r="K928" s="14" t="s">
        <v>7916</v>
      </c>
      <c r="L928" s="15">
        <v>0</v>
      </c>
      <c r="M928" s="15" t="s">
        <v>144</v>
      </c>
      <c r="N928" s="16">
        <v>42012</v>
      </c>
      <c r="O928" s="12" t="s">
        <v>7914</v>
      </c>
      <c r="P928" s="14" t="s">
        <v>7917</v>
      </c>
      <c r="Q928" s="17" t="s">
        <v>137</v>
      </c>
      <c r="R928" s="17" t="s">
        <v>146</v>
      </c>
    </row>
    <row r="929" spans="1:18" x14ac:dyDescent="0.3">
      <c r="A929" s="12" t="s">
        <v>7918</v>
      </c>
      <c r="B929" s="12" t="s">
        <v>12</v>
      </c>
      <c r="C929" s="12"/>
      <c r="D929" s="12" t="s">
        <v>12</v>
      </c>
      <c r="E929" s="12" t="s">
        <v>1955</v>
      </c>
      <c r="F929" s="12" t="s">
        <v>188</v>
      </c>
      <c r="G929" s="12" t="s">
        <v>1946</v>
      </c>
      <c r="H929" s="12" t="s">
        <v>36</v>
      </c>
      <c r="I929" s="12" t="s">
        <v>26</v>
      </c>
      <c r="J929" s="13" t="s">
        <v>1947</v>
      </c>
      <c r="K929" s="14" t="s">
        <v>7919</v>
      </c>
      <c r="L929" s="15">
        <v>3</v>
      </c>
      <c r="M929" s="15" t="s">
        <v>144</v>
      </c>
      <c r="N929" s="16">
        <v>39576</v>
      </c>
      <c r="O929" s="12" t="s">
        <v>7918</v>
      </c>
      <c r="P929" s="14" t="s">
        <v>7920</v>
      </c>
      <c r="Q929" s="17" t="s">
        <v>137</v>
      </c>
      <c r="R929" s="17" t="s">
        <v>146</v>
      </c>
    </row>
    <row r="930" spans="1:18" x14ac:dyDescent="0.3">
      <c r="A930" s="12" t="s">
        <v>7921</v>
      </c>
      <c r="B930" s="12" t="s">
        <v>12</v>
      </c>
      <c r="C930" s="12"/>
      <c r="D930" s="12" t="s">
        <v>12</v>
      </c>
      <c r="E930" s="12" t="s">
        <v>7922</v>
      </c>
      <c r="F930" s="12" t="s">
        <v>432</v>
      </c>
      <c r="G930" s="12" t="s">
        <v>1946</v>
      </c>
      <c r="H930" s="12" t="s">
        <v>36</v>
      </c>
      <c r="I930" s="12" t="s">
        <v>26</v>
      </c>
      <c r="J930" s="13" t="s">
        <v>1947</v>
      </c>
      <c r="K930" s="14" t="s">
        <v>7923</v>
      </c>
      <c r="L930" s="15">
        <v>2</v>
      </c>
      <c r="M930" s="15" t="s">
        <v>144</v>
      </c>
      <c r="N930" s="16">
        <v>42327</v>
      </c>
      <c r="O930" s="12" t="s">
        <v>7921</v>
      </c>
      <c r="P930" s="14" t="s">
        <v>7924</v>
      </c>
      <c r="Q930" s="17" t="s">
        <v>137</v>
      </c>
      <c r="R930" s="17" t="s">
        <v>146</v>
      </c>
    </row>
    <row r="931" spans="1:18" x14ac:dyDescent="0.3">
      <c r="A931" s="12" t="s">
        <v>7925</v>
      </c>
      <c r="B931" s="12" t="s">
        <v>12</v>
      </c>
      <c r="C931" s="12"/>
      <c r="D931" s="12" t="s">
        <v>12</v>
      </c>
      <c r="E931" s="12" t="s">
        <v>7926</v>
      </c>
      <c r="F931" s="12"/>
      <c r="G931" s="12" t="s">
        <v>7927</v>
      </c>
      <c r="H931" s="12" t="s">
        <v>66</v>
      </c>
      <c r="I931" s="12" t="s">
        <v>26</v>
      </c>
      <c r="J931" s="13" t="s">
        <v>7928</v>
      </c>
      <c r="K931" s="14" t="s">
        <v>7929</v>
      </c>
      <c r="L931" s="15">
        <v>0</v>
      </c>
      <c r="M931" s="15" t="s">
        <v>144</v>
      </c>
      <c r="N931" s="16">
        <v>39819</v>
      </c>
      <c r="O931" s="12" t="s">
        <v>7925</v>
      </c>
      <c r="P931" s="14" t="s">
        <v>7930</v>
      </c>
      <c r="Q931" s="17" t="s">
        <v>137</v>
      </c>
      <c r="R931" s="17" t="s">
        <v>146</v>
      </c>
    </row>
    <row r="932" spans="1:18" x14ac:dyDescent="0.3">
      <c r="A932" s="12" t="s">
        <v>7931</v>
      </c>
      <c r="B932" s="12" t="s">
        <v>12</v>
      </c>
      <c r="C932" s="12"/>
      <c r="D932" s="12" t="s">
        <v>12</v>
      </c>
      <c r="E932" s="12" t="s">
        <v>7932</v>
      </c>
      <c r="F932" s="12"/>
      <c r="G932" s="12" t="s">
        <v>1974</v>
      </c>
      <c r="H932" s="12" t="s">
        <v>66</v>
      </c>
      <c r="I932" s="12" t="s">
        <v>26</v>
      </c>
      <c r="J932" s="13" t="s">
        <v>1975</v>
      </c>
      <c r="K932" s="14" t="s">
        <v>7933</v>
      </c>
      <c r="L932" s="15">
        <v>0</v>
      </c>
      <c r="M932" s="15" t="s">
        <v>144</v>
      </c>
      <c r="N932" s="16">
        <v>44065</v>
      </c>
      <c r="O932" s="12" t="s">
        <v>7931</v>
      </c>
      <c r="P932" s="14" t="s">
        <v>7934</v>
      </c>
      <c r="Q932" s="17" t="s">
        <v>137</v>
      </c>
      <c r="R932" s="17" t="s">
        <v>146</v>
      </c>
    </row>
    <row r="933" spans="1:18" x14ac:dyDescent="0.3">
      <c r="A933" s="12" t="s">
        <v>7935</v>
      </c>
      <c r="B933" s="12" t="s">
        <v>12</v>
      </c>
      <c r="C933" s="12"/>
      <c r="D933" s="12" t="s">
        <v>12</v>
      </c>
      <c r="E933" s="12" t="s">
        <v>7936</v>
      </c>
      <c r="F933" s="12"/>
      <c r="G933" s="12" t="s">
        <v>1974</v>
      </c>
      <c r="H933" s="12" t="s">
        <v>66</v>
      </c>
      <c r="I933" s="12" t="s">
        <v>26</v>
      </c>
      <c r="J933" s="13" t="s">
        <v>1975</v>
      </c>
      <c r="K933" s="14" t="s">
        <v>7937</v>
      </c>
      <c r="L933" s="15">
        <v>2</v>
      </c>
      <c r="M933" s="15" t="s">
        <v>144</v>
      </c>
      <c r="N933" s="16">
        <v>39374</v>
      </c>
      <c r="O933" s="12" t="s">
        <v>7938</v>
      </c>
      <c r="P933" s="14" t="s">
        <v>7939</v>
      </c>
      <c r="Q933" s="17" t="s">
        <v>137</v>
      </c>
      <c r="R933" s="17" t="s">
        <v>146</v>
      </c>
    </row>
    <row r="934" spans="1:18" x14ac:dyDescent="0.3">
      <c r="A934" s="12" t="s">
        <v>7940</v>
      </c>
      <c r="B934" s="12" t="s">
        <v>12</v>
      </c>
      <c r="C934" s="12"/>
      <c r="D934" s="12" t="s">
        <v>12</v>
      </c>
      <c r="E934" s="12" t="s">
        <v>7941</v>
      </c>
      <c r="F934" s="12"/>
      <c r="G934" s="12" t="s">
        <v>1974</v>
      </c>
      <c r="H934" s="12" t="s">
        <v>66</v>
      </c>
      <c r="I934" s="12" t="s">
        <v>26</v>
      </c>
      <c r="J934" s="13" t="s">
        <v>1975</v>
      </c>
      <c r="K934" s="14" t="s">
        <v>7942</v>
      </c>
      <c r="L934" s="15">
        <v>1</v>
      </c>
      <c r="M934" s="15" t="s">
        <v>144</v>
      </c>
      <c r="N934" s="16">
        <v>40449</v>
      </c>
      <c r="O934" s="12" t="s">
        <v>7940</v>
      </c>
      <c r="P934" s="14" t="s">
        <v>7943</v>
      </c>
      <c r="Q934" s="17" t="s">
        <v>137</v>
      </c>
      <c r="R934" s="17" t="s">
        <v>146</v>
      </c>
    </row>
    <row r="935" spans="1:18" x14ac:dyDescent="0.3">
      <c r="A935" s="12" t="s">
        <v>7944</v>
      </c>
      <c r="B935" s="12" t="s">
        <v>12</v>
      </c>
      <c r="C935" s="12"/>
      <c r="D935" s="12" t="s">
        <v>12</v>
      </c>
      <c r="E935" s="12" t="s">
        <v>7945</v>
      </c>
      <c r="F935" s="12"/>
      <c r="G935" s="12" t="s">
        <v>1974</v>
      </c>
      <c r="H935" s="12" t="s">
        <v>66</v>
      </c>
      <c r="I935" s="12" t="s">
        <v>26</v>
      </c>
      <c r="J935" s="13" t="s">
        <v>1975</v>
      </c>
      <c r="K935" s="14" t="s">
        <v>7946</v>
      </c>
      <c r="L935" s="15">
        <v>0</v>
      </c>
      <c r="M935" s="15" t="s">
        <v>144</v>
      </c>
      <c r="N935" s="16">
        <v>43229</v>
      </c>
      <c r="O935" s="12" t="s">
        <v>7944</v>
      </c>
      <c r="P935" s="14" t="s">
        <v>7947</v>
      </c>
      <c r="Q935" s="17" t="s">
        <v>137</v>
      </c>
      <c r="R935" s="17" t="s">
        <v>146</v>
      </c>
    </row>
    <row r="936" spans="1:18" x14ac:dyDescent="0.3">
      <c r="A936" s="12" t="s">
        <v>7948</v>
      </c>
      <c r="B936" s="12" t="s">
        <v>12</v>
      </c>
      <c r="C936" s="12"/>
      <c r="D936" s="12" t="s">
        <v>12</v>
      </c>
      <c r="E936" s="12" t="s">
        <v>7949</v>
      </c>
      <c r="F936" s="12"/>
      <c r="G936" s="12" t="s">
        <v>66</v>
      </c>
      <c r="H936" s="12" t="s">
        <v>66</v>
      </c>
      <c r="I936" s="12" t="s">
        <v>26</v>
      </c>
      <c r="J936" s="13" t="s">
        <v>1989</v>
      </c>
      <c r="K936" s="14" t="s">
        <v>7950</v>
      </c>
      <c r="L936" s="15">
        <v>1</v>
      </c>
      <c r="M936" s="15" t="s">
        <v>144</v>
      </c>
      <c r="N936" s="16">
        <v>44065</v>
      </c>
      <c r="O936" s="12" t="s">
        <v>7948</v>
      </c>
      <c r="P936" s="14" t="s">
        <v>7951</v>
      </c>
      <c r="Q936" s="17" t="s">
        <v>137</v>
      </c>
      <c r="R936" s="17" t="s">
        <v>146</v>
      </c>
    </row>
    <row r="937" spans="1:18" x14ac:dyDescent="0.3">
      <c r="A937" s="12" t="s">
        <v>7952</v>
      </c>
      <c r="B937" s="12" t="s">
        <v>12</v>
      </c>
      <c r="C937" s="12"/>
      <c r="D937" s="12" t="s">
        <v>12</v>
      </c>
      <c r="E937" s="12" t="s">
        <v>7953</v>
      </c>
      <c r="F937" s="12"/>
      <c r="G937" s="12" t="s">
        <v>66</v>
      </c>
      <c r="H937" s="12" t="s">
        <v>66</v>
      </c>
      <c r="I937" s="12" t="s">
        <v>26</v>
      </c>
      <c r="J937" s="13" t="s">
        <v>1989</v>
      </c>
      <c r="K937" s="14" t="s">
        <v>7954</v>
      </c>
      <c r="L937" s="15">
        <v>1</v>
      </c>
      <c r="M937" s="15" t="s">
        <v>144</v>
      </c>
      <c r="N937" s="16">
        <v>44065</v>
      </c>
      <c r="O937" s="12" t="s">
        <v>7952</v>
      </c>
      <c r="P937" s="14" t="s">
        <v>7955</v>
      </c>
      <c r="Q937" s="17" t="s">
        <v>137</v>
      </c>
      <c r="R937" s="17" t="s">
        <v>146</v>
      </c>
    </row>
    <row r="938" spans="1:18" x14ac:dyDescent="0.3">
      <c r="A938" s="12" t="s">
        <v>7944</v>
      </c>
      <c r="B938" s="12" t="s">
        <v>12</v>
      </c>
      <c r="C938" s="12"/>
      <c r="D938" s="12" t="s">
        <v>12</v>
      </c>
      <c r="E938" s="12" t="s">
        <v>1987</v>
      </c>
      <c r="F938" s="12" t="s">
        <v>1542</v>
      </c>
      <c r="G938" s="12" t="s">
        <v>66</v>
      </c>
      <c r="H938" s="12" t="s">
        <v>66</v>
      </c>
      <c r="I938" s="12" t="s">
        <v>26</v>
      </c>
      <c r="J938" s="13" t="s">
        <v>1989</v>
      </c>
      <c r="K938" s="14" t="s">
        <v>7946</v>
      </c>
      <c r="L938" s="15">
        <v>2</v>
      </c>
      <c r="M938" s="15" t="s">
        <v>144</v>
      </c>
      <c r="N938" s="16">
        <v>43229</v>
      </c>
      <c r="O938" s="12" t="s">
        <v>7944</v>
      </c>
      <c r="P938" s="14" t="s">
        <v>7947</v>
      </c>
      <c r="Q938" s="17" t="s">
        <v>137</v>
      </c>
      <c r="R938" s="17" t="s">
        <v>146</v>
      </c>
    </row>
    <row r="939" spans="1:18" x14ac:dyDescent="0.3">
      <c r="A939" s="12" t="s">
        <v>7956</v>
      </c>
      <c r="B939" s="12" t="s">
        <v>12</v>
      </c>
      <c r="C939" s="12"/>
      <c r="D939" s="12" t="s">
        <v>12</v>
      </c>
      <c r="E939" s="12" t="s">
        <v>7957</v>
      </c>
      <c r="F939" s="12"/>
      <c r="G939" s="12" t="s">
        <v>1994</v>
      </c>
      <c r="H939" s="12" t="s">
        <v>37</v>
      </c>
      <c r="I939" s="12" t="s">
        <v>26</v>
      </c>
      <c r="J939" s="13" t="s">
        <v>1995</v>
      </c>
      <c r="K939" s="14" t="s">
        <v>7958</v>
      </c>
      <c r="L939" s="15">
        <v>2</v>
      </c>
      <c r="M939" s="15" t="s">
        <v>144</v>
      </c>
      <c r="N939" s="16">
        <v>44063</v>
      </c>
      <c r="O939" s="12" t="s">
        <v>7956</v>
      </c>
      <c r="P939" s="14" t="s">
        <v>7959</v>
      </c>
      <c r="Q939" s="17" t="s">
        <v>137</v>
      </c>
      <c r="R939" s="17" t="s">
        <v>146</v>
      </c>
    </row>
    <row r="940" spans="1:18" x14ac:dyDescent="0.3">
      <c r="A940" s="12" t="s">
        <v>7960</v>
      </c>
      <c r="B940" s="12" t="s">
        <v>14</v>
      </c>
      <c r="C940" s="12"/>
      <c r="D940" s="12" t="s">
        <v>14</v>
      </c>
      <c r="E940" s="12" t="s">
        <v>7961</v>
      </c>
      <c r="F940" s="12"/>
      <c r="G940" s="12" t="s">
        <v>7962</v>
      </c>
      <c r="H940" s="12" t="s">
        <v>37</v>
      </c>
      <c r="I940" s="12" t="s">
        <v>26</v>
      </c>
      <c r="J940" s="13" t="s">
        <v>2070</v>
      </c>
      <c r="K940" s="14" t="s">
        <v>7963</v>
      </c>
      <c r="L940" s="15">
        <v>1</v>
      </c>
      <c r="M940" s="15" t="s">
        <v>144</v>
      </c>
      <c r="N940" s="16">
        <v>44208</v>
      </c>
      <c r="O940" s="12" t="s">
        <v>7960</v>
      </c>
      <c r="P940" s="14" t="s">
        <v>7964</v>
      </c>
      <c r="Q940" s="17" t="s">
        <v>137</v>
      </c>
      <c r="R940" s="17" t="s">
        <v>146</v>
      </c>
    </row>
    <row r="941" spans="1:18" x14ac:dyDescent="0.3">
      <c r="A941" s="12" t="s">
        <v>7965</v>
      </c>
      <c r="B941" s="12" t="s">
        <v>12</v>
      </c>
      <c r="C941" s="12"/>
      <c r="D941" s="12" t="s">
        <v>12</v>
      </c>
      <c r="E941" s="12" t="s">
        <v>7966</v>
      </c>
      <c r="F941" s="12"/>
      <c r="G941" s="12" t="s">
        <v>7967</v>
      </c>
      <c r="H941" s="12" t="s">
        <v>37</v>
      </c>
      <c r="I941" s="12" t="s">
        <v>26</v>
      </c>
      <c r="J941" s="13" t="s">
        <v>2070</v>
      </c>
      <c r="K941" s="14" t="s">
        <v>7968</v>
      </c>
      <c r="L941" s="15">
        <v>2</v>
      </c>
      <c r="M941" s="15" t="s">
        <v>144</v>
      </c>
      <c r="N941" s="16">
        <v>42797</v>
      </c>
      <c r="O941" s="12" t="s">
        <v>7969</v>
      </c>
      <c r="P941" s="14" t="s">
        <v>7970</v>
      </c>
      <c r="Q941" s="17" t="s">
        <v>137</v>
      </c>
      <c r="R941" s="17" t="s">
        <v>146</v>
      </c>
    </row>
    <row r="942" spans="1:18" x14ac:dyDescent="0.3">
      <c r="A942" s="12" t="s">
        <v>7971</v>
      </c>
      <c r="B942" s="12" t="s">
        <v>10</v>
      </c>
      <c r="C942" s="12"/>
      <c r="D942" s="12" t="s">
        <v>252</v>
      </c>
      <c r="E942" s="12" t="s">
        <v>7972</v>
      </c>
      <c r="F942" s="12" t="s">
        <v>7973</v>
      </c>
      <c r="G942" s="12" t="s">
        <v>7974</v>
      </c>
      <c r="H942" s="12" t="s">
        <v>37</v>
      </c>
      <c r="I942" s="12" t="s">
        <v>26</v>
      </c>
      <c r="J942" s="13" t="s">
        <v>2070</v>
      </c>
      <c r="K942" s="14" t="s">
        <v>7975</v>
      </c>
      <c r="L942" s="15">
        <v>0</v>
      </c>
      <c r="M942" s="15" t="s">
        <v>144</v>
      </c>
      <c r="N942" s="16">
        <v>43216</v>
      </c>
      <c r="O942" s="12" t="s">
        <v>7971</v>
      </c>
      <c r="P942" s="14" t="s">
        <v>7976</v>
      </c>
      <c r="Q942" s="17" t="s">
        <v>137</v>
      </c>
      <c r="R942" s="17" t="s">
        <v>146</v>
      </c>
    </row>
    <row r="943" spans="1:18" x14ac:dyDescent="0.3">
      <c r="A943" s="12" t="s">
        <v>7977</v>
      </c>
      <c r="B943" s="12" t="s">
        <v>12</v>
      </c>
      <c r="C943" s="12"/>
      <c r="D943" s="12" t="s">
        <v>12</v>
      </c>
      <c r="E943" s="12" t="s">
        <v>7978</v>
      </c>
      <c r="F943" s="12" t="s">
        <v>520</v>
      </c>
      <c r="G943" s="12" t="s">
        <v>7974</v>
      </c>
      <c r="H943" s="12" t="s">
        <v>37</v>
      </c>
      <c r="I943" s="12" t="s">
        <v>26</v>
      </c>
      <c r="J943" s="13" t="s">
        <v>2123</v>
      </c>
      <c r="K943" s="14" t="s">
        <v>7979</v>
      </c>
      <c r="L943" s="15">
        <v>1</v>
      </c>
      <c r="M943" s="15" t="s">
        <v>144</v>
      </c>
      <c r="N943" s="16">
        <v>43623</v>
      </c>
      <c r="O943" s="12" t="s">
        <v>7977</v>
      </c>
      <c r="P943" s="14" t="s">
        <v>7980</v>
      </c>
      <c r="Q943" s="17" t="s">
        <v>137</v>
      </c>
      <c r="R943" s="17" t="s">
        <v>146</v>
      </c>
    </row>
    <row r="944" spans="1:18" x14ac:dyDescent="0.3">
      <c r="A944" s="12" t="s">
        <v>4946</v>
      </c>
      <c r="B944" s="12" t="s">
        <v>12</v>
      </c>
      <c r="C944" s="12"/>
      <c r="D944" s="12" t="s">
        <v>12</v>
      </c>
      <c r="E944" s="12" t="s">
        <v>7981</v>
      </c>
      <c r="F944" s="12"/>
      <c r="G944" s="12" t="s">
        <v>7974</v>
      </c>
      <c r="H944" s="12" t="s">
        <v>37</v>
      </c>
      <c r="I944" s="12" t="s">
        <v>26</v>
      </c>
      <c r="J944" s="13" t="s">
        <v>2123</v>
      </c>
      <c r="K944" s="14" t="s">
        <v>7982</v>
      </c>
      <c r="L944" s="15">
        <v>2</v>
      </c>
      <c r="M944" s="15" t="s">
        <v>144</v>
      </c>
      <c r="N944" s="16">
        <v>43563</v>
      </c>
      <c r="O944" s="12" t="s">
        <v>4946</v>
      </c>
      <c r="P944" s="14" t="s">
        <v>4949</v>
      </c>
      <c r="Q944" s="17" t="s">
        <v>137</v>
      </c>
      <c r="R944" s="17" t="s">
        <v>146</v>
      </c>
    </row>
    <row r="945" spans="1:18" x14ac:dyDescent="0.3">
      <c r="A945" s="12" t="s">
        <v>7983</v>
      </c>
      <c r="B945" s="12" t="s">
        <v>16</v>
      </c>
      <c r="C945" s="12"/>
      <c r="D945" s="12" t="s">
        <v>993</v>
      </c>
      <c r="E945" s="12" t="s">
        <v>7984</v>
      </c>
      <c r="F945" s="12" t="s">
        <v>516</v>
      </c>
      <c r="G945" s="12" t="s">
        <v>7974</v>
      </c>
      <c r="H945" s="12" t="s">
        <v>37</v>
      </c>
      <c r="I945" s="12" t="s">
        <v>26</v>
      </c>
      <c r="J945" s="13" t="s">
        <v>2123</v>
      </c>
      <c r="K945" s="14" t="s">
        <v>7985</v>
      </c>
      <c r="L945" s="15">
        <v>0</v>
      </c>
      <c r="M945" s="15" t="s">
        <v>144</v>
      </c>
      <c r="N945" s="16">
        <v>39611</v>
      </c>
      <c r="O945" s="12" t="s">
        <v>7983</v>
      </c>
      <c r="P945" s="14" t="s">
        <v>7986</v>
      </c>
      <c r="Q945" s="17" t="s">
        <v>137</v>
      </c>
      <c r="R945" s="17" t="s">
        <v>146</v>
      </c>
    </row>
    <row r="946" spans="1:18" x14ac:dyDescent="0.3">
      <c r="A946" s="12" t="s">
        <v>7987</v>
      </c>
      <c r="B946" s="12" t="s">
        <v>12</v>
      </c>
      <c r="C946" s="12"/>
      <c r="D946" s="12" t="s">
        <v>12</v>
      </c>
      <c r="E946" s="12" t="s">
        <v>7981</v>
      </c>
      <c r="F946" s="12"/>
      <c r="G946" s="12" t="s">
        <v>7974</v>
      </c>
      <c r="H946" s="12" t="s">
        <v>37</v>
      </c>
      <c r="I946" s="12" t="s">
        <v>26</v>
      </c>
      <c r="J946" s="13" t="s">
        <v>2123</v>
      </c>
      <c r="K946" s="14" t="s">
        <v>7988</v>
      </c>
      <c r="L946" s="15">
        <v>2</v>
      </c>
      <c r="M946" s="15" t="s">
        <v>144</v>
      </c>
      <c r="N946" s="16">
        <v>42381</v>
      </c>
      <c r="O946" s="12" t="s">
        <v>7987</v>
      </c>
      <c r="P946" s="14" t="s">
        <v>7989</v>
      </c>
      <c r="Q946" s="17" t="s">
        <v>137</v>
      </c>
      <c r="R946" s="17" t="s">
        <v>146</v>
      </c>
    </row>
    <row r="947" spans="1:18" x14ac:dyDescent="0.3">
      <c r="A947" s="12" t="s">
        <v>7990</v>
      </c>
      <c r="B947" s="12" t="s">
        <v>12</v>
      </c>
      <c r="C947" s="12"/>
      <c r="D947" s="12" t="s">
        <v>12</v>
      </c>
      <c r="E947" s="12" t="s">
        <v>7972</v>
      </c>
      <c r="F947" s="12" t="s">
        <v>7991</v>
      </c>
      <c r="G947" s="12" t="s">
        <v>7974</v>
      </c>
      <c r="H947" s="12" t="s">
        <v>37</v>
      </c>
      <c r="I947" s="12" t="s">
        <v>26</v>
      </c>
      <c r="J947" s="13" t="s">
        <v>2070</v>
      </c>
      <c r="K947" s="14" t="s">
        <v>7992</v>
      </c>
      <c r="L947" s="15">
        <v>0</v>
      </c>
      <c r="M947" s="15" t="s">
        <v>144</v>
      </c>
      <c r="N947" s="16">
        <v>41282</v>
      </c>
      <c r="O947" s="12" t="s">
        <v>7990</v>
      </c>
      <c r="P947" s="14" t="s">
        <v>7993</v>
      </c>
      <c r="Q947" s="17" t="s">
        <v>137</v>
      </c>
      <c r="R947" s="17" t="s">
        <v>146</v>
      </c>
    </row>
    <row r="948" spans="1:18" x14ac:dyDescent="0.3">
      <c r="A948" s="12" t="s">
        <v>7994</v>
      </c>
      <c r="B948" s="12" t="s">
        <v>12</v>
      </c>
      <c r="C948" s="12"/>
      <c r="D948" s="12" t="s">
        <v>12</v>
      </c>
      <c r="E948" s="12" t="s">
        <v>7995</v>
      </c>
      <c r="F948" s="12" t="s">
        <v>6276</v>
      </c>
      <c r="G948" s="12" t="s">
        <v>2006</v>
      </c>
      <c r="H948" s="12" t="s">
        <v>37</v>
      </c>
      <c r="I948" s="12" t="s">
        <v>26</v>
      </c>
      <c r="J948" s="13" t="s">
        <v>2007</v>
      </c>
      <c r="K948" s="14" t="s">
        <v>7996</v>
      </c>
      <c r="L948" s="15">
        <v>2</v>
      </c>
      <c r="M948" s="15" t="s">
        <v>144</v>
      </c>
      <c r="N948" s="16">
        <v>42738</v>
      </c>
      <c r="O948" s="12" t="s">
        <v>7994</v>
      </c>
      <c r="P948" s="14" t="s">
        <v>7997</v>
      </c>
      <c r="Q948" s="17" t="s">
        <v>137</v>
      </c>
      <c r="R948" s="17" t="s">
        <v>146</v>
      </c>
    </row>
    <row r="949" spans="1:18" x14ac:dyDescent="0.3">
      <c r="A949" s="12" t="s">
        <v>1891</v>
      </c>
      <c r="B949" s="12" t="s">
        <v>16</v>
      </c>
      <c r="C949" s="12"/>
      <c r="D949" s="12" t="s">
        <v>471</v>
      </c>
      <c r="E949" s="12" t="s">
        <v>7998</v>
      </c>
      <c r="F949" s="12"/>
      <c r="G949" s="12" t="s">
        <v>2006</v>
      </c>
      <c r="H949" s="12" t="s">
        <v>37</v>
      </c>
      <c r="I949" s="12" t="s">
        <v>26</v>
      </c>
      <c r="J949" s="13" t="s">
        <v>2007</v>
      </c>
      <c r="K949" s="14" t="s">
        <v>7999</v>
      </c>
      <c r="L949" s="15">
        <v>0</v>
      </c>
      <c r="M949" s="15" t="s">
        <v>144</v>
      </c>
      <c r="N949" s="16">
        <v>44065</v>
      </c>
      <c r="O949" s="12" t="s">
        <v>8000</v>
      </c>
      <c r="P949" s="14" t="s">
        <v>8001</v>
      </c>
      <c r="Q949" s="17" t="s">
        <v>137</v>
      </c>
      <c r="R949" s="17" t="s">
        <v>146</v>
      </c>
    </row>
    <row r="950" spans="1:18" x14ac:dyDescent="0.3">
      <c r="A950" s="12" t="s">
        <v>8002</v>
      </c>
      <c r="B950" s="12" t="s">
        <v>20</v>
      </c>
      <c r="C950" s="12"/>
      <c r="D950" s="12" t="s">
        <v>193</v>
      </c>
      <c r="E950" s="12" t="s">
        <v>8003</v>
      </c>
      <c r="F950" s="12" t="s">
        <v>1039</v>
      </c>
      <c r="G950" s="12" t="s">
        <v>2006</v>
      </c>
      <c r="H950" s="12" t="s">
        <v>37</v>
      </c>
      <c r="I950" s="12" t="s">
        <v>26</v>
      </c>
      <c r="J950" s="13" t="s">
        <v>2007</v>
      </c>
      <c r="K950" s="14" t="s">
        <v>8004</v>
      </c>
      <c r="L950" s="15">
        <v>0</v>
      </c>
      <c r="M950" s="15" t="s">
        <v>144</v>
      </c>
      <c r="N950" s="16">
        <v>44065</v>
      </c>
      <c r="O950" s="12" t="s">
        <v>8002</v>
      </c>
      <c r="P950" s="14" t="s">
        <v>8005</v>
      </c>
      <c r="Q950" s="17" t="s">
        <v>137</v>
      </c>
      <c r="R950" s="17" t="s">
        <v>146</v>
      </c>
    </row>
    <row r="951" spans="1:18" x14ac:dyDescent="0.3">
      <c r="A951" s="12" t="s">
        <v>8006</v>
      </c>
      <c r="B951" s="12" t="s">
        <v>12</v>
      </c>
      <c r="C951" s="12"/>
      <c r="D951" s="12" t="s">
        <v>12</v>
      </c>
      <c r="E951" s="12" t="s">
        <v>8007</v>
      </c>
      <c r="F951" s="12" t="s">
        <v>293</v>
      </c>
      <c r="G951" s="12" t="s">
        <v>2006</v>
      </c>
      <c r="H951" s="12" t="s">
        <v>37</v>
      </c>
      <c r="I951" s="12" t="s">
        <v>26</v>
      </c>
      <c r="J951" s="13" t="s">
        <v>2007</v>
      </c>
      <c r="K951" s="14" t="s">
        <v>8008</v>
      </c>
      <c r="L951" s="15">
        <v>1</v>
      </c>
      <c r="M951" s="15" t="s">
        <v>144</v>
      </c>
      <c r="N951" s="16">
        <v>42303</v>
      </c>
      <c r="O951" s="12" t="s">
        <v>8006</v>
      </c>
      <c r="P951" s="14" t="s">
        <v>8009</v>
      </c>
      <c r="Q951" s="17" t="s">
        <v>137</v>
      </c>
      <c r="R951" s="17" t="s">
        <v>146</v>
      </c>
    </row>
    <row r="952" spans="1:18" x14ac:dyDescent="0.3">
      <c r="A952" s="12" t="s">
        <v>8010</v>
      </c>
      <c r="B952" s="12" t="s">
        <v>12</v>
      </c>
      <c r="C952" s="12"/>
      <c r="D952" s="12" t="s">
        <v>12</v>
      </c>
      <c r="E952" s="12" t="s">
        <v>8011</v>
      </c>
      <c r="F952" s="12" t="s">
        <v>1039</v>
      </c>
      <c r="G952" s="12" t="s">
        <v>2006</v>
      </c>
      <c r="H952" s="12" t="s">
        <v>37</v>
      </c>
      <c r="I952" s="12" t="s">
        <v>26</v>
      </c>
      <c r="J952" s="13" t="s">
        <v>2007</v>
      </c>
      <c r="K952" s="14" t="s">
        <v>8012</v>
      </c>
      <c r="L952" s="15">
        <v>0</v>
      </c>
      <c r="M952" s="15" t="s">
        <v>144</v>
      </c>
      <c r="N952" s="16">
        <v>41383</v>
      </c>
      <c r="O952" s="12" t="s">
        <v>8010</v>
      </c>
      <c r="P952" s="14" t="s">
        <v>8013</v>
      </c>
      <c r="Q952" s="17" t="s">
        <v>137</v>
      </c>
      <c r="R952" s="17" t="s">
        <v>146</v>
      </c>
    </row>
    <row r="953" spans="1:18" x14ac:dyDescent="0.3">
      <c r="A953" s="12" t="s">
        <v>8014</v>
      </c>
      <c r="B953" s="12" t="s">
        <v>10</v>
      </c>
      <c r="C953" s="12"/>
      <c r="D953" s="12" t="s">
        <v>252</v>
      </c>
      <c r="E953" s="12" t="s">
        <v>2011</v>
      </c>
      <c r="F953" s="12" t="s">
        <v>8015</v>
      </c>
      <c r="G953" s="12" t="s">
        <v>2006</v>
      </c>
      <c r="H953" s="12" t="s">
        <v>37</v>
      </c>
      <c r="I953" s="12" t="s">
        <v>26</v>
      </c>
      <c r="J953" s="13" t="s">
        <v>2007</v>
      </c>
      <c r="K953" s="14" t="s">
        <v>8016</v>
      </c>
      <c r="L953" s="15">
        <v>0</v>
      </c>
      <c r="M953" s="15" t="s">
        <v>144</v>
      </c>
      <c r="N953" s="16">
        <v>42312</v>
      </c>
      <c r="O953" s="12" t="s">
        <v>8014</v>
      </c>
      <c r="P953" s="14" t="s">
        <v>8017</v>
      </c>
      <c r="Q953" s="17" t="s">
        <v>137</v>
      </c>
      <c r="R953" s="17" t="s">
        <v>146</v>
      </c>
    </row>
    <row r="954" spans="1:18" x14ac:dyDescent="0.3">
      <c r="A954" s="12" t="s">
        <v>8018</v>
      </c>
      <c r="B954" s="12" t="s">
        <v>10</v>
      </c>
      <c r="C954" s="12"/>
      <c r="D954" s="12" t="s">
        <v>1561</v>
      </c>
      <c r="E954" s="12" t="s">
        <v>2015</v>
      </c>
      <c r="F954" s="12" t="s">
        <v>447</v>
      </c>
      <c r="G954" s="12" t="s">
        <v>2006</v>
      </c>
      <c r="H954" s="12" t="s">
        <v>37</v>
      </c>
      <c r="I954" s="12" t="s">
        <v>26</v>
      </c>
      <c r="J954" s="13" t="s">
        <v>2007</v>
      </c>
      <c r="K954" s="14" t="s">
        <v>2016</v>
      </c>
      <c r="L954" s="15">
        <v>11</v>
      </c>
      <c r="M954" s="15" t="s">
        <v>144</v>
      </c>
      <c r="N954" s="16">
        <v>41135</v>
      </c>
      <c r="O954" s="12" t="s">
        <v>8018</v>
      </c>
      <c r="P954" s="14" t="s">
        <v>8019</v>
      </c>
      <c r="Q954" s="17" t="s">
        <v>137</v>
      </c>
      <c r="R954" s="17" t="s">
        <v>146</v>
      </c>
    </row>
    <row r="955" spans="1:18" x14ac:dyDescent="0.3">
      <c r="A955" s="12" t="s">
        <v>8020</v>
      </c>
      <c r="B955" s="12" t="s">
        <v>12</v>
      </c>
      <c r="C955" s="12"/>
      <c r="D955" s="12" t="s">
        <v>12</v>
      </c>
      <c r="E955" s="12" t="s">
        <v>2011</v>
      </c>
      <c r="F955" s="12" t="s">
        <v>8021</v>
      </c>
      <c r="G955" s="12" t="s">
        <v>2006</v>
      </c>
      <c r="H955" s="12" t="s">
        <v>37</v>
      </c>
      <c r="I955" s="12" t="s">
        <v>26</v>
      </c>
      <c r="J955" s="13" t="s">
        <v>2007</v>
      </c>
      <c r="K955" s="14" t="s">
        <v>8022</v>
      </c>
      <c r="L955" s="15">
        <v>4</v>
      </c>
      <c r="M955" s="15" t="s">
        <v>144</v>
      </c>
      <c r="N955" s="16">
        <v>41963</v>
      </c>
      <c r="O955" s="12" t="s">
        <v>8020</v>
      </c>
      <c r="P955" s="14" t="s">
        <v>8023</v>
      </c>
      <c r="Q955" s="17" t="s">
        <v>137</v>
      </c>
      <c r="R955" s="17" t="s">
        <v>146</v>
      </c>
    </row>
    <row r="956" spans="1:18" x14ac:dyDescent="0.3">
      <c r="A956" s="12" t="s">
        <v>8024</v>
      </c>
      <c r="B956" s="12" t="s">
        <v>12</v>
      </c>
      <c r="C956" s="12"/>
      <c r="D956" s="12" t="s">
        <v>12</v>
      </c>
      <c r="E956" s="12" t="s">
        <v>2011</v>
      </c>
      <c r="F956" s="12" t="s">
        <v>389</v>
      </c>
      <c r="G956" s="12" t="s">
        <v>2006</v>
      </c>
      <c r="H956" s="12" t="s">
        <v>37</v>
      </c>
      <c r="I956" s="12" t="s">
        <v>26</v>
      </c>
      <c r="J956" s="13" t="s">
        <v>2007</v>
      </c>
      <c r="K956" s="14" t="s">
        <v>8022</v>
      </c>
      <c r="L956" s="15">
        <v>4</v>
      </c>
      <c r="M956" s="15" t="s">
        <v>144</v>
      </c>
      <c r="N956" s="16">
        <v>43629</v>
      </c>
      <c r="O956" s="12" t="s">
        <v>8024</v>
      </c>
      <c r="P956" s="14" t="s">
        <v>8025</v>
      </c>
      <c r="Q956" s="17" t="s">
        <v>137</v>
      </c>
      <c r="R956" s="17" t="s">
        <v>146</v>
      </c>
    </row>
    <row r="957" spans="1:18" x14ac:dyDescent="0.3">
      <c r="A957" s="12" t="s">
        <v>8026</v>
      </c>
      <c r="B957" s="12" t="s">
        <v>12</v>
      </c>
      <c r="C957" s="12"/>
      <c r="D957" s="12" t="s">
        <v>12</v>
      </c>
      <c r="E957" s="12" t="s">
        <v>8027</v>
      </c>
      <c r="F957" s="12" t="s">
        <v>6276</v>
      </c>
      <c r="G957" s="12" t="s">
        <v>2006</v>
      </c>
      <c r="H957" s="12" t="s">
        <v>37</v>
      </c>
      <c r="I957" s="12" t="s">
        <v>26</v>
      </c>
      <c r="J957" s="13" t="s">
        <v>2007</v>
      </c>
      <c r="K957" s="14" t="s">
        <v>7996</v>
      </c>
      <c r="L957" s="15">
        <v>2</v>
      </c>
      <c r="M957" s="15" t="s">
        <v>144</v>
      </c>
      <c r="N957" s="16">
        <v>44065</v>
      </c>
      <c r="O957" s="12" t="s">
        <v>8028</v>
      </c>
      <c r="P957" s="14" t="s">
        <v>8029</v>
      </c>
      <c r="Q957" s="17" t="s">
        <v>137</v>
      </c>
      <c r="R957" s="17" t="s">
        <v>146</v>
      </c>
    </row>
    <row r="958" spans="1:18" x14ac:dyDescent="0.3">
      <c r="A958" s="12" t="s">
        <v>2288</v>
      </c>
      <c r="B958" s="12" t="s">
        <v>14</v>
      </c>
      <c r="C958" s="12"/>
      <c r="D958" s="12" t="s">
        <v>14</v>
      </c>
      <c r="E958" s="12" t="s">
        <v>8030</v>
      </c>
      <c r="F958" s="12" t="s">
        <v>8031</v>
      </c>
      <c r="G958" s="12" t="s">
        <v>2006</v>
      </c>
      <c r="H958" s="12" t="s">
        <v>37</v>
      </c>
      <c r="I958" s="12" t="s">
        <v>26</v>
      </c>
      <c r="J958" s="13" t="s">
        <v>2007</v>
      </c>
      <c r="K958" s="14" t="s">
        <v>8032</v>
      </c>
      <c r="L958" s="15">
        <v>6</v>
      </c>
      <c r="M958" s="15" t="s">
        <v>144</v>
      </c>
      <c r="N958" s="16">
        <v>42544</v>
      </c>
      <c r="O958" s="12" t="s">
        <v>2288</v>
      </c>
      <c r="P958" s="14" t="s">
        <v>8033</v>
      </c>
      <c r="Q958" s="17" t="s">
        <v>137</v>
      </c>
      <c r="R958" s="17" t="s">
        <v>146</v>
      </c>
    </row>
    <row r="959" spans="1:18" x14ac:dyDescent="0.3">
      <c r="A959" s="12" t="s">
        <v>8034</v>
      </c>
      <c r="B959" s="12" t="s">
        <v>12</v>
      </c>
      <c r="C959" s="12"/>
      <c r="D959" s="12" t="s">
        <v>12</v>
      </c>
      <c r="E959" s="12" t="s">
        <v>8007</v>
      </c>
      <c r="F959" s="12" t="s">
        <v>293</v>
      </c>
      <c r="G959" s="12" t="s">
        <v>2006</v>
      </c>
      <c r="H959" s="12" t="s">
        <v>37</v>
      </c>
      <c r="I959" s="12" t="s">
        <v>26</v>
      </c>
      <c r="J959" s="13" t="s">
        <v>2007</v>
      </c>
      <c r="K959" s="14" t="s">
        <v>8035</v>
      </c>
      <c r="L959" s="15">
        <v>1</v>
      </c>
      <c r="M959" s="15" t="s">
        <v>144</v>
      </c>
      <c r="N959" s="16">
        <v>42529</v>
      </c>
      <c r="O959" s="12" t="s">
        <v>8036</v>
      </c>
      <c r="P959" s="14" t="s">
        <v>8037</v>
      </c>
      <c r="Q959" s="17" t="s">
        <v>137</v>
      </c>
      <c r="R959" s="17" t="s">
        <v>146</v>
      </c>
    </row>
    <row r="960" spans="1:18" x14ac:dyDescent="0.3">
      <c r="A960" s="12" t="s">
        <v>8038</v>
      </c>
      <c r="B960" s="12" t="s">
        <v>12</v>
      </c>
      <c r="C960" s="12"/>
      <c r="D960" s="12" t="s">
        <v>12</v>
      </c>
      <c r="E960" s="12" t="s">
        <v>8039</v>
      </c>
      <c r="F960" s="12"/>
      <c r="G960" s="12" t="s">
        <v>2006</v>
      </c>
      <c r="H960" s="12" t="s">
        <v>37</v>
      </c>
      <c r="I960" s="12" t="s">
        <v>26</v>
      </c>
      <c r="J960" s="13" t="s">
        <v>2007</v>
      </c>
      <c r="K960" s="14" t="s">
        <v>8040</v>
      </c>
      <c r="L960" s="15">
        <v>1</v>
      </c>
      <c r="M960" s="15" t="s">
        <v>144</v>
      </c>
      <c r="N960" s="16">
        <v>44065</v>
      </c>
      <c r="O960" s="12" t="s">
        <v>8041</v>
      </c>
      <c r="P960" s="14" t="s">
        <v>8042</v>
      </c>
      <c r="Q960" s="17" t="s">
        <v>137</v>
      </c>
      <c r="R960" s="17" t="s">
        <v>146</v>
      </c>
    </row>
    <row r="961" spans="1:18" x14ac:dyDescent="0.3">
      <c r="A961" s="12" t="s">
        <v>8043</v>
      </c>
      <c r="B961" s="12" t="s">
        <v>12</v>
      </c>
      <c r="C961" s="12"/>
      <c r="D961" s="12" t="s">
        <v>12</v>
      </c>
      <c r="E961" s="12" t="s">
        <v>8044</v>
      </c>
      <c r="F961" s="12"/>
      <c r="G961" s="12" t="s">
        <v>367</v>
      </c>
      <c r="H961" s="12" t="s">
        <v>37</v>
      </c>
      <c r="I961" s="12" t="s">
        <v>26</v>
      </c>
      <c r="J961" s="13" t="s">
        <v>2118</v>
      </c>
      <c r="K961" s="14" t="s">
        <v>8045</v>
      </c>
      <c r="L961" s="15">
        <v>0</v>
      </c>
      <c r="M961" s="15" t="s">
        <v>144</v>
      </c>
      <c r="N961" s="16">
        <v>44065</v>
      </c>
      <c r="O961" s="12" t="s">
        <v>8046</v>
      </c>
      <c r="P961" s="14" t="s">
        <v>8047</v>
      </c>
      <c r="Q961" s="17" t="s">
        <v>137</v>
      </c>
      <c r="R961" s="17" t="s">
        <v>146</v>
      </c>
    </row>
    <row r="962" spans="1:18" x14ac:dyDescent="0.3">
      <c r="A962" s="12" t="s">
        <v>8048</v>
      </c>
      <c r="B962" s="12" t="s">
        <v>12</v>
      </c>
      <c r="C962" s="12"/>
      <c r="D962" s="12" t="s">
        <v>12</v>
      </c>
      <c r="E962" s="12" t="s">
        <v>8049</v>
      </c>
      <c r="F962" s="12"/>
      <c r="G962" s="12" t="s">
        <v>2050</v>
      </c>
      <c r="H962" s="12" t="s">
        <v>37</v>
      </c>
      <c r="I962" s="12" t="s">
        <v>26</v>
      </c>
      <c r="J962" s="13" t="s">
        <v>1995</v>
      </c>
      <c r="K962" s="14" t="s">
        <v>8050</v>
      </c>
      <c r="L962" s="15">
        <v>1</v>
      </c>
      <c r="M962" s="15" t="s">
        <v>144</v>
      </c>
      <c r="N962" s="16">
        <v>40395</v>
      </c>
      <c r="O962" s="12" t="s">
        <v>8048</v>
      </c>
      <c r="P962" s="14" t="s">
        <v>8051</v>
      </c>
      <c r="Q962" s="17" t="s">
        <v>137</v>
      </c>
      <c r="R962" s="17" t="s">
        <v>146</v>
      </c>
    </row>
    <row r="963" spans="1:18" x14ac:dyDescent="0.3">
      <c r="A963" s="12" t="s">
        <v>8052</v>
      </c>
      <c r="B963" s="12" t="s">
        <v>12</v>
      </c>
      <c r="C963" s="12"/>
      <c r="D963" s="12" t="s">
        <v>12</v>
      </c>
      <c r="E963" s="12" t="s">
        <v>8053</v>
      </c>
      <c r="F963" s="12" t="s">
        <v>547</v>
      </c>
      <c r="G963" s="12" t="s">
        <v>2050</v>
      </c>
      <c r="H963" s="12" t="s">
        <v>37</v>
      </c>
      <c r="I963" s="12" t="s">
        <v>26</v>
      </c>
      <c r="J963" s="13" t="s">
        <v>1995</v>
      </c>
      <c r="K963" s="14" t="s">
        <v>8054</v>
      </c>
      <c r="L963" s="15">
        <v>0</v>
      </c>
      <c r="M963" s="15" t="s">
        <v>144</v>
      </c>
      <c r="N963" s="16">
        <v>43327</v>
      </c>
      <c r="O963" s="12" t="s">
        <v>8052</v>
      </c>
      <c r="P963" s="14" t="s">
        <v>8055</v>
      </c>
      <c r="Q963" s="17" t="s">
        <v>137</v>
      </c>
      <c r="R963" s="17" t="s">
        <v>146</v>
      </c>
    </row>
    <row r="964" spans="1:18" x14ac:dyDescent="0.3">
      <c r="A964" s="12" t="s">
        <v>8056</v>
      </c>
      <c r="B964" s="12" t="s">
        <v>12</v>
      </c>
      <c r="C964" s="12"/>
      <c r="D964" s="12" t="s">
        <v>12</v>
      </c>
      <c r="E964" s="12" t="s">
        <v>8057</v>
      </c>
      <c r="F964" s="12" t="s">
        <v>319</v>
      </c>
      <c r="G964" s="12" t="s">
        <v>2050</v>
      </c>
      <c r="H964" s="12" t="s">
        <v>37</v>
      </c>
      <c r="I964" s="12" t="s">
        <v>26</v>
      </c>
      <c r="J964" s="13" t="s">
        <v>1995</v>
      </c>
      <c r="K964" s="14" t="s">
        <v>8058</v>
      </c>
      <c r="L964" s="15">
        <v>1</v>
      </c>
      <c r="M964" s="15" t="s">
        <v>144</v>
      </c>
      <c r="N964" s="16">
        <v>40430</v>
      </c>
      <c r="O964" s="12" t="s">
        <v>8059</v>
      </c>
      <c r="P964" s="14" t="s">
        <v>8060</v>
      </c>
      <c r="Q964" s="17" t="s">
        <v>137</v>
      </c>
      <c r="R964" s="17" t="s">
        <v>146</v>
      </c>
    </row>
    <row r="965" spans="1:18" x14ac:dyDescent="0.3">
      <c r="A965" s="12" t="s">
        <v>8061</v>
      </c>
      <c r="B965" s="12" t="s">
        <v>12</v>
      </c>
      <c r="C965" s="12"/>
      <c r="D965" s="12" t="s">
        <v>12</v>
      </c>
      <c r="E965" s="12" t="s">
        <v>8062</v>
      </c>
      <c r="F965" s="12" t="s">
        <v>188</v>
      </c>
      <c r="G965" s="12" t="s">
        <v>2050</v>
      </c>
      <c r="H965" s="12" t="s">
        <v>37</v>
      </c>
      <c r="I965" s="12" t="s">
        <v>26</v>
      </c>
      <c r="J965" s="13" t="s">
        <v>1995</v>
      </c>
      <c r="K965" s="14" t="s">
        <v>8063</v>
      </c>
      <c r="L965" s="15">
        <v>0</v>
      </c>
      <c r="M965" s="15" t="s">
        <v>144</v>
      </c>
      <c r="N965" s="16">
        <v>39485</v>
      </c>
      <c r="O965" s="12" t="s">
        <v>8061</v>
      </c>
      <c r="P965" s="14" t="s">
        <v>8064</v>
      </c>
      <c r="Q965" s="17" t="s">
        <v>137</v>
      </c>
      <c r="R965" s="17" t="s">
        <v>146</v>
      </c>
    </row>
    <row r="966" spans="1:18" x14ac:dyDescent="0.3">
      <c r="A966" s="12" t="s">
        <v>8065</v>
      </c>
      <c r="B966" s="12" t="s">
        <v>12</v>
      </c>
      <c r="C966" s="12"/>
      <c r="D966" s="12" t="s">
        <v>12</v>
      </c>
      <c r="E966" s="12" t="s">
        <v>8066</v>
      </c>
      <c r="F966" s="12" t="s">
        <v>447</v>
      </c>
      <c r="G966" s="12" t="s">
        <v>2050</v>
      </c>
      <c r="H966" s="12" t="s">
        <v>37</v>
      </c>
      <c r="I966" s="12" t="s">
        <v>26</v>
      </c>
      <c r="J966" s="13" t="s">
        <v>1995</v>
      </c>
      <c r="K966" s="14" t="s">
        <v>8067</v>
      </c>
      <c r="L966" s="15">
        <v>5</v>
      </c>
      <c r="M966" s="15" t="s">
        <v>144</v>
      </c>
      <c r="N966" s="16">
        <v>42703</v>
      </c>
      <c r="O966" s="12" t="s">
        <v>8065</v>
      </c>
      <c r="P966" s="14" t="s">
        <v>8068</v>
      </c>
      <c r="Q966" s="17" t="s">
        <v>137</v>
      </c>
      <c r="R966" s="17" t="s">
        <v>146</v>
      </c>
    </row>
    <row r="967" spans="1:18" x14ac:dyDescent="0.3">
      <c r="A967" s="12" t="s">
        <v>8069</v>
      </c>
      <c r="B967" s="12" t="s">
        <v>12</v>
      </c>
      <c r="C967" s="12"/>
      <c r="D967" s="12" t="s">
        <v>12</v>
      </c>
      <c r="E967" s="12" t="s">
        <v>8070</v>
      </c>
      <c r="F967" s="12" t="s">
        <v>345</v>
      </c>
      <c r="G967" s="12" t="s">
        <v>2050</v>
      </c>
      <c r="H967" s="12" t="s">
        <v>37</v>
      </c>
      <c r="I967" s="12" t="s">
        <v>26</v>
      </c>
      <c r="J967" s="13" t="s">
        <v>1995</v>
      </c>
      <c r="K967" s="14" t="s">
        <v>8071</v>
      </c>
      <c r="L967" s="15">
        <v>3</v>
      </c>
      <c r="M967" s="15" t="s">
        <v>144</v>
      </c>
      <c r="N967" s="16">
        <v>44424</v>
      </c>
      <c r="O967" s="12" t="s">
        <v>8069</v>
      </c>
      <c r="P967" s="14" t="s">
        <v>8072</v>
      </c>
      <c r="Q967" s="17" t="s">
        <v>137</v>
      </c>
      <c r="R967" s="17" t="s">
        <v>146</v>
      </c>
    </row>
    <row r="968" spans="1:18" x14ac:dyDescent="0.3">
      <c r="A968" s="12" t="s">
        <v>331</v>
      </c>
      <c r="B968" s="12" t="s">
        <v>14</v>
      </c>
      <c r="C968" s="12"/>
      <c r="D968" s="12" t="s">
        <v>14</v>
      </c>
      <c r="E968" s="12" t="s">
        <v>8073</v>
      </c>
      <c r="F968" s="12"/>
      <c r="G968" s="12" t="s">
        <v>2050</v>
      </c>
      <c r="H968" s="12" t="s">
        <v>37</v>
      </c>
      <c r="I968" s="12" t="s">
        <v>26</v>
      </c>
      <c r="J968" s="13" t="s">
        <v>1995</v>
      </c>
      <c r="K968" s="14" t="s">
        <v>5478</v>
      </c>
      <c r="L968" s="15">
        <v>0</v>
      </c>
      <c r="M968" s="15" t="s">
        <v>144</v>
      </c>
      <c r="N968" s="16">
        <v>40423</v>
      </c>
      <c r="O968" s="12" t="s">
        <v>331</v>
      </c>
      <c r="P968" s="14" t="s">
        <v>8074</v>
      </c>
      <c r="Q968" s="17" t="s">
        <v>137</v>
      </c>
      <c r="R968" s="17" t="s">
        <v>146</v>
      </c>
    </row>
    <row r="969" spans="1:18" x14ac:dyDescent="0.3">
      <c r="A969" s="12" t="s">
        <v>8075</v>
      </c>
      <c r="B969" s="12" t="s">
        <v>12</v>
      </c>
      <c r="C969" s="12"/>
      <c r="D969" s="12" t="s">
        <v>12</v>
      </c>
      <c r="E969" s="12" t="s">
        <v>8076</v>
      </c>
      <c r="F969" s="12"/>
      <c r="G969" s="12" t="s">
        <v>2050</v>
      </c>
      <c r="H969" s="12" t="s">
        <v>37</v>
      </c>
      <c r="I969" s="12" t="s">
        <v>26</v>
      </c>
      <c r="J969" s="13" t="s">
        <v>1995</v>
      </c>
      <c r="K969" s="14" t="s">
        <v>8077</v>
      </c>
      <c r="L969" s="15">
        <v>1</v>
      </c>
      <c r="M969" s="15" t="s">
        <v>144</v>
      </c>
      <c r="N969" s="16">
        <v>39364</v>
      </c>
      <c r="O969" s="12" t="s">
        <v>8075</v>
      </c>
      <c r="P969" s="14" t="s">
        <v>8078</v>
      </c>
      <c r="Q969" s="17" t="s">
        <v>137</v>
      </c>
      <c r="R969" s="17" t="s">
        <v>146</v>
      </c>
    </row>
    <row r="970" spans="1:18" x14ac:dyDescent="0.3">
      <c r="A970" s="12" t="s">
        <v>8079</v>
      </c>
      <c r="B970" s="12" t="s">
        <v>12</v>
      </c>
      <c r="C970" s="12"/>
      <c r="D970" s="12" t="s">
        <v>12</v>
      </c>
      <c r="E970" s="12" t="s">
        <v>8049</v>
      </c>
      <c r="F970" s="12"/>
      <c r="G970" s="12" t="s">
        <v>2050</v>
      </c>
      <c r="H970" s="12" t="s">
        <v>37</v>
      </c>
      <c r="I970" s="12" t="s">
        <v>26</v>
      </c>
      <c r="J970" s="13" t="s">
        <v>1995</v>
      </c>
      <c r="K970" s="14" t="s">
        <v>8050</v>
      </c>
      <c r="L970" s="15">
        <v>1</v>
      </c>
      <c r="M970" s="15" t="s">
        <v>144</v>
      </c>
      <c r="N970" s="16">
        <v>42248</v>
      </c>
      <c r="O970" s="12" t="s">
        <v>8079</v>
      </c>
      <c r="P970" s="14" t="s">
        <v>8080</v>
      </c>
      <c r="Q970" s="17" t="s">
        <v>137</v>
      </c>
      <c r="R970" s="17" t="s">
        <v>146</v>
      </c>
    </row>
    <row r="971" spans="1:18" x14ac:dyDescent="0.3">
      <c r="A971" s="12" t="s">
        <v>8081</v>
      </c>
      <c r="B971" s="12" t="s">
        <v>14</v>
      </c>
      <c r="C971" s="12"/>
      <c r="D971" s="12" t="s">
        <v>14</v>
      </c>
      <c r="E971" s="12" t="s">
        <v>8082</v>
      </c>
      <c r="F971" s="12"/>
      <c r="G971" s="12" t="s">
        <v>2050</v>
      </c>
      <c r="H971" s="12" t="s">
        <v>37</v>
      </c>
      <c r="I971" s="12" t="s">
        <v>26</v>
      </c>
      <c r="J971" s="13" t="s">
        <v>1995</v>
      </c>
      <c r="K971" s="14" t="s">
        <v>8083</v>
      </c>
      <c r="L971" s="15">
        <v>0</v>
      </c>
      <c r="M971" s="15" t="s">
        <v>144</v>
      </c>
      <c r="N971" s="16">
        <v>41508</v>
      </c>
      <c r="O971" s="12" t="s">
        <v>8081</v>
      </c>
      <c r="P971" s="14" t="s">
        <v>8084</v>
      </c>
      <c r="Q971" s="17" t="s">
        <v>137</v>
      </c>
      <c r="R971" s="17" t="s">
        <v>146</v>
      </c>
    </row>
    <row r="972" spans="1:18" x14ac:dyDescent="0.3">
      <c r="A972" s="12" t="s">
        <v>8085</v>
      </c>
      <c r="B972" s="12" t="s">
        <v>12</v>
      </c>
      <c r="C972" s="12"/>
      <c r="D972" s="12" t="s">
        <v>12</v>
      </c>
      <c r="E972" s="12" t="s">
        <v>8086</v>
      </c>
      <c r="F972" s="12" t="s">
        <v>6242</v>
      </c>
      <c r="G972" s="12" t="s">
        <v>2055</v>
      </c>
      <c r="H972" s="12" t="s">
        <v>37</v>
      </c>
      <c r="I972" s="12" t="s">
        <v>26</v>
      </c>
      <c r="J972" s="13" t="s">
        <v>2056</v>
      </c>
      <c r="K972" s="14" t="s">
        <v>8087</v>
      </c>
      <c r="L972" s="15">
        <v>2</v>
      </c>
      <c r="M972" s="15" t="s">
        <v>144</v>
      </c>
      <c r="N972" s="16">
        <v>44204</v>
      </c>
      <c r="O972" s="12" t="s">
        <v>8085</v>
      </c>
      <c r="P972" s="14" t="s">
        <v>8088</v>
      </c>
      <c r="Q972" s="17" t="s">
        <v>137</v>
      </c>
      <c r="R972" s="17" t="s">
        <v>146</v>
      </c>
    </row>
    <row r="973" spans="1:18" x14ac:dyDescent="0.3">
      <c r="A973" s="12" t="s">
        <v>8089</v>
      </c>
      <c r="B973" s="12" t="s">
        <v>12</v>
      </c>
      <c r="C973" s="12"/>
      <c r="D973" s="12" t="s">
        <v>12</v>
      </c>
      <c r="E973" s="12" t="s">
        <v>8090</v>
      </c>
      <c r="F973" s="12"/>
      <c r="G973" s="12" t="s">
        <v>8091</v>
      </c>
      <c r="H973" s="12" t="s">
        <v>37</v>
      </c>
      <c r="I973" s="12" t="s">
        <v>26</v>
      </c>
      <c r="J973" s="13" t="s">
        <v>2007</v>
      </c>
      <c r="K973" s="14" t="s">
        <v>8092</v>
      </c>
      <c r="L973" s="15">
        <v>2</v>
      </c>
      <c r="M973" s="15" t="s">
        <v>144</v>
      </c>
      <c r="N973" s="16">
        <v>39666</v>
      </c>
      <c r="O973" s="12" t="s">
        <v>8093</v>
      </c>
      <c r="P973" s="14" t="s">
        <v>8094</v>
      </c>
      <c r="Q973" s="17" t="s">
        <v>137</v>
      </c>
      <c r="R973" s="17" t="s">
        <v>146</v>
      </c>
    </row>
    <row r="974" spans="1:18" x14ac:dyDescent="0.3">
      <c r="A974" s="12" t="s">
        <v>8095</v>
      </c>
      <c r="B974" s="12" t="s">
        <v>12</v>
      </c>
      <c r="C974" s="12"/>
      <c r="D974" s="12" t="s">
        <v>12</v>
      </c>
      <c r="E974" s="12" t="s">
        <v>8096</v>
      </c>
      <c r="F974" s="12"/>
      <c r="G974" s="12" t="s">
        <v>2062</v>
      </c>
      <c r="H974" s="12" t="s">
        <v>37</v>
      </c>
      <c r="I974" s="12" t="s">
        <v>26</v>
      </c>
      <c r="J974" s="13" t="s">
        <v>2007</v>
      </c>
      <c r="K974" s="14" t="s">
        <v>8097</v>
      </c>
      <c r="L974" s="15">
        <v>1</v>
      </c>
      <c r="M974" s="15" t="s">
        <v>144</v>
      </c>
      <c r="N974" s="16">
        <v>42093</v>
      </c>
      <c r="O974" s="12" t="s">
        <v>8095</v>
      </c>
      <c r="P974" s="14" t="s">
        <v>8098</v>
      </c>
      <c r="Q974" s="17" t="s">
        <v>137</v>
      </c>
      <c r="R974" s="17" t="s">
        <v>146</v>
      </c>
    </row>
    <row r="975" spans="1:18" x14ac:dyDescent="0.3">
      <c r="A975" s="12" t="s">
        <v>8099</v>
      </c>
      <c r="B975" s="12" t="s">
        <v>12</v>
      </c>
      <c r="C975" s="12"/>
      <c r="D975" s="12" t="s">
        <v>12</v>
      </c>
      <c r="E975" s="12" t="s">
        <v>8100</v>
      </c>
      <c r="F975" s="12"/>
      <c r="G975" s="12" t="s">
        <v>2069</v>
      </c>
      <c r="H975" s="12" t="s">
        <v>37</v>
      </c>
      <c r="I975" s="12" t="s">
        <v>26</v>
      </c>
      <c r="J975" s="13" t="s">
        <v>2070</v>
      </c>
      <c r="K975" s="14" t="s">
        <v>8101</v>
      </c>
      <c r="L975" s="15">
        <v>3</v>
      </c>
      <c r="M975" s="15" t="s">
        <v>144</v>
      </c>
      <c r="N975" s="16">
        <v>44065</v>
      </c>
      <c r="O975" s="12" t="s">
        <v>8099</v>
      </c>
      <c r="P975" s="14" t="s">
        <v>8102</v>
      </c>
      <c r="Q975" s="17" t="s">
        <v>137</v>
      </c>
      <c r="R975" s="17" t="s">
        <v>146</v>
      </c>
    </row>
    <row r="976" spans="1:18" x14ac:dyDescent="0.3">
      <c r="A976" s="12" t="s">
        <v>8103</v>
      </c>
      <c r="B976" s="12" t="s">
        <v>12</v>
      </c>
      <c r="C976" s="12"/>
      <c r="D976" s="12" t="s">
        <v>12</v>
      </c>
      <c r="E976" s="12" t="s">
        <v>8104</v>
      </c>
      <c r="F976" s="12" t="s">
        <v>595</v>
      </c>
      <c r="G976" s="12" t="s">
        <v>2069</v>
      </c>
      <c r="H976" s="12" t="s">
        <v>37</v>
      </c>
      <c r="I976" s="12" t="s">
        <v>26</v>
      </c>
      <c r="J976" s="13" t="s">
        <v>2070</v>
      </c>
      <c r="K976" s="14" t="s">
        <v>8105</v>
      </c>
      <c r="L976" s="15">
        <v>3</v>
      </c>
      <c r="M976" s="15" t="s">
        <v>144</v>
      </c>
      <c r="N976" s="16">
        <v>40211</v>
      </c>
      <c r="O976" s="12" t="s">
        <v>8103</v>
      </c>
      <c r="P976" s="14" t="s">
        <v>8106</v>
      </c>
      <c r="Q976" s="17" t="s">
        <v>137</v>
      </c>
      <c r="R976" s="17" t="s">
        <v>146</v>
      </c>
    </row>
    <row r="977" spans="1:18" x14ac:dyDescent="0.3">
      <c r="A977" s="12" t="s">
        <v>8107</v>
      </c>
      <c r="B977" s="12" t="s">
        <v>12</v>
      </c>
      <c r="C977" s="12"/>
      <c r="D977" s="12" t="s">
        <v>12</v>
      </c>
      <c r="E977" s="12" t="s">
        <v>2078</v>
      </c>
      <c r="F977" s="12" t="s">
        <v>6125</v>
      </c>
      <c r="G977" s="12" t="s">
        <v>2069</v>
      </c>
      <c r="H977" s="12" t="s">
        <v>37</v>
      </c>
      <c r="I977" s="12" t="s">
        <v>26</v>
      </c>
      <c r="J977" s="13" t="s">
        <v>2070</v>
      </c>
      <c r="K977" s="14" t="s">
        <v>8108</v>
      </c>
      <c r="L977" s="15">
        <v>4</v>
      </c>
      <c r="M977" s="15" t="s">
        <v>144</v>
      </c>
      <c r="N977" s="16">
        <v>40959</v>
      </c>
      <c r="O977" s="12" t="s">
        <v>8107</v>
      </c>
      <c r="P977" s="14" t="s">
        <v>8109</v>
      </c>
      <c r="Q977" s="17" t="s">
        <v>137</v>
      </c>
      <c r="R977" s="17" t="s">
        <v>146</v>
      </c>
    </row>
    <row r="978" spans="1:18" x14ac:dyDescent="0.3">
      <c r="A978" s="12" t="s">
        <v>8110</v>
      </c>
      <c r="B978" s="12" t="s">
        <v>12</v>
      </c>
      <c r="C978" s="12"/>
      <c r="D978" s="12" t="s">
        <v>12</v>
      </c>
      <c r="E978" s="12" t="s">
        <v>2078</v>
      </c>
      <c r="F978" s="12" t="s">
        <v>6125</v>
      </c>
      <c r="G978" s="12" t="s">
        <v>2069</v>
      </c>
      <c r="H978" s="12" t="s">
        <v>37</v>
      </c>
      <c r="I978" s="12" t="s">
        <v>26</v>
      </c>
      <c r="J978" s="13" t="s">
        <v>2070</v>
      </c>
      <c r="K978" s="14" t="s">
        <v>8111</v>
      </c>
      <c r="L978" s="15">
        <v>4</v>
      </c>
      <c r="M978" s="15" t="s">
        <v>144</v>
      </c>
      <c r="N978" s="16">
        <v>40609</v>
      </c>
      <c r="O978" s="12" t="s">
        <v>8110</v>
      </c>
      <c r="P978" s="14" t="s">
        <v>8112</v>
      </c>
      <c r="Q978" s="17" t="s">
        <v>137</v>
      </c>
      <c r="R978" s="17" t="s">
        <v>146</v>
      </c>
    </row>
    <row r="979" spans="1:18" x14ac:dyDescent="0.3">
      <c r="A979" s="12" t="s">
        <v>8113</v>
      </c>
      <c r="B979" s="12" t="s">
        <v>12</v>
      </c>
      <c r="C979" s="12"/>
      <c r="D979" s="12" t="s">
        <v>12</v>
      </c>
      <c r="E979" s="12" t="s">
        <v>8100</v>
      </c>
      <c r="F979" s="12" t="s">
        <v>345</v>
      </c>
      <c r="G979" s="12" t="s">
        <v>2069</v>
      </c>
      <c r="H979" s="12" t="s">
        <v>37</v>
      </c>
      <c r="I979" s="12" t="s">
        <v>26</v>
      </c>
      <c r="J979" s="13" t="s">
        <v>2070</v>
      </c>
      <c r="K979" s="14" t="s">
        <v>8114</v>
      </c>
      <c r="L979" s="15">
        <v>3</v>
      </c>
      <c r="M979" s="15" t="s">
        <v>144</v>
      </c>
      <c r="N979" s="16">
        <v>44065</v>
      </c>
      <c r="O979" s="12" t="s">
        <v>8115</v>
      </c>
      <c r="P979" s="14" t="s">
        <v>8116</v>
      </c>
      <c r="Q979" s="17" t="s">
        <v>137</v>
      </c>
      <c r="R979" s="17" t="s">
        <v>146</v>
      </c>
    </row>
    <row r="980" spans="1:18" x14ac:dyDescent="0.3">
      <c r="A980" s="12" t="s">
        <v>8117</v>
      </c>
      <c r="B980" s="12" t="s">
        <v>12</v>
      </c>
      <c r="C980" s="12"/>
      <c r="D980" s="12" t="s">
        <v>12</v>
      </c>
      <c r="E980" s="12" t="s">
        <v>8118</v>
      </c>
      <c r="F980" s="12" t="s">
        <v>1708</v>
      </c>
      <c r="G980" s="12" t="s">
        <v>2069</v>
      </c>
      <c r="H980" s="12" t="s">
        <v>37</v>
      </c>
      <c r="I980" s="12" t="s">
        <v>26</v>
      </c>
      <c r="J980" s="13" t="s">
        <v>2070</v>
      </c>
      <c r="K980" s="14" t="s">
        <v>4936</v>
      </c>
      <c r="L980" s="15">
        <v>2</v>
      </c>
      <c r="M980" s="15" t="s">
        <v>144</v>
      </c>
      <c r="N980" s="16">
        <v>40248</v>
      </c>
      <c r="O980" s="12" t="s">
        <v>8117</v>
      </c>
      <c r="P980" s="14" t="s">
        <v>8119</v>
      </c>
      <c r="Q980" s="17" t="s">
        <v>137</v>
      </c>
      <c r="R980" s="17" t="s">
        <v>146</v>
      </c>
    </row>
    <row r="981" spans="1:18" x14ac:dyDescent="0.3">
      <c r="A981" s="12" t="s">
        <v>8120</v>
      </c>
      <c r="B981" s="12" t="s">
        <v>12</v>
      </c>
      <c r="C981" s="12"/>
      <c r="D981" s="12" t="s">
        <v>12</v>
      </c>
      <c r="E981" s="12" t="s">
        <v>8121</v>
      </c>
      <c r="F981" s="12"/>
      <c r="G981" s="12" t="s">
        <v>2069</v>
      </c>
      <c r="H981" s="12" t="s">
        <v>37</v>
      </c>
      <c r="I981" s="12" t="s">
        <v>26</v>
      </c>
      <c r="J981" s="13" t="s">
        <v>2070</v>
      </c>
      <c r="K981" s="14" t="s">
        <v>8122</v>
      </c>
      <c r="L981" s="15">
        <v>3</v>
      </c>
      <c r="M981" s="15" t="s">
        <v>144</v>
      </c>
      <c r="N981" s="16">
        <v>44065</v>
      </c>
      <c r="O981" s="12" t="s">
        <v>8120</v>
      </c>
      <c r="P981" s="14" t="s">
        <v>8123</v>
      </c>
      <c r="Q981" s="17" t="s">
        <v>137</v>
      </c>
      <c r="R981" s="17" t="s">
        <v>146</v>
      </c>
    </row>
    <row r="982" spans="1:18" x14ac:dyDescent="0.3">
      <c r="A982" s="12" t="s">
        <v>8124</v>
      </c>
      <c r="B982" s="12" t="s">
        <v>12</v>
      </c>
      <c r="C982" s="12"/>
      <c r="D982" s="12" t="s">
        <v>12</v>
      </c>
      <c r="E982" s="12" t="s">
        <v>8125</v>
      </c>
      <c r="F982" s="12" t="s">
        <v>225</v>
      </c>
      <c r="G982" s="12" t="s">
        <v>2069</v>
      </c>
      <c r="H982" s="12" t="s">
        <v>37</v>
      </c>
      <c r="I982" s="12" t="s">
        <v>26</v>
      </c>
      <c r="J982" s="13" t="s">
        <v>2070</v>
      </c>
      <c r="K982" s="14" t="s">
        <v>7982</v>
      </c>
      <c r="L982" s="15">
        <v>0</v>
      </c>
      <c r="M982" s="15" t="s">
        <v>144</v>
      </c>
      <c r="N982" s="16">
        <v>39437</v>
      </c>
      <c r="O982" s="12" t="s">
        <v>8124</v>
      </c>
      <c r="P982" s="14" t="s">
        <v>8126</v>
      </c>
      <c r="Q982" s="17" t="s">
        <v>137</v>
      </c>
      <c r="R982" s="17" t="s">
        <v>146</v>
      </c>
    </row>
    <row r="983" spans="1:18" x14ac:dyDescent="0.3">
      <c r="A983" s="12" t="s">
        <v>8127</v>
      </c>
      <c r="B983" s="12" t="s">
        <v>12</v>
      </c>
      <c r="C983" s="12"/>
      <c r="D983" s="12" t="s">
        <v>12</v>
      </c>
      <c r="E983" s="12" t="s">
        <v>8118</v>
      </c>
      <c r="F983" s="12" t="s">
        <v>6066</v>
      </c>
      <c r="G983" s="12" t="s">
        <v>2069</v>
      </c>
      <c r="H983" s="12" t="s">
        <v>37</v>
      </c>
      <c r="I983" s="12" t="s">
        <v>26</v>
      </c>
      <c r="J983" s="13" t="s">
        <v>2070</v>
      </c>
      <c r="K983" s="14" t="s">
        <v>8128</v>
      </c>
      <c r="L983" s="15">
        <v>2</v>
      </c>
      <c r="M983" s="15" t="s">
        <v>144</v>
      </c>
      <c r="N983" s="16">
        <v>43678</v>
      </c>
      <c r="O983" s="12" t="s">
        <v>8127</v>
      </c>
      <c r="P983" s="14" t="s">
        <v>8129</v>
      </c>
      <c r="Q983" s="17" t="s">
        <v>137</v>
      </c>
      <c r="R983" s="17" t="s">
        <v>146</v>
      </c>
    </row>
    <row r="984" spans="1:18" x14ac:dyDescent="0.3">
      <c r="A984" s="12" t="s">
        <v>8130</v>
      </c>
      <c r="B984" s="12" t="s">
        <v>12</v>
      </c>
      <c r="C984" s="12"/>
      <c r="D984" s="12" t="s">
        <v>12</v>
      </c>
      <c r="E984" s="12" t="s">
        <v>8100</v>
      </c>
      <c r="F984" s="12"/>
      <c r="G984" s="12" t="s">
        <v>2069</v>
      </c>
      <c r="H984" s="12" t="s">
        <v>37</v>
      </c>
      <c r="I984" s="12" t="s">
        <v>26</v>
      </c>
      <c r="J984" s="13" t="s">
        <v>2070</v>
      </c>
      <c r="K984" s="14" t="s">
        <v>8114</v>
      </c>
      <c r="L984" s="15">
        <v>3</v>
      </c>
      <c r="M984" s="15" t="s">
        <v>144</v>
      </c>
      <c r="N984" s="16">
        <v>44065</v>
      </c>
      <c r="O984" s="12" t="s">
        <v>8130</v>
      </c>
      <c r="P984" s="14" t="s">
        <v>8131</v>
      </c>
      <c r="Q984" s="17" t="s">
        <v>137</v>
      </c>
      <c r="R984" s="17" t="s">
        <v>146</v>
      </c>
    </row>
    <row r="985" spans="1:18" x14ac:dyDescent="0.3">
      <c r="A985" s="12" t="s">
        <v>8132</v>
      </c>
      <c r="B985" s="12" t="s">
        <v>12</v>
      </c>
      <c r="C985" s="12"/>
      <c r="D985" s="12" t="s">
        <v>12</v>
      </c>
      <c r="E985" s="12" t="s">
        <v>8125</v>
      </c>
      <c r="F985" s="12" t="s">
        <v>8133</v>
      </c>
      <c r="G985" s="12" t="s">
        <v>2069</v>
      </c>
      <c r="H985" s="12" t="s">
        <v>37</v>
      </c>
      <c r="I985" s="12" t="s">
        <v>26</v>
      </c>
      <c r="J985" s="13" t="s">
        <v>2070</v>
      </c>
      <c r="K985" s="14" t="s">
        <v>7982</v>
      </c>
      <c r="L985" s="15">
        <v>0</v>
      </c>
      <c r="M985" s="15" t="s">
        <v>144</v>
      </c>
      <c r="N985" s="16">
        <v>39454</v>
      </c>
      <c r="O985" s="12" t="s">
        <v>8132</v>
      </c>
      <c r="P985" s="14" t="s">
        <v>8134</v>
      </c>
      <c r="Q985" s="17" t="s">
        <v>137</v>
      </c>
      <c r="R985" s="17" t="s">
        <v>146</v>
      </c>
    </row>
    <row r="986" spans="1:18" x14ac:dyDescent="0.3">
      <c r="A986" s="12" t="s">
        <v>8135</v>
      </c>
      <c r="B986" s="12" t="s">
        <v>10</v>
      </c>
      <c r="C986" s="12"/>
      <c r="D986" s="12" t="s">
        <v>157</v>
      </c>
      <c r="E986" s="12" t="s">
        <v>8136</v>
      </c>
      <c r="F986" s="12" t="s">
        <v>6321</v>
      </c>
      <c r="G986" s="12" t="s">
        <v>2069</v>
      </c>
      <c r="H986" s="12" t="s">
        <v>37</v>
      </c>
      <c r="I986" s="12" t="s">
        <v>26</v>
      </c>
      <c r="J986" s="13" t="s">
        <v>2070</v>
      </c>
      <c r="K986" s="14" t="s">
        <v>8137</v>
      </c>
      <c r="L986" s="15">
        <v>0</v>
      </c>
      <c r="M986" s="15" t="s">
        <v>144</v>
      </c>
      <c r="N986" s="16">
        <v>41591</v>
      </c>
      <c r="O986" s="12" t="s">
        <v>8135</v>
      </c>
      <c r="P986" s="14" t="s">
        <v>8138</v>
      </c>
      <c r="Q986" s="17" t="s">
        <v>137</v>
      </c>
      <c r="R986" s="17" t="s">
        <v>146</v>
      </c>
    </row>
    <row r="987" spans="1:18" x14ac:dyDescent="0.3">
      <c r="A987" s="12" t="s">
        <v>8139</v>
      </c>
      <c r="B987" s="12" t="s">
        <v>12</v>
      </c>
      <c r="C987" s="12"/>
      <c r="D987" s="12" t="s">
        <v>12</v>
      </c>
      <c r="E987" s="12" t="s">
        <v>8121</v>
      </c>
      <c r="F987" s="12" t="s">
        <v>918</v>
      </c>
      <c r="G987" s="12" t="s">
        <v>2069</v>
      </c>
      <c r="H987" s="12" t="s">
        <v>37</v>
      </c>
      <c r="I987" s="12" t="s">
        <v>26</v>
      </c>
      <c r="J987" s="13" t="s">
        <v>2070</v>
      </c>
      <c r="K987" s="14" t="s">
        <v>8140</v>
      </c>
      <c r="L987" s="15">
        <v>3</v>
      </c>
      <c r="M987" s="15" t="s">
        <v>144</v>
      </c>
      <c r="N987" s="16">
        <v>42332</v>
      </c>
      <c r="O987" s="12" t="s">
        <v>8139</v>
      </c>
      <c r="P987" s="14" t="s">
        <v>8141</v>
      </c>
      <c r="Q987" s="17" t="s">
        <v>137</v>
      </c>
      <c r="R987" s="17" t="s">
        <v>146</v>
      </c>
    </row>
    <row r="988" spans="1:18" x14ac:dyDescent="0.3">
      <c r="A988" s="12" t="s">
        <v>8142</v>
      </c>
      <c r="B988" s="12" t="s">
        <v>10</v>
      </c>
      <c r="C988" s="12"/>
      <c r="D988" s="12" t="s">
        <v>588</v>
      </c>
      <c r="E988" s="12" t="s">
        <v>2078</v>
      </c>
      <c r="F988" s="12" t="s">
        <v>1805</v>
      </c>
      <c r="G988" s="12" t="s">
        <v>2069</v>
      </c>
      <c r="H988" s="12" t="s">
        <v>37</v>
      </c>
      <c r="I988" s="12" t="s">
        <v>26</v>
      </c>
      <c r="J988" s="13" t="s">
        <v>2070</v>
      </c>
      <c r="K988" s="14" t="s">
        <v>8143</v>
      </c>
      <c r="L988" s="15">
        <v>1</v>
      </c>
      <c r="M988" s="15" t="s">
        <v>220</v>
      </c>
      <c r="N988" s="16">
        <v>44245</v>
      </c>
      <c r="O988" s="12" t="s">
        <v>8144</v>
      </c>
      <c r="P988" s="14" t="s">
        <v>8145</v>
      </c>
      <c r="Q988" s="17" t="s">
        <v>137</v>
      </c>
      <c r="R988" s="17" t="s">
        <v>146</v>
      </c>
    </row>
    <row r="989" spans="1:18" x14ac:dyDescent="0.3">
      <c r="A989" s="12" t="s">
        <v>8146</v>
      </c>
      <c r="B989" s="12" t="s">
        <v>12</v>
      </c>
      <c r="C989" s="12"/>
      <c r="D989" s="12" t="s">
        <v>12</v>
      </c>
      <c r="E989" s="12" t="s">
        <v>2078</v>
      </c>
      <c r="F989" s="12" t="s">
        <v>6125</v>
      </c>
      <c r="G989" s="12" t="s">
        <v>2069</v>
      </c>
      <c r="H989" s="12" t="s">
        <v>37</v>
      </c>
      <c r="I989" s="12" t="s">
        <v>26</v>
      </c>
      <c r="J989" s="13" t="s">
        <v>2070</v>
      </c>
      <c r="K989" s="14" t="s">
        <v>8108</v>
      </c>
      <c r="L989" s="15">
        <v>4</v>
      </c>
      <c r="M989" s="15" t="s">
        <v>144</v>
      </c>
      <c r="N989" s="16">
        <v>44065</v>
      </c>
      <c r="O989" s="12" t="s">
        <v>8146</v>
      </c>
      <c r="P989" s="14" t="s">
        <v>8147</v>
      </c>
      <c r="Q989" s="17" t="s">
        <v>137</v>
      </c>
      <c r="R989" s="17" t="s">
        <v>146</v>
      </c>
    </row>
    <row r="990" spans="1:18" x14ac:dyDescent="0.3">
      <c r="A990" s="12" t="s">
        <v>8148</v>
      </c>
      <c r="B990" s="12" t="s">
        <v>12</v>
      </c>
      <c r="C990" s="12"/>
      <c r="D990" s="12" t="s">
        <v>12</v>
      </c>
      <c r="E990" s="12" t="s">
        <v>8100</v>
      </c>
      <c r="F990" s="12"/>
      <c r="G990" s="12" t="s">
        <v>2069</v>
      </c>
      <c r="H990" s="12" t="s">
        <v>37</v>
      </c>
      <c r="I990" s="12" t="s">
        <v>26</v>
      </c>
      <c r="J990" s="13" t="s">
        <v>2070</v>
      </c>
      <c r="K990" s="14" t="s">
        <v>8114</v>
      </c>
      <c r="L990" s="15">
        <v>3</v>
      </c>
      <c r="M990" s="15" t="s">
        <v>144</v>
      </c>
      <c r="N990" s="16">
        <v>44065</v>
      </c>
      <c r="O990" s="12" t="s">
        <v>8148</v>
      </c>
      <c r="P990" s="14" t="s">
        <v>8149</v>
      </c>
      <c r="Q990" s="17" t="s">
        <v>137</v>
      </c>
      <c r="R990" s="17" t="s">
        <v>146</v>
      </c>
    </row>
    <row r="991" spans="1:18" x14ac:dyDescent="0.3">
      <c r="A991" s="12" t="s">
        <v>8150</v>
      </c>
      <c r="B991" s="12" t="s">
        <v>12</v>
      </c>
      <c r="C991" s="12"/>
      <c r="D991" s="12" t="s">
        <v>12</v>
      </c>
      <c r="E991" s="12" t="s">
        <v>8151</v>
      </c>
      <c r="F991" s="12"/>
      <c r="G991" s="12" t="s">
        <v>2069</v>
      </c>
      <c r="H991" s="12" t="s">
        <v>37</v>
      </c>
      <c r="I991" s="12" t="s">
        <v>26</v>
      </c>
      <c r="J991" s="13" t="s">
        <v>2070</v>
      </c>
      <c r="K991" s="14" t="s">
        <v>8152</v>
      </c>
      <c r="L991" s="15">
        <v>0</v>
      </c>
      <c r="M991" s="15" t="s">
        <v>144</v>
      </c>
      <c r="N991" s="16">
        <v>43290</v>
      </c>
      <c r="O991" s="12" t="s">
        <v>8150</v>
      </c>
      <c r="P991" s="14" t="s">
        <v>8153</v>
      </c>
      <c r="Q991" s="17" t="s">
        <v>137</v>
      </c>
      <c r="R991" s="17" t="s">
        <v>146</v>
      </c>
    </row>
    <row r="992" spans="1:18" x14ac:dyDescent="0.3">
      <c r="A992" s="12" t="s">
        <v>8154</v>
      </c>
      <c r="B992" s="12" t="s">
        <v>12</v>
      </c>
      <c r="C992" s="12"/>
      <c r="D992" s="12" t="s">
        <v>12</v>
      </c>
      <c r="E992" s="12" t="s">
        <v>8155</v>
      </c>
      <c r="F992" s="12" t="s">
        <v>218</v>
      </c>
      <c r="G992" s="12" t="s">
        <v>2069</v>
      </c>
      <c r="H992" s="12" t="s">
        <v>37</v>
      </c>
      <c r="I992" s="12" t="s">
        <v>26</v>
      </c>
      <c r="J992" s="13" t="s">
        <v>2070</v>
      </c>
      <c r="K992" s="14" t="s">
        <v>8156</v>
      </c>
      <c r="L992" s="15">
        <v>0</v>
      </c>
      <c r="M992" s="15" t="s">
        <v>144</v>
      </c>
      <c r="N992" s="16">
        <v>42268</v>
      </c>
      <c r="O992" s="12" t="s">
        <v>8154</v>
      </c>
      <c r="P992" s="14" t="s">
        <v>8157</v>
      </c>
      <c r="Q992" s="17" t="s">
        <v>137</v>
      </c>
      <c r="R992" s="17" t="s">
        <v>146</v>
      </c>
    </row>
    <row r="993" spans="1:18" x14ac:dyDescent="0.3">
      <c r="A993" s="12" t="s">
        <v>8158</v>
      </c>
      <c r="B993" s="12" t="s">
        <v>10</v>
      </c>
      <c r="C993" s="12"/>
      <c r="D993" s="12" t="s">
        <v>252</v>
      </c>
      <c r="E993" s="12" t="s">
        <v>8159</v>
      </c>
      <c r="F993" s="12" t="s">
        <v>447</v>
      </c>
      <c r="G993" s="12" t="s">
        <v>2069</v>
      </c>
      <c r="H993" s="12" t="s">
        <v>37</v>
      </c>
      <c r="I993" s="12" t="s">
        <v>26</v>
      </c>
      <c r="J993" s="13" t="s">
        <v>2070</v>
      </c>
      <c r="K993" s="14" t="s">
        <v>8160</v>
      </c>
      <c r="L993" s="15">
        <v>0</v>
      </c>
      <c r="M993" s="15" t="s">
        <v>144</v>
      </c>
      <c r="N993" s="16">
        <v>44065</v>
      </c>
      <c r="O993" s="12" t="s">
        <v>8158</v>
      </c>
      <c r="P993" s="14" t="s">
        <v>8161</v>
      </c>
      <c r="Q993" s="17" t="s">
        <v>137</v>
      </c>
      <c r="R993" s="17" t="s">
        <v>146</v>
      </c>
    </row>
    <row r="994" spans="1:18" x14ac:dyDescent="0.3">
      <c r="A994" s="12" t="s">
        <v>8162</v>
      </c>
      <c r="B994" s="12" t="s">
        <v>12</v>
      </c>
      <c r="C994" s="12"/>
      <c r="D994" s="12" t="s">
        <v>12</v>
      </c>
      <c r="E994" s="12" t="s">
        <v>2078</v>
      </c>
      <c r="F994" s="12" t="s">
        <v>1191</v>
      </c>
      <c r="G994" s="12" t="s">
        <v>2069</v>
      </c>
      <c r="H994" s="12" t="s">
        <v>37</v>
      </c>
      <c r="I994" s="12" t="s">
        <v>26</v>
      </c>
      <c r="J994" s="13" t="s">
        <v>2070</v>
      </c>
      <c r="K994" s="14" t="s">
        <v>2085</v>
      </c>
      <c r="L994" s="15">
        <v>4</v>
      </c>
      <c r="M994" s="15" t="s">
        <v>144</v>
      </c>
      <c r="N994" s="16">
        <v>43473</v>
      </c>
      <c r="O994" s="12" t="s">
        <v>8162</v>
      </c>
      <c r="P994" s="14" t="s">
        <v>8163</v>
      </c>
      <c r="Q994" s="17" t="s">
        <v>137</v>
      </c>
      <c r="R994" s="17" t="s">
        <v>146</v>
      </c>
    </row>
    <row r="995" spans="1:18" x14ac:dyDescent="0.3">
      <c r="A995" s="12" t="s">
        <v>8164</v>
      </c>
      <c r="B995" s="12" t="s">
        <v>12</v>
      </c>
      <c r="C995" s="12"/>
      <c r="D995" s="12" t="s">
        <v>12</v>
      </c>
      <c r="E995" s="12" t="s">
        <v>2078</v>
      </c>
      <c r="F995" s="12" t="s">
        <v>6125</v>
      </c>
      <c r="G995" s="12" t="s">
        <v>2069</v>
      </c>
      <c r="H995" s="12" t="s">
        <v>37</v>
      </c>
      <c r="I995" s="12" t="s">
        <v>26</v>
      </c>
      <c r="J995" s="13" t="s">
        <v>2070</v>
      </c>
      <c r="K995" s="14" t="s">
        <v>8111</v>
      </c>
      <c r="L995" s="15">
        <v>4</v>
      </c>
      <c r="M995" s="15" t="s">
        <v>144</v>
      </c>
      <c r="N995" s="16">
        <v>44065</v>
      </c>
      <c r="O995" s="12" t="s">
        <v>8164</v>
      </c>
      <c r="P995" s="14" t="s">
        <v>8165</v>
      </c>
      <c r="Q995" s="17" t="s">
        <v>137</v>
      </c>
      <c r="R995" s="17" t="s">
        <v>146</v>
      </c>
    </row>
    <row r="996" spans="1:18" x14ac:dyDescent="0.3">
      <c r="A996" s="12" t="s">
        <v>8166</v>
      </c>
      <c r="B996" s="12" t="s">
        <v>12</v>
      </c>
      <c r="C996" s="12"/>
      <c r="D996" s="12" t="s">
        <v>12</v>
      </c>
      <c r="E996" s="12" t="s">
        <v>8118</v>
      </c>
      <c r="F996" s="12" t="s">
        <v>6198</v>
      </c>
      <c r="G996" s="12" t="s">
        <v>2069</v>
      </c>
      <c r="H996" s="12" t="s">
        <v>37</v>
      </c>
      <c r="I996" s="12" t="s">
        <v>26</v>
      </c>
      <c r="J996" s="13" t="s">
        <v>2070</v>
      </c>
      <c r="K996" s="14" t="s">
        <v>8167</v>
      </c>
      <c r="L996" s="15">
        <v>2</v>
      </c>
      <c r="M996" s="15" t="s">
        <v>144</v>
      </c>
      <c r="N996" s="16">
        <v>43425</v>
      </c>
      <c r="O996" s="12" t="s">
        <v>8168</v>
      </c>
      <c r="P996" s="14" t="s">
        <v>8169</v>
      </c>
      <c r="Q996" s="17" t="s">
        <v>137</v>
      </c>
      <c r="R996" s="17" t="s">
        <v>146</v>
      </c>
    </row>
    <row r="997" spans="1:18" x14ac:dyDescent="0.3">
      <c r="A997" s="12" t="s">
        <v>8170</v>
      </c>
      <c r="B997" s="12" t="s">
        <v>12</v>
      </c>
      <c r="C997" s="12"/>
      <c r="D997" s="12" t="s">
        <v>12</v>
      </c>
      <c r="E997" s="12" t="s">
        <v>8121</v>
      </c>
      <c r="F997" s="12" t="s">
        <v>918</v>
      </c>
      <c r="G997" s="12" t="s">
        <v>2069</v>
      </c>
      <c r="H997" s="12" t="s">
        <v>37</v>
      </c>
      <c r="I997" s="12" t="s">
        <v>26</v>
      </c>
      <c r="J997" s="13" t="s">
        <v>2070</v>
      </c>
      <c r="K997" s="14" t="s">
        <v>8122</v>
      </c>
      <c r="L997" s="15">
        <v>3</v>
      </c>
      <c r="M997" s="15" t="s">
        <v>144</v>
      </c>
      <c r="N997" s="16">
        <v>41605</v>
      </c>
      <c r="O997" s="12" t="s">
        <v>8170</v>
      </c>
      <c r="P997" s="14" t="s">
        <v>8171</v>
      </c>
      <c r="Q997" s="17" t="s">
        <v>137</v>
      </c>
      <c r="R997" s="17" t="s">
        <v>146</v>
      </c>
    </row>
    <row r="998" spans="1:18" x14ac:dyDescent="0.3">
      <c r="A998" s="12" t="s">
        <v>8172</v>
      </c>
      <c r="B998" s="12" t="s">
        <v>12</v>
      </c>
      <c r="C998" s="12"/>
      <c r="D998" s="12" t="s">
        <v>12</v>
      </c>
      <c r="E998" s="12" t="s">
        <v>8173</v>
      </c>
      <c r="F998" s="12" t="s">
        <v>8174</v>
      </c>
      <c r="G998" s="12" t="s">
        <v>2069</v>
      </c>
      <c r="H998" s="12" t="s">
        <v>37</v>
      </c>
      <c r="I998" s="12" t="s">
        <v>26</v>
      </c>
      <c r="J998" s="13" t="s">
        <v>2070</v>
      </c>
      <c r="K998" s="14" t="s">
        <v>8175</v>
      </c>
      <c r="L998" s="15">
        <v>1</v>
      </c>
      <c r="M998" s="15" t="s">
        <v>144</v>
      </c>
      <c r="N998" s="16">
        <v>41603</v>
      </c>
      <c r="O998" s="12" t="s">
        <v>8172</v>
      </c>
      <c r="P998" s="14" t="s">
        <v>8176</v>
      </c>
      <c r="Q998" s="17" t="s">
        <v>137</v>
      </c>
      <c r="R998" s="17" t="s">
        <v>146</v>
      </c>
    </row>
    <row r="999" spans="1:18" x14ac:dyDescent="0.3">
      <c r="A999" s="12" t="s">
        <v>8177</v>
      </c>
      <c r="B999" s="12" t="s">
        <v>12</v>
      </c>
      <c r="C999" s="12"/>
      <c r="D999" s="12" t="s">
        <v>12</v>
      </c>
      <c r="E999" s="12" t="s">
        <v>8178</v>
      </c>
      <c r="F999" s="12" t="s">
        <v>8179</v>
      </c>
      <c r="G999" s="12" t="s">
        <v>2069</v>
      </c>
      <c r="H999" s="12" t="s">
        <v>37</v>
      </c>
      <c r="I999" s="12" t="s">
        <v>26</v>
      </c>
      <c r="J999" s="13" t="s">
        <v>2070</v>
      </c>
      <c r="K999" s="14" t="s">
        <v>8140</v>
      </c>
      <c r="L999" s="15">
        <v>2</v>
      </c>
      <c r="M999" s="15" t="s">
        <v>144</v>
      </c>
      <c r="N999" s="16">
        <v>44065</v>
      </c>
      <c r="O999" s="12" t="s">
        <v>8177</v>
      </c>
      <c r="P999" s="14" t="s">
        <v>8180</v>
      </c>
      <c r="Q999" s="17" t="s">
        <v>137</v>
      </c>
      <c r="R999" s="17" t="s">
        <v>146</v>
      </c>
    </row>
    <row r="1000" spans="1:18" x14ac:dyDescent="0.3">
      <c r="A1000" s="12" t="s">
        <v>8181</v>
      </c>
      <c r="B1000" s="12" t="s">
        <v>14</v>
      </c>
      <c r="C1000" s="12"/>
      <c r="D1000" s="12" t="s">
        <v>14</v>
      </c>
      <c r="E1000" s="12" t="s">
        <v>8182</v>
      </c>
      <c r="F1000" s="12" t="s">
        <v>8183</v>
      </c>
      <c r="G1000" s="12" t="s">
        <v>2069</v>
      </c>
      <c r="H1000" s="12" t="s">
        <v>37</v>
      </c>
      <c r="I1000" s="12" t="s">
        <v>26</v>
      </c>
      <c r="J1000" s="13" t="s">
        <v>2070</v>
      </c>
      <c r="K1000" s="14" t="s">
        <v>8184</v>
      </c>
      <c r="L1000" s="15">
        <v>4</v>
      </c>
      <c r="M1000" s="15" t="s">
        <v>144</v>
      </c>
      <c r="N1000" s="16">
        <v>42831</v>
      </c>
      <c r="O1000" s="12" t="s">
        <v>8185</v>
      </c>
      <c r="P1000" s="14" t="s">
        <v>8186</v>
      </c>
      <c r="Q1000" s="17" t="s">
        <v>137</v>
      </c>
      <c r="R1000" s="17" t="s">
        <v>146</v>
      </c>
    </row>
    <row r="1001" spans="1:18" x14ac:dyDescent="0.3">
      <c r="A1001" s="12" t="s">
        <v>8187</v>
      </c>
      <c r="B1001" s="12" t="s">
        <v>12</v>
      </c>
      <c r="C1001" s="12"/>
      <c r="D1001" s="12" t="s">
        <v>12</v>
      </c>
      <c r="E1001" s="12" t="s">
        <v>8188</v>
      </c>
      <c r="F1001" s="12"/>
      <c r="G1001" s="12" t="s">
        <v>2069</v>
      </c>
      <c r="H1001" s="12" t="s">
        <v>37</v>
      </c>
      <c r="I1001" s="12" t="s">
        <v>26</v>
      </c>
      <c r="J1001" s="13" t="s">
        <v>2070</v>
      </c>
      <c r="K1001" s="14" t="s">
        <v>8189</v>
      </c>
      <c r="L1001" s="15">
        <v>0</v>
      </c>
      <c r="M1001" s="15" t="s">
        <v>144</v>
      </c>
      <c r="N1001" s="16">
        <v>39629</v>
      </c>
      <c r="O1001" s="12" t="s">
        <v>8187</v>
      </c>
      <c r="P1001" s="14" t="s">
        <v>8190</v>
      </c>
      <c r="Q1001" s="17" t="s">
        <v>137</v>
      </c>
      <c r="R1001" s="17" t="s">
        <v>146</v>
      </c>
    </row>
    <row r="1002" spans="1:18" x14ac:dyDescent="0.3">
      <c r="A1002" s="12" t="s">
        <v>8191</v>
      </c>
      <c r="B1002" s="12" t="s">
        <v>12</v>
      </c>
      <c r="C1002" s="12"/>
      <c r="D1002" s="12" t="s">
        <v>12</v>
      </c>
      <c r="E1002" s="12" t="s">
        <v>8192</v>
      </c>
      <c r="F1002" s="12" t="s">
        <v>3366</v>
      </c>
      <c r="G1002" s="12" t="s">
        <v>2099</v>
      </c>
      <c r="H1002" s="12" t="s">
        <v>37</v>
      </c>
      <c r="I1002" s="12" t="s">
        <v>26</v>
      </c>
      <c r="J1002" s="13" t="s">
        <v>2001</v>
      </c>
      <c r="K1002" s="14" t="s">
        <v>8193</v>
      </c>
      <c r="L1002" s="15">
        <v>3</v>
      </c>
      <c r="M1002" s="15" t="s">
        <v>144</v>
      </c>
      <c r="N1002" s="16">
        <v>43857</v>
      </c>
      <c r="O1002" s="12" t="s">
        <v>8191</v>
      </c>
      <c r="P1002" s="14" t="s">
        <v>8194</v>
      </c>
      <c r="Q1002" s="17" t="s">
        <v>137</v>
      </c>
      <c r="R1002" s="17" t="s">
        <v>146</v>
      </c>
    </row>
    <row r="1003" spans="1:18" x14ac:dyDescent="0.3">
      <c r="A1003" s="12" t="s">
        <v>8195</v>
      </c>
      <c r="B1003" s="12" t="s">
        <v>12</v>
      </c>
      <c r="C1003" s="12" t="s">
        <v>14</v>
      </c>
      <c r="D1003" s="12" t="s">
        <v>180</v>
      </c>
      <c r="E1003" s="12" t="s">
        <v>8196</v>
      </c>
      <c r="F1003" s="12"/>
      <c r="G1003" s="12" t="s">
        <v>2099</v>
      </c>
      <c r="H1003" s="12" t="s">
        <v>37</v>
      </c>
      <c r="I1003" s="12" t="s">
        <v>26</v>
      </c>
      <c r="J1003" s="13" t="s">
        <v>2001</v>
      </c>
      <c r="K1003" s="14" t="s">
        <v>8197</v>
      </c>
      <c r="L1003" s="15">
        <v>3</v>
      </c>
      <c r="M1003" s="15" t="s">
        <v>144</v>
      </c>
      <c r="N1003" s="16">
        <v>42746</v>
      </c>
      <c r="O1003" s="12" t="s">
        <v>8198</v>
      </c>
      <c r="P1003" s="14" t="s">
        <v>8199</v>
      </c>
      <c r="Q1003" s="17" t="s">
        <v>137</v>
      </c>
      <c r="R1003" s="17" t="s">
        <v>146</v>
      </c>
    </row>
    <row r="1004" spans="1:18" x14ac:dyDescent="0.3">
      <c r="A1004" s="12" t="s">
        <v>8200</v>
      </c>
      <c r="B1004" s="12" t="s">
        <v>12</v>
      </c>
      <c r="C1004" s="12"/>
      <c r="D1004" s="12" t="s">
        <v>12</v>
      </c>
      <c r="E1004" s="12" t="s">
        <v>8192</v>
      </c>
      <c r="F1004" s="12"/>
      <c r="G1004" s="12" t="s">
        <v>2099</v>
      </c>
      <c r="H1004" s="12" t="s">
        <v>37</v>
      </c>
      <c r="I1004" s="12" t="s">
        <v>26</v>
      </c>
      <c r="J1004" s="13" t="s">
        <v>2001</v>
      </c>
      <c r="K1004" s="14" t="s">
        <v>8201</v>
      </c>
      <c r="L1004" s="15">
        <v>3</v>
      </c>
      <c r="M1004" s="15" t="s">
        <v>144</v>
      </c>
      <c r="N1004" s="16">
        <v>42046</v>
      </c>
      <c r="O1004" s="12" t="s">
        <v>8200</v>
      </c>
      <c r="P1004" s="14" t="s">
        <v>8202</v>
      </c>
      <c r="Q1004" s="17" t="s">
        <v>137</v>
      </c>
      <c r="R1004" s="17" t="s">
        <v>146</v>
      </c>
    </row>
    <row r="1005" spans="1:18" x14ac:dyDescent="0.3">
      <c r="A1005" s="12" t="s">
        <v>8203</v>
      </c>
      <c r="B1005" s="12" t="s">
        <v>12</v>
      </c>
      <c r="C1005" s="12"/>
      <c r="D1005" s="12" t="s">
        <v>12</v>
      </c>
      <c r="E1005" s="12" t="s">
        <v>8204</v>
      </c>
      <c r="F1005" s="12"/>
      <c r="G1005" s="12" t="s">
        <v>2099</v>
      </c>
      <c r="H1005" s="12" t="s">
        <v>37</v>
      </c>
      <c r="I1005" s="12" t="s">
        <v>26</v>
      </c>
      <c r="J1005" s="13" t="s">
        <v>2001</v>
      </c>
      <c r="K1005" s="14" t="s">
        <v>8205</v>
      </c>
      <c r="L1005" s="15">
        <v>2</v>
      </c>
      <c r="M1005" s="15" t="s">
        <v>144</v>
      </c>
      <c r="N1005" s="16">
        <v>39553</v>
      </c>
      <c r="O1005" s="12" t="s">
        <v>8203</v>
      </c>
      <c r="P1005" s="14" t="s">
        <v>8206</v>
      </c>
      <c r="Q1005" s="17" t="s">
        <v>137</v>
      </c>
      <c r="R1005" s="17" t="s">
        <v>146</v>
      </c>
    </row>
    <row r="1006" spans="1:18" x14ac:dyDescent="0.3">
      <c r="A1006" s="12" t="s">
        <v>5866</v>
      </c>
      <c r="B1006" s="12" t="s">
        <v>14</v>
      </c>
      <c r="C1006" s="12"/>
      <c r="D1006" s="12" t="s">
        <v>14</v>
      </c>
      <c r="E1006" s="12" t="s">
        <v>8207</v>
      </c>
      <c r="F1006" s="12" t="s">
        <v>1270</v>
      </c>
      <c r="G1006" s="12" t="s">
        <v>2099</v>
      </c>
      <c r="H1006" s="12" t="s">
        <v>37</v>
      </c>
      <c r="I1006" s="12" t="s">
        <v>26</v>
      </c>
      <c r="J1006" s="13" t="s">
        <v>2001</v>
      </c>
      <c r="K1006" s="14" t="s">
        <v>8208</v>
      </c>
      <c r="L1006" s="15">
        <v>1</v>
      </c>
      <c r="M1006" s="15" t="s">
        <v>144</v>
      </c>
      <c r="N1006" s="16">
        <v>41030</v>
      </c>
      <c r="O1006" s="12" t="s">
        <v>5866</v>
      </c>
      <c r="P1006" s="14" t="s">
        <v>8209</v>
      </c>
      <c r="Q1006" s="17" t="s">
        <v>137</v>
      </c>
      <c r="R1006" s="17" t="s">
        <v>146</v>
      </c>
    </row>
    <row r="1007" spans="1:18" x14ac:dyDescent="0.3">
      <c r="A1007" s="12" t="s">
        <v>8210</v>
      </c>
      <c r="B1007" s="12" t="s">
        <v>12</v>
      </c>
      <c r="C1007" s="12"/>
      <c r="D1007" s="12" t="s">
        <v>12</v>
      </c>
      <c r="E1007" s="12" t="s">
        <v>8211</v>
      </c>
      <c r="F1007" s="12" t="s">
        <v>258</v>
      </c>
      <c r="G1007" s="12" t="s">
        <v>2099</v>
      </c>
      <c r="H1007" s="12" t="s">
        <v>37</v>
      </c>
      <c r="I1007" s="12" t="s">
        <v>26</v>
      </c>
      <c r="J1007" s="13" t="s">
        <v>2001</v>
      </c>
      <c r="K1007" s="14" t="s">
        <v>8212</v>
      </c>
      <c r="L1007" s="15">
        <v>0</v>
      </c>
      <c r="M1007" s="15" t="s">
        <v>144</v>
      </c>
      <c r="N1007" s="16">
        <v>44253</v>
      </c>
      <c r="O1007" s="12" t="s">
        <v>8213</v>
      </c>
      <c r="P1007" s="14" t="s">
        <v>8214</v>
      </c>
      <c r="Q1007" s="17" t="s">
        <v>137</v>
      </c>
      <c r="R1007" s="17" t="s">
        <v>146</v>
      </c>
    </row>
    <row r="1008" spans="1:18" x14ac:dyDescent="0.3">
      <c r="A1008" s="12" t="s">
        <v>8215</v>
      </c>
      <c r="B1008" s="12" t="s">
        <v>12</v>
      </c>
      <c r="C1008" s="12"/>
      <c r="D1008" s="12" t="s">
        <v>12</v>
      </c>
      <c r="E1008" s="12" t="s">
        <v>8216</v>
      </c>
      <c r="F1008" s="12" t="s">
        <v>583</v>
      </c>
      <c r="G1008" s="12" t="s">
        <v>2099</v>
      </c>
      <c r="H1008" s="12" t="s">
        <v>37</v>
      </c>
      <c r="I1008" s="12" t="s">
        <v>26</v>
      </c>
      <c r="J1008" s="13" t="s">
        <v>2001</v>
      </c>
      <c r="K1008" s="14" t="s">
        <v>8217</v>
      </c>
      <c r="L1008" s="15">
        <v>0</v>
      </c>
      <c r="M1008" s="15" t="s">
        <v>144</v>
      </c>
      <c r="N1008" s="16">
        <v>42223</v>
      </c>
      <c r="O1008" s="12" t="s">
        <v>8215</v>
      </c>
      <c r="P1008" s="14" t="s">
        <v>8218</v>
      </c>
      <c r="Q1008" s="17" t="s">
        <v>137</v>
      </c>
      <c r="R1008" s="17" t="s">
        <v>146</v>
      </c>
    </row>
    <row r="1009" spans="1:18" x14ac:dyDescent="0.3">
      <c r="A1009" s="12" t="s">
        <v>8219</v>
      </c>
      <c r="B1009" s="12" t="s">
        <v>12</v>
      </c>
      <c r="C1009" s="12"/>
      <c r="D1009" s="12" t="s">
        <v>12</v>
      </c>
      <c r="E1009" s="12" t="s">
        <v>8220</v>
      </c>
      <c r="F1009" s="12"/>
      <c r="G1009" s="12" t="s">
        <v>2099</v>
      </c>
      <c r="H1009" s="12" t="s">
        <v>37</v>
      </c>
      <c r="I1009" s="12" t="s">
        <v>26</v>
      </c>
      <c r="J1009" s="13" t="s">
        <v>2001</v>
      </c>
      <c r="K1009" s="14" t="s">
        <v>8221</v>
      </c>
      <c r="L1009" s="15">
        <v>1</v>
      </c>
      <c r="M1009" s="15" t="s">
        <v>144</v>
      </c>
      <c r="N1009" s="16">
        <v>40346</v>
      </c>
      <c r="O1009" s="12" t="s">
        <v>8219</v>
      </c>
      <c r="P1009" s="14" t="s">
        <v>8222</v>
      </c>
      <c r="Q1009" s="17" t="s">
        <v>137</v>
      </c>
      <c r="R1009" s="17" t="s">
        <v>146</v>
      </c>
    </row>
    <row r="1010" spans="1:18" x14ac:dyDescent="0.3">
      <c r="A1010" s="12" t="s">
        <v>8223</v>
      </c>
      <c r="B1010" s="12" t="s">
        <v>12</v>
      </c>
      <c r="C1010" s="12"/>
      <c r="D1010" s="12" t="s">
        <v>12</v>
      </c>
      <c r="E1010" s="12" t="s">
        <v>8224</v>
      </c>
      <c r="F1010" s="12" t="s">
        <v>1765</v>
      </c>
      <c r="G1010" s="12" t="s">
        <v>2099</v>
      </c>
      <c r="H1010" s="12" t="s">
        <v>37</v>
      </c>
      <c r="I1010" s="12" t="s">
        <v>26</v>
      </c>
      <c r="J1010" s="13" t="s">
        <v>2001</v>
      </c>
      <c r="K1010" s="14" t="s">
        <v>8225</v>
      </c>
      <c r="L1010" s="15">
        <v>0</v>
      </c>
      <c r="M1010" s="15" t="s">
        <v>144</v>
      </c>
      <c r="N1010" s="16">
        <v>40584</v>
      </c>
      <c r="O1010" s="12" t="s">
        <v>8223</v>
      </c>
      <c r="P1010" s="14" t="s">
        <v>8226</v>
      </c>
      <c r="Q1010" s="17" t="s">
        <v>137</v>
      </c>
      <c r="R1010" s="17" t="s">
        <v>146</v>
      </c>
    </row>
    <row r="1011" spans="1:18" x14ac:dyDescent="0.3">
      <c r="A1011" s="12" t="s">
        <v>8227</v>
      </c>
      <c r="B1011" s="12" t="s">
        <v>10</v>
      </c>
      <c r="C1011" s="12"/>
      <c r="D1011" s="12" t="s">
        <v>157</v>
      </c>
      <c r="E1011" s="12" t="s">
        <v>8228</v>
      </c>
      <c r="F1011" s="12"/>
      <c r="G1011" s="12" t="s">
        <v>2099</v>
      </c>
      <c r="H1011" s="12" t="s">
        <v>37</v>
      </c>
      <c r="I1011" s="12" t="s">
        <v>26</v>
      </c>
      <c r="J1011" s="13" t="s">
        <v>2001</v>
      </c>
      <c r="K1011" s="14" t="s">
        <v>8229</v>
      </c>
      <c r="L1011" s="15">
        <v>0</v>
      </c>
      <c r="M1011" s="15" t="s">
        <v>144</v>
      </c>
      <c r="N1011" s="16">
        <v>42096</v>
      </c>
      <c r="O1011" s="12" t="s">
        <v>8230</v>
      </c>
      <c r="P1011" s="14" t="s">
        <v>8231</v>
      </c>
      <c r="Q1011" s="17" t="s">
        <v>137</v>
      </c>
      <c r="R1011" s="17" t="s">
        <v>146</v>
      </c>
    </row>
    <row r="1012" spans="1:18" x14ac:dyDescent="0.3">
      <c r="A1012" s="12" t="s">
        <v>8232</v>
      </c>
      <c r="B1012" s="12" t="s">
        <v>12</v>
      </c>
      <c r="C1012" s="12"/>
      <c r="D1012" s="12" t="s">
        <v>12</v>
      </c>
      <c r="E1012" s="12" t="s">
        <v>8233</v>
      </c>
      <c r="F1012" s="12" t="s">
        <v>871</v>
      </c>
      <c r="G1012" s="12" t="s">
        <v>2099</v>
      </c>
      <c r="H1012" s="12" t="s">
        <v>37</v>
      </c>
      <c r="I1012" s="12" t="s">
        <v>26</v>
      </c>
      <c r="J1012" s="13" t="s">
        <v>2001</v>
      </c>
      <c r="K1012" s="14" t="s">
        <v>8234</v>
      </c>
      <c r="L1012" s="15">
        <v>5</v>
      </c>
      <c r="M1012" s="15" t="s">
        <v>144</v>
      </c>
      <c r="N1012" s="16">
        <v>42577</v>
      </c>
      <c r="O1012" s="12" t="s">
        <v>8232</v>
      </c>
      <c r="P1012" s="14" t="s">
        <v>8235</v>
      </c>
      <c r="Q1012" s="17" t="s">
        <v>137</v>
      </c>
      <c r="R1012" s="17" t="s">
        <v>146</v>
      </c>
    </row>
    <row r="1013" spans="1:18" x14ac:dyDescent="0.3">
      <c r="A1013" s="12" t="s">
        <v>8236</v>
      </c>
      <c r="B1013" s="12" t="s">
        <v>14</v>
      </c>
      <c r="C1013" s="12"/>
      <c r="D1013" s="12" t="s">
        <v>14</v>
      </c>
      <c r="E1013" s="12" t="s">
        <v>8237</v>
      </c>
      <c r="F1013" s="12" t="s">
        <v>258</v>
      </c>
      <c r="G1013" s="12" t="s">
        <v>2099</v>
      </c>
      <c r="H1013" s="12" t="s">
        <v>37</v>
      </c>
      <c r="I1013" s="12" t="s">
        <v>26</v>
      </c>
      <c r="J1013" s="13" t="s">
        <v>2001</v>
      </c>
      <c r="K1013" s="14" t="s">
        <v>8238</v>
      </c>
      <c r="L1013" s="15">
        <v>2</v>
      </c>
      <c r="M1013" s="15" t="s">
        <v>144</v>
      </c>
      <c r="N1013" s="16">
        <v>43140</v>
      </c>
      <c r="O1013" s="12" t="s">
        <v>8236</v>
      </c>
      <c r="P1013" s="14" t="s">
        <v>8239</v>
      </c>
      <c r="Q1013" s="17" t="s">
        <v>137</v>
      </c>
      <c r="R1013" s="17" t="s">
        <v>146</v>
      </c>
    </row>
    <row r="1014" spans="1:18" x14ac:dyDescent="0.3">
      <c r="A1014" s="12" t="s">
        <v>8240</v>
      </c>
      <c r="B1014" s="12" t="s">
        <v>12</v>
      </c>
      <c r="C1014" s="12"/>
      <c r="D1014" s="12" t="s">
        <v>12</v>
      </c>
      <c r="E1014" s="12" t="s">
        <v>8192</v>
      </c>
      <c r="F1014" s="12" t="s">
        <v>3366</v>
      </c>
      <c r="G1014" s="12" t="s">
        <v>2099</v>
      </c>
      <c r="H1014" s="12" t="s">
        <v>37</v>
      </c>
      <c r="I1014" s="12" t="s">
        <v>26</v>
      </c>
      <c r="J1014" s="13" t="s">
        <v>2001</v>
      </c>
      <c r="K1014" s="14" t="s">
        <v>8201</v>
      </c>
      <c r="L1014" s="15">
        <v>3</v>
      </c>
      <c r="M1014" s="15" t="s">
        <v>144</v>
      </c>
      <c r="N1014" s="16">
        <v>41300</v>
      </c>
      <c r="O1014" s="12" t="s">
        <v>8240</v>
      </c>
      <c r="P1014" s="14" t="s">
        <v>8241</v>
      </c>
      <c r="Q1014" s="17" t="s">
        <v>137</v>
      </c>
      <c r="R1014" s="17" t="s">
        <v>146</v>
      </c>
    </row>
    <row r="1015" spans="1:18" x14ac:dyDescent="0.3">
      <c r="A1015" s="12" t="s">
        <v>8242</v>
      </c>
      <c r="B1015" s="12" t="s">
        <v>12</v>
      </c>
      <c r="C1015" s="12"/>
      <c r="D1015" s="12" t="s">
        <v>12</v>
      </c>
      <c r="E1015" s="12" t="s">
        <v>8243</v>
      </c>
      <c r="F1015" s="12" t="s">
        <v>293</v>
      </c>
      <c r="G1015" s="12" t="s">
        <v>2099</v>
      </c>
      <c r="H1015" s="12" t="s">
        <v>37</v>
      </c>
      <c r="I1015" s="12" t="s">
        <v>26</v>
      </c>
      <c r="J1015" s="13" t="s">
        <v>2001</v>
      </c>
      <c r="K1015" s="14" t="s">
        <v>8244</v>
      </c>
      <c r="L1015" s="15">
        <v>0</v>
      </c>
      <c r="M1015" s="15" t="s">
        <v>144</v>
      </c>
      <c r="N1015" s="16">
        <v>40261</v>
      </c>
      <c r="O1015" s="12" t="s">
        <v>8242</v>
      </c>
      <c r="P1015" s="14" t="s">
        <v>8245</v>
      </c>
      <c r="Q1015" s="17" t="s">
        <v>137</v>
      </c>
      <c r="R1015" s="17" t="s">
        <v>146</v>
      </c>
    </row>
    <row r="1016" spans="1:18" x14ac:dyDescent="0.3">
      <c r="A1016" s="12" t="s">
        <v>8246</v>
      </c>
      <c r="B1016" s="12" t="s">
        <v>14</v>
      </c>
      <c r="C1016" s="12"/>
      <c r="D1016" s="12" t="s">
        <v>14</v>
      </c>
      <c r="E1016" s="12" t="s">
        <v>8207</v>
      </c>
      <c r="F1016" s="12" t="s">
        <v>1270</v>
      </c>
      <c r="G1016" s="12" t="s">
        <v>2099</v>
      </c>
      <c r="H1016" s="12" t="s">
        <v>37</v>
      </c>
      <c r="I1016" s="12" t="s">
        <v>26</v>
      </c>
      <c r="J1016" s="13" t="s">
        <v>2001</v>
      </c>
      <c r="K1016" s="14" t="s">
        <v>8208</v>
      </c>
      <c r="L1016" s="15">
        <v>1</v>
      </c>
      <c r="M1016" s="15" t="s">
        <v>144</v>
      </c>
      <c r="N1016" s="16">
        <v>41199</v>
      </c>
      <c r="O1016" s="12" t="s">
        <v>8246</v>
      </c>
      <c r="P1016" s="14" t="s">
        <v>8247</v>
      </c>
      <c r="Q1016" s="17" t="s">
        <v>137</v>
      </c>
      <c r="R1016" s="17" t="s">
        <v>146</v>
      </c>
    </row>
    <row r="1017" spans="1:18" x14ac:dyDescent="0.3">
      <c r="A1017" s="12" t="s">
        <v>8248</v>
      </c>
      <c r="B1017" s="12" t="s">
        <v>12</v>
      </c>
      <c r="C1017" s="12"/>
      <c r="D1017" s="12" t="s">
        <v>12</v>
      </c>
      <c r="E1017" s="12" t="s">
        <v>8249</v>
      </c>
      <c r="F1017" s="12"/>
      <c r="G1017" s="12" t="s">
        <v>2099</v>
      </c>
      <c r="H1017" s="12" t="s">
        <v>37</v>
      </c>
      <c r="I1017" s="12" t="s">
        <v>26</v>
      </c>
      <c r="J1017" s="13" t="s">
        <v>2001</v>
      </c>
      <c r="K1017" s="14" t="s">
        <v>8250</v>
      </c>
      <c r="L1017" s="15">
        <v>3</v>
      </c>
      <c r="M1017" s="15" t="s">
        <v>144</v>
      </c>
      <c r="N1017" s="16">
        <v>39687</v>
      </c>
      <c r="O1017" s="12" t="s">
        <v>8248</v>
      </c>
      <c r="P1017" s="14" t="s">
        <v>8251</v>
      </c>
      <c r="Q1017" s="17" t="s">
        <v>137</v>
      </c>
      <c r="R1017" s="17" t="s">
        <v>146</v>
      </c>
    </row>
    <row r="1018" spans="1:18" x14ac:dyDescent="0.3">
      <c r="A1018" s="12" t="s">
        <v>8252</v>
      </c>
      <c r="B1018" s="12" t="s">
        <v>12</v>
      </c>
      <c r="C1018" s="12"/>
      <c r="D1018" s="12" t="s">
        <v>12</v>
      </c>
      <c r="E1018" s="12" t="s">
        <v>8253</v>
      </c>
      <c r="F1018" s="12" t="s">
        <v>8254</v>
      </c>
      <c r="G1018" s="12" t="s">
        <v>8255</v>
      </c>
      <c r="H1018" s="12" t="s">
        <v>37</v>
      </c>
      <c r="I1018" s="12" t="s">
        <v>26</v>
      </c>
      <c r="J1018" s="13" t="s">
        <v>2045</v>
      </c>
      <c r="K1018" s="14" t="s">
        <v>8256</v>
      </c>
      <c r="L1018" s="15">
        <v>0</v>
      </c>
      <c r="M1018" s="15" t="s">
        <v>144</v>
      </c>
      <c r="N1018" s="16">
        <v>39414</v>
      </c>
      <c r="O1018" s="12" t="s">
        <v>8252</v>
      </c>
      <c r="P1018" s="14" t="s">
        <v>8257</v>
      </c>
      <c r="Q1018" s="17" t="s">
        <v>137</v>
      </c>
      <c r="R1018" s="17" t="s">
        <v>146</v>
      </c>
    </row>
    <row r="1019" spans="1:18" x14ac:dyDescent="0.3">
      <c r="A1019" s="12" t="s">
        <v>8258</v>
      </c>
      <c r="B1019" s="12" t="s">
        <v>12</v>
      </c>
      <c r="C1019" s="12"/>
      <c r="D1019" s="12" t="s">
        <v>12</v>
      </c>
      <c r="E1019" s="12" t="s">
        <v>8259</v>
      </c>
      <c r="F1019" s="12"/>
      <c r="G1019" s="12" t="s">
        <v>876</v>
      </c>
      <c r="H1019" s="12" t="s">
        <v>37</v>
      </c>
      <c r="I1019" s="12" t="s">
        <v>26</v>
      </c>
      <c r="J1019" s="13" t="s">
        <v>2184</v>
      </c>
      <c r="K1019" s="14" t="s">
        <v>8260</v>
      </c>
      <c r="L1019" s="15">
        <v>1</v>
      </c>
      <c r="M1019" s="15" t="s">
        <v>144</v>
      </c>
      <c r="N1019" s="16">
        <v>43205</v>
      </c>
      <c r="O1019" s="12" t="s">
        <v>8258</v>
      </c>
      <c r="P1019" s="14" t="s">
        <v>8261</v>
      </c>
      <c r="Q1019" s="17" t="s">
        <v>137</v>
      </c>
      <c r="R1019" s="17" t="s">
        <v>146</v>
      </c>
    </row>
    <row r="1020" spans="1:18" x14ac:dyDescent="0.3">
      <c r="A1020" s="12" t="s">
        <v>8262</v>
      </c>
      <c r="B1020" s="12" t="s">
        <v>12</v>
      </c>
      <c r="C1020" s="12"/>
      <c r="D1020" s="12" t="s">
        <v>12</v>
      </c>
      <c r="E1020" s="12" t="s">
        <v>8263</v>
      </c>
      <c r="F1020" s="12"/>
      <c r="G1020" s="12" t="s">
        <v>876</v>
      </c>
      <c r="H1020" s="12" t="s">
        <v>37</v>
      </c>
      <c r="I1020" s="12" t="s">
        <v>26</v>
      </c>
      <c r="J1020" s="13" t="s">
        <v>2184</v>
      </c>
      <c r="K1020" s="14" t="s">
        <v>8264</v>
      </c>
      <c r="L1020" s="15">
        <v>2</v>
      </c>
      <c r="M1020" s="15" t="s">
        <v>144</v>
      </c>
      <c r="N1020" s="16">
        <v>43685</v>
      </c>
      <c r="O1020" s="12" t="s">
        <v>8262</v>
      </c>
      <c r="P1020" s="14" t="s">
        <v>8265</v>
      </c>
      <c r="Q1020" s="17" t="s">
        <v>137</v>
      </c>
      <c r="R1020" s="17" t="s">
        <v>146</v>
      </c>
    </row>
    <row r="1021" spans="1:18" x14ac:dyDescent="0.3">
      <c r="A1021" s="12" t="s">
        <v>8266</v>
      </c>
      <c r="B1021" s="12" t="s">
        <v>12</v>
      </c>
      <c r="C1021" s="12"/>
      <c r="D1021" s="12" t="s">
        <v>12</v>
      </c>
      <c r="E1021" s="12" t="s">
        <v>8267</v>
      </c>
      <c r="F1021" s="12" t="s">
        <v>8268</v>
      </c>
      <c r="G1021" s="12" t="s">
        <v>876</v>
      </c>
      <c r="H1021" s="12" t="s">
        <v>37</v>
      </c>
      <c r="I1021" s="12" t="s">
        <v>26</v>
      </c>
      <c r="J1021" s="13" t="s">
        <v>2144</v>
      </c>
      <c r="K1021" s="14" t="s">
        <v>8269</v>
      </c>
      <c r="L1021" s="15">
        <v>1</v>
      </c>
      <c r="M1021" s="15" t="s">
        <v>144</v>
      </c>
      <c r="N1021" s="16">
        <v>42027</v>
      </c>
      <c r="O1021" s="12" t="s">
        <v>8266</v>
      </c>
      <c r="P1021" s="14" t="s">
        <v>8270</v>
      </c>
      <c r="Q1021" s="17" t="s">
        <v>137</v>
      </c>
      <c r="R1021" s="17" t="s">
        <v>146</v>
      </c>
    </row>
    <row r="1022" spans="1:18" x14ac:dyDescent="0.3">
      <c r="A1022" s="12" t="s">
        <v>8271</v>
      </c>
      <c r="B1022" s="12" t="s">
        <v>12</v>
      </c>
      <c r="C1022" s="12"/>
      <c r="D1022" s="12" t="s">
        <v>12</v>
      </c>
      <c r="E1022" s="12" t="s">
        <v>8272</v>
      </c>
      <c r="F1022" s="12"/>
      <c r="G1022" s="12" t="s">
        <v>876</v>
      </c>
      <c r="H1022" s="12" t="s">
        <v>37</v>
      </c>
      <c r="I1022" s="12" t="s">
        <v>26</v>
      </c>
      <c r="J1022" s="13" t="s">
        <v>2184</v>
      </c>
      <c r="K1022" s="14" t="s">
        <v>7766</v>
      </c>
      <c r="L1022" s="15">
        <v>6</v>
      </c>
      <c r="M1022" s="15" t="s">
        <v>144</v>
      </c>
      <c r="N1022" s="16">
        <v>43766</v>
      </c>
      <c r="O1022" s="12" t="s">
        <v>8271</v>
      </c>
      <c r="P1022" s="14" t="s">
        <v>8273</v>
      </c>
      <c r="Q1022" s="17" t="s">
        <v>137</v>
      </c>
      <c r="R1022" s="17" t="s">
        <v>146</v>
      </c>
    </row>
    <row r="1023" spans="1:18" x14ac:dyDescent="0.3">
      <c r="A1023" s="12" t="s">
        <v>8274</v>
      </c>
      <c r="B1023" s="12" t="s">
        <v>12</v>
      </c>
      <c r="C1023" s="12"/>
      <c r="D1023" s="12" t="s">
        <v>12</v>
      </c>
      <c r="E1023" s="12" t="s">
        <v>8275</v>
      </c>
      <c r="F1023" s="12"/>
      <c r="G1023" s="12" t="s">
        <v>876</v>
      </c>
      <c r="H1023" s="12" t="s">
        <v>37</v>
      </c>
      <c r="I1023" s="12" t="s">
        <v>26</v>
      </c>
      <c r="J1023" s="13" t="s">
        <v>2123</v>
      </c>
      <c r="K1023" s="14" t="s">
        <v>8276</v>
      </c>
      <c r="L1023" s="15">
        <v>1</v>
      </c>
      <c r="M1023" s="15" t="s">
        <v>144</v>
      </c>
      <c r="N1023" s="16">
        <v>40757</v>
      </c>
      <c r="O1023" s="12" t="s">
        <v>8274</v>
      </c>
      <c r="P1023" s="14" t="s">
        <v>8277</v>
      </c>
      <c r="Q1023" s="17" t="s">
        <v>137</v>
      </c>
      <c r="R1023" s="17" t="s">
        <v>146</v>
      </c>
    </row>
    <row r="1024" spans="1:18" x14ac:dyDescent="0.3">
      <c r="A1024" s="12" t="s">
        <v>8278</v>
      </c>
      <c r="B1024" s="12" t="s">
        <v>10</v>
      </c>
      <c r="C1024" s="12"/>
      <c r="D1024" s="12" t="s">
        <v>252</v>
      </c>
      <c r="E1024" s="12" t="s">
        <v>8279</v>
      </c>
      <c r="F1024" s="12" t="s">
        <v>188</v>
      </c>
      <c r="G1024" s="12" t="s">
        <v>876</v>
      </c>
      <c r="H1024" s="12" t="s">
        <v>37</v>
      </c>
      <c r="I1024" s="12" t="s">
        <v>26</v>
      </c>
      <c r="J1024" s="13" t="s">
        <v>8280</v>
      </c>
      <c r="K1024" s="14" t="s">
        <v>8281</v>
      </c>
      <c r="L1024" s="15">
        <v>0</v>
      </c>
      <c r="M1024" s="15" t="s">
        <v>144</v>
      </c>
      <c r="N1024" s="16">
        <v>43097</v>
      </c>
      <c r="O1024" s="12" t="s">
        <v>8278</v>
      </c>
      <c r="P1024" s="14" t="s">
        <v>8282</v>
      </c>
      <c r="Q1024" s="17" t="s">
        <v>137</v>
      </c>
      <c r="R1024" s="17" t="s">
        <v>146</v>
      </c>
    </row>
    <row r="1025" spans="1:18" x14ac:dyDescent="0.3">
      <c r="A1025" s="12" t="s">
        <v>8283</v>
      </c>
      <c r="B1025" s="12" t="s">
        <v>10</v>
      </c>
      <c r="C1025" s="12"/>
      <c r="D1025" s="12" t="s">
        <v>440</v>
      </c>
      <c r="E1025" s="12" t="s">
        <v>8284</v>
      </c>
      <c r="F1025" s="12"/>
      <c r="G1025" s="12" t="s">
        <v>876</v>
      </c>
      <c r="H1025" s="12" t="s">
        <v>37</v>
      </c>
      <c r="I1025" s="12" t="s">
        <v>26</v>
      </c>
      <c r="J1025" s="13" t="s">
        <v>2157</v>
      </c>
      <c r="K1025" s="14" t="s">
        <v>8285</v>
      </c>
      <c r="L1025" s="15">
        <v>0</v>
      </c>
      <c r="M1025" s="15" t="s">
        <v>144</v>
      </c>
      <c r="N1025" s="16">
        <v>41382</v>
      </c>
      <c r="O1025" s="12" t="s">
        <v>8283</v>
      </c>
      <c r="P1025" s="14" t="s">
        <v>8286</v>
      </c>
      <c r="Q1025" s="17" t="s">
        <v>137</v>
      </c>
      <c r="R1025" s="17" t="s">
        <v>146</v>
      </c>
    </row>
    <row r="1026" spans="1:18" x14ac:dyDescent="0.3">
      <c r="A1026" s="12" t="s">
        <v>8287</v>
      </c>
      <c r="B1026" s="12" t="s">
        <v>12</v>
      </c>
      <c r="C1026" s="12"/>
      <c r="D1026" s="12" t="s">
        <v>12</v>
      </c>
      <c r="E1026" s="12" t="s">
        <v>2172</v>
      </c>
      <c r="F1026" s="12"/>
      <c r="G1026" s="12" t="s">
        <v>876</v>
      </c>
      <c r="H1026" s="12" t="s">
        <v>37</v>
      </c>
      <c r="I1026" s="12" t="s">
        <v>26</v>
      </c>
      <c r="J1026" s="13" t="s">
        <v>2109</v>
      </c>
      <c r="K1026" s="14" t="s">
        <v>8288</v>
      </c>
      <c r="L1026" s="15">
        <v>1</v>
      </c>
      <c r="M1026" s="15" t="s">
        <v>144</v>
      </c>
      <c r="N1026" s="16">
        <v>39539</v>
      </c>
      <c r="O1026" s="12" t="s">
        <v>8287</v>
      </c>
      <c r="P1026" s="14" t="s">
        <v>8289</v>
      </c>
      <c r="Q1026" s="17" t="s">
        <v>137</v>
      </c>
      <c r="R1026" s="17" t="s">
        <v>146</v>
      </c>
    </row>
    <row r="1027" spans="1:18" x14ac:dyDescent="0.3">
      <c r="A1027" s="12" t="s">
        <v>8290</v>
      </c>
      <c r="B1027" s="12" t="s">
        <v>12</v>
      </c>
      <c r="C1027" s="12"/>
      <c r="D1027" s="12" t="s">
        <v>12</v>
      </c>
      <c r="E1027" s="12" t="s">
        <v>8291</v>
      </c>
      <c r="F1027" s="12"/>
      <c r="G1027" s="12" t="s">
        <v>876</v>
      </c>
      <c r="H1027" s="12" t="s">
        <v>37</v>
      </c>
      <c r="I1027" s="12" t="s">
        <v>26</v>
      </c>
      <c r="J1027" s="13" t="s">
        <v>2184</v>
      </c>
      <c r="K1027" s="14" t="s">
        <v>8292</v>
      </c>
      <c r="L1027" s="15">
        <v>3</v>
      </c>
      <c r="M1027" s="15" t="s">
        <v>144</v>
      </c>
      <c r="N1027" s="16">
        <v>41170</v>
      </c>
      <c r="O1027" s="12" t="s">
        <v>8293</v>
      </c>
      <c r="P1027" s="14" t="s">
        <v>8294</v>
      </c>
      <c r="Q1027" s="17" t="s">
        <v>137</v>
      </c>
      <c r="R1027" s="17" t="s">
        <v>146</v>
      </c>
    </row>
    <row r="1028" spans="1:18" x14ac:dyDescent="0.3">
      <c r="A1028" s="12" t="s">
        <v>8295</v>
      </c>
      <c r="B1028" s="12" t="s">
        <v>12</v>
      </c>
      <c r="C1028" s="12"/>
      <c r="D1028" s="12" t="s">
        <v>12</v>
      </c>
      <c r="E1028" s="12" t="s">
        <v>8296</v>
      </c>
      <c r="F1028" s="12"/>
      <c r="G1028" s="12" t="s">
        <v>876</v>
      </c>
      <c r="H1028" s="12" t="s">
        <v>37</v>
      </c>
      <c r="I1028" s="12" t="s">
        <v>26</v>
      </c>
      <c r="J1028" s="13" t="s">
        <v>2184</v>
      </c>
      <c r="K1028" s="14" t="s">
        <v>8297</v>
      </c>
      <c r="L1028" s="15">
        <v>2</v>
      </c>
      <c r="M1028" s="15" t="s">
        <v>144</v>
      </c>
      <c r="N1028" s="16">
        <v>44065</v>
      </c>
      <c r="O1028" s="12" t="s">
        <v>8295</v>
      </c>
      <c r="P1028" s="14" t="s">
        <v>8298</v>
      </c>
      <c r="Q1028" s="17" t="s">
        <v>137</v>
      </c>
      <c r="R1028" s="17" t="s">
        <v>146</v>
      </c>
    </row>
    <row r="1029" spans="1:18" x14ac:dyDescent="0.3">
      <c r="A1029" s="12" t="s">
        <v>8299</v>
      </c>
      <c r="B1029" s="12" t="s">
        <v>12</v>
      </c>
      <c r="C1029" s="12"/>
      <c r="D1029" s="12" t="s">
        <v>12</v>
      </c>
      <c r="E1029" s="12" t="s">
        <v>8300</v>
      </c>
      <c r="F1029" s="12"/>
      <c r="G1029" s="12" t="s">
        <v>876</v>
      </c>
      <c r="H1029" s="12" t="s">
        <v>37</v>
      </c>
      <c r="I1029" s="12" t="s">
        <v>26</v>
      </c>
      <c r="J1029" s="13" t="s">
        <v>2302</v>
      </c>
      <c r="K1029" s="14" t="s">
        <v>8301</v>
      </c>
      <c r="L1029" s="15">
        <v>2</v>
      </c>
      <c r="M1029" s="15" t="s">
        <v>144</v>
      </c>
      <c r="N1029" s="16">
        <v>41232</v>
      </c>
      <c r="O1029" s="12" t="s">
        <v>8299</v>
      </c>
      <c r="P1029" s="14" t="s">
        <v>8302</v>
      </c>
      <c r="Q1029" s="17" t="s">
        <v>137</v>
      </c>
      <c r="R1029" s="17" t="s">
        <v>146</v>
      </c>
    </row>
    <row r="1030" spans="1:18" x14ac:dyDescent="0.3">
      <c r="A1030" s="12" t="s">
        <v>8303</v>
      </c>
      <c r="B1030" s="12" t="s">
        <v>12</v>
      </c>
      <c r="C1030" s="12"/>
      <c r="D1030" s="12" t="s">
        <v>12</v>
      </c>
      <c r="E1030" s="12" t="s">
        <v>8304</v>
      </c>
      <c r="F1030" s="12"/>
      <c r="G1030" s="12" t="s">
        <v>876</v>
      </c>
      <c r="H1030" s="12" t="s">
        <v>37</v>
      </c>
      <c r="I1030" s="12" t="s">
        <v>26</v>
      </c>
      <c r="J1030" s="13" t="s">
        <v>2157</v>
      </c>
      <c r="K1030" s="14" t="s">
        <v>8305</v>
      </c>
      <c r="L1030" s="15">
        <v>0</v>
      </c>
      <c r="M1030" s="15" t="s">
        <v>144</v>
      </c>
      <c r="N1030" s="16">
        <v>41003</v>
      </c>
      <c r="O1030" s="12" t="s">
        <v>8303</v>
      </c>
      <c r="P1030" s="14" t="s">
        <v>8306</v>
      </c>
      <c r="Q1030" s="17" t="s">
        <v>137</v>
      </c>
      <c r="R1030" s="17" t="s">
        <v>146</v>
      </c>
    </row>
    <row r="1031" spans="1:18" x14ac:dyDescent="0.3">
      <c r="A1031" s="12" t="s">
        <v>8307</v>
      </c>
      <c r="B1031" s="12" t="s">
        <v>12</v>
      </c>
      <c r="C1031" s="12"/>
      <c r="D1031" s="12" t="s">
        <v>12</v>
      </c>
      <c r="E1031" s="12" t="s">
        <v>8308</v>
      </c>
      <c r="F1031" s="12" t="s">
        <v>359</v>
      </c>
      <c r="G1031" s="12" t="s">
        <v>876</v>
      </c>
      <c r="H1031" s="12" t="s">
        <v>37</v>
      </c>
      <c r="I1031" s="12" t="s">
        <v>26</v>
      </c>
      <c r="J1031" s="13" t="s">
        <v>2219</v>
      </c>
      <c r="K1031" s="14" t="s">
        <v>8309</v>
      </c>
      <c r="L1031" s="15">
        <v>1</v>
      </c>
      <c r="M1031" s="15" t="s">
        <v>144</v>
      </c>
      <c r="N1031" s="16">
        <v>44065</v>
      </c>
      <c r="O1031" s="12" t="s">
        <v>8310</v>
      </c>
      <c r="P1031" s="14" t="s">
        <v>8311</v>
      </c>
      <c r="Q1031" s="17" t="s">
        <v>137</v>
      </c>
      <c r="R1031" s="17" t="s">
        <v>146</v>
      </c>
    </row>
    <row r="1032" spans="1:18" x14ac:dyDescent="0.3">
      <c r="A1032" s="12" t="s">
        <v>8312</v>
      </c>
      <c r="B1032" s="12" t="s">
        <v>12</v>
      </c>
      <c r="C1032" s="12"/>
      <c r="D1032" s="12" t="s">
        <v>12</v>
      </c>
      <c r="E1032" s="12" t="s">
        <v>8313</v>
      </c>
      <c r="F1032" s="12"/>
      <c r="G1032" s="12" t="s">
        <v>876</v>
      </c>
      <c r="H1032" s="12" t="s">
        <v>37</v>
      </c>
      <c r="I1032" s="12" t="s">
        <v>26</v>
      </c>
      <c r="J1032" s="13" t="s">
        <v>2157</v>
      </c>
      <c r="K1032" s="14" t="s">
        <v>2124</v>
      </c>
      <c r="L1032" s="15">
        <v>1</v>
      </c>
      <c r="M1032" s="15" t="s">
        <v>144</v>
      </c>
      <c r="N1032" s="16">
        <v>44065</v>
      </c>
      <c r="O1032" s="12" t="s">
        <v>8312</v>
      </c>
      <c r="P1032" s="14" t="s">
        <v>8314</v>
      </c>
      <c r="Q1032" s="17" t="s">
        <v>137</v>
      </c>
      <c r="R1032" s="17" t="s">
        <v>146</v>
      </c>
    </row>
    <row r="1033" spans="1:18" x14ac:dyDescent="0.3">
      <c r="A1033" s="12" t="s">
        <v>8315</v>
      </c>
      <c r="B1033" s="12" t="s">
        <v>10</v>
      </c>
      <c r="C1033" s="12"/>
      <c r="D1033" s="12" t="s">
        <v>1561</v>
      </c>
      <c r="E1033" s="12" t="s">
        <v>2289</v>
      </c>
      <c r="F1033" s="12" t="s">
        <v>8316</v>
      </c>
      <c r="G1033" s="12" t="s">
        <v>876</v>
      </c>
      <c r="H1033" s="12" t="s">
        <v>37</v>
      </c>
      <c r="I1033" s="12" t="s">
        <v>26</v>
      </c>
      <c r="J1033" s="13" t="s">
        <v>2102</v>
      </c>
      <c r="K1033" s="14" t="s">
        <v>8317</v>
      </c>
      <c r="L1033" s="15">
        <v>2</v>
      </c>
      <c r="M1033" s="15" t="s">
        <v>144</v>
      </c>
      <c r="N1033" s="16">
        <v>39660</v>
      </c>
      <c r="O1033" s="12" t="s">
        <v>8315</v>
      </c>
      <c r="P1033" s="14" t="s">
        <v>8318</v>
      </c>
      <c r="Q1033" s="17" t="s">
        <v>137</v>
      </c>
      <c r="R1033" s="17" t="s">
        <v>146</v>
      </c>
    </row>
    <row r="1034" spans="1:18" x14ac:dyDescent="0.3">
      <c r="A1034" s="12" t="s">
        <v>8319</v>
      </c>
      <c r="B1034" s="12" t="s">
        <v>10</v>
      </c>
      <c r="C1034" s="12"/>
      <c r="D1034" s="12" t="s">
        <v>157</v>
      </c>
      <c r="E1034" s="12" t="s">
        <v>8284</v>
      </c>
      <c r="F1034" s="12"/>
      <c r="G1034" s="12" t="s">
        <v>876</v>
      </c>
      <c r="H1034" s="12" t="s">
        <v>37</v>
      </c>
      <c r="I1034" s="12" t="s">
        <v>26</v>
      </c>
      <c r="J1034" s="13" t="s">
        <v>2157</v>
      </c>
      <c r="K1034" s="14" t="s">
        <v>8285</v>
      </c>
      <c r="L1034" s="15">
        <v>0</v>
      </c>
      <c r="M1034" s="15" t="s">
        <v>144</v>
      </c>
      <c r="N1034" s="16">
        <v>41822</v>
      </c>
      <c r="O1034" s="12" t="s">
        <v>8319</v>
      </c>
      <c r="P1034" s="14" t="s">
        <v>8320</v>
      </c>
      <c r="Q1034" s="17" t="s">
        <v>137</v>
      </c>
      <c r="R1034" s="17" t="s">
        <v>146</v>
      </c>
    </row>
    <row r="1035" spans="1:18" x14ac:dyDescent="0.3">
      <c r="A1035" s="12" t="s">
        <v>8321</v>
      </c>
      <c r="B1035" s="12" t="s">
        <v>12</v>
      </c>
      <c r="C1035" s="12"/>
      <c r="D1035" s="12" t="s">
        <v>12</v>
      </c>
      <c r="E1035" s="12" t="s">
        <v>8322</v>
      </c>
      <c r="F1035" s="12" t="s">
        <v>8323</v>
      </c>
      <c r="G1035" s="12" t="s">
        <v>876</v>
      </c>
      <c r="H1035" s="12" t="s">
        <v>37</v>
      </c>
      <c r="I1035" s="12" t="s">
        <v>26</v>
      </c>
      <c r="J1035" s="13" t="s">
        <v>2118</v>
      </c>
      <c r="K1035" s="14" t="s">
        <v>8324</v>
      </c>
      <c r="L1035" s="15">
        <v>1</v>
      </c>
      <c r="M1035" s="15" t="s">
        <v>144</v>
      </c>
      <c r="N1035" s="16">
        <v>42614</v>
      </c>
      <c r="O1035" s="12" t="s">
        <v>8321</v>
      </c>
      <c r="P1035" s="14" t="s">
        <v>8325</v>
      </c>
      <c r="Q1035" s="17" t="s">
        <v>137</v>
      </c>
      <c r="R1035" s="17" t="s">
        <v>146</v>
      </c>
    </row>
    <row r="1036" spans="1:18" x14ac:dyDescent="0.3">
      <c r="A1036" s="12" t="s">
        <v>8326</v>
      </c>
      <c r="B1036" s="12" t="s">
        <v>12</v>
      </c>
      <c r="C1036" s="12"/>
      <c r="D1036" s="12" t="s">
        <v>12</v>
      </c>
      <c r="E1036" s="12" t="s">
        <v>8327</v>
      </c>
      <c r="F1036" s="12"/>
      <c r="G1036" s="12" t="s">
        <v>876</v>
      </c>
      <c r="H1036" s="12" t="s">
        <v>37</v>
      </c>
      <c r="I1036" s="12" t="s">
        <v>26</v>
      </c>
      <c r="J1036" s="13" t="s">
        <v>2149</v>
      </c>
      <c r="K1036" s="14" t="s">
        <v>8328</v>
      </c>
      <c r="L1036" s="15">
        <v>5</v>
      </c>
      <c r="M1036" s="15" t="s">
        <v>144</v>
      </c>
      <c r="N1036" s="16">
        <v>39899</v>
      </c>
      <c r="O1036" s="12" t="s">
        <v>8326</v>
      </c>
      <c r="P1036" s="14" t="s">
        <v>8329</v>
      </c>
      <c r="Q1036" s="17" t="s">
        <v>137</v>
      </c>
      <c r="R1036" s="17" t="s">
        <v>146</v>
      </c>
    </row>
    <row r="1037" spans="1:18" x14ac:dyDescent="0.3">
      <c r="A1037" s="12" t="s">
        <v>8330</v>
      </c>
      <c r="B1037" s="12" t="s">
        <v>12</v>
      </c>
      <c r="C1037" s="12"/>
      <c r="D1037" s="12" t="s">
        <v>12</v>
      </c>
      <c r="E1037" s="12" t="s">
        <v>8331</v>
      </c>
      <c r="F1037" s="12"/>
      <c r="G1037" s="12" t="s">
        <v>876</v>
      </c>
      <c r="H1037" s="12" t="s">
        <v>37</v>
      </c>
      <c r="I1037" s="12" t="s">
        <v>26</v>
      </c>
      <c r="J1037" s="13" t="s">
        <v>2102</v>
      </c>
      <c r="K1037" s="14" t="s">
        <v>8332</v>
      </c>
      <c r="L1037" s="15">
        <v>0</v>
      </c>
      <c r="M1037" s="15" t="s">
        <v>144</v>
      </c>
      <c r="N1037" s="16">
        <v>41514</v>
      </c>
      <c r="O1037" s="12" t="s">
        <v>8330</v>
      </c>
      <c r="P1037" s="14" t="s">
        <v>8333</v>
      </c>
      <c r="Q1037" s="17" t="s">
        <v>137</v>
      </c>
      <c r="R1037" s="17" t="s">
        <v>146</v>
      </c>
    </row>
    <row r="1038" spans="1:18" x14ac:dyDescent="0.3">
      <c r="A1038" s="12" t="s">
        <v>8334</v>
      </c>
      <c r="B1038" s="12" t="s">
        <v>12</v>
      </c>
      <c r="C1038" s="12"/>
      <c r="D1038" s="12" t="s">
        <v>12</v>
      </c>
      <c r="E1038" s="12" t="s">
        <v>8335</v>
      </c>
      <c r="F1038" s="12" t="s">
        <v>832</v>
      </c>
      <c r="G1038" s="12" t="s">
        <v>876</v>
      </c>
      <c r="H1038" s="12" t="s">
        <v>37</v>
      </c>
      <c r="I1038" s="12" t="s">
        <v>26</v>
      </c>
      <c r="J1038" s="13" t="s">
        <v>2102</v>
      </c>
      <c r="K1038" s="14" t="s">
        <v>8336</v>
      </c>
      <c r="L1038" s="15">
        <v>1</v>
      </c>
      <c r="M1038" s="15" t="s">
        <v>144</v>
      </c>
      <c r="N1038" s="16">
        <v>41982</v>
      </c>
      <c r="O1038" s="12" t="s">
        <v>8334</v>
      </c>
      <c r="P1038" s="14" t="s">
        <v>8337</v>
      </c>
      <c r="Q1038" s="17" t="s">
        <v>137</v>
      </c>
      <c r="R1038" s="17" t="s">
        <v>146</v>
      </c>
    </row>
    <row r="1039" spans="1:18" x14ac:dyDescent="0.3">
      <c r="A1039" s="12" t="s">
        <v>8338</v>
      </c>
      <c r="B1039" s="12" t="s">
        <v>10</v>
      </c>
      <c r="C1039" s="12"/>
      <c r="D1039" s="12" t="s">
        <v>157</v>
      </c>
      <c r="E1039" s="12" t="s">
        <v>8339</v>
      </c>
      <c r="F1039" s="12" t="s">
        <v>8340</v>
      </c>
      <c r="G1039" s="12" t="s">
        <v>876</v>
      </c>
      <c r="H1039" s="12" t="s">
        <v>37</v>
      </c>
      <c r="I1039" s="12" t="s">
        <v>26</v>
      </c>
      <c r="J1039" s="13" t="s">
        <v>2118</v>
      </c>
      <c r="K1039" s="14" t="s">
        <v>8341</v>
      </c>
      <c r="L1039" s="15">
        <v>0</v>
      </c>
      <c r="M1039" s="15" t="s">
        <v>144</v>
      </c>
      <c r="N1039" s="16">
        <v>39647</v>
      </c>
      <c r="O1039" s="12" t="s">
        <v>8338</v>
      </c>
      <c r="P1039" s="14" t="s">
        <v>8342</v>
      </c>
      <c r="Q1039" s="17" t="s">
        <v>137</v>
      </c>
      <c r="R1039" s="17" t="s">
        <v>146</v>
      </c>
    </row>
    <row r="1040" spans="1:18" x14ac:dyDescent="0.3">
      <c r="A1040" s="12" t="s">
        <v>8343</v>
      </c>
      <c r="B1040" s="12" t="s">
        <v>10</v>
      </c>
      <c r="C1040" s="12"/>
      <c r="D1040" s="12" t="s">
        <v>157</v>
      </c>
      <c r="E1040" s="12" t="s">
        <v>2318</v>
      </c>
      <c r="F1040" s="12" t="s">
        <v>8340</v>
      </c>
      <c r="G1040" s="12" t="s">
        <v>876</v>
      </c>
      <c r="H1040" s="12" t="s">
        <v>37</v>
      </c>
      <c r="I1040" s="12" t="s">
        <v>26</v>
      </c>
      <c r="J1040" s="13" t="s">
        <v>2118</v>
      </c>
      <c r="K1040" s="14" t="s">
        <v>8341</v>
      </c>
      <c r="L1040" s="15">
        <v>0</v>
      </c>
      <c r="M1040" s="15" t="s">
        <v>144</v>
      </c>
      <c r="N1040" s="16">
        <v>41579</v>
      </c>
      <c r="O1040" s="12" t="s">
        <v>8343</v>
      </c>
      <c r="P1040" s="14" t="s">
        <v>8344</v>
      </c>
      <c r="Q1040" s="17" t="s">
        <v>137</v>
      </c>
      <c r="R1040" s="17" t="s">
        <v>146</v>
      </c>
    </row>
    <row r="1041" spans="1:18" x14ac:dyDescent="0.3">
      <c r="A1041" s="12" t="s">
        <v>8345</v>
      </c>
      <c r="B1041" s="12" t="s">
        <v>10</v>
      </c>
      <c r="C1041" s="12"/>
      <c r="D1041" s="12" t="s">
        <v>157</v>
      </c>
      <c r="E1041" s="12" t="s">
        <v>8346</v>
      </c>
      <c r="F1041" s="12" t="s">
        <v>1163</v>
      </c>
      <c r="G1041" s="12" t="s">
        <v>876</v>
      </c>
      <c r="H1041" s="12" t="s">
        <v>37</v>
      </c>
      <c r="I1041" s="12" t="s">
        <v>26</v>
      </c>
      <c r="J1041" s="13" t="s">
        <v>2195</v>
      </c>
      <c r="K1041" s="14" t="s">
        <v>8341</v>
      </c>
      <c r="L1041" s="15">
        <v>0</v>
      </c>
      <c r="M1041" s="15" t="s">
        <v>144</v>
      </c>
      <c r="N1041" s="16">
        <v>44140</v>
      </c>
      <c r="O1041" s="12" t="s">
        <v>8345</v>
      </c>
      <c r="P1041" s="14" t="s">
        <v>8347</v>
      </c>
      <c r="Q1041" s="17" t="s">
        <v>137</v>
      </c>
      <c r="R1041" s="17" t="s">
        <v>146</v>
      </c>
    </row>
    <row r="1042" spans="1:18" x14ac:dyDescent="0.3">
      <c r="A1042" s="12" t="s">
        <v>8348</v>
      </c>
      <c r="B1042" s="12" t="s">
        <v>10</v>
      </c>
      <c r="C1042" s="12"/>
      <c r="D1042" s="12" t="s">
        <v>157</v>
      </c>
      <c r="E1042" s="12" t="s">
        <v>8346</v>
      </c>
      <c r="F1042" s="12" t="s">
        <v>1163</v>
      </c>
      <c r="G1042" s="12" t="s">
        <v>876</v>
      </c>
      <c r="H1042" s="12" t="s">
        <v>37</v>
      </c>
      <c r="I1042" s="12" t="s">
        <v>26</v>
      </c>
      <c r="J1042" s="13" t="s">
        <v>2195</v>
      </c>
      <c r="K1042" s="14" t="s">
        <v>8349</v>
      </c>
      <c r="L1042" s="15">
        <v>0</v>
      </c>
      <c r="M1042" s="15" t="s">
        <v>144</v>
      </c>
      <c r="N1042" s="16">
        <v>43973</v>
      </c>
      <c r="O1042" s="12" t="s">
        <v>8348</v>
      </c>
      <c r="P1042" s="14" t="s">
        <v>8350</v>
      </c>
      <c r="Q1042" s="17" t="s">
        <v>137</v>
      </c>
      <c r="R1042" s="17" t="s">
        <v>146</v>
      </c>
    </row>
    <row r="1043" spans="1:18" x14ac:dyDescent="0.3">
      <c r="A1043" s="12" t="s">
        <v>8351</v>
      </c>
      <c r="B1043" s="12" t="s">
        <v>12</v>
      </c>
      <c r="C1043" s="12"/>
      <c r="D1043" s="12" t="s">
        <v>12</v>
      </c>
      <c r="E1043" s="12" t="s">
        <v>8296</v>
      </c>
      <c r="F1043" s="12"/>
      <c r="G1043" s="12" t="s">
        <v>876</v>
      </c>
      <c r="H1043" s="12" t="s">
        <v>37</v>
      </c>
      <c r="I1043" s="12" t="s">
        <v>26</v>
      </c>
      <c r="J1043" s="13" t="s">
        <v>2184</v>
      </c>
      <c r="K1043" s="14" t="s">
        <v>8352</v>
      </c>
      <c r="L1043" s="15">
        <v>2</v>
      </c>
      <c r="M1043" s="15" t="s">
        <v>144</v>
      </c>
      <c r="N1043" s="16">
        <v>44065</v>
      </c>
      <c r="O1043" s="12" t="s">
        <v>8351</v>
      </c>
      <c r="P1043" s="14" t="s">
        <v>8353</v>
      </c>
      <c r="Q1043" s="17" t="s">
        <v>137</v>
      </c>
      <c r="R1043" s="17" t="s">
        <v>146</v>
      </c>
    </row>
    <row r="1044" spans="1:18" x14ac:dyDescent="0.3">
      <c r="A1044" s="12" t="s">
        <v>8354</v>
      </c>
      <c r="B1044" s="12" t="s">
        <v>10</v>
      </c>
      <c r="C1044" s="12"/>
      <c r="D1044" s="12" t="s">
        <v>1561</v>
      </c>
      <c r="E1044" s="12" t="s">
        <v>2289</v>
      </c>
      <c r="F1044" s="12" t="s">
        <v>8355</v>
      </c>
      <c r="G1044" s="12" t="s">
        <v>876</v>
      </c>
      <c r="H1044" s="12" t="s">
        <v>37</v>
      </c>
      <c r="I1044" s="12" t="s">
        <v>26</v>
      </c>
      <c r="J1044" s="13" t="s">
        <v>2102</v>
      </c>
      <c r="K1044" s="14" t="s">
        <v>8356</v>
      </c>
      <c r="L1044" s="15">
        <v>2</v>
      </c>
      <c r="M1044" s="15" t="s">
        <v>144</v>
      </c>
      <c r="N1044" s="16">
        <v>42338</v>
      </c>
      <c r="O1044" s="12" t="s">
        <v>8354</v>
      </c>
      <c r="P1044" s="14" t="s">
        <v>8357</v>
      </c>
      <c r="Q1044" s="17" t="s">
        <v>137</v>
      </c>
      <c r="R1044" s="17" t="s">
        <v>146</v>
      </c>
    </row>
    <row r="1045" spans="1:18" x14ac:dyDescent="0.3">
      <c r="A1045" s="12" t="s">
        <v>6703</v>
      </c>
      <c r="B1045" s="12" t="s">
        <v>12</v>
      </c>
      <c r="C1045" s="12"/>
      <c r="D1045" s="12" t="s">
        <v>12</v>
      </c>
      <c r="E1045" s="12" t="s">
        <v>8358</v>
      </c>
      <c r="F1045" s="12"/>
      <c r="G1045" s="12" t="s">
        <v>876</v>
      </c>
      <c r="H1045" s="12" t="s">
        <v>37</v>
      </c>
      <c r="I1045" s="12" t="s">
        <v>26</v>
      </c>
      <c r="J1045" s="13" t="s">
        <v>2157</v>
      </c>
      <c r="K1045" s="14" t="s">
        <v>8359</v>
      </c>
      <c r="L1045" s="15">
        <v>3</v>
      </c>
      <c r="M1045" s="15" t="s">
        <v>144</v>
      </c>
      <c r="N1045" s="16">
        <v>42340</v>
      </c>
      <c r="O1045" s="12" t="s">
        <v>6703</v>
      </c>
      <c r="P1045" s="14" t="s">
        <v>8360</v>
      </c>
      <c r="Q1045" s="17" t="s">
        <v>137</v>
      </c>
      <c r="R1045" s="17" t="s">
        <v>146</v>
      </c>
    </row>
    <row r="1046" spans="1:18" x14ac:dyDescent="0.3">
      <c r="A1046" s="12" t="s">
        <v>8361</v>
      </c>
      <c r="B1046" s="12" t="s">
        <v>12</v>
      </c>
      <c r="C1046" s="12"/>
      <c r="D1046" s="12" t="s">
        <v>12</v>
      </c>
      <c r="E1046" s="12" t="s">
        <v>8362</v>
      </c>
      <c r="F1046" s="12"/>
      <c r="G1046" s="12" t="s">
        <v>876</v>
      </c>
      <c r="H1046" s="12" t="s">
        <v>37</v>
      </c>
      <c r="I1046" s="12" t="s">
        <v>26</v>
      </c>
      <c r="J1046" s="13" t="s">
        <v>8280</v>
      </c>
      <c r="K1046" s="14" t="s">
        <v>8363</v>
      </c>
      <c r="L1046" s="15">
        <v>0</v>
      </c>
      <c r="M1046" s="15" t="s">
        <v>144</v>
      </c>
      <c r="N1046" s="16">
        <v>42409</v>
      </c>
      <c r="O1046" s="12" t="s">
        <v>8361</v>
      </c>
      <c r="P1046" s="14" t="s">
        <v>8364</v>
      </c>
      <c r="Q1046" s="17" t="s">
        <v>137</v>
      </c>
      <c r="R1046" s="17" t="s">
        <v>146</v>
      </c>
    </row>
    <row r="1047" spans="1:18" x14ac:dyDescent="0.3">
      <c r="A1047" s="12" t="s">
        <v>8365</v>
      </c>
      <c r="B1047" s="12" t="s">
        <v>12</v>
      </c>
      <c r="C1047" s="12"/>
      <c r="D1047" s="12" t="s">
        <v>12</v>
      </c>
      <c r="E1047" s="12" t="s">
        <v>2235</v>
      </c>
      <c r="F1047" s="12" t="s">
        <v>372</v>
      </c>
      <c r="G1047" s="12" t="s">
        <v>876</v>
      </c>
      <c r="H1047" s="12" t="s">
        <v>37</v>
      </c>
      <c r="I1047" s="12" t="s">
        <v>26</v>
      </c>
      <c r="J1047" s="13" t="s">
        <v>2157</v>
      </c>
      <c r="K1047" s="14" t="s">
        <v>8366</v>
      </c>
      <c r="L1047" s="15">
        <v>1</v>
      </c>
      <c r="M1047" s="15" t="s">
        <v>144</v>
      </c>
      <c r="N1047" s="16">
        <v>42269</v>
      </c>
      <c r="O1047" s="12" t="s">
        <v>8365</v>
      </c>
      <c r="P1047" s="14" t="s">
        <v>8367</v>
      </c>
      <c r="Q1047" s="17" t="s">
        <v>137</v>
      </c>
      <c r="R1047" s="17" t="s">
        <v>146</v>
      </c>
    </row>
    <row r="1048" spans="1:18" x14ac:dyDescent="0.3">
      <c r="A1048" s="12" t="s">
        <v>8368</v>
      </c>
      <c r="B1048" s="12" t="s">
        <v>12</v>
      </c>
      <c r="C1048" s="12"/>
      <c r="D1048" s="12" t="s">
        <v>12</v>
      </c>
      <c r="E1048" s="12" t="s">
        <v>8369</v>
      </c>
      <c r="F1048" s="12"/>
      <c r="G1048" s="12" t="s">
        <v>876</v>
      </c>
      <c r="H1048" s="12" t="s">
        <v>37</v>
      </c>
      <c r="I1048" s="12" t="s">
        <v>26</v>
      </c>
      <c r="J1048" s="13" t="s">
        <v>2102</v>
      </c>
      <c r="K1048" s="14" t="s">
        <v>8370</v>
      </c>
      <c r="L1048" s="15">
        <v>1</v>
      </c>
      <c r="M1048" s="15" t="s">
        <v>144</v>
      </c>
      <c r="N1048" s="16">
        <v>39661</v>
      </c>
      <c r="O1048" s="12" t="s">
        <v>8368</v>
      </c>
      <c r="P1048" s="14" t="s">
        <v>8371</v>
      </c>
      <c r="Q1048" s="17" t="s">
        <v>137</v>
      </c>
      <c r="R1048" s="17" t="s">
        <v>146</v>
      </c>
    </row>
    <row r="1049" spans="1:18" x14ac:dyDescent="0.3">
      <c r="A1049" s="12" t="s">
        <v>8372</v>
      </c>
      <c r="B1049" s="12" t="s">
        <v>12</v>
      </c>
      <c r="C1049" s="12"/>
      <c r="D1049" s="12" t="s">
        <v>12</v>
      </c>
      <c r="E1049" s="12" t="s">
        <v>8373</v>
      </c>
      <c r="F1049" s="12" t="s">
        <v>248</v>
      </c>
      <c r="G1049" s="12" t="s">
        <v>876</v>
      </c>
      <c r="H1049" s="12" t="s">
        <v>37</v>
      </c>
      <c r="I1049" s="12" t="s">
        <v>26</v>
      </c>
      <c r="J1049" s="13" t="s">
        <v>2184</v>
      </c>
      <c r="K1049" s="14" t="s">
        <v>8374</v>
      </c>
      <c r="L1049" s="15">
        <v>0</v>
      </c>
      <c r="M1049" s="15" t="s">
        <v>144</v>
      </c>
      <c r="N1049" s="16">
        <v>44065</v>
      </c>
      <c r="O1049" s="12" t="s">
        <v>8375</v>
      </c>
      <c r="P1049" s="14" t="s">
        <v>8376</v>
      </c>
      <c r="Q1049" s="17" t="s">
        <v>137</v>
      </c>
      <c r="R1049" s="17" t="s">
        <v>146</v>
      </c>
    </row>
    <row r="1050" spans="1:18" x14ac:dyDescent="0.3">
      <c r="A1050" s="12" t="s">
        <v>8377</v>
      </c>
      <c r="B1050" s="12" t="s">
        <v>12</v>
      </c>
      <c r="C1050" s="12"/>
      <c r="D1050" s="12" t="s">
        <v>12</v>
      </c>
      <c r="E1050" s="12" t="s">
        <v>8378</v>
      </c>
      <c r="F1050" s="12" t="s">
        <v>8379</v>
      </c>
      <c r="G1050" s="12" t="s">
        <v>876</v>
      </c>
      <c r="H1050" s="12" t="s">
        <v>37</v>
      </c>
      <c r="I1050" s="12" t="s">
        <v>26</v>
      </c>
      <c r="J1050" s="13" t="s">
        <v>2109</v>
      </c>
      <c r="K1050" s="14" t="s">
        <v>8380</v>
      </c>
      <c r="L1050" s="15">
        <v>1</v>
      </c>
      <c r="M1050" s="15" t="s">
        <v>144</v>
      </c>
      <c r="N1050" s="16">
        <v>43353</v>
      </c>
      <c r="O1050" s="12" t="s">
        <v>8377</v>
      </c>
      <c r="P1050" s="14" t="s">
        <v>8381</v>
      </c>
      <c r="Q1050" s="17" t="s">
        <v>137</v>
      </c>
      <c r="R1050" s="17" t="s">
        <v>146</v>
      </c>
    </row>
    <row r="1051" spans="1:18" x14ac:dyDescent="0.3">
      <c r="A1051" s="12" t="s">
        <v>8382</v>
      </c>
      <c r="B1051" s="12" t="s">
        <v>12</v>
      </c>
      <c r="C1051" s="12"/>
      <c r="D1051" s="12" t="s">
        <v>12</v>
      </c>
      <c r="E1051" s="12" t="s">
        <v>8383</v>
      </c>
      <c r="F1051" s="12"/>
      <c r="G1051" s="12" t="s">
        <v>876</v>
      </c>
      <c r="H1051" s="12" t="s">
        <v>37</v>
      </c>
      <c r="I1051" s="12" t="s">
        <v>26</v>
      </c>
      <c r="J1051" s="13" t="s">
        <v>8280</v>
      </c>
      <c r="K1051" s="14" t="s">
        <v>8384</v>
      </c>
      <c r="L1051" s="15">
        <v>1</v>
      </c>
      <c r="M1051" s="15" t="s">
        <v>144</v>
      </c>
      <c r="N1051" s="16">
        <v>39749</v>
      </c>
      <c r="O1051" s="12" t="s">
        <v>8382</v>
      </c>
      <c r="P1051" s="14" t="s">
        <v>8385</v>
      </c>
      <c r="Q1051" s="17" t="s">
        <v>137</v>
      </c>
      <c r="R1051" s="17" t="s">
        <v>146</v>
      </c>
    </row>
    <row r="1052" spans="1:18" x14ac:dyDescent="0.3">
      <c r="A1052" s="12" t="s">
        <v>8386</v>
      </c>
      <c r="B1052" s="12" t="s">
        <v>12</v>
      </c>
      <c r="C1052" s="12"/>
      <c r="D1052" s="12" t="s">
        <v>12</v>
      </c>
      <c r="E1052" s="12" t="s">
        <v>8387</v>
      </c>
      <c r="F1052" s="12"/>
      <c r="G1052" s="12" t="s">
        <v>876</v>
      </c>
      <c r="H1052" s="12" t="s">
        <v>37</v>
      </c>
      <c r="I1052" s="12" t="s">
        <v>26</v>
      </c>
      <c r="J1052" s="13" t="s">
        <v>2149</v>
      </c>
      <c r="K1052" s="14" t="s">
        <v>8388</v>
      </c>
      <c r="L1052" s="15">
        <v>1</v>
      </c>
      <c r="M1052" s="15" t="s">
        <v>144</v>
      </c>
      <c r="N1052" s="16">
        <v>43871</v>
      </c>
      <c r="O1052" s="12" t="s">
        <v>8386</v>
      </c>
      <c r="P1052" s="14" t="s">
        <v>8389</v>
      </c>
      <c r="Q1052" s="17" t="s">
        <v>137</v>
      </c>
      <c r="R1052" s="17" t="s">
        <v>146</v>
      </c>
    </row>
    <row r="1053" spans="1:18" x14ac:dyDescent="0.3">
      <c r="A1053" s="12" t="s">
        <v>8390</v>
      </c>
      <c r="B1053" s="12" t="s">
        <v>12</v>
      </c>
      <c r="C1053" s="12"/>
      <c r="D1053" s="12" t="s">
        <v>12</v>
      </c>
      <c r="E1053" s="12" t="s">
        <v>8391</v>
      </c>
      <c r="F1053" s="12"/>
      <c r="G1053" s="12" t="s">
        <v>876</v>
      </c>
      <c r="H1053" s="12" t="s">
        <v>37</v>
      </c>
      <c r="I1053" s="12" t="s">
        <v>26</v>
      </c>
      <c r="J1053" s="13" t="s">
        <v>8280</v>
      </c>
      <c r="K1053" s="14" t="s">
        <v>8392</v>
      </c>
      <c r="L1053" s="15">
        <v>1</v>
      </c>
      <c r="M1053" s="15" t="s">
        <v>144</v>
      </c>
      <c r="N1053" s="16">
        <v>42025</v>
      </c>
      <c r="O1053" s="12" t="s">
        <v>8390</v>
      </c>
      <c r="P1053" s="14" t="s">
        <v>8393</v>
      </c>
      <c r="Q1053" s="17" t="s">
        <v>137</v>
      </c>
      <c r="R1053" s="17" t="s">
        <v>146</v>
      </c>
    </row>
    <row r="1054" spans="1:18" x14ac:dyDescent="0.3">
      <c r="A1054" s="12" t="s">
        <v>8394</v>
      </c>
      <c r="B1054" s="12" t="s">
        <v>12</v>
      </c>
      <c r="C1054" s="12"/>
      <c r="D1054" s="12" t="s">
        <v>12</v>
      </c>
      <c r="E1054" s="12" t="s">
        <v>8395</v>
      </c>
      <c r="F1054" s="12"/>
      <c r="G1054" s="12" t="s">
        <v>876</v>
      </c>
      <c r="H1054" s="12" t="s">
        <v>37</v>
      </c>
      <c r="I1054" s="12" t="s">
        <v>26</v>
      </c>
      <c r="J1054" s="13" t="s">
        <v>2219</v>
      </c>
      <c r="K1054" s="14" t="s">
        <v>8396</v>
      </c>
      <c r="L1054" s="15">
        <v>1</v>
      </c>
      <c r="M1054" s="15" t="s">
        <v>144</v>
      </c>
      <c r="N1054" s="16">
        <v>39623</v>
      </c>
      <c r="O1054" s="12" t="s">
        <v>8394</v>
      </c>
      <c r="P1054" s="14" t="s">
        <v>8397</v>
      </c>
      <c r="Q1054" s="17" t="s">
        <v>137</v>
      </c>
      <c r="R1054" s="17" t="s">
        <v>146</v>
      </c>
    </row>
    <row r="1055" spans="1:18" x14ac:dyDescent="0.3">
      <c r="A1055" s="12" t="s">
        <v>8398</v>
      </c>
      <c r="B1055" s="12" t="s">
        <v>12</v>
      </c>
      <c r="C1055" s="12"/>
      <c r="D1055" s="12" t="s">
        <v>12</v>
      </c>
      <c r="E1055" s="12" t="s">
        <v>8399</v>
      </c>
      <c r="F1055" s="12"/>
      <c r="G1055" s="12" t="s">
        <v>876</v>
      </c>
      <c r="H1055" s="12" t="s">
        <v>37</v>
      </c>
      <c r="I1055" s="12" t="s">
        <v>26</v>
      </c>
      <c r="J1055" s="13" t="s">
        <v>2184</v>
      </c>
      <c r="K1055" s="14" t="s">
        <v>8400</v>
      </c>
      <c r="L1055" s="15">
        <v>2</v>
      </c>
      <c r="M1055" s="15" t="s">
        <v>144</v>
      </c>
      <c r="N1055" s="16">
        <v>40240</v>
      </c>
      <c r="O1055" s="12" t="s">
        <v>8398</v>
      </c>
      <c r="P1055" s="14" t="s">
        <v>8401</v>
      </c>
      <c r="Q1055" s="17" t="s">
        <v>137</v>
      </c>
      <c r="R1055" s="17" t="s">
        <v>146</v>
      </c>
    </row>
    <row r="1056" spans="1:18" x14ac:dyDescent="0.3">
      <c r="A1056" s="12" t="s">
        <v>186</v>
      </c>
      <c r="B1056" s="12" t="s">
        <v>14</v>
      </c>
      <c r="C1056" s="12"/>
      <c r="D1056" s="12" t="s">
        <v>14</v>
      </c>
      <c r="E1056" s="12" t="s">
        <v>8402</v>
      </c>
      <c r="F1056" s="12" t="s">
        <v>516</v>
      </c>
      <c r="G1056" s="12" t="s">
        <v>876</v>
      </c>
      <c r="H1056" s="12" t="s">
        <v>37</v>
      </c>
      <c r="I1056" s="12" t="s">
        <v>26</v>
      </c>
      <c r="J1056" s="13" t="s">
        <v>2118</v>
      </c>
      <c r="K1056" s="14" t="s">
        <v>8403</v>
      </c>
      <c r="L1056" s="15">
        <v>0</v>
      </c>
      <c r="M1056" s="15" t="s">
        <v>144</v>
      </c>
      <c r="N1056" s="16">
        <v>43335</v>
      </c>
      <c r="O1056" s="12" t="s">
        <v>190</v>
      </c>
      <c r="P1056" s="14" t="s">
        <v>8404</v>
      </c>
      <c r="Q1056" s="17" t="s">
        <v>137</v>
      </c>
      <c r="R1056" s="17" t="s">
        <v>146</v>
      </c>
    </row>
    <row r="1057" spans="1:18" x14ac:dyDescent="0.3">
      <c r="A1057" s="12" t="s">
        <v>8405</v>
      </c>
      <c r="B1057" s="12" t="s">
        <v>12</v>
      </c>
      <c r="C1057" s="12"/>
      <c r="D1057" s="12" t="s">
        <v>12</v>
      </c>
      <c r="E1057" s="12" t="s">
        <v>8406</v>
      </c>
      <c r="F1057" s="12"/>
      <c r="G1057" s="12" t="s">
        <v>876</v>
      </c>
      <c r="H1057" s="12" t="s">
        <v>37</v>
      </c>
      <c r="I1057" s="12" t="s">
        <v>26</v>
      </c>
      <c r="J1057" s="13" t="s">
        <v>2157</v>
      </c>
      <c r="K1057" s="14" t="s">
        <v>8407</v>
      </c>
      <c r="L1057" s="15">
        <v>3</v>
      </c>
      <c r="M1057" s="15" t="s">
        <v>144</v>
      </c>
      <c r="N1057" s="16">
        <v>39337</v>
      </c>
      <c r="O1057" s="12" t="s">
        <v>8405</v>
      </c>
      <c r="P1057" s="14" t="s">
        <v>8408</v>
      </c>
      <c r="Q1057" s="17" t="s">
        <v>137</v>
      </c>
      <c r="R1057" s="17" t="s">
        <v>146</v>
      </c>
    </row>
    <row r="1058" spans="1:18" x14ac:dyDescent="0.3">
      <c r="A1058" s="12" t="s">
        <v>8409</v>
      </c>
      <c r="B1058" s="12" t="s">
        <v>14</v>
      </c>
      <c r="C1058" s="12"/>
      <c r="D1058" s="12" t="s">
        <v>14</v>
      </c>
      <c r="E1058" s="12" t="s">
        <v>2295</v>
      </c>
      <c r="F1058" s="12" t="s">
        <v>454</v>
      </c>
      <c r="G1058" s="12" t="s">
        <v>876</v>
      </c>
      <c r="H1058" s="12" t="s">
        <v>37</v>
      </c>
      <c r="I1058" s="12" t="s">
        <v>26</v>
      </c>
      <c r="J1058" s="13" t="s">
        <v>2102</v>
      </c>
      <c r="K1058" s="14" t="s">
        <v>2296</v>
      </c>
      <c r="L1058" s="15">
        <v>1</v>
      </c>
      <c r="M1058" s="15" t="s">
        <v>144</v>
      </c>
      <c r="N1058" s="16">
        <v>43480</v>
      </c>
      <c r="O1058" s="12" t="s">
        <v>8409</v>
      </c>
      <c r="P1058" s="14" t="s">
        <v>8410</v>
      </c>
      <c r="Q1058" s="17" t="s">
        <v>137</v>
      </c>
      <c r="R1058" s="17" t="s">
        <v>146</v>
      </c>
    </row>
    <row r="1059" spans="1:18" x14ac:dyDescent="0.3">
      <c r="A1059" s="12" t="s">
        <v>8411</v>
      </c>
      <c r="B1059" s="12" t="s">
        <v>12</v>
      </c>
      <c r="C1059" s="12"/>
      <c r="D1059" s="12" t="s">
        <v>12</v>
      </c>
      <c r="E1059" s="12" t="s">
        <v>8412</v>
      </c>
      <c r="F1059" s="12"/>
      <c r="G1059" s="12" t="s">
        <v>876</v>
      </c>
      <c r="H1059" s="12" t="s">
        <v>37</v>
      </c>
      <c r="I1059" s="12" t="s">
        <v>26</v>
      </c>
      <c r="J1059" s="13" t="s">
        <v>2118</v>
      </c>
      <c r="K1059" s="14" t="s">
        <v>8413</v>
      </c>
      <c r="L1059" s="15">
        <v>1</v>
      </c>
      <c r="M1059" s="15" t="s">
        <v>144</v>
      </c>
      <c r="N1059" s="16">
        <v>41869</v>
      </c>
      <c r="O1059" s="12" t="s">
        <v>8411</v>
      </c>
      <c r="P1059" s="14" t="s">
        <v>8414</v>
      </c>
      <c r="Q1059" s="17" t="s">
        <v>137</v>
      </c>
      <c r="R1059" s="17" t="s">
        <v>146</v>
      </c>
    </row>
    <row r="1060" spans="1:18" x14ac:dyDescent="0.3">
      <c r="A1060" s="12" t="s">
        <v>8415</v>
      </c>
      <c r="B1060" s="12" t="s">
        <v>12</v>
      </c>
      <c r="C1060" s="12"/>
      <c r="D1060" s="12" t="s">
        <v>12</v>
      </c>
      <c r="E1060" s="12" t="s">
        <v>2223</v>
      </c>
      <c r="F1060" s="12"/>
      <c r="G1060" s="12" t="s">
        <v>876</v>
      </c>
      <c r="H1060" s="12" t="s">
        <v>37</v>
      </c>
      <c r="I1060" s="12" t="s">
        <v>26</v>
      </c>
      <c r="J1060" s="13" t="s">
        <v>2195</v>
      </c>
      <c r="K1060" s="14" t="s">
        <v>8416</v>
      </c>
      <c r="L1060" s="15">
        <v>1</v>
      </c>
      <c r="M1060" s="15" t="s">
        <v>144</v>
      </c>
      <c r="N1060" s="16">
        <v>44065</v>
      </c>
      <c r="O1060" s="12" t="s">
        <v>8415</v>
      </c>
      <c r="P1060" s="14" t="s">
        <v>8417</v>
      </c>
      <c r="Q1060" s="17" t="s">
        <v>137</v>
      </c>
      <c r="R1060" s="17" t="s">
        <v>146</v>
      </c>
    </row>
    <row r="1061" spans="1:18" x14ac:dyDescent="0.3">
      <c r="A1061" s="12" t="s">
        <v>8418</v>
      </c>
      <c r="B1061" s="12" t="s">
        <v>12</v>
      </c>
      <c r="C1061" s="12"/>
      <c r="D1061" s="12" t="s">
        <v>12</v>
      </c>
      <c r="E1061" s="12" t="s">
        <v>8419</v>
      </c>
      <c r="F1061" s="12" t="s">
        <v>547</v>
      </c>
      <c r="G1061" s="12" t="s">
        <v>876</v>
      </c>
      <c r="H1061" s="12" t="s">
        <v>37</v>
      </c>
      <c r="I1061" s="12" t="s">
        <v>26</v>
      </c>
      <c r="J1061" s="13" t="s">
        <v>8280</v>
      </c>
      <c r="K1061" s="14" t="s">
        <v>8420</v>
      </c>
      <c r="L1061" s="15">
        <v>0</v>
      </c>
      <c r="M1061" s="15" t="s">
        <v>144</v>
      </c>
      <c r="N1061" s="16">
        <v>39682</v>
      </c>
      <c r="O1061" s="12" t="s">
        <v>8418</v>
      </c>
      <c r="P1061" s="14" t="s">
        <v>8421</v>
      </c>
      <c r="Q1061" s="17" t="s">
        <v>137</v>
      </c>
      <c r="R1061" s="17" t="s">
        <v>146</v>
      </c>
    </row>
    <row r="1062" spans="1:18" x14ac:dyDescent="0.3">
      <c r="A1062" s="12" t="s">
        <v>8422</v>
      </c>
      <c r="B1062" s="12" t="s">
        <v>12</v>
      </c>
      <c r="C1062" s="12"/>
      <c r="D1062" s="12" t="s">
        <v>12</v>
      </c>
      <c r="E1062" s="12" t="s">
        <v>8423</v>
      </c>
      <c r="F1062" s="12"/>
      <c r="G1062" s="12" t="s">
        <v>876</v>
      </c>
      <c r="H1062" s="12" t="s">
        <v>37</v>
      </c>
      <c r="I1062" s="12" t="s">
        <v>26</v>
      </c>
      <c r="J1062" s="13" t="s">
        <v>2157</v>
      </c>
      <c r="K1062" s="14" t="s">
        <v>8424</v>
      </c>
      <c r="L1062" s="15">
        <v>0</v>
      </c>
      <c r="M1062" s="15" t="s">
        <v>144</v>
      </c>
      <c r="N1062" s="16">
        <v>41681</v>
      </c>
      <c r="O1062" s="12" t="s">
        <v>8422</v>
      </c>
      <c r="P1062" s="14" t="s">
        <v>8425</v>
      </c>
      <c r="Q1062" s="17" t="s">
        <v>137</v>
      </c>
      <c r="R1062" s="17" t="s">
        <v>146</v>
      </c>
    </row>
    <row r="1063" spans="1:18" x14ac:dyDescent="0.3">
      <c r="A1063" s="12" t="s">
        <v>8426</v>
      </c>
      <c r="B1063" s="12" t="s">
        <v>12</v>
      </c>
      <c r="C1063" s="12"/>
      <c r="D1063" s="12" t="s">
        <v>12</v>
      </c>
      <c r="E1063" s="12" t="s">
        <v>8358</v>
      </c>
      <c r="F1063" s="12"/>
      <c r="G1063" s="12" t="s">
        <v>876</v>
      </c>
      <c r="H1063" s="12" t="s">
        <v>37</v>
      </c>
      <c r="I1063" s="12" t="s">
        <v>26</v>
      </c>
      <c r="J1063" s="13" t="s">
        <v>2157</v>
      </c>
      <c r="K1063" s="14" t="s">
        <v>8427</v>
      </c>
      <c r="L1063" s="15">
        <v>3</v>
      </c>
      <c r="M1063" s="15" t="s">
        <v>144</v>
      </c>
      <c r="N1063" s="16">
        <v>43311</v>
      </c>
      <c r="O1063" s="12" t="s">
        <v>8426</v>
      </c>
      <c r="P1063" s="14" t="s">
        <v>8428</v>
      </c>
      <c r="Q1063" s="17" t="s">
        <v>137</v>
      </c>
      <c r="R1063" s="17" t="s">
        <v>146</v>
      </c>
    </row>
    <row r="1064" spans="1:18" x14ac:dyDescent="0.3">
      <c r="A1064" s="12" t="s">
        <v>8429</v>
      </c>
      <c r="B1064" s="12" t="s">
        <v>12</v>
      </c>
      <c r="C1064" s="12"/>
      <c r="D1064" s="12" t="s">
        <v>12</v>
      </c>
      <c r="E1064" s="12" t="s">
        <v>8096</v>
      </c>
      <c r="F1064" s="12"/>
      <c r="G1064" s="12" t="s">
        <v>876</v>
      </c>
      <c r="H1064" s="12" t="s">
        <v>37</v>
      </c>
      <c r="I1064" s="12" t="s">
        <v>26</v>
      </c>
      <c r="J1064" s="13" t="s">
        <v>2007</v>
      </c>
      <c r="K1064" s="14" t="s">
        <v>8430</v>
      </c>
      <c r="L1064" s="15">
        <v>1</v>
      </c>
      <c r="M1064" s="15" t="s">
        <v>144</v>
      </c>
      <c r="N1064" s="16">
        <v>44065</v>
      </c>
      <c r="O1064" s="12" t="s">
        <v>8429</v>
      </c>
      <c r="P1064" s="14" t="s">
        <v>8431</v>
      </c>
      <c r="Q1064" s="17" t="s">
        <v>137</v>
      </c>
      <c r="R1064" s="17" t="s">
        <v>146</v>
      </c>
    </row>
    <row r="1065" spans="1:18" x14ac:dyDescent="0.3">
      <c r="A1065" s="12" t="s">
        <v>8432</v>
      </c>
      <c r="B1065" s="12" t="s">
        <v>12</v>
      </c>
      <c r="C1065" s="12"/>
      <c r="D1065" s="12" t="s">
        <v>12</v>
      </c>
      <c r="E1065" s="12" t="s">
        <v>8433</v>
      </c>
      <c r="F1065" s="12" t="s">
        <v>8434</v>
      </c>
      <c r="G1065" s="12" t="s">
        <v>876</v>
      </c>
      <c r="H1065" s="12" t="s">
        <v>37</v>
      </c>
      <c r="I1065" s="12" t="s">
        <v>26</v>
      </c>
      <c r="J1065" s="13" t="s">
        <v>2118</v>
      </c>
      <c r="K1065" s="14" t="s">
        <v>8435</v>
      </c>
      <c r="L1065" s="15">
        <v>0</v>
      </c>
      <c r="M1065" s="15" t="s">
        <v>144</v>
      </c>
      <c r="N1065" s="16">
        <v>42072</v>
      </c>
      <c r="O1065" s="12" t="s">
        <v>8432</v>
      </c>
      <c r="P1065" s="14" t="s">
        <v>8436</v>
      </c>
      <c r="Q1065" s="17" t="s">
        <v>137</v>
      </c>
      <c r="R1065" s="17" t="s">
        <v>146</v>
      </c>
    </row>
    <row r="1066" spans="1:18" x14ac:dyDescent="0.3">
      <c r="A1066" s="12" t="s">
        <v>8437</v>
      </c>
      <c r="B1066" s="12" t="s">
        <v>12</v>
      </c>
      <c r="C1066" s="12"/>
      <c r="D1066" s="12" t="s">
        <v>12</v>
      </c>
      <c r="E1066" s="12" t="s">
        <v>8438</v>
      </c>
      <c r="F1066" s="12" t="s">
        <v>7232</v>
      </c>
      <c r="G1066" s="12" t="s">
        <v>876</v>
      </c>
      <c r="H1066" s="12" t="s">
        <v>37</v>
      </c>
      <c r="I1066" s="12" t="s">
        <v>26</v>
      </c>
      <c r="J1066" s="13" t="s">
        <v>2102</v>
      </c>
      <c r="K1066" s="14" t="s">
        <v>8439</v>
      </c>
      <c r="L1066" s="15">
        <v>3</v>
      </c>
      <c r="M1066" s="15" t="s">
        <v>144</v>
      </c>
      <c r="N1066" s="16">
        <v>44487</v>
      </c>
      <c r="O1066" s="12" t="s">
        <v>8440</v>
      </c>
      <c r="P1066" s="14" t="s">
        <v>8441</v>
      </c>
      <c r="Q1066" s="17" t="s">
        <v>137</v>
      </c>
      <c r="R1066" s="17" t="s">
        <v>146</v>
      </c>
    </row>
    <row r="1067" spans="1:18" x14ac:dyDescent="0.3">
      <c r="A1067" s="12" t="s">
        <v>8442</v>
      </c>
      <c r="B1067" s="12" t="s">
        <v>12</v>
      </c>
      <c r="C1067" s="12"/>
      <c r="D1067" s="12" t="s">
        <v>12</v>
      </c>
      <c r="E1067" s="12" t="s">
        <v>2274</v>
      </c>
      <c r="F1067" s="12"/>
      <c r="G1067" s="12" t="s">
        <v>876</v>
      </c>
      <c r="H1067" s="12" t="s">
        <v>37</v>
      </c>
      <c r="I1067" s="12" t="s">
        <v>26</v>
      </c>
      <c r="J1067" s="13" t="s">
        <v>2184</v>
      </c>
      <c r="K1067" s="14" t="s">
        <v>8443</v>
      </c>
      <c r="L1067" s="15">
        <v>5</v>
      </c>
      <c r="M1067" s="15" t="s">
        <v>144</v>
      </c>
      <c r="N1067" s="16">
        <v>42541</v>
      </c>
      <c r="O1067" s="12" t="s">
        <v>8442</v>
      </c>
      <c r="P1067" s="14" t="s">
        <v>8444</v>
      </c>
      <c r="Q1067" s="17" t="s">
        <v>137</v>
      </c>
      <c r="R1067" s="17" t="s">
        <v>146</v>
      </c>
    </row>
    <row r="1068" spans="1:18" x14ac:dyDescent="0.3">
      <c r="A1068" s="12" t="s">
        <v>8445</v>
      </c>
      <c r="B1068" s="12" t="s">
        <v>12</v>
      </c>
      <c r="C1068" s="12"/>
      <c r="D1068" s="12" t="s">
        <v>12</v>
      </c>
      <c r="E1068" s="12" t="s">
        <v>8446</v>
      </c>
      <c r="F1068" s="12"/>
      <c r="G1068" s="12" t="s">
        <v>876</v>
      </c>
      <c r="H1068" s="12" t="s">
        <v>37</v>
      </c>
      <c r="I1068" s="12" t="s">
        <v>26</v>
      </c>
      <c r="J1068" s="13" t="s">
        <v>2184</v>
      </c>
      <c r="K1068" s="14" t="s">
        <v>8447</v>
      </c>
      <c r="L1068" s="15">
        <v>1</v>
      </c>
      <c r="M1068" s="15" t="s">
        <v>144</v>
      </c>
      <c r="N1068" s="16">
        <v>39492</v>
      </c>
      <c r="O1068" s="12" t="s">
        <v>8448</v>
      </c>
      <c r="P1068" s="14" t="s">
        <v>8449</v>
      </c>
      <c r="Q1068" s="17" t="s">
        <v>137</v>
      </c>
      <c r="R1068" s="17" t="s">
        <v>146</v>
      </c>
    </row>
    <row r="1069" spans="1:18" x14ac:dyDescent="0.3">
      <c r="A1069" s="12" t="s">
        <v>8450</v>
      </c>
      <c r="B1069" s="12" t="s">
        <v>12</v>
      </c>
      <c r="C1069" s="12"/>
      <c r="D1069" s="12" t="s">
        <v>12</v>
      </c>
      <c r="E1069" s="12" t="s">
        <v>2274</v>
      </c>
      <c r="F1069" s="12"/>
      <c r="G1069" s="12" t="s">
        <v>876</v>
      </c>
      <c r="H1069" s="12" t="s">
        <v>37</v>
      </c>
      <c r="I1069" s="12" t="s">
        <v>26</v>
      </c>
      <c r="J1069" s="13" t="s">
        <v>2184</v>
      </c>
      <c r="K1069" s="14" t="s">
        <v>8451</v>
      </c>
      <c r="L1069" s="15">
        <v>5</v>
      </c>
      <c r="M1069" s="15" t="s">
        <v>144</v>
      </c>
      <c r="N1069" s="16">
        <v>42752</v>
      </c>
      <c r="O1069" s="12" t="s">
        <v>8450</v>
      </c>
      <c r="P1069" s="14" t="s">
        <v>8452</v>
      </c>
      <c r="Q1069" s="17" t="s">
        <v>137</v>
      </c>
      <c r="R1069" s="17" t="s">
        <v>146</v>
      </c>
    </row>
    <row r="1070" spans="1:18" x14ac:dyDescent="0.3">
      <c r="A1070" s="12" t="s">
        <v>8453</v>
      </c>
      <c r="B1070" s="12" t="s">
        <v>12</v>
      </c>
      <c r="C1070" s="12"/>
      <c r="D1070" s="12" t="s">
        <v>12</v>
      </c>
      <c r="E1070" s="12" t="s">
        <v>8454</v>
      </c>
      <c r="F1070" s="12" t="s">
        <v>516</v>
      </c>
      <c r="G1070" s="12" t="s">
        <v>876</v>
      </c>
      <c r="H1070" s="12" t="s">
        <v>37</v>
      </c>
      <c r="I1070" s="12" t="s">
        <v>26</v>
      </c>
      <c r="J1070" s="13" t="s">
        <v>2118</v>
      </c>
      <c r="K1070" s="14" t="s">
        <v>8455</v>
      </c>
      <c r="L1070" s="15">
        <v>0</v>
      </c>
      <c r="M1070" s="15" t="s">
        <v>144</v>
      </c>
      <c r="N1070" s="16">
        <v>42088</v>
      </c>
      <c r="O1070" s="12" t="s">
        <v>8453</v>
      </c>
      <c r="P1070" s="14" t="s">
        <v>8456</v>
      </c>
      <c r="Q1070" s="17" t="s">
        <v>137</v>
      </c>
      <c r="R1070" s="17" t="s">
        <v>146</v>
      </c>
    </row>
    <row r="1071" spans="1:18" x14ac:dyDescent="0.3">
      <c r="A1071" s="12" t="s">
        <v>8457</v>
      </c>
      <c r="B1071" s="12" t="s">
        <v>14</v>
      </c>
      <c r="C1071" s="12"/>
      <c r="D1071" s="12" t="s">
        <v>14</v>
      </c>
      <c r="E1071" s="12" t="s">
        <v>8458</v>
      </c>
      <c r="F1071" s="12"/>
      <c r="G1071" s="12" t="s">
        <v>876</v>
      </c>
      <c r="H1071" s="12" t="s">
        <v>37</v>
      </c>
      <c r="I1071" s="12" t="s">
        <v>26</v>
      </c>
      <c r="J1071" s="13" t="s">
        <v>2149</v>
      </c>
      <c r="K1071" s="14" t="s">
        <v>8459</v>
      </c>
      <c r="L1071" s="15">
        <v>0</v>
      </c>
      <c r="M1071" s="15" t="s">
        <v>144</v>
      </c>
      <c r="N1071" s="16">
        <v>42832</v>
      </c>
      <c r="O1071" s="12" t="s">
        <v>8457</v>
      </c>
      <c r="P1071" s="14" t="s">
        <v>8460</v>
      </c>
      <c r="Q1071" s="17" t="s">
        <v>137</v>
      </c>
      <c r="R1071" s="17" t="s">
        <v>146</v>
      </c>
    </row>
    <row r="1072" spans="1:18" x14ac:dyDescent="0.3">
      <c r="A1072" s="12" t="s">
        <v>8461</v>
      </c>
      <c r="B1072" s="12" t="s">
        <v>12</v>
      </c>
      <c r="C1072" s="12"/>
      <c r="D1072" s="12" t="s">
        <v>12</v>
      </c>
      <c r="E1072" s="12" t="s">
        <v>8462</v>
      </c>
      <c r="F1072" s="12"/>
      <c r="G1072" s="12" t="s">
        <v>876</v>
      </c>
      <c r="H1072" s="12" t="s">
        <v>37</v>
      </c>
      <c r="I1072" s="12" t="s">
        <v>26</v>
      </c>
      <c r="J1072" s="13" t="s">
        <v>2184</v>
      </c>
      <c r="K1072" s="14" t="s">
        <v>8463</v>
      </c>
      <c r="L1072" s="15">
        <v>3</v>
      </c>
      <c r="M1072" s="15" t="s">
        <v>144</v>
      </c>
      <c r="N1072" s="16">
        <v>42443</v>
      </c>
      <c r="O1072" s="12" t="s">
        <v>8464</v>
      </c>
      <c r="P1072" s="14" t="s">
        <v>8465</v>
      </c>
      <c r="Q1072" s="17" t="s">
        <v>137</v>
      </c>
      <c r="R1072" s="17" t="s">
        <v>146</v>
      </c>
    </row>
    <row r="1073" spans="1:18" x14ac:dyDescent="0.3">
      <c r="A1073" s="12" t="s">
        <v>8466</v>
      </c>
      <c r="B1073" s="12" t="s">
        <v>12</v>
      </c>
      <c r="C1073" s="12"/>
      <c r="D1073" s="12" t="s">
        <v>12</v>
      </c>
      <c r="E1073" s="12" t="s">
        <v>8462</v>
      </c>
      <c r="F1073" s="12"/>
      <c r="G1073" s="12" t="s">
        <v>876</v>
      </c>
      <c r="H1073" s="12" t="s">
        <v>37</v>
      </c>
      <c r="I1073" s="12" t="s">
        <v>26</v>
      </c>
      <c r="J1073" s="13" t="s">
        <v>2184</v>
      </c>
      <c r="K1073" s="14" t="s">
        <v>8467</v>
      </c>
      <c r="L1073" s="15">
        <v>3</v>
      </c>
      <c r="M1073" s="15" t="s">
        <v>144</v>
      </c>
      <c r="N1073" s="16">
        <v>39356</v>
      </c>
      <c r="O1073" s="12" t="s">
        <v>8466</v>
      </c>
      <c r="P1073" s="14" t="s">
        <v>8468</v>
      </c>
      <c r="Q1073" s="17" t="s">
        <v>137</v>
      </c>
      <c r="R1073" s="17" t="s">
        <v>146</v>
      </c>
    </row>
    <row r="1074" spans="1:18" x14ac:dyDescent="0.3">
      <c r="A1074" s="12" t="s">
        <v>8469</v>
      </c>
      <c r="B1074" s="12" t="s">
        <v>12</v>
      </c>
      <c r="C1074" s="12"/>
      <c r="D1074" s="12" t="s">
        <v>12</v>
      </c>
      <c r="E1074" s="12" t="s">
        <v>8346</v>
      </c>
      <c r="F1074" s="12" t="s">
        <v>8470</v>
      </c>
      <c r="G1074" s="12" t="s">
        <v>876</v>
      </c>
      <c r="H1074" s="12" t="s">
        <v>37</v>
      </c>
      <c r="I1074" s="12" t="s">
        <v>26</v>
      </c>
      <c r="J1074" s="13" t="s">
        <v>2195</v>
      </c>
      <c r="K1074" s="14" t="s">
        <v>8471</v>
      </c>
      <c r="L1074" s="15">
        <v>2</v>
      </c>
      <c r="M1074" s="15" t="s">
        <v>144</v>
      </c>
      <c r="N1074" s="16">
        <v>40658</v>
      </c>
      <c r="O1074" s="12" t="s">
        <v>8469</v>
      </c>
      <c r="P1074" s="14" t="s">
        <v>8472</v>
      </c>
      <c r="Q1074" s="17" t="s">
        <v>137</v>
      </c>
      <c r="R1074" s="17" t="s">
        <v>146</v>
      </c>
    </row>
    <row r="1075" spans="1:18" x14ac:dyDescent="0.3">
      <c r="A1075" s="12" t="s">
        <v>8473</v>
      </c>
      <c r="B1075" s="12" t="s">
        <v>12</v>
      </c>
      <c r="C1075" s="12"/>
      <c r="D1075" s="12" t="s">
        <v>12</v>
      </c>
      <c r="E1075" s="12" t="s">
        <v>8474</v>
      </c>
      <c r="F1075" s="12"/>
      <c r="G1075" s="12" t="s">
        <v>876</v>
      </c>
      <c r="H1075" s="12" t="s">
        <v>37</v>
      </c>
      <c r="I1075" s="12" t="s">
        <v>26</v>
      </c>
      <c r="J1075" s="13" t="s">
        <v>2149</v>
      </c>
      <c r="K1075" s="14" t="s">
        <v>8475</v>
      </c>
      <c r="L1075" s="15">
        <v>2</v>
      </c>
      <c r="M1075" s="15" t="s">
        <v>144</v>
      </c>
      <c r="N1075" s="16">
        <v>41829</v>
      </c>
      <c r="O1075" s="12" t="s">
        <v>8476</v>
      </c>
      <c r="P1075" s="14" t="s">
        <v>8477</v>
      </c>
      <c r="Q1075" s="17" t="s">
        <v>137</v>
      </c>
      <c r="R1075" s="17" t="s">
        <v>146</v>
      </c>
    </row>
    <row r="1076" spans="1:18" x14ac:dyDescent="0.3">
      <c r="A1076" s="12" t="s">
        <v>8478</v>
      </c>
      <c r="B1076" s="12" t="s">
        <v>12</v>
      </c>
      <c r="C1076" s="12"/>
      <c r="D1076" s="12" t="s">
        <v>12</v>
      </c>
      <c r="E1076" s="12" t="s">
        <v>8479</v>
      </c>
      <c r="F1076" s="12"/>
      <c r="G1076" s="12" t="s">
        <v>876</v>
      </c>
      <c r="H1076" s="12" t="s">
        <v>37</v>
      </c>
      <c r="I1076" s="12" t="s">
        <v>26</v>
      </c>
      <c r="J1076" s="13" t="s">
        <v>2157</v>
      </c>
      <c r="K1076" s="14" t="s">
        <v>8480</v>
      </c>
      <c r="L1076" s="15">
        <v>2</v>
      </c>
      <c r="M1076" s="15" t="s">
        <v>144</v>
      </c>
      <c r="N1076" s="16">
        <v>42860</v>
      </c>
      <c r="O1076" s="12" t="s">
        <v>8478</v>
      </c>
      <c r="P1076" s="14" t="s">
        <v>8481</v>
      </c>
      <c r="Q1076" s="17" t="s">
        <v>137</v>
      </c>
      <c r="R1076" s="17" t="s">
        <v>146</v>
      </c>
    </row>
    <row r="1077" spans="1:18" x14ac:dyDescent="0.3">
      <c r="A1077" s="12" t="s">
        <v>8482</v>
      </c>
      <c r="B1077" s="12" t="s">
        <v>12</v>
      </c>
      <c r="C1077" s="12"/>
      <c r="D1077" s="12" t="s">
        <v>12</v>
      </c>
      <c r="E1077" s="12" t="s">
        <v>2182</v>
      </c>
      <c r="F1077" s="12" t="s">
        <v>2183</v>
      </c>
      <c r="G1077" s="12" t="s">
        <v>876</v>
      </c>
      <c r="H1077" s="12" t="s">
        <v>37</v>
      </c>
      <c r="I1077" s="12" t="s">
        <v>26</v>
      </c>
      <c r="J1077" s="13" t="s">
        <v>2184</v>
      </c>
      <c r="K1077" s="14" t="s">
        <v>2185</v>
      </c>
      <c r="L1077" s="15">
        <v>2</v>
      </c>
      <c r="M1077" s="15" t="s">
        <v>144</v>
      </c>
      <c r="N1077" s="16">
        <v>44065</v>
      </c>
      <c r="O1077" s="12" t="s">
        <v>8483</v>
      </c>
      <c r="P1077" s="14" t="s">
        <v>8484</v>
      </c>
      <c r="Q1077" s="17" t="s">
        <v>137</v>
      </c>
      <c r="R1077" s="17" t="s">
        <v>146</v>
      </c>
    </row>
    <row r="1078" spans="1:18" x14ac:dyDescent="0.3">
      <c r="A1078" s="12" t="s">
        <v>8485</v>
      </c>
      <c r="B1078" s="12" t="s">
        <v>14</v>
      </c>
      <c r="C1078" s="12"/>
      <c r="D1078" s="12" t="s">
        <v>14</v>
      </c>
      <c r="E1078" s="12" t="s">
        <v>8486</v>
      </c>
      <c r="F1078" s="12" t="s">
        <v>8487</v>
      </c>
      <c r="G1078" s="12" t="s">
        <v>876</v>
      </c>
      <c r="H1078" s="12" t="s">
        <v>37</v>
      </c>
      <c r="I1078" s="12" t="s">
        <v>26</v>
      </c>
      <c r="J1078" s="13" t="s">
        <v>2118</v>
      </c>
      <c r="K1078" s="14" t="s">
        <v>8488</v>
      </c>
      <c r="L1078" s="15">
        <v>4</v>
      </c>
      <c r="M1078" s="15" t="s">
        <v>144</v>
      </c>
      <c r="N1078" s="16">
        <v>42144</v>
      </c>
      <c r="O1078" s="12" t="s">
        <v>8485</v>
      </c>
      <c r="P1078" s="14" t="s">
        <v>8489</v>
      </c>
      <c r="Q1078" s="17" t="s">
        <v>137</v>
      </c>
      <c r="R1078" s="17" t="s">
        <v>146</v>
      </c>
    </row>
    <row r="1079" spans="1:18" x14ac:dyDescent="0.3">
      <c r="A1079" s="12" t="s">
        <v>8490</v>
      </c>
      <c r="B1079" s="12" t="s">
        <v>12</v>
      </c>
      <c r="C1079" s="12"/>
      <c r="D1079" s="12" t="s">
        <v>12</v>
      </c>
      <c r="E1079" s="12" t="s">
        <v>8491</v>
      </c>
      <c r="F1079" s="12"/>
      <c r="G1079" s="12" t="s">
        <v>876</v>
      </c>
      <c r="H1079" s="12" t="s">
        <v>37</v>
      </c>
      <c r="I1079" s="12" t="s">
        <v>26</v>
      </c>
      <c r="J1079" s="13" t="s">
        <v>2157</v>
      </c>
      <c r="K1079" s="14" t="s">
        <v>8492</v>
      </c>
      <c r="L1079" s="15">
        <v>0</v>
      </c>
      <c r="M1079" s="15" t="s">
        <v>144</v>
      </c>
      <c r="N1079" s="16">
        <v>41872</v>
      </c>
      <c r="O1079" s="12" t="s">
        <v>8493</v>
      </c>
      <c r="P1079" s="14" t="s">
        <v>8494</v>
      </c>
      <c r="Q1079" s="17" t="s">
        <v>137</v>
      </c>
      <c r="R1079" s="17" t="s">
        <v>146</v>
      </c>
    </row>
    <row r="1080" spans="1:18" x14ac:dyDescent="0.3">
      <c r="A1080" s="12" t="s">
        <v>8495</v>
      </c>
      <c r="B1080" s="12" t="s">
        <v>12</v>
      </c>
      <c r="C1080" s="12"/>
      <c r="D1080" s="12" t="s">
        <v>12</v>
      </c>
      <c r="E1080" s="12" t="s">
        <v>8496</v>
      </c>
      <c r="F1080" s="12"/>
      <c r="G1080" s="12" t="s">
        <v>876</v>
      </c>
      <c r="H1080" s="12" t="s">
        <v>37</v>
      </c>
      <c r="I1080" s="12" t="s">
        <v>26</v>
      </c>
      <c r="J1080" s="13" t="s">
        <v>2302</v>
      </c>
      <c r="K1080" s="14" t="s">
        <v>8497</v>
      </c>
      <c r="L1080" s="15">
        <v>2</v>
      </c>
      <c r="M1080" s="15" t="s">
        <v>144</v>
      </c>
      <c r="N1080" s="16">
        <v>40197</v>
      </c>
      <c r="O1080" s="12" t="s">
        <v>8495</v>
      </c>
      <c r="P1080" s="14" t="s">
        <v>8498</v>
      </c>
      <c r="Q1080" s="17" t="s">
        <v>137</v>
      </c>
      <c r="R1080" s="17" t="s">
        <v>146</v>
      </c>
    </row>
    <row r="1081" spans="1:18" x14ac:dyDescent="0.3">
      <c r="A1081" s="12" t="s">
        <v>8499</v>
      </c>
      <c r="B1081" s="12" t="s">
        <v>12</v>
      </c>
      <c r="C1081" s="12"/>
      <c r="D1081" s="12" t="s">
        <v>12</v>
      </c>
      <c r="E1081" s="12" t="s">
        <v>8496</v>
      </c>
      <c r="F1081" s="12"/>
      <c r="G1081" s="12" t="s">
        <v>876</v>
      </c>
      <c r="H1081" s="12" t="s">
        <v>37</v>
      </c>
      <c r="I1081" s="12" t="s">
        <v>26</v>
      </c>
      <c r="J1081" s="13" t="s">
        <v>2302</v>
      </c>
      <c r="K1081" s="14" t="s">
        <v>8497</v>
      </c>
      <c r="L1081" s="15">
        <v>2</v>
      </c>
      <c r="M1081" s="15" t="s">
        <v>144</v>
      </c>
      <c r="N1081" s="16">
        <v>40445</v>
      </c>
      <c r="O1081" s="12" t="s">
        <v>8500</v>
      </c>
      <c r="P1081" s="14" t="s">
        <v>8501</v>
      </c>
      <c r="Q1081" s="17" t="s">
        <v>137</v>
      </c>
      <c r="R1081" s="17" t="s">
        <v>146</v>
      </c>
    </row>
    <row r="1082" spans="1:18" x14ac:dyDescent="0.3">
      <c r="A1082" s="12" t="s">
        <v>8502</v>
      </c>
      <c r="B1082" s="12" t="s">
        <v>12</v>
      </c>
      <c r="C1082" s="12"/>
      <c r="D1082" s="12" t="s">
        <v>12</v>
      </c>
      <c r="E1082" s="12" t="s">
        <v>8503</v>
      </c>
      <c r="F1082" s="12" t="s">
        <v>1708</v>
      </c>
      <c r="G1082" s="12" t="s">
        <v>876</v>
      </c>
      <c r="H1082" s="12" t="s">
        <v>37</v>
      </c>
      <c r="I1082" s="12" t="s">
        <v>26</v>
      </c>
      <c r="J1082" s="13" t="s">
        <v>2149</v>
      </c>
      <c r="K1082" s="14" t="s">
        <v>8504</v>
      </c>
      <c r="L1082" s="15">
        <v>1</v>
      </c>
      <c r="M1082" s="15" t="s">
        <v>144</v>
      </c>
      <c r="N1082" s="16">
        <v>39793</v>
      </c>
      <c r="O1082" s="12" t="s">
        <v>8502</v>
      </c>
      <c r="P1082" s="14" t="s">
        <v>8505</v>
      </c>
      <c r="Q1082" s="17" t="s">
        <v>137</v>
      </c>
      <c r="R1082" s="17" t="s">
        <v>146</v>
      </c>
    </row>
    <row r="1083" spans="1:18" x14ac:dyDescent="0.3">
      <c r="A1083" s="12" t="s">
        <v>8506</v>
      </c>
      <c r="B1083" s="12" t="s">
        <v>12</v>
      </c>
      <c r="C1083" s="12"/>
      <c r="D1083" s="12" t="s">
        <v>12</v>
      </c>
      <c r="E1083" s="12" t="s">
        <v>8507</v>
      </c>
      <c r="F1083" s="12" t="s">
        <v>8508</v>
      </c>
      <c r="G1083" s="12" t="s">
        <v>876</v>
      </c>
      <c r="H1083" s="12" t="s">
        <v>37</v>
      </c>
      <c r="I1083" s="12" t="s">
        <v>26</v>
      </c>
      <c r="J1083" s="13" t="s">
        <v>2195</v>
      </c>
      <c r="K1083" s="14" t="s">
        <v>8509</v>
      </c>
      <c r="L1083" s="15">
        <v>1</v>
      </c>
      <c r="M1083" s="15" t="s">
        <v>144</v>
      </c>
      <c r="N1083" s="16">
        <v>39624</v>
      </c>
      <c r="O1083" s="12" t="s">
        <v>8510</v>
      </c>
      <c r="P1083" s="14" t="s">
        <v>8511</v>
      </c>
      <c r="Q1083" s="17" t="s">
        <v>137</v>
      </c>
      <c r="R1083" s="17" t="s">
        <v>146</v>
      </c>
    </row>
    <row r="1084" spans="1:18" x14ac:dyDescent="0.3">
      <c r="A1084" s="12" t="s">
        <v>8512</v>
      </c>
      <c r="B1084" s="12" t="s">
        <v>10</v>
      </c>
      <c r="C1084" s="12"/>
      <c r="D1084" s="12" t="s">
        <v>647</v>
      </c>
      <c r="E1084" s="12" t="s">
        <v>8513</v>
      </c>
      <c r="F1084" s="12" t="s">
        <v>8514</v>
      </c>
      <c r="G1084" s="12" t="s">
        <v>876</v>
      </c>
      <c r="H1084" s="12" t="s">
        <v>37</v>
      </c>
      <c r="I1084" s="12" t="s">
        <v>26</v>
      </c>
      <c r="J1084" s="13" t="s">
        <v>2118</v>
      </c>
      <c r="K1084" s="14" t="s">
        <v>8515</v>
      </c>
      <c r="L1084" s="15">
        <v>1</v>
      </c>
      <c r="M1084" s="15" t="s">
        <v>220</v>
      </c>
      <c r="N1084" s="16">
        <v>44065</v>
      </c>
      <c r="O1084" s="12" t="s">
        <v>8512</v>
      </c>
      <c r="P1084" s="14" t="s">
        <v>8516</v>
      </c>
      <c r="Q1084" s="17" t="s">
        <v>137</v>
      </c>
      <c r="R1084" s="17" t="s">
        <v>146</v>
      </c>
    </row>
    <row r="1085" spans="1:18" x14ac:dyDescent="0.3">
      <c r="A1085" s="12" t="s">
        <v>8517</v>
      </c>
      <c r="B1085" s="12" t="s">
        <v>10</v>
      </c>
      <c r="C1085" s="12"/>
      <c r="D1085" s="12" t="s">
        <v>230</v>
      </c>
      <c r="E1085" s="12" t="s">
        <v>8518</v>
      </c>
      <c r="F1085" s="12" t="s">
        <v>1163</v>
      </c>
      <c r="G1085" s="12" t="s">
        <v>876</v>
      </c>
      <c r="H1085" s="12" t="s">
        <v>37</v>
      </c>
      <c r="I1085" s="12" t="s">
        <v>26</v>
      </c>
      <c r="J1085" s="13" t="s">
        <v>2102</v>
      </c>
      <c r="K1085" s="14" t="s">
        <v>8519</v>
      </c>
      <c r="L1085" s="15">
        <v>0</v>
      </c>
      <c r="M1085" s="15" t="s">
        <v>220</v>
      </c>
      <c r="N1085" s="16">
        <v>39944</v>
      </c>
      <c r="O1085" s="12" t="s">
        <v>8517</v>
      </c>
      <c r="P1085" s="14" t="s">
        <v>8520</v>
      </c>
      <c r="Q1085" s="17" t="s">
        <v>137</v>
      </c>
      <c r="R1085" s="17" t="s">
        <v>146</v>
      </c>
    </row>
    <row r="1086" spans="1:18" x14ac:dyDescent="0.3">
      <c r="A1086" s="12" t="s">
        <v>8521</v>
      </c>
      <c r="B1086" s="12" t="s">
        <v>12</v>
      </c>
      <c r="C1086" s="12"/>
      <c r="D1086" s="12" t="s">
        <v>12</v>
      </c>
      <c r="E1086" s="12" t="s">
        <v>8522</v>
      </c>
      <c r="F1086" s="12"/>
      <c r="G1086" s="12" t="s">
        <v>876</v>
      </c>
      <c r="H1086" s="12" t="s">
        <v>37</v>
      </c>
      <c r="I1086" s="12" t="s">
        <v>26</v>
      </c>
      <c r="J1086" s="13" t="s">
        <v>2157</v>
      </c>
      <c r="K1086" s="14" t="s">
        <v>8523</v>
      </c>
      <c r="L1086" s="15">
        <v>0</v>
      </c>
      <c r="M1086" s="15" t="s">
        <v>144</v>
      </c>
      <c r="N1086" s="16">
        <v>39595</v>
      </c>
      <c r="O1086" s="12" t="s">
        <v>8521</v>
      </c>
      <c r="P1086" s="14" t="s">
        <v>8524</v>
      </c>
      <c r="Q1086" s="17" t="s">
        <v>137</v>
      </c>
      <c r="R1086" s="17" t="s">
        <v>146</v>
      </c>
    </row>
    <row r="1087" spans="1:18" x14ac:dyDescent="0.3">
      <c r="A1087" s="12" t="s">
        <v>8525</v>
      </c>
      <c r="B1087" s="12" t="s">
        <v>10</v>
      </c>
      <c r="C1087" s="12"/>
      <c r="D1087" s="12" t="s">
        <v>230</v>
      </c>
      <c r="E1087" s="12" t="s">
        <v>8526</v>
      </c>
      <c r="F1087" s="12" t="s">
        <v>467</v>
      </c>
      <c r="G1087" s="12" t="s">
        <v>876</v>
      </c>
      <c r="H1087" s="12" t="s">
        <v>37</v>
      </c>
      <c r="I1087" s="12" t="s">
        <v>26</v>
      </c>
      <c r="J1087" s="13" t="s">
        <v>2184</v>
      </c>
      <c r="K1087" s="14" t="s">
        <v>8527</v>
      </c>
      <c r="L1087" s="15">
        <v>0</v>
      </c>
      <c r="M1087" s="15" t="s">
        <v>220</v>
      </c>
      <c r="N1087" s="16">
        <v>40795</v>
      </c>
      <c r="O1087" s="12" t="s">
        <v>8525</v>
      </c>
      <c r="P1087" s="14" t="s">
        <v>8528</v>
      </c>
      <c r="Q1087" s="17" t="s">
        <v>137</v>
      </c>
      <c r="R1087" s="17" t="s">
        <v>146</v>
      </c>
    </row>
    <row r="1088" spans="1:18" x14ac:dyDescent="0.3">
      <c r="A1088" s="12" t="s">
        <v>8529</v>
      </c>
      <c r="B1088" s="12" t="s">
        <v>12</v>
      </c>
      <c r="C1088" s="12"/>
      <c r="D1088" s="12" t="s">
        <v>12</v>
      </c>
      <c r="E1088" s="12" t="s">
        <v>8530</v>
      </c>
      <c r="F1088" s="12"/>
      <c r="G1088" s="12" t="s">
        <v>876</v>
      </c>
      <c r="H1088" s="12" t="s">
        <v>37</v>
      </c>
      <c r="I1088" s="12" t="s">
        <v>26</v>
      </c>
      <c r="J1088" s="13" t="s">
        <v>2334</v>
      </c>
      <c r="K1088" s="14" t="s">
        <v>8531</v>
      </c>
      <c r="L1088" s="15">
        <v>0</v>
      </c>
      <c r="M1088" s="15" t="s">
        <v>144</v>
      </c>
      <c r="N1088" s="16">
        <v>39287</v>
      </c>
      <c r="O1088" s="12" t="s">
        <v>8529</v>
      </c>
      <c r="P1088" s="14" t="s">
        <v>8532</v>
      </c>
      <c r="Q1088" s="17" t="s">
        <v>137</v>
      </c>
      <c r="R1088" s="17" t="s">
        <v>146</v>
      </c>
    </row>
    <row r="1089" spans="1:18" x14ac:dyDescent="0.3">
      <c r="A1089" s="12" t="s">
        <v>8533</v>
      </c>
      <c r="B1089" s="12" t="s">
        <v>14</v>
      </c>
      <c r="C1089" s="12"/>
      <c r="D1089" s="12" t="s">
        <v>14</v>
      </c>
      <c r="E1089" s="12" t="s">
        <v>8534</v>
      </c>
      <c r="F1089" s="12"/>
      <c r="G1089" s="12" t="s">
        <v>876</v>
      </c>
      <c r="H1089" s="12" t="s">
        <v>37</v>
      </c>
      <c r="I1089" s="12" t="s">
        <v>26</v>
      </c>
      <c r="J1089" s="13" t="s">
        <v>2118</v>
      </c>
      <c r="K1089" s="14" t="s">
        <v>8535</v>
      </c>
      <c r="L1089" s="15">
        <v>0</v>
      </c>
      <c r="M1089" s="15" t="s">
        <v>144</v>
      </c>
      <c r="N1089" s="16">
        <v>43416</v>
      </c>
      <c r="O1089" s="12" t="s">
        <v>8533</v>
      </c>
      <c r="P1089" s="14" t="s">
        <v>8536</v>
      </c>
      <c r="Q1089" s="17" t="s">
        <v>137</v>
      </c>
      <c r="R1089" s="17" t="s">
        <v>146</v>
      </c>
    </row>
    <row r="1090" spans="1:18" x14ac:dyDescent="0.3">
      <c r="A1090" s="12" t="s">
        <v>8537</v>
      </c>
      <c r="B1090" s="12" t="s">
        <v>14</v>
      </c>
      <c r="C1090" s="12"/>
      <c r="D1090" s="12" t="s">
        <v>14</v>
      </c>
      <c r="E1090" s="12" t="s">
        <v>8538</v>
      </c>
      <c r="F1090" s="12"/>
      <c r="G1090" s="12" t="s">
        <v>876</v>
      </c>
      <c r="H1090" s="12" t="s">
        <v>37</v>
      </c>
      <c r="I1090" s="12" t="s">
        <v>26</v>
      </c>
      <c r="J1090" s="13" t="s">
        <v>2118</v>
      </c>
      <c r="K1090" s="14" t="s">
        <v>8539</v>
      </c>
      <c r="L1090" s="15">
        <v>2</v>
      </c>
      <c r="M1090" s="15" t="s">
        <v>144</v>
      </c>
      <c r="N1090" s="16">
        <v>41424</v>
      </c>
      <c r="O1090" s="12" t="s">
        <v>8537</v>
      </c>
      <c r="P1090" s="14" t="s">
        <v>8540</v>
      </c>
      <c r="Q1090" s="17" t="s">
        <v>137</v>
      </c>
      <c r="R1090" s="17" t="s">
        <v>146</v>
      </c>
    </row>
    <row r="1091" spans="1:18" x14ac:dyDescent="0.3">
      <c r="A1091" s="12" t="s">
        <v>8541</v>
      </c>
      <c r="B1091" s="12" t="s">
        <v>12</v>
      </c>
      <c r="C1091" s="12"/>
      <c r="D1091" s="12" t="s">
        <v>12</v>
      </c>
      <c r="E1091" s="12" t="s">
        <v>8542</v>
      </c>
      <c r="F1091" s="12" t="s">
        <v>8543</v>
      </c>
      <c r="G1091" s="12" t="s">
        <v>876</v>
      </c>
      <c r="H1091" s="12" t="s">
        <v>37</v>
      </c>
      <c r="I1091" s="12" t="s">
        <v>26</v>
      </c>
      <c r="J1091" s="13" t="s">
        <v>2157</v>
      </c>
      <c r="K1091" s="14" t="s">
        <v>8544</v>
      </c>
      <c r="L1091" s="15">
        <v>2</v>
      </c>
      <c r="M1091" s="15" t="s">
        <v>144</v>
      </c>
      <c r="N1091" s="16">
        <v>42628</v>
      </c>
      <c r="O1091" s="12" t="s">
        <v>8541</v>
      </c>
      <c r="P1091" s="14" t="s">
        <v>8545</v>
      </c>
      <c r="Q1091" s="17" t="s">
        <v>137</v>
      </c>
      <c r="R1091" s="17" t="s">
        <v>146</v>
      </c>
    </row>
    <row r="1092" spans="1:18" x14ac:dyDescent="0.3">
      <c r="A1092" s="12" t="s">
        <v>8546</v>
      </c>
      <c r="B1092" s="12" t="s">
        <v>10</v>
      </c>
      <c r="C1092" s="12"/>
      <c r="D1092" s="12" t="s">
        <v>252</v>
      </c>
      <c r="E1092" s="12" t="s">
        <v>8547</v>
      </c>
      <c r="F1092" s="12" t="s">
        <v>1222</v>
      </c>
      <c r="G1092" s="12" t="s">
        <v>876</v>
      </c>
      <c r="H1092" s="12" t="s">
        <v>37</v>
      </c>
      <c r="I1092" s="12" t="s">
        <v>26</v>
      </c>
      <c r="J1092" s="13" t="s">
        <v>2102</v>
      </c>
      <c r="K1092" s="14" t="s">
        <v>8548</v>
      </c>
      <c r="L1092" s="15">
        <v>0</v>
      </c>
      <c r="M1092" s="15" t="s">
        <v>144</v>
      </c>
      <c r="N1092" s="16">
        <v>44065</v>
      </c>
      <c r="O1092" s="12" t="s">
        <v>8546</v>
      </c>
      <c r="P1092" s="14" t="s">
        <v>8549</v>
      </c>
      <c r="Q1092" s="17" t="s">
        <v>137</v>
      </c>
      <c r="R1092" s="17" t="s">
        <v>146</v>
      </c>
    </row>
    <row r="1093" spans="1:18" x14ac:dyDescent="0.3">
      <c r="A1093" s="12" t="s">
        <v>8550</v>
      </c>
      <c r="B1093" s="12" t="s">
        <v>12</v>
      </c>
      <c r="C1093" s="12"/>
      <c r="D1093" s="12" t="s">
        <v>12</v>
      </c>
      <c r="E1093" s="12" t="s">
        <v>8551</v>
      </c>
      <c r="F1093" s="12" t="s">
        <v>366</v>
      </c>
      <c r="G1093" s="12" t="s">
        <v>876</v>
      </c>
      <c r="H1093" s="12" t="s">
        <v>37</v>
      </c>
      <c r="I1093" s="12" t="s">
        <v>26</v>
      </c>
      <c r="J1093" s="13" t="s">
        <v>2118</v>
      </c>
      <c r="K1093" s="14" t="s">
        <v>8552</v>
      </c>
      <c r="L1093" s="15">
        <v>1</v>
      </c>
      <c r="M1093" s="15" t="s">
        <v>144</v>
      </c>
      <c r="N1093" s="16">
        <v>43927</v>
      </c>
      <c r="O1093" s="12" t="s">
        <v>8553</v>
      </c>
      <c r="P1093" s="14" t="s">
        <v>8554</v>
      </c>
      <c r="Q1093" s="17" t="s">
        <v>137</v>
      </c>
      <c r="R1093" s="17" t="s">
        <v>146</v>
      </c>
    </row>
    <row r="1094" spans="1:18" x14ac:dyDescent="0.3">
      <c r="A1094" s="12" t="s">
        <v>8555</v>
      </c>
      <c r="B1094" s="12" t="s">
        <v>12</v>
      </c>
      <c r="C1094" s="12"/>
      <c r="D1094" s="12" t="s">
        <v>12</v>
      </c>
      <c r="E1094" s="12" t="s">
        <v>8300</v>
      </c>
      <c r="F1094" s="12" t="s">
        <v>389</v>
      </c>
      <c r="G1094" s="12" t="s">
        <v>876</v>
      </c>
      <c r="H1094" s="12" t="s">
        <v>37</v>
      </c>
      <c r="I1094" s="12" t="s">
        <v>26</v>
      </c>
      <c r="J1094" s="13" t="s">
        <v>2302</v>
      </c>
      <c r="K1094" s="14" t="s">
        <v>8301</v>
      </c>
      <c r="L1094" s="15">
        <v>2</v>
      </c>
      <c r="M1094" s="15" t="s">
        <v>144</v>
      </c>
      <c r="N1094" s="16">
        <v>39871</v>
      </c>
      <c r="O1094" s="12" t="s">
        <v>8555</v>
      </c>
      <c r="P1094" s="14" t="s">
        <v>8556</v>
      </c>
      <c r="Q1094" s="17" t="s">
        <v>137</v>
      </c>
      <c r="R1094" s="17" t="s">
        <v>146</v>
      </c>
    </row>
    <row r="1095" spans="1:18" x14ac:dyDescent="0.3">
      <c r="A1095" s="12" t="s">
        <v>8557</v>
      </c>
      <c r="B1095" s="12" t="s">
        <v>14</v>
      </c>
      <c r="C1095" s="12"/>
      <c r="D1095" s="12" t="s">
        <v>14</v>
      </c>
      <c r="E1095" s="12" t="s">
        <v>8558</v>
      </c>
      <c r="F1095" s="12"/>
      <c r="G1095" s="12" t="s">
        <v>876</v>
      </c>
      <c r="H1095" s="12" t="s">
        <v>37</v>
      </c>
      <c r="I1095" s="12" t="s">
        <v>26</v>
      </c>
      <c r="J1095" s="13" t="s">
        <v>2178</v>
      </c>
      <c r="K1095" s="14" t="s">
        <v>8559</v>
      </c>
      <c r="L1095" s="15">
        <v>1</v>
      </c>
      <c r="M1095" s="15" t="s">
        <v>144</v>
      </c>
      <c r="N1095" s="16">
        <v>44449</v>
      </c>
      <c r="O1095" s="12" t="s">
        <v>8557</v>
      </c>
      <c r="P1095" s="14" t="s">
        <v>8560</v>
      </c>
      <c r="Q1095" s="17" t="s">
        <v>137</v>
      </c>
      <c r="R1095" s="17" t="s">
        <v>146</v>
      </c>
    </row>
    <row r="1096" spans="1:18" x14ac:dyDescent="0.3">
      <c r="A1096" s="12" t="s">
        <v>8561</v>
      </c>
      <c r="B1096" s="12" t="s">
        <v>12</v>
      </c>
      <c r="C1096" s="12"/>
      <c r="D1096" s="12" t="s">
        <v>12</v>
      </c>
      <c r="E1096" s="12" t="s">
        <v>8562</v>
      </c>
      <c r="F1096" s="12" t="s">
        <v>8563</v>
      </c>
      <c r="G1096" s="12" t="s">
        <v>876</v>
      </c>
      <c r="H1096" s="12" t="s">
        <v>37</v>
      </c>
      <c r="I1096" s="12" t="s">
        <v>26</v>
      </c>
      <c r="J1096" s="13" t="s">
        <v>2109</v>
      </c>
      <c r="K1096" s="14" t="s">
        <v>8564</v>
      </c>
      <c r="L1096" s="15">
        <v>0</v>
      </c>
      <c r="M1096" s="15" t="s">
        <v>144</v>
      </c>
      <c r="N1096" s="16">
        <v>41066</v>
      </c>
      <c r="O1096" s="12" t="s">
        <v>8565</v>
      </c>
      <c r="P1096" s="14" t="s">
        <v>8566</v>
      </c>
      <c r="Q1096" s="17" t="s">
        <v>137</v>
      </c>
      <c r="R1096" s="17" t="s">
        <v>146</v>
      </c>
    </row>
    <row r="1097" spans="1:18" x14ac:dyDescent="0.3">
      <c r="A1097" s="12" t="s">
        <v>8567</v>
      </c>
      <c r="B1097" s="12" t="s">
        <v>12</v>
      </c>
      <c r="C1097" s="12"/>
      <c r="D1097" s="12" t="s">
        <v>12</v>
      </c>
      <c r="E1097" s="12" t="s">
        <v>8568</v>
      </c>
      <c r="F1097" s="12"/>
      <c r="G1097" s="12" t="s">
        <v>876</v>
      </c>
      <c r="H1097" s="12" t="s">
        <v>37</v>
      </c>
      <c r="I1097" s="12" t="s">
        <v>26</v>
      </c>
      <c r="J1097" s="13" t="s">
        <v>2157</v>
      </c>
      <c r="K1097" s="14" t="s">
        <v>8569</v>
      </c>
      <c r="L1097" s="15">
        <v>4</v>
      </c>
      <c r="M1097" s="15" t="s">
        <v>144</v>
      </c>
      <c r="N1097" s="16">
        <v>44065</v>
      </c>
      <c r="O1097" s="12" t="s">
        <v>8567</v>
      </c>
      <c r="P1097" s="14" t="s">
        <v>8570</v>
      </c>
      <c r="Q1097" s="17" t="s">
        <v>137</v>
      </c>
      <c r="R1097" s="17" t="s">
        <v>146</v>
      </c>
    </row>
    <row r="1098" spans="1:18" x14ac:dyDescent="0.3">
      <c r="A1098" s="12" t="s">
        <v>8571</v>
      </c>
      <c r="B1098" s="12" t="s">
        <v>12</v>
      </c>
      <c r="C1098" s="12"/>
      <c r="D1098" s="12" t="s">
        <v>12</v>
      </c>
      <c r="E1098" s="12" t="s">
        <v>8496</v>
      </c>
      <c r="F1098" s="12"/>
      <c r="G1098" s="12" t="s">
        <v>876</v>
      </c>
      <c r="H1098" s="12" t="s">
        <v>37</v>
      </c>
      <c r="I1098" s="12" t="s">
        <v>26</v>
      </c>
      <c r="J1098" s="13" t="s">
        <v>2302</v>
      </c>
      <c r="K1098" s="14" t="s">
        <v>8572</v>
      </c>
      <c r="L1098" s="15">
        <v>2</v>
      </c>
      <c r="M1098" s="15" t="s">
        <v>144</v>
      </c>
      <c r="N1098" s="16">
        <v>39812</v>
      </c>
      <c r="O1098" s="12" t="s">
        <v>8571</v>
      </c>
      <c r="P1098" s="14" t="s">
        <v>8573</v>
      </c>
      <c r="Q1098" s="17" t="s">
        <v>137</v>
      </c>
      <c r="R1098" s="17" t="s">
        <v>146</v>
      </c>
    </row>
    <row r="1099" spans="1:18" x14ac:dyDescent="0.3">
      <c r="A1099" s="12" t="s">
        <v>8574</v>
      </c>
      <c r="B1099" s="12" t="s">
        <v>12</v>
      </c>
      <c r="C1099" s="12"/>
      <c r="D1099" s="12" t="s">
        <v>12</v>
      </c>
      <c r="E1099" s="12" t="s">
        <v>8070</v>
      </c>
      <c r="F1099" s="12" t="s">
        <v>345</v>
      </c>
      <c r="G1099" s="12" t="s">
        <v>876</v>
      </c>
      <c r="H1099" s="12" t="s">
        <v>37</v>
      </c>
      <c r="I1099" s="12" t="s">
        <v>26</v>
      </c>
      <c r="J1099" s="13" t="s">
        <v>1995</v>
      </c>
      <c r="K1099" s="14" t="s">
        <v>8575</v>
      </c>
      <c r="L1099" s="15">
        <v>3</v>
      </c>
      <c r="M1099" s="15" t="s">
        <v>144</v>
      </c>
      <c r="N1099" s="16">
        <v>44065</v>
      </c>
      <c r="O1099" s="12" t="s">
        <v>8574</v>
      </c>
      <c r="P1099" s="14" t="s">
        <v>8576</v>
      </c>
      <c r="Q1099" s="17" t="s">
        <v>137</v>
      </c>
      <c r="R1099" s="17" t="s">
        <v>146</v>
      </c>
    </row>
    <row r="1100" spans="1:18" x14ac:dyDescent="0.3">
      <c r="A1100" s="12" t="s">
        <v>8577</v>
      </c>
      <c r="B1100" s="12" t="s">
        <v>20</v>
      </c>
      <c r="C1100" s="12"/>
      <c r="D1100" s="12" t="s">
        <v>193</v>
      </c>
      <c r="E1100" s="12" t="s">
        <v>8578</v>
      </c>
      <c r="F1100" s="12" t="s">
        <v>918</v>
      </c>
      <c r="G1100" s="12" t="s">
        <v>876</v>
      </c>
      <c r="H1100" s="12" t="s">
        <v>37</v>
      </c>
      <c r="I1100" s="12" t="s">
        <v>26</v>
      </c>
      <c r="J1100" s="13" t="s">
        <v>2178</v>
      </c>
      <c r="K1100" s="14" t="s">
        <v>8579</v>
      </c>
      <c r="L1100" s="15">
        <v>0</v>
      </c>
      <c r="M1100" s="15" t="s">
        <v>144</v>
      </c>
      <c r="N1100" s="16">
        <v>39380</v>
      </c>
      <c r="O1100" s="12" t="s">
        <v>8577</v>
      </c>
      <c r="P1100" s="14" t="s">
        <v>8580</v>
      </c>
      <c r="Q1100" s="17" t="s">
        <v>137</v>
      </c>
      <c r="R1100" s="17" t="s">
        <v>146</v>
      </c>
    </row>
    <row r="1101" spans="1:18" x14ac:dyDescent="0.3">
      <c r="A1101" s="12" t="s">
        <v>8581</v>
      </c>
      <c r="B1101" s="12" t="s">
        <v>12</v>
      </c>
      <c r="C1101" s="12"/>
      <c r="D1101" s="12" t="s">
        <v>12</v>
      </c>
      <c r="E1101" s="12" t="s">
        <v>8582</v>
      </c>
      <c r="F1101" s="12" t="s">
        <v>164</v>
      </c>
      <c r="G1101" s="12" t="s">
        <v>876</v>
      </c>
      <c r="H1101" s="12" t="s">
        <v>37</v>
      </c>
      <c r="I1101" s="12" t="s">
        <v>26</v>
      </c>
      <c r="J1101" s="13" t="s">
        <v>2118</v>
      </c>
      <c r="K1101" s="14" t="s">
        <v>2207</v>
      </c>
      <c r="L1101" s="15">
        <v>1</v>
      </c>
      <c r="M1101" s="15" t="s">
        <v>144</v>
      </c>
      <c r="N1101" s="16">
        <v>44065</v>
      </c>
      <c r="O1101" s="12" t="s">
        <v>8581</v>
      </c>
      <c r="P1101" s="14" t="s">
        <v>8583</v>
      </c>
      <c r="Q1101" s="17" t="s">
        <v>137</v>
      </c>
      <c r="R1101" s="17" t="s">
        <v>146</v>
      </c>
    </row>
    <row r="1102" spans="1:18" x14ac:dyDescent="0.3">
      <c r="A1102" s="12" t="s">
        <v>8584</v>
      </c>
      <c r="B1102" s="12" t="s">
        <v>16</v>
      </c>
      <c r="C1102" s="12"/>
      <c r="D1102" s="12" t="s">
        <v>471</v>
      </c>
      <c r="E1102" s="12" t="s">
        <v>8585</v>
      </c>
      <c r="F1102" s="12"/>
      <c r="G1102" s="12" t="s">
        <v>876</v>
      </c>
      <c r="H1102" s="12" t="s">
        <v>37</v>
      </c>
      <c r="I1102" s="12" t="s">
        <v>26</v>
      </c>
      <c r="J1102" s="13" t="s">
        <v>2102</v>
      </c>
      <c r="K1102" s="14" t="s">
        <v>2025</v>
      </c>
      <c r="L1102" s="15">
        <v>77</v>
      </c>
      <c r="M1102" s="15" t="s">
        <v>144</v>
      </c>
      <c r="N1102" s="16">
        <v>44291</v>
      </c>
      <c r="O1102" s="12" t="s">
        <v>8584</v>
      </c>
      <c r="P1102" s="14" t="s">
        <v>8586</v>
      </c>
      <c r="Q1102" s="17" t="s">
        <v>137</v>
      </c>
      <c r="R1102" s="17" t="s">
        <v>146</v>
      </c>
    </row>
    <row r="1103" spans="1:18" x14ac:dyDescent="0.3">
      <c r="A1103" s="12" t="s">
        <v>8587</v>
      </c>
      <c r="B1103" s="12" t="s">
        <v>12</v>
      </c>
      <c r="C1103" s="12"/>
      <c r="D1103" s="12" t="s">
        <v>12</v>
      </c>
      <c r="E1103" s="12" t="s">
        <v>8588</v>
      </c>
      <c r="F1103" s="12" t="s">
        <v>2218</v>
      </c>
      <c r="G1103" s="12" t="s">
        <v>876</v>
      </c>
      <c r="H1103" s="12" t="s">
        <v>37</v>
      </c>
      <c r="I1103" s="12" t="s">
        <v>26</v>
      </c>
      <c r="J1103" s="13" t="s">
        <v>2109</v>
      </c>
      <c r="K1103" s="14" t="s">
        <v>8589</v>
      </c>
      <c r="L1103" s="15">
        <v>1</v>
      </c>
      <c r="M1103" s="15" t="s">
        <v>144</v>
      </c>
      <c r="N1103" s="16">
        <v>41352</v>
      </c>
      <c r="O1103" s="12" t="s">
        <v>8587</v>
      </c>
      <c r="P1103" s="14" t="s">
        <v>8590</v>
      </c>
      <c r="Q1103" s="17" t="s">
        <v>137</v>
      </c>
      <c r="R1103" s="17" t="s">
        <v>146</v>
      </c>
    </row>
    <row r="1104" spans="1:18" x14ac:dyDescent="0.3">
      <c r="A1104" s="12" t="s">
        <v>8591</v>
      </c>
      <c r="B1104" s="12" t="s">
        <v>12</v>
      </c>
      <c r="C1104" s="12"/>
      <c r="D1104" s="12" t="s">
        <v>12</v>
      </c>
      <c r="E1104" s="12" t="s">
        <v>8592</v>
      </c>
      <c r="F1104" s="12" t="s">
        <v>1163</v>
      </c>
      <c r="G1104" s="12" t="s">
        <v>876</v>
      </c>
      <c r="H1104" s="12" t="s">
        <v>37</v>
      </c>
      <c r="I1104" s="12" t="s">
        <v>26</v>
      </c>
      <c r="J1104" s="13" t="s">
        <v>2123</v>
      </c>
      <c r="K1104" s="14" t="s">
        <v>8593</v>
      </c>
      <c r="L1104" s="15">
        <v>0</v>
      </c>
      <c r="M1104" s="15" t="s">
        <v>144</v>
      </c>
      <c r="N1104" s="16">
        <v>41333</v>
      </c>
      <c r="O1104" s="12" t="s">
        <v>8591</v>
      </c>
      <c r="P1104" s="14" t="s">
        <v>8594</v>
      </c>
      <c r="Q1104" s="17" t="s">
        <v>137</v>
      </c>
      <c r="R1104" s="17" t="s">
        <v>146</v>
      </c>
    </row>
    <row r="1105" spans="1:18" x14ac:dyDescent="0.3">
      <c r="A1105" s="12" t="s">
        <v>8595</v>
      </c>
      <c r="B1105" s="12" t="s">
        <v>10</v>
      </c>
      <c r="C1105" s="12"/>
      <c r="D1105" s="12" t="s">
        <v>157</v>
      </c>
      <c r="E1105" s="12" t="s">
        <v>8267</v>
      </c>
      <c r="F1105" s="12" t="s">
        <v>8596</v>
      </c>
      <c r="G1105" s="12" t="s">
        <v>876</v>
      </c>
      <c r="H1105" s="12" t="s">
        <v>37</v>
      </c>
      <c r="I1105" s="12" t="s">
        <v>26</v>
      </c>
      <c r="J1105" s="13" t="s">
        <v>2144</v>
      </c>
      <c r="K1105" s="14" t="s">
        <v>8597</v>
      </c>
      <c r="L1105" s="15">
        <v>0</v>
      </c>
      <c r="M1105" s="15" t="s">
        <v>144</v>
      </c>
      <c r="N1105" s="16">
        <v>40147</v>
      </c>
      <c r="O1105" s="12" t="s">
        <v>8595</v>
      </c>
      <c r="P1105" s="14" t="s">
        <v>8598</v>
      </c>
      <c r="Q1105" s="17" t="s">
        <v>137</v>
      </c>
      <c r="R1105" s="17" t="s">
        <v>146</v>
      </c>
    </row>
    <row r="1106" spans="1:18" x14ac:dyDescent="0.3">
      <c r="A1106" s="12" t="s">
        <v>8599</v>
      </c>
      <c r="B1106" s="12" t="s">
        <v>12</v>
      </c>
      <c r="C1106" s="12"/>
      <c r="D1106" s="12" t="s">
        <v>12</v>
      </c>
      <c r="E1106" s="12" t="s">
        <v>8600</v>
      </c>
      <c r="F1106" s="12"/>
      <c r="G1106" s="12" t="s">
        <v>876</v>
      </c>
      <c r="H1106" s="12" t="s">
        <v>37</v>
      </c>
      <c r="I1106" s="12" t="s">
        <v>26</v>
      </c>
      <c r="J1106" s="13" t="s">
        <v>2184</v>
      </c>
      <c r="K1106" s="14" t="s">
        <v>8601</v>
      </c>
      <c r="L1106" s="15">
        <v>1</v>
      </c>
      <c r="M1106" s="15" t="s">
        <v>144</v>
      </c>
      <c r="N1106" s="16">
        <v>41544</v>
      </c>
      <c r="O1106" s="12" t="s">
        <v>8599</v>
      </c>
      <c r="P1106" s="14" t="s">
        <v>8602</v>
      </c>
      <c r="Q1106" s="17" t="s">
        <v>137</v>
      </c>
      <c r="R1106" s="17" t="s">
        <v>146</v>
      </c>
    </row>
    <row r="1107" spans="1:18" x14ac:dyDescent="0.3">
      <c r="A1107" s="12" t="s">
        <v>8603</v>
      </c>
      <c r="B1107" s="12" t="s">
        <v>12</v>
      </c>
      <c r="C1107" s="12"/>
      <c r="D1107" s="12" t="s">
        <v>12</v>
      </c>
      <c r="E1107" s="12" t="s">
        <v>8604</v>
      </c>
      <c r="F1107" s="12"/>
      <c r="G1107" s="12" t="s">
        <v>876</v>
      </c>
      <c r="H1107" s="12" t="s">
        <v>37</v>
      </c>
      <c r="I1107" s="12" t="s">
        <v>26</v>
      </c>
      <c r="J1107" s="13" t="s">
        <v>2007</v>
      </c>
      <c r="K1107" s="14" t="s">
        <v>8605</v>
      </c>
      <c r="L1107" s="15">
        <v>4</v>
      </c>
      <c r="M1107" s="15" t="s">
        <v>144</v>
      </c>
      <c r="N1107" s="16">
        <v>44065</v>
      </c>
      <c r="O1107" s="12" t="s">
        <v>8603</v>
      </c>
      <c r="P1107" s="14" t="s">
        <v>8606</v>
      </c>
      <c r="Q1107" s="17" t="s">
        <v>137</v>
      </c>
      <c r="R1107" s="17" t="s">
        <v>146</v>
      </c>
    </row>
    <row r="1108" spans="1:18" x14ac:dyDescent="0.3">
      <c r="A1108" s="12" t="s">
        <v>199</v>
      </c>
      <c r="B1108" s="12" t="s">
        <v>14</v>
      </c>
      <c r="C1108" s="12"/>
      <c r="D1108" s="12" t="s">
        <v>14</v>
      </c>
      <c r="E1108" s="12" t="s">
        <v>8607</v>
      </c>
      <c r="F1108" s="12" t="s">
        <v>8608</v>
      </c>
      <c r="G1108" s="12" t="s">
        <v>876</v>
      </c>
      <c r="H1108" s="12" t="s">
        <v>37</v>
      </c>
      <c r="I1108" s="12" t="s">
        <v>26</v>
      </c>
      <c r="J1108" s="13" t="s">
        <v>2195</v>
      </c>
      <c r="K1108" s="14" t="s">
        <v>8609</v>
      </c>
      <c r="L1108" s="15">
        <v>4</v>
      </c>
      <c r="M1108" s="15" t="s">
        <v>144</v>
      </c>
      <c r="N1108" s="16">
        <v>39701</v>
      </c>
      <c r="O1108" s="12" t="s">
        <v>331</v>
      </c>
      <c r="P1108" s="14" t="s">
        <v>8610</v>
      </c>
      <c r="Q1108" s="17" t="s">
        <v>137</v>
      </c>
      <c r="R1108" s="17" t="s">
        <v>146</v>
      </c>
    </row>
    <row r="1109" spans="1:18" x14ac:dyDescent="0.3">
      <c r="A1109" s="12" t="s">
        <v>8611</v>
      </c>
      <c r="B1109" s="12" t="s">
        <v>12</v>
      </c>
      <c r="C1109" s="12"/>
      <c r="D1109" s="12" t="s">
        <v>12</v>
      </c>
      <c r="E1109" s="12" t="s">
        <v>8612</v>
      </c>
      <c r="F1109" s="12"/>
      <c r="G1109" s="12" t="s">
        <v>876</v>
      </c>
      <c r="H1109" s="12" t="s">
        <v>37</v>
      </c>
      <c r="I1109" s="12" t="s">
        <v>26</v>
      </c>
      <c r="J1109" s="13" t="s">
        <v>2118</v>
      </c>
      <c r="K1109" s="14" t="s">
        <v>8613</v>
      </c>
      <c r="L1109" s="15">
        <v>0</v>
      </c>
      <c r="M1109" s="15" t="s">
        <v>144</v>
      </c>
      <c r="N1109" s="16">
        <v>39554</v>
      </c>
      <c r="O1109" s="12" t="s">
        <v>8611</v>
      </c>
      <c r="P1109" s="14" t="s">
        <v>8614</v>
      </c>
      <c r="Q1109" s="17" t="s">
        <v>137</v>
      </c>
      <c r="R1109" s="17" t="s">
        <v>146</v>
      </c>
    </row>
    <row r="1110" spans="1:18" x14ac:dyDescent="0.3">
      <c r="A1110" s="12" t="s">
        <v>8615</v>
      </c>
      <c r="B1110" s="12" t="s">
        <v>12</v>
      </c>
      <c r="C1110" s="12"/>
      <c r="D1110" s="12" t="s">
        <v>12</v>
      </c>
      <c r="E1110" s="12" t="s">
        <v>8616</v>
      </c>
      <c r="F1110" s="12" t="s">
        <v>516</v>
      </c>
      <c r="G1110" s="12" t="s">
        <v>876</v>
      </c>
      <c r="H1110" s="12" t="s">
        <v>37</v>
      </c>
      <c r="I1110" s="12" t="s">
        <v>26</v>
      </c>
      <c r="J1110" s="13" t="s">
        <v>1995</v>
      </c>
      <c r="K1110" s="14" t="s">
        <v>8617</v>
      </c>
      <c r="L1110" s="15">
        <v>2</v>
      </c>
      <c r="M1110" s="15" t="s">
        <v>144</v>
      </c>
      <c r="N1110" s="16">
        <v>41477</v>
      </c>
      <c r="O1110" s="12" t="s">
        <v>8615</v>
      </c>
      <c r="P1110" s="14" t="s">
        <v>8618</v>
      </c>
      <c r="Q1110" s="17" t="s">
        <v>137</v>
      </c>
      <c r="R1110" s="17" t="s">
        <v>146</v>
      </c>
    </row>
    <row r="1111" spans="1:18" x14ac:dyDescent="0.3">
      <c r="A1111" s="12" t="s">
        <v>8619</v>
      </c>
      <c r="B1111" s="12" t="s">
        <v>10</v>
      </c>
      <c r="C1111" s="12"/>
      <c r="D1111" s="12" t="s">
        <v>647</v>
      </c>
      <c r="E1111" s="12" t="s">
        <v>8620</v>
      </c>
      <c r="F1111" s="12"/>
      <c r="G1111" s="12" t="s">
        <v>876</v>
      </c>
      <c r="H1111" s="12" t="s">
        <v>37</v>
      </c>
      <c r="I1111" s="12" t="s">
        <v>26</v>
      </c>
      <c r="J1111" s="13" t="s">
        <v>2219</v>
      </c>
      <c r="K1111" s="14" t="s">
        <v>8621</v>
      </c>
      <c r="L1111" s="15">
        <v>23</v>
      </c>
      <c r="M1111" s="15" t="s">
        <v>220</v>
      </c>
      <c r="N1111" s="16">
        <v>39500</v>
      </c>
      <c r="O1111" s="12" t="s">
        <v>8619</v>
      </c>
      <c r="P1111" s="14" t="s">
        <v>8622</v>
      </c>
      <c r="Q1111" s="17" t="s">
        <v>137</v>
      </c>
      <c r="R1111" s="17" t="s">
        <v>146</v>
      </c>
    </row>
    <row r="1112" spans="1:18" x14ac:dyDescent="0.3">
      <c r="A1112" s="12" t="s">
        <v>8623</v>
      </c>
      <c r="B1112" s="12" t="s">
        <v>10</v>
      </c>
      <c r="C1112" s="12"/>
      <c r="D1112" s="12" t="s">
        <v>252</v>
      </c>
      <c r="E1112" s="12" t="s">
        <v>8620</v>
      </c>
      <c r="F1112" s="12"/>
      <c r="G1112" s="12" t="s">
        <v>876</v>
      </c>
      <c r="H1112" s="12" t="s">
        <v>37</v>
      </c>
      <c r="I1112" s="12" t="s">
        <v>26</v>
      </c>
      <c r="J1112" s="13" t="s">
        <v>2219</v>
      </c>
      <c r="K1112" s="14" t="s">
        <v>8621</v>
      </c>
      <c r="L1112" s="15">
        <v>15</v>
      </c>
      <c r="M1112" s="15" t="s">
        <v>220</v>
      </c>
      <c r="N1112" s="16">
        <v>39500</v>
      </c>
      <c r="O1112" s="12" t="s">
        <v>8623</v>
      </c>
      <c r="P1112" s="14" t="s">
        <v>8624</v>
      </c>
      <c r="Q1112" s="17" t="s">
        <v>137</v>
      </c>
      <c r="R1112" s="17" t="s">
        <v>146</v>
      </c>
    </row>
    <row r="1113" spans="1:18" x14ac:dyDescent="0.3">
      <c r="A1113" s="12" t="s">
        <v>8625</v>
      </c>
      <c r="B1113" s="12" t="s">
        <v>14</v>
      </c>
      <c r="C1113" s="12"/>
      <c r="D1113" s="12" t="s">
        <v>14</v>
      </c>
      <c r="E1113" s="12" t="s">
        <v>8626</v>
      </c>
      <c r="F1113" s="12"/>
      <c r="G1113" s="12" t="s">
        <v>876</v>
      </c>
      <c r="H1113" s="12" t="s">
        <v>37</v>
      </c>
      <c r="I1113" s="12" t="s">
        <v>26</v>
      </c>
      <c r="J1113" s="13" t="s">
        <v>2118</v>
      </c>
      <c r="K1113" s="14" t="s">
        <v>8627</v>
      </c>
      <c r="L1113" s="15">
        <v>0</v>
      </c>
      <c r="M1113" s="15" t="s">
        <v>144</v>
      </c>
      <c r="N1113" s="16">
        <v>39804</v>
      </c>
      <c r="O1113" s="12" t="s">
        <v>8625</v>
      </c>
      <c r="P1113" s="14" t="s">
        <v>8628</v>
      </c>
      <c r="Q1113" s="17" t="s">
        <v>137</v>
      </c>
      <c r="R1113" s="17" t="s">
        <v>146</v>
      </c>
    </row>
    <row r="1114" spans="1:18" x14ac:dyDescent="0.3">
      <c r="A1114" s="12" t="s">
        <v>8629</v>
      </c>
      <c r="B1114" s="12" t="s">
        <v>12</v>
      </c>
      <c r="C1114" s="12"/>
      <c r="D1114" s="12" t="s">
        <v>12</v>
      </c>
      <c r="E1114" s="12" t="s">
        <v>8630</v>
      </c>
      <c r="F1114" s="12"/>
      <c r="G1114" s="12" t="s">
        <v>876</v>
      </c>
      <c r="H1114" s="12" t="s">
        <v>37</v>
      </c>
      <c r="I1114" s="12" t="s">
        <v>26</v>
      </c>
      <c r="J1114" s="13" t="s">
        <v>2070</v>
      </c>
      <c r="K1114" s="14" t="s">
        <v>8631</v>
      </c>
      <c r="L1114" s="15">
        <v>0</v>
      </c>
      <c r="M1114" s="15" t="s">
        <v>144</v>
      </c>
      <c r="N1114" s="16">
        <v>41472</v>
      </c>
      <c r="O1114" s="12" t="s">
        <v>8629</v>
      </c>
      <c r="P1114" s="14" t="s">
        <v>8632</v>
      </c>
      <c r="Q1114" s="17" t="s">
        <v>137</v>
      </c>
      <c r="R1114" s="17" t="s">
        <v>146</v>
      </c>
    </row>
    <row r="1115" spans="1:18" x14ac:dyDescent="0.3">
      <c r="A1115" s="12" t="s">
        <v>8633</v>
      </c>
      <c r="B1115" s="12" t="s">
        <v>12</v>
      </c>
      <c r="C1115" s="12"/>
      <c r="D1115" s="12" t="s">
        <v>12</v>
      </c>
      <c r="E1115" s="12" t="s">
        <v>8433</v>
      </c>
      <c r="F1115" s="12" t="s">
        <v>7808</v>
      </c>
      <c r="G1115" s="12" t="s">
        <v>876</v>
      </c>
      <c r="H1115" s="12" t="s">
        <v>37</v>
      </c>
      <c r="I1115" s="12" t="s">
        <v>26</v>
      </c>
      <c r="J1115" s="13" t="s">
        <v>2118</v>
      </c>
      <c r="K1115" s="14" t="s">
        <v>8634</v>
      </c>
      <c r="L1115" s="15">
        <v>0</v>
      </c>
      <c r="M1115" s="15" t="s">
        <v>144</v>
      </c>
      <c r="N1115" s="16">
        <v>41982</v>
      </c>
      <c r="O1115" s="12" t="s">
        <v>8633</v>
      </c>
      <c r="P1115" s="14" t="s">
        <v>8635</v>
      </c>
      <c r="Q1115" s="17" t="s">
        <v>137</v>
      </c>
      <c r="R1115" s="17" t="s">
        <v>146</v>
      </c>
    </row>
    <row r="1116" spans="1:18" x14ac:dyDescent="0.3">
      <c r="A1116" s="12" t="s">
        <v>8636</v>
      </c>
      <c r="B1116" s="12" t="s">
        <v>12</v>
      </c>
      <c r="C1116" s="12"/>
      <c r="D1116" s="12" t="s">
        <v>12</v>
      </c>
      <c r="E1116" s="12" t="s">
        <v>8637</v>
      </c>
      <c r="F1116" s="12" t="s">
        <v>8638</v>
      </c>
      <c r="G1116" s="12" t="s">
        <v>876</v>
      </c>
      <c r="H1116" s="12" t="s">
        <v>37</v>
      </c>
      <c r="I1116" s="12" t="s">
        <v>26</v>
      </c>
      <c r="J1116" s="13" t="s">
        <v>2219</v>
      </c>
      <c r="K1116" s="14" t="s">
        <v>8639</v>
      </c>
      <c r="L1116" s="15">
        <v>1</v>
      </c>
      <c r="M1116" s="15" t="s">
        <v>144</v>
      </c>
      <c r="N1116" s="16">
        <v>39702</v>
      </c>
      <c r="O1116" s="12" t="s">
        <v>8640</v>
      </c>
      <c r="P1116" s="14" t="s">
        <v>8641</v>
      </c>
      <c r="Q1116" s="17" t="s">
        <v>137</v>
      </c>
      <c r="R1116" s="17" t="s">
        <v>146</v>
      </c>
    </row>
    <row r="1117" spans="1:18" x14ac:dyDescent="0.3">
      <c r="A1117" s="12" t="s">
        <v>8642</v>
      </c>
      <c r="B1117" s="12" t="s">
        <v>14</v>
      </c>
      <c r="C1117" s="12"/>
      <c r="D1117" s="12" t="s">
        <v>14</v>
      </c>
      <c r="E1117" s="12" t="s">
        <v>2143</v>
      </c>
      <c r="F1117" s="12"/>
      <c r="G1117" s="12" t="s">
        <v>876</v>
      </c>
      <c r="H1117" s="12" t="s">
        <v>37</v>
      </c>
      <c r="I1117" s="12" t="s">
        <v>26</v>
      </c>
      <c r="J1117" s="13" t="s">
        <v>2144</v>
      </c>
      <c r="K1117" s="14" t="s">
        <v>8643</v>
      </c>
      <c r="L1117" s="15">
        <v>0</v>
      </c>
      <c r="M1117" s="15" t="s">
        <v>144</v>
      </c>
      <c r="N1117" s="16">
        <v>42242</v>
      </c>
      <c r="O1117" s="12" t="s">
        <v>8644</v>
      </c>
      <c r="P1117" s="14" t="s">
        <v>8645</v>
      </c>
      <c r="Q1117" s="17" t="s">
        <v>137</v>
      </c>
      <c r="R1117" s="17" t="s">
        <v>146</v>
      </c>
    </row>
    <row r="1118" spans="1:18" x14ac:dyDescent="0.3">
      <c r="A1118" s="12" t="s">
        <v>8646</v>
      </c>
      <c r="B1118" s="12" t="s">
        <v>14</v>
      </c>
      <c r="C1118" s="12"/>
      <c r="D1118" s="12" t="s">
        <v>14</v>
      </c>
      <c r="E1118" s="12" t="s">
        <v>8647</v>
      </c>
      <c r="F1118" s="12"/>
      <c r="G1118" s="12" t="s">
        <v>876</v>
      </c>
      <c r="H1118" s="12" t="s">
        <v>37</v>
      </c>
      <c r="I1118" s="12" t="s">
        <v>26</v>
      </c>
      <c r="J1118" s="13" t="s">
        <v>2149</v>
      </c>
      <c r="K1118" s="14" t="s">
        <v>5625</v>
      </c>
      <c r="L1118" s="15">
        <v>0</v>
      </c>
      <c r="M1118" s="15" t="s">
        <v>144</v>
      </c>
      <c r="N1118" s="16">
        <v>41282</v>
      </c>
      <c r="O1118" s="12" t="s">
        <v>8646</v>
      </c>
      <c r="P1118" s="14" t="s">
        <v>8648</v>
      </c>
      <c r="Q1118" s="17" t="s">
        <v>137</v>
      </c>
      <c r="R1118" s="17" t="s">
        <v>146</v>
      </c>
    </row>
    <row r="1119" spans="1:18" x14ac:dyDescent="0.3">
      <c r="A1119" s="12" t="s">
        <v>8649</v>
      </c>
      <c r="B1119" s="12" t="s">
        <v>10</v>
      </c>
      <c r="C1119" s="12"/>
      <c r="D1119" s="12" t="s">
        <v>157</v>
      </c>
      <c r="E1119" s="12" t="s">
        <v>8346</v>
      </c>
      <c r="F1119" s="12" t="s">
        <v>1163</v>
      </c>
      <c r="G1119" s="12" t="s">
        <v>876</v>
      </c>
      <c r="H1119" s="12" t="s">
        <v>37</v>
      </c>
      <c r="I1119" s="12" t="s">
        <v>26</v>
      </c>
      <c r="J1119" s="13" t="s">
        <v>2195</v>
      </c>
      <c r="K1119" s="14" t="s">
        <v>8349</v>
      </c>
      <c r="L1119" s="15">
        <v>0</v>
      </c>
      <c r="M1119" s="15" t="s">
        <v>144</v>
      </c>
      <c r="N1119" s="16">
        <v>44231</v>
      </c>
      <c r="O1119" s="12" t="s">
        <v>8649</v>
      </c>
      <c r="P1119" s="14" t="s">
        <v>8650</v>
      </c>
      <c r="Q1119" s="17" t="s">
        <v>137</v>
      </c>
      <c r="R1119" s="17" t="s">
        <v>146</v>
      </c>
    </row>
    <row r="1120" spans="1:18" x14ac:dyDescent="0.3">
      <c r="A1120" s="12" t="s">
        <v>8651</v>
      </c>
      <c r="B1120" s="12" t="s">
        <v>10</v>
      </c>
      <c r="C1120" s="12"/>
      <c r="D1120" s="12" t="s">
        <v>252</v>
      </c>
      <c r="E1120" s="12" t="s">
        <v>8652</v>
      </c>
      <c r="F1120" s="12"/>
      <c r="G1120" s="12" t="s">
        <v>876</v>
      </c>
      <c r="H1120" s="12" t="s">
        <v>37</v>
      </c>
      <c r="I1120" s="12" t="s">
        <v>26</v>
      </c>
      <c r="J1120" s="13" t="s">
        <v>2144</v>
      </c>
      <c r="K1120" s="14" t="s">
        <v>8653</v>
      </c>
      <c r="L1120" s="15">
        <v>0</v>
      </c>
      <c r="M1120" s="15" t="s">
        <v>144</v>
      </c>
      <c r="N1120" s="16">
        <v>40631</v>
      </c>
      <c r="O1120" s="12" t="s">
        <v>8651</v>
      </c>
      <c r="P1120" s="14" t="s">
        <v>8654</v>
      </c>
      <c r="Q1120" s="17" t="s">
        <v>137</v>
      </c>
      <c r="R1120" s="17" t="s">
        <v>146</v>
      </c>
    </row>
    <row r="1121" spans="1:18" x14ac:dyDescent="0.3">
      <c r="A1121" s="12" t="s">
        <v>8655</v>
      </c>
      <c r="B1121" s="12" t="s">
        <v>20</v>
      </c>
      <c r="C1121" s="12"/>
      <c r="D1121" s="12" t="s">
        <v>193</v>
      </c>
      <c r="E1121" s="12" t="s">
        <v>8656</v>
      </c>
      <c r="F1121" s="12" t="s">
        <v>258</v>
      </c>
      <c r="G1121" s="12" t="s">
        <v>876</v>
      </c>
      <c r="H1121" s="12" t="s">
        <v>37</v>
      </c>
      <c r="I1121" s="12" t="s">
        <v>26</v>
      </c>
      <c r="J1121" s="13" t="s">
        <v>2118</v>
      </c>
      <c r="K1121" s="14" t="s">
        <v>8657</v>
      </c>
      <c r="L1121" s="15">
        <v>1</v>
      </c>
      <c r="M1121" s="15" t="s">
        <v>144</v>
      </c>
      <c r="N1121" s="16">
        <v>44065</v>
      </c>
      <c r="O1121" s="12" t="s">
        <v>8655</v>
      </c>
      <c r="P1121" s="14" t="s">
        <v>8658</v>
      </c>
      <c r="Q1121" s="17" t="s">
        <v>137</v>
      </c>
      <c r="R1121" s="17" t="s">
        <v>146</v>
      </c>
    </row>
    <row r="1122" spans="1:18" x14ac:dyDescent="0.3">
      <c r="A1122" s="12" t="s">
        <v>8659</v>
      </c>
      <c r="B1122" s="12" t="s">
        <v>12</v>
      </c>
      <c r="C1122" s="12"/>
      <c r="D1122" s="12" t="s">
        <v>12</v>
      </c>
      <c r="E1122" s="12" t="s">
        <v>8660</v>
      </c>
      <c r="F1122" s="12" t="s">
        <v>467</v>
      </c>
      <c r="G1122" s="12" t="s">
        <v>876</v>
      </c>
      <c r="H1122" s="12" t="s">
        <v>37</v>
      </c>
      <c r="I1122" s="12" t="s">
        <v>26</v>
      </c>
      <c r="J1122" s="13" t="s">
        <v>2118</v>
      </c>
      <c r="K1122" s="14" t="s">
        <v>8661</v>
      </c>
      <c r="L1122" s="15">
        <v>0</v>
      </c>
      <c r="M1122" s="15" t="s">
        <v>144</v>
      </c>
      <c r="N1122" s="16">
        <v>39792</v>
      </c>
      <c r="O1122" s="12" t="s">
        <v>8659</v>
      </c>
      <c r="P1122" s="14" t="s">
        <v>8662</v>
      </c>
      <c r="Q1122" s="17" t="s">
        <v>137</v>
      </c>
      <c r="R1122" s="17" t="s">
        <v>146</v>
      </c>
    </row>
    <row r="1123" spans="1:18" x14ac:dyDescent="0.3">
      <c r="A1123" s="12" t="s">
        <v>8663</v>
      </c>
      <c r="B1123" s="12" t="s">
        <v>12</v>
      </c>
      <c r="C1123" s="12"/>
      <c r="D1123" s="12" t="s">
        <v>12</v>
      </c>
      <c r="E1123" s="12" t="s">
        <v>8664</v>
      </c>
      <c r="F1123" s="12"/>
      <c r="G1123" s="12" t="s">
        <v>876</v>
      </c>
      <c r="H1123" s="12" t="s">
        <v>37</v>
      </c>
      <c r="I1123" s="12" t="s">
        <v>26</v>
      </c>
      <c r="J1123" s="13" t="s">
        <v>2144</v>
      </c>
      <c r="K1123" s="14" t="s">
        <v>8665</v>
      </c>
      <c r="L1123" s="15">
        <v>1</v>
      </c>
      <c r="M1123" s="15" t="s">
        <v>144</v>
      </c>
      <c r="N1123" s="16">
        <v>39471</v>
      </c>
      <c r="O1123" s="12" t="s">
        <v>8663</v>
      </c>
      <c r="P1123" s="14" t="s">
        <v>8666</v>
      </c>
      <c r="Q1123" s="17" t="s">
        <v>137</v>
      </c>
      <c r="R1123" s="17" t="s">
        <v>146</v>
      </c>
    </row>
    <row r="1124" spans="1:18" x14ac:dyDescent="0.3">
      <c r="A1124" s="12" t="s">
        <v>8667</v>
      </c>
      <c r="B1124" s="12" t="s">
        <v>12</v>
      </c>
      <c r="C1124" s="12"/>
      <c r="D1124" s="12" t="s">
        <v>12</v>
      </c>
      <c r="E1124" s="12" t="s">
        <v>8668</v>
      </c>
      <c r="F1124" s="12"/>
      <c r="G1124" s="12" t="s">
        <v>876</v>
      </c>
      <c r="H1124" s="12" t="s">
        <v>37</v>
      </c>
      <c r="I1124" s="12" t="s">
        <v>26</v>
      </c>
      <c r="J1124" s="13" t="s">
        <v>8280</v>
      </c>
      <c r="K1124" s="14" t="s">
        <v>8669</v>
      </c>
      <c r="L1124" s="15">
        <v>0</v>
      </c>
      <c r="M1124" s="15" t="s">
        <v>144</v>
      </c>
      <c r="N1124" s="16">
        <v>39377</v>
      </c>
      <c r="O1124" s="12" t="s">
        <v>8667</v>
      </c>
      <c r="P1124" s="14" t="s">
        <v>8670</v>
      </c>
      <c r="Q1124" s="17" t="s">
        <v>137</v>
      </c>
      <c r="R1124" s="17" t="s">
        <v>146</v>
      </c>
    </row>
    <row r="1125" spans="1:18" x14ac:dyDescent="0.3">
      <c r="A1125" s="12" t="s">
        <v>8671</v>
      </c>
      <c r="B1125" s="12" t="s">
        <v>10</v>
      </c>
      <c r="C1125" s="12"/>
      <c r="D1125" s="12" t="s">
        <v>230</v>
      </c>
      <c r="E1125" s="12" t="s">
        <v>8518</v>
      </c>
      <c r="F1125" s="12"/>
      <c r="G1125" s="12" t="s">
        <v>876</v>
      </c>
      <c r="H1125" s="12" t="s">
        <v>37</v>
      </c>
      <c r="I1125" s="12" t="s">
        <v>26</v>
      </c>
      <c r="J1125" s="13" t="s">
        <v>2102</v>
      </c>
      <c r="K1125" s="14" t="s">
        <v>8672</v>
      </c>
      <c r="L1125" s="15">
        <v>0</v>
      </c>
      <c r="M1125" s="15" t="s">
        <v>144</v>
      </c>
      <c r="N1125" s="16">
        <v>40823</v>
      </c>
      <c r="O1125" s="12" t="s">
        <v>8671</v>
      </c>
      <c r="P1125" s="14" t="s">
        <v>8673</v>
      </c>
      <c r="Q1125" s="17" t="s">
        <v>137</v>
      </c>
      <c r="R1125" s="17" t="s">
        <v>146</v>
      </c>
    </row>
    <row r="1126" spans="1:18" x14ac:dyDescent="0.3">
      <c r="A1126" s="12" t="s">
        <v>8674</v>
      </c>
      <c r="B1126" s="12" t="s">
        <v>10</v>
      </c>
      <c r="C1126" s="12"/>
      <c r="D1126" s="12" t="s">
        <v>230</v>
      </c>
      <c r="E1126" s="12" t="s">
        <v>8518</v>
      </c>
      <c r="F1126" s="12" t="s">
        <v>366</v>
      </c>
      <c r="G1126" s="12" t="s">
        <v>876</v>
      </c>
      <c r="H1126" s="12" t="s">
        <v>37</v>
      </c>
      <c r="I1126" s="12" t="s">
        <v>26</v>
      </c>
      <c r="J1126" s="13" t="s">
        <v>2102</v>
      </c>
      <c r="K1126" s="14" t="s">
        <v>8672</v>
      </c>
      <c r="L1126" s="15">
        <v>0</v>
      </c>
      <c r="M1126" s="15" t="s">
        <v>144</v>
      </c>
      <c r="N1126" s="16">
        <v>40521</v>
      </c>
      <c r="O1126" s="12" t="s">
        <v>8674</v>
      </c>
      <c r="P1126" s="14" t="s">
        <v>8675</v>
      </c>
      <c r="Q1126" s="17" t="s">
        <v>137</v>
      </c>
      <c r="R1126" s="17" t="s">
        <v>146</v>
      </c>
    </row>
    <row r="1127" spans="1:18" x14ac:dyDescent="0.3">
      <c r="A1127" s="12" t="s">
        <v>8676</v>
      </c>
      <c r="B1127" s="12" t="s">
        <v>12</v>
      </c>
      <c r="C1127" s="12"/>
      <c r="D1127" s="12" t="s">
        <v>12</v>
      </c>
      <c r="E1127" s="12" t="s">
        <v>8677</v>
      </c>
      <c r="F1127" s="12" t="s">
        <v>2648</v>
      </c>
      <c r="G1127" s="12" t="s">
        <v>876</v>
      </c>
      <c r="H1127" s="12" t="s">
        <v>37</v>
      </c>
      <c r="I1127" s="12" t="s">
        <v>26</v>
      </c>
      <c r="J1127" s="13" t="s">
        <v>2195</v>
      </c>
      <c r="K1127" s="14" t="s">
        <v>8678</v>
      </c>
      <c r="L1127" s="15">
        <v>0</v>
      </c>
      <c r="M1127" s="15" t="s">
        <v>144</v>
      </c>
      <c r="N1127" s="16">
        <v>42053</v>
      </c>
      <c r="O1127" s="12" t="s">
        <v>8676</v>
      </c>
      <c r="P1127" s="14" t="s">
        <v>8679</v>
      </c>
      <c r="Q1127" s="17" t="s">
        <v>137</v>
      </c>
      <c r="R1127" s="17" t="s">
        <v>146</v>
      </c>
    </row>
    <row r="1128" spans="1:18" x14ac:dyDescent="0.3">
      <c r="A1128" s="12" t="s">
        <v>8680</v>
      </c>
      <c r="B1128" s="12" t="s">
        <v>12</v>
      </c>
      <c r="C1128" s="12"/>
      <c r="D1128" s="12" t="s">
        <v>12</v>
      </c>
      <c r="E1128" s="12" t="s">
        <v>8534</v>
      </c>
      <c r="F1128" s="12"/>
      <c r="G1128" s="12" t="s">
        <v>876</v>
      </c>
      <c r="H1128" s="12" t="s">
        <v>37</v>
      </c>
      <c r="I1128" s="12" t="s">
        <v>26</v>
      </c>
      <c r="J1128" s="13" t="s">
        <v>2118</v>
      </c>
      <c r="K1128" s="14" t="s">
        <v>8535</v>
      </c>
      <c r="L1128" s="15">
        <v>1</v>
      </c>
      <c r="M1128" s="15" t="s">
        <v>144</v>
      </c>
      <c r="N1128" s="16">
        <v>40133</v>
      </c>
      <c r="O1128" s="12" t="s">
        <v>8680</v>
      </c>
      <c r="P1128" s="14" t="s">
        <v>8681</v>
      </c>
      <c r="Q1128" s="17" t="s">
        <v>137</v>
      </c>
      <c r="R1128" s="17" t="s">
        <v>146</v>
      </c>
    </row>
    <row r="1129" spans="1:18" x14ac:dyDescent="0.3">
      <c r="A1129" s="12" t="s">
        <v>8682</v>
      </c>
      <c r="B1129" s="12" t="s">
        <v>12</v>
      </c>
      <c r="C1129" s="12"/>
      <c r="D1129" s="12" t="s">
        <v>12</v>
      </c>
      <c r="E1129" s="12" t="s">
        <v>2143</v>
      </c>
      <c r="F1129" s="12" t="s">
        <v>1191</v>
      </c>
      <c r="G1129" s="12" t="s">
        <v>876</v>
      </c>
      <c r="H1129" s="12" t="s">
        <v>37</v>
      </c>
      <c r="I1129" s="12" t="s">
        <v>26</v>
      </c>
      <c r="J1129" s="13" t="s">
        <v>2144</v>
      </c>
      <c r="K1129" s="14" t="s">
        <v>8683</v>
      </c>
      <c r="L1129" s="15">
        <v>2</v>
      </c>
      <c r="M1129" s="15" t="s">
        <v>144</v>
      </c>
      <c r="N1129" s="16">
        <v>41669</v>
      </c>
      <c r="O1129" s="12" t="s">
        <v>8682</v>
      </c>
      <c r="P1129" s="14" t="s">
        <v>8684</v>
      </c>
      <c r="Q1129" s="17" t="s">
        <v>137</v>
      </c>
      <c r="R1129" s="17" t="s">
        <v>146</v>
      </c>
    </row>
    <row r="1130" spans="1:18" x14ac:dyDescent="0.3">
      <c r="A1130" s="12" t="s">
        <v>8685</v>
      </c>
      <c r="B1130" s="12" t="s">
        <v>12</v>
      </c>
      <c r="C1130" s="12"/>
      <c r="D1130" s="12" t="s">
        <v>12</v>
      </c>
      <c r="E1130" s="12" t="s">
        <v>8686</v>
      </c>
      <c r="F1130" s="12"/>
      <c r="G1130" s="12" t="s">
        <v>876</v>
      </c>
      <c r="H1130" s="12" t="s">
        <v>37</v>
      </c>
      <c r="I1130" s="12" t="s">
        <v>26</v>
      </c>
      <c r="J1130" s="13" t="s">
        <v>2070</v>
      </c>
      <c r="K1130" s="14" t="s">
        <v>2085</v>
      </c>
      <c r="L1130" s="15">
        <v>1</v>
      </c>
      <c r="M1130" s="15" t="s">
        <v>144</v>
      </c>
      <c r="N1130" s="16">
        <v>39765</v>
      </c>
      <c r="O1130" s="12" t="s">
        <v>8685</v>
      </c>
      <c r="P1130" s="14" t="s">
        <v>8687</v>
      </c>
      <c r="Q1130" s="17" t="s">
        <v>137</v>
      </c>
      <c r="R1130" s="17" t="s">
        <v>146</v>
      </c>
    </row>
    <row r="1131" spans="1:18" x14ac:dyDescent="0.3">
      <c r="A1131" s="12" t="s">
        <v>8688</v>
      </c>
      <c r="B1131" s="12" t="s">
        <v>12</v>
      </c>
      <c r="C1131" s="12"/>
      <c r="D1131" s="12" t="s">
        <v>12</v>
      </c>
      <c r="E1131" s="12" t="s">
        <v>8070</v>
      </c>
      <c r="F1131" s="12"/>
      <c r="G1131" s="12" t="s">
        <v>876</v>
      </c>
      <c r="H1131" s="12" t="s">
        <v>37</v>
      </c>
      <c r="I1131" s="12" t="s">
        <v>26</v>
      </c>
      <c r="J1131" s="13" t="s">
        <v>1995</v>
      </c>
      <c r="K1131" s="14" t="s">
        <v>8575</v>
      </c>
      <c r="L1131" s="15">
        <v>3</v>
      </c>
      <c r="M1131" s="15" t="s">
        <v>144</v>
      </c>
      <c r="N1131" s="16">
        <v>39785</v>
      </c>
      <c r="O1131" s="12" t="s">
        <v>8689</v>
      </c>
      <c r="P1131" s="14" t="s">
        <v>8690</v>
      </c>
      <c r="Q1131" s="17" t="s">
        <v>137</v>
      </c>
      <c r="R1131" s="17" t="s">
        <v>146</v>
      </c>
    </row>
    <row r="1132" spans="1:18" x14ac:dyDescent="0.3">
      <c r="A1132" s="12" t="s">
        <v>8691</v>
      </c>
      <c r="B1132" s="12" t="s">
        <v>16</v>
      </c>
      <c r="C1132" s="12"/>
      <c r="D1132" s="12" t="s">
        <v>993</v>
      </c>
      <c r="E1132" s="12" t="s">
        <v>8692</v>
      </c>
      <c r="F1132" s="12" t="s">
        <v>2319</v>
      </c>
      <c r="G1132" s="12" t="s">
        <v>876</v>
      </c>
      <c r="H1132" s="12" t="s">
        <v>37</v>
      </c>
      <c r="I1132" s="12" t="s">
        <v>26</v>
      </c>
      <c r="J1132" s="13" t="s">
        <v>2118</v>
      </c>
      <c r="K1132" s="14" t="s">
        <v>2320</v>
      </c>
      <c r="L1132" s="15">
        <v>0</v>
      </c>
      <c r="M1132" s="15" t="s">
        <v>144</v>
      </c>
      <c r="N1132" s="16">
        <v>44065</v>
      </c>
      <c r="O1132" s="12" t="s">
        <v>8691</v>
      </c>
      <c r="P1132" s="14" t="s">
        <v>8693</v>
      </c>
      <c r="Q1132" s="17" t="s">
        <v>137</v>
      </c>
      <c r="R1132" s="17" t="s">
        <v>146</v>
      </c>
    </row>
    <row r="1133" spans="1:18" x14ac:dyDescent="0.3">
      <c r="A1133" s="12" t="s">
        <v>8694</v>
      </c>
      <c r="B1133" s="12" t="s">
        <v>10</v>
      </c>
      <c r="C1133" s="12"/>
      <c r="D1133" s="12" t="s">
        <v>647</v>
      </c>
      <c r="E1133" s="12" t="s">
        <v>8547</v>
      </c>
      <c r="F1133" s="12" t="s">
        <v>8695</v>
      </c>
      <c r="G1133" s="12" t="s">
        <v>876</v>
      </c>
      <c r="H1133" s="12" t="s">
        <v>37</v>
      </c>
      <c r="I1133" s="12" t="s">
        <v>26</v>
      </c>
      <c r="J1133" s="13" t="s">
        <v>2102</v>
      </c>
      <c r="K1133" s="14" t="s">
        <v>8696</v>
      </c>
      <c r="L1133" s="15">
        <v>4</v>
      </c>
      <c r="M1133" s="15" t="s">
        <v>220</v>
      </c>
      <c r="N1133" s="16">
        <v>44065</v>
      </c>
      <c r="O1133" s="12" t="s">
        <v>8694</v>
      </c>
      <c r="P1133" s="14" t="s">
        <v>8697</v>
      </c>
      <c r="Q1133" s="17" t="s">
        <v>137</v>
      </c>
      <c r="R1133" s="17" t="s">
        <v>146</v>
      </c>
    </row>
    <row r="1134" spans="1:18" x14ac:dyDescent="0.3">
      <c r="A1134" s="12" t="s">
        <v>8698</v>
      </c>
      <c r="B1134" s="12" t="s">
        <v>12</v>
      </c>
      <c r="C1134" s="12"/>
      <c r="D1134" s="12" t="s">
        <v>12</v>
      </c>
      <c r="E1134" s="12" t="s">
        <v>8699</v>
      </c>
      <c r="F1134" s="12"/>
      <c r="G1134" s="12" t="s">
        <v>876</v>
      </c>
      <c r="H1134" s="12" t="s">
        <v>37</v>
      </c>
      <c r="I1134" s="12" t="s">
        <v>26</v>
      </c>
      <c r="J1134" s="13" t="s">
        <v>2102</v>
      </c>
      <c r="K1134" s="14" t="s">
        <v>8700</v>
      </c>
      <c r="L1134" s="15">
        <v>0</v>
      </c>
      <c r="M1134" s="15" t="s">
        <v>144</v>
      </c>
      <c r="N1134" s="16">
        <v>43881</v>
      </c>
      <c r="O1134" s="12" t="s">
        <v>8698</v>
      </c>
      <c r="P1134" s="14" t="s">
        <v>8701</v>
      </c>
      <c r="Q1134" s="17" t="s">
        <v>137</v>
      </c>
      <c r="R1134" s="17" t="s">
        <v>146</v>
      </c>
    </row>
    <row r="1135" spans="1:18" x14ac:dyDescent="0.3">
      <c r="A1135" s="12" t="s">
        <v>7131</v>
      </c>
      <c r="B1135" s="12" t="s">
        <v>14</v>
      </c>
      <c r="C1135" s="12"/>
      <c r="D1135" s="12" t="s">
        <v>14</v>
      </c>
      <c r="E1135" s="12" t="s">
        <v>8534</v>
      </c>
      <c r="F1135" s="12"/>
      <c r="G1135" s="12" t="s">
        <v>876</v>
      </c>
      <c r="H1135" s="12" t="s">
        <v>37</v>
      </c>
      <c r="I1135" s="12" t="s">
        <v>26</v>
      </c>
      <c r="J1135" s="13" t="s">
        <v>2118</v>
      </c>
      <c r="K1135" s="14" t="s">
        <v>2124</v>
      </c>
      <c r="L1135" s="15">
        <v>0</v>
      </c>
      <c r="M1135" s="15" t="s">
        <v>144</v>
      </c>
      <c r="N1135" s="16">
        <v>44211</v>
      </c>
      <c r="O1135" s="12" t="s">
        <v>7132</v>
      </c>
      <c r="P1135" s="14" t="s">
        <v>8702</v>
      </c>
      <c r="Q1135" s="17" t="s">
        <v>137</v>
      </c>
      <c r="R1135" s="17" t="s">
        <v>146</v>
      </c>
    </row>
    <row r="1136" spans="1:18" x14ac:dyDescent="0.3">
      <c r="A1136" s="12" t="s">
        <v>215</v>
      </c>
      <c r="B1136" s="12" t="s">
        <v>10</v>
      </c>
      <c r="C1136" s="12"/>
      <c r="D1136" s="12" t="s">
        <v>647</v>
      </c>
      <c r="E1136" s="12" t="s">
        <v>2138</v>
      </c>
      <c r="F1136" s="12" t="s">
        <v>2218</v>
      </c>
      <c r="G1136" s="12" t="s">
        <v>876</v>
      </c>
      <c r="H1136" s="12" t="s">
        <v>37</v>
      </c>
      <c r="I1136" s="12" t="s">
        <v>26</v>
      </c>
      <c r="J1136" s="13" t="s">
        <v>2102</v>
      </c>
      <c r="K1136" s="14" t="s">
        <v>8703</v>
      </c>
      <c r="L1136" s="15">
        <v>3</v>
      </c>
      <c r="M1136" s="15" t="s">
        <v>144</v>
      </c>
      <c r="N1136" s="16">
        <v>43235</v>
      </c>
      <c r="O1136" s="12" t="s">
        <v>215</v>
      </c>
      <c r="P1136" s="14" t="s">
        <v>8704</v>
      </c>
      <c r="Q1136" s="17" t="s">
        <v>137</v>
      </c>
      <c r="R1136" s="17" t="s">
        <v>146</v>
      </c>
    </row>
    <row r="1137" spans="1:18" x14ac:dyDescent="0.3">
      <c r="A1137" s="12" t="s">
        <v>8705</v>
      </c>
      <c r="B1137" s="12" t="s">
        <v>12</v>
      </c>
      <c r="C1137" s="12"/>
      <c r="D1137" s="12" t="s">
        <v>12</v>
      </c>
      <c r="E1137" s="12" t="s">
        <v>8706</v>
      </c>
      <c r="F1137" s="12"/>
      <c r="G1137" s="12" t="s">
        <v>876</v>
      </c>
      <c r="H1137" s="12" t="s">
        <v>37</v>
      </c>
      <c r="I1137" s="12" t="s">
        <v>26</v>
      </c>
      <c r="J1137" s="13" t="s">
        <v>2157</v>
      </c>
      <c r="K1137" s="14" t="s">
        <v>8707</v>
      </c>
      <c r="L1137" s="15">
        <v>0</v>
      </c>
      <c r="M1137" s="15" t="s">
        <v>144</v>
      </c>
      <c r="N1137" s="16">
        <v>42284</v>
      </c>
      <c r="O1137" s="12" t="s">
        <v>8708</v>
      </c>
      <c r="P1137" s="14" t="s">
        <v>8709</v>
      </c>
      <c r="Q1137" s="17" t="s">
        <v>137</v>
      </c>
      <c r="R1137" s="17" t="s">
        <v>146</v>
      </c>
    </row>
    <row r="1138" spans="1:18" x14ac:dyDescent="0.3">
      <c r="A1138" s="12" t="s">
        <v>2288</v>
      </c>
      <c r="B1138" s="12" t="s">
        <v>14</v>
      </c>
      <c r="C1138" s="12"/>
      <c r="D1138" s="12" t="s">
        <v>14</v>
      </c>
      <c r="E1138" s="12" t="s">
        <v>8710</v>
      </c>
      <c r="F1138" s="12"/>
      <c r="G1138" s="12" t="s">
        <v>876</v>
      </c>
      <c r="H1138" s="12" t="s">
        <v>37</v>
      </c>
      <c r="I1138" s="12" t="s">
        <v>26</v>
      </c>
      <c r="J1138" s="13" t="s">
        <v>2007</v>
      </c>
      <c r="K1138" s="14" t="s">
        <v>8711</v>
      </c>
      <c r="L1138" s="15">
        <v>0</v>
      </c>
      <c r="M1138" s="15" t="s">
        <v>144</v>
      </c>
      <c r="N1138" s="16">
        <v>40113</v>
      </c>
      <c r="O1138" s="12" t="s">
        <v>2288</v>
      </c>
      <c r="P1138" s="14" t="s">
        <v>8712</v>
      </c>
      <c r="Q1138" s="17" t="s">
        <v>137</v>
      </c>
      <c r="R1138" s="17" t="s">
        <v>146</v>
      </c>
    </row>
    <row r="1139" spans="1:18" x14ac:dyDescent="0.3">
      <c r="A1139" s="12" t="s">
        <v>307</v>
      </c>
      <c r="B1139" s="12" t="s">
        <v>14</v>
      </c>
      <c r="C1139" s="12"/>
      <c r="D1139" s="12" t="s">
        <v>14</v>
      </c>
      <c r="E1139" s="12" t="s">
        <v>8518</v>
      </c>
      <c r="F1139" s="12" t="s">
        <v>843</v>
      </c>
      <c r="G1139" s="12" t="s">
        <v>876</v>
      </c>
      <c r="H1139" s="12" t="s">
        <v>37</v>
      </c>
      <c r="I1139" s="12" t="s">
        <v>26</v>
      </c>
      <c r="J1139" s="13" t="s">
        <v>2102</v>
      </c>
      <c r="K1139" s="14" t="s">
        <v>8713</v>
      </c>
      <c r="L1139" s="15">
        <v>2</v>
      </c>
      <c r="M1139" s="15" t="s">
        <v>144</v>
      </c>
      <c r="N1139" s="16">
        <v>39427</v>
      </c>
      <c r="O1139" s="12" t="s">
        <v>307</v>
      </c>
      <c r="P1139" s="14" t="s">
        <v>8714</v>
      </c>
      <c r="Q1139" s="17" t="s">
        <v>137</v>
      </c>
      <c r="R1139" s="17" t="s">
        <v>146</v>
      </c>
    </row>
    <row r="1140" spans="1:18" x14ac:dyDescent="0.3">
      <c r="A1140" s="12" t="s">
        <v>8715</v>
      </c>
      <c r="B1140" s="12" t="s">
        <v>12</v>
      </c>
      <c r="C1140" s="12"/>
      <c r="D1140" s="12" t="s">
        <v>12</v>
      </c>
      <c r="E1140" s="12" t="s">
        <v>2274</v>
      </c>
      <c r="F1140" s="12"/>
      <c r="G1140" s="12" t="s">
        <v>876</v>
      </c>
      <c r="H1140" s="12" t="s">
        <v>37</v>
      </c>
      <c r="I1140" s="12" t="s">
        <v>26</v>
      </c>
      <c r="J1140" s="13" t="s">
        <v>2184</v>
      </c>
      <c r="K1140" s="14" t="s">
        <v>2275</v>
      </c>
      <c r="L1140" s="15">
        <v>5</v>
      </c>
      <c r="M1140" s="15" t="s">
        <v>144</v>
      </c>
      <c r="N1140" s="16">
        <v>43881</v>
      </c>
      <c r="O1140" s="12" t="s">
        <v>8716</v>
      </c>
      <c r="P1140" s="14" t="s">
        <v>8717</v>
      </c>
      <c r="Q1140" s="17" t="s">
        <v>137</v>
      </c>
      <c r="R1140" s="17" t="s">
        <v>146</v>
      </c>
    </row>
    <row r="1141" spans="1:18" x14ac:dyDescent="0.3">
      <c r="A1141" s="12" t="s">
        <v>8718</v>
      </c>
      <c r="B1141" s="12" t="s">
        <v>12</v>
      </c>
      <c r="C1141" s="12"/>
      <c r="D1141" s="12" t="s">
        <v>12</v>
      </c>
      <c r="E1141" s="12" t="s">
        <v>8719</v>
      </c>
      <c r="F1141" s="12"/>
      <c r="G1141" s="12" t="s">
        <v>876</v>
      </c>
      <c r="H1141" s="12" t="s">
        <v>37</v>
      </c>
      <c r="I1141" s="12" t="s">
        <v>26</v>
      </c>
      <c r="J1141" s="13" t="s">
        <v>2334</v>
      </c>
      <c r="K1141" s="14" t="s">
        <v>8720</v>
      </c>
      <c r="L1141" s="15">
        <v>3</v>
      </c>
      <c r="M1141" s="15" t="s">
        <v>144</v>
      </c>
      <c r="N1141" s="16">
        <v>40221</v>
      </c>
      <c r="O1141" s="12" t="s">
        <v>8718</v>
      </c>
      <c r="P1141" s="14" t="s">
        <v>8721</v>
      </c>
      <c r="Q1141" s="17" t="s">
        <v>137</v>
      </c>
      <c r="R1141" s="17" t="s">
        <v>146</v>
      </c>
    </row>
    <row r="1142" spans="1:18" x14ac:dyDescent="0.3">
      <c r="A1142" s="12" t="s">
        <v>8722</v>
      </c>
      <c r="B1142" s="12" t="s">
        <v>10</v>
      </c>
      <c r="C1142" s="12"/>
      <c r="D1142" s="12" t="s">
        <v>157</v>
      </c>
      <c r="E1142" s="12" t="s">
        <v>2298</v>
      </c>
      <c r="F1142" s="12"/>
      <c r="G1142" s="12" t="s">
        <v>876</v>
      </c>
      <c r="H1142" s="12" t="s">
        <v>37</v>
      </c>
      <c r="I1142" s="12" t="s">
        <v>26</v>
      </c>
      <c r="J1142" s="13" t="s">
        <v>2219</v>
      </c>
      <c r="K1142" s="14" t="s">
        <v>8723</v>
      </c>
      <c r="L1142" s="15">
        <v>1</v>
      </c>
      <c r="M1142" s="15" t="s">
        <v>144</v>
      </c>
      <c r="N1142" s="16">
        <v>41506</v>
      </c>
      <c r="O1142" s="12" t="s">
        <v>8722</v>
      </c>
      <c r="P1142" s="14" t="s">
        <v>8724</v>
      </c>
      <c r="Q1142" s="17" t="s">
        <v>137</v>
      </c>
      <c r="R1142" s="17" t="s">
        <v>146</v>
      </c>
    </row>
    <row r="1143" spans="1:18" x14ac:dyDescent="0.3">
      <c r="A1143" s="12" t="s">
        <v>8725</v>
      </c>
      <c r="B1143" s="12" t="s">
        <v>12</v>
      </c>
      <c r="C1143" s="12"/>
      <c r="D1143" s="12" t="s">
        <v>12</v>
      </c>
      <c r="E1143" s="12" t="s">
        <v>8534</v>
      </c>
      <c r="F1143" s="12"/>
      <c r="G1143" s="12" t="s">
        <v>876</v>
      </c>
      <c r="H1143" s="12" t="s">
        <v>37</v>
      </c>
      <c r="I1143" s="12" t="s">
        <v>26</v>
      </c>
      <c r="J1143" s="13" t="s">
        <v>2118</v>
      </c>
      <c r="K1143" s="14" t="s">
        <v>8535</v>
      </c>
      <c r="L1143" s="15">
        <v>1</v>
      </c>
      <c r="M1143" s="15" t="s">
        <v>144</v>
      </c>
      <c r="N1143" s="16">
        <v>44065</v>
      </c>
      <c r="O1143" s="12" t="s">
        <v>8725</v>
      </c>
      <c r="P1143" s="14" t="s">
        <v>8726</v>
      </c>
      <c r="Q1143" s="17" t="s">
        <v>137</v>
      </c>
      <c r="R1143" s="17" t="s">
        <v>146</v>
      </c>
    </row>
    <row r="1144" spans="1:18" x14ac:dyDescent="0.3">
      <c r="A1144" s="12" t="s">
        <v>8727</v>
      </c>
      <c r="B1144" s="12" t="s">
        <v>12</v>
      </c>
      <c r="C1144" s="12"/>
      <c r="D1144" s="12" t="s">
        <v>12</v>
      </c>
      <c r="E1144" s="12" t="s">
        <v>2235</v>
      </c>
      <c r="F1144" s="12"/>
      <c r="G1144" s="12" t="s">
        <v>876</v>
      </c>
      <c r="H1144" s="12" t="s">
        <v>37</v>
      </c>
      <c r="I1144" s="12" t="s">
        <v>26</v>
      </c>
      <c r="J1144" s="13" t="s">
        <v>2157</v>
      </c>
      <c r="K1144" s="14" t="s">
        <v>8728</v>
      </c>
      <c r="L1144" s="15">
        <v>1</v>
      </c>
      <c r="M1144" s="15" t="s">
        <v>144</v>
      </c>
      <c r="N1144" s="16">
        <v>40835</v>
      </c>
      <c r="O1144" s="12" t="s">
        <v>8727</v>
      </c>
      <c r="P1144" s="14" t="s">
        <v>8729</v>
      </c>
      <c r="Q1144" s="17" t="s">
        <v>137</v>
      </c>
      <c r="R1144" s="17" t="s">
        <v>146</v>
      </c>
    </row>
    <row r="1145" spans="1:18" x14ac:dyDescent="0.3">
      <c r="A1145" s="12" t="s">
        <v>8730</v>
      </c>
      <c r="B1145" s="12" t="s">
        <v>10</v>
      </c>
      <c r="C1145" s="12"/>
      <c r="D1145" s="12" t="s">
        <v>252</v>
      </c>
      <c r="E1145" s="12" t="s">
        <v>2011</v>
      </c>
      <c r="F1145" s="12" t="s">
        <v>8731</v>
      </c>
      <c r="G1145" s="12" t="s">
        <v>876</v>
      </c>
      <c r="H1145" s="12" t="s">
        <v>37</v>
      </c>
      <c r="I1145" s="12" t="s">
        <v>26</v>
      </c>
      <c r="J1145" s="13" t="s">
        <v>2007</v>
      </c>
      <c r="K1145" s="14" t="s">
        <v>8732</v>
      </c>
      <c r="L1145" s="15">
        <v>0</v>
      </c>
      <c r="M1145" s="15" t="s">
        <v>144</v>
      </c>
      <c r="N1145" s="16">
        <v>41864</v>
      </c>
      <c r="O1145" s="12" t="s">
        <v>8730</v>
      </c>
      <c r="P1145" s="14" t="s">
        <v>8733</v>
      </c>
      <c r="Q1145" s="17" t="s">
        <v>137</v>
      </c>
      <c r="R1145" s="17" t="s">
        <v>146</v>
      </c>
    </row>
    <row r="1146" spans="1:18" x14ac:dyDescent="0.3">
      <c r="A1146" s="12" t="s">
        <v>8734</v>
      </c>
      <c r="B1146" s="12" t="s">
        <v>12</v>
      </c>
      <c r="C1146" s="12"/>
      <c r="D1146" s="12" t="s">
        <v>12</v>
      </c>
      <c r="E1146" s="12" t="s">
        <v>8735</v>
      </c>
      <c r="F1146" s="12"/>
      <c r="G1146" s="12" t="s">
        <v>876</v>
      </c>
      <c r="H1146" s="12" t="s">
        <v>37</v>
      </c>
      <c r="I1146" s="12" t="s">
        <v>26</v>
      </c>
      <c r="J1146" s="13" t="s">
        <v>2109</v>
      </c>
      <c r="K1146" s="14" t="s">
        <v>8736</v>
      </c>
      <c r="L1146" s="15">
        <v>1</v>
      </c>
      <c r="M1146" s="15" t="s">
        <v>144</v>
      </c>
      <c r="N1146" s="16">
        <v>42459</v>
      </c>
      <c r="O1146" s="12" t="s">
        <v>8734</v>
      </c>
      <c r="P1146" s="14" t="s">
        <v>8737</v>
      </c>
      <c r="Q1146" s="17" t="s">
        <v>137</v>
      </c>
      <c r="R1146" s="17" t="s">
        <v>146</v>
      </c>
    </row>
    <row r="1147" spans="1:18" x14ac:dyDescent="0.3">
      <c r="A1147" s="12" t="s">
        <v>8738</v>
      </c>
      <c r="B1147" s="12" t="s">
        <v>12</v>
      </c>
      <c r="C1147" s="12"/>
      <c r="D1147" s="12" t="s">
        <v>12</v>
      </c>
      <c r="E1147" s="12" t="s">
        <v>8739</v>
      </c>
      <c r="F1147" s="12" t="s">
        <v>631</v>
      </c>
      <c r="G1147" s="12" t="s">
        <v>876</v>
      </c>
      <c r="H1147" s="12" t="s">
        <v>37</v>
      </c>
      <c r="I1147" s="12" t="s">
        <v>26</v>
      </c>
      <c r="J1147" s="13" t="s">
        <v>2118</v>
      </c>
      <c r="K1147" s="14" t="s">
        <v>8740</v>
      </c>
      <c r="L1147" s="15">
        <v>0</v>
      </c>
      <c r="M1147" s="15" t="s">
        <v>144</v>
      </c>
      <c r="N1147" s="16">
        <v>43083</v>
      </c>
      <c r="O1147" s="12" t="s">
        <v>8738</v>
      </c>
      <c r="P1147" s="14" t="s">
        <v>8741</v>
      </c>
      <c r="Q1147" s="17" t="s">
        <v>137</v>
      </c>
      <c r="R1147" s="17" t="s">
        <v>146</v>
      </c>
    </row>
    <row r="1148" spans="1:18" x14ac:dyDescent="0.3">
      <c r="A1148" s="12" t="s">
        <v>8742</v>
      </c>
      <c r="B1148" s="12" t="s">
        <v>12</v>
      </c>
      <c r="C1148" s="12"/>
      <c r="D1148" s="12" t="s">
        <v>12</v>
      </c>
      <c r="E1148" s="12" t="s">
        <v>2306</v>
      </c>
      <c r="F1148" s="12" t="s">
        <v>516</v>
      </c>
      <c r="G1148" s="12" t="s">
        <v>876</v>
      </c>
      <c r="H1148" s="12" t="s">
        <v>37</v>
      </c>
      <c r="I1148" s="12" t="s">
        <v>26</v>
      </c>
      <c r="J1148" s="13" t="s">
        <v>2118</v>
      </c>
      <c r="K1148" s="14" t="s">
        <v>8743</v>
      </c>
      <c r="L1148" s="15">
        <v>4</v>
      </c>
      <c r="M1148" s="15" t="s">
        <v>144</v>
      </c>
      <c r="N1148" s="16">
        <v>44065</v>
      </c>
      <c r="O1148" s="12" t="s">
        <v>8742</v>
      </c>
      <c r="P1148" s="14" t="s">
        <v>8744</v>
      </c>
      <c r="Q1148" s="17" t="s">
        <v>137</v>
      </c>
      <c r="R1148" s="17" t="s">
        <v>146</v>
      </c>
    </row>
    <row r="1149" spans="1:18" x14ac:dyDescent="0.3">
      <c r="A1149" s="12" t="s">
        <v>8745</v>
      </c>
      <c r="B1149" s="12" t="s">
        <v>12</v>
      </c>
      <c r="C1149" s="12" t="s">
        <v>16</v>
      </c>
      <c r="D1149" s="12" t="s">
        <v>8746</v>
      </c>
      <c r="E1149" s="12" t="s">
        <v>8747</v>
      </c>
      <c r="F1149" s="12" t="s">
        <v>467</v>
      </c>
      <c r="G1149" s="12" t="s">
        <v>876</v>
      </c>
      <c r="H1149" s="12" t="s">
        <v>37</v>
      </c>
      <c r="I1149" s="12" t="s">
        <v>26</v>
      </c>
      <c r="J1149" s="13" t="s">
        <v>2144</v>
      </c>
      <c r="K1149" s="14" t="s">
        <v>8748</v>
      </c>
      <c r="L1149" s="15">
        <v>0</v>
      </c>
      <c r="M1149" s="15" t="s">
        <v>144</v>
      </c>
      <c r="N1149" s="16">
        <v>41898</v>
      </c>
      <c r="O1149" s="12" t="s">
        <v>8749</v>
      </c>
      <c r="P1149" s="14" t="s">
        <v>8750</v>
      </c>
      <c r="Q1149" s="17" t="s">
        <v>137</v>
      </c>
      <c r="R1149" s="17" t="s">
        <v>146</v>
      </c>
    </row>
    <row r="1150" spans="1:18" x14ac:dyDescent="0.3">
      <c r="A1150" s="12" t="s">
        <v>8751</v>
      </c>
      <c r="B1150" s="12" t="s">
        <v>12</v>
      </c>
      <c r="C1150" s="12"/>
      <c r="D1150" s="12" t="s">
        <v>12</v>
      </c>
      <c r="E1150" s="12" t="s">
        <v>8752</v>
      </c>
      <c r="F1150" s="12" t="s">
        <v>258</v>
      </c>
      <c r="G1150" s="12" t="s">
        <v>876</v>
      </c>
      <c r="H1150" s="12" t="s">
        <v>37</v>
      </c>
      <c r="I1150" s="12" t="s">
        <v>26</v>
      </c>
      <c r="J1150" s="13" t="s">
        <v>2178</v>
      </c>
      <c r="K1150" s="14" t="s">
        <v>8753</v>
      </c>
      <c r="L1150" s="15">
        <v>1</v>
      </c>
      <c r="M1150" s="15" t="s">
        <v>144</v>
      </c>
      <c r="N1150" s="16">
        <v>40289</v>
      </c>
      <c r="O1150" s="12" t="s">
        <v>8751</v>
      </c>
      <c r="P1150" s="14" t="s">
        <v>8754</v>
      </c>
      <c r="Q1150" s="17" t="s">
        <v>137</v>
      </c>
      <c r="R1150" s="17" t="s">
        <v>146</v>
      </c>
    </row>
    <row r="1151" spans="1:18" x14ac:dyDescent="0.3">
      <c r="A1151" s="12" t="s">
        <v>8755</v>
      </c>
      <c r="B1151" s="12" t="s">
        <v>12</v>
      </c>
      <c r="C1151" s="12"/>
      <c r="D1151" s="12" t="s">
        <v>12</v>
      </c>
      <c r="E1151" s="12" t="s">
        <v>8756</v>
      </c>
      <c r="F1151" s="12"/>
      <c r="G1151" s="12" t="s">
        <v>876</v>
      </c>
      <c r="H1151" s="12" t="s">
        <v>37</v>
      </c>
      <c r="I1151" s="12" t="s">
        <v>26</v>
      </c>
      <c r="J1151" s="13" t="s">
        <v>2118</v>
      </c>
      <c r="K1151" s="14" t="s">
        <v>8757</v>
      </c>
      <c r="L1151" s="15">
        <v>2</v>
      </c>
      <c r="M1151" s="15" t="s">
        <v>144</v>
      </c>
      <c r="N1151" s="16">
        <v>41400</v>
      </c>
      <c r="O1151" s="12" t="s">
        <v>8755</v>
      </c>
      <c r="P1151" s="14" t="s">
        <v>8758</v>
      </c>
      <c r="Q1151" s="17" t="s">
        <v>137</v>
      </c>
      <c r="R1151" s="17" t="s">
        <v>146</v>
      </c>
    </row>
    <row r="1152" spans="1:18" x14ac:dyDescent="0.3">
      <c r="A1152" s="12" t="s">
        <v>8759</v>
      </c>
      <c r="B1152" s="12" t="s">
        <v>12</v>
      </c>
      <c r="C1152" s="12"/>
      <c r="D1152" s="12" t="s">
        <v>12</v>
      </c>
      <c r="E1152" s="12" t="s">
        <v>8760</v>
      </c>
      <c r="F1152" s="12"/>
      <c r="G1152" s="12" t="s">
        <v>876</v>
      </c>
      <c r="H1152" s="12" t="s">
        <v>37</v>
      </c>
      <c r="I1152" s="12" t="s">
        <v>26</v>
      </c>
      <c r="J1152" s="13" t="s">
        <v>2118</v>
      </c>
      <c r="K1152" s="14" t="s">
        <v>8761</v>
      </c>
      <c r="L1152" s="15">
        <v>2</v>
      </c>
      <c r="M1152" s="15" t="s">
        <v>144</v>
      </c>
      <c r="N1152" s="16">
        <v>39469</v>
      </c>
      <c r="O1152" s="12" t="s">
        <v>8762</v>
      </c>
      <c r="P1152" s="14" t="s">
        <v>8763</v>
      </c>
      <c r="Q1152" s="17" t="s">
        <v>137</v>
      </c>
      <c r="R1152" s="17" t="s">
        <v>146</v>
      </c>
    </row>
    <row r="1153" spans="1:18" x14ac:dyDescent="0.3">
      <c r="A1153" s="12" t="s">
        <v>8764</v>
      </c>
      <c r="B1153" s="12" t="s">
        <v>10</v>
      </c>
      <c r="C1153" s="12"/>
      <c r="D1153" s="12" t="s">
        <v>157</v>
      </c>
      <c r="E1153" s="12" t="s">
        <v>8765</v>
      </c>
      <c r="F1153" s="12" t="s">
        <v>8766</v>
      </c>
      <c r="G1153" s="12" t="s">
        <v>876</v>
      </c>
      <c r="H1153" s="12" t="s">
        <v>37</v>
      </c>
      <c r="I1153" s="12" t="s">
        <v>26</v>
      </c>
      <c r="J1153" s="13" t="s">
        <v>2123</v>
      </c>
      <c r="K1153" s="14" t="s">
        <v>8767</v>
      </c>
      <c r="L1153" s="15">
        <v>0</v>
      </c>
      <c r="M1153" s="15" t="s">
        <v>144</v>
      </c>
      <c r="N1153" s="16">
        <v>44004</v>
      </c>
      <c r="O1153" s="12" t="s">
        <v>8764</v>
      </c>
      <c r="P1153" s="14" t="s">
        <v>8768</v>
      </c>
      <c r="Q1153" s="17" t="s">
        <v>137</v>
      </c>
      <c r="R1153" s="17" t="s">
        <v>146</v>
      </c>
    </row>
    <row r="1154" spans="1:18" x14ac:dyDescent="0.3">
      <c r="A1154" s="12" t="s">
        <v>4477</v>
      </c>
      <c r="B1154" s="12" t="s">
        <v>14</v>
      </c>
      <c r="C1154" s="12"/>
      <c r="D1154" s="12" t="s">
        <v>14</v>
      </c>
      <c r="E1154" s="12" t="s">
        <v>8402</v>
      </c>
      <c r="F1154" s="12" t="s">
        <v>516</v>
      </c>
      <c r="G1154" s="12" t="s">
        <v>876</v>
      </c>
      <c r="H1154" s="12" t="s">
        <v>37</v>
      </c>
      <c r="I1154" s="12" t="s">
        <v>26</v>
      </c>
      <c r="J1154" s="13" t="s">
        <v>2118</v>
      </c>
      <c r="K1154" s="14" t="s">
        <v>8403</v>
      </c>
      <c r="L1154" s="15">
        <v>0</v>
      </c>
      <c r="M1154" s="15" t="s">
        <v>144</v>
      </c>
      <c r="N1154" s="16">
        <v>42724</v>
      </c>
      <c r="O1154" s="12" t="s">
        <v>4477</v>
      </c>
      <c r="P1154" s="14" t="s">
        <v>8769</v>
      </c>
      <c r="Q1154" s="17" t="s">
        <v>137</v>
      </c>
      <c r="R1154" s="17" t="s">
        <v>146</v>
      </c>
    </row>
    <row r="1155" spans="1:18" x14ac:dyDescent="0.3">
      <c r="A1155" s="12" t="s">
        <v>8770</v>
      </c>
      <c r="B1155" s="12" t="s">
        <v>12</v>
      </c>
      <c r="C1155" s="12"/>
      <c r="D1155" s="12" t="s">
        <v>12</v>
      </c>
      <c r="E1155" s="12" t="s">
        <v>8771</v>
      </c>
      <c r="F1155" s="12"/>
      <c r="G1155" s="12" t="s">
        <v>876</v>
      </c>
      <c r="H1155" s="12" t="s">
        <v>37</v>
      </c>
      <c r="I1155" s="12" t="s">
        <v>26</v>
      </c>
      <c r="J1155" s="13" t="s">
        <v>8280</v>
      </c>
      <c r="K1155" s="14" t="s">
        <v>8772</v>
      </c>
      <c r="L1155" s="15">
        <v>0</v>
      </c>
      <c r="M1155" s="15" t="s">
        <v>144</v>
      </c>
      <c r="N1155" s="16">
        <v>42452</v>
      </c>
      <c r="O1155" s="12" t="s">
        <v>8770</v>
      </c>
      <c r="P1155" s="14" t="s">
        <v>8773</v>
      </c>
      <c r="Q1155" s="17" t="s">
        <v>137</v>
      </c>
      <c r="R1155" s="17" t="s">
        <v>146</v>
      </c>
    </row>
    <row r="1156" spans="1:18" x14ac:dyDescent="0.3">
      <c r="A1156" s="12" t="s">
        <v>8774</v>
      </c>
      <c r="B1156" s="12" t="s">
        <v>12</v>
      </c>
      <c r="C1156" s="12"/>
      <c r="D1156" s="12" t="s">
        <v>12</v>
      </c>
      <c r="E1156" s="12" t="s">
        <v>8775</v>
      </c>
      <c r="F1156" s="12" t="s">
        <v>8776</v>
      </c>
      <c r="G1156" s="12" t="s">
        <v>876</v>
      </c>
      <c r="H1156" s="12" t="s">
        <v>37</v>
      </c>
      <c r="I1156" s="12" t="s">
        <v>26</v>
      </c>
      <c r="J1156" s="13" t="s">
        <v>2144</v>
      </c>
      <c r="K1156" s="14" t="s">
        <v>8777</v>
      </c>
      <c r="L1156" s="15">
        <v>0</v>
      </c>
      <c r="M1156" s="15" t="s">
        <v>144</v>
      </c>
      <c r="N1156" s="16">
        <v>41841</v>
      </c>
      <c r="O1156" s="12" t="s">
        <v>8774</v>
      </c>
      <c r="P1156" s="14" t="s">
        <v>8778</v>
      </c>
      <c r="Q1156" s="17" t="s">
        <v>137</v>
      </c>
      <c r="R1156" s="17" t="s">
        <v>146</v>
      </c>
    </row>
    <row r="1157" spans="1:18" x14ac:dyDescent="0.3">
      <c r="A1157" s="12" t="s">
        <v>8779</v>
      </c>
      <c r="B1157" s="12" t="s">
        <v>12</v>
      </c>
      <c r="C1157" s="12"/>
      <c r="D1157" s="12" t="s">
        <v>12</v>
      </c>
      <c r="E1157" s="12" t="s">
        <v>8780</v>
      </c>
      <c r="F1157" s="12" t="s">
        <v>359</v>
      </c>
      <c r="G1157" s="12" t="s">
        <v>876</v>
      </c>
      <c r="H1157" s="12" t="s">
        <v>37</v>
      </c>
      <c r="I1157" s="12" t="s">
        <v>26</v>
      </c>
      <c r="J1157" s="13" t="s">
        <v>2178</v>
      </c>
      <c r="K1157" s="14" t="s">
        <v>8781</v>
      </c>
      <c r="L1157" s="15">
        <v>1</v>
      </c>
      <c r="M1157" s="15" t="s">
        <v>144</v>
      </c>
      <c r="N1157" s="16">
        <v>44065</v>
      </c>
      <c r="O1157" s="12" t="s">
        <v>8782</v>
      </c>
      <c r="P1157" s="14" t="s">
        <v>8783</v>
      </c>
      <c r="Q1157" s="17" t="s">
        <v>137</v>
      </c>
      <c r="R1157" s="17" t="s">
        <v>146</v>
      </c>
    </row>
    <row r="1158" spans="1:18" x14ac:dyDescent="0.3">
      <c r="A1158" s="12" t="s">
        <v>8784</v>
      </c>
      <c r="B1158" s="12" t="s">
        <v>12</v>
      </c>
      <c r="C1158" s="12"/>
      <c r="D1158" s="12" t="s">
        <v>12</v>
      </c>
      <c r="E1158" s="12" t="s">
        <v>8300</v>
      </c>
      <c r="F1158" s="12"/>
      <c r="G1158" s="12" t="s">
        <v>876</v>
      </c>
      <c r="H1158" s="12" t="s">
        <v>37</v>
      </c>
      <c r="I1158" s="12" t="s">
        <v>26</v>
      </c>
      <c r="J1158" s="13" t="s">
        <v>2302</v>
      </c>
      <c r="K1158" s="14" t="s">
        <v>8301</v>
      </c>
      <c r="L1158" s="15">
        <v>2</v>
      </c>
      <c r="M1158" s="15" t="s">
        <v>144</v>
      </c>
      <c r="N1158" s="16">
        <v>44065</v>
      </c>
      <c r="O1158" s="12" t="s">
        <v>8785</v>
      </c>
      <c r="P1158" s="14" t="s">
        <v>8786</v>
      </c>
      <c r="Q1158" s="17" t="s">
        <v>137</v>
      </c>
      <c r="R1158" s="17" t="s">
        <v>146</v>
      </c>
    </row>
    <row r="1159" spans="1:18" x14ac:dyDescent="0.3">
      <c r="A1159" s="12" t="s">
        <v>8787</v>
      </c>
      <c r="B1159" s="12" t="s">
        <v>12</v>
      </c>
      <c r="C1159" s="12"/>
      <c r="D1159" s="12" t="s">
        <v>12</v>
      </c>
      <c r="E1159" s="12" t="s">
        <v>2274</v>
      </c>
      <c r="F1159" s="12"/>
      <c r="G1159" s="12" t="s">
        <v>876</v>
      </c>
      <c r="H1159" s="12" t="s">
        <v>37</v>
      </c>
      <c r="I1159" s="12" t="s">
        <v>26</v>
      </c>
      <c r="J1159" s="13" t="s">
        <v>2184</v>
      </c>
      <c r="K1159" s="14" t="s">
        <v>2275</v>
      </c>
      <c r="L1159" s="15">
        <v>5</v>
      </c>
      <c r="M1159" s="15" t="s">
        <v>144</v>
      </c>
      <c r="N1159" s="16">
        <v>41760</v>
      </c>
      <c r="O1159" s="12" t="s">
        <v>8787</v>
      </c>
      <c r="P1159" s="14" t="s">
        <v>8788</v>
      </c>
      <c r="Q1159" s="17" t="s">
        <v>137</v>
      </c>
      <c r="R1159" s="17" t="s">
        <v>146</v>
      </c>
    </row>
    <row r="1160" spans="1:18" x14ac:dyDescent="0.3">
      <c r="A1160" s="12" t="s">
        <v>8789</v>
      </c>
      <c r="B1160" s="12" t="s">
        <v>12</v>
      </c>
      <c r="C1160" s="12"/>
      <c r="D1160" s="12" t="s">
        <v>12</v>
      </c>
      <c r="E1160" s="12" t="s">
        <v>8790</v>
      </c>
      <c r="F1160" s="12"/>
      <c r="G1160" s="12" t="s">
        <v>876</v>
      </c>
      <c r="H1160" s="12" t="s">
        <v>37</v>
      </c>
      <c r="I1160" s="12" t="s">
        <v>26</v>
      </c>
      <c r="J1160" s="13" t="s">
        <v>2184</v>
      </c>
      <c r="K1160" s="14" t="s">
        <v>2275</v>
      </c>
      <c r="L1160" s="15">
        <v>5</v>
      </c>
      <c r="M1160" s="15" t="s">
        <v>144</v>
      </c>
      <c r="N1160" s="16">
        <v>41967</v>
      </c>
      <c r="O1160" s="12" t="s">
        <v>8789</v>
      </c>
      <c r="P1160" s="14" t="s">
        <v>8791</v>
      </c>
      <c r="Q1160" s="17" t="s">
        <v>137</v>
      </c>
      <c r="R1160" s="17" t="s">
        <v>146</v>
      </c>
    </row>
    <row r="1161" spans="1:18" x14ac:dyDescent="0.3">
      <c r="A1161" s="12" t="s">
        <v>8792</v>
      </c>
      <c r="B1161" s="12" t="s">
        <v>12</v>
      </c>
      <c r="C1161" s="12"/>
      <c r="D1161" s="12" t="s">
        <v>12</v>
      </c>
      <c r="E1161" s="12" t="s">
        <v>8793</v>
      </c>
      <c r="F1161" s="12" t="s">
        <v>447</v>
      </c>
      <c r="G1161" s="12" t="s">
        <v>876</v>
      </c>
      <c r="H1161" s="12" t="s">
        <v>37</v>
      </c>
      <c r="I1161" s="12" t="s">
        <v>26</v>
      </c>
      <c r="J1161" s="13" t="s">
        <v>2149</v>
      </c>
      <c r="K1161" s="14" t="s">
        <v>8794</v>
      </c>
      <c r="L1161" s="15">
        <v>1</v>
      </c>
      <c r="M1161" s="15" t="s">
        <v>144</v>
      </c>
      <c r="N1161" s="16">
        <v>40057</v>
      </c>
      <c r="O1161" s="12" t="s">
        <v>8792</v>
      </c>
      <c r="P1161" s="14" t="s">
        <v>8795</v>
      </c>
      <c r="Q1161" s="17" t="s">
        <v>137</v>
      </c>
      <c r="R1161" s="17" t="s">
        <v>146</v>
      </c>
    </row>
    <row r="1162" spans="1:18" x14ac:dyDescent="0.3">
      <c r="A1162" s="12" t="s">
        <v>8796</v>
      </c>
      <c r="B1162" s="12" t="s">
        <v>10</v>
      </c>
      <c r="C1162" s="12"/>
      <c r="D1162" s="12" t="s">
        <v>157</v>
      </c>
      <c r="E1162" s="12" t="s">
        <v>2143</v>
      </c>
      <c r="F1162" s="12" t="s">
        <v>832</v>
      </c>
      <c r="G1162" s="12" t="s">
        <v>876</v>
      </c>
      <c r="H1162" s="12" t="s">
        <v>37</v>
      </c>
      <c r="I1162" s="12" t="s">
        <v>26</v>
      </c>
      <c r="J1162" s="13" t="s">
        <v>2144</v>
      </c>
      <c r="K1162" s="14" t="s">
        <v>8285</v>
      </c>
      <c r="L1162" s="15">
        <v>0</v>
      </c>
      <c r="M1162" s="15" t="s">
        <v>144</v>
      </c>
      <c r="N1162" s="16">
        <v>41955</v>
      </c>
      <c r="O1162" s="12" t="s">
        <v>8796</v>
      </c>
      <c r="P1162" s="14" t="s">
        <v>8797</v>
      </c>
      <c r="Q1162" s="17" t="s">
        <v>137</v>
      </c>
      <c r="R1162" s="17" t="s">
        <v>146</v>
      </c>
    </row>
    <row r="1163" spans="1:18" x14ac:dyDescent="0.3">
      <c r="A1163" s="12" t="s">
        <v>8798</v>
      </c>
      <c r="B1163" s="12" t="s">
        <v>12</v>
      </c>
      <c r="C1163" s="12"/>
      <c r="D1163" s="12" t="s">
        <v>12</v>
      </c>
      <c r="E1163" s="12" t="s">
        <v>8406</v>
      </c>
      <c r="F1163" s="12"/>
      <c r="G1163" s="12" t="s">
        <v>876</v>
      </c>
      <c r="H1163" s="12" t="s">
        <v>37</v>
      </c>
      <c r="I1163" s="12" t="s">
        <v>26</v>
      </c>
      <c r="J1163" s="13" t="s">
        <v>2157</v>
      </c>
      <c r="K1163" s="14" t="s">
        <v>8799</v>
      </c>
      <c r="L1163" s="15">
        <v>3</v>
      </c>
      <c r="M1163" s="15" t="s">
        <v>144</v>
      </c>
      <c r="N1163" s="16">
        <v>42052</v>
      </c>
      <c r="O1163" s="12" t="s">
        <v>8798</v>
      </c>
      <c r="P1163" s="14" t="s">
        <v>8800</v>
      </c>
      <c r="Q1163" s="17" t="s">
        <v>137</v>
      </c>
      <c r="R1163" s="17" t="s">
        <v>146</v>
      </c>
    </row>
    <row r="1164" spans="1:18" x14ac:dyDescent="0.3">
      <c r="A1164" s="12" t="s">
        <v>8801</v>
      </c>
      <c r="B1164" s="12" t="s">
        <v>10</v>
      </c>
      <c r="C1164" s="12"/>
      <c r="D1164" s="12" t="s">
        <v>157</v>
      </c>
      <c r="E1164" s="12" t="s">
        <v>8802</v>
      </c>
      <c r="F1164" s="12"/>
      <c r="G1164" s="12" t="s">
        <v>876</v>
      </c>
      <c r="H1164" s="12" t="s">
        <v>37</v>
      </c>
      <c r="I1164" s="12" t="s">
        <v>26</v>
      </c>
      <c r="J1164" s="13" t="s">
        <v>2149</v>
      </c>
      <c r="K1164" s="14" t="s">
        <v>8803</v>
      </c>
      <c r="L1164" s="15">
        <v>0</v>
      </c>
      <c r="M1164" s="15" t="s">
        <v>144</v>
      </c>
      <c r="N1164" s="16">
        <v>43832</v>
      </c>
      <c r="O1164" s="12" t="s">
        <v>8804</v>
      </c>
      <c r="P1164" s="14" t="s">
        <v>8805</v>
      </c>
      <c r="Q1164" s="17" t="s">
        <v>137</v>
      </c>
      <c r="R1164" s="17" t="s">
        <v>146</v>
      </c>
    </row>
    <row r="1165" spans="1:18" x14ac:dyDescent="0.3">
      <c r="A1165" s="12" t="s">
        <v>8806</v>
      </c>
      <c r="B1165" s="12" t="s">
        <v>12</v>
      </c>
      <c r="C1165" s="12"/>
      <c r="D1165" s="12" t="s">
        <v>12</v>
      </c>
      <c r="E1165" s="12" t="s">
        <v>8807</v>
      </c>
      <c r="F1165" s="12"/>
      <c r="G1165" s="12" t="s">
        <v>2333</v>
      </c>
      <c r="H1165" s="12" t="s">
        <v>37</v>
      </c>
      <c r="I1165" s="12" t="s">
        <v>26</v>
      </c>
      <c r="J1165" s="13" t="s">
        <v>2056</v>
      </c>
      <c r="K1165" s="14" t="s">
        <v>2350</v>
      </c>
      <c r="L1165" s="15">
        <v>3</v>
      </c>
      <c r="M1165" s="15" t="s">
        <v>144</v>
      </c>
      <c r="N1165" s="16">
        <v>40913</v>
      </c>
      <c r="O1165" s="12" t="s">
        <v>8806</v>
      </c>
      <c r="P1165" s="14" t="s">
        <v>8808</v>
      </c>
      <c r="Q1165" s="17" t="s">
        <v>137</v>
      </c>
      <c r="R1165" s="17" t="s">
        <v>146</v>
      </c>
    </row>
    <row r="1166" spans="1:18" x14ac:dyDescent="0.3">
      <c r="A1166" s="12" t="s">
        <v>8809</v>
      </c>
      <c r="B1166" s="12" t="s">
        <v>16</v>
      </c>
      <c r="C1166" s="12"/>
      <c r="D1166" s="12" t="s">
        <v>471</v>
      </c>
      <c r="E1166" s="12" t="s">
        <v>8810</v>
      </c>
      <c r="F1166" s="12" t="s">
        <v>188</v>
      </c>
      <c r="G1166" s="12" t="s">
        <v>2333</v>
      </c>
      <c r="H1166" s="12" t="s">
        <v>37</v>
      </c>
      <c r="I1166" s="12" t="s">
        <v>26</v>
      </c>
      <c r="J1166" s="13" t="s">
        <v>2334</v>
      </c>
      <c r="K1166" s="14" t="s">
        <v>8811</v>
      </c>
      <c r="L1166" s="15">
        <v>0</v>
      </c>
      <c r="M1166" s="15" t="s">
        <v>144</v>
      </c>
      <c r="N1166" s="16">
        <v>42144</v>
      </c>
      <c r="O1166" s="12" t="s">
        <v>8809</v>
      </c>
      <c r="P1166" s="14" t="s">
        <v>8812</v>
      </c>
      <c r="Q1166" s="17" t="s">
        <v>137</v>
      </c>
      <c r="R1166" s="17" t="s">
        <v>146</v>
      </c>
    </row>
    <row r="1167" spans="1:18" x14ac:dyDescent="0.3">
      <c r="A1167" s="12" t="s">
        <v>8813</v>
      </c>
      <c r="B1167" s="12" t="s">
        <v>12</v>
      </c>
      <c r="C1167" s="12"/>
      <c r="D1167" s="12" t="s">
        <v>12</v>
      </c>
      <c r="E1167" s="12" t="s">
        <v>8807</v>
      </c>
      <c r="F1167" s="12"/>
      <c r="G1167" s="12" t="s">
        <v>2333</v>
      </c>
      <c r="H1167" s="12" t="s">
        <v>37</v>
      </c>
      <c r="I1167" s="12" t="s">
        <v>26</v>
      </c>
      <c r="J1167" s="13" t="s">
        <v>2056</v>
      </c>
      <c r="K1167" s="14" t="s">
        <v>2350</v>
      </c>
      <c r="L1167" s="15">
        <v>3</v>
      </c>
      <c r="M1167" s="15" t="s">
        <v>144</v>
      </c>
      <c r="N1167" s="16">
        <v>44065</v>
      </c>
      <c r="O1167" s="12" t="s">
        <v>8813</v>
      </c>
      <c r="P1167" s="14" t="s">
        <v>8814</v>
      </c>
      <c r="Q1167" s="17" t="s">
        <v>137</v>
      </c>
      <c r="R1167" s="17" t="s">
        <v>146</v>
      </c>
    </row>
    <row r="1168" spans="1:18" x14ac:dyDescent="0.3">
      <c r="A1168" s="12" t="s">
        <v>8815</v>
      </c>
      <c r="B1168" s="12" t="s">
        <v>12</v>
      </c>
      <c r="C1168" s="12"/>
      <c r="D1168" s="12" t="s">
        <v>12</v>
      </c>
      <c r="E1168" s="12" t="s">
        <v>8816</v>
      </c>
      <c r="F1168" s="12"/>
      <c r="G1168" s="12" t="s">
        <v>2333</v>
      </c>
      <c r="H1168" s="12" t="s">
        <v>37</v>
      </c>
      <c r="I1168" s="12" t="s">
        <v>26</v>
      </c>
      <c r="J1168" s="13" t="s">
        <v>2056</v>
      </c>
      <c r="K1168" s="14" t="s">
        <v>8817</v>
      </c>
      <c r="L1168" s="15">
        <v>1</v>
      </c>
      <c r="M1168" s="15" t="s">
        <v>144</v>
      </c>
      <c r="N1168" s="16">
        <v>44065</v>
      </c>
      <c r="O1168" s="12" t="s">
        <v>8818</v>
      </c>
      <c r="P1168" s="14" t="s">
        <v>8819</v>
      </c>
      <c r="Q1168" s="17" t="s">
        <v>137</v>
      </c>
      <c r="R1168" s="17" t="s">
        <v>146</v>
      </c>
    </row>
    <row r="1169" spans="1:18" x14ac:dyDescent="0.3">
      <c r="A1169" s="12" t="s">
        <v>8820</v>
      </c>
      <c r="B1169" s="12" t="s">
        <v>12</v>
      </c>
      <c r="C1169" s="12"/>
      <c r="D1169" s="12" t="s">
        <v>12</v>
      </c>
      <c r="E1169" s="12" t="s">
        <v>8821</v>
      </c>
      <c r="F1169" s="12"/>
      <c r="G1169" s="12" t="s">
        <v>2333</v>
      </c>
      <c r="H1169" s="12" t="s">
        <v>37</v>
      </c>
      <c r="I1169" s="12" t="s">
        <v>26</v>
      </c>
      <c r="J1169" s="13" t="s">
        <v>2334</v>
      </c>
      <c r="K1169" s="14" t="s">
        <v>8822</v>
      </c>
      <c r="L1169" s="15">
        <v>0</v>
      </c>
      <c r="M1169" s="15" t="s">
        <v>144</v>
      </c>
      <c r="N1169" s="16">
        <v>40248</v>
      </c>
      <c r="O1169" s="12" t="s">
        <v>8823</v>
      </c>
      <c r="P1169" s="14" t="s">
        <v>8824</v>
      </c>
      <c r="Q1169" s="17" t="s">
        <v>137</v>
      </c>
      <c r="R1169" s="17" t="s">
        <v>146</v>
      </c>
    </row>
    <row r="1170" spans="1:18" x14ac:dyDescent="0.3">
      <c r="A1170" s="12" t="s">
        <v>8825</v>
      </c>
      <c r="B1170" s="12" t="s">
        <v>12</v>
      </c>
      <c r="C1170" s="12"/>
      <c r="D1170" s="12" t="s">
        <v>12</v>
      </c>
      <c r="E1170" s="12" t="s">
        <v>8826</v>
      </c>
      <c r="F1170" s="12"/>
      <c r="G1170" s="12" t="s">
        <v>2333</v>
      </c>
      <c r="H1170" s="12" t="s">
        <v>37</v>
      </c>
      <c r="I1170" s="12" t="s">
        <v>26</v>
      </c>
      <c r="J1170" s="13" t="s">
        <v>2334</v>
      </c>
      <c r="K1170" s="14" t="s">
        <v>8827</v>
      </c>
      <c r="L1170" s="15">
        <v>0</v>
      </c>
      <c r="M1170" s="15" t="s">
        <v>144</v>
      </c>
      <c r="N1170" s="16">
        <v>44065</v>
      </c>
      <c r="O1170" s="12" t="s">
        <v>8825</v>
      </c>
      <c r="P1170" s="14" t="s">
        <v>8828</v>
      </c>
      <c r="Q1170" s="17" t="s">
        <v>137</v>
      </c>
      <c r="R1170" s="17" t="s">
        <v>146</v>
      </c>
    </row>
    <row r="1171" spans="1:18" x14ac:dyDescent="0.3">
      <c r="A1171" s="12" t="s">
        <v>1723</v>
      </c>
      <c r="B1171" s="12" t="s">
        <v>14</v>
      </c>
      <c r="C1171" s="12"/>
      <c r="D1171" s="12" t="s">
        <v>14</v>
      </c>
      <c r="E1171" s="12" t="s">
        <v>8829</v>
      </c>
      <c r="F1171" s="12" t="s">
        <v>516</v>
      </c>
      <c r="G1171" s="12" t="s">
        <v>2333</v>
      </c>
      <c r="H1171" s="12" t="s">
        <v>37</v>
      </c>
      <c r="I1171" s="12" t="s">
        <v>26</v>
      </c>
      <c r="J1171" s="13" t="s">
        <v>2334</v>
      </c>
      <c r="K1171" s="14" t="s">
        <v>980</v>
      </c>
      <c r="L1171" s="15">
        <v>5</v>
      </c>
      <c r="M1171" s="15" t="s">
        <v>144</v>
      </c>
      <c r="N1171" s="16">
        <v>43983</v>
      </c>
      <c r="O1171" s="12" t="s">
        <v>1723</v>
      </c>
      <c r="P1171" s="14" t="s">
        <v>8830</v>
      </c>
      <c r="Q1171" s="17" t="s">
        <v>137</v>
      </c>
      <c r="R1171" s="17" t="s">
        <v>146</v>
      </c>
    </row>
    <row r="1172" spans="1:18" x14ac:dyDescent="0.3">
      <c r="A1172" s="12" t="s">
        <v>8831</v>
      </c>
      <c r="B1172" s="12" t="s">
        <v>12</v>
      </c>
      <c r="C1172" s="12"/>
      <c r="D1172" s="12" t="s">
        <v>12</v>
      </c>
      <c r="E1172" s="12" t="s">
        <v>8832</v>
      </c>
      <c r="F1172" s="12"/>
      <c r="G1172" s="12" t="s">
        <v>2349</v>
      </c>
      <c r="H1172" s="12" t="s">
        <v>37</v>
      </c>
      <c r="I1172" s="12" t="s">
        <v>26</v>
      </c>
      <c r="J1172" s="13" t="s">
        <v>2334</v>
      </c>
      <c r="K1172" s="14" t="s">
        <v>8833</v>
      </c>
      <c r="L1172" s="15">
        <v>2</v>
      </c>
      <c r="M1172" s="15" t="s">
        <v>144</v>
      </c>
      <c r="N1172" s="16">
        <v>40835</v>
      </c>
      <c r="O1172" s="12" t="s">
        <v>8831</v>
      </c>
      <c r="P1172" s="14" t="s">
        <v>8834</v>
      </c>
      <c r="Q1172" s="17" t="s">
        <v>137</v>
      </c>
      <c r="R1172" s="17" t="s">
        <v>146</v>
      </c>
    </row>
    <row r="1173" spans="1:18" x14ac:dyDescent="0.3">
      <c r="A1173" s="12" t="s">
        <v>8835</v>
      </c>
      <c r="B1173" s="12" t="s">
        <v>12</v>
      </c>
      <c r="C1173" s="12"/>
      <c r="D1173" s="12" t="s">
        <v>12</v>
      </c>
      <c r="E1173" s="12" t="s">
        <v>8836</v>
      </c>
      <c r="F1173" s="12" t="s">
        <v>258</v>
      </c>
      <c r="G1173" s="12" t="s">
        <v>2349</v>
      </c>
      <c r="H1173" s="12" t="s">
        <v>37</v>
      </c>
      <c r="I1173" s="12" t="s">
        <v>26</v>
      </c>
      <c r="J1173" s="13" t="s">
        <v>2334</v>
      </c>
      <c r="K1173" s="14" t="s">
        <v>8837</v>
      </c>
      <c r="L1173" s="15">
        <v>1</v>
      </c>
      <c r="M1173" s="15" t="s">
        <v>144</v>
      </c>
      <c r="N1173" s="16">
        <v>40219</v>
      </c>
      <c r="O1173" s="12" t="s">
        <v>8835</v>
      </c>
      <c r="P1173" s="14" t="s">
        <v>8838</v>
      </c>
      <c r="Q1173" s="17" t="s">
        <v>137</v>
      </c>
      <c r="R1173" s="17" t="s">
        <v>146</v>
      </c>
    </row>
    <row r="1174" spans="1:18" x14ac:dyDescent="0.3">
      <c r="A1174" s="12" t="s">
        <v>8839</v>
      </c>
      <c r="B1174" s="12" t="s">
        <v>12</v>
      </c>
      <c r="C1174" s="12"/>
      <c r="D1174" s="12" t="s">
        <v>12</v>
      </c>
      <c r="E1174" s="12" t="s">
        <v>8840</v>
      </c>
      <c r="F1174" s="12"/>
      <c r="G1174" s="12" t="s">
        <v>2349</v>
      </c>
      <c r="H1174" s="12" t="s">
        <v>37</v>
      </c>
      <c r="I1174" s="12" t="s">
        <v>26</v>
      </c>
      <c r="J1174" s="13" t="s">
        <v>2334</v>
      </c>
      <c r="K1174" s="14" t="s">
        <v>8841</v>
      </c>
      <c r="L1174" s="15">
        <v>2</v>
      </c>
      <c r="M1174" s="15" t="s">
        <v>144</v>
      </c>
      <c r="N1174" s="16">
        <v>40254</v>
      </c>
      <c r="O1174" s="12" t="s">
        <v>8839</v>
      </c>
      <c r="P1174" s="14" t="s">
        <v>8842</v>
      </c>
      <c r="Q1174" s="17" t="s">
        <v>137</v>
      </c>
      <c r="R1174" s="17" t="s">
        <v>146</v>
      </c>
    </row>
    <row r="1175" spans="1:18" x14ac:dyDescent="0.3">
      <c r="A1175" s="12" t="s">
        <v>8843</v>
      </c>
      <c r="B1175" s="12" t="s">
        <v>12</v>
      </c>
      <c r="C1175" s="12"/>
      <c r="D1175" s="12" t="s">
        <v>12</v>
      </c>
      <c r="E1175" s="12" t="s">
        <v>8844</v>
      </c>
      <c r="F1175" s="12"/>
      <c r="G1175" s="12" t="s">
        <v>2349</v>
      </c>
      <c r="H1175" s="12" t="s">
        <v>37</v>
      </c>
      <c r="I1175" s="12" t="s">
        <v>26</v>
      </c>
      <c r="J1175" s="13" t="s">
        <v>2334</v>
      </c>
      <c r="K1175" s="14" t="s">
        <v>8845</v>
      </c>
      <c r="L1175" s="15">
        <v>4</v>
      </c>
      <c r="M1175" s="15" t="s">
        <v>144</v>
      </c>
      <c r="N1175" s="16">
        <v>39720</v>
      </c>
      <c r="O1175" s="12" t="s">
        <v>8843</v>
      </c>
      <c r="P1175" s="14" t="s">
        <v>8846</v>
      </c>
      <c r="Q1175" s="17" t="s">
        <v>137</v>
      </c>
      <c r="R1175" s="17" t="s">
        <v>146</v>
      </c>
    </row>
    <row r="1176" spans="1:18" x14ac:dyDescent="0.3">
      <c r="A1176" s="12" t="s">
        <v>8847</v>
      </c>
      <c r="B1176" s="12" t="s">
        <v>12</v>
      </c>
      <c r="C1176" s="12"/>
      <c r="D1176" s="12" t="s">
        <v>12</v>
      </c>
      <c r="E1176" s="12" t="s">
        <v>8848</v>
      </c>
      <c r="F1176" s="12"/>
      <c r="G1176" s="12" t="s">
        <v>2349</v>
      </c>
      <c r="H1176" s="12" t="s">
        <v>37</v>
      </c>
      <c r="I1176" s="12" t="s">
        <v>26</v>
      </c>
      <c r="J1176" s="13" t="s">
        <v>2334</v>
      </c>
      <c r="K1176" s="14" t="s">
        <v>8849</v>
      </c>
      <c r="L1176" s="15">
        <v>0</v>
      </c>
      <c r="M1176" s="15" t="s">
        <v>144</v>
      </c>
      <c r="N1176" s="16">
        <v>39973</v>
      </c>
      <c r="O1176" s="12" t="s">
        <v>8850</v>
      </c>
      <c r="P1176" s="14" t="s">
        <v>8851</v>
      </c>
      <c r="Q1176" s="17" t="s">
        <v>137</v>
      </c>
      <c r="R1176" s="17" t="s">
        <v>146</v>
      </c>
    </row>
    <row r="1177" spans="1:18" x14ac:dyDescent="0.3">
      <c r="A1177" s="12" t="s">
        <v>8852</v>
      </c>
      <c r="B1177" s="12" t="s">
        <v>12</v>
      </c>
      <c r="C1177" s="12"/>
      <c r="D1177" s="12" t="s">
        <v>12</v>
      </c>
      <c r="E1177" s="12" t="s">
        <v>8853</v>
      </c>
      <c r="F1177" s="12"/>
      <c r="G1177" s="12" t="s">
        <v>2349</v>
      </c>
      <c r="H1177" s="12" t="s">
        <v>37</v>
      </c>
      <c r="I1177" s="12" t="s">
        <v>26</v>
      </c>
      <c r="J1177" s="13" t="s">
        <v>2334</v>
      </c>
      <c r="K1177" s="14" t="s">
        <v>8849</v>
      </c>
      <c r="L1177" s="15">
        <v>1</v>
      </c>
      <c r="M1177" s="15" t="s">
        <v>144</v>
      </c>
      <c r="N1177" s="16">
        <v>44065</v>
      </c>
      <c r="O1177" s="12" t="s">
        <v>8852</v>
      </c>
      <c r="P1177" s="14" t="s">
        <v>8854</v>
      </c>
      <c r="Q1177" s="17" t="s">
        <v>137</v>
      </c>
      <c r="R1177" s="17" t="s">
        <v>146</v>
      </c>
    </row>
    <row r="1178" spans="1:18" x14ac:dyDescent="0.3">
      <c r="A1178" s="12" t="s">
        <v>8855</v>
      </c>
      <c r="B1178" s="12" t="s">
        <v>12</v>
      </c>
      <c r="C1178" s="12"/>
      <c r="D1178" s="12" t="s">
        <v>12</v>
      </c>
      <c r="E1178" s="12" t="s">
        <v>8848</v>
      </c>
      <c r="F1178" s="12"/>
      <c r="G1178" s="12" t="s">
        <v>2349</v>
      </c>
      <c r="H1178" s="12" t="s">
        <v>37</v>
      </c>
      <c r="I1178" s="12" t="s">
        <v>26</v>
      </c>
      <c r="J1178" s="13" t="s">
        <v>2334</v>
      </c>
      <c r="K1178" s="14" t="s">
        <v>8849</v>
      </c>
      <c r="L1178" s="15">
        <v>0</v>
      </c>
      <c r="M1178" s="15" t="s">
        <v>144</v>
      </c>
      <c r="N1178" s="16">
        <v>41646</v>
      </c>
      <c r="O1178" s="12" t="s">
        <v>8855</v>
      </c>
      <c r="P1178" s="14" t="s">
        <v>8856</v>
      </c>
      <c r="Q1178" s="17" t="s">
        <v>137</v>
      </c>
      <c r="R1178" s="17" t="s">
        <v>146</v>
      </c>
    </row>
    <row r="1179" spans="1:18" x14ac:dyDescent="0.3">
      <c r="A1179" s="12" t="s">
        <v>8857</v>
      </c>
      <c r="B1179" s="12" t="s">
        <v>14</v>
      </c>
      <c r="C1179" s="12"/>
      <c r="D1179" s="12" t="s">
        <v>14</v>
      </c>
      <c r="E1179" s="12" t="s">
        <v>8858</v>
      </c>
      <c r="F1179" s="12"/>
      <c r="G1179" s="12" t="s">
        <v>2349</v>
      </c>
      <c r="H1179" s="12" t="s">
        <v>37</v>
      </c>
      <c r="I1179" s="12" t="s">
        <v>26</v>
      </c>
      <c r="J1179" s="13" t="s">
        <v>2334</v>
      </c>
      <c r="K1179" s="14" t="s">
        <v>8859</v>
      </c>
      <c r="L1179" s="15">
        <v>2</v>
      </c>
      <c r="M1179" s="15" t="s">
        <v>144</v>
      </c>
      <c r="N1179" s="16">
        <v>40497</v>
      </c>
      <c r="O1179" s="12" t="s">
        <v>8857</v>
      </c>
      <c r="P1179" s="14" t="s">
        <v>8860</v>
      </c>
      <c r="Q1179" s="17" t="s">
        <v>137</v>
      </c>
      <c r="R1179" s="17" t="s">
        <v>146</v>
      </c>
    </row>
    <row r="1180" spans="1:18" x14ac:dyDescent="0.3">
      <c r="A1180" s="12" t="s">
        <v>8861</v>
      </c>
      <c r="B1180" s="12" t="s">
        <v>12</v>
      </c>
      <c r="C1180" s="12"/>
      <c r="D1180" s="12" t="s">
        <v>12</v>
      </c>
      <c r="E1180" s="12" t="s">
        <v>8862</v>
      </c>
      <c r="F1180" s="12" t="s">
        <v>8863</v>
      </c>
      <c r="G1180" s="12" t="s">
        <v>2349</v>
      </c>
      <c r="H1180" s="12" t="s">
        <v>37</v>
      </c>
      <c r="I1180" s="12" t="s">
        <v>26</v>
      </c>
      <c r="J1180" s="13" t="s">
        <v>2334</v>
      </c>
      <c r="K1180" s="14" t="s">
        <v>8864</v>
      </c>
      <c r="L1180" s="15">
        <v>4</v>
      </c>
      <c r="M1180" s="15" t="s">
        <v>144</v>
      </c>
      <c r="N1180" s="16">
        <v>40221</v>
      </c>
      <c r="O1180" s="12" t="s">
        <v>8861</v>
      </c>
      <c r="P1180" s="14" t="s">
        <v>8865</v>
      </c>
      <c r="Q1180" s="17" t="s">
        <v>137</v>
      </c>
      <c r="R1180" s="17" t="s">
        <v>146</v>
      </c>
    </row>
    <row r="1181" spans="1:18" x14ac:dyDescent="0.3">
      <c r="A1181" s="12" t="s">
        <v>8866</v>
      </c>
      <c r="B1181" s="12" t="s">
        <v>12</v>
      </c>
      <c r="C1181" s="12"/>
      <c r="D1181" s="12" t="s">
        <v>12</v>
      </c>
      <c r="E1181" s="12" t="s">
        <v>8832</v>
      </c>
      <c r="F1181" s="12"/>
      <c r="G1181" s="12" t="s">
        <v>2349</v>
      </c>
      <c r="H1181" s="12" t="s">
        <v>37</v>
      </c>
      <c r="I1181" s="12" t="s">
        <v>26</v>
      </c>
      <c r="J1181" s="13" t="s">
        <v>2334</v>
      </c>
      <c r="K1181" s="14" t="s">
        <v>8833</v>
      </c>
      <c r="L1181" s="15">
        <v>2</v>
      </c>
      <c r="M1181" s="15" t="s">
        <v>144</v>
      </c>
      <c r="N1181" s="16">
        <v>43531</v>
      </c>
      <c r="O1181" s="12" t="s">
        <v>8866</v>
      </c>
      <c r="P1181" s="14" t="s">
        <v>8867</v>
      </c>
      <c r="Q1181" s="17" t="s">
        <v>137</v>
      </c>
      <c r="R1181" s="17" t="s">
        <v>146</v>
      </c>
    </row>
    <row r="1182" spans="1:18" x14ac:dyDescent="0.3">
      <c r="A1182" s="12" t="s">
        <v>8868</v>
      </c>
      <c r="B1182" s="12" t="s">
        <v>12</v>
      </c>
      <c r="C1182" s="12"/>
      <c r="D1182" s="12" t="s">
        <v>12</v>
      </c>
      <c r="E1182" s="12" t="s">
        <v>8869</v>
      </c>
      <c r="F1182" s="12"/>
      <c r="G1182" s="12" t="s">
        <v>2349</v>
      </c>
      <c r="H1182" s="12" t="s">
        <v>37</v>
      </c>
      <c r="I1182" s="12" t="s">
        <v>26</v>
      </c>
      <c r="J1182" s="13" t="s">
        <v>2334</v>
      </c>
      <c r="K1182" s="14" t="s">
        <v>8870</v>
      </c>
      <c r="L1182" s="15">
        <v>2</v>
      </c>
      <c r="M1182" s="15" t="s">
        <v>144</v>
      </c>
      <c r="N1182" s="16">
        <v>40623</v>
      </c>
      <c r="O1182" s="12" t="s">
        <v>8868</v>
      </c>
      <c r="P1182" s="14" t="s">
        <v>8871</v>
      </c>
      <c r="Q1182" s="17" t="s">
        <v>137</v>
      </c>
      <c r="R1182" s="17" t="s">
        <v>146</v>
      </c>
    </row>
    <row r="1183" spans="1:18" x14ac:dyDescent="0.3">
      <c r="A1183" s="12" t="s">
        <v>8872</v>
      </c>
      <c r="B1183" s="12" t="s">
        <v>10</v>
      </c>
      <c r="C1183" s="12"/>
      <c r="D1183" s="12" t="s">
        <v>440</v>
      </c>
      <c r="E1183" s="12" t="s">
        <v>8873</v>
      </c>
      <c r="F1183" s="12"/>
      <c r="G1183" s="12" t="s">
        <v>2349</v>
      </c>
      <c r="H1183" s="12" t="s">
        <v>37</v>
      </c>
      <c r="I1183" s="12" t="s">
        <v>26</v>
      </c>
      <c r="J1183" s="13" t="s">
        <v>2334</v>
      </c>
      <c r="K1183" s="14" t="s">
        <v>8874</v>
      </c>
      <c r="L1183" s="15">
        <v>0</v>
      </c>
      <c r="M1183" s="15" t="s">
        <v>144</v>
      </c>
      <c r="N1183" s="16">
        <v>41683</v>
      </c>
      <c r="O1183" s="12" t="s">
        <v>8875</v>
      </c>
      <c r="P1183" s="14" t="s">
        <v>8876</v>
      </c>
      <c r="Q1183" s="17" t="s">
        <v>137</v>
      </c>
      <c r="R1183" s="17" t="s">
        <v>146</v>
      </c>
    </row>
    <row r="1184" spans="1:18" x14ac:dyDescent="0.3">
      <c r="A1184" s="12" t="s">
        <v>8877</v>
      </c>
      <c r="B1184" s="12" t="s">
        <v>12</v>
      </c>
      <c r="C1184" s="12"/>
      <c r="D1184" s="12" t="s">
        <v>12</v>
      </c>
      <c r="E1184" s="12" t="s">
        <v>8878</v>
      </c>
      <c r="F1184" s="12" t="s">
        <v>8879</v>
      </c>
      <c r="G1184" s="12" t="s">
        <v>2349</v>
      </c>
      <c r="H1184" s="12" t="s">
        <v>37</v>
      </c>
      <c r="I1184" s="12" t="s">
        <v>26</v>
      </c>
      <c r="J1184" s="13" t="s">
        <v>2334</v>
      </c>
      <c r="K1184" s="14" t="s">
        <v>8880</v>
      </c>
      <c r="L1184" s="15">
        <v>6</v>
      </c>
      <c r="M1184" s="15" t="s">
        <v>144</v>
      </c>
      <c r="N1184" s="16">
        <v>43627</v>
      </c>
      <c r="O1184" s="12" t="s">
        <v>8877</v>
      </c>
      <c r="P1184" s="14" t="s">
        <v>8881</v>
      </c>
      <c r="Q1184" s="17" t="s">
        <v>137</v>
      </c>
      <c r="R1184" s="17" t="s">
        <v>146</v>
      </c>
    </row>
    <row r="1185" spans="1:18" x14ac:dyDescent="0.3">
      <c r="A1185" s="12" t="s">
        <v>8882</v>
      </c>
      <c r="B1185" s="12" t="s">
        <v>12</v>
      </c>
      <c r="C1185" s="12"/>
      <c r="D1185" s="12" t="s">
        <v>12</v>
      </c>
      <c r="E1185" s="12" t="s">
        <v>8883</v>
      </c>
      <c r="F1185" s="12" t="s">
        <v>516</v>
      </c>
      <c r="G1185" s="12" t="s">
        <v>2349</v>
      </c>
      <c r="H1185" s="12" t="s">
        <v>37</v>
      </c>
      <c r="I1185" s="12" t="s">
        <v>26</v>
      </c>
      <c r="J1185" s="13" t="s">
        <v>2334</v>
      </c>
      <c r="K1185" s="14" t="s">
        <v>8884</v>
      </c>
      <c r="L1185" s="15">
        <v>1</v>
      </c>
      <c r="M1185" s="15" t="s">
        <v>144</v>
      </c>
      <c r="N1185" s="16">
        <v>40438</v>
      </c>
      <c r="O1185" s="12" t="s">
        <v>8882</v>
      </c>
      <c r="P1185" s="14" t="s">
        <v>8885</v>
      </c>
      <c r="Q1185" s="17" t="s">
        <v>137</v>
      </c>
      <c r="R1185" s="17" t="s">
        <v>146</v>
      </c>
    </row>
    <row r="1186" spans="1:18" x14ac:dyDescent="0.3">
      <c r="A1186" s="12" t="s">
        <v>8886</v>
      </c>
      <c r="B1186" s="12" t="s">
        <v>12</v>
      </c>
      <c r="C1186" s="12"/>
      <c r="D1186" s="12" t="s">
        <v>12</v>
      </c>
      <c r="E1186" s="12" t="s">
        <v>8887</v>
      </c>
      <c r="F1186" s="12"/>
      <c r="G1186" s="12" t="s">
        <v>2349</v>
      </c>
      <c r="H1186" s="12" t="s">
        <v>37</v>
      </c>
      <c r="I1186" s="12" t="s">
        <v>26</v>
      </c>
      <c r="J1186" s="13" t="s">
        <v>2334</v>
      </c>
      <c r="K1186" s="14" t="s">
        <v>8888</v>
      </c>
      <c r="L1186" s="15">
        <v>0</v>
      </c>
      <c r="M1186" s="15" t="s">
        <v>144</v>
      </c>
      <c r="N1186" s="16">
        <v>40890</v>
      </c>
      <c r="O1186" s="12" t="s">
        <v>8886</v>
      </c>
      <c r="P1186" s="14" t="s">
        <v>8889</v>
      </c>
      <c r="Q1186" s="17" t="s">
        <v>137</v>
      </c>
      <c r="R1186" s="17" t="s">
        <v>146</v>
      </c>
    </row>
    <row r="1187" spans="1:18" x14ac:dyDescent="0.3">
      <c r="A1187" s="12" t="s">
        <v>8890</v>
      </c>
      <c r="B1187" s="12" t="s">
        <v>12</v>
      </c>
      <c r="C1187" s="12"/>
      <c r="D1187" s="12" t="s">
        <v>12</v>
      </c>
      <c r="E1187" s="12" t="s">
        <v>8891</v>
      </c>
      <c r="F1187" s="12"/>
      <c r="G1187" s="12" t="s">
        <v>2349</v>
      </c>
      <c r="H1187" s="12" t="s">
        <v>37</v>
      </c>
      <c r="I1187" s="12" t="s">
        <v>26</v>
      </c>
      <c r="J1187" s="13" t="s">
        <v>2334</v>
      </c>
      <c r="K1187" s="14" t="s">
        <v>8892</v>
      </c>
      <c r="L1187" s="15">
        <v>0</v>
      </c>
      <c r="M1187" s="15" t="s">
        <v>144</v>
      </c>
      <c r="N1187" s="16">
        <v>40599</v>
      </c>
      <c r="O1187" s="12" t="s">
        <v>8893</v>
      </c>
      <c r="P1187" s="14" t="s">
        <v>8894</v>
      </c>
      <c r="Q1187" s="17" t="s">
        <v>137</v>
      </c>
      <c r="R1187" s="17" t="s">
        <v>146</v>
      </c>
    </row>
    <row r="1188" spans="1:18" x14ac:dyDescent="0.3">
      <c r="A1188" s="12" t="s">
        <v>8895</v>
      </c>
      <c r="B1188" s="12" t="s">
        <v>12</v>
      </c>
      <c r="C1188" s="12"/>
      <c r="D1188" s="12" t="s">
        <v>12</v>
      </c>
      <c r="E1188" s="12" t="s">
        <v>8896</v>
      </c>
      <c r="F1188" s="12" t="s">
        <v>832</v>
      </c>
      <c r="G1188" s="12" t="s">
        <v>2349</v>
      </c>
      <c r="H1188" s="12" t="s">
        <v>37</v>
      </c>
      <c r="I1188" s="12" t="s">
        <v>26</v>
      </c>
      <c r="J1188" s="13" t="s">
        <v>2334</v>
      </c>
      <c r="K1188" s="14" t="s">
        <v>8897</v>
      </c>
      <c r="L1188" s="15">
        <v>2</v>
      </c>
      <c r="M1188" s="15" t="s">
        <v>144</v>
      </c>
      <c r="N1188" s="16">
        <v>40905</v>
      </c>
      <c r="O1188" s="12" t="s">
        <v>8895</v>
      </c>
      <c r="P1188" s="14" t="s">
        <v>8898</v>
      </c>
      <c r="Q1188" s="17" t="s">
        <v>137</v>
      </c>
      <c r="R1188" s="17" t="s">
        <v>146</v>
      </c>
    </row>
    <row r="1189" spans="1:18" x14ac:dyDescent="0.3">
      <c r="A1189" s="12" t="s">
        <v>307</v>
      </c>
      <c r="B1189" s="12" t="s">
        <v>14</v>
      </c>
      <c r="C1189" s="12"/>
      <c r="D1189" s="12" t="s">
        <v>14</v>
      </c>
      <c r="E1189" s="12" t="s">
        <v>8899</v>
      </c>
      <c r="F1189" s="12" t="s">
        <v>389</v>
      </c>
      <c r="G1189" s="12" t="s">
        <v>2349</v>
      </c>
      <c r="H1189" s="12" t="s">
        <v>37</v>
      </c>
      <c r="I1189" s="12" t="s">
        <v>26</v>
      </c>
      <c r="J1189" s="13" t="s">
        <v>2334</v>
      </c>
      <c r="K1189" s="14" t="s">
        <v>8900</v>
      </c>
      <c r="L1189" s="15">
        <v>3</v>
      </c>
      <c r="M1189" s="15" t="s">
        <v>144</v>
      </c>
      <c r="N1189" s="16">
        <v>40458</v>
      </c>
      <c r="O1189" s="12" t="s">
        <v>307</v>
      </c>
      <c r="P1189" s="14" t="s">
        <v>8901</v>
      </c>
      <c r="Q1189" s="17" t="s">
        <v>137</v>
      </c>
      <c r="R1189" s="17" t="s">
        <v>146</v>
      </c>
    </row>
    <row r="1190" spans="1:18" x14ac:dyDescent="0.3">
      <c r="A1190" s="12" t="s">
        <v>8902</v>
      </c>
      <c r="B1190" s="12" t="s">
        <v>12</v>
      </c>
      <c r="C1190" s="12"/>
      <c r="D1190" s="12" t="s">
        <v>12</v>
      </c>
      <c r="E1190" s="12" t="s">
        <v>8878</v>
      </c>
      <c r="F1190" s="12" t="s">
        <v>1204</v>
      </c>
      <c r="G1190" s="12" t="s">
        <v>2349</v>
      </c>
      <c r="H1190" s="12" t="s">
        <v>37</v>
      </c>
      <c r="I1190" s="12" t="s">
        <v>26</v>
      </c>
      <c r="J1190" s="13" t="s">
        <v>2334</v>
      </c>
      <c r="K1190" s="14" t="s">
        <v>8903</v>
      </c>
      <c r="L1190" s="15">
        <v>6</v>
      </c>
      <c r="M1190" s="15" t="s">
        <v>144</v>
      </c>
      <c r="N1190" s="16">
        <v>44065</v>
      </c>
      <c r="O1190" s="12" t="s">
        <v>8904</v>
      </c>
      <c r="P1190" s="14" t="s">
        <v>8905</v>
      </c>
      <c r="Q1190" s="17" t="s">
        <v>137</v>
      </c>
      <c r="R1190" s="17" t="s">
        <v>146</v>
      </c>
    </row>
    <row r="1191" spans="1:18" x14ac:dyDescent="0.3">
      <c r="A1191" s="12" t="s">
        <v>8906</v>
      </c>
      <c r="B1191" s="12" t="s">
        <v>12</v>
      </c>
      <c r="C1191" s="12"/>
      <c r="D1191" s="12" t="s">
        <v>12</v>
      </c>
      <c r="E1191" s="12" t="s">
        <v>8907</v>
      </c>
      <c r="F1191" s="12"/>
      <c r="G1191" s="12" t="s">
        <v>8908</v>
      </c>
      <c r="H1191" s="12" t="s">
        <v>47</v>
      </c>
      <c r="I1191" s="12" t="s">
        <v>26</v>
      </c>
      <c r="J1191" s="13" t="s">
        <v>8909</v>
      </c>
      <c r="K1191" s="14" t="s">
        <v>8910</v>
      </c>
      <c r="L1191" s="15">
        <v>2</v>
      </c>
      <c r="M1191" s="15" t="s">
        <v>144</v>
      </c>
      <c r="N1191" s="16">
        <v>40185</v>
      </c>
      <c r="O1191" s="12" t="s">
        <v>8911</v>
      </c>
      <c r="P1191" s="14" t="s">
        <v>8912</v>
      </c>
      <c r="Q1191" s="17" t="s">
        <v>137</v>
      </c>
      <c r="R1191" s="17" t="s">
        <v>146</v>
      </c>
    </row>
    <row r="1192" spans="1:18" x14ac:dyDescent="0.3">
      <c r="A1192" s="12" t="s">
        <v>8913</v>
      </c>
      <c r="B1192" s="12" t="s">
        <v>12</v>
      </c>
      <c r="C1192" s="12"/>
      <c r="D1192" s="12" t="s">
        <v>12</v>
      </c>
      <c r="E1192" s="12" t="s">
        <v>8914</v>
      </c>
      <c r="F1192" s="12" t="s">
        <v>8915</v>
      </c>
      <c r="G1192" s="12" t="s">
        <v>8908</v>
      </c>
      <c r="H1192" s="12" t="s">
        <v>47</v>
      </c>
      <c r="I1192" s="12" t="s">
        <v>26</v>
      </c>
      <c r="J1192" s="13" t="s">
        <v>8909</v>
      </c>
      <c r="K1192" s="14" t="s">
        <v>8916</v>
      </c>
      <c r="L1192" s="15">
        <v>1</v>
      </c>
      <c r="M1192" s="15" t="s">
        <v>144</v>
      </c>
      <c r="N1192" s="16">
        <v>39339</v>
      </c>
      <c r="O1192" s="12" t="s">
        <v>8913</v>
      </c>
      <c r="P1192" s="14" t="s">
        <v>8917</v>
      </c>
      <c r="Q1192" s="17" t="s">
        <v>137</v>
      </c>
      <c r="R1192" s="17" t="s">
        <v>146</v>
      </c>
    </row>
    <row r="1193" spans="1:18" x14ac:dyDescent="0.3">
      <c r="A1193" s="12" t="s">
        <v>5329</v>
      </c>
      <c r="B1193" s="12" t="s">
        <v>12</v>
      </c>
      <c r="C1193" s="12"/>
      <c r="D1193" s="12" t="s">
        <v>12</v>
      </c>
      <c r="E1193" s="12" t="s">
        <v>8918</v>
      </c>
      <c r="F1193" s="12"/>
      <c r="G1193" s="12" t="s">
        <v>8919</v>
      </c>
      <c r="H1193" s="12" t="s">
        <v>47</v>
      </c>
      <c r="I1193" s="12" t="s">
        <v>26</v>
      </c>
      <c r="J1193" s="13" t="s">
        <v>8920</v>
      </c>
      <c r="K1193" s="14" t="s">
        <v>8921</v>
      </c>
      <c r="L1193" s="15">
        <v>0</v>
      </c>
      <c r="M1193" s="15" t="s">
        <v>144</v>
      </c>
      <c r="N1193" s="16">
        <v>44065</v>
      </c>
      <c r="O1193" s="12" t="s">
        <v>5329</v>
      </c>
      <c r="P1193" s="14" t="s">
        <v>8922</v>
      </c>
      <c r="Q1193" s="17" t="s">
        <v>137</v>
      </c>
      <c r="R1193" s="17" t="s">
        <v>146</v>
      </c>
    </row>
    <row r="1194" spans="1:18" x14ac:dyDescent="0.3">
      <c r="A1194" s="12" t="s">
        <v>5374</v>
      </c>
      <c r="B1194" s="12" t="s">
        <v>12</v>
      </c>
      <c r="C1194" s="12"/>
      <c r="D1194" s="12" t="s">
        <v>12</v>
      </c>
      <c r="E1194" s="12" t="s">
        <v>8918</v>
      </c>
      <c r="F1194" s="12"/>
      <c r="G1194" s="12" t="s">
        <v>8919</v>
      </c>
      <c r="H1194" s="12" t="s">
        <v>47</v>
      </c>
      <c r="I1194" s="12" t="s">
        <v>26</v>
      </c>
      <c r="J1194" s="13" t="s">
        <v>8920</v>
      </c>
      <c r="K1194" s="14" t="s">
        <v>8921</v>
      </c>
      <c r="L1194" s="15">
        <v>0</v>
      </c>
      <c r="M1194" s="15" t="s">
        <v>144</v>
      </c>
      <c r="N1194" s="16">
        <v>44065</v>
      </c>
      <c r="O1194" s="12" t="s">
        <v>5374</v>
      </c>
      <c r="P1194" s="14" t="s">
        <v>8923</v>
      </c>
      <c r="Q1194" s="17" t="s">
        <v>137</v>
      </c>
      <c r="R1194" s="17" t="s">
        <v>146</v>
      </c>
    </row>
    <row r="1195" spans="1:18" x14ac:dyDescent="0.3">
      <c r="A1195" s="12" t="s">
        <v>8924</v>
      </c>
      <c r="B1195" s="12" t="s">
        <v>12</v>
      </c>
      <c r="C1195" s="12"/>
      <c r="D1195" s="12" t="s">
        <v>12</v>
      </c>
      <c r="E1195" s="12" t="s">
        <v>8925</v>
      </c>
      <c r="F1195" s="12"/>
      <c r="G1195" s="12" t="s">
        <v>8919</v>
      </c>
      <c r="H1195" s="12" t="s">
        <v>47</v>
      </c>
      <c r="I1195" s="12" t="s">
        <v>26</v>
      </c>
      <c r="J1195" s="13" t="s">
        <v>8920</v>
      </c>
      <c r="K1195" s="14" t="s">
        <v>8926</v>
      </c>
      <c r="L1195" s="15">
        <v>1</v>
      </c>
      <c r="M1195" s="15" t="s">
        <v>144</v>
      </c>
      <c r="N1195" s="16">
        <v>40023</v>
      </c>
      <c r="O1195" s="12" t="s">
        <v>8924</v>
      </c>
      <c r="P1195" s="14" t="s">
        <v>8927</v>
      </c>
      <c r="Q1195" s="17" t="s">
        <v>137</v>
      </c>
      <c r="R1195" s="17" t="s">
        <v>146</v>
      </c>
    </row>
    <row r="1196" spans="1:18" x14ac:dyDescent="0.3">
      <c r="A1196" s="12" t="s">
        <v>8928</v>
      </c>
      <c r="B1196" s="12" t="s">
        <v>12</v>
      </c>
      <c r="C1196" s="12"/>
      <c r="D1196" s="12" t="s">
        <v>12</v>
      </c>
      <c r="E1196" s="12" t="s">
        <v>8929</v>
      </c>
      <c r="F1196" s="12" t="s">
        <v>188</v>
      </c>
      <c r="G1196" s="12" t="s">
        <v>2392</v>
      </c>
      <c r="H1196" s="12" t="s">
        <v>47</v>
      </c>
      <c r="I1196" s="12" t="s">
        <v>26</v>
      </c>
      <c r="J1196" s="13" t="s">
        <v>2393</v>
      </c>
      <c r="K1196" s="14" t="s">
        <v>8930</v>
      </c>
      <c r="L1196" s="15">
        <v>0</v>
      </c>
      <c r="M1196" s="15" t="s">
        <v>144</v>
      </c>
      <c r="N1196" s="16">
        <v>44065</v>
      </c>
      <c r="O1196" s="12" t="s">
        <v>8928</v>
      </c>
      <c r="P1196" s="14" t="s">
        <v>8931</v>
      </c>
      <c r="Q1196" s="17" t="s">
        <v>137</v>
      </c>
      <c r="R1196" s="17" t="s">
        <v>146</v>
      </c>
    </row>
    <row r="1197" spans="1:18" x14ac:dyDescent="0.3">
      <c r="A1197" s="12" t="s">
        <v>8932</v>
      </c>
      <c r="B1197" s="12" t="s">
        <v>12</v>
      </c>
      <c r="C1197" s="12"/>
      <c r="D1197" s="12" t="s">
        <v>12</v>
      </c>
      <c r="E1197" s="12" t="s">
        <v>8933</v>
      </c>
      <c r="F1197" s="12"/>
      <c r="G1197" s="12" t="s">
        <v>2392</v>
      </c>
      <c r="H1197" s="12" t="s">
        <v>47</v>
      </c>
      <c r="I1197" s="12" t="s">
        <v>26</v>
      </c>
      <c r="J1197" s="13" t="s">
        <v>2393</v>
      </c>
      <c r="K1197" s="14" t="s">
        <v>8934</v>
      </c>
      <c r="L1197" s="15">
        <v>2</v>
      </c>
      <c r="M1197" s="15" t="s">
        <v>144</v>
      </c>
      <c r="N1197" s="16">
        <v>42046</v>
      </c>
      <c r="O1197" s="12" t="s">
        <v>8932</v>
      </c>
      <c r="P1197" s="14" t="s">
        <v>8935</v>
      </c>
      <c r="Q1197" s="17" t="s">
        <v>137</v>
      </c>
      <c r="R1197" s="17" t="s">
        <v>146</v>
      </c>
    </row>
    <row r="1198" spans="1:18" x14ac:dyDescent="0.3">
      <c r="A1198" s="12" t="s">
        <v>8936</v>
      </c>
      <c r="B1198" s="12" t="s">
        <v>12</v>
      </c>
      <c r="C1198" s="12"/>
      <c r="D1198" s="12" t="s">
        <v>12</v>
      </c>
      <c r="E1198" s="12" t="s">
        <v>8937</v>
      </c>
      <c r="F1198" s="12" t="s">
        <v>454</v>
      </c>
      <c r="G1198" s="12" t="s">
        <v>8938</v>
      </c>
      <c r="H1198" s="12" t="s">
        <v>47</v>
      </c>
      <c r="I1198" s="12" t="s">
        <v>26</v>
      </c>
      <c r="J1198" s="13" t="s">
        <v>2387</v>
      </c>
      <c r="K1198" s="14" t="s">
        <v>8939</v>
      </c>
      <c r="L1198" s="15">
        <v>0</v>
      </c>
      <c r="M1198" s="15" t="s">
        <v>144</v>
      </c>
      <c r="N1198" s="16">
        <v>44065</v>
      </c>
      <c r="O1198" s="12" t="s">
        <v>8936</v>
      </c>
      <c r="P1198" s="14" t="s">
        <v>8940</v>
      </c>
      <c r="Q1198" s="17" t="s">
        <v>137</v>
      </c>
      <c r="R1198" s="17" t="s">
        <v>146</v>
      </c>
    </row>
    <row r="1199" spans="1:18" x14ac:dyDescent="0.3">
      <c r="A1199" s="12" t="s">
        <v>8941</v>
      </c>
      <c r="B1199" s="12" t="s">
        <v>14</v>
      </c>
      <c r="C1199" s="12"/>
      <c r="D1199" s="12" t="s">
        <v>14</v>
      </c>
      <c r="E1199" s="12" t="s">
        <v>8942</v>
      </c>
      <c r="F1199" s="12"/>
      <c r="G1199" s="12" t="s">
        <v>3911</v>
      </c>
      <c r="H1199" s="12" t="s">
        <v>47</v>
      </c>
      <c r="I1199" s="12" t="s">
        <v>26</v>
      </c>
      <c r="J1199" s="13" t="s">
        <v>3912</v>
      </c>
      <c r="K1199" s="14" t="s">
        <v>8943</v>
      </c>
      <c r="L1199" s="15">
        <v>2</v>
      </c>
      <c r="M1199" s="15" t="s">
        <v>144</v>
      </c>
      <c r="N1199" s="16">
        <v>39464</v>
      </c>
      <c r="O1199" s="12" t="s">
        <v>8941</v>
      </c>
      <c r="P1199" s="14" t="s">
        <v>8944</v>
      </c>
      <c r="Q1199" s="17" t="s">
        <v>137</v>
      </c>
      <c r="R1199" s="17" t="s">
        <v>146</v>
      </c>
    </row>
    <row r="1200" spans="1:18" x14ac:dyDescent="0.3">
      <c r="A1200" s="12" t="s">
        <v>8945</v>
      </c>
      <c r="B1200" s="12" t="s">
        <v>12</v>
      </c>
      <c r="C1200" s="12"/>
      <c r="D1200" s="12" t="s">
        <v>12</v>
      </c>
      <c r="E1200" s="12" t="s">
        <v>8946</v>
      </c>
      <c r="F1200" s="12"/>
      <c r="G1200" s="12" t="s">
        <v>3911</v>
      </c>
      <c r="H1200" s="12" t="s">
        <v>47</v>
      </c>
      <c r="I1200" s="12" t="s">
        <v>26</v>
      </c>
      <c r="J1200" s="13" t="s">
        <v>3912</v>
      </c>
      <c r="K1200" s="14" t="s">
        <v>8947</v>
      </c>
      <c r="L1200" s="15">
        <v>3</v>
      </c>
      <c r="M1200" s="15" t="s">
        <v>144</v>
      </c>
      <c r="N1200" s="16">
        <v>43152</v>
      </c>
      <c r="O1200" s="12" t="s">
        <v>8945</v>
      </c>
      <c r="P1200" s="14" t="s">
        <v>8948</v>
      </c>
      <c r="Q1200" s="17" t="s">
        <v>137</v>
      </c>
      <c r="R1200" s="17" t="s">
        <v>146</v>
      </c>
    </row>
    <row r="1201" spans="1:18" x14ac:dyDescent="0.3">
      <c r="A1201" s="12" t="s">
        <v>8949</v>
      </c>
      <c r="B1201" s="12" t="s">
        <v>12</v>
      </c>
      <c r="C1201" s="12"/>
      <c r="D1201" s="12" t="s">
        <v>12</v>
      </c>
      <c r="E1201" s="12" t="s">
        <v>8950</v>
      </c>
      <c r="F1201" s="12" t="s">
        <v>1163</v>
      </c>
      <c r="G1201" s="12" t="s">
        <v>2398</v>
      </c>
      <c r="H1201" s="12" t="s">
        <v>47</v>
      </c>
      <c r="I1201" s="12" t="s">
        <v>26</v>
      </c>
      <c r="J1201" s="13" t="s">
        <v>2399</v>
      </c>
      <c r="K1201" s="14" t="s">
        <v>8951</v>
      </c>
      <c r="L1201" s="15">
        <v>3</v>
      </c>
      <c r="M1201" s="15" t="s">
        <v>144</v>
      </c>
      <c r="N1201" s="16">
        <v>41730</v>
      </c>
      <c r="O1201" s="12" t="s">
        <v>8949</v>
      </c>
      <c r="P1201" s="14" t="s">
        <v>8952</v>
      </c>
      <c r="Q1201" s="17" t="s">
        <v>137</v>
      </c>
      <c r="R1201" s="17" t="s">
        <v>146</v>
      </c>
    </row>
    <row r="1202" spans="1:18" x14ac:dyDescent="0.3">
      <c r="A1202" s="12" t="s">
        <v>8953</v>
      </c>
      <c r="B1202" s="12" t="s">
        <v>12</v>
      </c>
      <c r="C1202" s="12"/>
      <c r="D1202" s="12" t="s">
        <v>12</v>
      </c>
      <c r="E1202" s="12" t="s">
        <v>8954</v>
      </c>
      <c r="F1202" s="12"/>
      <c r="G1202" s="12" t="s">
        <v>2398</v>
      </c>
      <c r="H1202" s="12" t="s">
        <v>47</v>
      </c>
      <c r="I1202" s="12" t="s">
        <v>26</v>
      </c>
      <c r="J1202" s="13" t="s">
        <v>2399</v>
      </c>
      <c r="K1202" s="14" t="s">
        <v>8955</v>
      </c>
      <c r="L1202" s="15">
        <v>0</v>
      </c>
      <c r="M1202" s="15" t="s">
        <v>144</v>
      </c>
      <c r="N1202" s="16">
        <v>40295</v>
      </c>
      <c r="O1202" s="12" t="s">
        <v>8953</v>
      </c>
      <c r="P1202" s="14" t="s">
        <v>8956</v>
      </c>
      <c r="Q1202" s="17" t="s">
        <v>137</v>
      </c>
      <c r="R1202" s="17" t="s">
        <v>146</v>
      </c>
    </row>
    <row r="1203" spans="1:18" x14ac:dyDescent="0.3">
      <c r="A1203" s="12" t="s">
        <v>8957</v>
      </c>
      <c r="B1203" s="12" t="s">
        <v>12</v>
      </c>
      <c r="C1203" s="12"/>
      <c r="D1203" s="12" t="s">
        <v>12</v>
      </c>
      <c r="E1203" s="12" t="s">
        <v>8958</v>
      </c>
      <c r="F1203" s="12"/>
      <c r="G1203" s="12" t="s">
        <v>2398</v>
      </c>
      <c r="H1203" s="12" t="s">
        <v>47</v>
      </c>
      <c r="I1203" s="12" t="s">
        <v>26</v>
      </c>
      <c r="J1203" s="13" t="s">
        <v>2399</v>
      </c>
      <c r="K1203" s="14" t="s">
        <v>8959</v>
      </c>
      <c r="L1203" s="15">
        <v>0</v>
      </c>
      <c r="M1203" s="15" t="s">
        <v>144</v>
      </c>
      <c r="N1203" s="16">
        <v>42627</v>
      </c>
      <c r="O1203" s="12" t="s">
        <v>8960</v>
      </c>
      <c r="P1203" s="14" t="s">
        <v>8961</v>
      </c>
      <c r="Q1203" s="17" t="s">
        <v>137</v>
      </c>
      <c r="R1203" s="17" t="s">
        <v>146</v>
      </c>
    </row>
    <row r="1204" spans="1:18" x14ac:dyDescent="0.3">
      <c r="A1204" s="12" t="s">
        <v>8962</v>
      </c>
      <c r="B1204" s="12" t="s">
        <v>12</v>
      </c>
      <c r="C1204" s="12"/>
      <c r="D1204" s="12" t="s">
        <v>12</v>
      </c>
      <c r="E1204" s="12" t="s">
        <v>8963</v>
      </c>
      <c r="F1204" s="12" t="s">
        <v>8964</v>
      </c>
      <c r="G1204" s="12" t="s">
        <v>2398</v>
      </c>
      <c r="H1204" s="12" t="s">
        <v>47</v>
      </c>
      <c r="I1204" s="12" t="s">
        <v>26</v>
      </c>
      <c r="J1204" s="13" t="s">
        <v>2399</v>
      </c>
      <c r="K1204" s="14" t="s">
        <v>8965</v>
      </c>
      <c r="L1204" s="15">
        <v>1</v>
      </c>
      <c r="M1204" s="15" t="s">
        <v>144</v>
      </c>
      <c r="N1204" s="16">
        <v>39549</v>
      </c>
      <c r="O1204" s="12" t="s">
        <v>8962</v>
      </c>
      <c r="P1204" s="14" t="s">
        <v>8966</v>
      </c>
      <c r="Q1204" s="17" t="s">
        <v>137</v>
      </c>
      <c r="R1204" s="17" t="s">
        <v>146</v>
      </c>
    </row>
    <row r="1205" spans="1:18" x14ac:dyDescent="0.3">
      <c r="A1205" s="12" t="s">
        <v>8967</v>
      </c>
      <c r="B1205" s="12" t="s">
        <v>14</v>
      </c>
      <c r="C1205" s="12"/>
      <c r="D1205" s="12" t="s">
        <v>14</v>
      </c>
      <c r="E1205" s="12" t="s">
        <v>8968</v>
      </c>
      <c r="F1205" s="12"/>
      <c r="G1205" s="12" t="s">
        <v>2398</v>
      </c>
      <c r="H1205" s="12" t="s">
        <v>47</v>
      </c>
      <c r="I1205" s="12" t="s">
        <v>26</v>
      </c>
      <c r="J1205" s="13" t="s">
        <v>2399</v>
      </c>
      <c r="K1205" s="14" t="s">
        <v>8969</v>
      </c>
      <c r="L1205" s="15">
        <v>1</v>
      </c>
      <c r="M1205" s="15" t="s">
        <v>144</v>
      </c>
      <c r="N1205" s="16">
        <v>40086</v>
      </c>
      <c r="O1205" s="12" t="s">
        <v>8967</v>
      </c>
      <c r="P1205" s="14" t="s">
        <v>8970</v>
      </c>
      <c r="Q1205" s="17" t="s">
        <v>137</v>
      </c>
      <c r="R1205" s="17" t="s">
        <v>146</v>
      </c>
    </row>
    <row r="1206" spans="1:18" x14ac:dyDescent="0.3">
      <c r="A1206" s="12" t="s">
        <v>8971</v>
      </c>
      <c r="B1206" s="12" t="s">
        <v>12</v>
      </c>
      <c r="C1206" s="12"/>
      <c r="D1206" s="12" t="s">
        <v>12</v>
      </c>
      <c r="E1206" s="12" t="s">
        <v>8968</v>
      </c>
      <c r="F1206" s="12"/>
      <c r="G1206" s="12" t="s">
        <v>2398</v>
      </c>
      <c r="H1206" s="12" t="s">
        <v>47</v>
      </c>
      <c r="I1206" s="12" t="s">
        <v>26</v>
      </c>
      <c r="J1206" s="13" t="s">
        <v>2399</v>
      </c>
      <c r="K1206" s="14" t="s">
        <v>8969</v>
      </c>
      <c r="L1206" s="15">
        <v>3</v>
      </c>
      <c r="M1206" s="15" t="s">
        <v>144</v>
      </c>
      <c r="N1206" s="16">
        <v>43892</v>
      </c>
      <c r="O1206" s="12" t="s">
        <v>8971</v>
      </c>
      <c r="P1206" s="14" t="s">
        <v>8972</v>
      </c>
      <c r="Q1206" s="17" t="s">
        <v>137</v>
      </c>
      <c r="R1206" s="17" t="s">
        <v>146</v>
      </c>
    </row>
    <row r="1207" spans="1:18" x14ac:dyDescent="0.3">
      <c r="A1207" s="12" t="s">
        <v>8973</v>
      </c>
      <c r="B1207" s="12" t="s">
        <v>12</v>
      </c>
      <c r="C1207" s="12"/>
      <c r="D1207" s="12" t="s">
        <v>12</v>
      </c>
      <c r="E1207" s="12" t="s">
        <v>8950</v>
      </c>
      <c r="F1207" s="12" t="s">
        <v>1163</v>
      </c>
      <c r="G1207" s="12" t="s">
        <v>2398</v>
      </c>
      <c r="H1207" s="12" t="s">
        <v>47</v>
      </c>
      <c r="I1207" s="12" t="s">
        <v>26</v>
      </c>
      <c r="J1207" s="13" t="s">
        <v>2399</v>
      </c>
      <c r="K1207" s="14" t="s">
        <v>8951</v>
      </c>
      <c r="L1207" s="15">
        <v>3</v>
      </c>
      <c r="M1207" s="15" t="s">
        <v>144</v>
      </c>
      <c r="N1207" s="16">
        <v>42017</v>
      </c>
      <c r="O1207" s="12" t="s">
        <v>8974</v>
      </c>
      <c r="P1207" s="14" t="s">
        <v>8975</v>
      </c>
      <c r="Q1207" s="17" t="s">
        <v>137</v>
      </c>
      <c r="R1207" s="17" t="s">
        <v>146</v>
      </c>
    </row>
    <row r="1208" spans="1:18" x14ac:dyDescent="0.3">
      <c r="A1208" s="12" t="s">
        <v>8976</v>
      </c>
      <c r="B1208" s="12" t="s">
        <v>12</v>
      </c>
      <c r="C1208" s="12"/>
      <c r="D1208" s="12" t="s">
        <v>12</v>
      </c>
      <c r="E1208" s="12" t="s">
        <v>8977</v>
      </c>
      <c r="F1208" s="12"/>
      <c r="G1208" s="12" t="s">
        <v>2398</v>
      </c>
      <c r="H1208" s="12" t="s">
        <v>47</v>
      </c>
      <c r="I1208" s="12" t="s">
        <v>26</v>
      </c>
      <c r="J1208" s="13" t="s">
        <v>2399</v>
      </c>
      <c r="K1208" s="14" t="s">
        <v>8951</v>
      </c>
      <c r="L1208" s="15">
        <v>3</v>
      </c>
      <c r="M1208" s="15" t="s">
        <v>144</v>
      </c>
      <c r="N1208" s="16">
        <v>44065</v>
      </c>
      <c r="O1208" s="12" t="s">
        <v>8976</v>
      </c>
      <c r="P1208" s="14" t="s">
        <v>8978</v>
      </c>
      <c r="Q1208" s="17" t="s">
        <v>137</v>
      </c>
      <c r="R1208" s="17" t="s">
        <v>146</v>
      </c>
    </row>
    <row r="1209" spans="1:18" x14ac:dyDescent="0.3">
      <c r="A1209" s="12" t="s">
        <v>8979</v>
      </c>
      <c r="B1209" s="12" t="s">
        <v>14</v>
      </c>
      <c r="C1209" s="12"/>
      <c r="D1209" s="12" t="s">
        <v>14</v>
      </c>
      <c r="E1209" s="12" t="s">
        <v>8977</v>
      </c>
      <c r="F1209" s="12"/>
      <c r="G1209" s="12" t="s">
        <v>2398</v>
      </c>
      <c r="H1209" s="12" t="s">
        <v>47</v>
      </c>
      <c r="I1209" s="12" t="s">
        <v>26</v>
      </c>
      <c r="J1209" s="13" t="s">
        <v>2399</v>
      </c>
      <c r="K1209" s="14" t="s">
        <v>8980</v>
      </c>
      <c r="L1209" s="15">
        <v>3</v>
      </c>
      <c r="M1209" s="15" t="s">
        <v>144</v>
      </c>
      <c r="N1209" s="16">
        <v>39338</v>
      </c>
      <c r="O1209" s="12" t="s">
        <v>8981</v>
      </c>
      <c r="P1209" s="14" t="s">
        <v>8982</v>
      </c>
      <c r="Q1209" s="17" t="s">
        <v>137</v>
      </c>
      <c r="R1209" s="17" t="s">
        <v>146</v>
      </c>
    </row>
    <row r="1210" spans="1:18" x14ac:dyDescent="0.3">
      <c r="A1210" s="12" t="s">
        <v>8983</v>
      </c>
      <c r="B1210" s="12" t="s">
        <v>12</v>
      </c>
      <c r="C1210" s="12"/>
      <c r="D1210" s="12" t="s">
        <v>12</v>
      </c>
      <c r="E1210" s="12" t="s">
        <v>8984</v>
      </c>
      <c r="F1210" s="12" t="s">
        <v>2218</v>
      </c>
      <c r="G1210" s="12" t="s">
        <v>2398</v>
      </c>
      <c r="H1210" s="12" t="s">
        <v>47</v>
      </c>
      <c r="I1210" s="12" t="s">
        <v>26</v>
      </c>
      <c r="J1210" s="13" t="s">
        <v>2399</v>
      </c>
      <c r="K1210" s="14" t="s">
        <v>8985</v>
      </c>
      <c r="L1210" s="15">
        <v>0</v>
      </c>
      <c r="M1210" s="15" t="s">
        <v>144</v>
      </c>
      <c r="N1210" s="16">
        <v>39637</v>
      </c>
      <c r="O1210" s="12" t="s">
        <v>8983</v>
      </c>
      <c r="P1210" s="14" t="s">
        <v>8986</v>
      </c>
      <c r="Q1210" s="17" t="s">
        <v>137</v>
      </c>
      <c r="R1210" s="17" t="s">
        <v>146</v>
      </c>
    </row>
    <row r="1211" spans="1:18" x14ac:dyDescent="0.3">
      <c r="A1211" s="12" t="s">
        <v>8987</v>
      </c>
      <c r="B1211" s="12" t="s">
        <v>12</v>
      </c>
      <c r="C1211" s="12"/>
      <c r="D1211" s="12" t="s">
        <v>12</v>
      </c>
      <c r="E1211" s="12" t="s">
        <v>8988</v>
      </c>
      <c r="F1211" s="12" t="s">
        <v>8989</v>
      </c>
      <c r="G1211" s="12" t="s">
        <v>2398</v>
      </c>
      <c r="H1211" s="12" t="s">
        <v>47</v>
      </c>
      <c r="I1211" s="12" t="s">
        <v>26</v>
      </c>
      <c r="J1211" s="13" t="s">
        <v>2399</v>
      </c>
      <c r="K1211" s="14" t="s">
        <v>8990</v>
      </c>
      <c r="L1211" s="15">
        <v>3</v>
      </c>
      <c r="M1211" s="15" t="s">
        <v>144</v>
      </c>
      <c r="N1211" s="16">
        <v>44378</v>
      </c>
      <c r="O1211" s="12" t="s">
        <v>8987</v>
      </c>
      <c r="P1211" s="14" t="s">
        <v>8991</v>
      </c>
      <c r="Q1211" s="17" t="s">
        <v>137</v>
      </c>
      <c r="R1211" s="17" t="s">
        <v>146</v>
      </c>
    </row>
    <row r="1212" spans="1:18" x14ac:dyDescent="0.3">
      <c r="A1212" s="12" t="s">
        <v>8992</v>
      </c>
      <c r="B1212" s="12" t="s">
        <v>12</v>
      </c>
      <c r="C1212" s="12"/>
      <c r="D1212" s="12" t="s">
        <v>12</v>
      </c>
      <c r="E1212" s="12" t="s">
        <v>8993</v>
      </c>
      <c r="F1212" s="12" t="s">
        <v>8994</v>
      </c>
      <c r="G1212" s="12" t="s">
        <v>2398</v>
      </c>
      <c r="H1212" s="12" t="s">
        <v>47</v>
      </c>
      <c r="I1212" s="12" t="s">
        <v>26</v>
      </c>
      <c r="J1212" s="13" t="s">
        <v>2399</v>
      </c>
      <c r="K1212" s="14" t="s">
        <v>8995</v>
      </c>
      <c r="L1212" s="15">
        <v>1</v>
      </c>
      <c r="M1212" s="15" t="s">
        <v>144</v>
      </c>
      <c r="N1212" s="16">
        <v>44533</v>
      </c>
      <c r="O1212" s="12" t="s">
        <v>8992</v>
      </c>
      <c r="P1212" s="14" t="s">
        <v>8996</v>
      </c>
      <c r="Q1212" s="17" t="s">
        <v>137</v>
      </c>
      <c r="R1212" s="17" t="s">
        <v>146</v>
      </c>
    </row>
    <row r="1213" spans="1:18" x14ac:dyDescent="0.3">
      <c r="A1213" s="12" t="s">
        <v>8997</v>
      </c>
      <c r="B1213" s="12" t="s">
        <v>12</v>
      </c>
      <c r="C1213" s="12"/>
      <c r="D1213" s="12" t="s">
        <v>12</v>
      </c>
      <c r="E1213" s="12" t="s">
        <v>8998</v>
      </c>
      <c r="F1213" s="12" t="s">
        <v>164</v>
      </c>
      <c r="G1213" s="12" t="s">
        <v>2398</v>
      </c>
      <c r="H1213" s="12" t="s">
        <v>47</v>
      </c>
      <c r="I1213" s="12" t="s">
        <v>26</v>
      </c>
      <c r="J1213" s="13" t="s">
        <v>2399</v>
      </c>
      <c r="K1213" s="14" t="s">
        <v>8999</v>
      </c>
      <c r="L1213" s="15">
        <v>2</v>
      </c>
      <c r="M1213" s="15" t="s">
        <v>144</v>
      </c>
      <c r="N1213" s="16">
        <v>39303</v>
      </c>
      <c r="O1213" s="12" t="s">
        <v>8997</v>
      </c>
      <c r="P1213" s="14" t="s">
        <v>9000</v>
      </c>
      <c r="Q1213" s="17" t="s">
        <v>137</v>
      </c>
      <c r="R1213" s="17" t="s">
        <v>146</v>
      </c>
    </row>
    <row r="1214" spans="1:18" x14ac:dyDescent="0.3">
      <c r="A1214" s="12" t="s">
        <v>9001</v>
      </c>
      <c r="B1214" s="12" t="s">
        <v>12</v>
      </c>
      <c r="C1214" s="12"/>
      <c r="D1214" s="12" t="s">
        <v>12</v>
      </c>
      <c r="E1214" s="12" t="s">
        <v>9002</v>
      </c>
      <c r="F1214" s="12"/>
      <c r="G1214" s="12" t="s">
        <v>2398</v>
      </c>
      <c r="H1214" s="12" t="s">
        <v>47</v>
      </c>
      <c r="I1214" s="12" t="s">
        <v>26</v>
      </c>
      <c r="J1214" s="13" t="s">
        <v>2399</v>
      </c>
      <c r="K1214" s="14" t="s">
        <v>9003</v>
      </c>
      <c r="L1214" s="15">
        <v>2</v>
      </c>
      <c r="M1214" s="15" t="s">
        <v>144</v>
      </c>
      <c r="N1214" s="16">
        <v>41117</v>
      </c>
      <c r="O1214" s="12" t="s">
        <v>9004</v>
      </c>
      <c r="P1214" s="14" t="s">
        <v>9005</v>
      </c>
      <c r="Q1214" s="17" t="s">
        <v>137</v>
      </c>
      <c r="R1214" s="17" t="s">
        <v>146</v>
      </c>
    </row>
    <row r="1215" spans="1:18" x14ac:dyDescent="0.3">
      <c r="A1215" s="12" t="s">
        <v>9006</v>
      </c>
      <c r="B1215" s="12" t="s">
        <v>12</v>
      </c>
      <c r="C1215" s="12"/>
      <c r="D1215" s="12" t="s">
        <v>12</v>
      </c>
      <c r="E1215" s="12" t="s">
        <v>9007</v>
      </c>
      <c r="F1215" s="12" t="s">
        <v>1191</v>
      </c>
      <c r="G1215" s="12" t="s">
        <v>2398</v>
      </c>
      <c r="H1215" s="12" t="s">
        <v>47</v>
      </c>
      <c r="I1215" s="12" t="s">
        <v>26</v>
      </c>
      <c r="J1215" s="13" t="s">
        <v>2399</v>
      </c>
      <c r="K1215" s="14" t="s">
        <v>9008</v>
      </c>
      <c r="L1215" s="15">
        <v>1</v>
      </c>
      <c r="M1215" s="15" t="s">
        <v>144</v>
      </c>
      <c r="N1215" s="16">
        <v>42655</v>
      </c>
      <c r="O1215" s="12" t="s">
        <v>9009</v>
      </c>
      <c r="P1215" s="14" t="s">
        <v>9010</v>
      </c>
      <c r="Q1215" s="17" t="s">
        <v>137</v>
      </c>
      <c r="R1215" s="17" t="s">
        <v>146</v>
      </c>
    </row>
    <row r="1216" spans="1:18" x14ac:dyDescent="0.3">
      <c r="A1216" s="12" t="s">
        <v>9011</v>
      </c>
      <c r="B1216" s="12" t="s">
        <v>14</v>
      </c>
      <c r="C1216" s="12"/>
      <c r="D1216" s="12" t="s">
        <v>14</v>
      </c>
      <c r="E1216" s="12" t="s">
        <v>9012</v>
      </c>
      <c r="F1216" s="12"/>
      <c r="G1216" s="12" t="s">
        <v>2419</v>
      </c>
      <c r="H1216" s="12" t="s">
        <v>47</v>
      </c>
      <c r="I1216" s="12" t="s">
        <v>26</v>
      </c>
      <c r="J1216" s="13" t="s">
        <v>2420</v>
      </c>
      <c r="K1216" s="14" t="s">
        <v>9013</v>
      </c>
      <c r="L1216" s="15">
        <v>1</v>
      </c>
      <c r="M1216" s="15" t="s">
        <v>144</v>
      </c>
      <c r="N1216" s="16">
        <v>41646</v>
      </c>
      <c r="O1216" s="12" t="s">
        <v>9011</v>
      </c>
      <c r="P1216" s="14" t="s">
        <v>9014</v>
      </c>
      <c r="Q1216" s="17" t="s">
        <v>137</v>
      </c>
      <c r="R1216" s="17" t="s">
        <v>146</v>
      </c>
    </row>
    <row r="1217" spans="1:18" x14ac:dyDescent="0.3">
      <c r="A1217" s="12" t="s">
        <v>9015</v>
      </c>
      <c r="B1217" s="12" t="s">
        <v>14</v>
      </c>
      <c r="C1217" s="12"/>
      <c r="D1217" s="12" t="s">
        <v>14</v>
      </c>
      <c r="E1217" s="12" t="s">
        <v>9016</v>
      </c>
      <c r="F1217" s="12"/>
      <c r="G1217" s="12" t="s">
        <v>2419</v>
      </c>
      <c r="H1217" s="12" t="s">
        <v>47</v>
      </c>
      <c r="I1217" s="12" t="s">
        <v>26</v>
      </c>
      <c r="J1217" s="13" t="s">
        <v>2420</v>
      </c>
      <c r="K1217" s="14" t="s">
        <v>9017</v>
      </c>
      <c r="L1217" s="15">
        <v>1</v>
      </c>
      <c r="M1217" s="15" t="s">
        <v>144</v>
      </c>
      <c r="N1217" s="16">
        <v>39590</v>
      </c>
      <c r="O1217" s="12" t="s">
        <v>9018</v>
      </c>
      <c r="P1217" s="14" t="s">
        <v>9019</v>
      </c>
      <c r="Q1217" s="17" t="s">
        <v>137</v>
      </c>
      <c r="R1217" s="17" t="s">
        <v>146</v>
      </c>
    </row>
    <row r="1218" spans="1:18" x14ac:dyDescent="0.3">
      <c r="A1218" s="12" t="s">
        <v>9020</v>
      </c>
      <c r="B1218" s="12" t="s">
        <v>12</v>
      </c>
      <c r="C1218" s="12"/>
      <c r="D1218" s="12" t="s">
        <v>12</v>
      </c>
      <c r="E1218" s="12" t="s">
        <v>9021</v>
      </c>
      <c r="F1218" s="12"/>
      <c r="G1218" s="12" t="s">
        <v>2419</v>
      </c>
      <c r="H1218" s="12" t="s">
        <v>47</v>
      </c>
      <c r="I1218" s="12" t="s">
        <v>26</v>
      </c>
      <c r="J1218" s="13" t="s">
        <v>2420</v>
      </c>
      <c r="K1218" s="14" t="s">
        <v>9022</v>
      </c>
      <c r="L1218" s="15">
        <v>0</v>
      </c>
      <c r="M1218" s="15" t="s">
        <v>144</v>
      </c>
      <c r="N1218" s="16">
        <v>44065</v>
      </c>
      <c r="O1218" s="12" t="s">
        <v>9020</v>
      </c>
      <c r="P1218" s="14" t="s">
        <v>9023</v>
      </c>
      <c r="Q1218" s="17" t="s">
        <v>137</v>
      </c>
      <c r="R1218" s="17" t="s">
        <v>146</v>
      </c>
    </row>
    <row r="1219" spans="1:18" x14ac:dyDescent="0.3">
      <c r="A1219" s="12" t="s">
        <v>9024</v>
      </c>
      <c r="B1219" s="12" t="s">
        <v>12</v>
      </c>
      <c r="C1219" s="12"/>
      <c r="D1219" s="12" t="s">
        <v>12</v>
      </c>
      <c r="E1219" s="12" t="s">
        <v>9025</v>
      </c>
      <c r="F1219" s="12"/>
      <c r="G1219" s="12" t="s">
        <v>2419</v>
      </c>
      <c r="H1219" s="12" t="s">
        <v>47</v>
      </c>
      <c r="I1219" s="12" t="s">
        <v>26</v>
      </c>
      <c r="J1219" s="13" t="s">
        <v>2420</v>
      </c>
      <c r="K1219" s="14" t="s">
        <v>9026</v>
      </c>
      <c r="L1219" s="15">
        <v>1</v>
      </c>
      <c r="M1219" s="15" t="s">
        <v>144</v>
      </c>
      <c r="N1219" s="16">
        <v>44065</v>
      </c>
      <c r="O1219" s="12" t="s">
        <v>9024</v>
      </c>
      <c r="P1219" s="14" t="s">
        <v>9027</v>
      </c>
      <c r="Q1219" s="17" t="s">
        <v>137</v>
      </c>
      <c r="R1219" s="17" t="s">
        <v>146</v>
      </c>
    </row>
    <row r="1220" spans="1:18" x14ac:dyDescent="0.3">
      <c r="A1220" s="12" t="s">
        <v>9028</v>
      </c>
      <c r="B1220" s="12" t="s">
        <v>12</v>
      </c>
      <c r="C1220" s="12"/>
      <c r="D1220" s="12" t="s">
        <v>12</v>
      </c>
      <c r="E1220" s="12" t="s">
        <v>9021</v>
      </c>
      <c r="F1220" s="12"/>
      <c r="G1220" s="12" t="s">
        <v>2419</v>
      </c>
      <c r="H1220" s="12" t="s">
        <v>47</v>
      </c>
      <c r="I1220" s="12" t="s">
        <v>26</v>
      </c>
      <c r="J1220" s="13" t="s">
        <v>2420</v>
      </c>
      <c r="K1220" s="14" t="s">
        <v>9029</v>
      </c>
      <c r="L1220" s="15">
        <v>0</v>
      </c>
      <c r="M1220" s="15" t="s">
        <v>144</v>
      </c>
      <c r="N1220" s="16">
        <v>44545</v>
      </c>
      <c r="O1220" s="12" t="s">
        <v>9028</v>
      </c>
      <c r="P1220" s="14" t="s">
        <v>9030</v>
      </c>
      <c r="Q1220" s="17" t="s">
        <v>137</v>
      </c>
      <c r="R1220" s="17" t="s">
        <v>146</v>
      </c>
    </row>
    <row r="1221" spans="1:18" x14ac:dyDescent="0.3">
      <c r="A1221" s="12" t="s">
        <v>9031</v>
      </c>
      <c r="B1221" s="12" t="s">
        <v>12</v>
      </c>
      <c r="C1221" s="12"/>
      <c r="D1221" s="12" t="s">
        <v>12</v>
      </c>
      <c r="E1221" s="12" t="s">
        <v>9032</v>
      </c>
      <c r="F1221" s="12"/>
      <c r="G1221" s="12" t="s">
        <v>2419</v>
      </c>
      <c r="H1221" s="12" t="s">
        <v>47</v>
      </c>
      <c r="I1221" s="12" t="s">
        <v>26</v>
      </c>
      <c r="J1221" s="13" t="s">
        <v>2420</v>
      </c>
      <c r="K1221" s="14" t="s">
        <v>9033</v>
      </c>
      <c r="L1221" s="15">
        <v>1</v>
      </c>
      <c r="M1221" s="15" t="s">
        <v>144</v>
      </c>
      <c r="N1221" s="16">
        <v>41084</v>
      </c>
      <c r="O1221" s="12" t="s">
        <v>9034</v>
      </c>
      <c r="P1221" s="14" t="s">
        <v>9035</v>
      </c>
      <c r="Q1221" s="17" t="s">
        <v>137</v>
      </c>
      <c r="R1221" s="17" t="s">
        <v>146</v>
      </c>
    </row>
    <row r="1222" spans="1:18" x14ac:dyDescent="0.3">
      <c r="A1222" s="12" t="s">
        <v>9036</v>
      </c>
      <c r="B1222" s="12" t="s">
        <v>12</v>
      </c>
      <c r="C1222" s="12"/>
      <c r="D1222" s="12" t="s">
        <v>12</v>
      </c>
      <c r="E1222" s="12" t="s">
        <v>9037</v>
      </c>
      <c r="F1222" s="12" t="s">
        <v>359</v>
      </c>
      <c r="G1222" s="12" t="s">
        <v>2419</v>
      </c>
      <c r="H1222" s="12" t="s">
        <v>47</v>
      </c>
      <c r="I1222" s="12" t="s">
        <v>26</v>
      </c>
      <c r="J1222" s="13" t="s">
        <v>2420</v>
      </c>
      <c r="K1222" s="14" t="s">
        <v>9038</v>
      </c>
      <c r="L1222" s="15">
        <v>5</v>
      </c>
      <c r="M1222" s="15" t="s">
        <v>144</v>
      </c>
      <c r="N1222" s="16">
        <v>39735</v>
      </c>
      <c r="O1222" s="12" t="s">
        <v>9036</v>
      </c>
      <c r="P1222" s="14" t="s">
        <v>9039</v>
      </c>
      <c r="Q1222" s="17" t="s">
        <v>137</v>
      </c>
      <c r="R1222" s="17" t="s">
        <v>146</v>
      </c>
    </row>
    <row r="1223" spans="1:18" x14ac:dyDescent="0.3">
      <c r="A1223" s="12" t="s">
        <v>8437</v>
      </c>
      <c r="B1223" s="12" t="s">
        <v>12</v>
      </c>
      <c r="C1223" s="12"/>
      <c r="D1223" s="12" t="s">
        <v>12</v>
      </c>
      <c r="E1223" s="12" t="s">
        <v>9012</v>
      </c>
      <c r="F1223" s="12" t="s">
        <v>188</v>
      </c>
      <c r="G1223" s="12" t="s">
        <v>2419</v>
      </c>
      <c r="H1223" s="12" t="s">
        <v>47</v>
      </c>
      <c r="I1223" s="12" t="s">
        <v>26</v>
      </c>
      <c r="J1223" s="13" t="s">
        <v>2420</v>
      </c>
      <c r="K1223" s="14" t="s">
        <v>9040</v>
      </c>
      <c r="L1223" s="15">
        <v>10</v>
      </c>
      <c r="M1223" s="15" t="s">
        <v>144</v>
      </c>
      <c r="N1223" s="16">
        <v>44487</v>
      </c>
      <c r="O1223" s="12" t="s">
        <v>8440</v>
      </c>
      <c r="P1223" s="14" t="s">
        <v>8441</v>
      </c>
      <c r="Q1223" s="17" t="s">
        <v>137</v>
      </c>
      <c r="R1223" s="17" t="s">
        <v>146</v>
      </c>
    </row>
    <row r="1224" spans="1:18" x14ac:dyDescent="0.3">
      <c r="A1224" s="12" t="s">
        <v>9041</v>
      </c>
      <c r="B1224" s="12" t="s">
        <v>12</v>
      </c>
      <c r="C1224" s="12"/>
      <c r="D1224" s="12" t="s">
        <v>12</v>
      </c>
      <c r="E1224" s="12" t="s">
        <v>9012</v>
      </c>
      <c r="F1224" s="12" t="s">
        <v>447</v>
      </c>
      <c r="G1224" s="12" t="s">
        <v>2419</v>
      </c>
      <c r="H1224" s="12" t="s">
        <v>47</v>
      </c>
      <c r="I1224" s="12" t="s">
        <v>26</v>
      </c>
      <c r="J1224" s="13" t="s">
        <v>2420</v>
      </c>
      <c r="K1224" s="14" t="s">
        <v>9040</v>
      </c>
      <c r="L1224" s="15">
        <v>10</v>
      </c>
      <c r="M1224" s="15" t="s">
        <v>144</v>
      </c>
      <c r="N1224" s="16">
        <v>42354</v>
      </c>
      <c r="O1224" s="12" t="s">
        <v>9041</v>
      </c>
      <c r="P1224" s="14" t="s">
        <v>9042</v>
      </c>
      <c r="Q1224" s="17" t="s">
        <v>137</v>
      </c>
      <c r="R1224" s="17" t="s">
        <v>146</v>
      </c>
    </row>
    <row r="1225" spans="1:18" x14ac:dyDescent="0.3">
      <c r="A1225" s="12" t="s">
        <v>9043</v>
      </c>
      <c r="B1225" s="12" t="s">
        <v>12</v>
      </c>
      <c r="C1225" s="12"/>
      <c r="D1225" s="12" t="s">
        <v>12</v>
      </c>
      <c r="E1225" s="12" t="s">
        <v>9044</v>
      </c>
      <c r="F1225" s="12"/>
      <c r="G1225" s="12" t="s">
        <v>2419</v>
      </c>
      <c r="H1225" s="12" t="s">
        <v>47</v>
      </c>
      <c r="I1225" s="12" t="s">
        <v>26</v>
      </c>
      <c r="J1225" s="13" t="s">
        <v>2420</v>
      </c>
      <c r="K1225" s="14" t="s">
        <v>9045</v>
      </c>
      <c r="L1225" s="15">
        <v>0</v>
      </c>
      <c r="M1225" s="15" t="s">
        <v>144</v>
      </c>
      <c r="N1225" s="16">
        <v>44236</v>
      </c>
      <c r="O1225" s="12" t="s">
        <v>9043</v>
      </c>
      <c r="P1225" s="14" t="s">
        <v>9046</v>
      </c>
      <c r="Q1225" s="17" t="s">
        <v>137</v>
      </c>
      <c r="R1225" s="17" t="s">
        <v>146</v>
      </c>
    </row>
    <row r="1226" spans="1:18" x14ac:dyDescent="0.3">
      <c r="A1226" s="12" t="s">
        <v>9047</v>
      </c>
      <c r="B1226" s="12" t="s">
        <v>12</v>
      </c>
      <c r="C1226" s="12"/>
      <c r="D1226" s="12" t="s">
        <v>12</v>
      </c>
      <c r="E1226" s="12" t="s">
        <v>9037</v>
      </c>
      <c r="F1226" s="12" t="s">
        <v>9048</v>
      </c>
      <c r="G1226" s="12" t="s">
        <v>2419</v>
      </c>
      <c r="H1226" s="12" t="s">
        <v>47</v>
      </c>
      <c r="I1226" s="12" t="s">
        <v>26</v>
      </c>
      <c r="J1226" s="13" t="s">
        <v>2420</v>
      </c>
      <c r="K1226" s="14" t="s">
        <v>9049</v>
      </c>
      <c r="L1226" s="15">
        <v>5</v>
      </c>
      <c r="M1226" s="15" t="s">
        <v>144</v>
      </c>
      <c r="N1226" s="16">
        <v>41416</v>
      </c>
      <c r="O1226" s="12" t="s">
        <v>9047</v>
      </c>
      <c r="P1226" s="14" t="s">
        <v>9050</v>
      </c>
      <c r="Q1226" s="17" t="s">
        <v>137</v>
      </c>
      <c r="R1226" s="17" t="s">
        <v>146</v>
      </c>
    </row>
    <row r="1227" spans="1:18" x14ac:dyDescent="0.3">
      <c r="A1227" s="12" t="s">
        <v>9051</v>
      </c>
      <c r="B1227" s="12" t="s">
        <v>12</v>
      </c>
      <c r="C1227" s="12"/>
      <c r="D1227" s="12" t="s">
        <v>12</v>
      </c>
      <c r="E1227" s="12" t="s">
        <v>9052</v>
      </c>
      <c r="F1227" s="12"/>
      <c r="G1227" s="12" t="s">
        <v>2419</v>
      </c>
      <c r="H1227" s="12" t="s">
        <v>47</v>
      </c>
      <c r="I1227" s="12" t="s">
        <v>26</v>
      </c>
      <c r="J1227" s="13" t="s">
        <v>2420</v>
      </c>
      <c r="K1227" s="14" t="s">
        <v>9053</v>
      </c>
      <c r="L1227" s="15">
        <v>0</v>
      </c>
      <c r="M1227" s="15" t="s">
        <v>144</v>
      </c>
      <c r="N1227" s="16">
        <v>42348</v>
      </c>
      <c r="O1227" s="12" t="s">
        <v>9051</v>
      </c>
      <c r="P1227" s="14" t="s">
        <v>9054</v>
      </c>
      <c r="Q1227" s="17" t="s">
        <v>137</v>
      </c>
      <c r="R1227" s="17" t="s">
        <v>146</v>
      </c>
    </row>
    <row r="1228" spans="1:18" x14ac:dyDescent="0.3">
      <c r="A1228" s="12" t="s">
        <v>9055</v>
      </c>
      <c r="B1228" s="12" t="s">
        <v>14</v>
      </c>
      <c r="C1228" s="12"/>
      <c r="D1228" s="12" t="s">
        <v>14</v>
      </c>
      <c r="E1228" s="12" t="s">
        <v>9016</v>
      </c>
      <c r="F1228" s="12"/>
      <c r="G1228" s="12" t="s">
        <v>2419</v>
      </c>
      <c r="H1228" s="12" t="s">
        <v>47</v>
      </c>
      <c r="I1228" s="12" t="s">
        <v>26</v>
      </c>
      <c r="J1228" s="13" t="s">
        <v>2420</v>
      </c>
      <c r="K1228" s="14" t="s">
        <v>8980</v>
      </c>
      <c r="L1228" s="15">
        <v>1</v>
      </c>
      <c r="M1228" s="15" t="s">
        <v>144</v>
      </c>
      <c r="N1228" s="16">
        <v>40436</v>
      </c>
      <c r="O1228" s="12" t="s">
        <v>9055</v>
      </c>
      <c r="P1228" s="14" t="s">
        <v>9056</v>
      </c>
      <c r="Q1228" s="17" t="s">
        <v>137</v>
      </c>
      <c r="R1228" s="17" t="s">
        <v>146</v>
      </c>
    </row>
    <row r="1229" spans="1:18" x14ac:dyDescent="0.3">
      <c r="A1229" s="12" t="s">
        <v>9057</v>
      </c>
      <c r="B1229" s="12" t="s">
        <v>12</v>
      </c>
      <c r="C1229" s="12"/>
      <c r="D1229" s="12" t="s">
        <v>12</v>
      </c>
      <c r="E1229" s="12" t="s">
        <v>9058</v>
      </c>
      <c r="F1229" s="12"/>
      <c r="G1229" s="12" t="s">
        <v>2419</v>
      </c>
      <c r="H1229" s="12" t="s">
        <v>47</v>
      </c>
      <c r="I1229" s="12" t="s">
        <v>26</v>
      </c>
      <c r="J1229" s="13" t="s">
        <v>2420</v>
      </c>
      <c r="K1229" s="14" t="s">
        <v>9059</v>
      </c>
      <c r="L1229" s="15">
        <v>1</v>
      </c>
      <c r="M1229" s="15" t="s">
        <v>144</v>
      </c>
      <c r="N1229" s="16">
        <v>40565</v>
      </c>
      <c r="O1229" s="12" t="s">
        <v>9057</v>
      </c>
      <c r="P1229" s="14" t="s">
        <v>9060</v>
      </c>
      <c r="Q1229" s="17" t="s">
        <v>137</v>
      </c>
      <c r="R1229" s="17" t="s">
        <v>146</v>
      </c>
    </row>
    <row r="1230" spans="1:18" x14ac:dyDescent="0.3">
      <c r="A1230" s="12" t="s">
        <v>9061</v>
      </c>
      <c r="B1230" s="12" t="s">
        <v>10</v>
      </c>
      <c r="C1230" s="12"/>
      <c r="D1230" s="12" t="s">
        <v>157</v>
      </c>
      <c r="E1230" s="12" t="s">
        <v>9062</v>
      </c>
      <c r="F1230" s="12"/>
      <c r="G1230" s="12" t="s">
        <v>2419</v>
      </c>
      <c r="H1230" s="12" t="s">
        <v>47</v>
      </c>
      <c r="I1230" s="12" t="s">
        <v>26</v>
      </c>
      <c r="J1230" s="13" t="s">
        <v>2420</v>
      </c>
      <c r="K1230" s="14" t="s">
        <v>9063</v>
      </c>
      <c r="L1230" s="15">
        <v>0</v>
      </c>
      <c r="M1230" s="15" t="s">
        <v>144</v>
      </c>
      <c r="N1230" s="16">
        <v>40947</v>
      </c>
      <c r="O1230" s="12" t="s">
        <v>9061</v>
      </c>
      <c r="P1230" s="14" t="s">
        <v>9064</v>
      </c>
      <c r="Q1230" s="17" t="s">
        <v>137</v>
      </c>
      <c r="R1230" s="17" t="s">
        <v>146</v>
      </c>
    </row>
    <row r="1231" spans="1:18" x14ac:dyDescent="0.3">
      <c r="A1231" s="12" t="s">
        <v>9065</v>
      </c>
      <c r="B1231" s="12" t="s">
        <v>14</v>
      </c>
      <c r="C1231" s="12"/>
      <c r="D1231" s="12" t="s">
        <v>14</v>
      </c>
      <c r="E1231" s="12" t="s">
        <v>9066</v>
      </c>
      <c r="F1231" s="12" t="s">
        <v>1573</v>
      </c>
      <c r="G1231" s="12" t="s">
        <v>2419</v>
      </c>
      <c r="H1231" s="12" t="s">
        <v>47</v>
      </c>
      <c r="I1231" s="12" t="s">
        <v>26</v>
      </c>
      <c r="J1231" s="13" t="s">
        <v>2420</v>
      </c>
      <c r="K1231" s="14" t="s">
        <v>9067</v>
      </c>
      <c r="L1231" s="15">
        <v>1</v>
      </c>
      <c r="M1231" s="15" t="s">
        <v>144</v>
      </c>
      <c r="N1231" s="16">
        <v>43733</v>
      </c>
      <c r="O1231" s="12" t="s">
        <v>9065</v>
      </c>
      <c r="P1231" s="14" t="s">
        <v>9068</v>
      </c>
      <c r="Q1231" s="17" t="s">
        <v>137</v>
      </c>
      <c r="R1231" s="17" t="s">
        <v>146</v>
      </c>
    </row>
    <row r="1232" spans="1:18" x14ac:dyDescent="0.3">
      <c r="A1232" s="12" t="s">
        <v>9069</v>
      </c>
      <c r="B1232" s="12" t="s">
        <v>12</v>
      </c>
      <c r="C1232" s="12"/>
      <c r="D1232" s="12" t="s">
        <v>12</v>
      </c>
      <c r="E1232" s="12" t="s">
        <v>9070</v>
      </c>
      <c r="F1232" s="12" t="s">
        <v>9071</v>
      </c>
      <c r="G1232" s="12" t="s">
        <v>2419</v>
      </c>
      <c r="H1232" s="12" t="s">
        <v>47</v>
      </c>
      <c r="I1232" s="12" t="s">
        <v>26</v>
      </c>
      <c r="J1232" s="13" t="s">
        <v>2420</v>
      </c>
      <c r="K1232" s="14" t="s">
        <v>9072</v>
      </c>
      <c r="L1232" s="15">
        <v>5</v>
      </c>
      <c r="M1232" s="15" t="s">
        <v>144</v>
      </c>
      <c r="N1232" s="16">
        <v>44065</v>
      </c>
      <c r="O1232" s="12" t="s">
        <v>9069</v>
      </c>
      <c r="P1232" s="14" t="s">
        <v>9073</v>
      </c>
      <c r="Q1232" s="17" t="s">
        <v>137</v>
      </c>
      <c r="R1232" s="17" t="s">
        <v>146</v>
      </c>
    </row>
    <row r="1233" spans="1:18" x14ac:dyDescent="0.3">
      <c r="A1233" s="12" t="s">
        <v>9074</v>
      </c>
      <c r="B1233" s="12" t="s">
        <v>12</v>
      </c>
      <c r="C1233" s="12"/>
      <c r="D1233" s="12" t="s">
        <v>12</v>
      </c>
      <c r="E1233" s="12" t="s">
        <v>9075</v>
      </c>
      <c r="F1233" s="12"/>
      <c r="G1233" s="12" t="s">
        <v>2419</v>
      </c>
      <c r="H1233" s="12" t="s">
        <v>47</v>
      </c>
      <c r="I1233" s="12" t="s">
        <v>26</v>
      </c>
      <c r="J1233" s="13" t="s">
        <v>2420</v>
      </c>
      <c r="K1233" s="14" t="s">
        <v>9076</v>
      </c>
      <c r="L1233" s="15">
        <v>0</v>
      </c>
      <c r="M1233" s="15" t="s">
        <v>144</v>
      </c>
      <c r="N1233" s="16">
        <v>43536</v>
      </c>
      <c r="O1233" s="12" t="s">
        <v>9077</v>
      </c>
      <c r="P1233" s="14" t="s">
        <v>9078</v>
      </c>
      <c r="Q1233" s="17" t="s">
        <v>137</v>
      </c>
      <c r="R1233" s="17" t="s">
        <v>146</v>
      </c>
    </row>
    <row r="1234" spans="1:18" x14ac:dyDescent="0.3">
      <c r="A1234" s="12" t="s">
        <v>9079</v>
      </c>
      <c r="B1234" s="12" t="s">
        <v>12</v>
      </c>
      <c r="C1234" s="12"/>
      <c r="D1234" s="12" t="s">
        <v>12</v>
      </c>
      <c r="E1234" s="12" t="s">
        <v>9080</v>
      </c>
      <c r="F1234" s="12"/>
      <c r="G1234" s="12" t="s">
        <v>2435</v>
      </c>
      <c r="H1234" s="12" t="s">
        <v>47</v>
      </c>
      <c r="I1234" s="12" t="s">
        <v>26</v>
      </c>
      <c r="J1234" s="13" t="s">
        <v>2436</v>
      </c>
      <c r="K1234" s="14" t="s">
        <v>9081</v>
      </c>
      <c r="L1234" s="15">
        <v>0</v>
      </c>
      <c r="M1234" s="15" t="s">
        <v>144</v>
      </c>
      <c r="N1234" s="16">
        <v>40414</v>
      </c>
      <c r="O1234" s="12" t="s">
        <v>9079</v>
      </c>
      <c r="P1234" s="14" t="s">
        <v>9082</v>
      </c>
      <c r="Q1234" s="17" t="s">
        <v>137</v>
      </c>
      <c r="R1234" s="17" t="s">
        <v>146</v>
      </c>
    </row>
    <row r="1235" spans="1:18" x14ac:dyDescent="0.3">
      <c r="A1235" s="12" t="s">
        <v>9083</v>
      </c>
      <c r="B1235" s="12" t="s">
        <v>12</v>
      </c>
      <c r="C1235" s="12"/>
      <c r="D1235" s="12" t="s">
        <v>12</v>
      </c>
      <c r="E1235" s="12" t="s">
        <v>9084</v>
      </c>
      <c r="F1235" s="12"/>
      <c r="G1235" s="12" t="s">
        <v>2435</v>
      </c>
      <c r="H1235" s="12" t="s">
        <v>47</v>
      </c>
      <c r="I1235" s="12" t="s">
        <v>26</v>
      </c>
      <c r="J1235" s="13" t="s">
        <v>2436</v>
      </c>
      <c r="K1235" s="14" t="s">
        <v>9085</v>
      </c>
      <c r="L1235" s="15">
        <v>0</v>
      </c>
      <c r="M1235" s="15" t="s">
        <v>144</v>
      </c>
      <c r="N1235" s="16">
        <v>44009</v>
      </c>
      <c r="O1235" s="12" t="s">
        <v>9083</v>
      </c>
      <c r="P1235" s="14" t="s">
        <v>9086</v>
      </c>
      <c r="Q1235" s="17" t="s">
        <v>137</v>
      </c>
      <c r="R1235" s="17" t="s">
        <v>146</v>
      </c>
    </row>
    <row r="1236" spans="1:18" x14ac:dyDescent="0.3">
      <c r="A1236" s="12" t="s">
        <v>9087</v>
      </c>
      <c r="B1236" s="12" t="s">
        <v>12</v>
      </c>
      <c r="C1236" s="12"/>
      <c r="D1236" s="12" t="s">
        <v>12</v>
      </c>
      <c r="E1236" s="12" t="s">
        <v>9088</v>
      </c>
      <c r="F1236" s="12"/>
      <c r="G1236" s="12" t="s">
        <v>2435</v>
      </c>
      <c r="H1236" s="12" t="s">
        <v>47</v>
      </c>
      <c r="I1236" s="12" t="s">
        <v>26</v>
      </c>
      <c r="J1236" s="13" t="s">
        <v>2436</v>
      </c>
      <c r="K1236" s="14" t="s">
        <v>9089</v>
      </c>
      <c r="L1236" s="15">
        <v>7</v>
      </c>
      <c r="M1236" s="15" t="s">
        <v>144</v>
      </c>
      <c r="N1236" s="16">
        <v>41243</v>
      </c>
      <c r="O1236" s="12" t="s">
        <v>9087</v>
      </c>
      <c r="P1236" s="14" t="s">
        <v>9090</v>
      </c>
      <c r="Q1236" s="17" t="s">
        <v>137</v>
      </c>
      <c r="R1236" s="17" t="s">
        <v>146</v>
      </c>
    </row>
    <row r="1237" spans="1:18" x14ac:dyDescent="0.3">
      <c r="A1237" s="12" t="s">
        <v>9091</v>
      </c>
      <c r="B1237" s="12" t="s">
        <v>12</v>
      </c>
      <c r="C1237" s="12"/>
      <c r="D1237" s="12" t="s">
        <v>12</v>
      </c>
      <c r="E1237" s="12" t="s">
        <v>9092</v>
      </c>
      <c r="F1237" s="12" t="s">
        <v>366</v>
      </c>
      <c r="G1237" s="12" t="s">
        <v>2435</v>
      </c>
      <c r="H1237" s="12" t="s">
        <v>47</v>
      </c>
      <c r="I1237" s="12" t="s">
        <v>26</v>
      </c>
      <c r="J1237" s="13" t="s">
        <v>2436</v>
      </c>
      <c r="K1237" s="14" t="s">
        <v>9093</v>
      </c>
      <c r="L1237" s="15">
        <v>1</v>
      </c>
      <c r="M1237" s="15" t="s">
        <v>144</v>
      </c>
      <c r="N1237" s="16">
        <v>41369</v>
      </c>
      <c r="O1237" s="12" t="s">
        <v>9091</v>
      </c>
      <c r="P1237" s="14" t="s">
        <v>9094</v>
      </c>
      <c r="Q1237" s="17" t="s">
        <v>137</v>
      </c>
      <c r="R1237" s="17" t="s">
        <v>146</v>
      </c>
    </row>
    <row r="1238" spans="1:18" x14ac:dyDescent="0.3">
      <c r="A1238" s="12" t="s">
        <v>9095</v>
      </c>
      <c r="B1238" s="12" t="s">
        <v>12</v>
      </c>
      <c r="C1238" s="12"/>
      <c r="D1238" s="12" t="s">
        <v>12</v>
      </c>
      <c r="E1238" s="12" t="s">
        <v>9096</v>
      </c>
      <c r="F1238" s="12"/>
      <c r="G1238" s="12" t="s">
        <v>2435</v>
      </c>
      <c r="H1238" s="12" t="s">
        <v>47</v>
      </c>
      <c r="I1238" s="12" t="s">
        <v>26</v>
      </c>
      <c r="J1238" s="13" t="s">
        <v>2436</v>
      </c>
      <c r="K1238" s="14" t="s">
        <v>9097</v>
      </c>
      <c r="L1238" s="15">
        <v>1</v>
      </c>
      <c r="M1238" s="15" t="s">
        <v>144</v>
      </c>
      <c r="N1238" s="16">
        <v>42367</v>
      </c>
      <c r="O1238" s="12" t="s">
        <v>9098</v>
      </c>
      <c r="P1238" s="14" t="s">
        <v>9099</v>
      </c>
      <c r="Q1238" s="17" t="s">
        <v>137</v>
      </c>
      <c r="R1238" s="17" t="s">
        <v>146</v>
      </c>
    </row>
    <row r="1239" spans="1:18" x14ac:dyDescent="0.3">
      <c r="A1239" s="12" t="s">
        <v>9100</v>
      </c>
      <c r="B1239" s="12" t="s">
        <v>12</v>
      </c>
      <c r="C1239" s="12"/>
      <c r="D1239" s="12" t="s">
        <v>12</v>
      </c>
      <c r="E1239" s="12" t="s">
        <v>9101</v>
      </c>
      <c r="F1239" s="12" t="s">
        <v>1222</v>
      </c>
      <c r="G1239" s="12" t="s">
        <v>2435</v>
      </c>
      <c r="H1239" s="12" t="s">
        <v>47</v>
      </c>
      <c r="I1239" s="12" t="s">
        <v>26</v>
      </c>
      <c r="J1239" s="13" t="s">
        <v>2436</v>
      </c>
      <c r="K1239" s="14" t="s">
        <v>9102</v>
      </c>
      <c r="L1239" s="15">
        <v>2</v>
      </c>
      <c r="M1239" s="15" t="s">
        <v>144</v>
      </c>
      <c r="N1239" s="16">
        <v>43607</v>
      </c>
      <c r="O1239" s="12" t="s">
        <v>9100</v>
      </c>
      <c r="P1239" s="14" t="s">
        <v>9103</v>
      </c>
      <c r="Q1239" s="17" t="s">
        <v>137</v>
      </c>
      <c r="R1239" s="17" t="s">
        <v>146</v>
      </c>
    </row>
    <row r="1240" spans="1:18" x14ac:dyDescent="0.3">
      <c r="A1240" s="12" t="s">
        <v>9104</v>
      </c>
      <c r="B1240" s="12" t="s">
        <v>12</v>
      </c>
      <c r="C1240" s="12"/>
      <c r="D1240" s="12" t="s">
        <v>12</v>
      </c>
      <c r="E1240" s="12" t="s">
        <v>9105</v>
      </c>
      <c r="F1240" s="12" t="s">
        <v>225</v>
      </c>
      <c r="G1240" s="12" t="s">
        <v>2435</v>
      </c>
      <c r="H1240" s="12" t="s">
        <v>47</v>
      </c>
      <c r="I1240" s="12" t="s">
        <v>26</v>
      </c>
      <c r="J1240" s="13" t="s">
        <v>2436</v>
      </c>
      <c r="K1240" s="14" t="s">
        <v>9106</v>
      </c>
      <c r="L1240" s="15">
        <v>2</v>
      </c>
      <c r="M1240" s="15" t="s">
        <v>144</v>
      </c>
      <c r="N1240" s="16">
        <v>39630</v>
      </c>
      <c r="O1240" s="12" t="s">
        <v>9104</v>
      </c>
      <c r="P1240" s="14" t="s">
        <v>9107</v>
      </c>
      <c r="Q1240" s="17" t="s">
        <v>137</v>
      </c>
      <c r="R1240" s="17" t="s">
        <v>146</v>
      </c>
    </row>
    <row r="1241" spans="1:18" x14ac:dyDescent="0.3">
      <c r="A1241" s="12" t="s">
        <v>9108</v>
      </c>
      <c r="B1241" s="12" t="s">
        <v>12</v>
      </c>
      <c r="C1241" s="12"/>
      <c r="D1241" s="12" t="s">
        <v>12</v>
      </c>
      <c r="E1241" s="12" t="s">
        <v>9109</v>
      </c>
      <c r="F1241" s="12" t="s">
        <v>520</v>
      </c>
      <c r="G1241" s="12" t="s">
        <v>2435</v>
      </c>
      <c r="H1241" s="12" t="s">
        <v>47</v>
      </c>
      <c r="I1241" s="12" t="s">
        <v>26</v>
      </c>
      <c r="J1241" s="13" t="s">
        <v>2436</v>
      </c>
      <c r="K1241" s="14" t="s">
        <v>9110</v>
      </c>
      <c r="L1241" s="15">
        <v>1</v>
      </c>
      <c r="M1241" s="15" t="s">
        <v>144</v>
      </c>
      <c r="N1241" s="16">
        <v>40231</v>
      </c>
      <c r="O1241" s="12" t="s">
        <v>9108</v>
      </c>
      <c r="P1241" s="14" t="s">
        <v>9111</v>
      </c>
      <c r="Q1241" s="17" t="s">
        <v>137</v>
      </c>
      <c r="R1241" s="17" t="s">
        <v>146</v>
      </c>
    </row>
    <row r="1242" spans="1:18" x14ac:dyDescent="0.3">
      <c r="A1242" s="12" t="s">
        <v>6091</v>
      </c>
      <c r="B1242" s="12" t="s">
        <v>12</v>
      </c>
      <c r="C1242" s="12"/>
      <c r="D1242" s="12" t="s">
        <v>12</v>
      </c>
      <c r="E1242" s="12" t="s">
        <v>9112</v>
      </c>
      <c r="F1242" s="12" t="s">
        <v>1039</v>
      </c>
      <c r="G1242" s="12" t="s">
        <v>2435</v>
      </c>
      <c r="H1242" s="12" t="s">
        <v>47</v>
      </c>
      <c r="I1242" s="12" t="s">
        <v>26</v>
      </c>
      <c r="J1242" s="13" t="s">
        <v>2436</v>
      </c>
      <c r="K1242" s="14" t="s">
        <v>6094</v>
      </c>
      <c r="L1242" s="15">
        <v>1</v>
      </c>
      <c r="M1242" s="15" t="s">
        <v>144</v>
      </c>
      <c r="N1242" s="16">
        <v>43578</v>
      </c>
      <c r="O1242" s="12" t="s">
        <v>9113</v>
      </c>
      <c r="P1242" s="14" t="s">
        <v>9114</v>
      </c>
      <c r="Q1242" s="17" t="s">
        <v>137</v>
      </c>
      <c r="R1242" s="17" t="s">
        <v>146</v>
      </c>
    </row>
    <row r="1243" spans="1:18" x14ac:dyDescent="0.3">
      <c r="A1243" s="12" t="s">
        <v>9115</v>
      </c>
      <c r="B1243" s="12" t="s">
        <v>12</v>
      </c>
      <c r="C1243" s="12"/>
      <c r="D1243" s="12" t="s">
        <v>12</v>
      </c>
      <c r="E1243" s="12" t="s">
        <v>9105</v>
      </c>
      <c r="F1243" s="12" t="s">
        <v>225</v>
      </c>
      <c r="G1243" s="12" t="s">
        <v>2435</v>
      </c>
      <c r="H1243" s="12" t="s">
        <v>47</v>
      </c>
      <c r="I1243" s="12" t="s">
        <v>26</v>
      </c>
      <c r="J1243" s="13" t="s">
        <v>2436</v>
      </c>
      <c r="K1243" s="14" t="s">
        <v>9106</v>
      </c>
      <c r="L1243" s="15">
        <v>2</v>
      </c>
      <c r="M1243" s="15" t="s">
        <v>144</v>
      </c>
      <c r="N1243" s="16">
        <v>42045</v>
      </c>
      <c r="O1243" s="12" t="s">
        <v>9115</v>
      </c>
      <c r="P1243" s="14" t="s">
        <v>9116</v>
      </c>
      <c r="Q1243" s="17" t="s">
        <v>137</v>
      </c>
      <c r="R1243" s="17" t="s">
        <v>146</v>
      </c>
    </row>
    <row r="1244" spans="1:18" x14ac:dyDescent="0.3">
      <c r="A1244" s="12" t="s">
        <v>9117</v>
      </c>
      <c r="B1244" s="12" t="s">
        <v>12</v>
      </c>
      <c r="C1244" s="12"/>
      <c r="D1244" s="12" t="s">
        <v>12</v>
      </c>
      <c r="E1244" s="12" t="s">
        <v>9118</v>
      </c>
      <c r="F1244" s="12"/>
      <c r="G1244" s="12" t="s">
        <v>2435</v>
      </c>
      <c r="H1244" s="12" t="s">
        <v>47</v>
      </c>
      <c r="I1244" s="12" t="s">
        <v>26</v>
      </c>
      <c r="J1244" s="13" t="s">
        <v>2436</v>
      </c>
      <c r="K1244" s="14" t="s">
        <v>9119</v>
      </c>
      <c r="L1244" s="15">
        <v>1</v>
      </c>
      <c r="M1244" s="15" t="s">
        <v>144</v>
      </c>
      <c r="N1244" s="16">
        <v>41355</v>
      </c>
      <c r="O1244" s="12" t="s">
        <v>9117</v>
      </c>
      <c r="P1244" s="14" t="s">
        <v>9120</v>
      </c>
      <c r="Q1244" s="17" t="s">
        <v>137</v>
      </c>
      <c r="R1244" s="17" t="s">
        <v>146</v>
      </c>
    </row>
    <row r="1245" spans="1:18" x14ac:dyDescent="0.3">
      <c r="A1245" s="12" t="s">
        <v>9121</v>
      </c>
      <c r="B1245" s="12" t="s">
        <v>10</v>
      </c>
      <c r="C1245" s="12"/>
      <c r="D1245" s="12" t="s">
        <v>647</v>
      </c>
      <c r="E1245" s="12" t="s">
        <v>9122</v>
      </c>
      <c r="F1245" s="12" t="s">
        <v>293</v>
      </c>
      <c r="G1245" s="12" t="s">
        <v>2435</v>
      </c>
      <c r="H1245" s="12" t="s">
        <v>47</v>
      </c>
      <c r="I1245" s="12" t="s">
        <v>26</v>
      </c>
      <c r="J1245" s="13" t="s">
        <v>2436</v>
      </c>
      <c r="K1245" s="14" t="s">
        <v>9123</v>
      </c>
      <c r="L1245" s="15">
        <v>1</v>
      </c>
      <c r="M1245" s="15" t="s">
        <v>220</v>
      </c>
      <c r="N1245" s="16">
        <v>40319</v>
      </c>
      <c r="O1245" s="12" t="s">
        <v>9121</v>
      </c>
      <c r="P1245" s="14" t="s">
        <v>9124</v>
      </c>
      <c r="Q1245" s="17" t="s">
        <v>137</v>
      </c>
      <c r="R1245" s="17" t="s">
        <v>146</v>
      </c>
    </row>
    <row r="1246" spans="1:18" x14ac:dyDescent="0.3">
      <c r="A1246" s="12" t="s">
        <v>9125</v>
      </c>
      <c r="B1246" s="12" t="s">
        <v>12</v>
      </c>
      <c r="C1246" s="12"/>
      <c r="D1246" s="12" t="s">
        <v>12</v>
      </c>
      <c r="E1246" s="12" t="s">
        <v>9126</v>
      </c>
      <c r="F1246" s="12"/>
      <c r="G1246" s="12" t="s">
        <v>2435</v>
      </c>
      <c r="H1246" s="12" t="s">
        <v>47</v>
      </c>
      <c r="I1246" s="12" t="s">
        <v>26</v>
      </c>
      <c r="J1246" s="13" t="s">
        <v>2436</v>
      </c>
      <c r="K1246" s="14" t="s">
        <v>9127</v>
      </c>
      <c r="L1246" s="15">
        <v>0</v>
      </c>
      <c r="M1246" s="15" t="s">
        <v>144</v>
      </c>
      <c r="N1246" s="16">
        <v>39602</v>
      </c>
      <c r="O1246" s="12" t="s">
        <v>9125</v>
      </c>
      <c r="P1246" s="14" t="s">
        <v>9128</v>
      </c>
      <c r="Q1246" s="17" t="s">
        <v>137</v>
      </c>
      <c r="R1246" s="17" t="s">
        <v>146</v>
      </c>
    </row>
    <row r="1247" spans="1:18" x14ac:dyDescent="0.3">
      <c r="A1247" s="12" t="s">
        <v>9129</v>
      </c>
      <c r="B1247" s="12" t="s">
        <v>12</v>
      </c>
      <c r="C1247" s="12"/>
      <c r="D1247" s="12" t="s">
        <v>12</v>
      </c>
      <c r="E1247" s="12" t="s">
        <v>9130</v>
      </c>
      <c r="F1247" s="12"/>
      <c r="G1247" s="12" t="s">
        <v>2435</v>
      </c>
      <c r="H1247" s="12" t="s">
        <v>47</v>
      </c>
      <c r="I1247" s="12" t="s">
        <v>26</v>
      </c>
      <c r="J1247" s="13" t="s">
        <v>2436</v>
      </c>
      <c r="K1247" s="14" t="s">
        <v>9131</v>
      </c>
      <c r="L1247" s="15">
        <v>1</v>
      </c>
      <c r="M1247" s="15" t="s">
        <v>144</v>
      </c>
      <c r="N1247" s="16">
        <v>39335</v>
      </c>
      <c r="O1247" s="12" t="s">
        <v>9129</v>
      </c>
      <c r="P1247" s="14" t="s">
        <v>9132</v>
      </c>
      <c r="Q1247" s="17" t="s">
        <v>137</v>
      </c>
      <c r="R1247" s="17" t="s">
        <v>146</v>
      </c>
    </row>
    <row r="1248" spans="1:18" x14ac:dyDescent="0.3">
      <c r="A1248" s="12" t="s">
        <v>9133</v>
      </c>
      <c r="B1248" s="12" t="s">
        <v>12</v>
      </c>
      <c r="C1248" s="12"/>
      <c r="D1248" s="12" t="s">
        <v>12</v>
      </c>
      <c r="E1248" s="12" t="s">
        <v>9134</v>
      </c>
      <c r="F1248" s="12"/>
      <c r="G1248" s="12" t="s">
        <v>2435</v>
      </c>
      <c r="H1248" s="12" t="s">
        <v>47</v>
      </c>
      <c r="I1248" s="12" t="s">
        <v>26</v>
      </c>
      <c r="J1248" s="13" t="s">
        <v>2436</v>
      </c>
      <c r="K1248" s="14" t="s">
        <v>9135</v>
      </c>
      <c r="L1248" s="15">
        <v>1</v>
      </c>
      <c r="M1248" s="15" t="s">
        <v>144</v>
      </c>
      <c r="N1248" s="16">
        <v>40289</v>
      </c>
      <c r="O1248" s="12" t="s">
        <v>9133</v>
      </c>
      <c r="P1248" s="14" t="s">
        <v>9136</v>
      </c>
      <c r="Q1248" s="17" t="s">
        <v>137</v>
      </c>
      <c r="R1248" s="17" t="s">
        <v>146</v>
      </c>
    </row>
    <row r="1249" spans="1:18" x14ac:dyDescent="0.3">
      <c r="A1249" s="12" t="s">
        <v>9137</v>
      </c>
      <c r="B1249" s="12" t="s">
        <v>12</v>
      </c>
      <c r="C1249" s="12"/>
      <c r="D1249" s="12" t="s">
        <v>12</v>
      </c>
      <c r="E1249" s="12" t="s">
        <v>9138</v>
      </c>
      <c r="F1249" s="12"/>
      <c r="G1249" s="12" t="s">
        <v>2435</v>
      </c>
      <c r="H1249" s="12" t="s">
        <v>47</v>
      </c>
      <c r="I1249" s="12" t="s">
        <v>26</v>
      </c>
      <c r="J1249" s="13" t="s">
        <v>2436</v>
      </c>
      <c r="K1249" s="14" t="s">
        <v>9139</v>
      </c>
      <c r="L1249" s="15">
        <v>1</v>
      </c>
      <c r="M1249" s="15" t="s">
        <v>144</v>
      </c>
      <c r="N1249" s="16">
        <v>42766</v>
      </c>
      <c r="O1249" s="12" t="s">
        <v>9137</v>
      </c>
      <c r="P1249" s="14" t="s">
        <v>9140</v>
      </c>
      <c r="Q1249" s="17" t="s">
        <v>137</v>
      </c>
      <c r="R1249" s="17" t="s">
        <v>146</v>
      </c>
    </row>
    <row r="1250" spans="1:18" x14ac:dyDescent="0.3">
      <c r="A1250" s="12" t="s">
        <v>9141</v>
      </c>
      <c r="B1250" s="12" t="s">
        <v>12</v>
      </c>
      <c r="C1250" s="12"/>
      <c r="D1250" s="12" t="s">
        <v>12</v>
      </c>
      <c r="E1250" s="12" t="s">
        <v>9142</v>
      </c>
      <c r="F1250" s="12" t="s">
        <v>382</v>
      </c>
      <c r="G1250" s="12" t="s">
        <v>2435</v>
      </c>
      <c r="H1250" s="12" t="s">
        <v>47</v>
      </c>
      <c r="I1250" s="12" t="s">
        <v>26</v>
      </c>
      <c r="J1250" s="13" t="s">
        <v>2436</v>
      </c>
      <c r="K1250" s="14" t="s">
        <v>9102</v>
      </c>
      <c r="L1250" s="15">
        <v>1</v>
      </c>
      <c r="M1250" s="15" t="s">
        <v>144</v>
      </c>
      <c r="N1250" s="16">
        <v>42461</v>
      </c>
      <c r="O1250" s="12" t="s">
        <v>9143</v>
      </c>
      <c r="P1250" s="14" t="s">
        <v>9144</v>
      </c>
      <c r="Q1250" s="17" t="s">
        <v>137</v>
      </c>
      <c r="R1250" s="17" t="s">
        <v>146</v>
      </c>
    </row>
    <row r="1251" spans="1:18" x14ac:dyDescent="0.3">
      <c r="A1251" s="12" t="s">
        <v>9145</v>
      </c>
      <c r="B1251" s="12" t="s">
        <v>14</v>
      </c>
      <c r="C1251" s="12"/>
      <c r="D1251" s="12" t="s">
        <v>14</v>
      </c>
      <c r="E1251" s="12" t="s">
        <v>9122</v>
      </c>
      <c r="F1251" s="12"/>
      <c r="G1251" s="12" t="s">
        <v>2435</v>
      </c>
      <c r="H1251" s="12" t="s">
        <v>47</v>
      </c>
      <c r="I1251" s="12" t="s">
        <v>26</v>
      </c>
      <c r="J1251" s="13" t="s">
        <v>2436</v>
      </c>
      <c r="K1251" s="14" t="s">
        <v>9146</v>
      </c>
      <c r="L1251" s="15">
        <v>6</v>
      </c>
      <c r="M1251" s="15" t="s">
        <v>144</v>
      </c>
      <c r="N1251" s="16">
        <v>39321</v>
      </c>
      <c r="O1251" s="12" t="s">
        <v>9145</v>
      </c>
      <c r="P1251" s="14" t="s">
        <v>9147</v>
      </c>
      <c r="Q1251" s="17" t="s">
        <v>137</v>
      </c>
      <c r="R1251" s="17" t="s">
        <v>146</v>
      </c>
    </row>
    <row r="1252" spans="1:18" x14ac:dyDescent="0.3">
      <c r="A1252" s="12" t="s">
        <v>9148</v>
      </c>
      <c r="B1252" s="12" t="s">
        <v>12</v>
      </c>
      <c r="C1252" s="12"/>
      <c r="D1252" s="12" t="s">
        <v>12</v>
      </c>
      <c r="E1252" s="12" t="s">
        <v>9149</v>
      </c>
      <c r="F1252" s="12"/>
      <c r="G1252" s="12" t="s">
        <v>71</v>
      </c>
      <c r="H1252" s="12" t="s">
        <v>52</v>
      </c>
      <c r="I1252" s="12" t="s">
        <v>26</v>
      </c>
      <c r="J1252" s="13" t="s">
        <v>2449</v>
      </c>
      <c r="K1252" s="14" t="s">
        <v>9150</v>
      </c>
      <c r="L1252" s="15">
        <v>1</v>
      </c>
      <c r="M1252" s="15" t="s">
        <v>144</v>
      </c>
      <c r="N1252" s="16">
        <v>42606</v>
      </c>
      <c r="O1252" s="12" t="s">
        <v>9148</v>
      </c>
      <c r="P1252" s="14" t="s">
        <v>9151</v>
      </c>
      <c r="Q1252" s="17" t="s">
        <v>137</v>
      </c>
      <c r="R1252" s="17" t="s">
        <v>146</v>
      </c>
    </row>
    <row r="1253" spans="1:18" x14ac:dyDescent="0.3">
      <c r="A1253" s="12" t="s">
        <v>9152</v>
      </c>
      <c r="B1253" s="12" t="s">
        <v>12</v>
      </c>
      <c r="C1253" s="12"/>
      <c r="D1253" s="12" t="s">
        <v>12</v>
      </c>
      <c r="E1253" s="12" t="s">
        <v>9153</v>
      </c>
      <c r="F1253" s="12" t="s">
        <v>1542</v>
      </c>
      <c r="G1253" s="12" t="s">
        <v>71</v>
      </c>
      <c r="H1253" s="12" t="s">
        <v>52</v>
      </c>
      <c r="I1253" s="12" t="s">
        <v>26</v>
      </c>
      <c r="J1253" s="13" t="s">
        <v>2449</v>
      </c>
      <c r="K1253" s="14" t="s">
        <v>9154</v>
      </c>
      <c r="L1253" s="15">
        <v>0</v>
      </c>
      <c r="M1253" s="15" t="s">
        <v>144</v>
      </c>
      <c r="N1253" s="16">
        <v>41249</v>
      </c>
      <c r="O1253" s="12" t="s">
        <v>9152</v>
      </c>
      <c r="P1253" s="14" t="s">
        <v>9155</v>
      </c>
      <c r="Q1253" s="17" t="s">
        <v>137</v>
      </c>
      <c r="R1253" s="17" t="s">
        <v>146</v>
      </c>
    </row>
    <row r="1254" spans="1:18" x14ac:dyDescent="0.3">
      <c r="A1254" s="12" t="s">
        <v>9156</v>
      </c>
      <c r="B1254" s="12" t="s">
        <v>12</v>
      </c>
      <c r="C1254" s="12"/>
      <c r="D1254" s="12" t="s">
        <v>12</v>
      </c>
      <c r="E1254" s="12" t="s">
        <v>9157</v>
      </c>
      <c r="F1254" s="12" t="s">
        <v>1542</v>
      </c>
      <c r="G1254" s="12" t="s">
        <v>71</v>
      </c>
      <c r="H1254" s="12" t="s">
        <v>52</v>
      </c>
      <c r="I1254" s="12" t="s">
        <v>26</v>
      </c>
      <c r="J1254" s="13" t="s">
        <v>2827</v>
      </c>
      <c r="K1254" s="14" t="s">
        <v>9158</v>
      </c>
      <c r="L1254" s="15">
        <v>0</v>
      </c>
      <c r="M1254" s="15" t="s">
        <v>144</v>
      </c>
      <c r="N1254" s="16">
        <v>39420</v>
      </c>
      <c r="O1254" s="12" t="s">
        <v>9156</v>
      </c>
      <c r="P1254" s="14" t="s">
        <v>9159</v>
      </c>
      <c r="Q1254" s="17" t="s">
        <v>137</v>
      </c>
      <c r="R1254" s="17" t="s">
        <v>146</v>
      </c>
    </row>
    <row r="1255" spans="1:18" x14ac:dyDescent="0.3">
      <c r="A1255" s="12" t="s">
        <v>9160</v>
      </c>
      <c r="B1255" s="12" t="s">
        <v>12</v>
      </c>
      <c r="C1255" s="12" t="s">
        <v>9161</v>
      </c>
      <c r="D1255" s="12" t="s">
        <v>9162</v>
      </c>
      <c r="E1255" s="12" t="s">
        <v>9163</v>
      </c>
      <c r="F1255" s="12" t="s">
        <v>389</v>
      </c>
      <c r="G1255" s="12" t="s">
        <v>2454</v>
      </c>
      <c r="H1255" s="12" t="s">
        <v>52</v>
      </c>
      <c r="I1255" s="12" t="s">
        <v>26</v>
      </c>
      <c r="J1255" s="13" t="s">
        <v>2455</v>
      </c>
      <c r="K1255" s="14" t="s">
        <v>9164</v>
      </c>
      <c r="L1255" s="15">
        <v>0</v>
      </c>
      <c r="M1255" s="15" t="s">
        <v>144</v>
      </c>
      <c r="N1255" s="16">
        <v>43756</v>
      </c>
      <c r="O1255" s="12" t="s">
        <v>9165</v>
      </c>
      <c r="P1255" s="14" t="s">
        <v>9166</v>
      </c>
      <c r="Q1255" s="17" t="s">
        <v>137</v>
      </c>
      <c r="R1255" s="17" t="s">
        <v>146</v>
      </c>
    </row>
    <row r="1256" spans="1:18" x14ac:dyDescent="0.3">
      <c r="A1256" s="12" t="s">
        <v>9167</v>
      </c>
      <c r="B1256" s="12" t="s">
        <v>12</v>
      </c>
      <c r="C1256" s="12"/>
      <c r="D1256" s="12" t="s">
        <v>12</v>
      </c>
      <c r="E1256" s="12" t="s">
        <v>9168</v>
      </c>
      <c r="F1256" s="12"/>
      <c r="G1256" s="12" t="s">
        <v>2454</v>
      </c>
      <c r="H1256" s="12" t="s">
        <v>52</v>
      </c>
      <c r="I1256" s="12" t="s">
        <v>26</v>
      </c>
      <c r="J1256" s="13" t="s">
        <v>2455</v>
      </c>
      <c r="K1256" s="14" t="s">
        <v>9169</v>
      </c>
      <c r="L1256" s="15">
        <v>1</v>
      </c>
      <c r="M1256" s="15" t="s">
        <v>144</v>
      </c>
      <c r="N1256" s="16">
        <v>40464</v>
      </c>
      <c r="O1256" s="12" t="s">
        <v>9167</v>
      </c>
      <c r="P1256" s="14" t="s">
        <v>9170</v>
      </c>
      <c r="Q1256" s="17" t="s">
        <v>137</v>
      </c>
      <c r="R1256" s="17" t="s">
        <v>146</v>
      </c>
    </row>
    <row r="1257" spans="1:18" x14ac:dyDescent="0.3">
      <c r="A1257" s="12" t="s">
        <v>9171</v>
      </c>
      <c r="B1257" s="12" t="s">
        <v>12</v>
      </c>
      <c r="C1257" s="12"/>
      <c r="D1257" s="12" t="s">
        <v>12</v>
      </c>
      <c r="E1257" s="12" t="s">
        <v>9172</v>
      </c>
      <c r="F1257" s="12"/>
      <c r="G1257" s="12" t="s">
        <v>9173</v>
      </c>
      <c r="H1257" s="12" t="s">
        <v>52</v>
      </c>
      <c r="I1257" s="12" t="s">
        <v>26</v>
      </c>
      <c r="J1257" s="13" t="s">
        <v>9174</v>
      </c>
      <c r="K1257" s="14" t="s">
        <v>9175</v>
      </c>
      <c r="L1257" s="15">
        <v>1</v>
      </c>
      <c r="M1257" s="15" t="s">
        <v>144</v>
      </c>
      <c r="N1257" s="16">
        <v>43969</v>
      </c>
      <c r="O1257" s="12" t="s">
        <v>9171</v>
      </c>
      <c r="P1257" s="14" t="s">
        <v>9176</v>
      </c>
      <c r="Q1257" s="17" t="s">
        <v>137</v>
      </c>
      <c r="R1257" s="17" t="s">
        <v>146</v>
      </c>
    </row>
    <row r="1258" spans="1:18" x14ac:dyDescent="0.3">
      <c r="A1258" s="12" t="s">
        <v>9177</v>
      </c>
      <c r="B1258" s="12" t="s">
        <v>12</v>
      </c>
      <c r="C1258" s="12"/>
      <c r="D1258" s="12" t="s">
        <v>12</v>
      </c>
      <c r="E1258" s="12" t="s">
        <v>9178</v>
      </c>
      <c r="F1258" s="12"/>
      <c r="G1258" s="12" t="s">
        <v>2463</v>
      </c>
      <c r="H1258" s="12" t="s">
        <v>52</v>
      </c>
      <c r="I1258" s="12" t="s">
        <v>26</v>
      </c>
      <c r="J1258" s="13" t="s">
        <v>2464</v>
      </c>
      <c r="K1258" s="14" t="s">
        <v>9179</v>
      </c>
      <c r="L1258" s="15">
        <v>4</v>
      </c>
      <c r="M1258" s="15" t="s">
        <v>144</v>
      </c>
      <c r="N1258" s="16">
        <v>44065</v>
      </c>
      <c r="O1258" s="12" t="s">
        <v>9177</v>
      </c>
      <c r="P1258" s="14" t="s">
        <v>9180</v>
      </c>
      <c r="Q1258" s="17" t="s">
        <v>137</v>
      </c>
      <c r="R1258" s="17" t="s">
        <v>146</v>
      </c>
    </row>
    <row r="1259" spans="1:18" x14ac:dyDescent="0.3">
      <c r="A1259" s="12" t="s">
        <v>9181</v>
      </c>
      <c r="B1259" s="12" t="s">
        <v>12</v>
      </c>
      <c r="C1259" s="12"/>
      <c r="D1259" s="12" t="s">
        <v>12</v>
      </c>
      <c r="E1259" s="12" t="s">
        <v>9182</v>
      </c>
      <c r="F1259" s="12" t="s">
        <v>547</v>
      </c>
      <c r="G1259" s="12" t="s">
        <v>2463</v>
      </c>
      <c r="H1259" s="12" t="s">
        <v>52</v>
      </c>
      <c r="I1259" s="12" t="s">
        <v>26</v>
      </c>
      <c r="J1259" s="13" t="s">
        <v>2464</v>
      </c>
      <c r="K1259" s="14" t="s">
        <v>9183</v>
      </c>
      <c r="L1259" s="15">
        <v>1</v>
      </c>
      <c r="M1259" s="15" t="s">
        <v>144</v>
      </c>
      <c r="N1259" s="16">
        <v>39299</v>
      </c>
      <c r="O1259" s="12" t="s">
        <v>9181</v>
      </c>
      <c r="P1259" s="14" t="s">
        <v>9184</v>
      </c>
      <c r="Q1259" s="17" t="s">
        <v>137</v>
      </c>
      <c r="R1259" s="17" t="s">
        <v>146</v>
      </c>
    </row>
    <row r="1260" spans="1:18" x14ac:dyDescent="0.3">
      <c r="A1260" s="12" t="s">
        <v>9185</v>
      </c>
      <c r="B1260" s="12" t="s">
        <v>12</v>
      </c>
      <c r="C1260" s="12"/>
      <c r="D1260" s="12" t="s">
        <v>12</v>
      </c>
      <c r="E1260" s="12" t="s">
        <v>2488</v>
      </c>
      <c r="F1260" s="12"/>
      <c r="G1260" s="12" t="s">
        <v>2463</v>
      </c>
      <c r="H1260" s="12" t="s">
        <v>52</v>
      </c>
      <c r="I1260" s="12" t="s">
        <v>26</v>
      </c>
      <c r="J1260" s="13" t="s">
        <v>2464</v>
      </c>
      <c r="K1260" s="14" t="s">
        <v>2489</v>
      </c>
      <c r="L1260" s="15">
        <v>3</v>
      </c>
      <c r="M1260" s="15" t="s">
        <v>144</v>
      </c>
      <c r="N1260" s="16">
        <v>44065</v>
      </c>
      <c r="O1260" s="12" t="s">
        <v>9186</v>
      </c>
      <c r="P1260" s="14" t="s">
        <v>9187</v>
      </c>
      <c r="Q1260" s="17" t="s">
        <v>137</v>
      </c>
      <c r="R1260" s="17" t="s">
        <v>146</v>
      </c>
    </row>
    <row r="1261" spans="1:18" x14ac:dyDescent="0.3">
      <c r="A1261" s="12" t="s">
        <v>9188</v>
      </c>
      <c r="B1261" s="12" t="s">
        <v>12</v>
      </c>
      <c r="C1261" s="12"/>
      <c r="D1261" s="12" t="s">
        <v>12</v>
      </c>
      <c r="E1261" s="12" t="s">
        <v>9182</v>
      </c>
      <c r="F1261" s="12" t="s">
        <v>547</v>
      </c>
      <c r="G1261" s="12" t="s">
        <v>2463</v>
      </c>
      <c r="H1261" s="12" t="s">
        <v>52</v>
      </c>
      <c r="I1261" s="12" t="s">
        <v>26</v>
      </c>
      <c r="J1261" s="13" t="s">
        <v>2464</v>
      </c>
      <c r="K1261" s="14" t="s">
        <v>9189</v>
      </c>
      <c r="L1261" s="15">
        <v>1</v>
      </c>
      <c r="M1261" s="15" t="s">
        <v>144</v>
      </c>
      <c r="N1261" s="16">
        <v>39294</v>
      </c>
      <c r="O1261" s="12" t="s">
        <v>9188</v>
      </c>
      <c r="P1261" s="14" t="s">
        <v>9190</v>
      </c>
      <c r="Q1261" s="17" t="s">
        <v>137</v>
      </c>
      <c r="R1261" s="17" t="s">
        <v>146</v>
      </c>
    </row>
    <row r="1262" spans="1:18" x14ac:dyDescent="0.3">
      <c r="A1262" s="12" t="s">
        <v>9191</v>
      </c>
      <c r="B1262" s="12" t="s">
        <v>12</v>
      </c>
      <c r="C1262" s="12"/>
      <c r="D1262" s="12" t="s">
        <v>12</v>
      </c>
      <c r="E1262" s="12" t="s">
        <v>9192</v>
      </c>
      <c r="F1262" s="12" t="s">
        <v>372</v>
      </c>
      <c r="G1262" s="12" t="s">
        <v>2463</v>
      </c>
      <c r="H1262" s="12" t="s">
        <v>52</v>
      </c>
      <c r="I1262" s="12" t="s">
        <v>26</v>
      </c>
      <c r="J1262" s="13" t="s">
        <v>2464</v>
      </c>
      <c r="K1262" s="14" t="s">
        <v>9193</v>
      </c>
      <c r="L1262" s="15">
        <v>1</v>
      </c>
      <c r="M1262" s="15" t="s">
        <v>144</v>
      </c>
      <c r="N1262" s="16">
        <v>41114</v>
      </c>
      <c r="O1262" s="12" t="s">
        <v>9191</v>
      </c>
      <c r="P1262" s="14" t="s">
        <v>9194</v>
      </c>
      <c r="Q1262" s="17" t="s">
        <v>137</v>
      </c>
      <c r="R1262" s="17" t="s">
        <v>146</v>
      </c>
    </row>
    <row r="1263" spans="1:18" x14ac:dyDescent="0.3">
      <c r="A1263" s="12" t="s">
        <v>9195</v>
      </c>
      <c r="B1263" s="12" t="s">
        <v>12</v>
      </c>
      <c r="C1263" s="12"/>
      <c r="D1263" s="12" t="s">
        <v>12</v>
      </c>
      <c r="E1263" s="12" t="s">
        <v>9196</v>
      </c>
      <c r="F1263" s="12" t="s">
        <v>1765</v>
      </c>
      <c r="G1263" s="12" t="s">
        <v>2463</v>
      </c>
      <c r="H1263" s="12" t="s">
        <v>52</v>
      </c>
      <c r="I1263" s="12" t="s">
        <v>26</v>
      </c>
      <c r="J1263" s="13" t="s">
        <v>2464</v>
      </c>
      <c r="K1263" s="14" t="s">
        <v>9197</v>
      </c>
      <c r="L1263" s="15">
        <v>1</v>
      </c>
      <c r="M1263" s="15" t="s">
        <v>144</v>
      </c>
      <c r="N1263" s="16">
        <v>44065</v>
      </c>
      <c r="O1263" s="12" t="s">
        <v>9195</v>
      </c>
      <c r="P1263" s="14" t="s">
        <v>9198</v>
      </c>
      <c r="Q1263" s="17" t="s">
        <v>137</v>
      </c>
      <c r="R1263" s="17" t="s">
        <v>146</v>
      </c>
    </row>
    <row r="1264" spans="1:18" x14ac:dyDescent="0.3">
      <c r="A1264" s="12" t="s">
        <v>9199</v>
      </c>
      <c r="B1264" s="12" t="s">
        <v>12</v>
      </c>
      <c r="C1264" s="12"/>
      <c r="D1264" s="12" t="s">
        <v>12</v>
      </c>
      <c r="E1264" s="12" t="s">
        <v>9200</v>
      </c>
      <c r="F1264" s="12" t="s">
        <v>644</v>
      </c>
      <c r="G1264" s="12" t="s">
        <v>2837</v>
      </c>
      <c r="H1264" s="12" t="s">
        <v>52</v>
      </c>
      <c r="I1264" s="12" t="s">
        <v>26</v>
      </c>
      <c r="J1264" s="13" t="s">
        <v>2464</v>
      </c>
      <c r="K1264" s="14" t="s">
        <v>9201</v>
      </c>
      <c r="L1264" s="15">
        <v>0</v>
      </c>
      <c r="M1264" s="15" t="s">
        <v>144</v>
      </c>
      <c r="N1264" s="16">
        <v>39646</v>
      </c>
      <c r="O1264" s="12" t="s">
        <v>9199</v>
      </c>
      <c r="P1264" s="14" t="s">
        <v>9202</v>
      </c>
      <c r="Q1264" s="17" t="s">
        <v>137</v>
      </c>
      <c r="R1264" s="17" t="s">
        <v>146</v>
      </c>
    </row>
    <row r="1265" spans="1:18" x14ac:dyDescent="0.3">
      <c r="A1265" s="12" t="s">
        <v>9203</v>
      </c>
      <c r="B1265" s="12" t="s">
        <v>10</v>
      </c>
      <c r="C1265" s="12"/>
      <c r="D1265" s="12" t="s">
        <v>1561</v>
      </c>
      <c r="E1265" s="12" t="s">
        <v>9204</v>
      </c>
      <c r="F1265" s="12"/>
      <c r="G1265" s="12" t="s">
        <v>2887</v>
      </c>
      <c r="H1265" s="12" t="s">
        <v>52</v>
      </c>
      <c r="I1265" s="12" t="s">
        <v>26</v>
      </c>
      <c r="J1265" s="13" t="s">
        <v>2888</v>
      </c>
      <c r="K1265" s="14" t="s">
        <v>9205</v>
      </c>
      <c r="L1265" s="15">
        <v>0</v>
      </c>
      <c r="M1265" s="15" t="s">
        <v>144</v>
      </c>
      <c r="N1265" s="16">
        <v>43423</v>
      </c>
      <c r="O1265" s="12" t="s">
        <v>9203</v>
      </c>
      <c r="P1265" s="14" t="s">
        <v>9206</v>
      </c>
      <c r="Q1265" s="17" t="s">
        <v>137</v>
      </c>
      <c r="R1265" s="17" t="s">
        <v>146</v>
      </c>
    </row>
    <row r="1266" spans="1:18" x14ac:dyDescent="0.3">
      <c r="A1266" s="12" t="s">
        <v>9207</v>
      </c>
      <c r="B1266" s="12" t="s">
        <v>12</v>
      </c>
      <c r="C1266" s="12"/>
      <c r="D1266" s="12" t="s">
        <v>12</v>
      </c>
      <c r="E1266" s="12" t="s">
        <v>9208</v>
      </c>
      <c r="F1266" s="12"/>
      <c r="G1266" s="12" t="s">
        <v>9209</v>
      </c>
      <c r="H1266" s="12" t="s">
        <v>52</v>
      </c>
      <c r="I1266" s="12" t="s">
        <v>26</v>
      </c>
      <c r="J1266" s="13" t="s">
        <v>9210</v>
      </c>
      <c r="K1266" s="14" t="s">
        <v>9211</v>
      </c>
      <c r="L1266" s="15">
        <v>1</v>
      </c>
      <c r="M1266" s="15" t="s">
        <v>144</v>
      </c>
      <c r="N1266" s="16">
        <v>41955</v>
      </c>
      <c r="O1266" s="12" t="s">
        <v>9207</v>
      </c>
      <c r="P1266" s="14" t="s">
        <v>9212</v>
      </c>
      <c r="Q1266" s="17" t="s">
        <v>137</v>
      </c>
      <c r="R1266" s="17" t="s">
        <v>146</v>
      </c>
    </row>
    <row r="1267" spans="1:18" x14ac:dyDescent="0.3">
      <c r="A1267" s="12" t="s">
        <v>9213</v>
      </c>
      <c r="B1267" s="12" t="s">
        <v>12</v>
      </c>
      <c r="C1267" s="12"/>
      <c r="D1267" s="12" t="s">
        <v>12</v>
      </c>
      <c r="E1267" s="12" t="s">
        <v>9208</v>
      </c>
      <c r="F1267" s="12"/>
      <c r="G1267" s="12" t="s">
        <v>9209</v>
      </c>
      <c r="H1267" s="12" t="s">
        <v>52</v>
      </c>
      <c r="I1267" s="12" t="s">
        <v>26</v>
      </c>
      <c r="J1267" s="13" t="s">
        <v>9210</v>
      </c>
      <c r="K1267" s="14" t="s">
        <v>9211</v>
      </c>
      <c r="L1267" s="15">
        <v>1</v>
      </c>
      <c r="M1267" s="15" t="s">
        <v>144</v>
      </c>
      <c r="N1267" s="16">
        <v>39286</v>
      </c>
      <c r="O1267" s="12" t="s">
        <v>9213</v>
      </c>
      <c r="P1267" s="14" t="s">
        <v>9214</v>
      </c>
      <c r="Q1267" s="17" t="s">
        <v>137</v>
      </c>
      <c r="R1267" s="17" t="s">
        <v>146</v>
      </c>
    </row>
    <row r="1268" spans="1:18" x14ac:dyDescent="0.3">
      <c r="A1268" s="12" t="s">
        <v>9215</v>
      </c>
      <c r="B1268" s="12" t="s">
        <v>12</v>
      </c>
      <c r="C1268" s="12"/>
      <c r="D1268" s="12" t="s">
        <v>12</v>
      </c>
      <c r="E1268" s="12" t="s">
        <v>9216</v>
      </c>
      <c r="F1268" s="12" t="s">
        <v>9217</v>
      </c>
      <c r="G1268" s="12" t="s">
        <v>9209</v>
      </c>
      <c r="H1268" s="12" t="s">
        <v>52</v>
      </c>
      <c r="I1268" s="12" t="s">
        <v>26</v>
      </c>
      <c r="J1268" s="13" t="s">
        <v>9210</v>
      </c>
      <c r="K1268" s="14" t="s">
        <v>9218</v>
      </c>
      <c r="L1268" s="15">
        <v>1</v>
      </c>
      <c r="M1268" s="15" t="s">
        <v>144</v>
      </c>
      <c r="N1268" s="16">
        <v>42948</v>
      </c>
      <c r="O1268" s="12" t="s">
        <v>9215</v>
      </c>
      <c r="P1268" s="14" t="s">
        <v>9219</v>
      </c>
      <c r="Q1268" s="17" t="s">
        <v>137</v>
      </c>
      <c r="R1268" s="17" t="s">
        <v>146</v>
      </c>
    </row>
    <row r="1269" spans="1:18" x14ac:dyDescent="0.3">
      <c r="A1269" s="12" t="s">
        <v>9220</v>
      </c>
      <c r="B1269" s="12" t="s">
        <v>12</v>
      </c>
      <c r="C1269" s="12"/>
      <c r="D1269" s="12" t="s">
        <v>12</v>
      </c>
      <c r="E1269" s="12" t="s">
        <v>9221</v>
      </c>
      <c r="F1269" s="12"/>
      <c r="G1269" s="12" t="s">
        <v>9222</v>
      </c>
      <c r="H1269" s="12" t="s">
        <v>39</v>
      </c>
      <c r="I1269" s="12" t="s">
        <v>26</v>
      </c>
      <c r="J1269" s="13" t="s">
        <v>9223</v>
      </c>
      <c r="K1269" s="14" t="s">
        <v>9224</v>
      </c>
      <c r="L1269" s="15">
        <v>0</v>
      </c>
      <c r="M1269" s="15" t="s">
        <v>144</v>
      </c>
      <c r="N1269" s="16">
        <v>41912</v>
      </c>
      <c r="O1269" s="12" t="s">
        <v>9220</v>
      </c>
      <c r="P1269" s="14" t="s">
        <v>9225</v>
      </c>
      <c r="Q1269" s="17" t="s">
        <v>137</v>
      </c>
      <c r="R1269" s="17" t="s">
        <v>146</v>
      </c>
    </row>
    <row r="1270" spans="1:18" x14ac:dyDescent="0.3">
      <c r="A1270" s="12" t="s">
        <v>9226</v>
      </c>
      <c r="B1270" s="12" t="s">
        <v>14</v>
      </c>
      <c r="C1270" s="12"/>
      <c r="D1270" s="12" t="s">
        <v>14</v>
      </c>
      <c r="E1270" s="12" t="s">
        <v>9227</v>
      </c>
      <c r="F1270" s="12"/>
      <c r="G1270" s="12" t="s">
        <v>9222</v>
      </c>
      <c r="H1270" s="12" t="s">
        <v>39</v>
      </c>
      <c r="I1270" s="12" t="s">
        <v>26</v>
      </c>
      <c r="J1270" s="13" t="s">
        <v>9223</v>
      </c>
      <c r="K1270" s="14" t="s">
        <v>9228</v>
      </c>
      <c r="L1270" s="15">
        <v>1</v>
      </c>
      <c r="M1270" s="15" t="s">
        <v>144</v>
      </c>
      <c r="N1270" s="16">
        <v>41877</v>
      </c>
      <c r="O1270" s="12" t="s">
        <v>9226</v>
      </c>
      <c r="P1270" s="14" t="s">
        <v>9229</v>
      </c>
      <c r="Q1270" s="17" t="s">
        <v>137</v>
      </c>
      <c r="R1270" s="17" t="s">
        <v>146</v>
      </c>
    </row>
    <row r="1271" spans="1:18" x14ac:dyDescent="0.3">
      <c r="A1271" s="12" t="s">
        <v>9230</v>
      </c>
      <c r="B1271" s="12" t="s">
        <v>12</v>
      </c>
      <c r="C1271" s="12"/>
      <c r="D1271" s="12" t="s">
        <v>12</v>
      </c>
      <c r="E1271" s="12" t="s">
        <v>9221</v>
      </c>
      <c r="F1271" s="12"/>
      <c r="G1271" s="12" t="s">
        <v>9222</v>
      </c>
      <c r="H1271" s="12" t="s">
        <v>39</v>
      </c>
      <c r="I1271" s="12" t="s">
        <v>26</v>
      </c>
      <c r="J1271" s="13" t="s">
        <v>9223</v>
      </c>
      <c r="K1271" s="14" t="s">
        <v>9231</v>
      </c>
      <c r="L1271" s="15">
        <v>0</v>
      </c>
      <c r="M1271" s="15" t="s">
        <v>144</v>
      </c>
      <c r="N1271" s="16">
        <v>39743</v>
      </c>
      <c r="O1271" s="12" t="s">
        <v>9232</v>
      </c>
      <c r="P1271" s="14" t="s">
        <v>9233</v>
      </c>
      <c r="Q1271" s="17" t="s">
        <v>137</v>
      </c>
      <c r="R1271" s="17" t="s">
        <v>146</v>
      </c>
    </row>
    <row r="1272" spans="1:18" x14ac:dyDescent="0.3">
      <c r="A1272" s="12" t="s">
        <v>9234</v>
      </c>
      <c r="B1272" s="12" t="s">
        <v>12</v>
      </c>
      <c r="C1272" s="12"/>
      <c r="D1272" s="12" t="s">
        <v>12</v>
      </c>
      <c r="E1272" s="12" t="s">
        <v>9235</v>
      </c>
      <c r="F1272" s="12"/>
      <c r="G1272" s="12" t="s">
        <v>9236</v>
      </c>
      <c r="H1272" s="12" t="s">
        <v>39</v>
      </c>
      <c r="I1272" s="12" t="s">
        <v>26</v>
      </c>
      <c r="J1272" s="13" t="s">
        <v>9237</v>
      </c>
      <c r="K1272" s="14" t="s">
        <v>9238</v>
      </c>
      <c r="L1272" s="15">
        <v>1</v>
      </c>
      <c r="M1272" s="15" t="s">
        <v>144</v>
      </c>
      <c r="N1272" s="16">
        <v>39377</v>
      </c>
      <c r="O1272" s="12" t="s">
        <v>9234</v>
      </c>
      <c r="P1272" s="14" t="s">
        <v>9239</v>
      </c>
      <c r="Q1272" s="17" t="s">
        <v>137</v>
      </c>
      <c r="R1272" s="17" t="s">
        <v>146</v>
      </c>
    </row>
    <row r="1273" spans="1:18" x14ac:dyDescent="0.3">
      <c r="A1273" s="12" t="s">
        <v>9240</v>
      </c>
      <c r="B1273" s="12" t="s">
        <v>12</v>
      </c>
      <c r="C1273" s="12"/>
      <c r="D1273" s="12" t="s">
        <v>12</v>
      </c>
      <c r="E1273" s="12" t="s">
        <v>9235</v>
      </c>
      <c r="F1273" s="12"/>
      <c r="G1273" s="12" t="s">
        <v>9236</v>
      </c>
      <c r="H1273" s="12" t="s">
        <v>39</v>
      </c>
      <c r="I1273" s="12" t="s">
        <v>26</v>
      </c>
      <c r="J1273" s="13" t="s">
        <v>9237</v>
      </c>
      <c r="K1273" s="14" t="s">
        <v>9241</v>
      </c>
      <c r="L1273" s="15">
        <v>1</v>
      </c>
      <c r="M1273" s="15" t="s">
        <v>144</v>
      </c>
      <c r="N1273" s="16">
        <v>39632</v>
      </c>
      <c r="O1273" s="12" t="s">
        <v>9240</v>
      </c>
      <c r="P1273" s="14" t="s">
        <v>9242</v>
      </c>
      <c r="Q1273" s="17" t="s">
        <v>137</v>
      </c>
      <c r="R1273" s="17" t="s">
        <v>146</v>
      </c>
    </row>
    <row r="1274" spans="1:18" x14ac:dyDescent="0.3">
      <c r="A1274" s="12" t="s">
        <v>9243</v>
      </c>
      <c r="B1274" s="12" t="s">
        <v>12</v>
      </c>
      <c r="C1274" s="12"/>
      <c r="D1274" s="12" t="s">
        <v>12</v>
      </c>
      <c r="E1274" s="12" t="s">
        <v>9244</v>
      </c>
      <c r="F1274" s="12"/>
      <c r="G1274" s="12" t="s">
        <v>2492</v>
      </c>
      <c r="H1274" s="12" t="s">
        <v>39</v>
      </c>
      <c r="I1274" s="12" t="s">
        <v>26</v>
      </c>
      <c r="J1274" s="13" t="s">
        <v>2493</v>
      </c>
      <c r="K1274" s="14" t="s">
        <v>9245</v>
      </c>
      <c r="L1274" s="15">
        <v>1</v>
      </c>
      <c r="M1274" s="15" t="s">
        <v>144</v>
      </c>
      <c r="N1274" s="16">
        <v>40113</v>
      </c>
      <c r="O1274" s="12" t="s">
        <v>9243</v>
      </c>
      <c r="P1274" s="14" t="s">
        <v>9246</v>
      </c>
      <c r="Q1274" s="17" t="s">
        <v>137</v>
      </c>
      <c r="R1274" s="17" t="s">
        <v>146</v>
      </c>
    </row>
    <row r="1275" spans="1:18" x14ac:dyDescent="0.3">
      <c r="A1275" s="12" t="s">
        <v>9247</v>
      </c>
      <c r="B1275" s="12" t="s">
        <v>12</v>
      </c>
      <c r="C1275" s="12"/>
      <c r="D1275" s="12" t="s">
        <v>12</v>
      </c>
      <c r="E1275" s="12" t="s">
        <v>9248</v>
      </c>
      <c r="F1275" s="12"/>
      <c r="G1275" s="12" t="s">
        <v>2492</v>
      </c>
      <c r="H1275" s="12" t="s">
        <v>39</v>
      </c>
      <c r="I1275" s="12" t="s">
        <v>26</v>
      </c>
      <c r="J1275" s="13" t="s">
        <v>2493</v>
      </c>
      <c r="K1275" s="14" t="s">
        <v>9249</v>
      </c>
      <c r="L1275" s="15">
        <v>1</v>
      </c>
      <c r="M1275" s="15" t="s">
        <v>144</v>
      </c>
      <c r="N1275" s="16">
        <v>44065</v>
      </c>
      <c r="O1275" s="12" t="s">
        <v>9247</v>
      </c>
      <c r="P1275" s="14" t="s">
        <v>9250</v>
      </c>
      <c r="Q1275" s="17" t="s">
        <v>137</v>
      </c>
      <c r="R1275" s="17" t="s">
        <v>146</v>
      </c>
    </row>
    <row r="1276" spans="1:18" x14ac:dyDescent="0.3">
      <c r="A1276" s="12" t="s">
        <v>9251</v>
      </c>
      <c r="B1276" s="12" t="s">
        <v>12</v>
      </c>
      <c r="C1276" s="12"/>
      <c r="D1276" s="12" t="s">
        <v>12</v>
      </c>
      <c r="E1276" s="12" t="s">
        <v>9252</v>
      </c>
      <c r="F1276" s="12"/>
      <c r="G1276" s="12" t="s">
        <v>2492</v>
      </c>
      <c r="H1276" s="12" t="s">
        <v>39</v>
      </c>
      <c r="I1276" s="12" t="s">
        <v>26</v>
      </c>
      <c r="J1276" s="13" t="s">
        <v>2493</v>
      </c>
      <c r="K1276" s="14" t="s">
        <v>9253</v>
      </c>
      <c r="L1276" s="15">
        <v>1</v>
      </c>
      <c r="M1276" s="15" t="s">
        <v>144</v>
      </c>
      <c r="N1276" s="16">
        <v>40248</v>
      </c>
      <c r="O1276" s="12" t="s">
        <v>9251</v>
      </c>
      <c r="P1276" s="14" t="s">
        <v>9254</v>
      </c>
      <c r="Q1276" s="17" t="s">
        <v>137</v>
      </c>
      <c r="R1276" s="17" t="s">
        <v>146</v>
      </c>
    </row>
    <row r="1277" spans="1:18" x14ac:dyDescent="0.3">
      <c r="A1277" s="12" t="s">
        <v>9255</v>
      </c>
      <c r="B1277" s="12" t="s">
        <v>12</v>
      </c>
      <c r="C1277" s="12"/>
      <c r="D1277" s="12" t="s">
        <v>12</v>
      </c>
      <c r="E1277" s="12" t="s">
        <v>9256</v>
      </c>
      <c r="F1277" s="12" t="s">
        <v>164</v>
      </c>
      <c r="G1277" s="12" t="s">
        <v>2492</v>
      </c>
      <c r="H1277" s="12" t="s">
        <v>39</v>
      </c>
      <c r="I1277" s="12" t="s">
        <v>26</v>
      </c>
      <c r="J1277" s="13" t="s">
        <v>2493</v>
      </c>
      <c r="K1277" s="14" t="s">
        <v>9257</v>
      </c>
      <c r="L1277" s="15">
        <v>2</v>
      </c>
      <c r="M1277" s="15" t="s">
        <v>144</v>
      </c>
      <c r="N1277" s="16">
        <v>42556</v>
      </c>
      <c r="O1277" s="12" t="s">
        <v>9258</v>
      </c>
      <c r="P1277" s="14" t="s">
        <v>9259</v>
      </c>
      <c r="Q1277" s="17" t="s">
        <v>137</v>
      </c>
      <c r="R1277" s="17" t="s">
        <v>146</v>
      </c>
    </row>
    <row r="1278" spans="1:18" x14ac:dyDescent="0.3">
      <c r="A1278" s="12" t="s">
        <v>9260</v>
      </c>
      <c r="B1278" s="12" t="s">
        <v>12</v>
      </c>
      <c r="C1278" s="12"/>
      <c r="D1278" s="12" t="s">
        <v>12</v>
      </c>
      <c r="E1278" s="12" t="s">
        <v>9248</v>
      </c>
      <c r="F1278" s="12"/>
      <c r="G1278" s="12" t="s">
        <v>2492</v>
      </c>
      <c r="H1278" s="12" t="s">
        <v>39</v>
      </c>
      <c r="I1278" s="12" t="s">
        <v>26</v>
      </c>
      <c r="J1278" s="13" t="s">
        <v>2493</v>
      </c>
      <c r="K1278" s="14" t="s">
        <v>9249</v>
      </c>
      <c r="L1278" s="15">
        <v>1</v>
      </c>
      <c r="M1278" s="15" t="s">
        <v>144</v>
      </c>
      <c r="N1278" s="16">
        <v>40157</v>
      </c>
      <c r="O1278" s="12" t="s">
        <v>9261</v>
      </c>
      <c r="P1278" s="14" t="s">
        <v>9262</v>
      </c>
      <c r="Q1278" s="17" t="s">
        <v>137</v>
      </c>
      <c r="R1278" s="17" t="s">
        <v>146</v>
      </c>
    </row>
    <row r="1279" spans="1:18" x14ac:dyDescent="0.3">
      <c r="A1279" s="12" t="s">
        <v>9263</v>
      </c>
      <c r="B1279" s="12" t="s">
        <v>12</v>
      </c>
      <c r="C1279" s="12"/>
      <c r="D1279" s="12" t="s">
        <v>12</v>
      </c>
      <c r="E1279" s="12" t="s">
        <v>9264</v>
      </c>
      <c r="F1279" s="12"/>
      <c r="G1279" s="12" t="s">
        <v>2492</v>
      </c>
      <c r="H1279" s="12" t="s">
        <v>39</v>
      </c>
      <c r="I1279" s="12" t="s">
        <v>26</v>
      </c>
      <c r="J1279" s="13" t="s">
        <v>2493</v>
      </c>
      <c r="K1279" s="14" t="s">
        <v>9265</v>
      </c>
      <c r="L1279" s="15">
        <v>0</v>
      </c>
      <c r="M1279" s="15" t="s">
        <v>144</v>
      </c>
      <c r="N1279" s="16">
        <v>39304</v>
      </c>
      <c r="O1279" s="12" t="s">
        <v>9263</v>
      </c>
      <c r="P1279" s="14" t="s">
        <v>9266</v>
      </c>
      <c r="Q1279" s="17" t="s">
        <v>137</v>
      </c>
      <c r="R1279" s="17" t="s">
        <v>146</v>
      </c>
    </row>
    <row r="1280" spans="1:18" x14ac:dyDescent="0.3">
      <c r="A1280" s="12" t="s">
        <v>9267</v>
      </c>
      <c r="B1280" s="12" t="s">
        <v>12</v>
      </c>
      <c r="C1280" s="12"/>
      <c r="D1280" s="12" t="s">
        <v>12</v>
      </c>
      <c r="E1280" s="12" t="s">
        <v>9268</v>
      </c>
      <c r="F1280" s="12"/>
      <c r="G1280" s="12" t="s">
        <v>2492</v>
      </c>
      <c r="H1280" s="12" t="s">
        <v>39</v>
      </c>
      <c r="I1280" s="12" t="s">
        <v>26</v>
      </c>
      <c r="J1280" s="13" t="s">
        <v>2493</v>
      </c>
      <c r="K1280" s="14" t="s">
        <v>996</v>
      </c>
      <c r="L1280" s="15">
        <v>0</v>
      </c>
      <c r="M1280" s="15" t="s">
        <v>144</v>
      </c>
      <c r="N1280" s="16">
        <v>41943</v>
      </c>
      <c r="O1280" s="12" t="s">
        <v>9267</v>
      </c>
      <c r="P1280" s="14" t="s">
        <v>9269</v>
      </c>
      <c r="Q1280" s="17" t="s">
        <v>137</v>
      </c>
      <c r="R1280" s="17" t="s">
        <v>146</v>
      </c>
    </row>
    <row r="1281" spans="1:18" x14ac:dyDescent="0.3">
      <c r="A1281" s="12" t="s">
        <v>9270</v>
      </c>
      <c r="B1281" s="12" t="s">
        <v>12</v>
      </c>
      <c r="C1281" s="12"/>
      <c r="D1281" s="12" t="s">
        <v>12</v>
      </c>
      <c r="E1281" s="12" t="s">
        <v>9271</v>
      </c>
      <c r="F1281" s="12"/>
      <c r="G1281" s="12" t="s">
        <v>2492</v>
      </c>
      <c r="H1281" s="12" t="s">
        <v>39</v>
      </c>
      <c r="I1281" s="12" t="s">
        <v>26</v>
      </c>
      <c r="J1281" s="13" t="s">
        <v>2493</v>
      </c>
      <c r="K1281" s="14" t="s">
        <v>9272</v>
      </c>
      <c r="L1281" s="15">
        <v>0</v>
      </c>
      <c r="M1281" s="15" t="s">
        <v>144</v>
      </c>
      <c r="N1281" s="16">
        <v>41863</v>
      </c>
      <c r="O1281" s="12" t="s">
        <v>9270</v>
      </c>
      <c r="P1281" s="14" t="s">
        <v>9273</v>
      </c>
      <c r="Q1281" s="17" t="s">
        <v>137</v>
      </c>
      <c r="R1281" s="17" t="s">
        <v>146</v>
      </c>
    </row>
    <row r="1282" spans="1:18" x14ac:dyDescent="0.3">
      <c r="A1282" s="12" t="s">
        <v>9274</v>
      </c>
      <c r="B1282" s="12" t="s">
        <v>12</v>
      </c>
      <c r="C1282" s="12"/>
      <c r="D1282" s="12" t="s">
        <v>12</v>
      </c>
      <c r="E1282" s="12" t="s">
        <v>9275</v>
      </c>
      <c r="F1282" s="12" t="s">
        <v>293</v>
      </c>
      <c r="G1282" s="12" t="s">
        <v>2492</v>
      </c>
      <c r="H1282" s="12" t="s">
        <v>39</v>
      </c>
      <c r="I1282" s="12" t="s">
        <v>26</v>
      </c>
      <c r="J1282" s="13" t="s">
        <v>2493</v>
      </c>
      <c r="K1282" s="14" t="s">
        <v>9276</v>
      </c>
      <c r="L1282" s="15">
        <v>1</v>
      </c>
      <c r="M1282" s="15" t="s">
        <v>144</v>
      </c>
      <c r="N1282" s="16">
        <v>42537</v>
      </c>
      <c r="O1282" s="12" t="s">
        <v>9274</v>
      </c>
      <c r="P1282" s="14" t="s">
        <v>9277</v>
      </c>
      <c r="Q1282" s="17" t="s">
        <v>137</v>
      </c>
      <c r="R1282" s="17" t="s">
        <v>146</v>
      </c>
    </row>
    <row r="1283" spans="1:18" x14ac:dyDescent="0.3">
      <c r="A1283" s="12" t="s">
        <v>9278</v>
      </c>
      <c r="B1283" s="12" t="s">
        <v>12</v>
      </c>
      <c r="C1283" s="12"/>
      <c r="D1283" s="12" t="s">
        <v>12</v>
      </c>
      <c r="E1283" s="12" t="s">
        <v>9279</v>
      </c>
      <c r="F1283" s="12"/>
      <c r="G1283" s="12" t="s">
        <v>313</v>
      </c>
      <c r="H1283" s="12" t="s">
        <v>39</v>
      </c>
      <c r="I1283" s="12" t="s">
        <v>26</v>
      </c>
      <c r="J1283" s="13" t="s">
        <v>314</v>
      </c>
      <c r="K1283" s="14" t="s">
        <v>9280</v>
      </c>
      <c r="L1283" s="15">
        <v>0</v>
      </c>
      <c r="M1283" s="15" t="s">
        <v>144</v>
      </c>
      <c r="N1283" s="16">
        <v>40192</v>
      </c>
      <c r="O1283" s="12" t="s">
        <v>9278</v>
      </c>
      <c r="P1283" s="14" t="s">
        <v>9281</v>
      </c>
      <c r="Q1283" s="17" t="s">
        <v>137</v>
      </c>
      <c r="R1283" s="17" t="s">
        <v>146</v>
      </c>
    </row>
    <row r="1284" spans="1:18" x14ac:dyDescent="0.3">
      <c r="A1284" s="12" t="s">
        <v>9282</v>
      </c>
      <c r="B1284" s="12" t="s">
        <v>12</v>
      </c>
      <c r="C1284" s="12"/>
      <c r="D1284" s="12" t="s">
        <v>12</v>
      </c>
      <c r="E1284" s="12" t="s">
        <v>9283</v>
      </c>
      <c r="F1284" s="12"/>
      <c r="G1284" s="12" t="s">
        <v>313</v>
      </c>
      <c r="H1284" s="12" t="s">
        <v>39</v>
      </c>
      <c r="I1284" s="12" t="s">
        <v>26</v>
      </c>
      <c r="J1284" s="13" t="s">
        <v>314</v>
      </c>
      <c r="K1284" s="14" t="s">
        <v>9284</v>
      </c>
      <c r="L1284" s="15">
        <v>2</v>
      </c>
      <c r="M1284" s="15" t="s">
        <v>144</v>
      </c>
      <c r="N1284" s="16">
        <v>44065</v>
      </c>
      <c r="O1284" s="12" t="s">
        <v>9282</v>
      </c>
      <c r="P1284" s="14" t="s">
        <v>9285</v>
      </c>
      <c r="Q1284" s="17" t="s">
        <v>137</v>
      </c>
      <c r="R1284" s="17" t="s">
        <v>146</v>
      </c>
    </row>
    <row r="1285" spans="1:18" x14ac:dyDescent="0.3">
      <c r="A1285" s="12" t="s">
        <v>9286</v>
      </c>
      <c r="B1285" s="12" t="s">
        <v>12</v>
      </c>
      <c r="C1285" s="12"/>
      <c r="D1285" s="12" t="s">
        <v>12</v>
      </c>
      <c r="E1285" s="12" t="s">
        <v>9287</v>
      </c>
      <c r="F1285" s="12" t="s">
        <v>2372</v>
      </c>
      <c r="G1285" s="12" t="s">
        <v>313</v>
      </c>
      <c r="H1285" s="12" t="s">
        <v>39</v>
      </c>
      <c r="I1285" s="12" t="s">
        <v>26</v>
      </c>
      <c r="J1285" s="13" t="s">
        <v>314</v>
      </c>
      <c r="K1285" s="14" t="s">
        <v>9288</v>
      </c>
      <c r="L1285" s="15">
        <v>1</v>
      </c>
      <c r="M1285" s="15" t="s">
        <v>144</v>
      </c>
      <c r="N1285" s="16">
        <v>39521</v>
      </c>
      <c r="O1285" s="12" t="s">
        <v>9289</v>
      </c>
      <c r="P1285" s="14" t="s">
        <v>9290</v>
      </c>
      <c r="Q1285" s="17" t="s">
        <v>137</v>
      </c>
      <c r="R1285" s="17" t="s">
        <v>146</v>
      </c>
    </row>
    <row r="1286" spans="1:18" x14ac:dyDescent="0.3">
      <c r="A1286" s="12" t="s">
        <v>9291</v>
      </c>
      <c r="B1286" s="12" t="s">
        <v>12</v>
      </c>
      <c r="C1286" s="12"/>
      <c r="D1286" s="12" t="s">
        <v>12</v>
      </c>
      <c r="E1286" s="12" t="s">
        <v>2506</v>
      </c>
      <c r="F1286" s="12" t="s">
        <v>372</v>
      </c>
      <c r="G1286" s="12" t="s">
        <v>313</v>
      </c>
      <c r="H1286" s="12" t="s">
        <v>39</v>
      </c>
      <c r="I1286" s="12" t="s">
        <v>26</v>
      </c>
      <c r="J1286" s="13" t="s">
        <v>314</v>
      </c>
      <c r="K1286" s="14" t="s">
        <v>9292</v>
      </c>
      <c r="L1286" s="15">
        <v>1</v>
      </c>
      <c r="M1286" s="15" t="s">
        <v>144</v>
      </c>
      <c r="N1286" s="16">
        <v>43878</v>
      </c>
      <c r="O1286" s="12" t="s">
        <v>9291</v>
      </c>
      <c r="P1286" s="14" t="s">
        <v>9293</v>
      </c>
      <c r="Q1286" s="17" t="s">
        <v>137</v>
      </c>
      <c r="R1286" s="17" t="s">
        <v>146</v>
      </c>
    </row>
    <row r="1287" spans="1:18" x14ac:dyDescent="0.3">
      <c r="A1287" s="12" t="s">
        <v>9294</v>
      </c>
      <c r="B1287" s="12" t="s">
        <v>12</v>
      </c>
      <c r="C1287" s="12"/>
      <c r="D1287" s="12" t="s">
        <v>12</v>
      </c>
      <c r="E1287" s="12" t="s">
        <v>2511</v>
      </c>
      <c r="F1287" s="12"/>
      <c r="G1287" s="12" t="s">
        <v>313</v>
      </c>
      <c r="H1287" s="12" t="s">
        <v>39</v>
      </c>
      <c r="I1287" s="12" t="s">
        <v>26</v>
      </c>
      <c r="J1287" s="13" t="s">
        <v>314</v>
      </c>
      <c r="K1287" s="14" t="s">
        <v>9295</v>
      </c>
      <c r="L1287" s="15">
        <v>0</v>
      </c>
      <c r="M1287" s="15" t="s">
        <v>144</v>
      </c>
      <c r="N1287" s="16">
        <v>44065</v>
      </c>
      <c r="O1287" s="12" t="s">
        <v>9294</v>
      </c>
      <c r="P1287" s="14" t="s">
        <v>9296</v>
      </c>
      <c r="Q1287" s="17" t="s">
        <v>137</v>
      </c>
      <c r="R1287" s="17" t="s">
        <v>146</v>
      </c>
    </row>
    <row r="1288" spans="1:18" x14ac:dyDescent="0.3">
      <c r="A1288" s="12" t="s">
        <v>9297</v>
      </c>
      <c r="B1288" s="12" t="s">
        <v>12</v>
      </c>
      <c r="C1288" s="12"/>
      <c r="D1288" s="12" t="s">
        <v>12</v>
      </c>
      <c r="E1288" s="12" t="s">
        <v>9298</v>
      </c>
      <c r="F1288" s="12"/>
      <c r="G1288" s="12" t="s">
        <v>313</v>
      </c>
      <c r="H1288" s="12" t="s">
        <v>39</v>
      </c>
      <c r="I1288" s="12" t="s">
        <v>26</v>
      </c>
      <c r="J1288" s="13" t="s">
        <v>314</v>
      </c>
      <c r="K1288" s="14" t="s">
        <v>9299</v>
      </c>
      <c r="L1288" s="15">
        <v>1</v>
      </c>
      <c r="M1288" s="15" t="s">
        <v>144</v>
      </c>
      <c r="N1288" s="16">
        <v>41246</v>
      </c>
      <c r="O1288" s="12" t="s">
        <v>9297</v>
      </c>
      <c r="P1288" s="14" t="s">
        <v>9300</v>
      </c>
      <c r="Q1288" s="17" t="s">
        <v>137</v>
      </c>
      <c r="R1288" s="17" t="s">
        <v>146</v>
      </c>
    </row>
    <row r="1289" spans="1:18" x14ac:dyDescent="0.3">
      <c r="A1289" s="12" t="s">
        <v>9301</v>
      </c>
      <c r="B1289" s="12" t="s">
        <v>14</v>
      </c>
      <c r="C1289" s="12"/>
      <c r="D1289" s="12" t="s">
        <v>14</v>
      </c>
      <c r="E1289" s="12" t="s">
        <v>9302</v>
      </c>
      <c r="F1289" s="12" t="s">
        <v>9303</v>
      </c>
      <c r="G1289" s="12" t="s">
        <v>313</v>
      </c>
      <c r="H1289" s="12" t="s">
        <v>39</v>
      </c>
      <c r="I1289" s="12" t="s">
        <v>26</v>
      </c>
      <c r="J1289" s="13" t="s">
        <v>314</v>
      </c>
      <c r="K1289" s="14" t="s">
        <v>9304</v>
      </c>
      <c r="L1289" s="15">
        <v>0</v>
      </c>
      <c r="M1289" s="15" t="s">
        <v>144</v>
      </c>
      <c r="N1289" s="16">
        <v>43910</v>
      </c>
      <c r="O1289" s="12" t="s">
        <v>9301</v>
      </c>
      <c r="P1289" s="14" t="s">
        <v>9305</v>
      </c>
      <c r="Q1289" s="17" t="s">
        <v>137</v>
      </c>
      <c r="R1289" s="17" t="s">
        <v>146</v>
      </c>
    </row>
    <row r="1290" spans="1:18" x14ac:dyDescent="0.3">
      <c r="A1290" s="12" t="s">
        <v>9306</v>
      </c>
      <c r="B1290" s="12" t="s">
        <v>12</v>
      </c>
      <c r="C1290" s="12"/>
      <c r="D1290" s="12" t="s">
        <v>12</v>
      </c>
      <c r="E1290" s="12" t="s">
        <v>9307</v>
      </c>
      <c r="F1290" s="12" t="s">
        <v>188</v>
      </c>
      <c r="G1290" s="12" t="s">
        <v>2517</v>
      </c>
      <c r="H1290" s="12" t="s">
        <v>39</v>
      </c>
      <c r="I1290" s="12" t="s">
        <v>26</v>
      </c>
      <c r="J1290" s="13" t="s">
        <v>2518</v>
      </c>
      <c r="K1290" s="14" t="s">
        <v>9308</v>
      </c>
      <c r="L1290" s="15">
        <v>1</v>
      </c>
      <c r="M1290" s="15" t="s">
        <v>144</v>
      </c>
      <c r="N1290" s="16">
        <v>39525</v>
      </c>
      <c r="O1290" s="12" t="s">
        <v>9306</v>
      </c>
      <c r="P1290" s="14" t="s">
        <v>9309</v>
      </c>
      <c r="Q1290" s="17" t="s">
        <v>137</v>
      </c>
      <c r="R1290" s="17" t="s">
        <v>146</v>
      </c>
    </row>
    <row r="1291" spans="1:18" x14ac:dyDescent="0.3">
      <c r="A1291" s="12" t="s">
        <v>9310</v>
      </c>
      <c r="B1291" s="12" t="s">
        <v>12</v>
      </c>
      <c r="C1291" s="12"/>
      <c r="D1291" s="12" t="s">
        <v>12</v>
      </c>
      <c r="E1291" s="12" t="s">
        <v>9311</v>
      </c>
      <c r="F1291" s="12" t="s">
        <v>9312</v>
      </c>
      <c r="G1291" s="12" t="s">
        <v>2517</v>
      </c>
      <c r="H1291" s="12" t="s">
        <v>39</v>
      </c>
      <c r="I1291" s="12" t="s">
        <v>26</v>
      </c>
      <c r="J1291" s="13" t="s">
        <v>2518</v>
      </c>
      <c r="K1291" s="14" t="s">
        <v>9313</v>
      </c>
      <c r="L1291" s="15">
        <v>1</v>
      </c>
      <c r="M1291" s="15" t="s">
        <v>144</v>
      </c>
      <c r="N1291" s="16">
        <v>40207</v>
      </c>
      <c r="O1291" s="12" t="s">
        <v>9314</v>
      </c>
      <c r="P1291" s="14" t="s">
        <v>9315</v>
      </c>
      <c r="Q1291" s="17" t="s">
        <v>137</v>
      </c>
      <c r="R1291" s="17" t="s">
        <v>146</v>
      </c>
    </row>
    <row r="1292" spans="1:18" x14ac:dyDescent="0.3">
      <c r="A1292" s="12" t="s">
        <v>9316</v>
      </c>
      <c r="B1292" s="12" t="s">
        <v>12</v>
      </c>
      <c r="C1292" s="12"/>
      <c r="D1292" s="12" t="s">
        <v>12</v>
      </c>
      <c r="E1292" s="12" t="s">
        <v>9317</v>
      </c>
      <c r="F1292" s="12" t="s">
        <v>389</v>
      </c>
      <c r="G1292" s="12" t="s">
        <v>2517</v>
      </c>
      <c r="H1292" s="12" t="s">
        <v>39</v>
      </c>
      <c r="I1292" s="12" t="s">
        <v>26</v>
      </c>
      <c r="J1292" s="13" t="s">
        <v>2518</v>
      </c>
      <c r="K1292" s="14" t="s">
        <v>9318</v>
      </c>
      <c r="L1292" s="15">
        <v>0</v>
      </c>
      <c r="M1292" s="15" t="s">
        <v>144</v>
      </c>
      <c r="N1292" s="16">
        <v>42860</v>
      </c>
      <c r="O1292" s="12" t="s">
        <v>9316</v>
      </c>
      <c r="P1292" s="14" t="s">
        <v>9319</v>
      </c>
      <c r="Q1292" s="17" t="s">
        <v>137</v>
      </c>
      <c r="R1292" s="17" t="s">
        <v>146</v>
      </c>
    </row>
    <row r="1293" spans="1:18" x14ac:dyDescent="0.3">
      <c r="A1293" s="12" t="s">
        <v>9320</v>
      </c>
      <c r="B1293" s="12" t="s">
        <v>12</v>
      </c>
      <c r="C1293" s="12"/>
      <c r="D1293" s="12" t="s">
        <v>12</v>
      </c>
      <c r="E1293" s="12" t="s">
        <v>9321</v>
      </c>
      <c r="F1293" s="12"/>
      <c r="G1293" s="12" t="s">
        <v>2527</v>
      </c>
      <c r="H1293" s="12" t="s">
        <v>39</v>
      </c>
      <c r="I1293" s="12" t="s">
        <v>26</v>
      </c>
      <c r="J1293" s="13" t="s">
        <v>2528</v>
      </c>
      <c r="K1293" s="14" t="s">
        <v>9322</v>
      </c>
      <c r="L1293" s="15">
        <v>2</v>
      </c>
      <c r="M1293" s="15" t="s">
        <v>144</v>
      </c>
      <c r="N1293" s="16">
        <v>39358</v>
      </c>
      <c r="O1293" s="12" t="s">
        <v>9323</v>
      </c>
      <c r="P1293" s="14" t="s">
        <v>9324</v>
      </c>
      <c r="Q1293" s="17" t="s">
        <v>137</v>
      </c>
      <c r="R1293" s="17" t="s">
        <v>146</v>
      </c>
    </row>
    <row r="1294" spans="1:18" x14ac:dyDescent="0.3">
      <c r="A1294" s="12" t="s">
        <v>9325</v>
      </c>
      <c r="B1294" s="12" t="s">
        <v>12</v>
      </c>
      <c r="C1294" s="12"/>
      <c r="D1294" s="12" t="s">
        <v>12</v>
      </c>
      <c r="E1294" s="12" t="s">
        <v>9326</v>
      </c>
      <c r="F1294" s="12" t="s">
        <v>547</v>
      </c>
      <c r="G1294" s="12" t="s">
        <v>2527</v>
      </c>
      <c r="H1294" s="12" t="s">
        <v>39</v>
      </c>
      <c r="I1294" s="12" t="s">
        <v>26</v>
      </c>
      <c r="J1294" s="13" t="s">
        <v>2528</v>
      </c>
      <c r="K1294" s="14" t="s">
        <v>9327</v>
      </c>
      <c r="L1294" s="15">
        <v>1</v>
      </c>
      <c r="M1294" s="15" t="s">
        <v>144</v>
      </c>
      <c r="N1294" s="16">
        <v>39280</v>
      </c>
      <c r="O1294" s="12" t="s">
        <v>9325</v>
      </c>
      <c r="P1294" s="14" t="s">
        <v>9328</v>
      </c>
      <c r="Q1294" s="17" t="s">
        <v>137</v>
      </c>
      <c r="R1294" s="17" t="s">
        <v>146</v>
      </c>
    </row>
    <row r="1295" spans="1:18" x14ac:dyDescent="0.3">
      <c r="A1295" s="12" t="s">
        <v>9329</v>
      </c>
      <c r="B1295" s="12" t="s">
        <v>12</v>
      </c>
      <c r="C1295" s="12"/>
      <c r="D1295" s="12" t="s">
        <v>12</v>
      </c>
      <c r="E1295" s="12" t="s">
        <v>9330</v>
      </c>
      <c r="F1295" s="12"/>
      <c r="G1295" s="12" t="s">
        <v>2527</v>
      </c>
      <c r="H1295" s="12" t="s">
        <v>39</v>
      </c>
      <c r="I1295" s="12" t="s">
        <v>26</v>
      </c>
      <c r="J1295" s="13" t="s">
        <v>2528</v>
      </c>
      <c r="K1295" s="14" t="s">
        <v>9331</v>
      </c>
      <c r="L1295" s="15">
        <v>0</v>
      </c>
      <c r="M1295" s="15" t="s">
        <v>144</v>
      </c>
      <c r="N1295" s="16">
        <v>41311</v>
      </c>
      <c r="O1295" s="12" t="s">
        <v>9329</v>
      </c>
      <c r="P1295" s="14" t="s">
        <v>9332</v>
      </c>
      <c r="Q1295" s="17" t="s">
        <v>137</v>
      </c>
      <c r="R1295" s="17" t="s">
        <v>146</v>
      </c>
    </row>
    <row r="1296" spans="1:18" x14ac:dyDescent="0.3">
      <c r="A1296" s="12" t="s">
        <v>9333</v>
      </c>
      <c r="B1296" s="12" t="s">
        <v>12</v>
      </c>
      <c r="C1296" s="12"/>
      <c r="D1296" s="12" t="s">
        <v>12</v>
      </c>
      <c r="E1296" s="12" t="s">
        <v>2539</v>
      </c>
      <c r="F1296" s="12"/>
      <c r="G1296" s="12" t="s">
        <v>2527</v>
      </c>
      <c r="H1296" s="12" t="s">
        <v>39</v>
      </c>
      <c r="I1296" s="12" t="s">
        <v>26</v>
      </c>
      <c r="J1296" s="13" t="s">
        <v>2528</v>
      </c>
      <c r="K1296" s="14" t="s">
        <v>9334</v>
      </c>
      <c r="L1296" s="15">
        <v>1</v>
      </c>
      <c r="M1296" s="15" t="s">
        <v>144</v>
      </c>
      <c r="N1296" s="16">
        <v>44065</v>
      </c>
      <c r="O1296" s="12" t="s">
        <v>9335</v>
      </c>
      <c r="P1296" s="14" t="s">
        <v>9336</v>
      </c>
      <c r="Q1296" s="17" t="s">
        <v>137</v>
      </c>
      <c r="R1296" s="17" t="s">
        <v>146</v>
      </c>
    </row>
    <row r="1297" spans="1:18" x14ac:dyDescent="0.3">
      <c r="A1297" s="12" t="s">
        <v>9337</v>
      </c>
      <c r="B1297" s="12" t="s">
        <v>12</v>
      </c>
      <c r="C1297" s="12"/>
      <c r="D1297" s="12" t="s">
        <v>12</v>
      </c>
      <c r="E1297" s="12" t="s">
        <v>9338</v>
      </c>
      <c r="F1297" s="12" t="s">
        <v>863</v>
      </c>
      <c r="G1297" s="12" t="s">
        <v>2527</v>
      </c>
      <c r="H1297" s="12" t="s">
        <v>39</v>
      </c>
      <c r="I1297" s="12" t="s">
        <v>26</v>
      </c>
      <c r="J1297" s="13" t="s">
        <v>2528</v>
      </c>
      <c r="K1297" s="14" t="s">
        <v>9339</v>
      </c>
      <c r="L1297" s="15">
        <v>1</v>
      </c>
      <c r="M1297" s="15" t="s">
        <v>144</v>
      </c>
      <c r="N1297" s="16">
        <v>42025</v>
      </c>
      <c r="O1297" s="12" t="s">
        <v>9337</v>
      </c>
      <c r="P1297" s="14" t="s">
        <v>9340</v>
      </c>
      <c r="Q1297" s="17" t="s">
        <v>137</v>
      </c>
      <c r="R1297" s="17" t="s">
        <v>146</v>
      </c>
    </row>
    <row r="1298" spans="1:18" x14ac:dyDescent="0.3">
      <c r="A1298" s="12" t="s">
        <v>1723</v>
      </c>
      <c r="B1298" s="12" t="s">
        <v>14</v>
      </c>
      <c r="C1298" s="12"/>
      <c r="D1298" s="12" t="s">
        <v>14</v>
      </c>
      <c r="E1298" s="12" t="s">
        <v>9341</v>
      </c>
      <c r="F1298" s="12" t="s">
        <v>940</v>
      </c>
      <c r="G1298" s="12" t="s">
        <v>2527</v>
      </c>
      <c r="H1298" s="12" t="s">
        <v>39</v>
      </c>
      <c r="I1298" s="12" t="s">
        <v>26</v>
      </c>
      <c r="J1298" s="13" t="s">
        <v>2528</v>
      </c>
      <c r="K1298" s="14" t="s">
        <v>980</v>
      </c>
      <c r="L1298" s="15">
        <v>9</v>
      </c>
      <c r="M1298" s="15" t="s">
        <v>144</v>
      </c>
      <c r="N1298" s="16">
        <v>43983</v>
      </c>
      <c r="O1298" s="12" t="s">
        <v>1723</v>
      </c>
      <c r="P1298" s="14" t="s">
        <v>9342</v>
      </c>
      <c r="Q1298" s="17" t="s">
        <v>137</v>
      </c>
      <c r="R1298" s="17" t="s">
        <v>146</v>
      </c>
    </row>
    <row r="1299" spans="1:18" x14ac:dyDescent="0.3">
      <c r="A1299" s="12" t="s">
        <v>9343</v>
      </c>
      <c r="B1299" s="12" t="s">
        <v>12</v>
      </c>
      <c r="C1299" s="12"/>
      <c r="D1299" s="12" t="s">
        <v>12</v>
      </c>
      <c r="E1299" s="12" t="s">
        <v>9344</v>
      </c>
      <c r="F1299" s="12" t="s">
        <v>447</v>
      </c>
      <c r="G1299" s="12" t="s">
        <v>9345</v>
      </c>
      <c r="H1299" s="12" t="s">
        <v>39</v>
      </c>
      <c r="I1299" s="12" t="s">
        <v>26</v>
      </c>
      <c r="J1299" s="13" t="s">
        <v>9346</v>
      </c>
      <c r="K1299" s="14" t="s">
        <v>9347</v>
      </c>
      <c r="L1299" s="15">
        <v>2</v>
      </c>
      <c r="M1299" s="15" t="s">
        <v>144</v>
      </c>
      <c r="N1299" s="16">
        <v>41522</v>
      </c>
      <c r="O1299" s="12" t="s">
        <v>9343</v>
      </c>
      <c r="P1299" s="14" t="s">
        <v>9348</v>
      </c>
      <c r="Q1299" s="17" t="s">
        <v>137</v>
      </c>
      <c r="R1299" s="17" t="s">
        <v>146</v>
      </c>
    </row>
    <row r="1300" spans="1:18" x14ac:dyDescent="0.3">
      <c r="A1300" s="12" t="s">
        <v>9349</v>
      </c>
      <c r="B1300" s="12" t="s">
        <v>12</v>
      </c>
      <c r="C1300" s="12"/>
      <c r="D1300" s="12" t="s">
        <v>12</v>
      </c>
      <c r="E1300" s="12" t="s">
        <v>9350</v>
      </c>
      <c r="F1300" s="12"/>
      <c r="G1300" s="12" t="s">
        <v>9345</v>
      </c>
      <c r="H1300" s="12" t="s">
        <v>39</v>
      </c>
      <c r="I1300" s="12" t="s">
        <v>26</v>
      </c>
      <c r="J1300" s="13" t="s">
        <v>9346</v>
      </c>
      <c r="K1300" s="14" t="s">
        <v>9351</v>
      </c>
      <c r="L1300" s="15">
        <v>1</v>
      </c>
      <c r="M1300" s="15" t="s">
        <v>144</v>
      </c>
      <c r="N1300" s="16">
        <v>41334</v>
      </c>
      <c r="O1300" s="12" t="s">
        <v>9352</v>
      </c>
      <c r="P1300" s="14" t="s">
        <v>9353</v>
      </c>
      <c r="Q1300" s="17" t="s">
        <v>137</v>
      </c>
      <c r="R1300" s="17" t="s">
        <v>146</v>
      </c>
    </row>
    <row r="1301" spans="1:18" x14ac:dyDescent="0.3">
      <c r="A1301" s="12" t="s">
        <v>9354</v>
      </c>
      <c r="B1301" s="12" t="s">
        <v>14</v>
      </c>
      <c r="C1301" s="12"/>
      <c r="D1301" s="12" t="s">
        <v>14</v>
      </c>
      <c r="E1301" s="12" t="s">
        <v>9355</v>
      </c>
      <c r="F1301" s="12"/>
      <c r="G1301" s="12" t="s">
        <v>2544</v>
      </c>
      <c r="H1301" s="12" t="s">
        <v>39</v>
      </c>
      <c r="I1301" s="12" t="s">
        <v>26</v>
      </c>
      <c r="J1301" s="13" t="s">
        <v>2545</v>
      </c>
      <c r="K1301" s="14" t="s">
        <v>9356</v>
      </c>
      <c r="L1301" s="15">
        <v>0</v>
      </c>
      <c r="M1301" s="15" t="s">
        <v>144</v>
      </c>
      <c r="N1301" s="16">
        <v>44453</v>
      </c>
      <c r="O1301" s="12" t="s">
        <v>9354</v>
      </c>
      <c r="P1301" s="14" t="s">
        <v>9357</v>
      </c>
      <c r="Q1301" s="17" t="s">
        <v>137</v>
      </c>
      <c r="R1301" s="17" t="s">
        <v>146</v>
      </c>
    </row>
    <row r="1302" spans="1:18" x14ac:dyDescent="0.3">
      <c r="A1302" s="12" t="s">
        <v>9358</v>
      </c>
      <c r="B1302" s="12" t="s">
        <v>12</v>
      </c>
      <c r="C1302" s="12"/>
      <c r="D1302" s="12" t="s">
        <v>12</v>
      </c>
      <c r="E1302" s="12" t="s">
        <v>9359</v>
      </c>
      <c r="F1302" s="12"/>
      <c r="G1302" s="12" t="s">
        <v>2544</v>
      </c>
      <c r="H1302" s="12" t="s">
        <v>39</v>
      </c>
      <c r="I1302" s="12" t="s">
        <v>26</v>
      </c>
      <c r="J1302" s="13" t="s">
        <v>2545</v>
      </c>
      <c r="K1302" s="14" t="s">
        <v>9360</v>
      </c>
      <c r="L1302" s="15">
        <v>1</v>
      </c>
      <c r="M1302" s="15" t="s">
        <v>144</v>
      </c>
      <c r="N1302" s="16">
        <v>40253</v>
      </c>
      <c r="O1302" s="12" t="s">
        <v>9358</v>
      </c>
      <c r="P1302" s="14" t="s">
        <v>9361</v>
      </c>
      <c r="Q1302" s="17" t="s">
        <v>137</v>
      </c>
      <c r="R1302" s="17" t="s">
        <v>146</v>
      </c>
    </row>
    <row r="1303" spans="1:18" x14ac:dyDescent="0.3">
      <c r="A1303" s="12" t="s">
        <v>9362</v>
      </c>
      <c r="B1303" s="12" t="s">
        <v>12</v>
      </c>
      <c r="C1303" s="12"/>
      <c r="D1303" s="12" t="s">
        <v>12</v>
      </c>
      <c r="E1303" s="12" t="s">
        <v>9363</v>
      </c>
      <c r="F1303" s="12" t="s">
        <v>1814</v>
      </c>
      <c r="G1303" s="12" t="s">
        <v>2544</v>
      </c>
      <c r="H1303" s="12" t="s">
        <v>39</v>
      </c>
      <c r="I1303" s="12" t="s">
        <v>26</v>
      </c>
      <c r="J1303" s="13" t="s">
        <v>2545</v>
      </c>
      <c r="K1303" s="14" t="s">
        <v>9364</v>
      </c>
      <c r="L1303" s="15">
        <v>0</v>
      </c>
      <c r="M1303" s="15" t="s">
        <v>144</v>
      </c>
      <c r="N1303" s="16">
        <v>40644</v>
      </c>
      <c r="O1303" s="12" t="s">
        <v>9362</v>
      </c>
      <c r="P1303" s="14" t="s">
        <v>9365</v>
      </c>
      <c r="Q1303" s="17" t="s">
        <v>137</v>
      </c>
      <c r="R1303" s="17" t="s">
        <v>146</v>
      </c>
    </row>
    <row r="1304" spans="1:18" x14ac:dyDescent="0.3">
      <c r="A1304" s="12" t="s">
        <v>9366</v>
      </c>
      <c r="B1304" s="12" t="s">
        <v>12</v>
      </c>
      <c r="C1304" s="12"/>
      <c r="D1304" s="12" t="s">
        <v>12</v>
      </c>
      <c r="E1304" s="12" t="s">
        <v>9367</v>
      </c>
      <c r="F1304" s="12"/>
      <c r="G1304" s="12" t="s">
        <v>2564</v>
      </c>
      <c r="H1304" s="12" t="s">
        <v>39</v>
      </c>
      <c r="I1304" s="12" t="s">
        <v>26</v>
      </c>
      <c r="J1304" s="13" t="s">
        <v>2565</v>
      </c>
      <c r="K1304" s="14" t="s">
        <v>9368</v>
      </c>
      <c r="L1304" s="15">
        <v>3</v>
      </c>
      <c r="M1304" s="15" t="s">
        <v>144</v>
      </c>
      <c r="N1304" s="16">
        <v>40198</v>
      </c>
      <c r="O1304" s="12" t="s">
        <v>9366</v>
      </c>
      <c r="P1304" s="14" t="s">
        <v>9369</v>
      </c>
      <c r="Q1304" s="17" t="s">
        <v>137</v>
      </c>
      <c r="R1304" s="17" t="s">
        <v>146</v>
      </c>
    </row>
    <row r="1305" spans="1:18" x14ac:dyDescent="0.3">
      <c r="A1305" s="12" t="s">
        <v>9370</v>
      </c>
      <c r="B1305" s="12" t="s">
        <v>12</v>
      </c>
      <c r="C1305" s="12"/>
      <c r="D1305" s="12" t="s">
        <v>12</v>
      </c>
      <c r="E1305" s="12" t="s">
        <v>9371</v>
      </c>
      <c r="F1305" s="12" t="s">
        <v>467</v>
      </c>
      <c r="G1305" s="12" t="s">
        <v>2564</v>
      </c>
      <c r="H1305" s="12" t="s">
        <v>39</v>
      </c>
      <c r="I1305" s="12" t="s">
        <v>26</v>
      </c>
      <c r="J1305" s="13" t="s">
        <v>2565</v>
      </c>
      <c r="K1305" s="14" t="s">
        <v>9372</v>
      </c>
      <c r="L1305" s="15">
        <v>1</v>
      </c>
      <c r="M1305" s="15" t="s">
        <v>144</v>
      </c>
      <c r="N1305" s="16">
        <v>43122</v>
      </c>
      <c r="O1305" s="12" t="s">
        <v>9370</v>
      </c>
      <c r="P1305" s="14" t="s">
        <v>9373</v>
      </c>
      <c r="Q1305" s="17" t="s">
        <v>137</v>
      </c>
      <c r="R1305" s="17" t="s">
        <v>146</v>
      </c>
    </row>
    <row r="1306" spans="1:18" x14ac:dyDescent="0.3">
      <c r="A1306" s="12" t="s">
        <v>9374</v>
      </c>
      <c r="B1306" s="12" t="s">
        <v>12</v>
      </c>
      <c r="C1306" s="12"/>
      <c r="D1306" s="12" t="s">
        <v>12</v>
      </c>
      <c r="E1306" s="12" t="s">
        <v>2570</v>
      </c>
      <c r="F1306" s="12"/>
      <c r="G1306" s="12" t="s">
        <v>2564</v>
      </c>
      <c r="H1306" s="12" t="s">
        <v>39</v>
      </c>
      <c r="I1306" s="12" t="s">
        <v>26</v>
      </c>
      <c r="J1306" s="13" t="s">
        <v>2565</v>
      </c>
      <c r="K1306" s="14" t="s">
        <v>9375</v>
      </c>
      <c r="L1306" s="15">
        <v>1</v>
      </c>
      <c r="M1306" s="15" t="s">
        <v>144</v>
      </c>
      <c r="N1306" s="16">
        <v>43839</v>
      </c>
      <c r="O1306" s="12" t="s">
        <v>9374</v>
      </c>
      <c r="P1306" s="14" t="s">
        <v>9376</v>
      </c>
      <c r="Q1306" s="17" t="s">
        <v>137</v>
      </c>
      <c r="R1306" s="17" t="s">
        <v>146</v>
      </c>
    </row>
    <row r="1307" spans="1:18" x14ac:dyDescent="0.3">
      <c r="A1307" s="12" t="s">
        <v>9377</v>
      </c>
      <c r="B1307" s="12" t="s">
        <v>12</v>
      </c>
      <c r="C1307" s="12"/>
      <c r="D1307" s="12" t="s">
        <v>12</v>
      </c>
      <c r="E1307" s="12" t="s">
        <v>9378</v>
      </c>
      <c r="F1307" s="12" t="s">
        <v>4474</v>
      </c>
      <c r="G1307" s="12" t="s">
        <v>2564</v>
      </c>
      <c r="H1307" s="12" t="s">
        <v>39</v>
      </c>
      <c r="I1307" s="12" t="s">
        <v>26</v>
      </c>
      <c r="J1307" s="13" t="s">
        <v>2565</v>
      </c>
      <c r="K1307" s="14" t="s">
        <v>9379</v>
      </c>
      <c r="L1307" s="15">
        <v>0</v>
      </c>
      <c r="M1307" s="15" t="s">
        <v>144</v>
      </c>
      <c r="N1307" s="16">
        <v>41068</v>
      </c>
      <c r="O1307" s="12" t="s">
        <v>9377</v>
      </c>
      <c r="P1307" s="14" t="s">
        <v>9380</v>
      </c>
      <c r="Q1307" s="17" t="s">
        <v>137</v>
      </c>
      <c r="R1307" s="17" t="s">
        <v>146</v>
      </c>
    </row>
    <row r="1308" spans="1:18" x14ac:dyDescent="0.3">
      <c r="A1308" s="12" t="s">
        <v>9381</v>
      </c>
      <c r="B1308" s="12" t="s">
        <v>12</v>
      </c>
      <c r="C1308" s="12"/>
      <c r="D1308" s="12" t="s">
        <v>12</v>
      </c>
      <c r="E1308" s="12" t="s">
        <v>9382</v>
      </c>
      <c r="F1308" s="12"/>
      <c r="G1308" s="12" t="s">
        <v>2564</v>
      </c>
      <c r="H1308" s="12" t="s">
        <v>39</v>
      </c>
      <c r="I1308" s="12" t="s">
        <v>26</v>
      </c>
      <c r="J1308" s="13" t="s">
        <v>2565</v>
      </c>
      <c r="K1308" s="14" t="s">
        <v>9383</v>
      </c>
      <c r="L1308" s="15">
        <v>5</v>
      </c>
      <c r="M1308" s="15" t="s">
        <v>144</v>
      </c>
      <c r="N1308" s="16">
        <v>44065</v>
      </c>
      <c r="O1308" s="12" t="s">
        <v>9381</v>
      </c>
      <c r="P1308" s="14" t="s">
        <v>9384</v>
      </c>
      <c r="Q1308" s="17" t="s">
        <v>137</v>
      </c>
      <c r="R1308" s="17" t="s">
        <v>146</v>
      </c>
    </row>
    <row r="1309" spans="1:18" x14ac:dyDescent="0.3">
      <c r="A1309" s="12" t="s">
        <v>9385</v>
      </c>
      <c r="B1309" s="12" t="s">
        <v>12</v>
      </c>
      <c r="C1309" s="12"/>
      <c r="D1309" s="12" t="s">
        <v>12</v>
      </c>
      <c r="E1309" s="12" t="s">
        <v>9386</v>
      </c>
      <c r="F1309" s="12"/>
      <c r="G1309" s="12" t="s">
        <v>2564</v>
      </c>
      <c r="H1309" s="12" t="s">
        <v>39</v>
      </c>
      <c r="I1309" s="12" t="s">
        <v>26</v>
      </c>
      <c r="J1309" s="13" t="s">
        <v>2565</v>
      </c>
      <c r="K1309" s="14" t="s">
        <v>9387</v>
      </c>
      <c r="L1309" s="15">
        <v>5</v>
      </c>
      <c r="M1309" s="15" t="s">
        <v>144</v>
      </c>
      <c r="N1309" s="16">
        <v>40562</v>
      </c>
      <c r="O1309" s="12" t="s">
        <v>9385</v>
      </c>
      <c r="P1309" s="14" t="s">
        <v>9388</v>
      </c>
      <c r="Q1309" s="17" t="s">
        <v>137</v>
      </c>
      <c r="R1309" s="17" t="s">
        <v>146</v>
      </c>
    </row>
    <row r="1310" spans="1:18" x14ac:dyDescent="0.3">
      <c r="A1310" s="12" t="s">
        <v>9389</v>
      </c>
      <c r="B1310" s="12" t="s">
        <v>12</v>
      </c>
      <c r="C1310" s="12"/>
      <c r="D1310" s="12" t="s">
        <v>12</v>
      </c>
      <c r="E1310" s="12" t="s">
        <v>9390</v>
      </c>
      <c r="F1310" s="12"/>
      <c r="G1310" s="12" t="s">
        <v>2564</v>
      </c>
      <c r="H1310" s="12" t="s">
        <v>39</v>
      </c>
      <c r="I1310" s="12" t="s">
        <v>26</v>
      </c>
      <c r="J1310" s="13" t="s">
        <v>2565</v>
      </c>
      <c r="K1310" s="14" t="s">
        <v>9391</v>
      </c>
      <c r="L1310" s="15">
        <v>1</v>
      </c>
      <c r="M1310" s="15" t="s">
        <v>144</v>
      </c>
      <c r="N1310" s="16">
        <v>43875</v>
      </c>
      <c r="O1310" s="12" t="s">
        <v>9389</v>
      </c>
      <c r="P1310" s="14" t="s">
        <v>9392</v>
      </c>
      <c r="Q1310" s="17" t="s">
        <v>137</v>
      </c>
      <c r="R1310" s="17" t="s">
        <v>146</v>
      </c>
    </row>
    <row r="1311" spans="1:18" x14ac:dyDescent="0.3">
      <c r="A1311" s="12" t="s">
        <v>9393</v>
      </c>
      <c r="B1311" s="12" t="s">
        <v>12</v>
      </c>
      <c r="C1311" s="12"/>
      <c r="D1311" s="12" t="s">
        <v>12</v>
      </c>
      <c r="E1311" s="12" t="s">
        <v>9386</v>
      </c>
      <c r="F1311" s="12"/>
      <c r="G1311" s="12" t="s">
        <v>2564</v>
      </c>
      <c r="H1311" s="12" t="s">
        <v>39</v>
      </c>
      <c r="I1311" s="12" t="s">
        <v>26</v>
      </c>
      <c r="J1311" s="13" t="s">
        <v>2565</v>
      </c>
      <c r="K1311" s="14" t="s">
        <v>9387</v>
      </c>
      <c r="L1311" s="15">
        <v>5</v>
      </c>
      <c r="M1311" s="15" t="s">
        <v>144</v>
      </c>
      <c r="N1311" s="16">
        <v>44065</v>
      </c>
      <c r="O1311" s="12" t="s">
        <v>9394</v>
      </c>
      <c r="P1311" s="14" t="s">
        <v>9395</v>
      </c>
      <c r="Q1311" s="17" t="s">
        <v>137</v>
      </c>
      <c r="R1311" s="17" t="s">
        <v>146</v>
      </c>
    </row>
    <row r="1312" spans="1:18" x14ac:dyDescent="0.3">
      <c r="A1312" s="12" t="s">
        <v>9396</v>
      </c>
      <c r="B1312" s="12" t="s">
        <v>12</v>
      </c>
      <c r="C1312" s="12"/>
      <c r="D1312" s="12" t="s">
        <v>12</v>
      </c>
      <c r="E1312" s="12" t="s">
        <v>9397</v>
      </c>
      <c r="F1312" s="12" t="s">
        <v>1270</v>
      </c>
      <c r="G1312" s="12" t="s">
        <v>2564</v>
      </c>
      <c r="H1312" s="12" t="s">
        <v>39</v>
      </c>
      <c r="I1312" s="12" t="s">
        <v>26</v>
      </c>
      <c r="J1312" s="13" t="s">
        <v>2565</v>
      </c>
      <c r="K1312" s="14" t="s">
        <v>9398</v>
      </c>
      <c r="L1312" s="15">
        <v>2</v>
      </c>
      <c r="M1312" s="15" t="s">
        <v>144</v>
      </c>
      <c r="N1312" s="16">
        <v>41282</v>
      </c>
      <c r="O1312" s="12" t="s">
        <v>9399</v>
      </c>
      <c r="P1312" s="14" t="s">
        <v>9400</v>
      </c>
      <c r="Q1312" s="17" t="s">
        <v>137</v>
      </c>
      <c r="R1312" s="17" t="s">
        <v>146</v>
      </c>
    </row>
    <row r="1313" spans="1:18" x14ac:dyDescent="0.3">
      <c r="A1313" s="12" t="s">
        <v>305</v>
      </c>
      <c r="B1313" s="12" t="s">
        <v>14</v>
      </c>
      <c r="C1313" s="12"/>
      <c r="D1313" s="12" t="s">
        <v>14</v>
      </c>
      <c r="E1313" s="12" t="s">
        <v>9401</v>
      </c>
      <c r="F1313" s="12"/>
      <c r="G1313" s="12" t="s">
        <v>2564</v>
      </c>
      <c r="H1313" s="12" t="s">
        <v>39</v>
      </c>
      <c r="I1313" s="12" t="s">
        <v>26</v>
      </c>
      <c r="J1313" s="13" t="s">
        <v>2565</v>
      </c>
      <c r="K1313" s="14" t="s">
        <v>9402</v>
      </c>
      <c r="L1313" s="15">
        <v>2</v>
      </c>
      <c r="M1313" s="15" t="s">
        <v>144</v>
      </c>
      <c r="N1313" s="16">
        <v>43871</v>
      </c>
      <c r="O1313" s="12" t="s">
        <v>305</v>
      </c>
      <c r="P1313" s="14" t="s">
        <v>9403</v>
      </c>
      <c r="Q1313" s="17" t="s">
        <v>137</v>
      </c>
      <c r="R1313" s="17" t="s">
        <v>146</v>
      </c>
    </row>
    <row r="1314" spans="1:18" x14ac:dyDescent="0.3">
      <c r="A1314" s="12" t="s">
        <v>9404</v>
      </c>
      <c r="B1314" s="12" t="s">
        <v>12</v>
      </c>
      <c r="C1314" s="12"/>
      <c r="D1314" s="12" t="s">
        <v>12</v>
      </c>
      <c r="E1314" s="12" t="s">
        <v>9382</v>
      </c>
      <c r="F1314" s="12"/>
      <c r="G1314" s="12" t="s">
        <v>2564</v>
      </c>
      <c r="H1314" s="12" t="s">
        <v>39</v>
      </c>
      <c r="I1314" s="12" t="s">
        <v>26</v>
      </c>
      <c r="J1314" s="13" t="s">
        <v>2565</v>
      </c>
      <c r="K1314" s="14" t="s">
        <v>9405</v>
      </c>
      <c r="L1314" s="15">
        <v>5</v>
      </c>
      <c r="M1314" s="15" t="s">
        <v>144</v>
      </c>
      <c r="N1314" s="16">
        <v>44356</v>
      </c>
      <c r="O1314" s="12" t="s">
        <v>9404</v>
      </c>
      <c r="P1314" s="14" t="s">
        <v>9406</v>
      </c>
      <c r="Q1314" s="17" t="s">
        <v>137</v>
      </c>
      <c r="R1314" s="17" t="s">
        <v>146</v>
      </c>
    </row>
    <row r="1315" spans="1:18" x14ac:dyDescent="0.3">
      <c r="A1315" s="12" t="s">
        <v>1723</v>
      </c>
      <c r="B1315" s="12" t="s">
        <v>14</v>
      </c>
      <c r="C1315" s="12"/>
      <c r="D1315" s="12" t="s">
        <v>14</v>
      </c>
      <c r="E1315" s="12" t="s">
        <v>9371</v>
      </c>
      <c r="F1315" s="12" t="s">
        <v>1708</v>
      </c>
      <c r="G1315" s="12" t="s">
        <v>2564</v>
      </c>
      <c r="H1315" s="12" t="s">
        <v>39</v>
      </c>
      <c r="I1315" s="12" t="s">
        <v>26</v>
      </c>
      <c r="J1315" s="13" t="s">
        <v>2565</v>
      </c>
      <c r="K1315" s="14" t="s">
        <v>980</v>
      </c>
      <c r="L1315" s="15">
        <v>4</v>
      </c>
      <c r="M1315" s="15" t="s">
        <v>144</v>
      </c>
      <c r="N1315" s="16">
        <v>43983</v>
      </c>
      <c r="O1315" s="12" t="s">
        <v>1723</v>
      </c>
      <c r="P1315" s="14" t="s">
        <v>9407</v>
      </c>
      <c r="Q1315" s="17" t="s">
        <v>137</v>
      </c>
      <c r="R1315" s="17" t="s">
        <v>146</v>
      </c>
    </row>
    <row r="1316" spans="1:18" x14ac:dyDescent="0.3">
      <c r="A1316" s="12" t="s">
        <v>9408</v>
      </c>
      <c r="B1316" s="12" t="s">
        <v>12</v>
      </c>
      <c r="C1316" s="12"/>
      <c r="D1316" s="12" t="s">
        <v>12</v>
      </c>
      <c r="E1316" s="12" t="s">
        <v>9409</v>
      </c>
      <c r="F1316" s="12"/>
      <c r="G1316" s="12" t="s">
        <v>2564</v>
      </c>
      <c r="H1316" s="12" t="s">
        <v>39</v>
      </c>
      <c r="I1316" s="12" t="s">
        <v>26</v>
      </c>
      <c r="J1316" s="13" t="s">
        <v>2565</v>
      </c>
      <c r="K1316" s="14" t="s">
        <v>9410</v>
      </c>
      <c r="L1316" s="15">
        <v>1</v>
      </c>
      <c r="M1316" s="15" t="s">
        <v>144</v>
      </c>
      <c r="N1316" s="16">
        <v>40088</v>
      </c>
      <c r="O1316" s="12" t="s">
        <v>9408</v>
      </c>
      <c r="P1316" s="14" t="s">
        <v>9411</v>
      </c>
      <c r="Q1316" s="17" t="s">
        <v>137</v>
      </c>
      <c r="R1316" s="17" t="s">
        <v>146</v>
      </c>
    </row>
    <row r="1317" spans="1:18" x14ac:dyDescent="0.3">
      <c r="A1317" s="12" t="s">
        <v>9412</v>
      </c>
      <c r="B1317" s="12" t="s">
        <v>12</v>
      </c>
      <c r="C1317" s="12"/>
      <c r="D1317" s="12" t="s">
        <v>12</v>
      </c>
      <c r="E1317" s="12" t="s">
        <v>9413</v>
      </c>
      <c r="F1317" s="12"/>
      <c r="G1317" s="12" t="s">
        <v>2564</v>
      </c>
      <c r="H1317" s="12" t="s">
        <v>39</v>
      </c>
      <c r="I1317" s="12" t="s">
        <v>26</v>
      </c>
      <c r="J1317" s="13" t="s">
        <v>2565</v>
      </c>
      <c r="K1317" s="14" t="s">
        <v>9414</v>
      </c>
      <c r="L1317" s="15">
        <v>1</v>
      </c>
      <c r="M1317" s="15" t="s">
        <v>144</v>
      </c>
      <c r="N1317" s="16">
        <v>42242</v>
      </c>
      <c r="O1317" s="12" t="s">
        <v>9412</v>
      </c>
      <c r="P1317" s="14" t="s">
        <v>9415</v>
      </c>
      <c r="Q1317" s="17" t="s">
        <v>137</v>
      </c>
      <c r="R1317" s="17" t="s">
        <v>146</v>
      </c>
    </row>
    <row r="1318" spans="1:18" x14ac:dyDescent="0.3">
      <c r="A1318" s="12" t="s">
        <v>9416</v>
      </c>
      <c r="B1318" s="12" t="s">
        <v>12</v>
      </c>
      <c r="C1318" s="12"/>
      <c r="D1318" s="12" t="s">
        <v>12</v>
      </c>
      <c r="E1318" s="12" t="s">
        <v>9417</v>
      </c>
      <c r="F1318" s="12" t="s">
        <v>9418</v>
      </c>
      <c r="G1318" s="12" t="s">
        <v>9419</v>
      </c>
      <c r="H1318" s="12" t="s">
        <v>39</v>
      </c>
      <c r="I1318" s="12" t="s">
        <v>26</v>
      </c>
      <c r="J1318" s="13" t="s">
        <v>9420</v>
      </c>
      <c r="K1318" s="14" t="s">
        <v>9421</v>
      </c>
      <c r="L1318" s="15">
        <v>3</v>
      </c>
      <c r="M1318" s="15" t="s">
        <v>144</v>
      </c>
      <c r="N1318" s="16">
        <v>44065</v>
      </c>
      <c r="O1318" s="12" t="s">
        <v>9416</v>
      </c>
      <c r="P1318" s="14" t="s">
        <v>9422</v>
      </c>
      <c r="Q1318" s="17" t="s">
        <v>137</v>
      </c>
      <c r="R1318" s="17" t="s">
        <v>146</v>
      </c>
    </row>
    <row r="1319" spans="1:18" x14ac:dyDescent="0.3">
      <c r="A1319" s="12" t="s">
        <v>9423</v>
      </c>
      <c r="B1319" s="12" t="s">
        <v>12</v>
      </c>
      <c r="C1319" s="12"/>
      <c r="D1319" s="12" t="s">
        <v>12</v>
      </c>
      <c r="E1319" s="12" t="s">
        <v>9424</v>
      </c>
      <c r="F1319" s="12" t="s">
        <v>467</v>
      </c>
      <c r="G1319" s="12" t="s">
        <v>2590</v>
      </c>
      <c r="H1319" s="12" t="s">
        <v>39</v>
      </c>
      <c r="I1319" s="12" t="s">
        <v>26</v>
      </c>
      <c r="J1319" s="13" t="s">
        <v>2591</v>
      </c>
      <c r="K1319" s="14" t="s">
        <v>9425</v>
      </c>
      <c r="L1319" s="15">
        <v>1</v>
      </c>
      <c r="M1319" s="15" t="s">
        <v>144</v>
      </c>
      <c r="N1319" s="16">
        <v>42703</v>
      </c>
      <c r="O1319" s="12" t="s">
        <v>9423</v>
      </c>
      <c r="P1319" s="14" t="s">
        <v>9426</v>
      </c>
      <c r="Q1319" s="17" t="s">
        <v>137</v>
      </c>
      <c r="R1319" s="17" t="s">
        <v>146</v>
      </c>
    </row>
    <row r="1320" spans="1:18" x14ac:dyDescent="0.3">
      <c r="A1320" s="12" t="s">
        <v>9427</v>
      </c>
      <c r="B1320" s="12" t="s">
        <v>12</v>
      </c>
      <c r="C1320" s="12"/>
      <c r="D1320" s="12" t="s">
        <v>12</v>
      </c>
      <c r="E1320" s="12" t="s">
        <v>9424</v>
      </c>
      <c r="F1320" s="12" t="s">
        <v>467</v>
      </c>
      <c r="G1320" s="12" t="s">
        <v>2590</v>
      </c>
      <c r="H1320" s="12" t="s">
        <v>39</v>
      </c>
      <c r="I1320" s="12" t="s">
        <v>26</v>
      </c>
      <c r="J1320" s="13" t="s">
        <v>2591</v>
      </c>
      <c r="K1320" s="14" t="s">
        <v>9428</v>
      </c>
      <c r="L1320" s="15">
        <v>1</v>
      </c>
      <c r="M1320" s="15" t="s">
        <v>144</v>
      </c>
      <c r="N1320" s="16">
        <v>43697</v>
      </c>
      <c r="O1320" s="12" t="s">
        <v>9429</v>
      </c>
      <c r="P1320" s="14" t="s">
        <v>9430</v>
      </c>
      <c r="Q1320" s="17" t="s">
        <v>137</v>
      </c>
      <c r="R1320" s="17" t="s">
        <v>146</v>
      </c>
    </row>
    <row r="1321" spans="1:18" x14ac:dyDescent="0.3">
      <c r="A1321" s="12" t="s">
        <v>9431</v>
      </c>
      <c r="B1321" s="12" t="s">
        <v>12</v>
      </c>
      <c r="C1321" s="12"/>
      <c r="D1321" s="12" t="s">
        <v>12</v>
      </c>
      <c r="E1321" s="12" t="s">
        <v>9432</v>
      </c>
      <c r="F1321" s="12" t="s">
        <v>1708</v>
      </c>
      <c r="G1321" s="12" t="s">
        <v>2590</v>
      </c>
      <c r="H1321" s="12" t="s">
        <v>39</v>
      </c>
      <c r="I1321" s="12" t="s">
        <v>26</v>
      </c>
      <c r="J1321" s="13" t="s">
        <v>2591</v>
      </c>
      <c r="K1321" s="14" t="s">
        <v>9433</v>
      </c>
      <c r="L1321" s="15">
        <v>1</v>
      </c>
      <c r="M1321" s="15" t="s">
        <v>144</v>
      </c>
      <c r="N1321" s="16">
        <v>44065</v>
      </c>
      <c r="O1321" s="12" t="s">
        <v>9431</v>
      </c>
      <c r="P1321" s="14" t="s">
        <v>9434</v>
      </c>
      <c r="Q1321" s="17" t="s">
        <v>137</v>
      </c>
      <c r="R1321" s="17" t="s">
        <v>146</v>
      </c>
    </row>
    <row r="1322" spans="1:18" x14ac:dyDescent="0.3">
      <c r="A1322" s="12" t="s">
        <v>9435</v>
      </c>
      <c r="B1322" s="12" t="s">
        <v>12</v>
      </c>
      <c r="C1322" s="12"/>
      <c r="D1322" s="12" t="s">
        <v>12</v>
      </c>
      <c r="E1322" s="12" t="s">
        <v>9436</v>
      </c>
      <c r="F1322" s="12"/>
      <c r="G1322" s="12" t="s">
        <v>2590</v>
      </c>
      <c r="H1322" s="12" t="s">
        <v>39</v>
      </c>
      <c r="I1322" s="12" t="s">
        <v>26</v>
      </c>
      <c r="J1322" s="13" t="s">
        <v>2591</v>
      </c>
      <c r="K1322" s="14" t="s">
        <v>9437</v>
      </c>
      <c r="L1322" s="15">
        <v>2</v>
      </c>
      <c r="M1322" s="15" t="s">
        <v>144</v>
      </c>
      <c r="N1322" s="16">
        <v>41824</v>
      </c>
      <c r="O1322" s="12" t="s">
        <v>9435</v>
      </c>
      <c r="P1322" s="14" t="s">
        <v>9438</v>
      </c>
      <c r="Q1322" s="17" t="s">
        <v>137</v>
      </c>
      <c r="R1322" s="17" t="s">
        <v>146</v>
      </c>
    </row>
    <row r="1323" spans="1:18" x14ac:dyDescent="0.3">
      <c r="A1323" s="12" t="s">
        <v>9439</v>
      </c>
      <c r="B1323" s="12" t="s">
        <v>12</v>
      </c>
      <c r="C1323" s="12"/>
      <c r="D1323" s="12" t="s">
        <v>12</v>
      </c>
      <c r="E1323" s="12" t="s">
        <v>9440</v>
      </c>
      <c r="F1323" s="12" t="s">
        <v>218</v>
      </c>
      <c r="G1323" s="12" t="s">
        <v>2590</v>
      </c>
      <c r="H1323" s="12" t="s">
        <v>39</v>
      </c>
      <c r="I1323" s="12" t="s">
        <v>26</v>
      </c>
      <c r="J1323" s="13" t="s">
        <v>2591</v>
      </c>
      <c r="K1323" s="14" t="s">
        <v>9441</v>
      </c>
      <c r="L1323" s="15">
        <v>1</v>
      </c>
      <c r="M1323" s="15" t="s">
        <v>144</v>
      </c>
      <c r="N1323" s="16">
        <v>43762</v>
      </c>
      <c r="O1323" s="12" t="s">
        <v>9439</v>
      </c>
      <c r="P1323" s="14" t="s">
        <v>9442</v>
      </c>
      <c r="Q1323" s="17" t="s">
        <v>137</v>
      </c>
      <c r="R1323" s="17" t="s">
        <v>146</v>
      </c>
    </row>
    <row r="1324" spans="1:18" x14ac:dyDescent="0.3">
      <c r="A1324" s="12" t="s">
        <v>9439</v>
      </c>
      <c r="B1324" s="12" t="s">
        <v>12</v>
      </c>
      <c r="C1324" s="12"/>
      <c r="D1324" s="12" t="s">
        <v>12</v>
      </c>
      <c r="E1324" s="12" t="s">
        <v>9443</v>
      </c>
      <c r="F1324" s="12" t="s">
        <v>940</v>
      </c>
      <c r="G1324" s="12" t="s">
        <v>2590</v>
      </c>
      <c r="H1324" s="12" t="s">
        <v>39</v>
      </c>
      <c r="I1324" s="12" t="s">
        <v>26</v>
      </c>
      <c r="J1324" s="13" t="s">
        <v>2591</v>
      </c>
      <c r="K1324" s="14" t="s">
        <v>9441</v>
      </c>
      <c r="L1324" s="15">
        <v>1</v>
      </c>
      <c r="M1324" s="15" t="s">
        <v>144</v>
      </c>
      <c r="N1324" s="16">
        <v>43762</v>
      </c>
      <c r="O1324" s="12" t="s">
        <v>9439</v>
      </c>
      <c r="P1324" s="14" t="s">
        <v>9442</v>
      </c>
      <c r="Q1324" s="17" t="s">
        <v>137</v>
      </c>
      <c r="R1324" s="17" t="s">
        <v>146</v>
      </c>
    </row>
    <row r="1325" spans="1:18" x14ac:dyDescent="0.3">
      <c r="A1325" s="12" t="s">
        <v>9444</v>
      </c>
      <c r="B1325" s="12" t="s">
        <v>12</v>
      </c>
      <c r="C1325" s="12"/>
      <c r="D1325" s="12" t="s">
        <v>12</v>
      </c>
      <c r="E1325" s="12" t="s">
        <v>2601</v>
      </c>
      <c r="F1325" s="12"/>
      <c r="G1325" s="12" t="s">
        <v>2590</v>
      </c>
      <c r="H1325" s="12" t="s">
        <v>39</v>
      </c>
      <c r="I1325" s="12" t="s">
        <v>26</v>
      </c>
      <c r="J1325" s="13" t="s">
        <v>2591</v>
      </c>
      <c r="K1325" s="14" t="s">
        <v>9445</v>
      </c>
      <c r="L1325" s="15">
        <v>0</v>
      </c>
      <c r="M1325" s="15" t="s">
        <v>144</v>
      </c>
      <c r="N1325" s="16">
        <v>43944</v>
      </c>
      <c r="O1325" s="12" t="s">
        <v>9444</v>
      </c>
      <c r="P1325" s="14" t="s">
        <v>9446</v>
      </c>
      <c r="Q1325" s="17" t="s">
        <v>137</v>
      </c>
      <c r="R1325" s="17" t="s">
        <v>146</v>
      </c>
    </row>
    <row r="1326" spans="1:18" x14ac:dyDescent="0.3">
      <c r="A1326" s="12" t="s">
        <v>9447</v>
      </c>
      <c r="B1326" s="12" t="s">
        <v>12</v>
      </c>
      <c r="C1326" s="12"/>
      <c r="D1326" s="12" t="s">
        <v>12</v>
      </c>
      <c r="E1326" s="12" t="s">
        <v>2609</v>
      </c>
      <c r="F1326" s="12" t="s">
        <v>843</v>
      </c>
      <c r="G1326" s="12" t="s">
        <v>2590</v>
      </c>
      <c r="H1326" s="12" t="s">
        <v>39</v>
      </c>
      <c r="I1326" s="12" t="s">
        <v>26</v>
      </c>
      <c r="J1326" s="13" t="s">
        <v>2591</v>
      </c>
      <c r="K1326" s="14" t="s">
        <v>2610</v>
      </c>
      <c r="L1326" s="15">
        <v>2</v>
      </c>
      <c r="M1326" s="15" t="s">
        <v>144</v>
      </c>
      <c r="N1326" s="16">
        <v>41985</v>
      </c>
      <c r="O1326" s="12" t="s">
        <v>9447</v>
      </c>
      <c r="P1326" s="14" t="s">
        <v>9448</v>
      </c>
      <c r="Q1326" s="17" t="s">
        <v>137</v>
      </c>
      <c r="R1326" s="17" t="s">
        <v>146</v>
      </c>
    </row>
    <row r="1327" spans="1:18" x14ac:dyDescent="0.3">
      <c r="A1327" s="12" t="s">
        <v>9449</v>
      </c>
      <c r="B1327" s="12" t="s">
        <v>12</v>
      </c>
      <c r="C1327" s="12"/>
      <c r="D1327" s="12" t="s">
        <v>12</v>
      </c>
      <c r="E1327" s="12" t="s">
        <v>9450</v>
      </c>
      <c r="F1327" s="12"/>
      <c r="G1327" s="12" t="s">
        <v>2590</v>
      </c>
      <c r="H1327" s="12" t="s">
        <v>39</v>
      </c>
      <c r="I1327" s="12" t="s">
        <v>26</v>
      </c>
      <c r="J1327" s="13" t="s">
        <v>2591</v>
      </c>
      <c r="K1327" s="14" t="s">
        <v>9451</v>
      </c>
      <c r="L1327" s="15">
        <v>1</v>
      </c>
      <c r="M1327" s="15" t="s">
        <v>144</v>
      </c>
      <c r="N1327" s="16">
        <v>40822</v>
      </c>
      <c r="O1327" s="12" t="s">
        <v>9449</v>
      </c>
      <c r="P1327" s="14" t="s">
        <v>9452</v>
      </c>
      <c r="Q1327" s="17" t="s">
        <v>137</v>
      </c>
      <c r="R1327" s="17" t="s">
        <v>146</v>
      </c>
    </row>
    <row r="1328" spans="1:18" x14ac:dyDescent="0.3">
      <c r="A1328" s="12" t="s">
        <v>9453</v>
      </c>
      <c r="B1328" s="12" t="s">
        <v>12</v>
      </c>
      <c r="C1328" s="12"/>
      <c r="D1328" s="12" t="s">
        <v>12</v>
      </c>
      <c r="E1328" s="12" t="s">
        <v>9454</v>
      </c>
      <c r="F1328" s="12"/>
      <c r="G1328" s="12" t="s">
        <v>2590</v>
      </c>
      <c r="H1328" s="12" t="s">
        <v>39</v>
      </c>
      <c r="I1328" s="12" t="s">
        <v>26</v>
      </c>
      <c r="J1328" s="13" t="s">
        <v>2591</v>
      </c>
      <c r="K1328" s="14" t="s">
        <v>9455</v>
      </c>
      <c r="L1328" s="15">
        <v>1</v>
      </c>
      <c r="M1328" s="15" t="s">
        <v>144</v>
      </c>
      <c r="N1328" s="16">
        <v>41430</v>
      </c>
      <c r="O1328" s="12" t="s">
        <v>9453</v>
      </c>
      <c r="P1328" s="14" t="s">
        <v>9456</v>
      </c>
      <c r="Q1328" s="17" t="s">
        <v>137</v>
      </c>
      <c r="R1328" s="17" t="s">
        <v>146</v>
      </c>
    </row>
    <row r="1329" spans="1:18" x14ac:dyDescent="0.3">
      <c r="A1329" s="12" t="s">
        <v>9457</v>
      </c>
      <c r="B1329" s="12" t="s">
        <v>12</v>
      </c>
      <c r="C1329" s="12"/>
      <c r="D1329" s="12" t="s">
        <v>12</v>
      </c>
      <c r="E1329" s="12" t="s">
        <v>9458</v>
      </c>
      <c r="F1329" s="12"/>
      <c r="G1329" s="12" t="s">
        <v>2590</v>
      </c>
      <c r="H1329" s="12" t="s">
        <v>39</v>
      </c>
      <c r="I1329" s="12" t="s">
        <v>26</v>
      </c>
      <c r="J1329" s="13" t="s">
        <v>2591</v>
      </c>
      <c r="K1329" s="14" t="s">
        <v>9459</v>
      </c>
      <c r="L1329" s="15">
        <v>2</v>
      </c>
      <c r="M1329" s="15" t="s">
        <v>144</v>
      </c>
      <c r="N1329" s="16">
        <v>42152</v>
      </c>
      <c r="O1329" s="12" t="s">
        <v>9460</v>
      </c>
      <c r="P1329" s="14" t="s">
        <v>9461</v>
      </c>
      <c r="Q1329" s="17" t="s">
        <v>137</v>
      </c>
      <c r="R1329" s="17" t="s">
        <v>146</v>
      </c>
    </row>
    <row r="1330" spans="1:18" x14ac:dyDescent="0.3">
      <c r="A1330" s="12" t="s">
        <v>9462</v>
      </c>
      <c r="B1330" s="12" t="s">
        <v>12</v>
      </c>
      <c r="C1330" s="12"/>
      <c r="D1330" s="12" t="s">
        <v>12</v>
      </c>
      <c r="E1330" s="12" t="s">
        <v>9463</v>
      </c>
      <c r="F1330" s="12" t="s">
        <v>188</v>
      </c>
      <c r="G1330" s="12" t="s">
        <v>2590</v>
      </c>
      <c r="H1330" s="12" t="s">
        <v>39</v>
      </c>
      <c r="I1330" s="12" t="s">
        <v>26</v>
      </c>
      <c r="J1330" s="13" t="s">
        <v>2591</v>
      </c>
      <c r="K1330" s="14" t="s">
        <v>9464</v>
      </c>
      <c r="L1330" s="15">
        <v>1</v>
      </c>
      <c r="M1330" s="15" t="s">
        <v>144</v>
      </c>
      <c r="N1330" s="16">
        <v>44544</v>
      </c>
      <c r="O1330" s="12" t="s">
        <v>9462</v>
      </c>
      <c r="P1330" s="14" t="s">
        <v>9465</v>
      </c>
      <c r="Q1330" s="17" t="s">
        <v>137</v>
      </c>
      <c r="R1330" s="17" t="s">
        <v>146</v>
      </c>
    </row>
    <row r="1331" spans="1:18" x14ac:dyDescent="0.3">
      <c r="A1331" s="12" t="s">
        <v>9466</v>
      </c>
      <c r="B1331" s="12" t="s">
        <v>12</v>
      </c>
      <c r="C1331" s="12"/>
      <c r="D1331" s="12" t="s">
        <v>12</v>
      </c>
      <c r="E1331" s="12" t="s">
        <v>9450</v>
      </c>
      <c r="F1331" s="12" t="s">
        <v>248</v>
      </c>
      <c r="G1331" s="12" t="s">
        <v>2590</v>
      </c>
      <c r="H1331" s="12" t="s">
        <v>39</v>
      </c>
      <c r="I1331" s="12" t="s">
        <v>26</v>
      </c>
      <c r="J1331" s="13" t="s">
        <v>2591</v>
      </c>
      <c r="K1331" s="14" t="s">
        <v>9467</v>
      </c>
      <c r="L1331" s="15">
        <v>1</v>
      </c>
      <c r="M1331" s="15" t="s">
        <v>144</v>
      </c>
      <c r="N1331" s="16">
        <v>39642</v>
      </c>
      <c r="O1331" s="12" t="s">
        <v>9466</v>
      </c>
      <c r="P1331" s="14" t="s">
        <v>9468</v>
      </c>
      <c r="Q1331" s="17" t="s">
        <v>137</v>
      </c>
      <c r="R1331" s="17" t="s">
        <v>146</v>
      </c>
    </row>
    <row r="1332" spans="1:18" x14ac:dyDescent="0.3">
      <c r="A1332" s="12" t="s">
        <v>9469</v>
      </c>
      <c r="B1332" s="12" t="s">
        <v>10</v>
      </c>
      <c r="C1332" s="12"/>
      <c r="D1332" s="12" t="s">
        <v>9470</v>
      </c>
      <c r="E1332" s="12" t="s">
        <v>9471</v>
      </c>
      <c r="F1332" s="12" t="s">
        <v>467</v>
      </c>
      <c r="G1332" s="12" t="s">
        <v>2590</v>
      </c>
      <c r="H1332" s="12" t="s">
        <v>39</v>
      </c>
      <c r="I1332" s="12" t="s">
        <v>26</v>
      </c>
      <c r="J1332" s="13" t="s">
        <v>2591</v>
      </c>
      <c r="K1332" s="14" t="s">
        <v>4461</v>
      </c>
      <c r="L1332" s="15">
        <v>0</v>
      </c>
      <c r="M1332" s="15" t="s">
        <v>220</v>
      </c>
      <c r="N1332" s="16">
        <v>43539</v>
      </c>
      <c r="O1332" s="12" t="s">
        <v>9469</v>
      </c>
      <c r="P1332" s="14" t="s">
        <v>9472</v>
      </c>
      <c r="Q1332" s="17" t="s">
        <v>137</v>
      </c>
      <c r="R1332" s="17" t="s">
        <v>146</v>
      </c>
    </row>
    <row r="1333" spans="1:18" x14ac:dyDescent="0.3">
      <c r="A1333" s="12" t="s">
        <v>9473</v>
      </c>
      <c r="B1333" s="12" t="s">
        <v>12</v>
      </c>
      <c r="C1333" s="12"/>
      <c r="D1333" s="12" t="s">
        <v>12</v>
      </c>
      <c r="E1333" s="12" t="s">
        <v>9436</v>
      </c>
      <c r="F1333" s="12"/>
      <c r="G1333" s="12" t="s">
        <v>2590</v>
      </c>
      <c r="H1333" s="12" t="s">
        <v>39</v>
      </c>
      <c r="I1333" s="12" t="s">
        <v>26</v>
      </c>
      <c r="J1333" s="13" t="s">
        <v>2591</v>
      </c>
      <c r="K1333" s="14" t="s">
        <v>4531</v>
      </c>
      <c r="L1333" s="15">
        <v>2</v>
      </c>
      <c r="M1333" s="15" t="s">
        <v>144</v>
      </c>
      <c r="N1333" s="16">
        <v>42075</v>
      </c>
      <c r="O1333" s="12" t="s">
        <v>9473</v>
      </c>
      <c r="P1333" s="14" t="s">
        <v>9474</v>
      </c>
      <c r="Q1333" s="17" t="s">
        <v>137</v>
      </c>
      <c r="R1333" s="17" t="s">
        <v>146</v>
      </c>
    </row>
    <row r="1334" spans="1:18" x14ac:dyDescent="0.3">
      <c r="A1334" s="12" t="s">
        <v>9475</v>
      </c>
      <c r="B1334" s="12" t="s">
        <v>12</v>
      </c>
      <c r="C1334" s="12"/>
      <c r="D1334" s="12" t="s">
        <v>12</v>
      </c>
      <c r="E1334" s="12" t="s">
        <v>9476</v>
      </c>
      <c r="F1334" s="12"/>
      <c r="G1334" s="12" t="s">
        <v>2590</v>
      </c>
      <c r="H1334" s="12" t="s">
        <v>39</v>
      </c>
      <c r="I1334" s="12" t="s">
        <v>26</v>
      </c>
      <c r="J1334" s="13" t="s">
        <v>2591</v>
      </c>
      <c r="K1334" s="14" t="s">
        <v>9477</v>
      </c>
      <c r="L1334" s="15">
        <v>0</v>
      </c>
      <c r="M1334" s="15" t="s">
        <v>144</v>
      </c>
      <c r="N1334" s="16">
        <v>40588</v>
      </c>
      <c r="O1334" s="12" t="s">
        <v>9478</v>
      </c>
      <c r="P1334" s="14" t="s">
        <v>9479</v>
      </c>
      <c r="Q1334" s="17" t="s">
        <v>137</v>
      </c>
      <c r="R1334" s="17" t="s">
        <v>146</v>
      </c>
    </row>
    <row r="1335" spans="1:18" x14ac:dyDescent="0.3">
      <c r="A1335" s="12" t="s">
        <v>9480</v>
      </c>
      <c r="B1335" s="12" t="s">
        <v>12</v>
      </c>
      <c r="C1335" s="12"/>
      <c r="D1335" s="12" t="s">
        <v>12</v>
      </c>
      <c r="E1335" s="12" t="s">
        <v>9481</v>
      </c>
      <c r="F1335" s="12" t="s">
        <v>871</v>
      </c>
      <c r="G1335" s="12" t="s">
        <v>2590</v>
      </c>
      <c r="H1335" s="12" t="s">
        <v>39</v>
      </c>
      <c r="I1335" s="12" t="s">
        <v>26</v>
      </c>
      <c r="J1335" s="13" t="s">
        <v>2591</v>
      </c>
      <c r="K1335" s="14" t="s">
        <v>9477</v>
      </c>
      <c r="L1335" s="15">
        <v>0</v>
      </c>
      <c r="M1335" s="15" t="s">
        <v>144</v>
      </c>
      <c r="N1335" s="16">
        <v>39372</v>
      </c>
      <c r="O1335" s="12" t="s">
        <v>9480</v>
      </c>
      <c r="P1335" s="14" t="s">
        <v>9482</v>
      </c>
      <c r="Q1335" s="17" t="s">
        <v>137</v>
      </c>
      <c r="R1335" s="17" t="s">
        <v>146</v>
      </c>
    </row>
    <row r="1336" spans="1:18" x14ac:dyDescent="0.3">
      <c r="A1336" s="12" t="s">
        <v>9483</v>
      </c>
      <c r="B1336" s="12" t="s">
        <v>10</v>
      </c>
      <c r="C1336" s="12"/>
      <c r="D1336" s="12" t="s">
        <v>157</v>
      </c>
      <c r="E1336" s="12" t="s">
        <v>9484</v>
      </c>
      <c r="F1336" s="12" t="s">
        <v>188</v>
      </c>
      <c r="G1336" s="12" t="s">
        <v>2590</v>
      </c>
      <c r="H1336" s="12" t="s">
        <v>39</v>
      </c>
      <c r="I1336" s="12" t="s">
        <v>26</v>
      </c>
      <c r="J1336" s="13" t="s">
        <v>2591</v>
      </c>
      <c r="K1336" s="14" t="s">
        <v>9485</v>
      </c>
      <c r="L1336" s="15">
        <v>3</v>
      </c>
      <c r="M1336" s="15" t="s">
        <v>144</v>
      </c>
      <c r="N1336" s="16">
        <v>41795</v>
      </c>
      <c r="O1336" s="12" t="s">
        <v>9483</v>
      </c>
      <c r="P1336" s="14" t="s">
        <v>9486</v>
      </c>
      <c r="Q1336" s="17" t="s">
        <v>137</v>
      </c>
      <c r="R1336" s="17" t="s">
        <v>146</v>
      </c>
    </row>
    <row r="1337" spans="1:18" x14ac:dyDescent="0.3">
      <c r="A1337" s="12" t="s">
        <v>9487</v>
      </c>
      <c r="B1337" s="12" t="s">
        <v>12</v>
      </c>
      <c r="C1337" s="12"/>
      <c r="D1337" s="12" t="s">
        <v>12</v>
      </c>
      <c r="E1337" s="12" t="s">
        <v>9488</v>
      </c>
      <c r="F1337" s="12" t="s">
        <v>9489</v>
      </c>
      <c r="G1337" s="12" t="s">
        <v>2590</v>
      </c>
      <c r="H1337" s="12" t="s">
        <v>39</v>
      </c>
      <c r="I1337" s="12" t="s">
        <v>26</v>
      </c>
      <c r="J1337" s="13" t="s">
        <v>2591</v>
      </c>
      <c r="K1337" s="14" t="s">
        <v>9490</v>
      </c>
      <c r="L1337" s="15">
        <v>2</v>
      </c>
      <c r="M1337" s="15" t="s">
        <v>144</v>
      </c>
      <c r="N1337" s="16">
        <v>44412</v>
      </c>
      <c r="O1337" s="12" t="s">
        <v>9487</v>
      </c>
      <c r="P1337" s="14" t="s">
        <v>9491</v>
      </c>
      <c r="Q1337" s="17" t="s">
        <v>137</v>
      </c>
      <c r="R1337" s="17" t="s">
        <v>146</v>
      </c>
    </row>
    <row r="1338" spans="1:18" x14ac:dyDescent="0.3">
      <c r="A1338" s="12" t="s">
        <v>9492</v>
      </c>
      <c r="B1338" s="12" t="s">
        <v>12</v>
      </c>
      <c r="C1338" s="12"/>
      <c r="D1338" s="12" t="s">
        <v>12</v>
      </c>
      <c r="E1338" s="12" t="s">
        <v>9493</v>
      </c>
      <c r="F1338" s="12"/>
      <c r="G1338" s="12" t="s">
        <v>2590</v>
      </c>
      <c r="H1338" s="12" t="s">
        <v>39</v>
      </c>
      <c r="I1338" s="12" t="s">
        <v>26</v>
      </c>
      <c r="J1338" s="13" t="s">
        <v>2591</v>
      </c>
      <c r="K1338" s="14" t="s">
        <v>9494</v>
      </c>
      <c r="L1338" s="15">
        <v>2</v>
      </c>
      <c r="M1338" s="15" t="s">
        <v>144</v>
      </c>
      <c r="N1338" s="16">
        <v>43593</v>
      </c>
      <c r="O1338" s="12" t="s">
        <v>9492</v>
      </c>
      <c r="P1338" s="14" t="s">
        <v>9495</v>
      </c>
      <c r="Q1338" s="17" t="s">
        <v>137</v>
      </c>
      <c r="R1338" s="17" t="s">
        <v>146</v>
      </c>
    </row>
    <row r="1339" spans="1:18" x14ac:dyDescent="0.3">
      <c r="A1339" s="12" t="s">
        <v>9496</v>
      </c>
      <c r="B1339" s="12" t="s">
        <v>12</v>
      </c>
      <c r="C1339" s="12"/>
      <c r="D1339" s="12" t="s">
        <v>12</v>
      </c>
      <c r="E1339" s="12" t="s">
        <v>9432</v>
      </c>
      <c r="F1339" s="12" t="s">
        <v>1708</v>
      </c>
      <c r="G1339" s="12" t="s">
        <v>2590</v>
      </c>
      <c r="H1339" s="12" t="s">
        <v>39</v>
      </c>
      <c r="I1339" s="12" t="s">
        <v>26</v>
      </c>
      <c r="J1339" s="13" t="s">
        <v>2591</v>
      </c>
      <c r="K1339" s="14" t="s">
        <v>9433</v>
      </c>
      <c r="L1339" s="15">
        <v>1</v>
      </c>
      <c r="M1339" s="15" t="s">
        <v>144</v>
      </c>
      <c r="N1339" s="16">
        <v>44065</v>
      </c>
      <c r="O1339" s="12" t="s">
        <v>9497</v>
      </c>
      <c r="P1339" s="14" t="s">
        <v>9498</v>
      </c>
      <c r="Q1339" s="17" t="s">
        <v>137</v>
      </c>
      <c r="R1339" s="17" t="s">
        <v>146</v>
      </c>
    </row>
    <row r="1340" spans="1:18" x14ac:dyDescent="0.3">
      <c r="A1340" s="12" t="s">
        <v>9499</v>
      </c>
      <c r="B1340" s="12" t="s">
        <v>10</v>
      </c>
      <c r="C1340" s="12" t="s">
        <v>14</v>
      </c>
      <c r="D1340" s="12" t="s">
        <v>4811</v>
      </c>
      <c r="E1340" s="12" t="s">
        <v>9500</v>
      </c>
      <c r="F1340" s="12"/>
      <c r="G1340" s="12" t="s">
        <v>2590</v>
      </c>
      <c r="H1340" s="12" t="s">
        <v>39</v>
      </c>
      <c r="I1340" s="12" t="s">
        <v>26</v>
      </c>
      <c r="J1340" s="13" t="s">
        <v>2591</v>
      </c>
      <c r="K1340" s="14" t="s">
        <v>9501</v>
      </c>
      <c r="L1340" s="15">
        <v>16</v>
      </c>
      <c r="M1340" s="15" t="s">
        <v>144</v>
      </c>
      <c r="N1340" s="16">
        <v>40834</v>
      </c>
      <c r="O1340" s="12" t="s">
        <v>9499</v>
      </c>
      <c r="P1340" s="14" t="s">
        <v>9502</v>
      </c>
      <c r="Q1340" s="17" t="s">
        <v>137</v>
      </c>
      <c r="R1340" s="17" t="s">
        <v>146</v>
      </c>
    </row>
    <row r="1341" spans="1:18" x14ac:dyDescent="0.3">
      <c r="A1341" s="12" t="s">
        <v>9503</v>
      </c>
      <c r="B1341" s="12" t="s">
        <v>12</v>
      </c>
      <c r="C1341" s="12"/>
      <c r="D1341" s="12" t="s">
        <v>12</v>
      </c>
      <c r="E1341" s="12" t="s">
        <v>9450</v>
      </c>
      <c r="F1341" s="12"/>
      <c r="G1341" s="12" t="s">
        <v>2590</v>
      </c>
      <c r="H1341" s="12" t="s">
        <v>39</v>
      </c>
      <c r="I1341" s="12" t="s">
        <v>26</v>
      </c>
      <c r="J1341" s="13" t="s">
        <v>2591</v>
      </c>
      <c r="K1341" s="14" t="s">
        <v>9451</v>
      </c>
      <c r="L1341" s="15">
        <v>1</v>
      </c>
      <c r="M1341" s="15" t="s">
        <v>144</v>
      </c>
      <c r="N1341" s="16">
        <v>40470</v>
      </c>
      <c r="O1341" s="12" t="s">
        <v>9503</v>
      </c>
      <c r="P1341" s="14" t="s">
        <v>9504</v>
      </c>
      <c r="Q1341" s="17" t="s">
        <v>137</v>
      </c>
      <c r="R1341" s="17" t="s">
        <v>146</v>
      </c>
    </row>
    <row r="1342" spans="1:18" x14ac:dyDescent="0.3">
      <c r="A1342" s="12" t="s">
        <v>9505</v>
      </c>
      <c r="B1342" s="12" t="s">
        <v>10</v>
      </c>
      <c r="C1342" s="12"/>
      <c r="D1342" s="12" t="s">
        <v>588</v>
      </c>
      <c r="E1342" s="12" t="s">
        <v>9484</v>
      </c>
      <c r="F1342" s="12" t="s">
        <v>225</v>
      </c>
      <c r="G1342" s="12" t="s">
        <v>2590</v>
      </c>
      <c r="H1342" s="12" t="s">
        <v>39</v>
      </c>
      <c r="I1342" s="12" t="s">
        <v>26</v>
      </c>
      <c r="J1342" s="13" t="s">
        <v>2591</v>
      </c>
      <c r="K1342" s="14" t="s">
        <v>9506</v>
      </c>
      <c r="L1342" s="15">
        <v>0</v>
      </c>
      <c r="M1342" s="15" t="s">
        <v>220</v>
      </c>
      <c r="N1342" s="16">
        <v>43287</v>
      </c>
      <c r="O1342" s="12" t="s">
        <v>9505</v>
      </c>
      <c r="P1342" s="14" t="s">
        <v>9507</v>
      </c>
      <c r="Q1342" s="17" t="s">
        <v>137</v>
      </c>
      <c r="R1342" s="17" t="s">
        <v>146</v>
      </c>
    </row>
    <row r="1343" spans="1:18" x14ac:dyDescent="0.3">
      <c r="A1343" s="12" t="s">
        <v>9508</v>
      </c>
      <c r="B1343" s="12" t="s">
        <v>12</v>
      </c>
      <c r="C1343" s="12"/>
      <c r="D1343" s="12" t="s">
        <v>12</v>
      </c>
      <c r="E1343" s="12" t="s">
        <v>9509</v>
      </c>
      <c r="F1343" s="12" t="s">
        <v>9510</v>
      </c>
      <c r="G1343" s="12" t="s">
        <v>2590</v>
      </c>
      <c r="H1343" s="12" t="s">
        <v>39</v>
      </c>
      <c r="I1343" s="12" t="s">
        <v>26</v>
      </c>
      <c r="J1343" s="13" t="s">
        <v>2591</v>
      </c>
      <c r="K1343" s="14" t="s">
        <v>9511</v>
      </c>
      <c r="L1343" s="15">
        <v>0</v>
      </c>
      <c r="M1343" s="15" t="s">
        <v>144</v>
      </c>
      <c r="N1343" s="16">
        <v>44065</v>
      </c>
      <c r="O1343" s="12" t="s">
        <v>9508</v>
      </c>
      <c r="P1343" s="14" t="s">
        <v>9512</v>
      </c>
      <c r="Q1343" s="17" t="s">
        <v>137</v>
      </c>
      <c r="R1343" s="17" t="s">
        <v>146</v>
      </c>
    </row>
    <row r="1344" spans="1:18" x14ac:dyDescent="0.3">
      <c r="A1344" s="12" t="s">
        <v>9513</v>
      </c>
      <c r="B1344" s="12" t="s">
        <v>12</v>
      </c>
      <c r="C1344" s="12"/>
      <c r="D1344" s="12" t="s">
        <v>12</v>
      </c>
      <c r="E1344" s="12" t="s">
        <v>9514</v>
      </c>
      <c r="F1344" s="12"/>
      <c r="G1344" s="12" t="s">
        <v>2349</v>
      </c>
      <c r="H1344" s="12" t="s">
        <v>39</v>
      </c>
      <c r="I1344" s="12" t="s">
        <v>26</v>
      </c>
      <c r="J1344" s="13" t="s">
        <v>2545</v>
      </c>
      <c r="K1344" s="14" t="s">
        <v>2381</v>
      </c>
      <c r="L1344" s="15">
        <v>4</v>
      </c>
      <c r="M1344" s="15" t="s">
        <v>144</v>
      </c>
      <c r="N1344" s="16">
        <v>40231</v>
      </c>
      <c r="O1344" s="12" t="s">
        <v>9513</v>
      </c>
      <c r="P1344" s="14" t="s">
        <v>9515</v>
      </c>
      <c r="Q1344" s="17" t="s">
        <v>137</v>
      </c>
      <c r="R1344" s="17" t="s">
        <v>146</v>
      </c>
    </row>
    <row r="1345" spans="1:18" x14ac:dyDescent="0.3">
      <c r="A1345" s="12" t="s">
        <v>9516</v>
      </c>
      <c r="B1345" s="12" t="s">
        <v>12</v>
      </c>
      <c r="C1345" s="12"/>
      <c r="D1345" s="12" t="s">
        <v>12</v>
      </c>
      <c r="E1345" s="12" t="s">
        <v>2695</v>
      </c>
      <c r="F1345" s="12" t="s">
        <v>4565</v>
      </c>
      <c r="G1345" s="12" t="s">
        <v>2636</v>
      </c>
      <c r="H1345" s="12" t="s">
        <v>39</v>
      </c>
      <c r="I1345" s="12" t="s">
        <v>26</v>
      </c>
      <c r="J1345" s="13" t="s">
        <v>2578</v>
      </c>
      <c r="K1345" s="14" t="s">
        <v>9517</v>
      </c>
      <c r="L1345" s="15">
        <v>2</v>
      </c>
      <c r="M1345" s="15" t="s">
        <v>144</v>
      </c>
      <c r="N1345" s="16">
        <v>41211</v>
      </c>
      <c r="O1345" s="12" t="s">
        <v>9516</v>
      </c>
      <c r="P1345" s="14" t="s">
        <v>9518</v>
      </c>
      <c r="Q1345" s="17" t="s">
        <v>137</v>
      </c>
      <c r="R1345" s="17" t="s">
        <v>146</v>
      </c>
    </row>
    <row r="1346" spans="1:18" x14ac:dyDescent="0.3">
      <c r="A1346" s="12" t="s">
        <v>9519</v>
      </c>
      <c r="B1346" s="12" t="s">
        <v>12</v>
      </c>
      <c r="C1346" s="12"/>
      <c r="D1346" s="12" t="s">
        <v>12</v>
      </c>
      <c r="E1346" s="12" t="s">
        <v>9520</v>
      </c>
      <c r="F1346" s="12" t="s">
        <v>516</v>
      </c>
      <c r="G1346" s="12" t="s">
        <v>2636</v>
      </c>
      <c r="H1346" s="12" t="s">
        <v>39</v>
      </c>
      <c r="I1346" s="12" t="s">
        <v>26</v>
      </c>
      <c r="J1346" s="13" t="s">
        <v>2578</v>
      </c>
      <c r="K1346" s="14" t="s">
        <v>9521</v>
      </c>
      <c r="L1346" s="15">
        <v>0</v>
      </c>
      <c r="M1346" s="15" t="s">
        <v>144</v>
      </c>
      <c r="N1346" s="16">
        <v>40820</v>
      </c>
      <c r="O1346" s="12" t="s">
        <v>9519</v>
      </c>
      <c r="P1346" s="14" t="s">
        <v>9522</v>
      </c>
      <c r="Q1346" s="17" t="s">
        <v>137</v>
      </c>
      <c r="R1346" s="17" t="s">
        <v>146</v>
      </c>
    </row>
    <row r="1347" spans="1:18" x14ac:dyDescent="0.3">
      <c r="A1347" s="12" t="s">
        <v>9523</v>
      </c>
      <c r="B1347" s="12" t="s">
        <v>12</v>
      </c>
      <c r="C1347" s="12"/>
      <c r="D1347" s="12" t="s">
        <v>12</v>
      </c>
      <c r="E1347" s="12" t="s">
        <v>9524</v>
      </c>
      <c r="F1347" s="12" t="s">
        <v>1698</v>
      </c>
      <c r="G1347" s="12" t="s">
        <v>2636</v>
      </c>
      <c r="H1347" s="12" t="s">
        <v>39</v>
      </c>
      <c r="I1347" s="12" t="s">
        <v>26</v>
      </c>
      <c r="J1347" s="13" t="s">
        <v>2578</v>
      </c>
      <c r="K1347" s="14" t="s">
        <v>9525</v>
      </c>
      <c r="L1347" s="15">
        <v>1</v>
      </c>
      <c r="M1347" s="15" t="s">
        <v>144</v>
      </c>
      <c r="N1347" s="16">
        <v>39741</v>
      </c>
      <c r="O1347" s="12" t="s">
        <v>9523</v>
      </c>
      <c r="P1347" s="14" t="s">
        <v>9526</v>
      </c>
      <c r="Q1347" s="17" t="s">
        <v>137</v>
      </c>
      <c r="R1347" s="17" t="s">
        <v>146</v>
      </c>
    </row>
    <row r="1348" spans="1:18" x14ac:dyDescent="0.3">
      <c r="A1348" s="12" t="s">
        <v>9527</v>
      </c>
      <c r="B1348" s="12" t="s">
        <v>12</v>
      </c>
      <c r="C1348" s="12"/>
      <c r="D1348" s="12" t="s">
        <v>12</v>
      </c>
      <c r="E1348" s="12" t="s">
        <v>9528</v>
      </c>
      <c r="F1348" s="12" t="s">
        <v>9529</v>
      </c>
      <c r="G1348" s="12" t="s">
        <v>2636</v>
      </c>
      <c r="H1348" s="12" t="s">
        <v>39</v>
      </c>
      <c r="I1348" s="12" t="s">
        <v>26</v>
      </c>
      <c r="J1348" s="13" t="s">
        <v>2578</v>
      </c>
      <c r="K1348" s="14" t="s">
        <v>9530</v>
      </c>
      <c r="L1348" s="15">
        <v>2</v>
      </c>
      <c r="M1348" s="15" t="s">
        <v>144</v>
      </c>
      <c r="N1348" s="16">
        <v>44065</v>
      </c>
      <c r="O1348" s="12" t="s">
        <v>9527</v>
      </c>
      <c r="P1348" s="14" t="s">
        <v>9531</v>
      </c>
      <c r="Q1348" s="17" t="s">
        <v>137</v>
      </c>
      <c r="R1348" s="17" t="s">
        <v>146</v>
      </c>
    </row>
    <row r="1349" spans="1:18" x14ac:dyDescent="0.3">
      <c r="A1349" s="12" t="s">
        <v>9532</v>
      </c>
      <c r="B1349" s="12" t="s">
        <v>12</v>
      </c>
      <c r="C1349" s="12"/>
      <c r="D1349" s="12" t="s">
        <v>12</v>
      </c>
      <c r="E1349" s="12" t="s">
        <v>9533</v>
      </c>
      <c r="F1349" s="12" t="s">
        <v>1765</v>
      </c>
      <c r="G1349" s="12" t="s">
        <v>2636</v>
      </c>
      <c r="H1349" s="12" t="s">
        <v>39</v>
      </c>
      <c r="I1349" s="12" t="s">
        <v>26</v>
      </c>
      <c r="J1349" s="13" t="s">
        <v>2578</v>
      </c>
      <c r="K1349" s="14" t="s">
        <v>9534</v>
      </c>
      <c r="L1349" s="15">
        <v>1</v>
      </c>
      <c r="M1349" s="15" t="s">
        <v>144</v>
      </c>
      <c r="N1349" s="16">
        <v>42423</v>
      </c>
      <c r="O1349" s="12" t="s">
        <v>9532</v>
      </c>
      <c r="P1349" s="14" t="s">
        <v>9535</v>
      </c>
      <c r="Q1349" s="17" t="s">
        <v>137</v>
      </c>
      <c r="R1349" s="17" t="s">
        <v>146</v>
      </c>
    </row>
    <row r="1350" spans="1:18" x14ac:dyDescent="0.3">
      <c r="A1350" s="12" t="s">
        <v>9536</v>
      </c>
      <c r="B1350" s="12" t="s">
        <v>12</v>
      </c>
      <c r="C1350" s="12"/>
      <c r="D1350" s="12" t="s">
        <v>12</v>
      </c>
      <c r="E1350" s="12" t="s">
        <v>9537</v>
      </c>
      <c r="F1350" s="12" t="s">
        <v>9538</v>
      </c>
      <c r="G1350" s="12" t="s">
        <v>2636</v>
      </c>
      <c r="H1350" s="12" t="s">
        <v>39</v>
      </c>
      <c r="I1350" s="12" t="s">
        <v>26</v>
      </c>
      <c r="J1350" s="13" t="s">
        <v>2578</v>
      </c>
      <c r="K1350" s="14" t="s">
        <v>9539</v>
      </c>
      <c r="L1350" s="15">
        <v>1</v>
      </c>
      <c r="M1350" s="15" t="s">
        <v>144</v>
      </c>
      <c r="N1350" s="16">
        <v>39640</v>
      </c>
      <c r="O1350" s="12" t="s">
        <v>9536</v>
      </c>
      <c r="P1350" s="14" t="s">
        <v>9540</v>
      </c>
      <c r="Q1350" s="17" t="s">
        <v>137</v>
      </c>
      <c r="R1350" s="17" t="s">
        <v>146</v>
      </c>
    </row>
    <row r="1351" spans="1:18" x14ac:dyDescent="0.3">
      <c r="A1351" s="12" t="s">
        <v>9541</v>
      </c>
      <c r="B1351" s="12" t="s">
        <v>12</v>
      </c>
      <c r="C1351" s="12"/>
      <c r="D1351" s="12" t="s">
        <v>12</v>
      </c>
      <c r="E1351" s="12" t="s">
        <v>9542</v>
      </c>
      <c r="F1351" s="12" t="s">
        <v>9543</v>
      </c>
      <c r="G1351" s="12" t="s">
        <v>2636</v>
      </c>
      <c r="H1351" s="12" t="s">
        <v>39</v>
      </c>
      <c r="I1351" s="12" t="s">
        <v>26</v>
      </c>
      <c r="J1351" s="13" t="s">
        <v>2649</v>
      </c>
      <c r="K1351" s="14" t="s">
        <v>9544</v>
      </c>
      <c r="L1351" s="15">
        <v>0</v>
      </c>
      <c r="M1351" s="15" t="s">
        <v>144</v>
      </c>
      <c r="N1351" s="16">
        <v>41038</v>
      </c>
      <c r="O1351" s="12" t="s">
        <v>9541</v>
      </c>
      <c r="P1351" s="14" t="s">
        <v>9545</v>
      </c>
      <c r="Q1351" s="17" t="s">
        <v>137</v>
      </c>
      <c r="R1351" s="17" t="s">
        <v>146</v>
      </c>
    </row>
    <row r="1352" spans="1:18" x14ac:dyDescent="0.3">
      <c r="A1352" s="12" t="s">
        <v>9546</v>
      </c>
      <c r="B1352" s="12" t="s">
        <v>14</v>
      </c>
      <c r="C1352" s="12"/>
      <c r="D1352" s="12" t="s">
        <v>14</v>
      </c>
      <c r="E1352" s="12" t="s">
        <v>9547</v>
      </c>
      <c r="F1352" s="12" t="s">
        <v>547</v>
      </c>
      <c r="G1352" s="12" t="s">
        <v>2636</v>
      </c>
      <c r="H1352" s="12" t="s">
        <v>39</v>
      </c>
      <c r="I1352" s="12" t="s">
        <v>26</v>
      </c>
      <c r="J1352" s="13" t="s">
        <v>2578</v>
      </c>
      <c r="K1352" s="14" t="s">
        <v>9548</v>
      </c>
      <c r="L1352" s="15">
        <v>10</v>
      </c>
      <c r="M1352" s="15" t="s">
        <v>144</v>
      </c>
      <c r="N1352" s="16">
        <v>44020</v>
      </c>
      <c r="O1352" s="12" t="s">
        <v>9546</v>
      </c>
      <c r="P1352" s="14" t="s">
        <v>9549</v>
      </c>
      <c r="Q1352" s="17" t="s">
        <v>137</v>
      </c>
      <c r="R1352" s="17" t="s">
        <v>146</v>
      </c>
    </row>
    <row r="1353" spans="1:18" x14ac:dyDescent="0.3">
      <c r="A1353" s="12" t="s">
        <v>9550</v>
      </c>
      <c r="B1353" s="12" t="s">
        <v>12</v>
      </c>
      <c r="C1353" s="12"/>
      <c r="D1353" s="12" t="s">
        <v>12</v>
      </c>
      <c r="E1353" s="12" t="s">
        <v>9551</v>
      </c>
      <c r="F1353" s="12" t="s">
        <v>182</v>
      </c>
      <c r="G1353" s="12" t="s">
        <v>2636</v>
      </c>
      <c r="H1353" s="12" t="s">
        <v>39</v>
      </c>
      <c r="I1353" s="12" t="s">
        <v>26</v>
      </c>
      <c r="J1353" s="13" t="s">
        <v>2578</v>
      </c>
      <c r="K1353" s="14" t="s">
        <v>9552</v>
      </c>
      <c r="L1353" s="15">
        <v>0</v>
      </c>
      <c r="M1353" s="15" t="s">
        <v>144</v>
      </c>
      <c r="N1353" s="16">
        <v>44065</v>
      </c>
      <c r="O1353" s="12" t="s">
        <v>9550</v>
      </c>
      <c r="P1353" s="14" t="s">
        <v>9553</v>
      </c>
      <c r="Q1353" s="17" t="s">
        <v>137</v>
      </c>
      <c r="R1353" s="17" t="s">
        <v>146</v>
      </c>
    </row>
    <row r="1354" spans="1:18" x14ac:dyDescent="0.3">
      <c r="A1354" s="12" t="s">
        <v>9554</v>
      </c>
      <c r="B1354" s="12" t="s">
        <v>14</v>
      </c>
      <c r="C1354" s="12"/>
      <c r="D1354" s="12" t="s">
        <v>14</v>
      </c>
      <c r="E1354" s="12" t="s">
        <v>2695</v>
      </c>
      <c r="F1354" s="12" t="s">
        <v>1088</v>
      </c>
      <c r="G1354" s="12" t="s">
        <v>2636</v>
      </c>
      <c r="H1354" s="12" t="s">
        <v>39</v>
      </c>
      <c r="I1354" s="12" t="s">
        <v>26</v>
      </c>
      <c r="J1354" s="13" t="s">
        <v>2578</v>
      </c>
      <c r="K1354" s="14" t="s">
        <v>9555</v>
      </c>
      <c r="L1354" s="15">
        <v>16</v>
      </c>
      <c r="M1354" s="15" t="s">
        <v>144</v>
      </c>
      <c r="N1354" s="16">
        <v>43489</v>
      </c>
      <c r="O1354" s="12" t="s">
        <v>9556</v>
      </c>
      <c r="P1354" s="14" t="s">
        <v>9557</v>
      </c>
      <c r="Q1354" s="17" t="s">
        <v>137</v>
      </c>
      <c r="R1354" s="17" t="s">
        <v>146</v>
      </c>
    </row>
    <row r="1355" spans="1:18" x14ac:dyDescent="0.3">
      <c r="A1355" s="12" t="s">
        <v>9558</v>
      </c>
      <c r="B1355" s="12" t="s">
        <v>14</v>
      </c>
      <c r="C1355" s="12"/>
      <c r="D1355" s="12" t="s">
        <v>14</v>
      </c>
      <c r="E1355" s="12" t="s">
        <v>9520</v>
      </c>
      <c r="F1355" s="12" t="s">
        <v>2012</v>
      </c>
      <c r="G1355" s="12" t="s">
        <v>2636</v>
      </c>
      <c r="H1355" s="12" t="s">
        <v>39</v>
      </c>
      <c r="I1355" s="12" t="s">
        <v>26</v>
      </c>
      <c r="J1355" s="13" t="s">
        <v>2578</v>
      </c>
      <c r="K1355" s="14" t="s">
        <v>9559</v>
      </c>
      <c r="L1355" s="15">
        <v>2</v>
      </c>
      <c r="M1355" s="15" t="s">
        <v>144</v>
      </c>
      <c r="N1355" s="16">
        <v>41730</v>
      </c>
      <c r="O1355" s="12" t="s">
        <v>9558</v>
      </c>
      <c r="P1355" s="14" t="s">
        <v>9560</v>
      </c>
      <c r="Q1355" s="17" t="s">
        <v>137</v>
      </c>
      <c r="R1355" s="17" t="s">
        <v>146</v>
      </c>
    </row>
    <row r="1356" spans="1:18" x14ac:dyDescent="0.3">
      <c r="A1356" s="12" t="s">
        <v>9561</v>
      </c>
      <c r="B1356" s="12" t="s">
        <v>12</v>
      </c>
      <c r="C1356" s="12"/>
      <c r="D1356" s="12" t="s">
        <v>12</v>
      </c>
      <c r="E1356" s="12" t="s">
        <v>9562</v>
      </c>
      <c r="F1356" s="12" t="s">
        <v>9563</v>
      </c>
      <c r="G1356" s="12" t="s">
        <v>2636</v>
      </c>
      <c r="H1356" s="12" t="s">
        <v>39</v>
      </c>
      <c r="I1356" s="12" t="s">
        <v>26</v>
      </c>
      <c r="J1356" s="13" t="s">
        <v>2578</v>
      </c>
      <c r="K1356" s="14" t="s">
        <v>9564</v>
      </c>
      <c r="L1356" s="15">
        <v>2</v>
      </c>
      <c r="M1356" s="15" t="s">
        <v>144</v>
      </c>
      <c r="N1356" s="16">
        <v>40794</v>
      </c>
      <c r="O1356" s="12" t="s">
        <v>9561</v>
      </c>
      <c r="P1356" s="14" t="s">
        <v>9565</v>
      </c>
      <c r="Q1356" s="17" t="s">
        <v>137</v>
      </c>
      <c r="R1356" s="17" t="s">
        <v>146</v>
      </c>
    </row>
    <row r="1357" spans="1:18" x14ac:dyDescent="0.3">
      <c r="A1357" s="12" t="s">
        <v>9566</v>
      </c>
      <c r="B1357" s="12" t="s">
        <v>12</v>
      </c>
      <c r="C1357" s="12"/>
      <c r="D1357" s="12" t="s">
        <v>12</v>
      </c>
      <c r="E1357" s="12" t="s">
        <v>9567</v>
      </c>
      <c r="F1357" s="12" t="s">
        <v>467</v>
      </c>
      <c r="G1357" s="12" t="s">
        <v>2636</v>
      </c>
      <c r="H1357" s="12" t="s">
        <v>39</v>
      </c>
      <c r="I1357" s="12" t="s">
        <v>26</v>
      </c>
      <c r="J1357" s="13" t="s">
        <v>2578</v>
      </c>
      <c r="K1357" s="14" t="s">
        <v>9568</v>
      </c>
      <c r="L1357" s="15">
        <v>2</v>
      </c>
      <c r="M1357" s="15" t="s">
        <v>144</v>
      </c>
      <c r="N1357" s="16">
        <v>39721</v>
      </c>
      <c r="O1357" s="12" t="s">
        <v>9566</v>
      </c>
      <c r="P1357" s="14" t="s">
        <v>9569</v>
      </c>
      <c r="Q1357" s="17" t="s">
        <v>137</v>
      </c>
      <c r="R1357" s="17" t="s">
        <v>146</v>
      </c>
    </row>
    <row r="1358" spans="1:18" x14ac:dyDescent="0.3">
      <c r="A1358" s="12" t="s">
        <v>9570</v>
      </c>
      <c r="B1358" s="12" t="s">
        <v>14</v>
      </c>
      <c r="C1358" s="12"/>
      <c r="D1358" s="12" t="s">
        <v>14</v>
      </c>
      <c r="E1358" s="12" t="s">
        <v>9571</v>
      </c>
      <c r="F1358" s="12"/>
      <c r="G1358" s="12" t="s">
        <v>2636</v>
      </c>
      <c r="H1358" s="12" t="s">
        <v>39</v>
      </c>
      <c r="I1358" s="12" t="s">
        <v>26</v>
      </c>
      <c r="J1358" s="13" t="s">
        <v>2578</v>
      </c>
      <c r="K1358" s="14" t="s">
        <v>9572</v>
      </c>
      <c r="L1358" s="15">
        <v>0</v>
      </c>
      <c r="M1358" s="15" t="s">
        <v>144</v>
      </c>
      <c r="N1358" s="16">
        <v>44053</v>
      </c>
      <c r="O1358" s="12" t="s">
        <v>9570</v>
      </c>
      <c r="P1358" s="14" t="s">
        <v>9573</v>
      </c>
      <c r="Q1358" s="17" t="s">
        <v>137</v>
      </c>
      <c r="R1358" s="17" t="s">
        <v>146</v>
      </c>
    </row>
    <row r="1359" spans="1:18" x14ac:dyDescent="0.3">
      <c r="A1359" s="12" t="s">
        <v>9574</v>
      </c>
      <c r="B1359" s="12" t="s">
        <v>12</v>
      </c>
      <c r="C1359" s="12"/>
      <c r="D1359" s="12" t="s">
        <v>12</v>
      </c>
      <c r="E1359" s="12" t="s">
        <v>9575</v>
      </c>
      <c r="F1359" s="12" t="s">
        <v>520</v>
      </c>
      <c r="G1359" s="12" t="s">
        <v>2636</v>
      </c>
      <c r="H1359" s="12" t="s">
        <v>39</v>
      </c>
      <c r="I1359" s="12" t="s">
        <v>26</v>
      </c>
      <c r="J1359" s="13" t="s">
        <v>2578</v>
      </c>
      <c r="K1359" s="14" t="s">
        <v>9576</v>
      </c>
      <c r="L1359" s="15">
        <v>1</v>
      </c>
      <c r="M1359" s="15" t="s">
        <v>144</v>
      </c>
      <c r="N1359" s="16">
        <v>44256</v>
      </c>
      <c r="O1359" s="12" t="s">
        <v>9574</v>
      </c>
      <c r="P1359" s="14" t="s">
        <v>9577</v>
      </c>
      <c r="Q1359" s="17" t="s">
        <v>137</v>
      </c>
      <c r="R1359" s="17" t="s">
        <v>146</v>
      </c>
    </row>
    <row r="1360" spans="1:18" x14ac:dyDescent="0.3">
      <c r="A1360" s="12" t="s">
        <v>9578</v>
      </c>
      <c r="B1360" s="12" t="s">
        <v>16</v>
      </c>
      <c r="C1360" s="12"/>
      <c r="D1360" s="12" t="s">
        <v>993</v>
      </c>
      <c r="E1360" s="12" t="s">
        <v>9579</v>
      </c>
      <c r="F1360" s="12" t="s">
        <v>9580</v>
      </c>
      <c r="G1360" s="12" t="s">
        <v>2636</v>
      </c>
      <c r="H1360" s="12" t="s">
        <v>39</v>
      </c>
      <c r="I1360" s="12" t="s">
        <v>26</v>
      </c>
      <c r="J1360" s="13" t="s">
        <v>2578</v>
      </c>
      <c r="K1360" s="14" t="s">
        <v>9581</v>
      </c>
      <c r="L1360" s="15">
        <v>0</v>
      </c>
      <c r="M1360" s="15" t="s">
        <v>144</v>
      </c>
      <c r="N1360" s="16">
        <v>40583</v>
      </c>
      <c r="O1360" s="12" t="s">
        <v>9578</v>
      </c>
      <c r="P1360" s="14" t="s">
        <v>9582</v>
      </c>
      <c r="Q1360" s="17" t="s">
        <v>137</v>
      </c>
      <c r="R1360" s="17" t="s">
        <v>146</v>
      </c>
    </row>
    <row r="1361" spans="1:18" x14ac:dyDescent="0.3">
      <c r="A1361" s="12" t="s">
        <v>9583</v>
      </c>
      <c r="B1361" s="12" t="s">
        <v>14</v>
      </c>
      <c r="C1361" s="12"/>
      <c r="D1361" s="12" t="s">
        <v>14</v>
      </c>
      <c r="E1361" s="12" t="s">
        <v>9584</v>
      </c>
      <c r="F1361" s="12"/>
      <c r="G1361" s="12" t="s">
        <v>2636</v>
      </c>
      <c r="H1361" s="12" t="s">
        <v>39</v>
      </c>
      <c r="I1361" s="12" t="s">
        <v>26</v>
      </c>
      <c r="J1361" s="13" t="s">
        <v>2578</v>
      </c>
      <c r="K1361" s="14" t="s">
        <v>9585</v>
      </c>
      <c r="L1361" s="15">
        <v>1</v>
      </c>
      <c r="M1361" s="15" t="s">
        <v>144</v>
      </c>
      <c r="N1361" s="16">
        <v>40120</v>
      </c>
      <c r="O1361" s="12" t="s">
        <v>9583</v>
      </c>
      <c r="P1361" s="14" t="s">
        <v>9586</v>
      </c>
      <c r="Q1361" s="17" t="s">
        <v>137</v>
      </c>
      <c r="R1361" s="17" t="s">
        <v>146</v>
      </c>
    </row>
    <row r="1362" spans="1:18" x14ac:dyDescent="0.3">
      <c r="A1362" s="12" t="s">
        <v>9587</v>
      </c>
      <c r="B1362" s="12" t="s">
        <v>12</v>
      </c>
      <c r="C1362" s="12"/>
      <c r="D1362" s="12" t="s">
        <v>12</v>
      </c>
      <c r="E1362" s="12" t="s">
        <v>9588</v>
      </c>
      <c r="F1362" s="12" t="s">
        <v>4474</v>
      </c>
      <c r="G1362" s="12" t="s">
        <v>2636</v>
      </c>
      <c r="H1362" s="12" t="s">
        <v>39</v>
      </c>
      <c r="I1362" s="12" t="s">
        <v>26</v>
      </c>
      <c r="J1362" s="13" t="s">
        <v>2578</v>
      </c>
      <c r="K1362" s="14" t="s">
        <v>9589</v>
      </c>
      <c r="L1362" s="15">
        <v>2</v>
      </c>
      <c r="M1362" s="15" t="s">
        <v>144</v>
      </c>
      <c r="N1362" s="16">
        <v>42276</v>
      </c>
      <c r="O1362" s="12" t="s">
        <v>9587</v>
      </c>
      <c r="P1362" s="14" t="s">
        <v>9590</v>
      </c>
      <c r="Q1362" s="17" t="s">
        <v>137</v>
      </c>
      <c r="R1362" s="17" t="s">
        <v>146</v>
      </c>
    </row>
    <row r="1363" spans="1:18" x14ac:dyDescent="0.3">
      <c r="A1363" s="12" t="s">
        <v>199</v>
      </c>
      <c r="B1363" s="12" t="s">
        <v>14</v>
      </c>
      <c r="C1363" s="12"/>
      <c r="D1363" s="12" t="s">
        <v>14</v>
      </c>
      <c r="E1363" s="12" t="s">
        <v>9591</v>
      </c>
      <c r="F1363" s="12" t="s">
        <v>447</v>
      </c>
      <c r="G1363" s="12" t="s">
        <v>2636</v>
      </c>
      <c r="H1363" s="12" t="s">
        <v>39</v>
      </c>
      <c r="I1363" s="12" t="s">
        <v>26</v>
      </c>
      <c r="J1363" s="13" t="s">
        <v>2578</v>
      </c>
      <c r="K1363" s="14" t="s">
        <v>9592</v>
      </c>
      <c r="L1363" s="15">
        <v>1</v>
      </c>
      <c r="M1363" s="15" t="s">
        <v>144</v>
      </c>
      <c r="N1363" s="16">
        <v>44063</v>
      </c>
      <c r="O1363" s="12" t="s">
        <v>203</v>
      </c>
      <c r="P1363" s="14" t="s">
        <v>9593</v>
      </c>
      <c r="Q1363" s="17" t="s">
        <v>137</v>
      </c>
      <c r="R1363" s="17" t="s">
        <v>146</v>
      </c>
    </row>
    <row r="1364" spans="1:18" x14ac:dyDescent="0.3">
      <c r="A1364" s="12" t="s">
        <v>9594</v>
      </c>
      <c r="B1364" s="12" t="s">
        <v>12</v>
      </c>
      <c r="C1364" s="12"/>
      <c r="D1364" s="12" t="s">
        <v>12</v>
      </c>
      <c r="E1364" s="12" t="s">
        <v>9595</v>
      </c>
      <c r="F1364" s="12"/>
      <c r="G1364" s="12" t="s">
        <v>2636</v>
      </c>
      <c r="H1364" s="12" t="s">
        <v>39</v>
      </c>
      <c r="I1364" s="12" t="s">
        <v>26</v>
      </c>
      <c r="J1364" s="13" t="s">
        <v>2578</v>
      </c>
      <c r="K1364" s="14" t="s">
        <v>9596</v>
      </c>
      <c r="L1364" s="15">
        <v>1</v>
      </c>
      <c r="M1364" s="15" t="s">
        <v>144</v>
      </c>
      <c r="N1364" s="16">
        <v>40801</v>
      </c>
      <c r="O1364" s="12" t="s">
        <v>9594</v>
      </c>
      <c r="P1364" s="14" t="s">
        <v>9597</v>
      </c>
      <c r="Q1364" s="17" t="s">
        <v>137</v>
      </c>
      <c r="R1364" s="17" t="s">
        <v>146</v>
      </c>
    </row>
    <row r="1365" spans="1:18" x14ac:dyDescent="0.3">
      <c r="A1365" s="12" t="s">
        <v>9598</v>
      </c>
      <c r="B1365" s="12" t="s">
        <v>12</v>
      </c>
      <c r="C1365" s="12"/>
      <c r="D1365" s="12" t="s">
        <v>12</v>
      </c>
      <c r="E1365" s="12" t="s">
        <v>9599</v>
      </c>
      <c r="F1365" s="12" t="s">
        <v>9600</v>
      </c>
      <c r="G1365" s="12" t="s">
        <v>2636</v>
      </c>
      <c r="H1365" s="12" t="s">
        <v>39</v>
      </c>
      <c r="I1365" s="12" t="s">
        <v>26</v>
      </c>
      <c r="J1365" s="13" t="s">
        <v>2578</v>
      </c>
      <c r="K1365" s="14" t="s">
        <v>9601</v>
      </c>
      <c r="L1365" s="15">
        <v>1</v>
      </c>
      <c r="M1365" s="15" t="s">
        <v>144</v>
      </c>
      <c r="N1365" s="16">
        <v>41934</v>
      </c>
      <c r="O1365" s="12" t="s">
        <v>9598</v>
      </c>
      <c r="P1365" s="14" t="s">
        <v>9602</v>
      </c>
      <c r="Q1365" s="17" t="s">
        <v>137</v>
      </c>
      <c r="R1365" s="17" t="s">
        <v>146</v>
      </c>
    </row>
    <row r="1366" spans="1:18" x14ac:dyDescent="0.3">
      <c r="A1366" s="12" t="s">
        <v>9603</v>
      </c>
      <c r="B1366" s="12" t="s">
        <v>14</v>
      </c>
      <c r="C1366" s="12"/>
      <c r="D1366" s="12" t="s">
        <v>14</v>
      </c>
      <c r="E1366" s="12" t="s">
        <v>9604</v>
      </c>
      <c r="F1366" s="12"/>
      <c r="G1366" s="12" t="s">
        <v>2636</v>
      </c>
      <c r="H1366" s="12" t="s">
        <v>39</v>
      </c>
      <c r="I1366" s="12" t="s">
        <v>26</v>
      </c>
      <c r="J1366" s="13" t="s">
        <v>2578</v>
      </c>
      <c r="K1366" s="14" t="s">
        <v>9605</v>
      </c>
      <c r="L1366" s="15">
        <v>1</v>
      </c>
      <c r="M1366" s="15" t="s">
        <v>144</v>
      </c>
      <c r="N1366" s="16">
        <v>42853</v>
      </c>
      <c r="O1366" s="12" t="s">
        <v>9603</v>
      </c>
      <c r="P1366" s="14" t="s">
        <v>9606</v>
      </c>
      <c r="Q1366" s="17" t="s">
        <v>137</v>
      </c>
      <c r="R1366" s="17" t="s">
        <v>146</v>
      </c>
    </row>
    <row r="1367" spans="1:18" x14ac:dyDescent="0.3">
      <c r="A1367" s="12" t="s">
        <v>9607</v>
      </c>
      <c r="B1367" s="12" t="s">
        <v>12</v>
      </c>
      <c r="C1367" s="12"/>
      <c r="D1367" s="12" t="s">
        <v>12</v>
      </c>
      <c r="E1367" s="12" t="s">
        <v>9608</v>
      </c>
      <c r="F1367" s="12" t="s">
        <v>258</v>
      </c>
      <c r="G1367" s="12" t="s">
        <v>2636</v>
      </c>
      <c r="H1367" s="12" t="s">
        <v>39</v>
      </c>
      <c r="I1367" s="12" t="s">
        <v>26</v>
      </c>
      <c r="J1367" s="13" t="s">
        <v>2578</v>
      </c>
      <c r="K1367" s="14" t="s">
        <v>9609</v>
      </c>
      <c r="L1367" s="15">
        <v>2</v>
      </c>
      <c r="M1367" s="15" t="s">
        <v>144</v>
      </c>
      <c r="N1367" s="16">
        <v>42227</v>
      </c>
      <c r="O1367" s="12" t="s">
        <v>9610</v>
      </c>
      <c r="P1367" s="14" t="s">
        <v>9611</v>
      </c>
      <c r="Q1367" s="17" t="s">
        <v>137</v>
      </c>
      <c r="R1367" s="17" t="s">
        <v>146</v>
      </c>
    </row>
    <row r="1368" spans="1:18" x14ac:dyDescent="0.3">
      <c r="A1368" s="12" t="s">
        <v>9612</v>
      </c>
      <c r="B1368" s="12" t="s">
        <v>12</v>
      </c>
      <c r="C1368" s="12"/>
      <c r="D1368" s="12" t="s">
        <v>12</v>
      </c>
      <c r="E1368" s="12" t="s">
        <v>9613</v>
      </c>
      <c r="F1368" s="12" t="s">
        <v>359</v>
      </c>
      <c r="G1368" s="12" t="s">
        <v>2636</v>
      </c>
      <c r="H1368" s="12" t="s">
        <v>39</v>
      </c>
      <c r="I1368" s="12" t="s">
        <v>26</v>
      </c>
      <c r="J1368" s="13" t="s">
        <v>2578</v>
      </c>
      <c r="K1368" s="14" t="s">
        <v>9614</v>
      </c>
      <c r="L1368" s="15">
        <v>4</v>
      </c>
      <c r="M1368" s="15" t="s">
        <v>144</v>
      </c>
      <c r="N1368" s="16">
        <v>43889</v>
      </c>
      <c r="O1368" s="12" t="s">
        <v>9612</v>
      </c>
      <c r="P1368" s="14" t="s">
        <v>9615</v>
      </c>
      <c r="Q1368" s="17" t="s">
        <v>137</v>
      </c>
      <c r="R1368" s="17" t="s">
        <v>146</v>
      </c>
    </row>
    <row r="1369" spans="1:18" x14ac:dyDescent="0.3">
      <c r="A1369" s="12" t="s">
        <v>9616</v>
      </c>
      <c r="B1369" s="12" t="s">
        <v>12</v>
      </c>
      <c r="C1369" s="12"/>
      <c r="D1369" s="12" t="s">
        <v>12</v>
      </c>
      <c r="E1369" s="12" t="s">
        <v>2644</v>
      </c>
      <c r="F1369" s="12" t="s">
        <v>520</v>
      </c>
      <c r="G1369" s="12" t="s">
        <v>2636</v>
      </c>
      <c r="H1369" s="12" t="s">
        <v>39</v>
      </c>
      <c r="I1369" s="12" t="s">
        <v>26</v>
      </c>
      <c r="J1369" s="13" t="s">
        <v>2578</v>
      </c>
      <c r="K1369" s="14" t="s">
        <v>9617</v>
      </c>
      <c r="L1369" s="15">
        <v>6</v>
      </c>
      <c r="M1369" s="15" t="s">
        <v>144</v>
      </c>
      <c r="N1369" s="16">
        <v>41900</v>
      </c>
      <c r="O1369" s="12" t="s">
        <v>9616</v>
      </c>
      <c r="P1369" s="14" t="s">
        <v>9618</v>
      </c>
      <c r="Q1369" s="17" t="s">
        <v>137</v>
      </c>
      <c r="R1369" s="17" t="s">
        <v>146</v>
      </c>
    </row>
    <row r="1370" spans="1:18" x14ac:dyDescent="0.3">
      <c r="A1370" s="12" t="s">
        <v>9619</v>
      </c>
      <c r="B1370" s="12" t="s">
        <v>12</v>
      </c>
      <c r="C1370" s="12"/>
      <c r="D1370" s="12" t="s">
        <v>12</v>
      </c>
      <c r="E1370" s="12" t="s">
        <v>9613</v>
      </c>
      <c r="F1370" s="12" t="s">
        <v>520</v>
      </c>
      <c r="G1370" s="12" t="s">
        <v>2636</v>
      </c>
      <c r="H1370" s="12" t="s">
        <v>39</v>
      </c>
      <c r="I1370" s="12" t="s">
        <v>26</v>
      </c>
      <c r="J1370" s="13" t="s">
        <v>2578</v>
      </c>
      <c r="K1370" s="14" t="s">
        <v>9249</v>
      </c>
      <c r="L1370" s="15">
        <v>4</v>
      </c>
      <c r="M1370" s="15" t="s">
        <v>144</v>
      </c>
      <c r="N1370" s="16">
        <v>44298</v>
      </c>
      <c r="O1370" s="12" t="s">
        <v>9619</v>
      </c>
      <c r="P1370" s="14" t="s">
        <v>9620</v>
      </c>
      <c r="Q1370" s="17" t="s">
        <v>137</v>
      </c>
      <c r="R1370" s="17" t="s">
        <v>146</v>
      </c>
    </row>
    <row r="1371" spans="1:18" x14ac:dyDescent="0.3">
      <c r="A1371" s="12" t="s">
        <v>9621</v>
      </c>
      <c r="B1371" s="12" t="s">
        <v>12</v>
      </c>
      <c r="C1371" s="12"/>
      <c r="D1371" s="12" t="s">
        <v>12</v>
      </c>
      <c r="E1371" s="12" t="s">
        <v>9562</v>
      </c>
      <c r="F1371" s="12" t="s">
        <v>9563</v>
      </c>
      <c r="G1371" s="12" t="s">
        <v>2636</v>
      </c>
      <c r="H1371" s="12" t="s">
        <v>39</v>
      </c>
      <c r="I1371" s="12" t="s">
        <v>26</v>
      </c>
      <c r="J1371" s="13" t="s">
        <v>2578</v>
      </c>
      <c r="K1371" s="14" t="s">
        <v>9622</v>
      </c>
      <c r="L1371" s="15">
        <v>2</v>
      </c>
      <c r="M1371" s="15" t="s">
        <v>144</v>
      </c>
      <c r="N1371" s="16">
        <v>42481</v>
      </c>
      <c r="O1371" s="12" t="s">
        <v>9621</v>
      </c>
      <c r="P1371" s="14" t="s">
        <v>9623</v>
      </c>
      <c r="Q1371" s="17" t="s">
        <v>137</v>
      </c>
      <c r="R1371" s="17" t="s">
        <v>146</v>
      </c>
    </row>
    <row r="1372" spans="1:18" x14ac:dyDescent="0.3">
      <c r="A1372" s="12" t="s">
        <v>9624</v>
      </c>
      <c r="B1372" s="12" t="s">
        <v>10</v>
      </c>
      <c r="C1372" s="12" t="s">
        <v>14</v>
      </c>
      <c r="D1372" s="12" t="s">
        <v>9625</v>
      </c>
      <c r="E1372" s="12" t="s">
        <v>2695</v>
      </c>
      <c r="F1372" s="12" t="s">
        <v>4565</v>
      </c>
      <c r="G1372" s="12" t="s">
        <v>2636</v>
      </c>
      <c r="H1372" s="12" t="s">
        <v>39</v>
      </c>
      <c r="I1372" s="12" t="s">
        <v>26</v>
      </c>
      <c r="J1372" s="13" t="s">
        <v>2578</v>
      </c>
      <c r="K1372" s="14" t="s">
        <v>9517</v>
      </c>
      <c r="L1372" s="15">
        <v>16</v>
      </c>
      <c r="M1372" s="15" t="s">
        <v>144</v>
      </c>
      <c r="N1372" s="16">
        <v>43975</v>
      </c>
      <c r="O1372" s="12" t="s">
        <v>9626</v>
      </c>
      <c r="P1372" s="14" t="s">
        <v>9627</v>
      </c>
      <c r="Q1372" s="17" t="s">
        <v>137</v>
      </c>
      <c r="R1372" s="17" t="s">
        <v>146</v>
      </c>
    </row>
    <row r="1373" spans="1:18" x14ac:dyDescent="0.3">
      <c r="A1373" s="12" t="s">
        <v>215</v>
      </c>
      <c r="B1373" s="12" t="s">
        <v>10</v>
      </c>
      <c r="C1373" s="12" t="s">
        <v>14</v>
      </c>
      <c r="D1373" s="12" t="s">
        <v>9628</v>
      </c>
      <c r="E1373" s="12" t="s">
        <v>9629</v>
      </c>
      <c r="F1373" s="12"/>
      <c r="G1373" s="12" t="s">
        <v>2636</v>
      </c>
      <c r="H1373" s="12" t="s">
        <v>39</v>
      </c>
      <c r="I1373" s="12" t="s">
        <v>26</v>
      </c>
      <c r="J1373" s="13" t="s">
        <v>2578</v>
      </c>
      <c r="K1373" s="14" t="s">
        <v>9630</v>
      </c>
      <c r="L1373" s="15">
        <v>60</v>
      </c>
      <c r="M1373" s="15" t="s">
        <v>220</v>
      </c>
      <c r="N1373" s="16">
        <v>44105</v>
      </c>
      <c r="O1373" s="12" t="s">
        <v>215</v>
      </c>
      <c r="P1373" s="14" t="s">
        <v>9631</v>
      </c>
      <c r="Q1373" s="17" t="s">
        <v>137</v>
      </c>
      <c r="R1373" s="17" t="s">
        <v>146</v>
      </c>
    </row>
    <row r="1374" spans="1:18" x14ac:dyDescent="0.3">
      <c r="A1374" s="12" t="s">
        <v>292</v>
      </c>
      <c r="B1374" s="12" t="s">
        <v>10</v>
      </c>
      <c r="C1374" s="12"/>
      <c r="D1374" s="12" t="s">
        <v>9632</v>
      </c>
      <c r="E1374" s="12" t="s">
        <v>9633</v>
      </c>
      <c r="F1374" s="12" t="s">
        <v>843</v>
      </c>
      <c r="G1374" s="12" t="s">
        <v>2636</v>
      </c>
      <c r="H1374" s="12" t="s">
        <v>39</v>
      </c>
      <c r="I1374" s="12" t="s">
        <v>26</v>
      </c>
      <c r="J1374" s="13" t="s">
        <v>2578</v>
      </c>
      <c r="K1374" s="14" t="s">
        <v>9634</v>
      </c>
      <c r="L1374" s="15">
        <v>0</v>
      </c>
      <c r="M1374" s="15" t="s">
        <v>220</v>
      </c>
      <c r="N1374" s="16">
        <v>43678</v>
      </c>
      <c r="O1374" s="12" t="s">
        <v>292</v>
      </c>
      <c r="P1374" s="14" t="s">
        <v>9635</v>
      </c>
      <c r="Q1374" s="17" t="s">
        <v>137</v>
      </c>
      <c r="R1374" s="17" t="s">
        <v>146</v>
      </c>
    </row>
    <row r="1375" spans="1:18" x14ac:dyDescent="0.3">
      <c r="A1375" s="12" t="s">
        <v>439</v>
      </c>
      <c r="B1375" s="12" t="s">
        <v>10</v>
      </c>
      <c r="C1375" s="12"/>
      <c r="D1375" s="12" t="s">
        <v>440</v>
      </c>
      <c r="E1375" s="12" t="s">
        <v>9608</v>
      </c>
      <c r="F1375" s="12" t="s">
        <v>454</v>
      </c>
      <c r="G1375" s="12" t="s">
        <v>2636</v>
      </c>
      <c r="H1375" s="12" t="s">
        <v>39</v>
      </c>
      <c r="I1375" s="12" t="s">
        <v>26</v>
      </c>
      <c r="J1375" s="13" t="s">
        <v>2578</v>
      </c>
      <c r="K1375" s="14" t="s">
        <v>442</v>
      </c>
      <c r="L1375" s="15">
        <v>4</v>
      </c>
      <c r="M1375" s="15" t="s">
        <v>144</v>
      </c>
      <c r="N1375" s="16">
        <v>44557</v>
      </c>
      <c r="O1375" s="12" t="s">
        <v>443</v>
      </c>
      <c r="P1375" s="14" t="s">
        <v>9636</v>
      </c>
      <c r="Q1375" s="17" t="s">
        <v>137</v>
      </c>
      <c r="R1375" s="17" t="s">
        <v>146</v>
      </c>
    </row>
    <row r="1376" spans="1:18" x14ac:dyDescent="0.3">
      <c r="A1376" s="12" t="s">
        <v>9637</v>
      </c>
      <c r="B1376" s="12" t="s">
        <v>12</v>
      </c>
      <c r="C1376" s="12"/>
      <c r="D1376" s="12" t="s">
        <v>12</v>
      </c>
      <c r="E1376" s="12" t="s">
        <v>9638</v>
      </c>
      <c r="F1376" s="12" t="s">
        <v>995</v>
      </c>
      <c r="G1376" s="12" t="s">
        <v>2636</v>
      </c>
      <c r="H1376" s="12" t="s">
        <v>39</v>
      </c>
      <c r="I1376" s="12" t="s">
        <v>26</v>
      </c>
      <c r="J1376" s="13" t="s">
        <v>2578</v>
      </c>
      <c r="K1376" s="14" t="s">
        <v>9639</v>
      </c>
      <c r="L1376" s="15">
        <v>1</v>
      </c>
      <c r="M1376" s="15" t="s">
        <v>144</v>
      </c>
      <c r="N1376" s="16">
        <v>41522</v>
      </c>
      <c r="O1376" s="12" t="s">
        <v>9640</v>
      </c>
      <c r="P1376" s="14" t="s">
        <v>9641</v>
      </c>
      <c r="Q1376" s="17" t="s">
        <v>137</v>
      </c>
      <c r="R1376" s="17" t="s">
        <v>146</v>
      </c>
    </row>
    <row r="1377" spans="1:18" x14ac:dyDescent="0.3">
      <c r="A1377" s="12" t="s">
        <v>9642</v>
      </c>
      <c r="B1377" s="12" t="s">
        <v>12</v>
      </c>
      <c r="C1377" s="12"/>
      <c r="D1377" s="12" t="s">
        <v>12</v>
      </c>
      <c r="E1377" s="12" t="s">
        <v>9643</v>
      </c>
      <c r="F1377" s="12" t="s">
        <v>547</v>
      </c>
      <c r="G1377" s="12" t="s">
        <v>2636</v>
      </c>
      <c r="H1377" s="12" t="s">
        <v>39</v>
      </c>
      <c r="I1377" s="12" t="s">
        <v>26</v>
      </c>
      <c r="J1377" s="13" t="s">
        <v>2649</v>
      </c>
      <c r="K1377" s="14" t="s">
        <v>9639</v>
      </c>
      <c r="L1377" s="15">
        <v>2</v>
      </c>
      <c r="M1377" s="15" t="s">
        <v>144</v>
      </c>
      <c r="N1377" s="16">
        <v>39575</v>
      </c>
      <c r="O1377" s="12" t="s">
        <v>9642</v>
      </c>
      <c r="P1377" s="14" t="s">
        <v>9644</v>
      </c>
      <c r="Q1377" s="17" t="s">
        <v>137</v>
      </c>
      <c r="R1377" s="17" t="s">
        <v>146</v>
      </c>
    </row>
    <row r="1378" spans="1:18" x14ac:dyDescent="0.3">
      <c r="A1378" s="12" t="s">
        <v>9645</v>
      </c>
      <c r="B1378" s="12" t="s">
        <v>10</v>
      </c>
      <c r="C1378" s="12"/>
      <c r="D1378" s="12" t="s">
        <v>647</v>
      </c>
      <c r="E1378" s="12" t="s">
        <v>9646</v>
      </c>
      <c r="F1378" s="12"/>
      <c r="G1378" s="12" t="s">
        <v>2636</v>
      </c>
      <c r="H1378" s="12" t="s">
        <v>39</v>
      </c>
      <c r="I1378" s="12" t="s">
        <v>26</v>
      </c>
      <c r="J1378" s="13" t="s">
        <v>2578</v>
      </c>
      <c r="K1378" s="14" t="s">
        <v>9647</v>
      </c>
      <c r="L1378" s="15">
        <v>0</v>
      </c>
      <c r="M1378" s="15" t="s">
        <v>144</v>
      </c>
      <c r="N1378" s="16">
        <v>43480</v>
      </c>
      <c r="O1378" s="12" t="s">
        <v>9648</v>
      </c>
      <c r="P1378" s="14" t="s">
        <v>9649</v>
      </c>
      <c r="Q1378" s="17" t="s">
        <v>137</v>
      </c>
      <c r="R1378" s="17" t="s">
        <v>146</v>
      </c>
    </row>
    <row r="1379" spans="1:18" x14ac:dyDescent="0.3">
      <c r="A1379" s="12" t="s">
        <v>9645</v>
      </c>
      <c r="B1379" s="12" t="s">
        <v>10</v>
      </c>
      <c r="C1379" s="12"/>
      <c r="D1379" s="12" t="s">
        <v>647</v>
      </c>
      <c r="E1379" s="12" t="s">
        <v>9650</v>
      </c>
      <c r="F1379" s="12" t="s">
        <v>1270</v>
      </c>
      <c r="G1379" s="12" t="s">
        <v>2636</v>
      </c>
      <c r="H1379" s="12" t="s">
        <v>39</v>
      </c>
      <c r="I1379" s="12" t="s">
        <v>26</v>
      </c>
      <c r="J1379" s="13" t="s">
        <v>2578</v>
      </c>
      <c r="K1379" s="14" t="s">
        <v>9651</v>
      </c>
      <c r="L1379" s="15">
        <v>0</v>
      </c>
      <c r="M1379" s="15" t="s">
        <v>144</v>
      </c>
      <c r="N1379" s="16">
        <v>43480</v>
      </c>
      <c r="O1379" s="12" t="s">
        <v>9648</v>
      </c>
      <c r="P1379" s="14" t="s">
        <v>9649</v>
      </c>
      <c r="Q1379" s="17" t="s">
        <v>137</v>
      </c>
      <c r="R1379" s="17" t="s">
        <v>146</v>
      </c>
    </row>
    <row r="1380" spans="1:18" x14ac:dyDescent="0.3">
      <c r="A1380" s="12" t="s">
        <v>9652</v>
      </c>
      <c r="B1380" s="12" t="s">
        <v>16</v>
      </c>
      <c r="C1380" s="12"/>
      <c r="D1380" s="12" t="s">
        <v>993</v>
      </c>
      <c r="E1380" s="12" t="s">
        <v>9579</v>
      </c>
      <c r="F1380" s="12" t="s">
        <v>1039</v>
      </c>
      <c r="G1380" s="12" t="s">
        <v>2636</v>
      </c>
      <c r="H1380" s="12" t="s">
        <v>39</v>
      </c>
      <c r="I1380" s="12" t="s">
        <v>26</v>
      </c>
      <c r="J1380" s="13" t="s">
        <v>2578</v>
      </c>
      <c r="K1380" s="14" t="s">
        <v>5691</v>
      </c>
      <c r="L1380" s="15">
        <v>0</v>
      </c>
      <c r="M1380" s="15" t="s">
        <v>144</v>
      </c>
      <c r="N1380" s="16">
        <v>41743</v>
      </c>
      <c r="O1380" s="12" t="s">
        <v>9652</v>
      </c>
      <c r="P1380" s="14" t="s">
        <v>9653</v>
      </c>
      <c r="Q1380" s="17" t="s">
        <v>137</v>
      </c>
      <c r="R1380" s="17" t="s">
        <v>146</v>
      </c>
    </row>
    <row r="1381" spans="1:18" x14ac:dyDescent="0.3">
      <c r="A1381" s="12" t="s">
        <v>9654</v>
      </c>
      <c r="B1381" s="12" t="s">
        <v>12</v>
      </c>
      <c r="C1381" s="12"/>
      <c r="D1381" s="12" t="s">
        <v>12</v>
      </c>
      <c r="E1381" s="12" t="s">
        <v>9655</v>
      </c>
      <c r="F1381" s="12"/>
      <c r="G1381" s="12" t="s">
        <v>2747</v>
      </c>
      <c r="H1381" s="12" t="s">
        <v>43</v>
      </c>
      <c r="I1381" s="12" t="s">
        <v>26</v>
      </c>
      <c r="J1381" s="13" t="s">
        <v>2748</v>
      </c>
      <c r="K1381" s="14" t="s">
        <v>9656</v>
      </c>
      <c r="L1381" s="15">
        <v>2</v>
      </c>
      <c r="M1381" s="15" t="s">
        <v>144</v>
      </c>
      <c r="N1381" s="16">
        <v>44065</v>
      </c>
      <c r="O1381" s="12" t="s">
        <v>9654</v>
      </c>
      <c r="P1381" s="14" t="s">
        <v>9657</v>
      </c>
      <c r="Q1381" s="17" t="s">
        <v>137</v>
      </c>
      <c r="R1381" s="17" t="s">
        <v>146</v>
      </c>
    </row>
    <row r="1382" spans="1:18" x14ac:dyDescent="0.3">
      <c r="A1382" s="12" t="s">
        <v>9658</v>
      </c>
      <c r="B1382" s="12" t="s">
        <v>12</v>
      </c>
      <c r="C1382" s="12"/>
      <c r="D1382" s="12" t="s">
        <v>12</v>
      </c>
      <c r="E1382" s="12" t="s">
        <v>9659</v>
      </c>
      <c r="F1382" s="12" t="s">
        <v>1311</v>
      </c>
      <c r="G1382" s="12" t="s">
        <v>2747</v>
      </c>
      <c r="H1382" s="12" t="s">
        <v>43</v>
      </c>
      <c r="I1382" s="12" t="s">
        <v>26</v>
      </c>
      <c r="J1382" s="13" t="s">
        <v>2748</v>
      </c>
      <c r="K1382" s="14" t="s">
        <v>9656</v>
      </c>
      <c r="L1382" s="15">
        <v>1</v>
      </c>
      <c r="M1382" s="15" t="s">
        <v>144</v>
      </c>
      <c r="N1382" s="16">
        <v>42542</v>
      </c>
      <c r="O1382" s="12" t="s">
        <v>9658</v>
      </c>
      <c r="P1382" s="14" t="s">
        <v>9660</v>
      </c>
      <c r="Q1382" s="17" t="s">
        <v>137</v>
      </c>
      <c r="R1382" s="17" t="s">
        <v>146</v>
      </c>
    </row>
    <row r="1383" spans="1:18" x14ac:dyDescent="0.3">
      <c r="A1383" s="12" t="s">
        <v>9661</v>
      </c>
      <c r="B1383" s="12" t="s">
        <v>12</v>
      </c>
      <c r="C1383" s="12"/>
      <c r="D1383" s="12" t="s">
        <v>12</v>
      </c>
      <c r="E1383" s="12" t="s">
        <v>9662</v>
      </c>
      <c r="F1383" s="12" t="s">
        <v>1191</v>
      </c>
      <c r="G1383" s="12" t="s">
        <v>2747</v>
      </c>
      <c r="H1383" s="12" t="s">
        <v>43</v>
      </c>
      <c r="I1383" s="12" t="s">
        <v>26</v>
      </c>
      <c r="J1383" s="13" t="s">
        <v>2748</v>
      </c>
      <c r="K1383" s="14" t="s">
        <v>9656</v>
      </c>
      <c r="L1383" s="15">
        <v>0</v>
      </c>
      <c r="M1383" s="15" t="s">
        <v>144</v>
      </c>
      <c r="N1383" s="16">
        <v>42557</v>
      </c>
      <c r="O1383" s="12" t="s">
        <v>9661</v>
      </c>
      <c r="P1383" s="14" t="s">
        <v>9663</v>
      </c>
      <c r="Q1383" s="17" t="s">
        <v>137</v>
      </c>
      <c r="R1383" s="17" t="s">
        <v>146</v>
      </c>
    </row>
    <row r="1384" spans="1:18" x14ac:dyDescent="0.3">
      <c r="A1384" s="12" t="s">
        <v>9664</v>
      </c>
      <c r="B1384" s="12" t="s">
        <v>12</v>
      </c>
      <c r="C1384" s="12"/>
      <c r="D1384" s="12" t="s">
        <v>12</v>
      </c>
      <c r="E1384" s="12" t="s">
        <v>9665</v>
      </c>
      <c r="F1384" s="12"/>
      <c r="G1384" s="12" t="s">
        <v>2758</v>
      </c>
      <c r="H1384" s="12" t="s">
        <v>43</v>
      </c>
      <c r="I1384" s="12" t="s">
        <v>26</v>
      </c>
      <c r="J1384" s="13" t="s">
        <v>2759</v>
      </c>
      <c r="K1384" s="14" t="s">
        <v>9666</v>
      </c>
      <c r="L1384" s="15">
        <v>0</v>
      </c>
      <c r="M1384" s="15" t="s">
        <v>144</v>
      </c>
      <c r="N1384" s="16">
        <v>44065</v>
      </c>
      <c r="O1384" s="12" t="s">
        <v>9664</v>
      </c>
      <c r="P1384" s="14" t="s">
        <v>9667</v>
      </c>
      <c r="Q1384" s="17" t="s">
        <v>137</v>
      </c>
      <c r="R1384" s="17" t="s">
        <v>146</v>
      </c>
    </row>
    <row r="1385" spans="1:18" x14ac:dyDescent="0.3">
      <c r="A1385" s="12" t="s">
        <v>9668</v>
      </c>
      <c r="B1385" s="12" t="s">
        <v>12</v>
      </c>
      <c r="C1385" s="12"/>
      <c r="D1385" s="12" t="s">
        <v>12</v>
      </c>
      <c r="E1385" s="12" t="s">
        <v>9669</v>
      </c>
      <c r="F1385" s="12" t="s">
        <v>248</v>
      </c>
      <c r="G1385" s="12" t="s">
        <v>2758</v>
      </c>
      <c r="H1385" s="12" t="s">
        <v>43</v>
      </c>
      <c r="I1385" s="12" t="s">
        <v>26</v>
      </c>
      <c r="J1385" s="13" t="s">
        <v>2759</v>
      </c>
      <c r="K1385" s="14" t="s">
        <v>9670</v>
      </c>
      <c r="L1385" s="15">
        <v>1</v>
      </c>
      <c r="M1385" s="15" t="s">
        <v>144</v>
      </c>
      <c r="N1385" s="16">
        <v>40704</v>
      </c>
      <c r="O1385" s="12" t="s">
        <v>9668</v>
      </c>
      <c r="P1385" s="14" t="s">
        <v>9671</v>
      </c>
      <c r="Q1385" s="17" t="s">
        <v>137</v>
      </c>
      <c r="R1385" s="17" t="s">
        <v>146</v>
      </c>
    </row>
    <row r="1386" spans="1:18" x14ac:dyDescent="0.3">
      <c r="A1386" s="12" t="s">
        <v>9672</v>
      </c>
      <c r="B1386" s="12" t="s">
        <v>12</v>
      </c>
      <c r="C1386" s="12"/>
      <c r="D1386" s="12" t="s">
        <v>12</v>
      </c>
      <c r="E1386" s="12" t="s">
        <v>9673</v>
      </c>
      <c r="F1386" s="12"/>
      <c r="G1386" s="12" t="s">
        <v>2768</v>
      </c>
      <c r="H1386" s="12" t="s">
        <v>43</v>
      </c>
      <c r="I1386" s="12" t="s">
        <v>26</v>
      </c>
      <c r="J1386" s="13" t="s">
        <v>2769</v>
      </c>
      <c r="K1386" s="14" t="s">
        <v>9674</v>
      </c>
      <c r="L1386" s="15">
        <v>2</v>
      </c>
      <c r="M1386" s="15" t="s">
        <v>144</v>
      </c>
      <c r="N1386" s="16">
        <v>41745</v>
      </c>
      <c r="O1386" s="12" t="s">
        <v>9672</v>
      </c>
      <c r="P1386" s="14" t="s">
        <v>9675</v>
      </c>
      <c r="Q1386" s="17" t="s">
        <v>137</v>
      </c>
      <c r="R1386" s="17" t="s">
        <v>146</v>
      </c>
    </row>
    <row r="1387" spans="1:18" x14ac:dyDescent="0.3">
      <c r="A1387" s="12" t="s">
        <v>9676</v>
      </c>
      <c r="B1387" s="12" t="s">
        <v>12</v>
      </c>
      <c r="C1387" s="12"/>
      <c r="D1387" s="12" t="s">
        <v>12</v>
      </c>
      <c r="E1387" s="12" t="s">
        <v>9677</v>
      </c>
      <c r="F1387" s="12" t="s">
        <v>1573</v>
      </c>
      <c r="G1387" s="12" t="s">
        <v>2768</v>
      </c>
      <c r="H1387" s="12" t="s">
        <v>43</v>
      </c>
      <c r="I1387" s="12" t="s">
        <v>26</v>
      </c>
      <c r="J1387" s="13" t="s">
        <v>2769</v>
      </c>
      <c r="K1387" s="14" t="s">
        <v>9678</v>
      </c>
      <c r="L1387" s="15">
        <v>0</v>
      </c>
      <c r="M1387" s="15" t="s">
        <v>144</v>
      </c>
      <c r="N1387" s="16">
        <v>42089</v>
      </c>
      <c r="O1387" s="12" t="s">
        <v>9679</v>
      </c>
      <c r="P1387" s="14" t="s">
        <v>9680</v>
      </c>
      <c r="Q1387" s="17" t="s">
        <v>137</v>
      </c>
      <c r="R1387" s="17" t="s">
        <v>146</v>
      </c>
    </row>
    <row r="1388" spans="1:18" x14ac:dyDescent="0.3">
      <c r="A1388" s="12" t="s">
        <v>9681</v>
      </c>
      <c r="B1388" s="12" t="s">
        <v>14</v>
      </c>
      <c r="C1388" s="12"/>
      <c r="D1388" s="12" t="s">
        <v>14</v>
      </c>
      <c r="E1388" s="12" t="s">
        <v>2800</v>
      </c>
      <c r="F1388" s="12" t="s">
        <v>188</v>
      </c>
      <c r="G1388" s="12" t="s">
        <v>2768</v>
      </c>
      <c r="H1388" s="12" t="s">
        <v>43</v>
      </c>
      <c r="I1388" s="12" t="s">
        <v>26</v>
      </c>
      <c r="J1388" s="13" t="s">
        <v>2769</v>
      </c>
      <c r="K1388" s="14" t="s">
        <v>9682</v>
      </c>
      <c r="L1388" s="15">
        <v>6</v>
      </c>
      <c r="M1388" s="15" t="s">
        <v>144</v>
      </c>
      <c r="N1388" s="16">
        <v>44065</v>
      </c>
      <c r="O1388" s="12" t="s">
        <v>9681</v>
      </c>
      <c r="P1388" s="14" t="s">
        <v>9683</v>
      </c>
      <c r="Q1388" s="17" t="s">
        <v>137</v>
      </c>
      <c r="R1388" s="17" t="s">
        <v>146</v>
      </c>
    </row>
    <row r="1389" spans="1:18" x14ac:dyDescent="0.3">
      <c r="A1389" s="12" t="s">
        <v>9684</v>
      </c>
      <c r="B1389" s="12" t="s">
        <v>12</v>
      </c>
      <c r="C1389" s="12"/>
      <c r="D1389" s="12" t="s">
        <v>12</v>
      </c>
      <c r="E1389" s="12" t="s">
        <v>9685</v>
      </c>
      <c r="F1389" s="12" t="s">
        <v>1573</v>
      </c>
      <c r="G1389" s="12" t="s">
        <v>2768</v>
      </c>
      <c r="H1389" s="12" t="s">
        <v>43</v>
      </c>
      <c r="I1389" s="12" t="s">
        <v>26</v>
      </c>
      <c r="J1389" s="13" t="s">
        <v>2769</v>
      </c>
      <c r="K1389" s="14" t="s">
        <v>9678</v>
      </c>
      <c r="L1389" s="15">
        <v>1</v>
      </c>
      <c r="M1389" s="15" t="s">
        <v>144</v>
      </c>
      <c r="N1389" s="16">
        <v>44065</v>
      </c>
      <c r="O1389" s="12" t="s">
        <v>9684</v>
      </c>
      <c r="P1389" s="14" t="s">
        <v>9686</v>
      </c>
      <c r="Q1389" s="17" t="s">
        <v>137</v>
      </c>
      <c r="R1389" s="17" t="s">
        <v>146</v>
      </c>
    </row>
    <row r="1390" spans="1:18" x14ac:dyDescent="0.3">
      <c r="A1390" s="12" t="s">
        <v>9687</v>
      </c>
      <c r="B1390" s="12" t="s">
        <v>12</v>
      </c>
      <c r="C1390" s="12"/>
      <c r="D1390" s="12" t="s">
        <v>12</v>
      </c>
      <c r="E1390" s="12" t="s">
        <v>9688</v>
      </c>
      <c r="F1390" s="12"/>
      <c r="G1390" s="12" t="s">
        <v>2768</v>
      </c>
      <c r="H1390" s="12" t="s">
        <v>43</v>
      </c>
      <c r="I1390" s="12" t="s">
        <v>26</v>
      </c>
      <c r="J1390" s="13" t="s">
        <v>2769</v>
      </c>
      <c r="K1390" s="14" t="s">
        <v>9689</v>
      </c>
      <c r="L1390" s="15">
        <v>0</v>
      </c>
      <c r="M1390" s="15" t="s">
        <v>144</v>
      </c>
      <c r="N1390" s="16">
        <v>39406</v>
      </c>
      <c r="O1390" s="12" t="s">
        <v>9687</v>
      </c>
      <c r="P1390" s="14" t="s">
        <v>9690</v>
      </c>
      <c r="Q1390" s="17" t="s">
        <v>137</v>
      </c>
      <c r="R1390" s="17" t="s">
        <v>146</v>
      </c>
    </row>
    <row r="1391" spans="1:18" x14ac:dyDescent="0.3">
      <c r="A1391" s="12" t="s">
        <v>9691</v>
      </c>
      <c r="B1391" s="12" t="s">
        <v>12</v>
      </c>
      <c r="C1391" s="12"/>
      <c r="D1391" s="12" t="s">
        <v>12</v>
      </c>
      <c r="E1391" s="12" t="s">
        <v>9692</v>
      </c>
      <c r="F1391" s="12"/>
      <c r="G1391" s="12" t="s">
        <v>2768</v>
      </c>
      <c r="H1391" s="12" t="s">
        <v>43</v>
      </c>
      <c r="I1391" s="12" t="s">
        <v>26</v>
      </c>
      <c r="J1391" s="13" t="s">
        <v>2769</v>
      </c>
      <c r="K1391" s="14" t="s">
        <v>9693</v>
      </c>
      <c r="L1391" s="15">
        <v>5</v>
      </c>
      <c r="M1391" s="15" t="s">
        <v>144</v>
      </c>
      <c r="N1391" s="16">
        <v>42499</v>
      </c>
      <c r="O1391" s="12" t="s">
        <v>9691</v>
      </c>
      <c r="P1391" s="14" t="s">
        <v>9694</v>
      </c>
      <c r="Q1391" s="17" t="s">
        <v>137</v>
      </c>
      <c r="R1391" s="17" t="s">
        <v>146</v>
      </c>
    </row>
    <row r="1392" spans="1:18" x14ac:dyDescent="0.3">
      <c r="A1392" s="12" t="s">
        <v>9695</v>
      </c>
      <c r="B1392" s="12" t="s">
        <v>10</v>
      </c>
      <c r="C1392" s="12"/>
      <c r="D1392" s="12" t="s">
        <v>252</v>
      </c>
      <c r="E1392" s="12" t="s">
        <v>9696</v>
      </c>
      <c r="F1392" s="12"/>
      <c r="G1392" s="12" t="s">
        <v>2768</v>
      </c>
      <c r="H1392" s="12" t="s">
        <v>43</v>
      </c>
      <c r="I1392" s="12" t="s">
        <v>26</v>
      </c>
      <c r="J1392" s="13" t="s">
        <v>2769</v>
      </c>
      <c r="K1392" s="14" t="s">
        <v>9697</v>
      </c>
      <c r="L1392" s="15">
        <v>0</v>
      </c>
      <c r="M1392" s="15" t="s">
        <v>144</v>
      </c>
      <c r="N1392" s="16">
        <v>44078</v>
      </c>
      <c r="O1392" s="12" t="s">
        <v>9698</v>
      </c>
      <c r="P1392" s="14" t="s">
        <v>9699</v>
      </c>
      <c r="Q1392" s="17" t="s">
        <v>137</v>
      </c>
      <c r="R1392" s="17" t="s">
        <v>146</v>
      </c>
    </row>
    <row r="1393" spans="1:18" x14ac:dyDescent="0.3">
      <c r="A1393" s="12" t="s">
        <v>9700</v>
      </c>
      <c r="B1393" s="12" t="s">
        <v>12</v>
      </c>
      <c r="C1393" s="12"/>
      <c r="D1393" s="12" t="s">
        <v>12</v>
      </c>
      <c r="E1393" s="12" t="s">
        <v>9701</v>
      </c>
      <c r="F1393" s="12"/>
      <c r="G1393" s="12" t="s">
        <v>2768</v>
      </c>
      <c r="H1393" s="12" t="s">
        <v>43</v>
      </c>
      <c r="I1393" s="12" t="s">
        <v>26</v>
      </c>
      <c r="J1393" s="13" t="s">
        <v>2769</v>
      </c>
      <c r="K1393" s="14" t="s">
        <v>9702</v>
      </c>
      <c r="L1393" s="15">
        <v>0</v>
      </c>
      <c r="M1393" s="15" t="s">
        <v>144</v>
      </c>
      <c r="N1393" s="16">
        <v>39359</v>
      </c>
      <c r="O1393" s="12" t="s">
        <v>9700</v>
      </c>
      <c r="P1393" s="14" t="s">
        <v>9703</v>
      </c>
      <c r="Q1393" s="17" t="s">
        <v>137</v>
      </c>
      <c r="R1393" s="17" t="s">
        <v>146</v>
      </c>
    </row>
    <row r="1394" spans="1:18" x14ac:dyDescent="0.3">
      <c r="A1394" s="12" t="s">
        <v>9704</v>
      </c>
      <c r="B1394" s="12" t="s">
        <v>12</v>
      </c>
      <c r="C1394" s="12"/>
      <c r="D1394" s="12" t="s">
        <v>12</v>
      </c>
      <c r="E1394" s="12" t="s">
        <v>9705</v>
      </c>
      <c r="F1394" s="12"/>
      <c r="G1394" s="12" t="s">
        <v>2768</v>
      </c>
      <c r="H1394" s="12" t="s">
        <v>43</v>
      </c>
      <c r="I1394" s="12" t="s">
        <v>26</v>
      </c>
      <c r="J1394" s="13" t="s">
        <v>2769</v>
      </c>
      <c r="K1394" s="14" t="s">
        <v>9706</v>
      </c>
      <c r="L1394" s="15">
        <v>0</v>
      </c>
      <c r="M1394" s="15" t="s">
        <v>144</v>
      </c>
      <c r="N1394" s="16">
        <v>40631</v>
      </c>
      <c r="O1394" s="12" t="s">
        <v>9704</v>
      </c>
      <c r="P1394" s="14" t="s">
        <v>9707</v>
      </c>
      <c r="Q1394" s="17" t="s">
        <v>137</v>
      </c>
      <c r="R1394" s="17" t="s">
        <v>146</v>
      </c>
    </row>
    <row r="1395" spans="1:18" x14ac:dyDescent="0.3">
      <c r="A1395" s="12" t="s">
        <v>9708</v>
      </c>
      <c r="B1395" s="12" t="s">
        <v>12</v>
      </c>
      <c r="C1395" s="12"/>
      <c r="D1395" s="12" t="s">
        <v>12</v>
      </c>
      <c r="E1395" s="12" t="s">
        <v>9709</v>
      </c>
      <c r="F1395" s="12" t="s">
        <v>9710</v>
      </c>
      <c r="G1395" s="12" t="s">
        <v>2768</v>
      </c>
      <c r="H1395" s="12" t="s">
        <v>43</v>
      </c>
      <c r="I1395" s="12" t="s">
        <v>26</v>
      </c>
      <c r="J1395" s="13" t="s">
        <v>2769</v>
      </c>
      <c r="K1395" s="14" t="s">
        <v>9711</v>
      </c>
      <c r="L1395" s="15">
        <v>2</v>
      </c>
      <c r="M1395" s="15" t="s">
        <v>144</v>
      </c>
      <c r="N1395" s="16">
        <v>39638</v>
      </c>
      <c r="O1395" s="12" t="s">
        <v>9708</v>
      </c>
      <c r="P1395" s="14" t="s">
        <v>9712</v>
      </c>
      <c r="Q1395" s="17" t="s">
        <v>137</v>
      </c>
      <c r="R1395" s="17" t="s">
        <v>146</v>
      </c>
    </row>
    <row r="1396" spans="1:18" x14ac:dyDescent="0.3">
      <c r="A1396" s="12" t="s">
        <v>9713</v>
      </c>
      <c r="B1396" s="12" t="s">
        <v>12</v>
      </c>
      <c r="C1396" s="12"/>
      <c r="D1396" s="12" t="s">
        <v>12</v>
      </c>
      <c r="E1396" s="12" t="s">
        <v>9714</v>
      </c>
      <c r="F1396" s="12" t="s">
        <v>447</v>
      </c>
      <c r="G1396" s="12" t="s">
        <v>2768</v>
      </c>
      <c r="H1396" s="12" t="s">
        <v>43</v>
      </c>
      <c r="I1396" s="12" t="s">
        <v>26</v>
      </c>
      <c r="J1396" s="13" t="s">
        <v>2769</v>
      </c>
      <c r="K1396" s="14" t="s">
        <v>9715</v>
      </c>
      <c r="L1396" s="15">
        <v>2</v>
      </c>
      <c r="M1396" s="15" t="s">
        <v>144</v>
      </c>
      <c r="N1396" s="16">
        <v>44065</v>
      </c>
      <c r="O1396" s="12" t="s">
        <v>9713</v>
      </c>
      <c r="P1396" s="14" t="s">
        <v>9716</v>
      </c>
      <c r="Q1396" s="17" t="s">
        <v>137</v>
      </c>
      <c r="R1396" s="17" t="s">
        <v>146</v>
      </c>
    </row>
    <row r="1397" spans="1:18" x14ac:dyDescent="0.3">
      <c r="A1397" s="12" t="s">
        <v>9717</v>
      </c>
      <c r="B1397" s="12" t="s">
        <v>12</v>
      </c>
      <c r="C1397" s="12"/>
      <c r="D1397" s="12" t="s">
        <v>12</v>
      </c>
      <c r="E1397" s="12" t="s">
        <v>9718</v>
      </c>
      <c r="F1397" s="12"/>
      <c r="G1397" s="12" t="s">
        <v>9719</v>
      </c>
      <c r="H1397" s="12" t="s">
        <v>43</v>
      </c>
      <c r="I1397" s="12" t="s">
        <v>26</v>
      </c>
      <c r="J1397" s="13" t="s">
        <v>9720</v>
      </c>
      <c r="K1397" s="14" t="s">
        <v>9721</v>
      </c>
      <c r="L1397" s="15">
        <v>0</v>
      </c>
      <c r="M1397" s="15" t="s">
        <v>144</v>
      </c>
      <c r="N1397" s="16">
        <v>39615</v>
      </c>
      <c r="O1397" s="12" t="s">
        <v>9717</v>
      </c>
      <c r="P1397" s="14" t="s">
        <v>9722</v>
      </c>
      <c r="Q1397" s="17" t="s">
        <v>137</v>
      </c>
      <c r="R1397" s="17" t="s">
        <v>146</v>
      </c>
    </row>
    <row r="1398" spans="1:18" x14ac:dyDescent="0.3">
      <c r="A1398" s="12" t="s">
        <v>9723</v>
      </c>
      <c r="B1398" s="12" t="s">
        <v>12</v>
      </c>
      <c r="C1398" s="12"/>
      <c r="D1398" s="12" t="s">
        <v>12</v>
      </c>
      <c r="E1398" s="12" t="s">
        <v>9724</v>
      </c>
      <c r="F1398" s="12"/>
      <c r="G1398" s="12" t="s">
        <v>9719</v>
      </c>
      <c r="H1398" s="12" t="s">
        <v>43</v>
      </c>
      <c r="I1398" s="12" t="s">
        <v>26</v>
      </c>
      <c r="J1398" s="13" t="s">
        <v>9720</v>
      </c>
      <c r="K1398" s="14" t="s">
        <v>9725</v>
      </c>
      <c r="L1398" s="15">
        <v>1</v>
      </c>
      <c r="M1398" s="15" t="s">
        <v>144</v>
      </c>
      <c r="N1398" s="16">
        <v>41288</v>
      </c>
      <c r="O1398" s="12" t="s">
        <v>9723</v>
      </c>
      <c r="P1398" s="14" t="s">
        <v>9726</v>
      </c>
      <c r="Q1398" s="17" t="s">
        <v>137</v>
      </c>
      <c r="R1398" s="17" t="s">
        <v>146</v>
      </c>
    </row>
    <row r="1399" spans="1:18" x14ac:dyDescent="0.3">
      <c r="A1399" s="12" t="s">
        <v>9727</v>
      </c>
      <c r="B1399" s="12" t="s">
        <v>12</v>
      </c>
      <c r="C1399" s="12"/>
      <c r="D1399" s="12" t="s">
        <v>12</v>
      </c>
      <c r="E1399" s="12" t="s">
        <v>9728</v>
      </c>
      <c r="F1399" s="12"/>
      <c r="G1399" s="12" t="s">
        <v>9719</v>
      </c>
      <c r="H1399" s="12" t="s">
        <v>43</v>
      </c>
      <c r="I1399" s="12" t="s">
        <v>26</v>
      </c>
      <c r="J1399" s="13" t="s">
        <v>9720</v>
      </c>
      <c r="K1399" s="14" t="s">
        <v>9729</v>
      </c>
      <c r="L1399" s="15">
        <v>1</v>
      </c>
      <c r="M1399" s="15" t="s">
        <v>144</v>
      </c>
      <c r="N1399" s="16">
        <v>44538</v>
      </c>
      <c r="O1399" s="12" t="s">
        <v>9727</v>
      </c>
      <c r="P1399" s="14" t="s">
        <v>9730</v>
      </c>
      <c r="Q1399" s="17" t="s">
        <v>137</v>
      </c>
      <c r="R1399" s="17" t="s">
        <v>146</v>
      </c>
    </row>
    <row r="1400" spans="1:18" x14ac:dyDescent="0.3">
      <c r="A1400" s="12" t="s">
        <v>9731</v>
      </c>
      <c r="B1400" s="12" t="s">
        <v>12</v>
      </c>
      <c r="C1400" s="12"/>
      <c r="D1400" s="12" t="s">
        <v>12</v>
      </c>
      <c r="E1400" s="12" t="s">
        <v>9732</v>
      </c>
      <c r="F1400" s="12"/>
      <c r="G1400" s="12" t="s">
        <v>2809</v>
      </c>
      <c r="H1400" s="12" t="s">
        <v>43</v>
      </c>
      <c r="I1400" s="12" t="s">
        <v>26</v>
      </c>
      <c r="J1400" s="13" t="s">
        <v>2810</v>
      </c>
      <c r="K1400" s="14" t="s">
        <v>9733</v>
      </c>
      <c r="L1400" s="15">
        <v>0</v>
      </c>
      <c r="M1400" s="15" t="s">
        <v>144</v>
      </c>
      <c r="N1400" s="16">
        <v>39716</v>
      </c>
      <c r="O1400" s="12" t="s">
        <v>9731</v>
      </c>
      <c r="P1400" s="14" t="s">
        <v>9734</v>
      </c>
      <c r="Q1400" s="17" t="s">
        <v>137</v>
      </c>
      <c r="R1400" s="17" t="s">
        <v>146</v>
      </c>
    </row>
    <row r="1401" spans="1:18" x14ac:dyDescent="0.3">
      <c r="A1401" s="12" t="s">
        <v>9735</v>
      </c>
      <c r="B1401" s="12" t="s">
        <v>12</v>
      </c>
      <c r="C1401" s="12"/>
      <c r="D1401" s="12" t="s">
        <v>12</v>
      </c>
      <c r="E1401" s="12" t="s">
        <v>9736</v>
      </c>
      <c r="F1401" s="12"/>
      <c r="G1401" s="12" t="s">
        <v>2809</v>
      </c>
      <c r="H1401" s="12" t="s">
        <v>43</v>
      </c>
      <c r="I1401" s="12" t="s">
        <v>26</v>
      </c>
      <c r="J1401" s="13" t="s">
        <v>2810</v>
      </c>
      <c r="K1401" s="14" t="s">
        <v>9733</v>
      </c>
      <c r="L1401" s="15">
        <v>0</v>
      </c>
      <c r="M1401" s="15" t="s">
        <v>144</v>
      </c>
      <c r="N1401" s="16">
        <v>44065</v>
      </c>
      <c r="O1401" s="12" t="s">
        <v>9735</v>
      </c>
      <c r="P1401" s="14" t="s">
        <v>9737</v>
      </c>
      <c r="Q1401" s="17" t="s">
        <v>137</v>
      </c>
      <c r="R1401" s="17" t="s">
        <v>146</v>
      </c>
    </row>
    <row r="1402" spans="1:18" x14ac:dyDescent="0.3">
      <c r="A1402" s="12" t="s">
        <v>9738</v>
      </c>
      <c r="B1402" s="12" t="s">
        <v>10</v>
      </c>
      <c r="C1402" s="12"/>
      <c r="D1402" s="12" t="s">
        <v>647</v>
      </c>
      <c r="E1402" s="12" t="s">
        <v>9739</v>
      </c>
      <c r="F1402" s="12"/>
      <c r="G1402" s="12" t="s">
        <v>2809</v>
      </c>
      <c r="H1402" s="12" t="s">
        <v>43</v>
      </c>
      <c r="I1402" s="12" t="s">
        <v>26</v>
      </c>
      <c r="J1402" s="13" t="s">
        <v>2810</v>
      </c>
      <c r="K1402" s="14" t="s">
        <v>9740</v>
      </c>
      <c r="L1402" s="15">
        <v>0</v>
      </c>
      <c r="M1402" s="15" t="s">
        <v>144</v>
      </c>
      <c r="N1402" s="16">
        <v>39988</v>
      </c>
      <c r="O1402" s="12" t="s">
        <v>4722</v>
      </c>
      <c r="P1402" s="14" t="s">
        <v>9741</v>
      </c>
      <c r="Q1402" s="17" t="s">
        <v>137</v>
      </c>
      <c r="R1402" s="17" t="s">
        <v>146</v>
      </c>
    </row>
    <row r="1403" spans="1:18" x14ac:dyDescent="0.3">
      <c r="A1403" s="12" t="s">
        <v>9742</v>
      </c>
      <c r="B1403" s="12" t="s">
        <v>12</v>
      </c>
      <c r="C1403" s="12"/>
      <c r="D1403" s="12" t="s">
        <v>12</v>
      </c>
      <c r="E1403" s="12" t="s">
        <v>9743</v>
      </c>
      <c r="F1403" s="12"/>
      <c r="G1403" s="12" t="s">
        <v>2809</v>
      </c>
      <c r="H1403" s="12" t="s">
        <v>43</v>
      </c>
      <c r="I1403" s="12" t="s">
        <v>26</v>
      </c>
      <c r="J1403" s="13" t="s">
        <v>2810</v>
      </c>
      <c r="K1403" s="14" t="s">
        <v>9744</v>
      </c>
      <c r="L1403" s="15">
        <v>1</v>
      </c>
      <c r="M1403" s="15" t="s">
        <v>144</v>
      </c>
      <c r="N1403" s="16">
        <v>43668</v>
      </c>
      <c r="O1403" s="12" t="s">
        <v>9742</v>
      </c>
      <c r="P1403" s="14" t="s">
        <v>9745</v>
      </c>
      <c r="Q1403" s="17" t="s">
        <v>137</v>
      </c>
      <c r="R1403" s="17" t="s">
        <v>146</v>
      </c>
    </row>
    <row r="1404" spans="1:18" x14ac:dyDescent="0.3">
      <c r="A1404" s="12" t="s">
        <v>4731</v>
      </c>
      <c r="B1404" s="12" t="s">
        <v>10</v>
      </c>
      <c r="C1404" s="12"/>
      <c r="D1404" s="12" t="s">
        <v>647</v>
      </c>
      <c r="E1404" s="12" t="s">
        <v>9739</v>
      </c>
      <c r="F1404" s="12"/>
      <c r="G1404" s="12" t="s">
        <v>2809</v>
      </c>
      <c r="H1404" s="12" t="s">
        <v>43</v>
      </c>
      <c r="I1404" s="12" t="s">
        <v>26</v>
      </c>
      <c r="J1404" s="13" t="s">
        <v>2810</v>
      </c>
      <c r="K1404" s="14" t="s">
        <v>9740</v>
      </c>
      <c r="L1404" s="15">
        <v>0</v>
      </c>
      <c r="M1404" s="15" t="s">
        <v>144</v>
      </c>
      <c r="N1404" s="16">
        <v>39988</v>
      </c>
      <c r="O1404" s="12" t="s">
        <v>4722</v>
      </c>
      <c r="P1404" s="14" t="s">
        <v>9746</v>
      </c>
      <c r="Q1404" s="17" t="s">
        <v>137</v>
      </c>
      <c r="R1404" s="17" t="s">
        <v>146</v>
      </c>
    </row>
    <row r="1405" spans="1:18" x14ac:dyDescent="0.3">
      <c r="A1405" s="12" t="s">
        <v>9747</v>
      </c>
      <c r="B1405" s="12" t="s">
        <v>14</v>
      </c>
      <c r="C1405" s="12"/>
      <c r="D1405" s="12" t="s">
        <v>14</v>
      </c>
      <c r="E1405" s="12" t="s">
        <v>9748</v>
      </c>
      <c r="F1405" s="12"/>
      <c r="G1405" s="12" t="s">
        <v>9749</v>
      </c>
      <c r="H1405" s="12" t="s">
        <v>43</v>
      </c>
      <c r="I1405" s="12" t="s">
        <v>26</v>
      </c>
      <c r="J1405" s="13" t="s">
        <v>9750</v>
      </c>
      <c r="K1405" s="14" t="s">
        <v>9751</v>
      </c>
      <c r="L1405" s="15">
        <v>6</v>
      </c>
      <c r="M1405" s="15" t="s">
        <v>144</v>
      </c>
      <c r="N1405" s="16">
        <v>44065</v>
      </c>
      <c r="O1405" s="12" t="s">
        <v>9752</v>
      </c>
      <c r="P1405" s="14" t="s">
        <v>9753</v>
      </c>
      <c r="Q1405" s="17" t="s">
        <v>137</v>
      </c>
      <c r="R1405" s="17" t="s">
        <v>146</v>
      </c>
    </row>
    <row r="1406" spans="1:18" x14ac:dyDescent="0.3">
      <c r="A1406" s="12" t="s">
        <v>9754</v>
      </c>
      <c r="B1406" s="12" t="s">
        <v>10</v>
      </c>
      <c r="C1406" s="12"/>
      <c r="D1406" s="12" t="s">
        <v>647</v>
      </c>
      <c r="E1406" s="12" t="s">
        <v>9755</v>
      </c>
      <c r="F1406" s="12"/>
      <c r="G1406" s="12" t="s">
        <v>9749</v>
      </c>
      <c r="H1406" s="12" t="s">
        <v>43</v>
      </c>
      <c r="I1406" s="12" t="s">
        <v>26</v>
      </c>
      <c r="J1406" s="13" t="s">
        <v>9750</v>
      </c>
      <c r="K1406" s="14" t="s">
        <v>9756</v>
      </c>
      <c r="L1406" s="15">
        <v>0</v>
      </c>
      <c r="M1406" s="15" t="s">
        <v>144</v>
      </c>
      <c r="N1406" s="16">
        <v>39391</v>
      </c>
      <c r="O1406" s="12" t="s">
        <v>4722</v>
      </c>
      <c r="P1406" s="14" t="s">
        <v>9757</v>
      </c>
      <c r="Q1406" s="17" t="s">
        <v>137</v>
      </c>
      <c r="R1406" s="17" t="s">
        <v>146</v>
      </c>
    </row>
    <row r="1407" spans="1:18" x14ac:dyDescent="0.3">
      <c r="A1407" s="12" t="s">
        <v>4731</v>
      </c>
      <c r="B1407" s="12" t="s">
        <v>10</v>
      </c>
      <c r="C1407" s="12"/>
      <c r="D1407" s="12" t="s">
        <v>647</v>
      </c>
      <c r="E1407" s="12" t="s">
        <v>9755</v>
      </c>
      <c r="F1407" s="12"/>
      <c r="G1407" s="12" t="s">
        <v>9749</v>
      </c>
      <c r="H1407" s="12" t="s">
        <v>43</v>
      </c>
      <c r="I1407" s="12" t="s">
        <v>26</v>
      </c>
      <c r="J1407" s="13" t="s">
        <v>9750</v>
      </c>
      <c r="K1407" s="14" t="s">
        <v>9758</v>
      </c>
      <c r="L1407" s="15">
        <v>0</v>
      </c>
      <c r="M1407" s="15" t="s">
        <v>144</v>
      </c>
      <c r="N1407" s="16">
        <v>39974</v>
      </c>
      <c r="O1407" s="12" t="s">
        <v>4722</v>
      </c>
      <c r="P1407" s="14" t="s">
        <v>9759</v>
      </c>
      <c r="Q1407" s="17" t="s">
        <v>137</v>
      </c>
      <c r="R1407" s="17" t="s">
        <v>146</v>
      </c>
    </row>
    <row r="1408" spans="1:18" x14ac:dyDescent="0.3">
      <c r="A1408" s="12" t="s">
        <v>9760</v>
      </c>
      <c r="B1408" s="12" t="s">
        <v>12</v>
      </c>
      <c r="C1408" s="12"/>
      <c r="D1408" s="12" t="s">
        <v>12</v>
      </c>
      <c r="E1408" s="12" t="s">
        <v>9761</v>
      </c>
      <c r="F1408" s="12"/>
      <c r="G1408" s="12" t="s">
        <v>9762</v>
      </c>
      <c r="H1408" s="12" t="s">
        <v>43</v>
      </c>
      <c r="I1408" s="12" t="s">
        <v>26</v>
      </c>
      <c r="J1408" s="13" t="s">
        <v>9763</v>
      </c>
      <c r="K1408" s="14" t="s">
        <v>9764</v>
      </c>
      <c r="L1408" s="15">
        <v>1</v>
      </c>
      <c r="M1408" s="15" t="s">
        <v>144</v>
      </c>
      <c r="N1408" s="16">
        <v>40515</v>
      </c>
      <c r="O1408" s="12" t="s">
        <v>9760</v>
      </c>
      <c r="P1408" s="14" t="s">
        <v>9765</v>
      </c>
      <c r="Q1408" s="17" t="s">
        <v>137</v>
      </c>
      <c r="R1408" s="17" t="s">
        <v>146</v>
      </c>
    </row>
    <row r="1409" spans="1:18" x14ac:dyDescent="0.3">
      <c r="A1409" s="12" t="s">
        <v>9766</v>
      </c>
      <c r="B1409" s="12" t="s">
        <v>12</v>
      </c>
      <c r="C1409" s="12"/>
      <c r="D1409" s="12" t="s">
        <v>12</v>
      </c>
      <c r="E1409" s="12" t="s">
        <v>9767</v>
      </c>
      <c r="F1409" s="12" t="s">
        <v>258</v>
      </c>
      <c r="G1409" s="12" t="s">
        <v>2826</v>
      </c>
      <c r="H1409" s="12" t="s">
        <v>43</v>
      </c>
      <c r="I1409" s="12" t="s">
        <v>26</v>
      </c>
      <c r="J1409" s="13" t="s">
        <v>2827</v>
      </c>
      <c r="K1409" s="14" t="s">
        <v>9768</v>
      </c>
      <c r="L1409" s="15">
        <v>1</v>
      </c>
      <c r="M1409" s="15" t="s">
        <v>144</v>
      </c>
      <c r="N1409" s="16">
        <v>41642</v>
      </c>
      <c r="O1409" s="12" t="s">
        <v>9766</v>
      </c>
      <c r="P1409" s="14" t="s">
        <v>9769</v>
      </c>
      <c r="Q1409" s="17" t="s">
        <v>137</v>
      </c>
      <c r="R1409" s="17" t="s">
        <v>146</v>
      </c>
    </row>
    <row r="1410" spans="1:18" x14ac:dyDescent="0.3">
      <c r="A1410" s="12" t="s">
        <v>9770</v>
      </c>
      <c r="B1410" s="12" t="s">
        <v>12</v>
      </c>
      <c r="C1410" s="12"/>
      <c r="D1410" s="12" t="s">
        <v>12</v>
      </c>
      <c r="E1410" s="12" t="s">
        <v>9771</v>
      </c>
      <c r="F1410" s="12" t="s">
        <v>1573</v>
      </c>
      <c r="G1410" s="12" t="s">
        <v>2826</v>
      </c>
      <c r="H1410" s="12" t="s">
        <v>43</v>
      </c>
      <c r="I1410" s="12" t="s">
        <v>26</v>
      </c>
      <c r="J1410" s="13" t="s">
        <v>2827</v>
      </c>
      <c r="K1410" s="14" t="s">
        <v>9772</v>
      </c>
      <c r="L1410" s="15">
        <v>0</v>
      </c>
      <c r="M1410" s="15" t="s">
        <v>144</v>
      </c>
      <c r="N1410" s="16">
        <v>40113</v>
      </c>
      <c r="O1410" s="12" t="s">
        <v>9770</v>
      </c>
      <c r="P1410" s="14" t="s">
        <v>9773</v>
      </c>
      <c r="Q1410" s="17" t="s">
        <v>137</v>
      </c>
      <c r="R1410" s="17" t="s">
        <v>146</v>
      </c>
    </row>
    <row r="1411" spans="1:18" x14ac:dyDescent="0.3">
      <c r="A1411" s="12" t="s">
        <v>9774</v>
      </c>
      <c r="B1411" s="12" t="s">
        <v>12</v>
      </c>
      <c r="C1411" s="12"/>
      <c r="D1411" s="12" t="s">
        <v>12</v>
      </c>
      <c r="E1411" s="12" t="s">
        <v>9775</v>
      </c>
      <c r="F1411" s="12"/>
      <c r="G1411" s="12" t="s">
        <v>2826</v>
      </c>
      <c r="H1411" s="12" t="s">
        <v>43</v>
      </c>
      <c r="I1411" s="12" t="s">
        <v>26</v>
      </c>
      <c r="J1411" s="13" t="s">
        <v>2827</v>
      </c>
      <c r="K1411" s="14" t="s">
        <v>9776</v>
      </c>
      <c r="L1411" s="15">
        <v>3</v>
      </c>
      <c r="M1411" s="15" t="s">
        <v>144</v>
      </c>
      <c r="N1411" s="16">
        <v>41208</v>
      </c>
      <c r="O1411" s="12" t="s">
        <v>9774</v>
      </c>
      <c r="P1411" s="14" t="s">
        <v>9777</v>
      </c>
      <c r="Q1411" s="17" t="s">
        <v>137</v>
      </c>
      <c r="R1411" s="17" t="s">
        <v>146</v>
      </c>
    </row>
    <row r="1412" spans="1:18" x14ac:dyDescent="0.3">
      <c r="A1412" s="12" t="s">
        <v>9160</v>
      </c>
      <c r="B1412" s="12" t="s">
        <v>12</v>
      </c>
      <c r="C1412" s="12" t="s">
        <v>9161</v>
      </c>
      <c r="D1412" s="12" t="s">
        <v>9162</v>
      </c>
      <c r="E1412" s="12" t="s">
        <v>9778</v>
      </c>
      <c r="F1412" s="12"/>
      <c r="G1412" s="12" t="s">
        <v>2826</v>
      </c>
      <c r="H1412" s="12" t="s">
        <v>43</v>
      </c>
      <c r="I1412" s="12" t="s">
        <v>26</v>
      </c>
      <c r="J1412" s="13" t="s">
        <v>2827</v>
      </c>
      <c r="K1412" s="14" t="s">
        <v>9164</v>
      </c>
      <c r="L1412" s="15">
        <v>1</v>
      </c>
      <c r="M1412" s="15" t="s">
        <v>144</v>
      </c>
      <c r="N1412" s="16">
        <v>43756</v>
      </c>
      <c r="O1412" s="12" t="s">
        <v>9165</v>
      </c>
      <c r="P1412" s="14" t="s">
        <v>9166</v>
      </c>
      <c r="Q1412" s="17" t="s">
        <v>137</v>
      </c>
      <c r="R1412" s="17" t="s">
        <v>146</v>
      </c>
    </row>
    <row r="1413" spans="1:18" x14ac:dyDescent="0.3">
      <c r="A1413" s="12" t="s">
        <v>9779</v>
      </c>
      <c r="B1413" s="12" t="s">
        <v>12</v>
      </c>
      <c r="C1413" s="12" t="s">
        <v>10</v>
      </c>
      <c r="D1413" s="12" t="s">
        <v>4990</v>
      </c>
      <c r="E1413" s="12" t="s">
        <v>9775</v>
      </c>
      <c r="F1413" s="12"/>
      <c r="G1413" s="12" t="s">
        <v>2826</v>
      </c>
      <c r="H1413" s="12" t="s">
        <v>43</v>
      </c>
      <c r="I1413" s="12" t="s">
        <v>26</v>
      </c>
      <c r="J1413" s="13" t="s">
        <v>2827</v>
      </c>
      <c r="K1413" s="14" t="s">
        <v>9780</v>
      </c>
      <c r="L1413" s="15">
        <v>3</v>
      </c>
      <c r="M1413" s="15" t="s">
        <v>144</v>
      </c>
      <c r="N1413" s="16">
        <v>41936</v>
      </c>
      <c r="O1413" s="12" t="s">
        <v>9779</v>
      </c>
      <c r="P1413" s="14" t="s">
        <v>9781</v>
      </c>
      <c r="Q1413" s="17" t="s">
        <v>137</v>
      </c>
      <c r="R1413" s="17" t="s">
        <v>146</v>
      </c>
    </row>
    <row r="1414" spans="1:18" x14ac:dyDescent="0.3">
      <c r="A1414" s="12" t="s">
        <v>9782</v>
      </c>
      <c r="B1414" s="12" t="s">
        <v>12</v>
      </c>
      <c r="C1414" s="12"/>
      <c r="D1414" s="12" t="s">
        <v>12</v>
      </c>
      <c r="E1414" s="12" t="s">
        <v>9783</v>
      </c>
      <c r="F1414" s="12"/>
      <c r="G1414" s="12" t="s">
        <v>2826</v>
      </c>
      <c r="H1414" s="12" t="s">
        <v>43</v>
      </c>
      <c r="I1414" s="12" t="s">
        <v>26</v>
      </c>
      <c r="J1414" s="13" t="s">
        <v>2827</v>
      </c>
      <c r="K1414" s="14" t="s">
        <v>9784</v>
      </c>
      <c r="L1414" s="15">
        <v>1</v>
      </c>
      <c r="M1414" s="15" t="s">
        <v>144</v>
      </c>
      <c r="N1414" s="16">
        <v>39318</v>
      </c>
      <c r="O1414" s="12" t="s">
        <v>9785</v>
      </c>
      <c r="P1414" s="14" t="s">
        <v>9786</v>
      </c>
      <c r="Q1414" s="17" t="s">
        <v>137</v>
      </c>
      <c r="R1414" s="17" t="s">
        <v>146</v>
      </c>
    </row>
    <row r="1415" spans="1:18" x14ac:dyDescent="0.3">
      <c r="A1415" s="12" t="s">
        <v>9787</v>
      </c>
      <c r="B1415" s="12" t="s">
        <v>14</v>
      </c>
      <c r="C1415" s="12"/>
      <c r="D1415" s="12" t="s">
        <v>14</v>
      </c>
      <c r="E1415" s="12" t="s">
        <v>9788</v>
      </c>
      <c r="F1415" s="12" t="s">
        <v>454</v>
      </c>
      <c r="G1415" s="12" t="s">
        <v>2826</v>
      </c>
      <c r="H1415" s="12" t="s">
        <v>43</v>
      </c>
      <c r="I1415" s="12" t="s">
        <v>26</v>
      </c>
      <c r="J1415" s="13" t="s">
        <v>2827</v>
      </c>
      <c r="K1415" s="14" t="s">
        <v>9789</v>
      </c>
      <c r="L1415" s="15">
        <v>0</v>
      </c>
      <c r="M1415" s="15" t="s">
        <v>144</v>
      </c>
      <c r="N1415" s="16">
        <v>44065</v>
      </c>
      <c r="O1415" s="12" t="s">
        <v>9790</v>
      </c>
      <c r="P1415" s="14" t="s">
        <v>9791</v>
      </c>
      <c r="Q1415" s="17" t="s">
        <v>137</v>
      </c>
      <c r="R1415" s="17" t="s">
        <v>146</v>
      </c>
    </row>
    <row r="1416" spans="1:18" x14ac:dyDescent="0.3">
      <c r="A1416" s="12" t="s">
        <v>9792</v>
      </c>
      <c r="B1416" s="12" t="s">
        <v>12</v>
      </c>
      <c r="C1416" s="12"/>
      <c r="D1416" s="12" t="s">
        <v>12</v>
      </c>
      <c r="E1416" s="12" t="s">
        <v>9793</v>
      </c>
      <c r="F1416" s="12" t="s">
        <v>248</v>
      </c>
      <c r="G1416" s="12" t="s">
        <v>2826</v>
      </c>
      <c r="H1416" s="12" t="s">
        <v>43</v>
      </c>
      <c r="I1416" s="12" t="s">
        <v>26</v>
      </c>
      <c r="J1416" s="13" t="s">
        <v>2827</v>
      </c>
      <c r="K1416" s="14" t="s">
        <v>9794</v>
      </c>
      <c r="L1416" s="15">
        <v>0</v>
      </c>
      <c r="M1416" s="15" t="s">
        <v>144</v>
      </c>
      <c r="N1416" s="16">
        <v>42380</v>
      </c>
      <c r="O1416" s="12" t="s">
        <v>9795</v>
      </c>
      <c r="P1416" s="14" t="s">
        <v>9796</v>
      </c>
      <c r="Q1416" s="17" t="s">
        <v>137</v>
      </c>
      <c r="R1416" s="17" t="s">
        <v>146</v>
      </c>
    </row>
    <row r="1417" spans="1:18" x14ac:dyDescent="0.3">
      <c r="A1417" s="12" t="s">
        <v>9797</v>
      </c>
      <c r="B1417" s="12" t="s">
        <v>12</v>
      </c>
      <c r="C1417" s="12"/>
      <c r="D1417" s="12" t="s">
        <v>12</v>
      </c>
      <c r="E1417" s="12" t="s">
        <v>9798</v>
      </c>
      <c r="F1417" s="12" t="s">
        <v>9799</v>
      </c>
      <c r="G1417" s="12" t="s">
        <v>9800</v>
      </c>
      <c r="H1417" s="12" t="s">
        <v>43</v>
      </c>
      <c r="I1417" s="12" t="s">
        <v>26</v>
      </c>
      <c r="J1417" s="13" t="s">
        <v>9801</v>
      </c>
      <c r="K1417" s="14" t="s">
        <v>9802</v>
      </c>
      <c r="L1417" s="15">
        <v>2</v>
      </c>
      <c r="M1417" s="15" t="s">
        <v>144</v>
      </c>
      <c r="N1417" s="16">
        <v>39962</v>
      </c>
      <c r="O1417" s="12" t="s">
        <v>9803</v>
      </c>
      <c r="P1417" s="14" t="s">
        <v>9804</v>
      </c>
      <c r="Q1417" s="17" t="s">
        <v>137</v>
      </c>
      <c r="R1417" s="17" t="s">
        <v>146</v>
      </c>
    </row>
    <row r="1418" spans="1:18" x14ac:dyDescent="0.3">
      <c r="A1418" s="12" t="s">
        <v>9805</v>
      </c>
      <c r="B1418" s="12" t="s">
        <v>12</v>
      </c>
      <c r="C1418" s="12"/>
      <c r="D1418" s="12" t="s">
        <v>12</v>
      </c>
      <c r="E1418" s="12" t="s">
        <v>9806</v>
      </c>
      <c r="F1418" s="12" t="s">
        <v>467</v>
      </c>
      <c r="G1418" s="12" t="s">
        <v>2837</v>
      </c>
      <c r="H1418" s="12" t="s">
        <v>43</v>
      </c>
      <c r="I1418" s="12" t="s">
        <v>26</v>
      </c>
      <c r="J1418" s="13" t="s">
        <v>2464</v>
      </c>
      <c r="K1418" s="14" t="s">
        <v>9807</v>
      </c>
      <c r="L1418" s="15">
        <v>4</v>
      </c>
      <c r="M1418" s="15" t="s">
        <v>144</v>
      </c>
      <c r="N1418" s="16">
        <v>43267</v>
      </c>
      <c r="O1418" s="12" t="s">
        <v>9805</v>
      </c>
      <c r="P1418" s="14" t="s">
        <v>9808</v>
      </c>
      <c r="Q1418" s="17" t="s">
        <v>137</v>
      </c>
      <c r="R1418" s="17" t="s">
        <v>146</v>
      </c>
    </row>
    <row r="1419" spans="1:18" x14ac:dyDescent="0.3">
      <c r="A1419" s="12" t="s">
        <v>9805</v>
      </c>
      <c r="B1419" s="12" t="s">
        <v>12</v>
      </c>
      <c r="C1419" s="12"/>
      <c r="D1419" s="12" t="s">
        <v>12</v>
      </c>
      <c r="E1419" s="12" t="s">
        <v>9809</v>
      </c>
      <c r="F1419" s="12" t="s">
        <v>2820</v>
      </c>
      <c r="G1419" s="12" t="s">
        <v>2837</v>
      </c>
      <c r="H1419" s="12" t="s">
        <v>43</v>
      </c>
      <c r="I1419" s="12" t="s">
        <v>26</v>
      </c>
      <c r="J1419" s="13" t="s">
        <v>2464</v>
      </c>
      <c r="K1419" s="14" t="s">
        <v>9810</v>
      </c>
      <c r="L1419" s="15">
        <v>0</v>
      </c>
      <c r="M1419" s="15" t="s">
        <v>144</v>
      </c>
      <c r="N1419" s="16">
        <v>43267</v>
      </c>
      <c r="O1419" s="12" t="s">
        <v>9805</v>
      </c>
      <c r="P1419" s="14" t="s">
        <v>9808</v>
      </c>
      <c r="Q1419" s="17" t="s">
        <v>137</v>
      </c>
      <c r="R1419" s="17" t="s">
        <v>146</v>
      </c>
    </row>
    <row r="1420" spans="1:18" x14ac:dyDescent="0.3">
      <c r="A1420" s="12" t="s">
        <v>9811</v>
      </c>
      <c r="B1420" s="12" t="s">
        <v>12</v>
      </c>
      <c r="C1420" s="12"/>
      <c r="D1420" s="12" t="s">
        <v>12</v>
      </c>
      <c r="E1420" s="12" t="s">
        <v>9806</v>
      </c>
      <c r="F1420" s="12" t="s">
        <v>467</v>
      </c>
      <c r="G1420" s="12" t="s">
        <v>2837</v>
      </c>
      <c r="H1420" s="12" t="s">
        <v>43</v>
      </c>
      <c r="I1420" s="12" t="s">
        <v>26</v>
      </c>
      <c r="J1420" s="13" t="s">
        <v>2464</v>
      </c>
      <c r="K1420" s="14" t="s">
        <v>9812</v>
      </c>
      <c r="L1420" s="15">
        <v>4</v>
      </c>
      <c r="M1420" s="15" t="s">
        <v>144</v>
      </c>
      <c r="N1420" s="16">
        <v>42467</v>
      </c>
      <c r="O1420" s="12" t="s">
        <v>9811</v>
      </c>
      <c r="P1420" s="14" t="s">
        <v>9813</v>
      </c>
      <c r="Q1420" s="17" t="s">
        <v>137</v>
      </c>
      <c r="R1420" s="17" t="s">
        <v>146</v>
      </c>
    </row>
    <row r="1421" spans="1:18" x14ac:dyDescent="0.3">
      <c r="A1421" s="12" t="s">
        <v>9814</v>
      </c>
      <c r="B1421" s="12" t="s">
        <v>12</v>
      </c>
      <c r="C1421" s="12"/>
      <c r="D1421" s="12" t="s">
        <v>12</v>
      </c>
      <c r="E1421" s="12" t="s">
        <v>9815</v>
      </c>
      <c r="F1421" s="12"/>
      <c r="G1421" s="12" t="s">
        <v>9816</v>
      </c>
      <c r="H1421" s="12" t="s">
        <v>43</v>
      </c>
      <c r="I1421" s="12" t="s">
        <v>26</v>
      </c>
      <c r="J1421" s="13" t="s">
        <v>9817</v>
      </c>
      <c r="K1421" s="14" t="s">
        <v>9818</v>
      </c>
      <c r="L1421" s="15">
        <v>2</v>
      </c>
      <c r="M1421" s="15" t="s">
        <v>144</v>
      </c>
      <c r="N1421" s="16">
        <v>40513</v>
      </c>
      <c r="O1421" s="12" t="s">
        <v>9814</v>
      </c>
      <c r="P1421" s="14" t="s">
        <v>9819</v>
      </c>
      <c r="Q1421" s="17" t="s">
        <v>137</v>
      </c>
      <c r="R1421" s="17" t="s">
        <v>146</v>
      </c>
    </row>
    <row r="1422" spans="1:18" x14ac:dyDescent="0.3">
      <c r="A1422" s="12" t="s">
        <v>9820</v>
      </c>
      <c r="B1422" s="12" t="s">
        <v>12</v>
      </c>
      <c r="C1422" s="12"/>
      <c r="D1422" s="12" t="s">
        <v>12</v>
      </c>
      <c r="E1422" s="12" t="s">
        <v>9821</v>
      </c>
      <c r="F1422" s="12"/>
      <c r="G1422" s="12" t="s">
        <v>9816</v>
      </c>
      <c r="H1422" s="12" t="s">
        <v>43</v>
      </c>
      <c r="I1422" s="12" t="s">
        <v>26</v>
      </c>
      <c r="J1422" s="13" t="s">
        <v>9817</v>
      </c>
      <c r="K1422" s="14" t="s">
        <v>9822</v>
      </c>
      <c r="L1422" s="15">
        <v>0</v>
      </c>
      <c r="M1422" s="15" t="s">
        <v>144</v>
      </c>
      <c r="N1422" s="16">
        <v>41270</v>
      </c>
      <c r="O1422" s="12" t="s">
        <v>9823</v>
      </c>
      <c r="P1422" s="14" t="s">
        <v>9824</v>
      </c>
      <c r="Q1422" s="17" t="s">
        <v>137</v>
      </c>
      <c r="R1422" s="17" t="s">
        <v>146</v>
      </c>
    </row>
    <row r="1423" spans="1:18" x14ac:dyDescent="0.3">
      <c r="A1423" s="12" t="s">
        <v>9825</v>
      </c>
      <c r="B1423" s="12" t="s">
        <v>12</v>
      </c>
      <c r="C1423" s="12"/>
      <c r="D1423" s="12" t="s">
        <v>12</v>
      </c>
      <c r="E1423" s="12" t="s">
        <v>9826</v>
      </c>
      <c r="F1423" s="12"/>
      <c r="G1423" s="12" t="s">
        <v>2847</v>
      </c>
      <c r="H1423" s="12" t="s">
        <v>43</v>
      </c>
      <c r="I1423" s="12" t="s">
        <v>26</v>
      </c>
      <c r="J1423" s="13" t="s">
        <v>2848</v>
      </c>
      <c r="K1423" s="14" t="s">
        <v>9827</v>
      </c>
      <c r="L1423" s="15">
        <v>0</v>
      </c>
      <c r="M1423" s="15" t="s">
        <v>144</v>
      </c>
      <c r="N1423" s="16">
        <v>42684</v>
      </c>
      <c r="O1423" s="12" t="s">
        <v>9825</v>
      </c>
      <c r="P1423" s="14" t="s">
        <v>9828</v>
      </c>
      <c r="Q1423" s="17" t="s">
        <v>137</v>
      </c>
      <c r="R1423" s="17" t="s">
        <v>146</v>
      </c>
    </row>
    <row r="1424" spans="1:18" x14ac:dyDescent="0.3">
      <c r="A1424" s="12" t="s">
        <v>9829</v>
      </c>
      <c r="B1424" s="12" t="s">
        <v>12</v>
      </c>
      <c r="C1424" s="12"/>
      <c r="D1424" s="12" t="s">
        <v>12</v>
      </c>
      <c r="E1424" s="12" t="s">
        <v>9830</v>
      </c>
      <c r="F1424" s="12" t="s">
        <v>3485</v>
      </c>
      <c r="G1424" s="12" t="s">
        <v>2847</v>
      </c>
      <c r="H1424" s="12" t="s">
        <v>43</v>
      </c>
      <c r="I1424" s="12" t="s">
        <v>26</v>
      </c>
      <c r="J1424" s="13" t="s">
        <v>2848</v>
      </c>
      <c r="K1424" s="14" t="s">
        <v>9831</v>
      </c>
      <c r="L1424" s="15">
        <v>0</v>
      </c>
      <c r="M1424" s="15" t="s">
        <v>144</v>
      </c>
      <c r="N1424" s="16">
        <v>42508</v>
      </c>
      <c r="O1424" s="12" t="s">
        <v>9832</v>
      </c>
      <c r="P1424" s="14" t="s">
        <v>9833</v>
      </c>
      <c r="Q1424" s="17" t="s">
        <v>137</v>
      </c>
      <c r="R1424" s="17" t="s">
        <v>146</v>
      </c>
    </row>
    <row r="1425" spans="1:18" x14ac:dyDescent="0.3">
      <c r="A1425" s="12" t="s">
        <v>9834</v>
      </c>
      <c r="B1425" s="12" t="s">
        <v>12</v>
      </c>
      <c r="C1425" s="12"/>
      <c r="D1425" s="12" t="s">
        <v>12</v>
      </c>
      <c r="E1425" s="12" t="s">
        <v>9835</v>
      </c>
      <c r="F1425" s="12"/>
      <c r="G1425" s="12" t="s">
        <v>2847</v>
      </c>
      <c r="H1425" s="12" t="s">
        <v>43</v>
      </c>
      <c r="I1425" s="12" t="s">
        <v>26</v>
      </c>
      <c r="J1425" s="13" t="s">
        <v>2848</v>
      </c>
      <c r="K1425" s="14" t="s">
        <v>9836</v>
      </c>
      <c r="L1425" s="15">
        <v>1</v>
      </c>
      <c r="M1425" s="15" t="s">
        <v>144</v>
      </c>
      <c r="N1425" s="16">
        <v>43249</v>
      </c>
      <c r="O1425" s="12" t="s">
        <v>9837</v>
      </c>
      <c r="P1425" s="14" t="s">
        <v>9838</v>
      </c>
      <c r="Q1425" s="17" t="s">
        <v>137</v>
      </c>
      <c r="R1425" s="17" t="s">
        <v>146</v>
      </c>
    </row>
    <row r="1426" spans="1:18" x14ac:dyDescent="0.3">
      <c r="A1426" s="12" t="s">
        <v>9839</v>
      </c>
      <c r="B1426" s="12" t="s">
        <v>12</v>
      </c>
      <c r="C1426" s="12"/>
      <c r="D1426" s="12" t="s">
        <v>12</v>
      </c>
      <c r="E1426" s="12" t="s">
        <v>9840</v>
      </c>
      <c r="F1426" s="12" t="s">
        <v>832</v>
      </c>
      <c r="G1426" s="12" t="s">
        <v>2847</v>
      </c>
      <c r="H1426" s="12" t="s">
        <v>43</v>
      </c>
      <c r="I1426" s="12" t="s">
        <v>26</v>
      </c>
      <c r="J1426" s="13" t="s">
        <v>2848</v>
      </c>
      <c r="K1426" s="14" t="s">
        <v>9841</v>
      </c>
      <c r="L1426" s="15">
        <v>0</v>
      </c>
      <c r="M1426" s="15" t="s">
        <v>144</v>
      </c>
      <c r="N1426" s="16">
        <v>39846</v>
      </c>
      <c r="O1426" s="12" t="s">
        <v>9839</v>
      </c>
      <c r="P1426" s="14" t="s">
        <v>9842</v>
      </c>
      <c r="Q1426" s="17" t="s">
        <v>137</v>
      </c>
      <c r="R1426" s="17" t="s">
        <v>146</v>
      </c>
    </row>
    <row r="1427" spans="1:18" x14ac:dyDescent="0.3">
      <c r="A1427" s="12" t="s">
        <v>9843</v>
      </c>
      <c r="B1427" s="12" t="s">
        <v>14</v>
      </c>
      <c r="C1427" s="12"/>
      <c r="D1427" s="12" t="s">
        <v>14</v>
      </c>
      <c r="E1427" s="12" t="s">
        <v>9844</v>
      </c>
      <c r="F1427" s="12"/>
      <c r="G1427" s="12" t="s">
        <v>2847</v>
      </c>
      <c r="H1427" s="12" t="s">
        <v>43</v>
      </c>
      <c r="I1427" s="12" t="s">
        <v>26</v>
      </c>
      <c r="J1427" s="13" t="s">
        <v>2848</v>
      </c>
      <c r="K1427" s="14" t="s">
        <v>9845</v>
      </c>
      <c r="L1427" s="15">
        <v>1</v>
      </c>
      <c r="M1427" s="15" t="s">
        <v>144</v>
      </c>
      <c r="N1427" s="16">
        <v>42710</v>
      </c>
      <c r="O1427" s="12" t="s">
        <v>9843</v>
      </c>
      <c r="P1427" s="14" t="s">
        <v>9846</v>
      </c>
      <c r="Q1427" s="17" t="s">
        <v>137</v>
      </c>
      <c r="R1427" s="17" t="s">
        <v>146</v>
      </c>
    </row>
    <row r="1428" spans="1:18" x14ac:dyDescent="0.3">
      <c r="A1428" s="12" t="s">
        <v>9847</v>
      </c>
      <c r="B1428" s="12" t="s">
        <v>12</v>
      </c>
      <c r="C1428" s="12" t="s">
        <v>14</v>
      </c>
      <c r="D1428" s="12" t="s">
        <v>180</v>
      </c>
      <c r="E1428" s="12" t="s">
        <v>9848</v>
      </c>
      <c r="F1428" s="12" t="s">
        <v>7850</v>
      </c>
      <c r="G1428" s="12" t="s">
        <v>2847</v>
      </c>
      <c r="H1428" s="12" t="s">
        <v>43</v>
      </c>
      <c r="I1428" s="12" t="s">
        <v>26</v>
      </c>
      <c r="J1428" s="13" t="s">
        <v>2848</v>
      </c>
      <c r="K1428" s="14" t="s">
        <v>9849</v>
      </c>
      <c r="L1428" s="15">
        <v>2</v>
      </c>
      <c r="M1428" s="15" t="s">
        <v>144</v>
      </c>
      <c r="N1428" s="16">
        <v>44065</v>
      </c>
      <c r="O1428" s="12" t="s">
        <v>9847</v>
      </c>
      <c r="P1428" s="14" t="s">
        <v>9850</v>
      </c>
      <c r="Q1428" s="17" t="s">
        <v>137</v>
      </c>
      <c r="R1428" s="17" t="s">
        <v>146</v>
      </c>
    </row>
    <row r="1429" spans="1:18" x14ac:dyDescent="0.3">
      <c r="A1429" s="12" t="s">
        <v>9851</v>
      </c>
      <c r="B1429" s="12" t="s">
        <v>12</v>
      </c>
      <c r="C1429" s="12"/>
      <c r="D1429" s="12" t="s">
        <v>12</v>
      </c>
      <c r="E1429" s="12" t="s">
        <v>9852</v>
      </c>
      <c r="F1429" s="12"/>
      <c r="G1429" s="12" t="s">
        <v>9853</v>
      </c>
      <c r="H1429" s="12" t="s">
        <v>43</v>
      </c>
      <c r="I1429" s="12" t="s">
        <v>26</v>
      </c>
      <c r="J1429" s="13" t="s">
        <v>9854</v>
      </c>
      <c r="K1429" s="14" t="s">
        <v>9855</v>
      </c>
      <c r="L1429" s="15">
        <v>0</v>
      </c>
      <c r="M1429" s="15" t="s">
        <v>144</v>
      </c>
      <c r="N1429" s="16">
        <v>44065</v>
      </c>
      <c r="O1429" s="12" t="s">
        <v>9851</v>
      </c>
      <c r="P1429" s="14" t="s">
        <v>9856</v>
      </c>
      <c r="Q1429" s="17" t="s">
        <v>137</v>
      </c>
      <c r="R1429" s="17" t="s">
        <v>146</v>
      </c>
    </row>
    <row r="1430" spans="1:18" x14ac:dyDescent="0.3">
      <c r="A1430" s="12" t="s">
        <v>9857</v>
      </c>
      <c r="B1430" s="12" t="s">
        <v>14</v>
      </c>
      <c r="C1430" s="12"/>
      <c r="D1430" s="12" t="s">
        <v>14</v>
      </c>
      <c r="E1430" s="12" t="s">
        <v>9858</v>
      </c>
      <c r="F1430" s="12"/>
      <c r="G1430" s="12" t="s">
        <v>2852</v>
      </c>
      <c r="H1430" s="12" t="s">
        <v>80</v>
      </c>
      <c r="I1430" s="12" t="s">
        <v>27</v>
      </c>
      <c r="J1430" s="13" t="s">
        <v>2853</v>
      </c>
      <c r="K1430" s="14" t="s">
        <v>9859</v>
      </c>
      <c r="L1430" s="15">
        <v>3</v>
      </c>
      <c r="M1430" s="15" t="s">
        <v>144</v>
      </c>
      <c r="N1430" s="16">
        <v>44065</v>
      </c>
      <c r="O1430" s="12" t="s">
        <v>9857</v>
      </c>
      <c r="P1430" s="14" t="s">
        <v>9860</v>
      </c>
      <c r="Q1430" s="17" t="s">
        <v>137</v>
      </c>
      <c r="R1430" s="17" t="s">
        <v>146</v>
      </c>
    </row>
    <row r="1431" spans="1:18" x14ac:dyDescent="0.3">
      <c r="A1431" s="12" t="s">
        <v>9861</v>
      </c>
      <c r="B1431" s="12" t="s">
        <v>12</v>
      </c>
      <c r="C1431" s="12"/>
      <c r="D1431" s="12" t="s">
        <v>12</v>
      </c>
      <c r="E1431" s="12" t="s">
        <v>9862</v>
      </c>
      <c r="F1431" s="12"/>
      <c r="G1431" s="12" t="s">
        <v>2852</v>
      </c>
      <c r="H1431" s="12" t="s">
        <v>80</v>
      </c>
      <c r="I1431" s="12" t="s">
        <v>27</v>
      </c>
      <c r="J1431" s="13" t="s">
        <v>2853</v>
      </c>
      <c r="K1431" s="14" t="s">
        <v>9863</v>
      </c>
      <c r="L1431" s="15">
        <v>0</v>
      </c>
      <c r="M1431" s="15" t="s">
        <v>144</v>
      </c>
      <c r="N1431" s="16">
        <v>41667</v>
      </c>
      <c r="O1431" s="12" t="s">
        <v>9864</v>
      </c>
      <c r="P1431" s="14" t="s">
        <v>9865</v>
      </c>
      <c r="Q1431" s="17" t="s">
        <v>137</v>
      </c>
      <c r="R1431" s="17" t="s">
        <v>146</v>
      </c>
    </row>
    <row r="1432" spans="1:18" x14ac:dyDescent="0.3">
      <c r="A1432" s="12" t="s">
        <v>9866</v>
      </c>
      <c r="B1432" s="12" t="s">
        <v>12</v>
      </c>
      <c r="C1432" s="12"/>
      <c r="D1432" s="12" t="s">
        <v>12</v>
      </c>
      <c r="E1432" s="12" t="s">
        <v>9867</v>
      </c>
      <c r="F1432" s="12"/>
      <c r="G1432" s="12" t="s">
        <v>2937</v>
      </c>
      <c r="H1432" s="12" t="s">
        <v>80</v>
      </c>
      <c r="I1432" s="12" t="s">
        <v>27</v>
      </c>
      <c r="J1432" s="13" t="s">
        <v>2938</v>
      </c>
      <c r="K1432" s="14" t="s">
        <v>9868</v>
      </c>
      <c r="L1432" s="15">
        <v>1</v>
      </c>
      <c r="M1432" s="15" t="s">
        <v>144</v>
      </c>
      <c r="N1432" s="16">
        <v>39533</v>
      </c>
      <c r="O1432" s="12" t="s">
        <v>9866</v>
      </c>
      <c r="P1432" s="14" t="s">
        <v>9869</v>
      </c>
      <c r="Q1432" s="17" t="s">
        <v>137</v>
      </c>
      <c r="R1432" s="17" t="s">
        <v>146</v>
      </c>
    </row>
    <row r="1433" spans="1:18" x14ac:dyDescent="0.3">
      <c r="A1433" s="12" t="s">
        <v>9870</v>
      </c>
      <c r="B1433" s="12" t="s">
        <v>12</v>
      </c>
      <c r="C1433" s="12"/>
      <c r="D1433" s="12" t="s">
        <v>12</v>
      </c>
      <c r="E1433" s="12" t="s">
        <v>9871</v>
      </c>
      <c r="F1433" s="12"/>
      <c r="G1433" s="12" t="s">
        <v>9872</v>
      </c>
      <c r="H1433" s="12" t="s">
        <v>80</v>
      </c>
      <c r="I1433" s="12" t="s">
        <v>27</v>
      </c>
      <c r="J1433" s="13" t="s">
        <v>9873</v>
      </c>
      <c r="K1433" s="14" t="s">
        <v>9874</v>
      </c>
      <c r="L1433" s="15">
        <v>2</v>
      </c>
      <c r="M1433" s="15" t="s">
        <v>144</v>
      </c>
      <c r="N1433" s="16">
        <v>41172</v>
      </c>
      <c r="O1433" s="12" t="s">
        <v>9870</v>
      </c>
      <c r="P1433" s="14" t="s">
        <v>9875</v>
      </c>
      <c r="Q1433" s="17" t="s">
        <v>137</v>
      </c>
      <c r="R1433" s="17" t="s">
        <v>146</v>
      </c>
    </row>
    <row r="1434" spans="1:18" x14ac:dyDescent="0.3">
      <c r="A1434" s="12" t="s">
        <v>9876</v>
      </c>
      <c r="B1434" s="12" t="s">
        <v>12</v>
      </c>
      <c r="C1434" s="12" t="s">
        <v>14</v>
      </c>
      <c r="D1434" s="12" t="s">
        <v>180</v>
      </c>
      <c r="E1434" s="12" t="s">
        <v>9877</v>
      </c>
      <c r="F1434" s="12" t="s">
        <v>164</v>
      </c>
      <c r="G1434" s="12" t="s">
        <v>9872</v>
      </c>
      <c r="H1434" s="12" t="s">
        <v>80</v>
      </c>
      <c r="I1434" s="12" t="s">
        <v>27</v>
      </c>
      <c r="J1434" s="13" t="s">
        <v>9873</v>
      </c>
      <c r="K1434" s="14" t="s">
        <v>9878</v>
      </c>
      <c r="L1434" s="15">
        <v>6</v>
      </c>
      <c r="M1434" s="15" t="s">
        <v>144</v>
      </c>
      <c r="N1434" s="16">
        <v>43267</v>
      </c>
      <c r="O1434" s="12" t="s">
        <v>9876</v>
      </c>
      <c r="P1434" s="14" t="s">
        <v>9879</v>
      </c>
      <c r="Q1434" s="17" t="s">
        <v>137</v>
      </c>
      <c r="R1434" s="17" t="s">
        <v>146</v>
      </c>
    </row>
    <row r="1435" spans="1:18" x14ac:dyDescent="0.3">
      <c r="A1435" s="12" t="s">
        <v>9880</v>
      </c>
      <c r="B1435" s="12" t="s">
        <v>12</v>
      </c>
      <c r="C1435" s="12"/>
      <c r="D1435" s="12" t="s">
        <v>12</v>
      </c>
      <c r="E1435" s="12" t="s">
        <v>9881</v>
      </c>
      <c r="F1435" s="12" t="s">
        <v>1814</v>
      </c>
      <c r="G1435" s="12" t="s">
        <v>2973</v>
      </c>
      <c r="H1435" s="12" t="s">
        <v>80</v>
      </c>
      <c r="I1435" s="12" t="s">
        <v>27</v>
      </c>
      <c r="J1435" s="13" t="s">
        <v>9882</v>
      </c>
      <c r="K1435" s="14" t="s">
        <v>9883</v>
      </c>
      <c r="L1435" s="15">
        <v>0</v>
      </c>
      <c r="M1435" s="15" t="s">
        <v>144</v>
      </c>
      <c r="N1435" s="16">
        <v>40876</v>
      </c>
      <c r="O1435" s="12" t="s">
        <v>9880</v>
      </c>
      <c r="P1435" s="14" t="s">
        <v>9884</v>
      </c>
      <c r="Q1435" s="17" t="s">
        <v>137</v>
      </c>
      <c r="R1435" s="17" t="s">
        <v>146</v>
      </c>
    </row>
    <row r="1436" spans="1:18" x14ac:dyDescent="0.3">
      <c r="A1436" s="12" t="s">
        <v>9885</v>
      </c>
      <c r="B1436" s="12" t="s">
        <v>12</v>
      </c>
      <c r="C1436" s="12"/>
      <c r="D1436" s="12" t="s">
        <v>12</v>
      </c>
      <c r="E1436" s="12" t="s">
        <v>9886</v>
      </c>
      <c r="F1436" s="12"/>
      <c r="G1436" s="12" t="s">
        <v>9887</v>
      </c>
      <c r="H1436" s="12" t="s">
        <v>108</v>
      </c>
      <c r="I1436" s="12" t="s">
        <v>27</v>
      </c>
      <c r="J1436" s="13" t="s">
        <v>9888</v>
      </c>
      <c r="K1436" s="14" t="s">
        <v>9889</v>
      </c>
      <c r="L1436" s="15">
        <v>1</v>
      </c>
      <c r="M1436" s="15" t="s">
        <v>144</v>
      </c>
      <c r="N1436" s="16">
        <v>41086</v>
      </c>
      <c r="O1436" s="12" t="s">
        <v>9885</v>
      </c>
      <c r="P1436" s="14" t="s">
        <v>9890</v>
      </c>
      <c r="Q1436" s="17" t="s">
        <v>137</v>
      </c>
      <c r="R1436" s="17" t="s">
        <v>146</v>
      </c>
    </row>
    <row r="1437" spans="1:18" x14ac:dyDescent="0.3">
      <c r="A1437" s="12" t="s">
        <v>9891</v>
      </c>
      <c r="B1437" s="12" t="s">
        <v>12</v>
      </c>
      <c r="C1437" s="12"/>
      <c r="D1437" s="12" t="s">
        <v>12</v>
      </c>
      <c r="E1437" s="12" t="s">
        <v>9892</v>
      </c>
      <c r="F1437" s="12"/>
      <c r="G1437" s="12" t="s">
        <v>9893</v>
      </c>
      <c r="H1437" s="12" t="s">
        <v>108</v>
      </c>
      <c r="I1437" s="12" t="s">
        <v>27</v>
      </c>
      <c r="J1437" s="13" t="s">
        <v>9894</v>
      </c>
      <c r="K1437" s="14" t="s">
        <v>9895</v>
      </c>
      <c r="L1437" s="15">
        <v>0</v>
      </c>
      <c r="M1437" s="15" t="s">
        <v>144</v>
      </c>
      <c r="N1437" s="16">
        <v>39415</v>
      </c>
      <c r="O1437" s="12" t="s">
        <v>9891</v>
      </c>
      <c r="P1437" s="14" t="s">
        <v>9896</v>
      </c>
      <c r="Q1437" s="17" t="s">
        <v>137</v>
      </c>
      <c r="R1437" s="17" t="s">
        <v>146</v>
      </c>
    </row>
    <row r="1438" spans="1:18" x14ac:dyDescent="0.3">
      <c r="A1438" s="12" t="s">
        <v>9897</v>
      </c>
      <c r="B1438" s="12" t="s">
        <v>12</v>
      </c>
      <c r="C1438" s="12"/>
      <c r="D1438" s="12" t="s">
        <v>12</v>
      </c>
      <c r="E1438" s="12" t="s">
        <v>9898</v>
      </c>
      <c r="F1438" s="12" t="s">
        <v>248</v>
      </c>
      <c r="G1438" s="12" t="s">
        <v>9893</v>
      </c>
      <c r="H1438" s="12" t="s">
        <v>108</v>
      </c>
      <c r="I1438" s="12" t="s">
        <v>27</v>
      </c>
      <c r="J1438" s="13" t="s">
        <v>9894</v>
      </c>
      <c r="K1438" s="14" t="s">
        <v>9899</v>
      </c>
      <c r="L1438" s="15">
        <v>0</v>
      </c>
      <c r="M1438" s="15" t="s">
        <v>144</v>
      </c>
      <c r="N1438" s="16">
        <v>41262</v>
      </c>
      <c r="O1438" s="12" t="s">
        <v>9897</v>
      </c>
      <c r="P1438" s="14" t="s">
        <v>9900</v>
      </c>
      <c r="Q1438" s="17" t="s">
        <v>137</v>
      </c>
      <c r="R1438" s="17" t="s">
        <v>146</v>
      </c>
    </row>
    <row r="1439" spans="1:18" x14ac:dyDescent="0.3">
      <c r="A1439" s="12" t="s">
        <v>9901</v>
      </c>
      <c r="B1439" s="12" t="s">
        <v>12</v>
      </c>
      <c r="C1439" s="12"/>
      <c r="D1439" s="12" t="s">
        <v>12</v>
      </c>
      <c r="E1439" s="12" t="s">
        <v>9902</v>
      </c>
      <c r="F1439" s="12"/>
      <c r="G1439" s="12" t="s">
        <v>9893</v>
      </c>
      <c r="H1439" s="12" t="s">
        <v>108</v>
      </c>
      <c r="I1439" s="12" t="s">
        <v>27</v>
      </c>
      <c r="J1439" s="13" t="s">
        <v>9894</v>
      </c>
      <c r="K1439" s="14" t="s">
        <v>9903</v>
      </c>
      <c r="L1439" s="15">
        <v>0</v>
      </c>
      <c r="M1439" s="15" t="s">
        <v>144</v>
      </c>
      <c r="N1439" s="16">
        <v>42394</v>
      </c>
      <c r="O1439" s="12" t="s">
        <v>9901</v>
      </c>
      <c r="P1439" s="14" t="s">
        <v>9904</v>
      </c>
      <c r="Q1439" s="17" t="s">
        <v>137</v>
      </c>
      <c r="R1439" s="17" t="s">
        <v>146</v>
      </c>
    </row>
    <row r="1440" spans="1:18" x14ac:dyDescent="0.3">
      <c r="A1440" s="12" t="s">
        <v>9905</v>
      </c>
      <c r="B1440" s="12" t="s">
        <v>10</v>
      </c>
      <c r="C1440" s="12"/>
      <c r="D1440" s="12" t="s">
        <v>647</v>
      </c>
      <c r="E1440" s="12" t="s">
        <v>9906</v>
      </c>
      <c r="F1440" s="12"/>
      <c r="G1440" s="12" t="s">
        <v>9907</v>
      </c>
      <c r="H1440" s="12" t="s">
        <v>97</v>
      </c>
      <c r="I1440" s="12" t="s">
        <v>27</v>
      </c>
      <c r="J1440" s="13" t="s">
        <v>9908</v>
      </c>
      <c r="K1440" s="14" t="s">
        <v>9909</v>
      </c>
      <c r="L1440" s="15">
        <v>1</v>
      </c>
      <c r="M1440" s="15" t="s">
        <v>144</v>
      </c>
      <c r="N1440" s="16">
        <v>44065</v>
      </c>
      <c r="O1440" s="12" t="s">
        <v>9905</v>
      </c>
      <c r="P1440" s="14" t="s">
        <v>9910</v>
      </c>
      <c r="Q1440" s="17" t="s">
        <v>137</v>
      </c>
      <c r="R1440" s="17" t="s">
        <v>146</v>
      </c>
    </row>
    <row r="1441" spans="1:18" x14ac:dyDescent="0.3">
      <c r="A1441" s="12" t="s">
        <v>9911</v>
      </c>
      <c r="B1441" s="12" t="s">
        <v>12</v>
      </c>
      <c r="C1441" s="12"/>
      <c r="D1441" s="12" t="s">
        <v>12</v>
      </c>
      <c r="E1441" s="12" t="s">
        <v>9912</v>
      </c>
      <c r="F1441" s="12"/>
      <c r="G1441" s="12" t="s">
        <v>9907</v>
      </c>
      <c r="H1441" s="12" t="s">
        <v>97</v>
      </c>
      <c r="I1441" s="12" t="s">
        <v>27</v>
      </c>
      <c r="J1441" s="13" t="s">
        <v>9908</v>
      </c>
      <c r="K1441" s="14" t="s">
        <v>9913</v>
      </c>
      <c r="L1441" s="15">
        <v>1</v>
      </c>
      <c r="M1441" s="15" t="s">
        <v>144</v>
      </c>
      <c r="N1441" s="16">
        <v>44065</v>
      </c>
      <c r="O1441" s="12" t="s">
        <v>9911</v>
      </c>
      <c r="P1441" s="14" t="s">
        <v>9914</v>
      </c>
      <c r="Q1441" s="17" t="s">
        <v>137</v>
      </c>
      <c r="R1441" s="17" t="s">
        <v>146</v>
      </c>
    </row>
    <row r="1442" spans="1:18" x14ac:dyDescent="0.3">
      <c r="A1442" s="12" t="s">
        <v>9915</v>
      </c>
      <c r="B1442" s="12" t="s">
        <v>12</v>
      </c>
      <c r="C1442" s="12"/>
      <c r="D1442" s="12" t="s">
        <v>12</v>
      </c>
      <c r="E1442" s="12" t="s">
        <v>9916</v>
      </c>
      <c r="F1442" s="12"/>
      <c r="G1442" s="12" t="s">
        <v>9907</v>
      </c>
      <c r="H1442" s="12" t="s">
        <v>97</v>
      </c>
      <c r="I1442" s="12" t="s">
        <v>27</v>
      </c>
      <c r="J1442" s="13" t="s">
        <v>9908</v>
      </c>
      <c r="K1442" s="14" t="s">
        <v>9917</v>
      </c>
      <c r="L1442" s="15">
        <v>1</v>
      </c>
      <c r="M1442" s="15" t="s">
        <v>144</v>
      </c>
      <c r="N1442" s="16">
        <v>39601</v>
      </c>
      <c r="O1442" s="12" t="s">
        <v>9915</v>
      </c>
      <c r="P1442" s="14" t="s">
        <v>9918</v>
      </c>
      <c r="Q1442" s="17" t="s">
        <v>137</v>
      </c>
      <c r="R1442" s="17" t="s">
        <v>146</v>
      </c>
    </row>
    <row r="1443" spans="1:18" x14ac:dyDescent="0.3">
      <c r="A1443" s="12" t="s">
        <v>9919</v>
      </c>
      <c r="B1443" s="12" t="s">
        <v>12</v>
      </c>
      <c r="C1443" s="12"/>
      <c r="D1443" s="12" t="s">
        <v>12</v>
      </c>
      <c r="E1443" s="12" t="s">
        <v>9920</v>
      </c>
      <c r="F1443" s="12" t="s">
        <v>9921</v>
      </c>
      <c r="G1443" s="12" t="s">
        <v>9922</v>
      </c>
      <c r="H1443" s="12" t="s">
        <v>97</v>
      </c>
      <c r="I1443" s="12" t="s">
        <v>27</v>
      </c>
      <c r="J1443" s="13" t="s">
        <v>9908</v>
      </c>
      <c r="K1443" s="14" t="s">
        <v>9923</v>
      </c>
      <c r="L1443" s="15">
        <v>2</v>
      </c>
      <c r="M1443" s="15" t="s">
        <v>144</v>
      </c>
      <c r="N1443" s="16">
        <v>44065</v>
      </c>
      <c r="O1443" s="12" t="s">
        <v>9919</v>
      </c>
      <c r="P1443" s="14" t="s">
        <v>9924</v>
      </c>
      <c r="Q1443" s="17" t="s">
        <v>137</v>
      </c>
      <c r="R1443" s="17" t="s">
        <v>146</v>
      </c>
    </row>
    <row r="1444" spans="1:18" x14ac:dyDescent="0.3">
      <c r="A1444" s="12" t="s">
        <v>9925</v>
      </c>
      <c r="B1444" s="12" t="s">
        <v>12</v>
      </c>
      <c r="C1444" s="12"/>
      <c r="D1444" s="12" t="s">
        <v>12</v>
      </c>
      <c r="E1444" s="12" t="s">
        <v>9926</v>
      </c>
      <c r="F1444" s="12" t="s">
        <v>319</v>
      </c>
      <c r="G1444" s="12" t="s">
        <v>2864</v>
      </c>
      <c r="H1444" s="12" t="s">
        <v>97</v>
      </c>
      <c r="I1444" s="12" t="s">
        <v>27</v>
      </c>
      <c r="J1444" s="13" t="s">
        <v>2865</v>
      </c>
      <c r="K1444" s="14" t="s">
        <v>9927</v>
      </c>
      <c r="L1444" s="15">
        <v>1</v>
      </c>
      <c r="M1444" s="15" t="s">
        <v>144</v>
      </c>
      <c r="N1444" s="16">
        <v>39610</v>
      </c>
      <c r="O1444" s="12" t="s">
        <v>9928</v>
      </c>
      <c r="P1444" s="14" t="s">
        <v>9929</v>
      </c>
      <c r="Q1444" s="17" t="s">
        <v>137</v>
      </c>
      <c r="R1444" s="17" t="s">
        <v>146</v>
      </c>
    </row>
    <row r="1445" spans="1:18" x14ac:dyDescent="0.3">
      <c r="A1445" s="12" t="s">
        <v>9930</v>
      </c>
      <c r="B1445" s="12" t="s">
        <v>12</v>
      </c>
      <c r="C1445" s="12"/>
      <c r="D1445" s="12" t="s">
        <v>12</v>
      </c>
      <c r="E1445" s="12" t="s">
        <v>9931</v>
      </c>
      <c r="F1445" s="12"/>
      <c r="G1445" s="12" t="s">
        <v>2864</v>
      </c>
      <c r="H1445" s="12" t="s">
        <v>97</v>
      </c>
      <c r="I1445" s="12" t="s">
        <v>27</v>
      </c>
      <c r="J1445" s="13" t="s">
        <v>2865</v>
      </c>
      <c r="K1445" s="14" t="s">
        <v>9932</v>
      </c>
      <c r="L1445" s="15">
        <v>2</v>
      </c>
      <c r="M1445" s="15" t="s">
        <v>144</v>
      </c>
      <c r="N1445" s="16">
        <v>44065</v>
      </c>
      <c r="O1445" s="12" t="s">
        <v>9933</v>
      </c>
      <c r="P1445" s="14" t="s">
        <v>9934</v>
      </c>
      <c r="Q1445" s="17" t="s">
        <v>137</v>
      </c>
      <c r="R1445" s="17" t="s">
        <v>146</v>
      </c>
    </row>
    <row r="1446" spans="1:18" x14ac:dyDescent="0.3">
      <c r="A1446" s="12" t="s">
        <v>9935</v>
      </c>
      <c r="B1446" s="12" t="s">
        <v>12</v>
      </c>
      <c r="C1446" s="12"/>
      <c r="D1446" s="12" t="s">
        <v>12</v>
      </c>
      <c r="E1446" s="12" t="s">
        <v>9936</v>
      </c>
      <c r="F1446" s="12"/>
      <c r="G1446" s="12" t="s">
        <v>2864</v>
      </c>
      <c r="H1446" s="12" t="s">
        <v>97</v>
      </c>
      <c r="I1446" s="12" t="s">
        <v>27</v>
      </c>
      <c r="J1446" s="13" t="s">
        <v>2865</v>
      </c>
      <c r="K1446" s="14" t="s">
        <v>9937</v>
      </c>
      <c r="L1446" s="15">
        <v>2</v>
      </c>
      <c r="M1446" s="15" t="s">
        <v>144</v>
      </c>
      <c r="N1446" s="16">
        <v>40234</v>
      </c>
      <c r="O1446" s="12" t="s">
        <v>9935</v>
      </c>
      <c r="P1446" s="14" t="s">
        <v>9938</v>
      </c>
      <c r="Q1446" s="17" t="s">
        <v>137</v>
      </c>
      <c r="R1446" s="17" t="s">
        <v>146</v>
      </c>
    </row>
    <row r="1447" spans="1:18" x14ac:dyDescent="0.3">
      <c r="A1447" s="12" t="s">
        <v>9939</v>
      </c>
      <c r="B1447" s="12" t="s">
        <v>12</v>
      </c>
      <c r="C1447" s="12"/>
      <c r="D1447" s="12" t="s">
        <v>12</v>
      </c>
      <c r="E1447" s="12" t="s">
        <v>9940</v>
      </c>
      <c r="F1447" s="12" t="s">
        <v>1542</v>
      </c>
      <c r="G1447" s="12" t="s">
        <v>2864</v>
      </c>
      <c r="H1447" s="12" t="s">
        <v>97</v>
      </c>
      <c r="I1447" s="12" t="s">
        <v>27</v>
      </c>
      <c r="J1447" s="13" t="s">
        <v>2865</v>
      </c>
      <c r="K1447" s="14" t="s">
        <v>9941</v>
      </c>
      <c r="L1447" s="15">
        <v>1</v>
      </c>
      <c r="M1447" s="15" t="s">
        <v>144</v>
      </c>
      <c r="N1447" s="16">
        <v>40549</v>
      </c>
      <c r="O1447" s="12" t="s">
        <v>9942</v>
      </c>
      <c r="P1447" s="14" t="s">
        <v>9943</v>
      </c>
      <c r="Q1447" s="17" t="s">
        <v>137</v>
      </c>
      <c r="R1447" s="17" t="s">
        <v>146</v>
      </c>
    </row>
    <row r="1448" spans="1:18" x14ac:dyDescent="0.3">
      <c r="A1448" s="12" t="s">
        <v>9944</v>
      </c>
      <c r="B1448" s="12" t="s">
        <v>12</v>
      </c>
      <c r="C1448" s="12"/>
      <c r="D1448" s="12" t="s">
        <v>12</v>
      </c>
      <c r="E1448" s="12" t="s">
        <v>9945</v>
      </c>
      <c r="F1448" s="12" t="s">
        <v>9946</v>
      </c>
      <c r="G1448" s="12" t="s">
        <v>2864</v>
      </c>
      <c r="H1448" s="12" t="s">
        <v>97</v>
      </c>
      <c r="I1448" s="12" t="s">
        <v>27</v>
      </c>
      <c r="J1448" s="13" t="s">
        <v>2865</v>
      </c>
      <c r="K1448" s="14" t="s">
        <v>9947</v>
      </c>
      <c r="L1448" s="15">
        <v>1</v>
      </c>
      <c r="M1448" s="15" t="s">
        <v>144</v>
      </c>
      <c r="N1448" s="16">
        <v>39827</v>
      </c>
      <c r="O1448" s="12" t="s">
        <v>9944</v>
      </c>
      <c r="P1448" s="14" t="s">
        <v>9948</v>
      </c>
      <c r="Q1448" s="17" t="s">
        <v>137</v>
      </c>
      <c r="R1448" s="17" t="s">
        <v>146</v>
      </c>
    </row>
    <row r="1449" spans="1:18" x14ac:dyDescent="0.3">
      <c r="A1449" s="12" t="s">
        <v>9949</v>
      </c>
      <c r="B1449" s="12" t="s">
        <v>12</v>
      </c>
      <c r="C1449" s="12"/>
      <c r="D1449" s="12" t="s">
        <v>12</v>
      </c>
      <c r="E1449" s="12" t="s">
        <v>9950</v>
      </c>
      <c r="F1449" s="12"/>
      <c r="G1449" s="12" t="s">
        <v>2864</v>
      </c>
      <c r="H1449" s="12" t="s">
        <v>97</v>
      </c>
      <c r="I1449" s="12" t="s">
        <v>27</v>
      </c>
      <c r="J1449" s="13" t="s">
        <v>2865</v>
      </c>
      <c r="K1449" s="14" t="s">
        <v>9951</v>
      </c>
      <c r="L1449" s="15">
        <v>1</v>
      </c>
      <c r="M1449" s="15" t="s">
        <v>144</v>
      </c>
      <c r="N1449" s="16">
        <v>40289</v>
      </c>
      <c r="O1449" s="12" t="s">
        <v>9949</v>
      </c>
      <c r="P1449" s="14" t="s">
        <v>9952</v>
      </c>
      <c r="Q1449" s="17" t="s">
        <v>137</v>
      </c>
      <c r="R1449" s="17" t="s">
        <v>146</v>
      </c>
    </row>
    <row r="1450" spans="1:18" x14ac:dyDescent="0.3">
      <c r="A1450" s="12" t="s">
        <v>9953</v>
      </c>
      <c r="B1450" s="12" t="s">
        <v>12</v>
      </c>
      <c r="C1450" s="12"/>
      <c r="D1450" s="12" t="s">
        <v>12</v>
      </c>
      <c r="E1450" s="12" t="s">
        <v>9954</v>
      </c>
      <c r="F1450" s="12"/>
      <c r="G1450" s="12" t="s">
        <v>2864</v>
      </c>
      <c r="H1450" s="12" t="s">
        <v>97</v>
      </c>
      <c r="I1450" s="12" t="s">
        <v>27</v>
      </c>
      <c r="J1450" s="13" t="s">
        <v>2865</v>
      </c>
      <c r="K1450" s="14" t="s">
        <v>9955</v>
      </c>
      <c r="L1450" s="15">
        <v>1</v>
      </c>
      <c r="M1450" s="15" t="s">
        <v>144</v>
      </c>
      <c r="N1450" s="16">
        <v>39612</v>
      </c>
      <c r="O1450" s="12" t="s">
        <v>9953</v>
      </c>
      <c r="P1450" s="14" t="s">
        <v>9956</v>
      </c>
      <c r="Q1450" s="17" t="s">
        <v>137</v>
      </c>
      <c r="R1450" s="17" t="s">
        <v>146</v>
      </c>
    </row>
    <row r="1451" spans="1:18" x14ac:dyDescent="0.3">
      <c r="A1451" s="12" t="s">
        <v>9957</v>
      </c>
      <c r="B1451" s="12" t="s">
        <v>12</v>
      </c>
      <c r="C1451" s="12"/>
      <c r="D1451" s="12" t="s">
        <v>12</v>
      </c>
      <c r="E1451" s="12" t="s">
        <v>9958</v>
      </c>
      <c r="F1451" s="12"/>
      <c r="G1451" s="12" t="s">
        <v>2864</v>
      </c>
      <c r="H1451" s="12" t="s">
        <v>97</v>
      </c>
      <c r="I1451" s="12" t="s">
        <v>27</v>
      </c>
      <c r="J1451" s="13" t="s">
        <v>2865</v>
      </c>
      <c r="K1451" s="14" t="s">
        <v>9959</v>
      </c>
      <c r="L1451" s="15">
        <v>1</v>
      </c>
      <c r="M1451" s="15" t="s">
        <v>144</v>
      </c>
      <c r="N1451" s="16">
        <v>44065</v>
      </c>
      <c r="O1451" s="12" t="s">
        <v>9957</v>
      </c>
      <c r="P1451" s="14" t="s">
        <v>9960</v>
      </c>
      <c r="Q1451" s="17" t="s">
        <v>137</v>
      </c>
      <c r="R1451" s="17" t="s">
        <v>146</v>
      </c>
    </row>
    <row r="1452" spans="1:18" x14ac:dyDescent="0.3">
      <c r="A1452" s="12" t="s">
        <v>9961</v>
      </c>
      <c r="B1452" s="12" t="s">
        <v>12</v>
      </c>
      <c r="C1452" s="12"/>
      <c r="D1452" s="12" t="s">
        <v>12</v>
      </c>
      <c r="E1452" s="12" t="s">
        <v>9962</v>
      </c>
      <c r="F1452" s="12"/>
      <c r="G1452" s="12" t="s">
        <v>9963</v>
      </c>
      <c r="H1452" s="12" t="s">
        <v>97</v>
      </c>
      <c r="I1452" s="12" t="s">
        <v>27</v>
      </c>
      <c r="J1452" s="13" t="s">
        <v>9964</v>
      </c>
      <c r="K1452" s="14" t="s">
        <v>9965</v>
      </c>
      <c r="L1452" s="15">
        <v>0</v>
      </c>
      <c r="M1452" s="15" t="s">
        <v>144</v>
      </c>
      <c r="N1452" s="16">
        <v>39618</v>
      </c>
      <c r="O1452" s="12" t="s">
        <v>9966</v>
      </c>
      <c r="P1452" s="14" t="s">
        <v>9967</v>
      </c>
      <c r="Q1452" s="17" t="s">
        <v>137</v>
      </c>
      <c r="R1452" s="17" t="s">
        <v>146</v>
      </c>
    </row>
    <row r="1453" spans="1:18" x14ac:dyDescent="0.3">
      <c r="A1453" s="12" t="s">
        <v>9968</v>
      </c>
      <c r="B1453" s="12" t="s">
        <v>12</v>
      </c>
      <c r="C1453" s="12"/>
      <c r="D1453" s="12" t="s">
        <v>12</v>
      </c>
      <c r="E1453" s="12" t="s">
        <v>9969</v>
      </c>
      <c r="F1453" s="12"/>
      <c r="G1453" s="12" t="s">
        <v>9970</v>
      </c>
      <c r="H1453" s="12" t="s">
        <v>97</v>
      </c>
      <c r="I1453" s="12" t="s">
        <v>27</v>
      </c>
      <c r="J1453" s="13" t="s">
        <v>9971</v>
      </c>
      <c r="K1453" s="14" t="s">
        <v>9972</v>
      </c>
      <c r="L1453" s="15">
        <v>0</v>
      </c>
      <c r="M1453" s="15" t="s">
        <v>144</v>
      </c>
      <c r="N1453" s="16">
        <v>43479</v>
      </c>
      <c r="O1453" s="12" t="s">
        <v>9968</v>
      </c>
      <c r="P1453" s="14" t="s">
        <v>9973</v>
      </c>
      <c r="Q1453" s="17" t="s">
        <v>137</v>
      </c>
      <c r="R1453" s="17" t="s">
        <v>146</v>
      </c>
    </row>
    <row r="1454" spans="1:18" x14ac:dyDescent="0.3">
      <c r="A1454" s="12" t="s">
        <v>9974</v>
      </c>
      <c r="B1454" s="12" t="s">
        <v>12</v>
      </c>
      <c r="C1454" s="12"/>
      <c r="D1454" s="12" t="s">
        <v>12</v>
      </c>
      <c r="E1454" s="12" t="s">
        <v>9975</v>
      </c>
      <c r="F1454" s="12"/>
      <c r="G1454" s="12" t="s">
        <v>9976</v>
      </c>
      <c r="H1454" s="12" t="s">
        <v>115</v>
      </c>
      <c r="I1454" s="12" t="s">
        <v>27</v>
      </c>
      <c r="J1454" s="13" t="s">
        <v>9720</v>
      </c>
      <c r="K1454" s="14" t="s">
        <v>9977</v>
      </c>
      <c r="L1454" s="15">
        <v>0</v>
      </c>
      <c r="M1454" s="15" t="s">
        <v>144</v>
      </c>
      <c r="N1454" s="16">
        <v>44065</v>
      </c>
      <c r="O1454" s="12" t="s">
        <v>9974</v>
      </c>
      <c r="P1454" s="14" t="s">
        <v>9978</v>
      </c>
      <c r="Q1454" s="17" t="s">
        <v>137</v>
      </c>
      <c r="R1454" s="17" t="s">
        <v>146</v>
      </c>
    </row>
    <row r="1455" spans="1:18" x14ac:dyDescent="0.3">
      <c r="A1455" s="12" t="s">
        <v>9979</v>
      </c>
      <c r="B1455" s="12" t="s">
        <v>12</v>
      </c>
      <c r="C1455" s="12"/>
      <c r="D1455" s="12" t="s">
        <v>12</v>
      </c>
      <c r="E1455" s="12" t="s">
        <v>9980</v>
      </c>
      <c r="F1455" s="12"/>
      <c r="G1455" s="12" t="s">
        <v>9981</v>
      </c>
      <c r="H1455" s="12" t="s">
        <v>115</v>
      </c>
      <c r="I1455" s="12" t="s">
        <v>27</v>
      </c>
      <c r="J1455" s="13" t="s">
        <v>9982</v>
      </c>
      <c r="K1455" s="14" t="s">
        <v>9983</v>
      </c>
      <c r="L1455" s="15">
        <v>1</v>
      </c>
      <c r="M1455" s="15" t="s">
        <v>144</v>
      </c>
      <c r="N1455" s="16">
        <v>39560</v>
      </c>
      <c r="O1455" s="12" t="s">
        <v>9984</v>
      </c>
      <c r="P1455" s="14" t="s">
        <v>9985</v>
      </c>
      <c r="Q1455" s="17" t="s">
        <v>137</v>
      </c>
      <c r="R1455" s="17" t="s">
        <v>146</v>
      </c>
    </row>
    <row r="1456" spans="1:18" x14ac:dyDescent="0.3">
      <c r="A1456" s="12" t="s">
        <v>9986</v>
      </c>
      <c r="B1456" s="12" t="s">
        <v>12</v>
      </c>
      <c r="C1456" s="12"/>
      <c r="D1456" s="12" t="s">
        <v>12</v>
      </c>
      <c r="E1456" s="12" t="s">
        <v>9987</v>
      </c>
      <c r="F1456" s="12"/>
      <c r="G1456" s="12" t="s">
        <v>9981</v>
      </c>
      <c r="H1456" s="12" t="s">
        <v>115</v>
      </c>
      <c r="I1456" s="12" t="s">
        <v>27</v>
      </c>
      <c r="J1456" s="13" t="s">
        <v>9982</v>
      </c>
      <c r="K1456" s="14" t="s">
        <v>9988</v>
      </c>
      <c r="L1456" s="15">
        <v>4</v>
      </c>
      <c r="M1456" s="15" t="s">
        <v>144</v>
      </c>
      <c r="N1456" s="16">
        <v>41898</v>
      </c>
      <c r="O1456" s="12" t="s">
        <v>9986</v>
      </c>
      <c r="P1456" s="14" t="s">
        <v>9989</v>
      </c>
      <c r="Q1456" s="17" t="s">
        <v>137</v>
      </c>
      <c r="R1456" s="17" t="s">
        <v>146</v>
      </c>
    </row>
    <row r="1457" spans="1:18" x14ac:dyDescent="0.3">
      <c r="A1457" s="12" t="s">
        <v>9990</v>
      </c>
      <c r="B1457" s="12" t="s">
        <v>12</v>
      </c>
      <c r="C1457" s="12"/>
      <c r="D1457" s="12" t="s">
        <v>12</v>
      </c>
      <c r="E1457" s="12" t="s">
        <v>9991</v>
      </c>
      <c r="F1457" s="12"/>
      <c r="G1457" s="12" t="s">
        <v>9981</v>
      </c>
      <c r="H1457" s="12" t="s">
        <v>115</v>
      </c>
      <c r="I1457" s="12" t="s">
        <v>27</v>
      </c>
      <c r="J1457" s="13" t="s">
        <v>9982</v>
      </c>
      <c r="K1457" s="14" t="s">
        <v>9992</v>
      </c>
      <c r="L1457" s="15">
        <v>2</v>
      </c>
      <c r="M1457" s="15" t="s">
        <v>144</v>
      </c>
      <c r="N1457" s="16">
        <v>41928</v>
      </c>
      <c r="O1457" s="12" t="s">
        <v>9990</v>
      </c>
      <c r="P1457" s="14" t="s">
        <v>9993</v>
      </c>
      <c r="Q1457" s="17" t="s">
        <v>137</v>
      </c>
      <c r="R1457" s="17" t="s">
        <v>146</v>
      </c>
    </row>
    <row r="1458" spans="1:18" x14ac:dyDescent="0.3">
      <c r="A1458" s="12" t="s">
        <v>9994</v>
      </c>
      <c r="B1458" s="12" t="s">
        <v>12</v>
      </c>
      <c r="C1458" s="12"/>
      <c r="D1458" s="12" t="s">
        <v>12</v>
      </c>
      <c r="E1458" s="12" t="s">
        <v>9995</v>
      </c>
      <c r="F1458" s="12"/>
      <c r="G1458" s="12" t="s">
        <v>9996</v>
      </c>
      <c r="H1458" s="12" t="s">
        <v>115</v>
      </c>
      <c r="I1458" s="12" t="s">
        <v>27</v>
      </c>
      <c r="J1458" s="13" t="s">
        <v>9997</v>
      </c>
      <c r="K1458" s="14" t="s">
        <v>9998</v>
      </c>
      <c r="L1458" s="15">
        <v>0</v>
      </c>
      <c r="M1458" s="15" t="s">
        <v>144</v>
      </c>
      <c r="N1458" s="16">
        <v>39490</v>
      </c>
      <c r="O1458" s="12" t="s">
        <v>9994</v>
      </c>
      <c r="P1458" s="14" t="s">
        <v>9999</v>
      </c>
      <c r="Q1458" s="17" t="s">
        <v>137</v>
      </c>
      <c r="R1458" s="17" t="s">
        <v>146</v>
      </c>
    </row>
    <row r="1459" spans="1:18" x14ac:dyDescent="0.3">
      <c r="A1459" s="12" t="s">
        <v>10000</v>
      </c>
      <c r="B1459" s="12" t="s">
        <v>12</v>
      </c>
      <c r="C1459" s="12"/>
      <c r="D1459" s="12" t="s">
        <v>12</v>
      </c>
      <c r="E1459" s="12" t="s">
        <v>10001</v>
      </c>
      <c r="F1459" s="12"/>
      <c r="G1459" s="12" t="s">
        <v>10002</v>
      </c>
      <c r="H1459" s="12" t="s">
        <v>58</v>
      </c>
      <c r="I1459" s="12" t="s">
        <v>27</v>
      </c>
      <c r="J1459" s="13" t="s">
        <v>10003</v>
      </c>
      <c r="K1459" s="14" t="s">
        <v>10004</v>
      </c>
      <c r="L1459" s="15">
        <v>1</v>
      </c>
      <c r="M1459" s="15" t="s">
        <v>144</v>
      </c>
      <c r="N1459" s="16">
        <v>41407</v>
      </c>
      <c r="O1459" s="12" t="s">
        <v>2873</v>
      </c>
      <c r="P1459" s="14" t="s">
        <v>10005</v>
      </c>
      <c r="Q1459" s="17" t="s">
        <v>137</v>
      </c>
      <c r="R1459" s="17" t="s">
        <v>146</v>
      </c>
    </row>
    <row r="1460" spans="1:18" x14ac:dyDescent="0.3">
      <c r="A1460" s="12" t="s">
        <v>10006</v>
      </c>
      <c r="B1460" s="12" t="s">
        <v>12</v>
      </c>
      <c r="C1460" s="12"/>
      <c r="D1460" s="12" t="s">
        <v>12</v>
      </c>
      <c r="E1460" s="12" t="s">
        <v>10007</v>
      </c>
      <c r="F1460" s="12"/>
      <c r="G1460" s="12" t="s">
        <v>2870</v>
      </c>
      <c r="H1460" s="12" t="s">
        <v>58</v>
      </c>
      <c r="I1460" s="12" t="s">
        <v>27</v>
      </c>
      <c r="J1460" s="13" t="s">
        <v>2871</v>
      </c>
      <c r="K1460" s="14" t="s">
        <v>10008</v>
      </c>
      <c r="L1460" s="15">
        <v>1</v>
      </c>
      <c r="M1460" s="15" t="s">
        <v>144</v>
      </c>
      <c r="N1460" s="16">
        <v>39617</v>
      </c>
      <c r="O1460" s="12" t="s">
        <v>10009</v>
      </c>
      <c r="P1460" s="14" t="s">
        <v>10010</v>
      </c>
      <c r="Q1460" s="17" t="s">
        <v>137</v>
      </c>
      <c r="R1460" s="17" t="s">
        <v>146</v>
      </c>
    </row>
    <row r="1461" spans="1:18" x14ac:dyDescent="0.3">
      <c r="A1461" s="12" t="s">
        <v>10011</v>
      </c>
      <c r="B1461" s="12" t="s">
        <v>12</v>
      </c>
      <c r="C1461" s="12"/>
      <c r="D1461" s="12" t="s">
        <v>12</v>
      </c>
      <c r="E1461" s="12" t="s">
        <v>2875</v>
      </c>
      <c r="F1461" s="12"/>
      <c r="G1461" s="12" t="s">
        <v>2870</v>
      </c>
      <c r="H1461" s="12" t="s">
        <v>58</v>
      </c>
      <c r="I1461" s="12" t="s">
        <v>27</v>
      </c>
      <c r="J1461" s="13" t="s">
        <v>2871</v>
      </c>
      <c r="K1461" s="14" t="s">
        <v>2876</v>
      </c>
      <c r="L1461" s="15">
        <v>0</v>
      </c>
      <c r="M1461" s="15" t="s">
        <v>144</v>
      </c>
      <c r="N1461" s="16">
        <v>39912</v>
      </c>
      <c r="O1461" s="12" t="s">
        <v>10011</v>
      </c>
      <c r="P1461" s="14" t="s">
        <v>10012</v>
      </c>
      <c r="Q1461" s="17" t="s">
        <v>137</v>
      </c>
      <c r="R1461" s="17" t="s">
        <v>146</v>
      </c>
    </row>
    <row r="1462" spans="1:18" x14ac:dyDescent="0.3">
      <c r="A1462" s="12" t="s">
        <v>10013</v>
      </c>
      <c r="B1462" s="12" t="s">
        <v>12</v>
      </c>
      <c r="C1462" s="12"/>
      <c r="D1462" s="12" t="s">
        <v>12</v>
      </c>
      <c r="E1462" s="12" t="s">
        <v>10014</v>
      </c>
      <c r="F1462" s="12" t="s">
        <v>3485</v>
      </c>
      <c r="G1462" s="12" t="s">
        <v>2870</v>
      </c>
      <c r="H1462" s="12" t="s">
        <v>58</v>
      </c>
      <c r="I1462" s="12" t="s">
        <v>27</v>
      </c>
      <c r="J1462" s="13" t="s">
        <v>2871</v>
      </c>
      <c r="K1462" s="14" t="s">
        <v>10015</v>
      </c>
      <c r="L1462" s="15">
        <v>1</v>
      </c>
      <c r="M1462" s="15" t="s">
        <v>144</v>
      </c>
      <c r="N1462" s="16">
        <v>44065</v>
      </c>
      <c r="O1462" s="12" t="s">
        <v>10013</v>
      </c>
      <c r="P1462" s="14" t="s">
        <v>10016</v>
      </c>
      <c r="Q1462" s="17" t="s">
        <v>137</v>
      </c>
      <c r="R1462" s="17" t="s">
        <v>146</v>
      </c>
    </row>
    <row r="1463" spans="1:18" x14ac:dyDescent="0.3">
      <c r="A1463" s="12" t="s">
        <v>10017</v>
      </c>
      <c r="B1463" s="12" t="s">
        <v>12</v>
      </c>
      <c r="C1463" s="12"/>
      <c r="D1463" s="12" t="s">
        <v>12</v>
      </c>
      <c r="E1463" s="12" t="s">
        <v>10018</v>
      </c>
      <c r="F1463" s="12"/>
      <c r="G1463" s="12" t="s">
        <v>10019</v>
      </c>
      <c r="H1463" s="12" t="s">
        <v>58</v>
      </c>
      <c r="I1463" s="12" t="s">
        <v>27</v>
      </c>
      <c r="J1463" s="13" t="s">
        <v>10020</v>
      </c>
      <c r="K1463" s="14" t="s">
        <v>2872</v>
      </c>
      <c r="L1463" s="15">
        <v>0</v>
      </c>
      <c r="M1463" s="15" t="s">
        <v>144</v>
      </c>
      <c r="N1463" s="16">
        <v>42851</v>
      </c>
      <c r="O1463" s="12" t="s">
        <v>2873</v>
      </c>
      <c r="P1463" s="14" t="s">
        <v>10021</v>
      </c>
      <c r="Q1463" s="17" t="s">
        <v>137</v>
      </c>
      <c r="R1463" s="17" t="s">
        <v>146</v>
      </c>
    </row>
    <row r="1464" spans="1:18" x14ac:dyDescent="0.3">
      <c r="A1464" s="12" t="s">
        <v>2873</v>
      </c>
      <c r="B1464" s="12" t="s">
        <v>12</v>
      </c>
      <c r="C1464" s="12"/>
      <c r="D1464" s="12" t="s">
        <v>12</v>
      </c>
      <c r="E1464" s="12" t="s">
        <v>10018</v>
      </c>
      <c r="F1464" s="12"/>
      <c r="G1464" s="12" t="s">
        <v>10019</v>
      </c>
      <c r="H1464" s="12" t="s">
        <v>58</v>
      </c>
      <c r="I1464" s="12" t="s">
        <v>27</v>
      </c>
      <c r="J1464" s="13" t="s">
        <v>10020</v>
      </c>
      <c r="K1464" s="14" t="s">
        <v>2872</v>
      </c>
      <c r="L1464" s="15">
        <v>0</v>
      </c>
      <c r="M1464" s="15" t="s">
        <v>144</v>
      </c>
      <c r="N1464" s="16">
        <v>42653</v>
      </c>
      <c r="O1464" s="12" t="s">
        <v>2873</v>
      </c>
      <c r="P1464" s="14" t="s">
        <v>10022</v>
      </c>
      <c r="Q1464" s="17" t="s">
        <v>137</v>
      </c>
      <c r="R1464" s="17" t="s">
        <v>146</v>
      </c>
    </row>
    <row r="1465" spans="1:18" x14ac:dyDescent="0.3">
      <c r="A1465" s="12" t="s">
        <v>10023</v>
      </c>
      <c r="B1465" s="12" t="s">
        <v>12</v>
      </c>
      <c r="C1465" s="12"/>
      <c r="D1465" s="12" t="s">
        <v>12</v>
      </c>
      <c r="E1465" s="12" t="s">
        <v>10024</v>
      </c>
      <c r="F1465" s="12" t="s">
        <v>248</v>
      </c>
      <c r="G1465" s="12" t="s">
        <v>2887</v>
      </c>
      <c r="H1465" s="12" t="s">
        <v>58</v>
      </c>
      <c r="I1465" s="12" t="s">
        <v>27</v>
      </c>
      <c r="J1465" s="13" t="s">
        <v>2888</v>
      </c>
      <c r="K1465" s="14" t="s">
        <v>10025</v>
      </c>
      <c r="L1465" s="15">
        <v>2</v>
      </c>
      <c r="M1465" s="15" t="s">
        <v>144</v>
      </c>
      <c r="N1465" s="16">
        <v>41038</v>
      </c>
      <c r="O1465" s="12" t="s">
        <v>10023</v>
      </c>
      <c r="P1465" s="14" t="s">
        <v>10026</v>
      </c>
      <c r="Q1465" s="17" t="s">
        <v>137</v>
      </c>
      <c r="R1465" s="17" t="s">
        <v>146</v>
      </c>
    </row>
    <row r="1466" spans="1:18" x14ac:dyDescent="0.3">
      <c r="A1466" s="12" t="s">
        <v>10027</v>
      </c>
      <c r="B1466" s="12" t="s">
        <v>12</v>
      </c>
      <c r="C1466" s="12"/>
      <c r="D1466" s="12" t="s">
        <v>12</v>
      </c>
      <c r="E1466" s="12" t="s">
        <v>10028</v>
      </c>
      <c r="F1466" s="12"/>
      <c r="G1466" s="12" t="s">
        <v>2887</v>
      </c>
      <c r="H1466" s="12" t="s">
        <v>58</v>
      </c>
      <c r="I1466" s="12" t="s">
        <v>27</v>
      </c>
      <c r="J1466" s="13" t="s">
        <v>2888</v>
      </c>
      <c r="K1466" s="14" t="s">
        <v>10029</v>
      </c>
      <c r="L1466" s="15">
        <v>2</v>
      </c>
      <c r="M1466" s="15" t="s">
        <v>144</v>
      </c>
      <c r="N1466" s="16">
        <v>44065</v>
      </c>
      <c r="O1466" s="12" t="s">
        <v>10027</v>
      </c>
      <c r="P1466" s="14" t="s">
        <v>10030</v>
      </c>
      <c r="Q1466" s="17" t="s">
        <v>137</v>
      </c>
      <c r="R1466" s="17" t="s">
        <v>146</v>
      </c>
    </row>
    <row r="1467" spans="1:18" x14ac:dyDescent="0.3">
      <c r="A1467" s="12" t="s">
        <v>10031</v>
      </c>
      <c r="B1467" s="12" t="s">
        <v>12</v>
      </c>
      <c r="C1467" s="12"/>
      <c r="D1467" s="12" t="s">
        <v>12</v>
      </c>
      <c r="E1467" s="12" t="s">
        <v>10032</v>
      </c>
      <c r="F1467" s="12"/>
      <c r="G1467" s="12" t="s">
        <v>2887</v>
      </c>
      <c r="H1467" s="12" t="s">
        <v>58</v>
      </c>
      <c r="I1467" s="12" t="s">
        <v>27</v>
      </c>
      <c r="J1467" s="13" t="s">
        <v>2888</v>
      </c>
      <c r="K1467" s="14" t="s">
        <v>10033</v>
      </c>
      <c r="L1467" s="15">
        <v>0</v>
      </c>
      <c r="M1467" s="15" t="s">
        <v>144</v>
      </c>
      <c r="N1467" s="16">
        <v>42285</v>
      </c>
      <c r="O1467" s="12" t="s">
        <v>10031</v>
      </c>
      <c r="P1467" s="14" t="s">
        <v>10034</v>
      </c>
      <c r="Q1467" s="17" t="s">
        <v>137</v>
      </c>
      <c r="R1467" s="17" t="s">
        <v>146</v>
      </c>
    </row>
    <row r="1468" spans="1:18" x14ac:dyDescent="0.3">
      <c r="A1468" s="12" t="s">
        <v>10035</v>
      </c>
      <c r="B1468" s="12" t="s">
        <v>10</v>
      </c>
      <c r="C1468" s="12"/>
      <c r="D1468" s="12" t="s">
        <v>1561</v>
      </c>
      <c r="E1468" s="12" t="s">
        <v>10036</v>
      </c>
      <c r="F1468" s="12"/>
      <c r="G1468" s="12" t="s">
        <v>10037</v>
      </c>
      <c r="H1468" s="12" t="s">
        <v>77</v>
      </c>
      <c r="I1468" s="12" t="s">
        <v>27</v>
      </c>
      <c r="J1468" s="13" t="s">
        <v>10038</v>
      </c>
      <c r="K1468" s="14" t="s">
        <v>10039</v>
      </c>
      <c r="L1468" s="15">
        <v>0</v>
      </c>
      <c r="M1468" s="15" t="s">
        <v>144</v>
      </c>
      <c r="N1468" s="16">
        <v>39735</v>
      </c>
      <c r="O1468" s="12" t="s">
        <v>10035</v>
      </c>
      <c r="P1468" s="14" t="s">
        <v>10040</v>
      </c>
      <c r="Q1468" s="17" t="s">
        <v>137</v>
      </c>
      <c r="R1468" s="17" t="s">
        <v>146</v>
      </c>
    </row>
    <row r="1469" spans="1:18" x14ac:dyDescent="0.3">
      <c r="A1469" s="12" t="s">
        <v>10041</v>
      </c>
      <c r="B1469" s="12" t="s">
        <v>14</v>
      </c>
      <c r="C1469" s="12"/>
      <c r="D1469" s="12" t="s">
        <v>14</v>
      </c>
      <c r="E1469" s="12" t="s">
        <v>10042</v>
      </c>
      <c r="F1469" s="12" t="s">
        <v>516</v>
      </c>
      <c r="G1469" s="12" t="s">
        <v>2897</v>
      </c>
      <c r="H1469" s="12" t="s">
        <v>77</v>
      </c>
      <c r="I1469" s="12" t="s">
        <v>27</v>
      </c>
      <c r="J1469" s="13" t="s">
        <v>2898</v>
      </c>
      <c r="K1469" s="14" t="s">
        <v>10043</v>
      </c>
      <c r="L1469" s="15">
        <v>6</v>
      </c>
      <c r="M1469" s="15" t="s">
        <v>144</v>
      </c>
      <c r="N1469" s="16">
        <v>40610</v>
      </c>
      <c r="O1469" s="12" t="s">
        <v>10041</v>
      </c>
      <c r="P1469" s="14" t="s">
        <v>10044</v>
      </c>
      <c r="Q1469" s="17" t="s">
        <v>137</v>
      </c>
      <c r="R1469" s="17" t="s">
        <v>146</v>
      </c>
    </row>
    <row r="1470" spans="1:18" x14ac:dyDescent="0.3">
      <c r="A1470" s="12" t="s">
        <v>10045</v>
      </c>
      <c r="B1470" s="12" t="s">
        <v>12</v>
      </c>
      <c r="C1470" s="12"/>
      <c r="D1470" s="12" t="s">
        <v>12</v>
      </c>
      <c r="E1470" s="12" t="s">
        <v>10046</v>
      </c>
      <c r="F1470" s="12"/>
      <c r="G1470" s="12" t="s">
        <v>2897</v>
      </c>
      <c r="H1470" s="12" t="s">
        <v>77</v>
      </c>
      <c r="I1470" s="12" t="s">
        <v>27</v>
      </c>
      <c r="J1470" s="13" t="s">
        <v>2898</v>
      </c>
      <c r="K1470" s="14" t="s">
        <v>2905</v>
      </c>
      <c r="L1470" s="15">
        <v>0</v>
      </c>
      <c r="M1470" s="15" t="s">
        <v>144</v>
      </c>
      <c r="N1470" s="16">
        <v>40196</v>
      </c>
      <c r="O1470" s="12" t="s">
        <v>10045</v>
      </c>
      <c r="P1470" s="14" t="s">
        <v>10047</v>
      </c>
      <c r="Q1470" s="17" t="s">
        <v>137</v>
      </c>
      <c r="R1470" s="17" t="s">
        <v>146</v>
      </c>
    </row>
    <row r="1471" spans="1:18" x14ac:dyDescent="0.3">
      <c r="A1471" s="12" t="s">
        <v>10048</v>
      </c>
      <c r="B1471" s="12" t="s">
        <v>12</v>
      </c>
      <c r="C1471" s="12" t="s">
        <v>14</v>
      </c>
      <c r="D1471" s="12" t="s">
        <v>180</v>
      </c>
      <c r="E1471" s="12" t="s">
        <v>10049</v>
      </c>
      <c r="F1471" s="12"/>
      <c r="G1471" s="12" t="s">
        <v>2897</v>
      </c>
      <c r="H1471" s="12" t="s">
        <v>77</v>
      </c>
      <c r="I1471" s="12" t="s">
        <v>27</v>
      </c>
      <c r="J1471" s="13" t="s">
        <v>2898</v>
      </c>
      <c r="K1471" s="14" t="s">
        <v>10050</v>
      </c>
      <c r="L1471" s="15">
        <v>2</v>
      </c>
      <c r="M1471" s="15" t="s">
        <v>144</v>
      </c>
      <c r="N1471" s="16">
        <v>43679</v>
      </c>
      <c r="O1471" s="12" t="s">
        <v>10048</v>
      </c>
      <c r="P1471" s="14" t="s">
        <v>10051</v>
      </c>
      <c r="Q1471" s="17" t="s">
        <v>137</v>
      </c>
      <c r="R1471" s="17" t="s">
        <v>146</v>
      </c>
    </row>
    <row r="1472" spans="1:18" x14ac:dyDescent="0.3">
      <c r="A1472" s="12" t="s">
        <v>10052</v>
      </c>
      <c r="B1472" s="12" t="s">
        <v>10</v>
      </c>
      <c r="C1472" s="12"/>
      <c r="D1472" s="12" t="s">
        <v>647</v>
      </c>
      <c r="E1472" s="12" t="s">
        <v>10053</v>
      </c>
      <c r="F1472" s="12"/>
      <c r="G1472" s="12" t="s">
        <v>2897</v>
      </c>
      <c r="H1472" s="12" t="s">
        <v>77</v>
      </c>
      <c r="I1472" s="12" t="s">
        <v>27</v>
      </c>
      <c r="J1472" s="13" t="s">
        <v>2898</v>
      </c>
      <c r="K1472" s="14" t="s">
        <v>10054</v>
      </c>
      <c r="L1472" s="15">
        <v>5</v>
      </c>
      <c r="M1472" s="15" t="s">
        <v>220</v>
      </c>
      <c r="N1472" s="16">
        <v>41066</v>
      </c>
      <c r="O1472" s="12" t="s">
        <v>10052</v>
      </c>
      <c r="P1472" s="14" t="s">
        <v>10055</v>
      </c>
      <c r="Q1472" s="17" t="s">
        <v>137</v>
      </c>
      <c r="R1472" s="17" t="s">
        <v>146</v>
      </c>
    </row>
    <row r="1473" spans="1:18" x14ac:dyDescent="0.3">
      <c r="A1473" s="12" t="s">
        <v>10056</v>
      </c>
      <c r="B1473" s="12" t="s">
        <v>12</v>
      </c>
      <c r="C1473" s="12"/>
      <c r="D1473" s="12" t="s">
        <v>12</v>
      </c>
      <c r="E1473" s="12" t="s">
        <v>10057</v>
      </c>
      <c r="F1473" s="12"/>
      <c r="G1473" s="12" t="s">
        <v>2897</v>
      </c>
      <c r="H1473" s="12" t="s">
        <v>77</v>
      </c>
      <c r="I1473" s="12" t="s">
        <v>27</v>
      </c>
      <c r="J1473" s="13" t="s">
        <v>2898</v>
      </c>
      <c r="K1473" s="14" t="s">
        <v>10058</v>
      </c>
      <c r="L1473" s="15">
        <v>2</v>
      </c>
      <c r="M1473" s="15" t="s">
        <v>144</v>
      </c>
      <c r="N1473" s="16">
        <v>43833</v>
      </c>
      <c r="O1473" s="12" t="s">
        <v>10056</v>
      </c>
      <c r="P1473" s="14" t="s">
        <v>10059</v>
      </c>
      <c r="Q1473" s="17" t="s">
        <v>137</v>
      </c>
      <c r="R1473" s="17" t="s">
        <v>146</v>
      </c>
    </row>
    <row r="1474" spans="1:18" x14ac:dyDescent="0.3">
      <c r="A1474" s="12" t="s">
        <v>10060</v>
      </c>
      <c r="B1474" s="12" t="s">
        <v>14</v>
      </c>
      <c r="C1474" s="12"/>
      <c r="D1474" s="12" t="s">
        <v>14</v>
      </c>
      <c r="E1474" s="12" t="s">
        <v>2903</v>
      </c>
      <c r="F1474" s="12"/>
      <c r="G1474" s="12" t="s">
        <v>2897</v>
      </c>
      <c r="H1474" s="12" t="s">
        <v>77</v>
      </c>
      <c r="I1474" s="12" t="s">
        <v>27</v>
      </c>
      <c r="J1474" s="13" t="s">
        <v>2898</v>
      </c>
      <c r="K1474" s="14" t="s">
        <v>10061</v>
      </c>
      <c r="L1474" s="15">
        <v>6</v>
      </c>
      <c r="M1474" s="15" t="s">
        <v>144</v>
      </c>
      <c r="N1474" s="16">
        <v>42528</v>
      </c>
      <c r="O1474" s="12" t="s">
        <v>10060</v>
      </c>
      <c r="P1474" s="14" t="s">
        <v>10062</v>
      </c>
      <c r="Q1474" s="17" t="s">
        <v>137</v>
      </c>
      <c r="R1474" s="17" t="s">
        <v>146</v>
      </c>
    </row>
    <row r="1475" spans="1:18" x14ac:dyDescent="0.3">
      <c r="A1475" s="12" t="s">
        <v>10063</v>
      </c>
      <c r="B1475" s="12" t="s">
        <v>12</v>
      </c>
      <c r="C1475" s="12"/>
      <c r="D1475" s="12" t="s">
        <v>12</v>
      </c>
      <c r="E1475" s="12" t="s">
        <v>10064</v>
      </c>
      <c r="F1475" s="12"/>
      <c r="G1475" s="12" t="s">
        <v>2897</v>
      </c>
      <c r="H1475" s="12" t="s">
        <v>77</v>
      </c>
      <c r="I1475" s="12" t="s">
        <v>27</v>
      </c>
      <c r="J1475" s="13" t="s">
        <v>2898</v>
      </c>
      <c r="K1475" s="14" t="s">
        <v>10065</v>
      </c>
      <c r="L1475" s="15">
        <v>1</v>
      </c>
      <c r="M1475" s="15" t="s">
        <v>144</v>
      </c>
      <c r="N1475" s="16">
        <v>40492</v>
      </c>
      <c r="O1475" s="12" t="s">
        <v>10063</v>
      </c>
      <c r="P1475" s="14" t="s">
        <v>10066</v>
      </c>
      <c r="Q1475" s="17" t="s">
        <v>137</v>
      </c>
      <c r="R1475" s="17" t="s">
        <v>146</v>
      </c>
    </row>
    <row r="1476" spans="1:18" x14ac:dyDescent="0.3">
      <c r="A1476" s="12" t="s">
        <v>10067</v>
      </c>
      <c r="B1476" s="12" t="s">
        <v>14</v>
      </c>
      <c r="C1476" s="12"/>
      <c r="D1476" s="12" t="s">
        <v>14</v>
      </c>
      <c r="E1476" s="12" t="s">
        <v>10068</v>
      </c>
      <c r="F1476" s="12"/>
      <c r="G1476" s="12" t="s">
        <v>10069</v>
      </c>
      <c r="H1476" s="12" t="s">
        <v>77</v>
      </c>
      <c r="I1476" s="12" t="s">
        <v>27</v>
      </c>
      <c r="J1476" s="13" t="s">
        <v>10070</v>
      </c>
      <c r="K1476" s="14" t="s">
        <v>10071</v>
      </c>
      <c r="L1476" s="15">
        <v>2</v>
      </c>
      <c r="M1476" s="15" t="s">
        <v>144</v>
      </c>
      <c r="N1476" s="16">
        <v>44201</v>
      </c>
      <c r="O1476" s="12" t="s">
        <v>10067</v>
      </c>
      <c r="P1476" s="14" t="s">
        <v>10072</v>
      </c>
      <c r="Q1476" s="17" t="s">
        <v>137</v>
      </c>
      <c r="R1476" s="17" t="s">
        <v>146</v>
      </c>
    </row>
    <row r="1477" spans="1:18" x14ac:dyDescent="0.3">
      <c r="A1477" s="12" t="s">
        <v>10073</v>
      </c>
      <c r="B1477" s="12" t="s">
        <v>12</v>
      </c>
      <c r="C1477" s="12"/>
      <c r="D1477" s="12" t="s">
        <v>12</v>
      </c>
      <c r="E1477" s="12" t="s">
        <v>10074</v>
      </c>
      <c r="F1477" s="12"/>
      <c r="G1477" s="12" t="s">
        <v>10069</v>
      </c>
      <c r="H1477" s="12" t="s">
        <v>77</v>
      </c>
      <c r="I1477" s="12" t="s">
        <v>27</v>
      </c>
      <c r="J1477" s="13" t="s">
        <v>10070</v>
      </c>
      <c r="K1477" s="14" t="s">
        <v>10075</v>
      </c>
      <c r="L1477" s="15">
        <v>1</v>
      </c>
      <c r="M1477" s="15" t="s">
        <v>144</v>
      </c>
      <c r="N1477" s="16">
        <v>41799</v>
      </c>
      <c r="O1477" s="12" t="s">
        <v>10073</v>
      </c>
      <c r="P1477" s="14" t="s">
        <v>10076</v>
      </c>
      <c r="Q1477" s="17" t="s">
        <v>137</v>
      </c>
      <c r="R1477" s="17" t="s">
        <v>146</v>
      </c>
    </row>
    <row r="1478" spans="1:18" x14ac:dyDescent="0.3">
      <c r="A1478" s="12" t="s">
        <v>10077</v>
      </c>
      <c r="B1478" s="12" t="s">
        <v>12</v>
      </c>
      <c r="C1478" s="12"/>
      <c r="D1478" s="12" t="s">
        <v>12</v>
      </c>
      <c r="E1478" s="12" t="s">
        <v>10078</v>
      </c>
      <c r="F1478" s="12"/>
      <c r="G1478" s="12" t="s">
        <v>10079</v>
      </c>
      <c r="H1478" s="12" t="s">
        <v>85</v>
      </c>
      <c r="I1478" s="12" t="s">
        <v>27</v>
      </c>
      <c r="J1478" s="13" t="s">
        <v>10080</v>
      </c>
      <c r="K1478" s="14" t="s">
        <v>10081</v>
      </c>
      <c r="L1478" s="15">
        <v>1</v>
      </c>
      <c r="M1478" s="15" t="s">
        <v>144</v>
      </c>
      <c r="N1478" s="16">
        <v>40106</v>
      </c>
      <c r="O1478" s="12" t="s">
        <v>10082</v>
      </c>
      <c r="P1478" s="14" t="s">
        <v>10083</v>
      </c>
      <c r="Q1478" s="17" t="s">
        <v>137</v>
      </c>
      <c r="R1478" s="17" t="s">
        <v>146</v>
      </c>
    </row>
    <row r="1479" spans="1:18" x14ac:dyDescent="0.3">
      <c r="A1479" s="12" t="s">
        <v>10084</v>
      </c>
      <c r="B1479" s="12" t="s">
        <v>12</v>
      </c>
      <c r="C1479" s="12"/>
      <c r="D1479" s="12" t="s">
        <v>12</v>
      </c>
      <c r="E1479" s="12" t="s">
        <v>10085</v>
      </c>
      <c r="F1479" s="12"/>
      <c r="G1479" s="12" t="s">
        <v>2910</v>
      </c>
      <c r="H1479" s="12" t="s">
        <v>85</v>
      </c>
      <c r="I1479" s="12" t="s">
        <v>27</v>
      </c>
      <c r="J1479" s="13" t="s">
        <v>2911</v>
      </c>
      <c r="K1479" s="14" t="s">
        <v>10086</v>
      </c>
      <c r="L1479" s="15">
        <v>1</v>
      </c>
      <c r="M1479" s="15" t="s">
        <v>144</v>
      </c>
      <c r="N1479" s="16">
        <v>40009</v>
      </c>
      <c r="O1479" s="12" t="s">
        <v>10084</v>
      </c>
      <c r="P1479" s="14" t="s">
        <v>10087</v>
      </c>
      <c r="Q1479" s="17" t="s">
        <v>137</v>
      </c>
      <c r="R1479" s="17" t="s">
        <v>146</v>
      </c>
    </row>
    <row r="1480" spans="1:18" x14ac:dyDescent="0.3">
      <c r="A1480" s="12" t="s">
        <v>10088</v>
      </c>
      <c r="B1480" s="12" t="s">
        <v>12</v>
      </c>
      <c r="C1480" s="12"/>
      <c r="D1480" s="12" t="s">
        <v>12</v>
      </c>
      <c r="E1480" s="12" t="s">
        <v>10089</v>
      </c>
      <c r="F1480" s="12"/>
      <c r="G1480" s="12" t="s">
        <v>2910</v>
      </c>
      <c r="H1480" s="12" t="s">
        <v>85</v>
      </c>
      <c r="I1480" s="12" t="s">
        <v>27</v>
      </c>
      <c r="J1480" s="13" t="s">
        <v>2911</v>
      </c>
      <c r="K1480" s="14" t="s">
        <v>10090</v>
      </c>
      <c r="L1480" s="15">
        <v>1</v>
      </c>
      <c r="M1480" s="15" t="s">
        <v>144</v>
      </c>
      <c r="N1480" s="16">
        <v>41693</v>
      </c>
      <c r="O1480" s="12" t="s">
        <v>10088</v>
      </c>
      <c r="P1480" s="14" t="s">
        <v>10091</v>
      </c>
      <c r="Q1480" s="17" t="s">
        <v>137</v>
      </c>
      <c r="R1480" s="17" t="s">
        <v>146</v>
      </c>
    </row>
    <row r="1481" spans="1:18" x14ac:dyDescent="0.3">
      <c r="A1481" s="12" t="s">
        <v>10092</v>
      </c>
      <c r="B1481" s="12" t="s">
        <v>12</v>
      </c>
      <c r="C1481" s="12"/>
      <c r="D1481" s="12" t="s">
        <v>12</v>
      </c>
      <c r="E1481" s="12" t="s">
        <v>2909</v>
      </c>
      <c r="F1481" s="12"/>
      <c r="G1481" s="12" t="s">
        <v>2910</v>
      </c>
      <c r="H1481" s="12" t="s">
        <v>85</v>
      </c>
      <c r="I1481" s="12" t="s">
        <v>27</v>
      </c>
      <c r="J1481" s="13" t="s">
        <v>2911</v>
      </c>
      <c r="K1481" s="14" t="s">
        <v>2912</v>
      </c>
      <c r="L1481" s="15">
        <v>3</v>
      </c>
      <c r="M1481" s="15" t="s">
        <v>144</v>
      </c>
      <c r="N1481" s="16">
        <v>41177</v>
      </c>
      <c r="O1481" s="12" t="s">
        <v>10092</v>
      </c>
      <c r="P1481" s="14" t="s">
        <v>10093</v>
      </c>
      <c r="Q1481" s="17" t="s">
        <v>137</v>
      </c>
      <c r="R1481" s="17" t="s">
        <v>146</v>
      </c>
    </row>
    <row r="1482" spans="1:18" x14ac:dyDescent="0.3">
      <c r="A1482" s="12" t="s">
        <v>10094</v>
      </c>
      <c r="B1482" s="12" t="s">
        <v>14</v>
      </c>
      <c r="C1482" s="12"/>
      <c r="D1482" s="12" t="s">
        <v>14</v>
      </c>
      <c r="E1482" s="12" t="s">
        <v>10095</v>
      </c>
      <c r="F1482" s="12"/>
      <c r="G1482" s="12" t="s">
        <v>10096</v>
      </c>
      <c r="H1482" s="12" t="s">
        <v>85</v>
      </c>
      <c r="I1482" s="12" t="s">
        <v>27</v>
      </c>
      <c r="J1482" s="13" t="s">
        <v>10097</v>
      </c>
      <c r="K1482" s="14" t="s">
        <v>10098</v>
      </c>
      <c r="L1482" s="15">
        <v>0</v>
      </c>
      <c r="M1482" s="15" t="s">
        <v>144</v>
      </c>
      <c r="N1482" s="16">
        <v>40441</v>
      </c>
      <c r="O1482" s="12" t="s">
        <v>10094</v>
      </c>
      <c r="P1482" s="14" t="s">
        <v>10099</v>
      </c>
      <c r="Q1482" s="17" t="s">
        <v>137</v>
      </c>
      <c r="R1482" s="17" t="s">
        <v>146</v>
      </c>
    </row>
    <row r="1483" spans="1:18" x14ac:dyDescent="0.3">
      <c r="A1483" s="12" t="s">
        <v>10100</v>
      </c>
      <c r="B1483" s="12" t="s">
        <v>14</v>
      </c>
      <c r="C1483" s="12"/>
      <c r="D1483" s="12" t="s">
        <v>14</v>
      </c>
      <c r="E1483" s="12" t="s">
        <v>10101</v>
      </c>
      <c r="F1483" s="12"/>
      <c r="G1483" s="12" t="s">
        <v>10102</v>
      </c>
      <c r="H1483" s="12" t="s">
        <v>44</v>
      </c>
      <c r="I1483" s="12" t="s">
        <v>27</v>
      </c>
      <c r="J1483" s="13" t="s">
        <v>10103</v>
      </c>
      <c r="K1483" s="14" t="s">
        <v>10104</v>
      </c>
      <c r="L1483" s="15">
        <v>0</v>
      </c>
      <c r="M1483" s="15" t="s">
        <v>144</v>
      </c>
      <c r="N1483" s="16">
        <v>44323</v>
      </c>
      <c r="O1483" s="12" t="s">
        <v>10100</v>
      </c>
      <c r="P1483" s="14" t="s">
        <v>10105</v>
      </c>
      <c r="Q1483" s="17" t="s">
        <v>137</v>
      </c>
      <c r="R1483" s="17" t="s">
        <v>146</v>
      </c>
    </row>
    <row r="1484" spans="1:18" x14ac:dyDescent="0.3">
      <c r="A1484" s="12" t="s">
        <v>10106</v>
      </c>
      <c r="B1484" s="12" t="s">
        <v>14</v>
      </c>
      <c r="C1484" s="12"/>
      <c r="D1484" s="12" t="s">
        <v>14</v>
      </c>
      <c r="E1484" s="12" t="s">
        <v>10107</v>
      </c>
      <c r="F1484" s="12"/>
      <c r="G1484" s="12" t="s">
        <v>10102</v>
      </c>
      <c r="H1484" s="12" t="s">
        <v>44</v>
      </c>
      <c r="I1484" s="12" t="s">
        <v>27</v>
      </c>
      <c r="J1484" s="13" t="s">
        <v>10103</v>
      </c>
      <c r="K1484" s="14" t="s">
        <v>10108</v>
      </c>
      <c r="L1484" s="15">
        <v>1</v>
      </c>
      <c r="M1484" s="15" t="s">
        <v>144</v>
      </c>
      <c r="N1484" s="16">
        <v>43748</v>
      </c>
      <c r="O1484" s="12" t="s">
        <v>10109</v>
      </c>
      <c r="P1484" s="14" t="s">
        <v>10110</v>
      </c>
      <c r="Q1484" s="17" t="s">
        <v>137</v>
      </c>
      <c r="R1484" s="17" t="s">
        <v>146</v>
      </c>
    </row>
    <row r="1485" spans="1:18" x14ac:dyDescent="0.3">
      <c r="A1485" s="12" t="s">
        <v>10106</v>
      </c>
      <c r="B1485" s="12" t="s">
        <v>14</v>
      </c>
      <c r="C1485" s="12"/>
      <c r="D1485" s="12" t="s">
        <v>14</v>
      </c>
      <c r="E1485" s="12" t="s">
        <v>10111</v>
      </c>
      <c r="F1485" s="12"/>
      <c r="G1485" s="12" t="s">
        <v>10102</v>
      </c>
      <c r="H1485" s="12" t="s">
        <v>44</v>
      </c>
      <c r="I1485" s="12" t="s">
        <v>27</v>
      </c>
      <c r="J1485" s="13" t="s">
        <v>10103</v>
      </c>
      <c r="K1485" s="14" t="s">
        <v>10112</v>
      </c>
      <c r="L1485" s="15">
        <v>1</v>
      </c>
      <c r="M1485" s="15" t="s">
        <v>144</v>
      </c>
      <c r="N1485" s="16">
        <v>43748</v>
      </c>
      <c r="O1485" s="12" t="s">
        <v>10109</v>
      </c>
      <c r="P1485" s="14" t="s">
        <v>10110</v>
      </c>
      <c r="Q1485" s="17" t="s">
        <v>137</v>
      </c>
      <c r="R1485" s="17" t="s">
        <v>146</v>
      </c>
    </row>
    <row r="1486" spans="1:18" x14ac:dyDescent="0.3">
      <c r="A1486" s="12" t="s">
        <v>10113</v>
      </c>
      <c r="B1486" s="12" t="s">
        <v>12</v>
      </c>
      <c r="C1486" s="12"/>
      <c r="D1486" s="12" t="s">
        <v>12</v>
      </c>
      <c r="E1486" s="12" t="s">
        <v>10114</v>
      </c>
      <c r="F1486" s="12" t="s">
        <v>510</v>
      </c>
      <c r="G1486" s="12" t="s">
        <v>10115</v>
      </c>
      <c r="H1486" s="12" t="s">
        <v>44</v>
      </c>
      <c r="I1486" s="12" t="s">
        <v>27</v>
      </c>
      <c r="J1486" s="13" t="s">
        <v>10116</v>
      </c>
      <c r="K1486" s="14" t="s">
        <v>10117</v>
      </c>
      <c r="L1486" s="15">
        <v>0</v>
      </c>
      <c r="M1486" s="15" t="s">
        <v>144</v>
      </c>
      <c r="N1486" s="16">
        <v>40330</v>
      </c>
      <c r="O1486" s="12" t="s">
        <v>10113</v>
      </c>
      <c r="P1486" s="14" t="s">
        <v>10118</v>
      </c>
      <c r="Q1486" s="17" t="s">
        <v>137</v>
      </c>
      <c r="R1486" s="17" t="s">
        <v>146</v>
      </c>
    </row>
    <row r="1487" spans="1:18" x14ac:dyDescent="0.3">
      <c r="A1487" s="12" t="s">
        <v>10119</v>
      </c>
      <c r="B1487" s="12" t="s">
        <v>12</v>
      </c>
      <c r="C1487" s="12"/>
      <c r="D1487" s="12" t="s">
        <v>12</v>
      </c>
      <c r="E1487" s="12" t="s">
        <v>10120</v>
      </c>
      <c r="F1487" s="12" t="s">
        <v>10121</v>
      </c>
      <c r="G1487" s="12" t="s">
        <v>94</v>
      </c>
      <c r="H1487" s="12" t="s">
        <v>44</v>
      </c>
      <c r="I1487" s="12" t="s">
        <v>27</v>
      </c>
      <c r="J1487" s="13" t="s">
        <v>2922</v>
      </c>
      <c r="K1487" s="14" t="s">
        <v>10122</v>
      </c>
      <c r="L1487" s="15">
        <v>1</v>
      </c>
      <c r="M1487" s="15" t="s">
        <v>144</v>
      </c>
      <c r="N1487" s="16">
        <v>44065</v>
      </c>
      <c r="O1487" s="12" t="s">
        <v>10119</v>
      </c>
      <c r="P1487" s="14" t="s">
        <v>10123</v>
      </c>
      <c r="Q1487" s="17" t="s">
        <v>137</v>
      </c>
      <c r="R1487" s="17" t="s">
        <v>146</v>
      </c>
    </row>
    <row r="1488" spans="1:18" x14ac:dyDescent="0.3">
      <c r="A1488" s="12" t="s">
        <v>10124</v>
      </c>
      <c r="B1488" s="12" t="s">
        <v>12</v>
      </c>
      <c r="C1488" s="12"/>
      <c r="D1488" s="12" t="s">
        <v>12</v>
      </c>
      <c r="E1488" s="12" t="s">
        <v>2925</v>
      </c>
      <c r="F1488" s="12" t="s">
        <v>3485</v>
      </c>
      <c r="G1488" s="12" t="s">
        <v>2926</v>
      </c>
      <c r="H1488" s="12" t="s">
        <v>44</v>
      </c>
      <c r="I1488" s="12" t="s">
        <v>27</v>
      </c>
      <c r="J1488" s="13" t="s">
        <v>2927</v>
      </c>
      <c r="K1488" s="14" t="s">
        <v>10125</v>
      </c>
      <c r="L1488" s="15">
        <v>2</v>
      </c>
      <c r="M1488" s="15" t="s">
        <v>144</v>
      </c>
      <c r="N1488" s="16">
        <v>44065</v>
      </c>
      <c r="O1488" s="12" t="s">
        <v>10124</v>
      </c>
      <c r="P1488" s="14" t="s">
        <v>10126</v>
      </c>
      <c r="Q1488" s="17" t="s">
        <v>137</v>
      </c>
      <c r="R1488" s="17" t="s">
        <v>146</v>
      </c>
    </row>
    <row r="1489" spans="1:18" x14ac:dyDescent="0.3">
      <c r="A1489" s="12" t="s">
        <v>10127</v>
      </c>
      <c r="B1489" s="12" t="s">
        <v>12</v>
      </c>
      <c r="C1489" s="12"/>
      <c r="D1489" s="12" t="s">
        <v>12</v>
      </c>
      <c r="E1489" s="12" t="s">
        <v>10128</v>
      </c>
      <c r="F1489" s="12" t="s">
        <v>319</v>
      </c>
      <c r="G1489" s="12" t="s">
        <v>2926</v>
      </c>
      <c r="H1489" s="12" t="s">
        <v>44</v>
      </c>
      <c r="I1489" s="12" t="s">
        <v>27</v>
      </c>
      <c r="J1489" s="13" t="s">
        <v>2927</v>
      </c>
      <c r="K1489" s="14" t="s">
        <v>10129</v>
      </c>
      <c r="L1489" s="15">
        <v>1</v>
      </c>
      <c r="M1489" s="15" t="s">
        <v>144</v>
      </c>
      <c r="N1489" s="16">
        <v>42158</v>
      </c>
      <c r="O1489" s="12" t="s">
        <v>10130</v>
      </c>
      <c r="P1489" s="14" t="s">
        <v>10131</v>
      </c>
      <c r="Q1489" s="17" t="s">
        <v>137</v>
      </c>
      <c r="R1489" s="17" t="s">
        <v>146</v>
      </c>
    </row>
    <row r="1490" spans="1:18" x14ac:dyDescent="0.3">
      <c r="A1490" s="12" t="s">
        <v>10132</v>
      </c>
      <c r="B1490" s="12" t="s">
        <v>12</v>
      </c>
      <c r="C1490" s="12"/>
      <c r="D1490" s="12" t="s">
        <v>12</v>
      </c>
      <c r="E1490" s="12" t="s">
        <v>10133</v>
      </c>
      <c r="F1490" s="12"/>
      <c r="G1490" s="12" t="s">
        <v>2926</v>
      </c>
      <c r="H1490" s="12" t="s">
        <v>44</v>
      </c>
      <c r="I1490" s="12" t="s">
        <v>27</v>
      </c>
      <c r="J1490" s="13" t="s">
        <v>2927</v>
      </c>
      <c r="K1490" s="14" t="s">
        <v>10134</v>
      </c>
      <c r="L1490" s="15">
        <v>1</v>
      </c>
      <c r="M1490" s="15" t="s">
        <v>144</v>
      </c>
      <c r="N1490" s="16">
        <v>41367</v>
      </c>
      <c r="O1490" s="12" t="s">
        <v>10132</v>
      </c>
      <c r="P1490" s="14" t="s">
        <v>10135</v>
      </c>
      <c r="Q1490" s="17" t="s">
        <v>137</v>
      </c>
      <c r="R1490" s="17" t="s">
        <v>146</v>
      </c>
    </row>
    <row r="1491" spans="1:18" x14ac:dyDescent="0.3">
      <c r="A1491" s="12" t="s">
        <v>10136</v>
      </c>
      <c r="B1491" s="12" t="s">
        <v>12</v>
      </c>
      <c r="C1491" s="12"/>
      <c r="D1491" s="12" t="s">
        <v>12</v>
      </c>
      <c r="E1491" s="12" t="s">
        <v>10137</v>
      </c>
      <c r="F1491" s="12"/>
      <c r="G1491" s="12" t="s">
        <v>2926</v>
      </c>
      <c r="H1491" s="12" t="s">
        <v>44</v>
      </c>
      <c r="I1491" s="12" t="s">
        <v>27</v>
      </c>
      <c r="J1491" s="13" t="s">
        <v>2927</v>
      </c>
      <c r="K1491" s="14" t="s">
        <v>10138</v>
      </c>
      <c r="L1491" s="15">
        <v>1</v>
      </c>
      <c r="M1491" s="15" t="s">
        <v>144</v>
      </c>
      <c r="N1491" s="16">
        <v>39586</v>
      </c>
      <c r="O1491" s="12" t="s">
        <v>10139</v>
      </c>
      <c r="P1491" s="14" t="s">
        <v>10140</v>
      </c>
      <c r="Q1491" s="17" t="s">
        <v>137</v>
      </c>
      <c r="R1491" s="17" t="s">
        <v>146</v>
      </c>
    </row>
    <row r="1492" spans="1:18" x14ac:dyDescent="0.3">
      <c r="A1492" s="12" t="s">
        <v>10141</v>
      </c>
      <c r="B1492" s="12" t="s">
        <v>12</v>
      </c>
      <c r="C1492" s="12"/>
      <c r="D1492" s="12" t="s">
        <v>12</v>
      </c>
      <c r="E1492" s="12" t="s">
        <v>10142</v>
      </c>
      <c r="F1492" s="12"/>
      <c r="G1492" s="12" t="s">
        <v>10143</v>
      </c>
      <c r="H1492" s="12" t="s">
        <v>44</v>
      </c>
      <c r="I1492" s="12" t="s">
        <v>27</v>
      </c>
      <c r="J1492" s="13" t="s">
        <v>10144</v>
      </c>
      <c r="K1492" s="14" t="s">
        <v>10145</v>
      </c>
      <c r="L1492" s="15">
        <v>1</v>
      </c>
      <c r="M1492" s="15" t="s">
        <v>144</v>
      </c>
      <c r="N1492" s="16">
        <v>41248</v>
      </c>
      <c r="O1492" s="12" t="s">
        <v>10141</v>
      </c>
      <c r="P1492" s="14" t="s">
        <v>10146</v>
      </c>
      <c r="Q1492" s="17" t="s">
        <v>137</v>
      </c>
      <c r="R1492" s="17" t="s">
        <v>146</v>
      </c>
    </row>
    <row r="1493" spans="1:18" x14ac:dyDescent="0.3">
      <c r="A1493" s="12" t="s">
        <v>10147</v>
      </c>
      <c r="B1493" s="12" t="s">
        <v>12</v>
      </c>
      <c r="C1493" s="12"/>
      <c r="D1493" s="12" t="s">
        <v>12</v>
      </c>
      <c r="E1493" s="12" t="s">
        <v>10148</v>
      </c>
      <c r="F1493" s="12"/>
      <c r="G1493" s="12" t="s">
        <v>10149</v>
      </c>
      <c r="H1493" s="12" t="s">
        <v>44</v>
      </c>
      <c r="I1493" s="12" t="s">
        <v>27</v>
      </c>
      <c r="J1493" s="13" t="s">
        <v>10150</v>
      </c>
      <c r="K1493" s="14" t="s">
        <v>10151</v>
      </c>
      <c r="L1493" s="15">
        <v>0</v>
      </c>
      <c r="M1493" s="15" t="s">
        <v>144</v>
      </c>
      <c r="N1493" s="16">
        <v>44065</v>
      </c>
      <c r="O1493" s="12" t="s">
        <v>10147</v>
      </c>
      <c r="P1493" s="14" t="s">
        <v>10152</v>
      </c>
      <c r="Q1493" s="17" t="s">
        <v>137</v>
      </c>
      <c r="R1493" s="17" t="s">
        <v>146</v>
      </c>
    </row>
    <row r="1494" spans="1:18" x14ac:dyDescent="0.3">
      <c r="A1494" s="12" t="s">
        <v>10153</v>
      </c>
      <c r="B1494" s="12" t="s">
        <v>12</v>
      </c>
      <c r="C1494" s="12"/>
      <c r="D1494" s="12" t="s">
        <v>12</v>
      </c>
      <c r="E1494" s="12" t="s">
        <v>10154</v>
      </c>
      <c r="F1494" s="12"/>
      <c r="G1494" s="12" t="s">
        <v>10155</v>
      </c>
      <c r="H1494" s="12" t="s">
        <v>44</v>
      </c>
      <c r="I1494" s="12" t="s">
        <v>27</v>
      </c>
      <c r="J1494" s="13" t="s">
        <v>10156</v>
      </c>
      <c r="K1494" s="14" t="s">
        <v>10157</v>
      </c>
      <c r="L1494" s="15">
        <v>1</v>
      </c>
      <c r="M1494" s="15" t="s">
        <v>144</v>
      </c>
      <c r="N1494" s="16">
        <v>39359</v>
      </c>
      <c r="O1494" s="12" t="s">
        <v>10153</v>
      </c>
      <c r="P1494" s="14" t="s">
        <v>10158</v>
      </c>
      <c r="Q1494" s="17" t="s">
        <v>137</v>
      </c>
      <c r="R1494" s="17" t="s">
        <v>146</v>
      </c>
    </row>
    <row r="1495" spans="1:18" x14ac:dyDescent="0.3">
      <c r="A1495" s="12" t="s">
        <v>10159</v>
      </c>
      <c r="B1495" s="12" t="s">
        <v>12</v>
      </c>
      <c r="C1495" s="12"/>
      <c r="D1495" s="12" t="s">
        <v>12</v>
      </c>
      <c r="E1495" s="12" t="s">
        <v>10160</v>
      </c>
      <c r="F1495" s="12"/>
      <c r="G1495" s="12" t="s">
        <v>10155</v>
      </c>
      <c r="H1495" s="12" t="s">
        <v>44</v>
      </c>
      <c r="I1495" s="12" t="s">
        <v>27</v>
      </c>
      <c r="J1495" s="13" t="s">
        <v>10156</v>
      </c>
      <c r="K1495" s="14" t="s">
        <v>10161</v>
      </c>
      <c r="L1495" s="15">
        <v>1</v>
      </c>
      <c r="M1495" s="15" t="s">
        <v>144</v>
      </c>
      <c r="N1495" s="16">
        <v>42256</v>
      </c>
      <c r="O1495" s="12" t="s">
        <v>10159</v>
      </c>
      <c r="P1495" s="14" t="s">
        <v>10162</v>
      </c>
      <c r="Q1495" s="17" t="s">
        <v>137</v>
      </c>
      <c r="R1495" s="17" t="s">
        <v>146</v>
      </c>
    </row>
    <row r="1496" spans="1:18" x14ac:dyDescent="0.3">
      <c r="A1496" s="12" t="s">
        <v>10163</v>
      </c>
      <c r="B1496" s="12" t="s">
        <v>14</v>
      </c>
      <c r="C1496" s="12"/>
      <c r="D1496" s="12" t="s">
        <v>14</v>
      </c>
      <c r="E1496" s="12" t="s">
        <v>10164</v>
      </c>
      <c r="F1496" s="12"/>
      <c r="G1496" s="12" t="s">
        <v>10155</v>
      </c>
      <c r="H1496" s="12" t="s">
        <v>44</v>
      </c>
      <c r="I1496" s="12" t="s">
        <v>27</v>
      </c>
      <c r="J1496" s="13" t="s">
        <v>10156</v>
      </c>
      <c r="K1496" s="14" t="s">
        <v>10165</v>
      </c>
      <c r="L1496" s="15">
        <v>1</v>
      </c>
      <c r="M1496" s="15" t="s">
        <v>144</v>
      </c>
      <c r="N1496" s="16">
        <v>44450</v>
      </c>
      <c r="O1496" s="12" t="s">
        <v>10163</v>
      </c>
      <c r="P1496" s="14" t="s">
        <v>10166</v>
      </c>
      <c r="Q1496" s="17" t="s">
        <v>137</v>
      </c>
      <c r="R1496" s="17" t="s">
        <v>146</v>
      </c>
    </row>
    <row r="1497" spans="1:18" x14ac:dyDescent="0.3">
      <c r="A1497" s="12" t="s">
        <v>10167</v>
      </c>
      <c r="B1497" s="12" t="s">
        <v>12</v>
      </c>
      <c r="C1497" s="12"/>
      <c r="D1497" s="12" t="s">
        <v>12</v>
      </c>
      <c r="E1497" s="12" t="s">
        <v>10168</v>
      </c>
      <c r="F1497" s="12"/>
      <c r="G1497" s="12" t="s">
        <v>10155</v>
      </c>
      <c r="H1497" s="12" t="s">
        <v>44</v>
      </c>
      <c r="I1497" s="12" t="s">
        <v>27</v>
      </c>
      <c r="J1497" s="13" t="s">
        <v>10156</v>
      </c>
      <c r="K1497" s="14" t="s">
        <v>10157</v>
      </c>
      <c r="L1497" s="15">
        <v>1</v>
      </c>
      <c r="M1497" s="15" t="s">
        <v>144</v>
      </c>
      <c r="N1497" s="16">
        <v>44131</v>
      </c>
      <c r="O1497" s="12" t="s">
        <v>10169</v>
      </c>
      <c r="P1497" s="14" t="s">
        <v>10170</v>
      </c>
      <c r="Q1497" s="17" t="s">
        <v>137</v>
      </c>
      <c r="R1497" s="17" t="s">
        <v>146</v>
      </c>
    </row>
    <row r="1498" spans="1:18" x14ac:dyDescent="0.3">
      <c r="A1498" s="12" t="s">
        <v>10171</v>
      </c>
      <c r="B1498" s="12" t="s">
        <v>12</v>
      </c>
      <c r="C1498" s="12"/>
      <c r="D1498" s="12" t="s">
        <v>12</v>
      </c>
      <c r="E1498" s="12" t="s">
        <v>10172</v>
      </c>
      <c r="F1498" s="12" t="s">
        <v>516</v>
      </c>
      <c r="G1498" s="12" t="s">
        <v>2937</v>
      </c>
      <c r="H1498" s="12" t="s">
        <v>44</v>
      </c>
      <c r="I1498" s="12" t="s">
        <v>27</v>
      </c>
      <c r="J1498" s="13" t="s">
        <v>2938</v>
      </c>
      <c r="K1498" s="14" t="s">
        <v>10173</v>
      </c>
      <c r="L1498" s="15">
        <v>3</v>
      </c>
      <c r="M1498" s="15" t="s">
        <v>144</v>
      </c>
      <c r="N1498" s="16">
        <v>44099</v>
      </c>
      <c r="O1498" s="12" t="s">
        <v>10174</v>
      </c>
      <c r="P1498" s="14" t="s">
        <v>10175</v>
      </c>
      <c r="Q1498" s="17" t="s">
        <v>137</v>
      </c>
      <c r="R1498" s="17" t="s">
        <v>146</v>
      </c>
    </row>
    <row r="1499" spans="1:18" x14ac:dyDescent="0.3">
      <c r="A1499" s="12" t="s">
        <v>10176</v>
      </c>
      <c r="B1499" s="12" t="s">
        <v>12</v>
      </c>
      <c r="C1499" s="12"/>
      <c r="D1499" s="12" t="s">
        <v>12</v>
      </c>
      <c r="E1499" s="12" t="s">
        <v>10177</v>
      </c>
      <c r="F1499" s="12" t="s">
        <v>218</v>
      </c>
      <c r="G1499" s="12" t="s">
        <v>2937</v>
      </c>
      <c r="H1499" s="12" t="s">
        <v>44</v>
      </c>
      <c r="I1499" s="12" t="s">
        <v>27</v>
      </c>
      <c r="J1499" s="13" t="s">
        <v>2980</v>
      </c>
      <c r="K1499" s="14" t="s">
        <v>10178</v>
      </c>
      <c r="L1499" s="15">
        <v>1</v>
      </c>
      <c r="M1499" s="15" t="s">
        <v>144</v>
      </c>
      <c r="N1499" s="16">
        <v>43986</v>
      </c>
      <c r="O1499" s="12" t="s">
        <v>10176</v>
      </c>
      <c r="P1499" s="14" t="s">
        <v>10179</v>
      </c>
      <c r="Q1499" s="17" t="s">
        <v>137</v>
      </c>
      <c r="R1499" s="17" t="s">
        <v>146</v>
      </c>
    </row>
    <row r="1500" spans="1:18" x14ac:dyDescent="0.3">
      <c r="A1500" s="12" t="s">
        <v>10180</v>
      </c>
      <c r="B1500" s="12" t="s">
        <v>12</v>
      </c>
      <c r="C1500" s="12"/>
      <c r="D1500" s="12" t="s">
        <v>12</v>
      </c>
      <c r="E1500" s="12" t="s">
        <v>10181</v>
      </c>
      <c r="F1500" s="12" t="s">
        <v>10182</v>
      </c>
      <c r="G1500" s="12" t="s">
        <v>2937</v>
      </c>
      <c r="H1500" s="12" t="s">
        <v>44</v>
      </c>
      <c r="I1500" s="12" t="s">
        <v>27</v>
      </c>
      <c r="J1500" s="13" t="s">
        <v>2938</v>
      </c>
      <c r="K1500" s="14" t="s">
        <v>10183</v>
      </c>
      <c r="L1500" s="15">
        <v>1</v>
      </c>
      <c r="M1500" s="15" t="s">
        <v>144</v>
      </c>
      <c r="N1500" s="16">
        <v>44322</v>
      </c>
      <c r="O1500" s="12" t="s">
        <v>10180</v>
      </c>
      <c r="P1500" s="14" t="s">
        <v>10184</v>
      </c>
      <c r="Q1500" s="17" t="s">
        <v>137</v>
      </c>
      <c r="R1500" s="17" t="s">
        <v>146</v>
      </c>
    </row>
    <row r="1501" spans="1:18" x14ac:dyDescent="0.3">
      <c r="A1501" s="12" t="s">
        <v>10185</v>
      </c>
      <c r="B1501" s="12" t="s">
        <v>12</v>
      </c>
      <c r="C1501" s="12"/>
      <c r="D1501" s="12" t="s">
        <v>12</v>
      </c>
      <c r="E1501" s="12" t="s">
        <v>10186</v>
      </c>
      <c r="F1501" s="12" t="s">
        <v>10187</v>
      </c>
      <c r="G1501" s="12" t="s">
        <v>2937</v>
      </c>
      <c r="H1501" s="12" t="s">
        <v>44</v>
      </c>
      <c r="I1501" s="12" t="s">
        <v>27</v>
      </c>
      <c r="J1501" s="13" t="s">
        <v>2938</v>
      </c>
      <c r="K1501" s="14" t="s">
        <v>10188</v>
      </c>
      <c r="L1501" s="15">
        <v>6</v>
      </c>
      <c r="M1501" s="15" t="s">
        <v>144</v>
      </c>
      <c r="N1501" s="16">
        <v>44151</v>
      </c>
      <c r="O1501" s="12" t="s">
        <v>10185</v>
      </c>
      <c r="P1501" s="14" t="s">
        <v>10189</v>
      </c>
      <c r="Q1501" s="17" t="s">
        <v>137</v>
      </c>
      <c r="R1501" s="17" t="s">
        <v>146</v>
      </c>
    </row>
    <row r="1502" spans="1:18" x14ac:dyDescent="0.3">
      <c r="A1502" s="12" t="s">
        <v>10190</v>
      </c>
      <c r="B1502" s="12" t="s">
        <v>10</v>
      </c>
      <c r="C1502" s="12" t="s">
        <v>14</v>
      </c>
      <c r="D1502" s="12" t="s">
        <v>1374</v>
      </c>
      <c r="E1502" s="12" t="s">
        <v>10191</v>
      </c>
      <c r="F1502" s="12"/>
      <c r="G1502" s="12" t="s">
        <v>2937</v>
      </c>
      <c r="H1502" s="12" t="s">
        <v>44</v>
      </c>
      <c r="I1502" s="12" t="s">
        <v>27</v>
      </c>
      <c r="J1502" s="13" t="s">
        <v>2938</v>
      </c>
      <c r="K1502" s="14" t="s">
        <v>10192</v>
      </c>
      <c r="L1502" s="15">
        <v>5</v>
      </c>
      <c r="M1502" s="15" t="s">
        <v>144</v>
      </c>
      <c r="N1502" s="16">
        <v>42199</v>
      </c>
      <c r="O1502" s="12" t="s">
        <v>10190</v>
      </c>
      <c r="P1502" s="14" t="s">
        <v>10193</v>
      </c>
      <c r="Q1502" s="17" t="s">
        <v>137</v>
      </c>
      <c r="R1502" s="17" t="s">
        <v>146</v>
      </c>
    </row>
    <row r="1503" spans="1:18" x14ac:dyDescent="0.3">
      <c r="A1503" s="12" t="s">
        <v>10194</v>
      </c>
      <c r="B1503" s="12" t="s">
        <v>14</v>
      </c>
      <c r="C1503" s="12"/>
      <c r="D1503" s="12" t="s">
        <v>14</v>
      </c>
      <c r="E1503" s="12" t="s">
        <v>10195</v>
      </c>
      <c r="F1503" s="12" t="s">
        <v>1191</v>
      </c>
      <c r="G1503" s="12" t="s">
        <v>2937</v>
      </c>
      <c r="H1503" s="12" t="s">
        <v>44</v>
      </c>
      <c r="I1503" s="12" t="s">
        <v>27</v>
      </c>
      <c r="J1503" s="13" t="s">
        <v>2938</v>
      </c>
      <c r="K1503" s="14" t="s">
        <v>10196</v>
      </c>
      <c r="L1503" s="15">
        <v>0</v>
      </c>
      <c r="M1503" s="15" t="s">
        <v>144</v>
      </c>
      <c r="N1503" s="16">
        <v>40267</v>
      </c>
      <c r="O1503" s="12" t="s">
        <v>10194</v>
      </c>
      <c r="P1503" s="14" t="s">
        <v>10197</v>
      </c>
      <c r="Q1503" s="17" t="s">
        <v>137</v>
      </c>
      <c r="R1503" s="17" t="s">
        <v>146</v>
      </c>
    </row>
    <row r="1504" spans="1:18" x14ac:dyDescent="0.3">
      <c r="A1504" s="12" t="s">
        <v>10194</v>
      </c>
      <c r="B1504" s="12" t="s">
        <v>14</v>
      </c>
      <c r="C1504" s="12"/>
      <c r="D1504" s="12" t="s">
        <v>14</v>
      </c>
      <c r="E1504" s="12" t="s">
        <v>10198</v>
      </c>
      <c r="F1504" s="12" t="s">
        <v>467</v>
      </c>
      <c r="G1504" s="12" t="s">
        <v>2937</v>
      </c>
      <c r="H1504" s="12" t="s">
        <v>44</v>
      </c>
      <c r="I1504" s="12" t="s">
        <v>27</v>
      </c>
      <c r="J1504" s="13" t="s">
        <v>2938</v>
      </c>
      <c r="K1504" s="14" t="s">
        <v>10199</v>
      </c>
      <c r="L1504" s="15">
        <v>1</v>
      </c>
      <c r="M1504" s="15" t="s">
        <v>144</v>
      </c>
      <c r="N1504" s="16">
        <v>40267</v>
      </c>
      <c r="O1504" s="12" t="s">
        <v>10194</v>
      </c>
      <c r="P1504" s="14" t="s">
        <v>10200</v>
      </c>
      <c r="Q1504" s="17" t="s">
        <v>137</v>
      </c>
      <c r="R1504" s="17" t="s">
        <v>146</v>
      </c>
    </row>
    <row r="1505" spans="1:18" x14ac:dyDescent="0.3">
      <c r="A1505" s="12" t="s">
        <v>8158</v>
      </c>
      <c r="B1505" s="12" t="s">
        <v>10</v>
      </c>
      <c r="C1505" s="12"/>
      <c r="D1505" s="12" t="s">
        <v>252</v>
      </c>
      <c r="E1505" s="12" t="s">
        <v>10201</v>
      </c>
      <c r="F1505" s="12"/>
      <c r="G1505" s="12" t="s">
        <v>2937</v>
      </c>
      <c r="H1505" s="12" t="s">
        <v>44</v>
      </c>
      <c r="I1505" s="12" t="s">
        <v>27</v>
      </c>
      <c r="J1505" s="13" t="s">
        <v>2938</v>
      </c>
      <c r="K1505" s="14" t="s">
        <v>10202</v>
      </c>
      <c r="L1505" s="15">
        <v>0</v>
      </c>
      <c r="M1505" s="15" t="s">
        <v>144</v>
      </c>
      <c r="N1505" s="16">
        <v>44065</v>
      </c>
      <c r="O1505" s="12" t="s">
        <v>10203</v>
      </c>
      <c r="P1505" s="14" t="s">
        <v>10204</v>
      </c>
      <c r="Q1505" s="17" t="s">
        <v>137</v>
      </c>
      <c r="R1505" s="17" t="s">
        <v>146</v>
      </c>
    </row>
    <row r="1506" spans="1:18" x14ac:dyDescent="0.3">
      <c r="A1506" s="12" t="s">
        <v>1128</v>
      </c>
      <c r="B1506" s="12" t="s">
        <v>16</v>
      </c>
      <c r="C1506" s="12"/>
      <c r="D1506" s="12" t="s">
        <v>471</v>
      </c>
      <c r="E1506" s="12" t="s">
        <v>10205</v>
      </c>
      <c r="F1506" s="12" t="s">
        <v>188</v>
      </c>
      <c r="G1506" s="12" t="s">
        <v>2937</v>
      </c>
      <c r="H1506" s="12" t="s">
        <v>44</v>
      </c>
      <c r="I1506" s="12" t="s">
        <v>27</v>
      </c>
      <c r="J1506" s="13" t="s">
        <v>2938</v>
      </c>
      <c r="K1506" s="14" t="s">
        <v>10206</v>
      </c>
      <c r="L1506" s="15">
        <v>8</v>
      </c>
      <c r="M1506" s="15" t="s">
        <v>144</v>
      </c>
      <c r="N1506" s="16">
        <v>44419</v>
      </c>
      <c r="O1506" s="12" t="s">
        <v>1130</v>
      </c>
      <c r="P1506" s="14" t="s">
        <v>10207</v>
      </c>
      <c r="Q1506" s="17" t="s">
        <v>137</v>
      </c>
      <c r="R1506" s="17" t="s">
        <v>146</v>
      </c>
    </row>
    <row r="1507" spans="1:18" x14ac:dyDescent="0.3">
      <c r="A1507" s="12" t="s">
        <v>10208</v>
      </c>
      <c r="B1507" s="12" t="s">
        <v>16</v>
      </c>
      <c r="C1507" s="12"/>
      <c r="D1507" s="12" t="s">
        <v>471</v>
      </c>
      <c r="E1507" s="12" t="s">
        <v>10209</v>
      </c>
      <c r="F1507" s="12"/>
      <c r="G1507" s="12" t="s">
        <v>2937</v>
      </c>
      <c r="H1507" s="12" t="s">
        <v>44</v>
      </c>
      <c r="I1507" s="12" t="s">
        <v>27</v>
      </c>
      <c r="J1507" s="13" t="s">
        <v>2938</v>
      </c>
      <c r="K1507" s="14" t="s">
        <v>10210</v>
      </c>
      <c r="L1507" s="15">
        <v>25</v>
      </c>
      <c r="M1507" s="15" t="s">
        <v>144</v>
      </c>
      <c r="N1507" s="16">
        <v>41897</v>
      </c>
      <c r="O1507" s="12" t="s">
        <v>10208</v>
      </c>
      <c r="P1507" s="14" t="s">
        <v>10211</v>
      </c>
      <c r="Q1507" s="17" t="s">
        <v>137</v>
      </c>
      <c r="R1507" s="17" t="s">
        <v>146</v>
      </c>
    </row>
    <row r="1508" spans="1:18" x14ac:dyDescent="0.3">
      <c r="A1508" s="12" t="s">
        <v>10212</v>
      </c>
      <c r="B1508" s="12" t="s">
        <v>12</v>
      </c>
      <c r="C1508" s="12"/>
      <c r="D1508" s="12" t="s">
        <v>12</v>
      </c>
      <c r="E1508" s="12" t="s">
        <v>10213</v>
      </c>
      <c r="F1508" s="12" t="s">
        <v>345</v>
      </c>
      <c r="G1508" s="12" t="s">
        <v>2937</v>
      </c>
      <c r="H1508" s="12" t="s">
        <v>44</v>
      </c>
      <c r="I1508" s="12" t="s">
        <v>27</v>
      </c>
      <c r="J1508" s="13" t="s">
        <v>2938</v>
      </c>
      <c r="K1508" s="14" t="s">
        <v>10214</v>
      </c>
      <c r="L1508" s="15">
        <v>1</v>
      </c>
      <c r="M1508" s="15" t="s">
        <v>144</v>
      </c>
      <c r="N1508" s="16">
        <v>40030</v>
      </c>
      <c r="O1508" s="12" t="s">
        <v>10212</v>
      </c>
      <c r="P1508" s="14" t="s">
        <v>10215</v>
      </c>
      <c r="Q1508" s="17" t="s">
        <v>137</v>
      </c>
      <c r="R1508" s="17" t="s">
        <v>146</v>
      </c>
    </row>
    <row r="1509" spans="1:18" x14ac:dyDescent="0.3">
      <c r="A1509" s="12" t="s">
        <v>10216</v>
      </c>
      <c r="B1509" s="12" t="s">
        <v>10</v>
      </c>
      <c r="C1509" s="12"/>
      <c r="D1509" s="12" t="s">
        <v>647</v>
      </c>
      <c r="E1509" s="12" t="s">
        <v>10217</v>
      </c>
      <c r="F1509" s="12"/>
      <c r="G1509" s="12" t="s">
        <v>2937</v>
      </c>
      <c r="H1509" s="12" t="s">
        <v>44</v>
      </c>
      <c r="I1509" s="12" t="s">
        <v>27</v>
      </c>
      <c r="J1509" s="13" t="s">
        <v>2938</v>
      </c>
      <c r="K1509" s="14" t="s">
        <v>10218</v>
      </c>
      <c r="L1509" s="15">
        <v>16</v>
      </c>
      <c r="M1509" s="15" t="s">
        <v>220</v>
      </c>
      <c r="N1509" s="16">
        <v>44049</v>
      </c>
      <c r="O1509" s="12" t="s">
        <v>10216</v>
      </c>
      <c r="P1509" s="14" t="s">
        <v>10219</v>
      </c>
      <c r="Q1509" s="17" t="s">
        <v>137</v>
      </c>
      <c r="R1509" s="17" t="s">
        <v>146</v>
      </c>
    </row>
    <row r="1510" spans="1:18" x14ac:dyDescent="0.3">
      <c r="A1510" s="12" t="s">
        <v>10220</v>
      </c>
      <c r="B1510" s="12" t="s">
        <v>12</v>
      </c>
      <c r="C1510" s="12"/>
      <c r="D1510" s="12" t="s">
        <v>12</v>
      </c>
      <c r="E1510" s="12" t="s">
        <v>10221</v>
      </c>
      <c r="F1510" s="12" t="s">
        <v>164</v>
      </c>
      <c r="G1510" s="12" t="s">
        <v>2937</v>
      </c>
      <c r="H1510" s="12" t="s">
        <v>44</v>
      </c>
      <c r="I1510" s="12" t="s">
        <v>27</v>
      </c>
      <c r="J1510" s="13" t="s">
        <v>2938</v>
      </c>
      <c r="K1510" s="14" t="s">
        <v>10222</v>
      </c>
      <c r="L1510" s="15">
        <v>1</v>
      </c>
      <c r="M1510" s="15" t="s">
        <v>144</v>
      </c>
      <c r="N1510" s="16">
        <v>44065</v>
      </c>
      <c r="O1510" s="12" t="s">
        <v>10223</v>
      </c>
      <c r="P1510" s="14" t="s">
        <v>10224</v>
      </c>
      <c r="Q1510" s="17" t="s">
        <v>137</v>
      </c>
      <c r="R1510" s="17" t="s">
        <v>146</v>
      </c>
    </row>
    <row r="1511" spans="1:18" x14ac:dyDescent="0.3">
      <c r="A1511" s="12" t="s">
        <v>10225</v>
      </c>
      <c r="B1511" s="12" t="s">
        <v>12</v>
      </c>
      <c r="C1511" s="12"/>
      <c r="D1511" s="12" t="s">
        <v>12</v>
      </c>
      <c r="E1511" s="12" t="s">
        <v>10226</v>
      </c>
      <c r="F1511" s="12"/>
      <c r="G1511" s="12" t="s">
        <v>2937</v>
      </c>
      <c r="H1511" s="12" t="s">
        <v>44</v>
      </c>
      <c r="I1511" s="12" t="s">
        <v>27</v>
      </c>
      <c r="J1511" s="13" t="s">
        <v>2938</v>
      </c>
      <c r="K1511" s="14" t="s">
        <v>10227</v>
      </c>
      <c r="L1511" s="15">
        <v>1</v>
      </c>
      <c r="M1511" s="15" t="s">
        <v>144</v>
      </c>
      <c r="N1511" s="16">
        <v>39720</v>
      </c>
      <c r="O1511" s="12" t="s">
        <v>10228</v>
      </c>
      <c r="P1511" s="14" t="s">
        <v>10229</v>
      </c>
      <c r="Q1511" s="17" t="s">
        <v>137</v>
      </c>
      <c r="R1511" s="17" t="s">
        <v>146</v>
      </c>
    </row>
    <row r="1512" spans="1:18" x14ac:dyDescent="0.3">
      <c r="A1512" s="12" t="s">
        <v>10230</v>
      </c>
      <c r="B1512" s="12" t="s">
        <v>14</v>
      </c>
      <c r="C1512" s="12"/>
      <c r="D1512" s="12" t="s">
        <v>14</v>
      </c>
      <c r="E1512" s="12" t="s">
        <v>10231</v>
      </c>
      <c r="F1512" s="12"/>
      <c r="G1512" s="12" t="s">
        <v>2937</v>
      </c>
      <c r="H1512" s="12" t="s">
        <v>44</v>
      </c>
      <c r="I1512" s="12" t="s">
        <v>27</v>
      </c>
      <c r="J1512" s="13" t="s">
        <v>2938</v>
      </c>
      <c r="K1512" s="14" t="s">
        <v>2962</v>
      </c>
      <c r="L1512" s="15">
        <v>1</v>
      </c>
      <c r="M1512" s="15" t="s">
        <v>144</v>
      </c>
      <c r="N1512" s="16">
        <v>43489</v>
      </c>
      <c r="O1512" s="12" t="s">
        <v>2963</v>
      </c>
      <c r="P1512" s="14" t="s">
        <v>10232</v>
      </c>
      <c r="Q1512" s="17" t="s">
        <v>137</v>
      </c>
      <c r="R1512" s="17" t="s">
        <v>146</v>
      </c>
    </row>
    <row r="1513" spans="1:18" x14ac:dyDescent="0.3">
      <c r="A1513" s="12" t="s">
        <v>10233</v>
      </c>
      <c r="B1513" s="12" t="s">
        <v>12</v>
      </c>
      <c r="C1513" s="12"/>
      <c r="D1513" s="12" t="s">
        <v>12</v>
      </c>
      <c r="E1513" s="12" t="s">
        <v>10234</v>
      </c>
      <c r="F1513" s="12"/>
      <c r="G1513" s="12" t="s">
        <v>2967</v>
      </c>
      <c r="H1513" s="12" t="s">
        <v>44</v>
      </c>
      <c r="I1513" s="12" t="s">
        <v>27</v>
      </c>
      <c r="J1513" s="13" t="s">
        <v>2968</v>
      </c>
      <c r="K1513" s="14" t="s">
        <v>10235</v>
      </c>
      <c r="L1513" s="15">
        <v>2</v>
      </c>
      <c r="M1513" s="15" t="s">
        <v>144</v>
      </c>
      <c r="N1513" s="16">
        <v>39503</v>
      </c>
      <c r="O1513" s="12" t="s">
        <v>10233</v>
      </c>
      <c r="P1513" s="14" t="s">
        <v>10236</v>
      </c>
      <c r="Q1513" s="17" t="s">
        <v>137</v>
      </c>
      <c r="R1513" s="17" t="s">
        <v>146</v>
      </c>
    </row>
    <row r="1514" spans="1:18" x14ac:dyDescent="0.3">
      <c r="A1514" s="12" t="s">
        <v>10237</v>
      </c>
      <c r="B1514" s="12" t="s">
        <v>12</v>
      </c>
      <c r="C1514" s="12"/>
      <c r="D1514" s="12" t="s">
        <v>12</v>
      </c>
      <c r="E1514" s="12" t="s">
        <v>10238</v>
      </c>
      <c r="F1514" s="12"/>
      <c r="G1514" s="12" t="s">
        <v>2967</v>
      </c>
      <c r="H1514" s="12" t="s">
        <v>44</v>
      </c>
      <c r="I1514" s="12" t="s">
        <v>27</v>
      </c>
      <c r="J1514" s="13" t="s">
        <v>2968</v>
      </c>
      <c r="K1514" s="14" t="s">
        <v>10239</v>
      </c>
      <c r="L1514" s="15">
        <v>4</v>
      </c>
      <c r="M1514" s="15" t="s">
        <v>144</v>
      </c>
      <c r="N1514" s="16">
        <v>42200</v>
      </c>
      <c r="O1514" s="12" t="s">
        <v>10240</v>
      </c>
      <c r="P1514" s="14" t="s">
        <v>10241</v>
      </c>
      <c r="Q1514" s="17" t="s">
        <v>137</v>
      </c>
      <c r="R1514" s="17" t="s">
        <v>146</v>
      </c>
    </row>
    <row r="1515" spans="1:18" x14ac:dyDescent="0.3">
      <c r="A1515" s="12" t="s">
        <v>10242</v>
      </c>
      <c r="B1515" s="12" t="s">
        <v>14</v>
      </c>
      <c r="C1515" s="12"/>
      <c r="D1515" s="12" t="s">
        <v>14</v>
      </c>
      <c r="E1515" s="12" t="s">
        <v>10243</v>
      </c>
      <c r="F1515" s="12" t="s">
        <v>516</v>
      </c>
      <c r="G1515" s="12" t="s">
        <v>2967</v>
      </c>
      <c r="H1515" s="12" t="s">
        <v>44</v>
      </c>
      <c r="I1515" s="12" t="s">
        <v>27</v>
      </c>
      <c r="J1515" s="13" t="s">
        <v>2968</v>
      </c>
      <c r="K1515" s="14" t="s">
        <v>10244</v>
      </c>
      <c r="L1515" s="15">
        <v>2</v>
      </c>
      <c r="M1515" s="15" t="s">
        <v>144</v>
      </c>
      <c r="N1515" s="16">
        <v>44483</v>
      </c>
      <c r="O1515" s="12" t="s">
        <v>10242</v>
      </c>
      <c r="P1515" s="14" t="s">
        <v>10245</v>
      </c>
      <c r="Q1515" s="17" t="s">
        <v>137</v>
      </c>
      <c r="R1515" s="17" t="s">
        <v>146</v>
      </c>
    </row>
    <row r="1516" spans="1:18" x14ac:dyDescent="0.3">
      <c r="A1516" s="12" t="s">
        <v>10246</v>
      </c>
      <c r="B1516" s="12" t="s">
        <v>12</v>
      </c>
      <c r="C1516" s="12"/>
      <c r="D1516" s="12" t="s">
        <v>12</v>
      </c>
      <c r="E1516" s="12" t="s">
        <v>10247</v>
      </c>
      <c r="F1516" s="12"/>
      <c r="G1516" s="12" t="s">
        <v>2967</v>
      </c>
      <c r="H1516" s="12" t="s">
        <v>44</v>
      </c>
      <c r="I1516" s="12" t="s">
        <v>27</v>
      </c>
      <c r="J1516" s="13" t="s">
        <v>2968</v>
      </c>
      <c r="K1516" s="14" t="s">
        <v>10248</v>
      </c>
      <c r="L1516" s="15">
        <v>2</v>
      </c>
      <c r="M1516" s="15" t="s">
        <v>144</v>
      </c>
      <c r="N1516" s="16">
        <v>43363</v>
      </c>
      <c r="O1516" s="12" t="s">
        <v>10249</v>
      </c>
      <c r="P1516" s="14" t="s">
        <v>10250</v>
      </c>
      <c r="Q1516" s="17" t="s">
        <v>137</v>
      </c>
      <c r="R1516" s="17" t="s">
        <v>146</v>
      </c>
    </row>
    <row r="1517" spans="1:18" x14ac:dyDescent="0.3">
      <c r="A1517" s="12" t="s">
        <v>10251</v>
      </c>
      <c r="B1517" s="12" t="s">
        <v>10</v>
      </c>
      <c r="C1517" s="12"/>
      <c r="D1517" s="12" t="s">
        <v>157</v>
      </c>
      <c r="E1517" s="12" t="s">
        <v>10252</v>
      </c>
      <c r="F1517" s="12"/>
      <c r="G1517" s="12" t="s">
        <v>10253</v>
      </c>
      <c r="H1517" s="12" t="s">
        <v>44</v>
      </c>
      <c r="I1517" s="12" t="s">
        <v>27</v>
      </c>
      <c r="J1517" s="13" t="s">
        <v>2974</v>
      </c>
      <c r="K1517" s="14" t="s">
        <v>10254</v>
      </c>
      <c r="L1517" s="15">
        <v>0</v>
      </c>
      <c r="M1517" s="15" t="s">
        <v>144</v>
      </c>
      <c r="N1517" s="16">
        <v>44349</v>
      </c>
      <c r="O1517" s="12" t="s">
        <v>10251</v>
      </c>
      <c r="P1517" s="14" t="s">
        <v>10255</v>
      </c>
      <c r="Q1517" s="17" t="s">
        <v>137</v>
      </c>
      <c r="R1517" s="17" t="s">
        <v>146</v>
      </c>
    </row>
    <row r="1518" spans="1:18" x14ac:dyDescent="0.3">
      <c r="A1518" s="12" t="s">
        <v>10256</v>
      </c>
      <c r="B1518" s="12" t="s">
        <v>12</v>
      </c>
      <c r="C1518" s="12"/>
      <c r="D1518" s="12" t="s">
        <v>12</v>
      </c>
      <c r="E1518" s="12" t="s">
        <v>10257</v>
      </c>
      <c r="F1518" s="12" t="s">
        <v>3250</v>
      </c>
      <c r="G1518" s="12" t="s">
        <v>2973</v>
      </c>
      <c r="H1518" s="12" t="s">
        <v>44</v>
      </c>
      <c r="I1518" s="12" t="s">
        <v>27</v>
      </c>
      <c r="J1518" s="13" t="s">
        <v>2980</v>
      </c>
      <c r="K1518" s="14" t="s">
        <v>10258</v>
      </c>
      <c r="L1518" s="15">
        <v>1</v>
      </c>
      <c r="M1518" s="15" t="s">
        <v>144</v>
      </c>
      <c r="N1518" s="16">
        <v>41710</v>
      </c>
      <c r="O1518" s="12" t="s">
        <v>10256</v>
      </c>
      <c r="P1518" s="14" t="s">
        <v>10259</v>
      </c>
      <c r="Q1518" s="17" t="s">
        <v>137</v>
      </c>
      <c r="R1518" s="17" t="s">
        <v>146</v>
      </c>
    </row>
    <row r="1519" spans="1:18" x14ac:dyDescent="0.3">
      <c r="A1519" s="12" t="s">
        <v>10260</v>
      </c>
      <c r="B1519" s="12" t="s">
        <v>16</v>
      </c>
      <c r="C1519" s="12"/>
      <c r="D1519" s="12" t="s">
        <v>471</v>
      </c>
      <c r="E1519" s="12" t="s">
        <v>10261</v>
      </c>
      <c r="F1519" s="12"/>
      <c r="G1519" s="12" t="s">
        <v>2973</v>
      </c>
      <c r="H1519" s="12" t="s">
        <v>44</v>
      </c>
      <c r="I1519" s="12" t="s">
        <v>27</v>
      </c>
      <c r="J1519" s="13" t="s">
        <v>2974</v>
      </c>
      <c r="K1519" s="14" t="s">
        <v>10210</v>
      </c>
      <c r="L1519" s="15">
        <v>0</v>
      </c>
      <c r="M1519" s="15" t="s">
        <v>144</v>
      </c>
      <c r="N1519" s="16">
        <v>44091</v>
      </c>
      <c r="O1519" s="12" t="s">
        <v>10262</v>
      </c>
      <c r="P1519" s="14" t="s">
        <v>10263</v>
      </c>
      <c r="Q1519" s="17" t="s">
        <v>137</v>
      </c>
      <c r="R1519" s="17" t="s">
        <v>146</v>
      </c>
    </row>
    <row r="1520" spans="1:18" x14ac:dyDescent="0.3">
      <c r="A1520" s="12" t="s">
        <v>10264</v>
      </c>
      <c r="B1520" s="12" t="s">
        <v>12</v>
      </c>
      <c r="C1520" s="12"/>
      <c r="D1520" s="12" t="s">
        <v>12</v>
      </c>
      <c r="E1520" s="12" t="s">
        <v>10265</v>
      </c>
      <c r="F1520" s="12"/>
      <c r="G1520" s="12" t="s">
        <v>2973</v>
      </c>
      <c r="H1520" s="12" t="s">
        <v>44</v>
      </c>
      <c r="I1520" s="12" t="s">
        <v>27</v>
      </c>
      <c r="J1520" s="13" t="s">
        <v>2980</v>
      </c>
      <c r="K1520" s="14" t="s">
        <v>10266</v>
      </c>
      <c r="L1520" s="15">
        <v>1</v>
      </c>
      <c r="M1520" s="15" t="s">
        <v>144</v>
      </c>
      <c r="N1520" s="16">
        <v>42249</v>
      </c>
      <c r="O1520" s="12" t="s">
        <v>10264</v>
      </c>
      <c r="P1520" s="14" t="s">
        <v>10267</v>
      </c>
      <c r="Q1520" s="17" t="s">
        <v>137</v>
      </c>
      <c r="R1520" s="17" t="s">
        <v>146</v>
      </c>
    </row>
    <row r="1521" spans="1:18" x14ac:dyDescent="0.3">
      <c r="A1521" s="12" t="s">
        <v>10268</v>
      </c>
      <c r="B1521" s="12" t="s">
        <v>12</v>
      </c>
      <c r="C1521" s="12"/>
      <c r="D1521" s="12" t="s">
        <v>12</v>
      </c>
      <c r="E1521" s="12" t="s">
        <v>10269</v>
      </c>
      <c r="F1521" s="12"/>
      <c r="G1521" s="12" t="s">
        <v>2973</v>
      </c>
      <c r="H1521" s="12" t="s">
        <v>44</v>
      </c>
      <c r="I1521" s="12" t="s">
        <v>27</v>
      </c>
      <c r="J1521" s="13" t="s">
        <v>2980</v>
      </c>
      <c r="K1521" s="14" t="s">
        <v>10270</v>
      </c>
      <c r="L1521" s="15">
        <v>4</v>
      </c>
      <c r="M1521" s="15" t="s">
        <v>144</v>
      </c>
      <c r="N1521" s="16">
        <v>41815</v>
      </c>
      <c r="O1521" s="12" t="s">
        <v>10268</v>
      </c>
      <c r="P1521" s="14" t="s">
        <v>10271</v>
      </c>
      <c r="Q1521" s="17" t="s">
        <v>137</v>
      </c>
      <c r="R1521" s="17" t="s">
        <v>146</v>
      </c>
    </row>
    <row r="1522" spans="1:18" x14ac:dyDescent="0.3">
      <c r="A1522" s="12" t="s">
        <v>10272</v>
      </c>
      <c r="B1522" s="12" t="s">
        <v>12</v>
      </c>
      <c r="C1522" s="12"/>
      <c r="D1522" s="12" t="s">
        <v>12</v>
      </c>
      <c r="E1522" s="12" t="s">
        <v>10269</v>
      </c>
      <c r="F1522" s="12"/>
      <c r="G1522" s="12" t="s">
        <v>2973</v>
      </c>
      <c r="H1522" s="12" t="s">
        <v>44</v>
      </c>
      <c r="I1522" s="12" t="s">
        <v>27</v>
      </c>
      <c r="J1522" s="13" t="s">
        <v>2980</v>
      </c>
      <c r="K1522" s="14" t="s">
        <v>10270</v>
      </c>
      <c r="L1522" s="15">
        <v>4</v>
      </c>
      <c r="M1522" s="15" t="s">
        <v>144</v>
      </c>
      <c r="N1522" s="16">
        <v>44065</v>
      </c>
      <c r="O1522" s="12" t="s">
        <v>10272</v>
      </c>
      <c r="P1522" s="14" t="s">
        <v>10273</v>
      </c>
      <c r="Q1522" s="17" t="s">
        <v>137</v>
      </c>
      <c r="R1522" s="17" t="s">
        <v>146</v>
      </c>
    </row>
    <row r="1523" spans="1:18" x14ac:dyDescent="0.3">
      <c r="A1523" s="12" t="s">
        <v>10274</v>
      </c>
      <c r="B1523" s="12" t="s">
        <v>12</v>
      </c>
      <c r="C1523" s="12"/>
      <c r="D1523" s="12" t="s">
        <v>12</v>
      </c>
      <c r="E1523" s="12" t="s">
        <v>10275</v>
      </c>
      <c r="F1523" s="12" t="s">
        <v>10276</v>
      </c>
      <c r="G1523" s="12" t="s">
        <v>2973</v>
      </c>
      <c r="H1523" s="12" t="s">
        <v>44</v>
      </c>
      <c r="I1523" s="12" t="s">
        <v>27</v>
      </c>
      <c r="J1523" s="13" t="s">
        <v>2980</v>
      </c>
      <c r="K1523" s="14" t="s">
        <v>10277</v>
      </c>
      <c r="L1523" s="15">
        <v>1</v>
      </c>
      <c r="M1523" s="15" t="s">
        <v>144</v>
      </c>
      <c r="N1523" s="16">
        <v>40147</v>
      </c>
      <c r="O1523" s="12" t="s">
        <v>10274</v>
      </c>
      <c r="P1523" s="14" t="s">
        <v>10278</v>
      </c>
      <c r="Q1523" s="17" t="s">
        <v>137</v>
      </c>
      <c r="R1523" s="17" t="s">
        <v>146</v>
      </c>
    </row>
    <row r="1524" spans="1:18" x14ac:dyDescent="0.3">
      <c r="A1524" s="12" t="s">
        <v>10279</v>
      </c>
      <c r="B1524" s="12" t="s">
        <v>10</v>
      </c>
      <c r="C1524" s="12"/>
      <c r="D1524" s="12" t="s">
        <v>230</v>
      </c>
      <c r="E1524" s="12" t="s">
        <v>10280</v>
      </c>
      <c r="F1524" s="12"/>
      <c r="G1524" s="12" t="s">
        <v>2973</v>
      </c>
      <c r="H1524" s="12" t="s">
        <v>44</v>
      </c>
      <c r="I1524" s="12" t="s">
        <v>27</v>
      </c>
      <c r="J1524" s="13" t="s">
        <v>2980</v>
      </c>
      <c r="K1524" s="14" t="s">
        <v>10281</v>
      </c>
      <c r="L1524" s="15">
        <v>4</v>
      </c>
      <c r="M1524" s="15" t="s">
        <v>220</v>
      </c>
      <c r="N1524" s="16">
        <v>42110</v>
      </c>
      <c r="O1524" s="12" t="s">
        <v>10279</v>
      </c>
      <c r="P1524" s="14" t="s">
        <v>10282</v>
      </c>
      <c r="Q1524" s="17" t="s">
        <v>137</v>
      </c>
      <c r="R1524" s="17" t="s">
        <v>146</v>
      </c>
    </row>
    <row r="1525" spans="1:18" x14ac:dyDescent="0.3">
      <c r="A1525" s="12" t="s">
        <v>10283</v>
      </c>
      <c r="B1525" s="12" t="s">
        <v>12</v>
      </c>
      <c r="C1525" s="12"/>
      <c r="D1525" s="12" t="s">
        <v>12</v>
      </c>
      <c r="E1525" s="12" t="s">
        <v>10284</v>
      </c>
      <c r="F1525" s="12" t="s">
        <v>467</v>
      </c>
      <c r="G1525" s="12" t="s">
        <v>2973</v>
      </c>
      <c r="H1525" s="12" t="s">
        <v>44</v>
      </c>
      <c r="I1525" s="12" t="s">
        <v>27</v>
      </c>
      <c r="J1525" s="13" t="s">
        <v>2974</v>
      </c>
      <c r="K1525" s="14" t="s">
        <v>10285</v>
      </c>
      <c r="L1525" s="15">
        <v>1</v>
      </c>
      <c r="M1525" s="15" t="s">
        <v>144</v>
      </c>
      <c r="N1525" s="16">
        <v>44065</v>
      </c>
      <c r="O1525" s="12" t="s">
        <v>10286</v>
      </c>
      <c r="P1525" s="14" t="s">
        <v>10287</v>
      </c>
      <c r="Q1525" s="17" t="s">
        <v>137</v>
      </c>
      <c r="R1525" s="17" t="s">
        <v>146</v>
      </c>
    </row>
    <row r="1526" spans="1:18" x14ac:dyDescent="0.3">
      <c r="A1526" s="12" t="s">
        <v>10171</v>
      </c>
      <c r="B1526" s="12" t="s">
        <v>12</v>
      </c>
      <c r="C1526" s="12"/>
      <c r="D1526" s="12" t="s">
        <v>12</v>
      </c>
      <c r="E1526" s="12" t="s">
        <v>10288</v>
      </c>
      <c r="F1526" s="12" t="s">
        <v>516</v>
      </c>
      <c r="G1526" s="12" t="s">
        <v>2973</v>
      </c>
      <c r="H1526" s="12" t="s">
        <v>44</v>
      </c>
      <c r="I1526" s="12" t="s">
        <v>27</v>
      </c>
      <c r="J1526" s="13" t="s">
        <v>2974</v>
      </c>
      <c r="K1526" s="14" t="s">
        <v>10289</v>
      </c>
      <c r="L1526" s="15">
        <v>0</v>
      </c>
      <c r="M1526" s="15" t="s">
        <v>144</v>
      </c>
      <c r="N1526" s="16">
        <v>44099</v>
      </c>
      <c r="O1526" s="12" t="s">
        <v>10174</v>
      </c>
      <c r="P1526" s="14" t="s">
        <v>10175</v>
      </c>
      <c r="Q1526" s="17" t="s">
        <v>137</v>
      </c>
      <c r="R1526" s="17" t="s">
        <v>146</v>
      </c>
    </row>
    <row r="1527" spans="1:18" x14ac:dyDescent="0.3">
      <c r="A1527" s="12" t="s">
        <v>10290</v>
      </c>
      <c r="B1527" s="12" t="s">
        <v>12</v>
      </c>
      <c r="C1527" s="12"/>
      <c r="D1527" s="12" t="s">
        <v>12</v>
      </c>
      <c r="E1527" s="12" t="s">
        <v>10291</v>
      </c>
      <c r="F1527" s="12" t="s">
        <v>345</v>
      </c>
      <c r="G1527" s="12" t="s">
        <v>2973</v>
      </c>
      <c r="H1527" s="12" t="s">
        <v>44</v>
      </c>
      <c r="I1527" s="12" t="s">
        <v>27</v>
      </c>
      <c r="J1527" s="13" t="s">
        <v>2980</v>
      </c>
      <c r="K1527" s="14" t="s">
        <v>10292</v>
      </c>
      <c r="L1527" s="15">
        <v>0</v>
      </c>
      <c r="M1527" s="15" t="s">
        <v>144</v>
      </c>
      <c r="N1527" s="16">
        <v>44065</v>
      </c>
      <c r="O1527" s="12" t="s">
        <v>10290</v>
      </c>
      <c r="P1527" s="14" t="s">
        <v>10293</v>
      </c>
      <c r="Q1527" s="17" t="s">
        <v>137</v>
      </c>
      <c r="R1527" s="17" t="s">
        <v>146</v>
      </c>
    </row>
    <row r="1528" spans="1:18" x14ac:dyDescent="0.3">
      <c r="A1528" s="12" t="s">
        <v>10294</v>
      </c>
      <c r="B1528" s="12" t="s">
        <v>12</v>
      </c>
      <c r="C1528" s="12"/>
      <c r="D1528" s="12" t="s">
        <v>12</v>
      </c>
      <c r="E1528" s="12" t="s">
        <v>10295</v>
      </c>
      <c r="F1528" s="12"/>
      <c r="G1528" s="12" t="s">
        <v>2973</v>
      </c>
      <c r="H1528" s="12" t="s">
        <v>44</v>
      </c>
      <c r="I1528" s="12" t="s">
        <v>27</v>
      </c>
      <c r="J1528" s="13" t="s">
        <v>2980</v>
      </c>
      <c r="K1528" s="14" t="s">
        <v>10296</v>
      </c>
      <c r="L1528" s="15">
        <v>0</v>
      </c>
      <c r="M1528" s="15" t="s">
        <v>144</v>
      </c>
      <c r="N1528" s="16">
        <v>43466</v>
      </c>
      <c r="O1528" s="12" t="s">
        <v>10294</v>
      </c>
      <c r="P1528" s="14" t="s">
        <v>10297</v>
      </c>
      <c r="Q1528" s="17" t="s">
        <v>137</v>
      </c>
      <c r="R1528" s="17" t="s">
        <v>146</v>
      </c>
    </row>
    <row r="1529" spans="1:18" x14ac:dyDescent="0.3">
      <c r="A1529" s="12" t="s">
        <v>10298</v>
      </c>
      <c r="B1529" s="12" t="s">
        <v>12</v>
      </c>
      <c r="C1529" s="12"/>
      <c r="D1529" s="12" t="s">
        <v>12</v>
      </c>
      <c r="E1529" s="12" t="s">
        <v>10299</v>
      </c>
      <c r="F1529" s="12"/>
      <c r="G1529" s="12" t="s">
        <v>2973</v>
      </c>
      <c r="H1529" s="12" t="s">
        <v>44</v>
      </c>
      <c r="I1529" s="12" t="s">
        <v>27</v>
      </c>
      <c r="J1529" s="13" t="s">
        <v>2974</v>
      </c>
      <c r="K1529" s="14" t="s">
        <v>10300</v>
      </c>
      <c r="L1529" s="15">
        <v>3</v>
      </c>
      <c r="M1529" s="15" t="s">
        <v>144</v>
      </c>
      <c r="N1529" s="16">
        <v>43060</v>
      </c>
      <c r="O1529" s="12" t="s">
        <v>10298</v>
      </c>
      <c r="P1529" s="14" t="s">
        <v>10301</v>
      </c>
      <c r="Q1529" s="17" t="s">
        <v>137</v>
      </c>
      <c r="R1529" s="17" t="s">
        <v>146</v>
      </c>
    </row>
    <row r="1530" spans="1:18" x14ac:dyDescent="0.3">
      <c r="A1530" s="12" t="s">
        <v>10302</v>
      </c>
      <c r="B1530" s="12" t="s">
        <v>12</v>
      </c>
      <c r="C1530" s="12"/>
      <c r="D1530" s="12" t="s">
        <v>12</v>
      </c>
      <c r="E1530" s="12" t="s">
        <v>10303</v>
      </c>
      <c r="F1530" s="12"/>
      <c r="G1530" s="12" t="s">
        <v>2973</v>
      </c>
      <c r="H1530" s="12" t="s">
        <v>44</v>
      </c>
      <c r="I1530" s="12" t="s">
        <v>27</v>
      </c>
      <c r="J1530" s="13" t="s">
        <v>2974</v>
      </c>
      <c r="K1530" s="14" t="s">
        <v>10304</v>
      </c>
      <c r="L1530" s="15">
        <v>1</v>
      </c>
      <c r="M1530" s="15" t="s">
        <v>144</v>
      </c>
      <c r="N1530" s="16">
        <v>39644</v>
      </c>
      <c r="O1530" s="12" t="s">
        <v>10305</v>
      </c>
      <c r="P1530" s="14" t="s">
        <v>10306</v>
      </c>
      <c r="Q1530" s="17" t="s">
        <v>137</v>
      </c>
      <c r="R1530" s="17" t="s">
        <v>146</v>
      </c>
    </row>
    <row r="1531" spans="1:18" x14ac:dyDescent="0.3">
      <c r="A1531" s="12" t="s">
        <v>10307</v>
      </c>
      <c r="B1531" s="12" t="s">
        <v>12</v>
      </c>
      <c r="C1531" s="12"/>
      <c r="D1531" s="12" t="s">
        <v>12</v>
      </c>
      <c r="E1531" s="12" t="s">
        <v>10308</v>
      </c>
      <c r="F1531" s="12" t="s">
        <v>10309</v>
      </c>
      <c r="G1531" s="12" t="s">
        <v>2973</v>
      </c>
      <c r="H1531" s="12" t="s">
        <v>44</v>
      </c>
      <c r="I1531" s="12" t="s">
        <v>27</v>
      </c>
      <c r="J1531" s="13" t="s">
        <v>2974</v>
      </c>
      <c r="K1531" s="14" t="s">
        <v>10310</v>
      </c>
      <c r="L1531" s="15">
        <v>1</v>
      </c>
      <c r="M1531" s="15" t="s">
        <v>144</v>
      </c>
      <c r="N1531" s="16">
        <v>44065</v>
      </c>
      <c r="O1531" s="12" t="s">
        <v>10311</v>
      </c>
      <c r="P1531" s="14" t="s">
        <v>10312</v>
      </c>
      <c r="Q1531" s="17" t="s">
        <v>137</v>
      </c>
      <c r="R1531" s="17" t="s">
        <v>146</v>
      </c>
    </row>
    <row r="1532" spans="1:18" x14ac:dyDescent="0.3">
      <c r="A1532" s="12" t="s">
        <v>10313</v>
      </c>
      <c r="B1532" s="12" t="s">
        <v>12</v>
      </c>
      <c r="C1532" s="12"/>
      <c r="D1532" s="12" t="s">
        <v>12</v>
      </c>
      <c r="E1532" s="12" t="s">
        <v>10314</v>
      </c>
      <c r="F1532" s="12" t="s">
        <v>952</v>
      </c>
      <c r="G1532" s="12" t="s">
        <v>2973</v>
      </c>
      <c r="H1532" s="12" t="s">
        <v>44</v>
      </c>
      <c r="I1532" s="12" t="s">
        <v>27</v>
      </c>
      <c r="J1532" s="13" t="s">
        <v>2974</v>
      </c>
      <c r="K1532" s="14" t="s">
        <v>10315</v>
      </c>
      <c r="L1532" s="15">
        <v>1</v>
      </c>
      <c r="M1532" s="15" t="s">
        <v>144</v>
      </c>
      <c r="N1532" s="16">
        <v>39558</v>
      </c>
      <c r="O1532" s="12" t="s">
        <v>10313</v>
      </c>
      <c r="P1532" s="14" t="s">
        <v>10316</v>
      </c>
      <c r="Q1532" s="17" t="s">
        <v>137</v>
      </c>
      <c r="R1532" s="17" t="s">
        <v>146</v>
      </c>
    </row>
    <row r="1533" spans="1:18" x14ac:dyDescent="0.3">
      <c r="A1533" s="12" t="s">
        <v>10317</v>
      </c>
      <c r="B1533" s="12" t="s">
        <v>12</v>
      </c>
      <c r="C1533" s="12"/>
      <c r="D1533" s="12" t="s">
        <v>12</v>
      </c>
      <c r="E1533" s="12" t="s">
        <v>10318</v>
      </c>
      <c r="F1533" s="12" t="s">
        <v>516</v>
      </c>
      <c r="G1533" s="12" t="s">
        <v>2973</v>
      </c>
      <c r="H1533" s="12" t="s">
        <v>44</v>
      </c>
      <c r="I1533" s="12" t="s">
        <v>27</v>
      </c>
      <c r="J1533" s="13" t="s">
        <v>2974</v>
      </c>
      <c r="K1533" s="14" t="s">
        <v>10319</v>
      </c>
      <c r="L1533" s="15">
        <v>7</v>
      </c>
      <c r="M1533" s="15" t="s">
        <v>144</v>
      </c>
      <c r="N1533" s="16">
        <v>44065</v>
      </c>
      <c r="O1533" s="12" t="s">
        <v>10317</v>
      </c>
      <c r="P1533" s="14" t="s">
        <v>10320</v>
      </c>
      <c r="Q1533" s="17" t="s">
        <v>137</v>
      </c>
      <c r="R1533" s="17" t="s">
        <v>146</v>
      </c>
    </row>
    <row r="1534" spans="1:18" x14ac:dyDescent="0.3">
      <c r="A1534" s="12" t="s">
        <v>10194</v>
      </c>
      <c r="B1534" s="12" t="s">
        <v>14</v>
      </c>
      <c r="C1534" s="12"/>
      <c r="D1534" s="12" t="s">
        <v>14</v>
      </c>
      <c r="E1534" s="12" t="s">
        <v>10321</v>
      </c>
      <c r="F1534" s="12" t="s">
        <v>547</v>
      </c>
      <c r="G1534" s="12" t="s">
        <v>2973</v>
      </c>
      <c r="H1534" s="12" t="s">
        <v>44</v>
      </c>
      <c r="I1534" s="12" t="s">
        <v>27</v>
      </c>
      <c r="J1534" s="13" t="s">
        <v>2980</v>
      </c>
      <c r="K1534" s="14" t="s">
        <v>10322</v>
      </c>
      <c r="L1534" s="15">
        <v>12</v>
      </c>
      <c r="M1534" s="15" t="s">
        <v>144</v>
      </c>
      <c r="N1534" s="16">
        <v>40267</v>
      </c>
      <c r="O1534" s="12" t="s">
        <v>10194</v>
      </c>
      <c r="P1534" s="14" t="s">
        <v>10323</v>
      </c>
      <c r="Q1534" s="17" t="s">
        <v>137</v>
      </c>
      <c r="R1534" s="17" t="s">
        <v>146</v>
      </c>
    </row>
    <row r="1535" spans="1:18" x14ac:dyDescent="0.3">
      <c r="A1535" s="12" t="s">
        <v>10194</v>
      </c>
      <c r="B1535" s="12" t="s">
        <v>14</v>
      </c>
      <c r="C1535" s="12"/>
      <c r="D1535" s="12" t="s">
        <v>14</v>
      </c>
      <c r="E1535" s="12" t="s">
        <v>10324</v>
      </c>
      <c r="F1535" s="12" t="s">
        <v>583</v>
      </c>
      <c r="G1535" s="12" t="s">
        <v>2973</v>
      </c>
      <c r="H1535" s="12" t="s">
        <v>44</v>
      </c>
      <c r="I1535" s="12" t="s">
        <v>27</v>
      </c>
      <c r="J1535" s="13" t="s">
        <v>2974</v>
      </c>
      <c r="K1535" s="14" t="s">
        <v>10325</v>
      </c>
      <c r="L1535" s="15">
        <v>11</v>
      </c>
      <c r="M1535" s="15" t="s">
        <v>144</v>
      </c>
      <c r="N1535" s="16">
        <v>40267</v>
      </c>
      <c r="O1535" s="12" t="s">
        <v>10194</v>
      </c>
      <c r="P1535" s="14" t="s">
        <v>10326</v>
      </c>
      <c r="Q1535" s="17" t="s">
        <v>137</v>
      </c>
      <c r="R1535" s="17" t="s">
        <v>146</v>
      </c>
    </row>
    <row r="1536" spans="1:18" x14ac:dyDescent="0.3">
      <c r="A1536" s="12" t="s">
        <v>10327</v>
      </c>
      <c r="B1536" s="12" t="s">
        <v>12</v>
      </c>
      <c r="C1536" s="12"/>
      <c r="D1536" s="12" t="s">
        <v>12</v>
      </c>
      <c r="E1536" s="12" t="s">
        <v>10328</v>
      </c>
      <c r="F1536" s="12" t="s">
        <v>10329</v>
      </c>
      <c r="G1536" s="12" t="s">
        <v>2973</v>
      </c>
      <c r="H1536" s="12" t="s">
        <v>44</v>
      </c>
      <c r="I1536" s="12" t="s">
        <v>27</v>
      </c>
      <c r="J1536" s="13" t="s">
        <v>2980</v>
      </c>
      <c r="K1536" s="14" t="s">
        <v>10330</v>
      </c>
      <c r="L1536" s="15">
        <v>0</v>
      </c>
      <c r="M1536" s="15" t="s">
        <v>144</v>
      </c>
      <c r="N1536" s="16">
        <v>42459</v>
      </c>
      <c r="O1536" s="12" t="s">
        <v>10327</v>
      </c>
      <c r="P1536" s="14" t="s">
        <v>10331</v>
      </c>
      <c r="Q1536" s="17" t="s">
        <v>137</v>
      </c>
      <c r="R1536" s="17" t="s">
        <v>146</v>
      </c>
    </row>
    <row r="1537" spans="1:18" x14ac:dyDescent="0.3">
      <c r="A1537" s="12" t="s">
        <v>10332</v>
      </c>
      <c r="B1537" s="12" t="s">
        <v>14</v>
      </c>
      <c r="C1537" s="12"/>
      <c r="D1537" s="12" t="s">
        <v>14</v>
      </c>
      <c r="E1537" s="12" t="s">
        <v>10299</v>
      </c>
      <c r="F1537" s="12" t="s">
        <v>1025</v>
      </c>
      <c r="G1537" s="12" t="s">
        <v>2973</v>
      </c>
      <c r="H1537" s="12" t="s">
        <v>44</v>
      </c>
      <c r="I1537" s="12" t="s">
        <v>27</v>
      </c>
      <c r="J1537" s="13" t="s">
        <v>2974</v>
      </c>
      <c r="K1537" s="14" t="s">
        <v>10202</v>
      </c>
      <c r="L1537" s="15">
        <v>1</v>
      </c>
      <c r="M1537" s="15" t="s">
        <v>144</v>
      </c>
      <c r="N1537" s="16">
        <v>44241</v>
      </c>
      <c r="O1537" s="12" t="s">
        <v>10332</v>
      </c>
      <c r="P1537" s="14" t="s">
        <v>10333</v>
      </c>
      <c r="Q1537" s="17" t="s">
        <v>137</v>
      </c>
      <c r="R1537" s="17" t="s">
        <v>146</v>
      </c>
    </row>
    <row r="1538" spans="1:18" x14ac:dyDescent="0.3">
      <c r="A1538" s="12" t="s">
        <v>10334</v>
      </c>
      <c r="B1538" s="12" t="s">
        <v>14</v>
      </c>
      <c r="C1538" s="12"/>
      <c r="D1538" s="12" t="s">
        <v>14</v>
      </c>
      <c r="E1538" s="12" t="s">
        <v>10335</v>
      </c>
      <c r="F1538" s="12" t="s">
        <v>218</v>
      </c>
      <c r="G1538" s="12" t="s">
        <v>2973</v>
      </c>
      <c r="H1538" s="12" t="s">
        <v>44</v>
      </c>
      <c r="I1538" s="12" t="s">
        <v>27</v>
      </c>
      <c r="J1538" s="13" t="s">
        <v>2974</v>
      </c>
      <c r="K1538" s="14" t="s">
        <v>10336</v>
      </c>
      <c r="L1538" s="15">
        <v>17</v>
      </c>
      <c r="M1538" s="15" t="s">
        <v>144</v>
      </c>
      <c r="N1538" s="16">
        <v>41445</v>
      </c>
      <c r="O1538" s="12" t="s">
        <v>10334</v>
      </c>
      <c r="P1538" s="14" t="s">
        <v>10337</v>
      </c>
      <c r="Q1538" s="17" t="s">
        <v>137</v>
      </c>
      <c r="R1538" s="17" t="s">
        <v>146</v>
      </c>
    </row>
    <row r="1539" spans="1:18" x14ac:dyDescent="0.3">
      <c r="A1539" s="12" t="s">
        <v>10338</v>
      </c>
      <c r="B1539" s="12" t="s">
        <v>12</v>
      </c>
      <c r="C1539" s="12"/>
      <c r="D1539" s="12" t="s">
        <v>12</v>
      </c>
      <c r="E1539" s="12" t="s">
        <v>10339</v>
      </c>
      <c r="F1539" s="12"/>
      <c r="G1539" s="12" t="s">
        <v>2973</v>
      </c>
      <c r="H1539" s="12" t="s">
        <v>44</v>
      </c>
      <c r="I1539" s="12" t="s">
        <v>27</v>
      </c>
      <c r="J1539" s="13" t="s">
        <v>2980</v>
      </c>
      <c r="K1539" s="14" t="s">
        <v>10340</v>
      </c>
      <c r="L1539" s="15">
        <v>1</v>
      </c>
      <c r="M1539" s="15" t="s">
        <v>144</v>
      </c>
      <c r="N1539" s="16">
        <v>44065</v>
      </c>
      <c r="O1539" s="12" t="s">
        <v>10338</v>
      </c>
      <c r="P1539" s="14" t="s">
        <v>10341</v>
      </c>
      <c r="Q1539" s="17" t="s">
        <v>137</v>
      </c>
      <c r="R1539" s="17" t="s">
        <v>146</v>
      </c>
    </row>
    <row r="1540" spans="1:18" x14ac:dyDescent="0.3">
      <c r="A1540" s="12" t="s">
        <v>10342</v>
      </c>
      <c r="B1540" s="12" t="s">
        <v>14</v>
      </c>
      <c r="C1540" s="12"/>
      <c r="D1540" s="12" t="s">
        <v>14</v>
      </c>
      <c r="E1540" s="12" t="s">
        <v>10324</v>
      </c>
      <c r="F1540" s="12" t="s">
        <v>583</v>
      </c>
      <c r="G1540" s="12" t="s">
        <v>2973</v>
      </c>
      <c r="H1540" s="12" t="s">
        <v>44</v>
      </c>
      <c r="I1540" s="12" t="s">
        <v>27</v>
      </c>
      <c r="J1540" s="13" t="s">
        <v>2974</v>
      </c>
      <c r="K1540" s="14" t="s">
        <v>10112</v>
      </c>
      <c r="L1540" s="15">
        <v>11</v>
      </c>
      <c r="M1540" s="15" t="s">
        <v>144</v>
      </c>
      <c r="N1540" s="16">
        <v>43746</v>
      </c>
      <c r="O1540" s="12" t="s">
        <v>10109</v>
      </c>
      <c r="P1540" s="14" t="s">
        <v>10343</v>
      </c>
      <c r="Q1540" s="17" t="s">
        <v>137</v>
      </c>
      <c r="R1540" s="17" t="s">
        <v>146</v>
      </c>
    </row>
    <row r="1541" spans="1:18" x14ac:dyDescent="0.3">
      <c r="A1541" s="12" t="s">
        <v>10216</v>
      </c>
      <c r="B1541" s="12" t="s">
        <v>10</v>
      </c>
      <c r="C1541" s="12"/>
      <c r="D1541" s="12" t="s">
        <v>647</v>
      </c>
      <c r="E1541" s="12" t="s">
        <v>10344</v>
      </c>
      <c r="F1541" s="12" t="s">
        <v>1831</v>
      </c>
      <c r="G1541" s="12" t="s">
        <v>2973</v>
      </c>
      <c r="H1541" s="12" t="s">
        <v>44</v>
      </c>
      <c r="I1541" s="12" t="s">
        <v>27</v>
      </c>
      <c r="J1541" s="13" t="s">
        <v>2974</v>
      </c>
      <c r="K1541" s="14" t="s">
        <v>10218</v>
      </c>
      <c r="L1541" s="15">
        <v>10</v>
      </c>
      <c r="M1541" s="15" t="s">
        <v>144</v>
      </c>
      <c r="N1541" s="16">
        <v>44049</v>
      </c>
      <c r="O1541" s="12" t="s">
        <v>10216</v>
      </c>
      <c r="P1541" s="14" t="s">
        <v>10219</v>
      </c>
      <c r="Q1541" s="17" t="s">
        <v>137</v>
      </c>
      <c r="R1541" s="17" t="s">
        <v>146</v>
      </c>
    </row>
    <row r="1542" spans="1:18" x14ac:dyDescent="0.3">
      <c r="A1542" s="12" t="s">
        <v>10345</v>
      </c>
      <c r="B1542" s="12" t="s">
        <v>12</v>
      </c>
      <c r="C1542" s="12"/>
      <c r="D1542" s="12" t="s">
        <v>12</v>
      </c>
      <c r="E1542" s="12" t="s">
        <v>10346</v>
      </c>
      <c r="F1542" s="12"/>
      <c r="G1542" s="12" t="s">
        <v>2973</v>
      </c>
      <c r="H1542" s="12" t="s">
        <v>44</v>
      </c>
      <c r="I1542" s="12" t="s">
        <v>27</v>
      </c>
      <c r="J1542" s="13" t="s">
        <v>2974</v>
      </c>
      <c r="K1542" s="14" t="s">
        <v>10347</v>
      </c>
      <c r="L1542" s="15">
        <v>1</v>
      </c>
      <c r="M1542" s="15" t="s">
        <v>144</v>
      </c>
      <c r="N1542" s="16">
        <v>44065</v>
      </c>
      <c r="O1542" s="12" t="s">
        <v>10345</v>
      </c>
      <c r="P1542" s="14" t="s">
        <v>10348</v>
      </c>
      <c r="Q1542" s="17" t="s">
        <v>137</v>
      </c>
      <c r="R1542" s="17" t="s">
        <v>146</v>
      </c>
    </row>
    <row r="1543" spans="1:18" x14ac:dyDescent="0.3">
      <c r="A1543" s="12" t="s">
        <v>10349</v>
      </c>
      <c r="B1543" s="12" t="s">
        <v>12</v>
      </c>
      <c r="C1543" s="12"/>
      <c r="D1543" s="12" t="s">
        <v>12</v>
      </c>
      <c r="E1543" s="12" t="s">
        <v>10350</v>
      </c>
      <c r="F1543" s="12" t="s">
        <v>258</v>
      </c>
      <c r="G1543" s="12" t="s">
        <v>2973</v>
      </c>
      <c r="H1543" s="12" t="s">
        <v>44</v>
      </c>
      <c r="I1543" s="12" t="s">
        <v>27</v>
      </c>
      <c r="J1543" s="13" t="s">
        <v>2974</v>
      </c>
      <c r="K1543" s="14" t="s">
        <v>10351</v>
      </c>
      <c r="L1543" s="15">
        <v>0</v>
      </c>
      <c r="M1543" s="15" t="s">
        <v>144</v>
      </c>
      <c r="N1543" s="16">
        <v>40934</v>
      </c>
      <c r="O1543" s="12" t="s">
        <v>10349</v>
      </c>
      <c r="P1543" s="14" t="s">
        <v>10352</v>
      </c>
      <c r="Q1543" s="17" t="s">
        <v>137</v>
      </c>
      <c r="R1543" s="17" t="s">
        <v>146</v>
      </c>
    </row>
    <row r="1544" spans="1:18" x14ac:dyDescent="0.3">
      <c r="A1544" s="12" t="s">
        <v>10353</v>
      </c>
      <c r="B1544" s="12" t="s">
        <v>12</v>
      </c>
      <c r="C1544" s="12" t="s">
        <v>14</v>
      </c>
      <c r="D1544" s="12" t="s">
        <v>180</v>
      </c>
      <c r="E1544" s="12" t="s">
        <v>10354</v>
      </c>
      <c r="F1544" s="12"/>
      <c r="G1544" s="12" t="s">
        <v>2973</v>
      </c>
      <c r="H1544" s="12" t="s">
        <v>44</v>
      </c>
      <c r="I1544" s="12" t="s">
        <v>27</v>
      </c>
      <c r="J1544" s="13" t="s">
        <v>2980</v>
      </c>
      <c r="K1544" s="14" t="s">
        <v>10355</v>
      </c>
      <c r="L1544" s="15">
        <v>4</v>
      </c>
      <c r="M1544" s="15" t="s">
        <v>144</v>
      </c>
      <c r="N1544" s="16">
        <v>43082</v>
      </c>
      <c r="O1544" s="12" t="s">
        <v>10353</v>
      </c>
      <c r="P1544" s="14" t="s">
        <v>10356</v>
      </c>
      <c r="Q1544" s="17" t="s">
        <v>137</v>
      </c>
      <c r="R1544" s="17" t="s">
        <v>146</v>
      </c>
    </row>
    <row r="1545" spans="1:18" x14ac:dyDescent="0.3">
      <c r="A1545" s="12" t="s">
        <v>10357</v>
      </c>
      <c r="B1545" s="12" t="s">
        <v>12</v>
      </c>
      <c r="C1545" s="12"/>
      <c r="D1545" s="12" t="s">
        <v>12</v>
      </c>
      <c r="E1545" s="12" t="s">
        <v>10358</v>
      </c>
      <c r="F1545" s="12"/>
      <c r="G1545" s="12" t="s">
        <v>3017</v>
      </c>
      <c r="H1545" s="12" t="s">
        <v>44</v>
      </c>
      <c r="I1545" s="12" t="s">
        <v>27</v>
      </c>
      <c r="J1545" s="13" t="s">
        <v>3018</v>
      </c>
      <c r="K1545" s="14" t="s">
        <v>10359</v>
      </c>
      <c r="L1545" s="15">
        <v>0</v>
      </c>
      <c r="M1545" s="15" t="s">
        <v>144</v>
      </c>
      <c r="N1545" s="16">
        <v>41115</v>
      </c>
      <c r="O1545" s="12" t="s">
        <v>10357</v>
      </c>
      <c r="P1545" s="14" t="s">
        <v>10360</v>
      </c>
      <c r="Q1545" s="17" t="s">
        <v>137</v>
      </c>
      <c r="R1545" s="17" t="s">
        <v>146</v>
      </c>
    </row>
    <row r="1546" spans="1:18" x14ac:dyDescent="0.3">
      <c r="A1546" s="12" t="s">
        <v>10361</v>
      </c>
      <c r="B1546" s="12" t="s">
        <v>12</v>
      </c>
      <c r="C1546" s="12"/>
      <c r="D1546" s="12" t="s">
        <v>12</v>
      </c>
      <c r="E1546" s="12" t="s">
        <v>10362</v>
      </c>
      <c r="F1546" s="12" t="s">
        <v>454</v>
      </c>
      <c r="G1546" s="12" t="s">
        <v>3017</v>
      </c>
      <c r="H1546" s="12" t="s">
        <v>44</v>
      </c>
      <c r="I1546" s="12" t="s">
        <v>27</v>
      </c>
      <c r="J1546" s="13" t="s">
        <v>3018</v>
      </c>
      <c r="K1546" s="14" t="s">
        <v>10363</v>
      </c>
      <c r="L1546" s="15">
        <v>1</v>
      </c>
      <c r="M1546" s="15" t="s">
        <v>144</v>
      </c>
      <c r="N1546" s="16">
        <v>39591</v>
      </c>
      <c r="O1546" s="12" t="s">
        <v>10361</v>
      </c>
      <c r="P1546" s="14" t="s">
        <v>10364</v>
      </c>
      <c r="Q1546" s="17" t="s">
        <v>137</v>
      </c>
      <c r="R1546" s="17" t="s">
        <v>146</v>
      </c>
    </row>
    <row r="1547" spans="1:18" x14ac:dyDescent="0.3">
      <c r="A1547" s="12" t="s">
        <v>10365</v>
      </c>
      <c r="B1547" s="12" t="s">
        <v>12</v>
      </c>
      <c r="C1547" s="12"/>
      <c r="D1547" s="12" t="s">
        <v>12</v>
      </c>
      <c r="E1547" s="12" t="s">
        <v>10366</v>
      </c>
      <c r="F1547" s="12"/>
      <c r="G1547" s="12" t="s">
        <v>3023</v>
      </c>
      <c r="H1547" s="12" t="s">
        <v>44</v>
      </c>
      <c r="I1547" s="12" t="s">
        <v>27</v>
      </c>
      <c r="J1547" s="13" t="s">
        <v>3024</v>
      </c>
      <c r="K1547" s="14" t="s">
        <v>10367</v>
      </c>
      <c r="L1547" s="15">
        <v>1</v>
      </c>
      <c r="M1547" s="15" t="s">
        <v>144</v>
      </c>
      <c r="N1547" s="16">
        <v>39577</v>
      </c>
      <c r="O1547" s="12" t="s">
        <v>10365</v>
      </c>
      <c r="P1547" s="14" t="s">
        <v>10368</v>
      </c>
      <c r="Q1547" s="17" t="s">
        <v>137</v>
      </c>
      <c r="R1547" s="17" t="s">
        <v>146</v>
      </c>
    </row>
    <row r="1548" spans="1:18" x14ac:dyDescent="0.3">
      <c r="A1548" s="12" t="s">
        <v>10369</v>
      </c>
      <c r="B1548" s="12" t="s">
        <v>12</v>
      </c>
      <c r="C1548" s="12"/>
      <c r="D1548" s="12" t="s">
        <v>12</v>
      </c>
      <c r="E1548" s="12" t="s">
        <v>10370</v>
      </c>
      <c r="F1548" s="12" t="s">
        <v>5606</v>
      </c>
      <c r="G1548" s="12" t="s">
        <v>3023</v>
      </c>
      <c r="H1548" s="12" t="s">
        <v>44</v>
      </c>
      <c r="I1548" s="12" t="s">
        <v>27</v>
      </c>
      <c r="J1548" s="13" t="s">
        <v>3024</v>
      </c>
      <c r="K1548" s="14" t="s">
        <v>10371</v>
      </c>
      <c r="L1548" s="15">
        <v>0</v>
      </c>
      <c r="M1548" s="15" t="s">
        <v>144</v>
      </c>
      <c r="N1548" s="16">
        <v>41136</v>
      </c>
      <c r="O1548" s="12" t="s">
        <v>10369</v>
      </c>
      <c r="P1548" s="14" t="s">
        <v>10372</v>
      </c>
      <c r="Q1548" s="17" t="s">
        <v>137</v>
      </c>
      <c r="R1548" s="17" t="s">
        <v>146</v>
      </c>
    </row>
    <row r="1549" spans="1:18" x14ac:dyDescent="0.3">
      <c r="A1549" s="12" t="s">
        <v>10373</v>
      </c>
      <c r="B1549" s="12" t="s">
        <v>12</v>
      </c>
      <c r="C1549" s="12"/>
      <c r="D1549" s="12" t="s">
        <v>12</v>
      </c>
      <c r="E1549" s="12" t="s">
        <v>10374</v>
      </c>
      <c r="F1549" s="12" t="s">
        <v>10375</v>
      </c>
      <c r="G1549" s="12" t="s">
        <v>3023</v>
      </c>
      <c r="H1549" s="12" t="s">
        <v>44</v>
      </c>
      <c r="I1549" s="12" t="s">
        <v>27</v>
      </c>
      <c r="J1549" s="13" t="s">
        <v>3024</v>
      </c>
      <c r="K1549" s="14" t="s">
        <v>10376</v>
      </c>
      <c r="L1549" s="15">
        <v>1</v>
      </c>
      <c r="M1549" s="15" t="s">
        <v>144</v>
      </c>
      <c r="N1549" s="16">
        <v>39666</v>
      </c>
      <c r="O1549" s="12" t="s">
        <v>10373</v>
      </c>
      <c r="P1549" s="14" t="s">
        <v>10377</v>
      </c>
      <c r="Q1549" s="17" t="s">
        <v>137</v>
      </c>
      <c r="R1549" s="17" t="s">
        <v>146</v>
      </c>
    </row>
    <row r="1550" spans="1:18" x14ac:dyDescent="0.3">
      <c r="A1550" s="12" t="s">
        <v>10378</v>
      </c>
      <c r="B1550" s="12" t="s">
        <v>12</v>
      </c>
      <c r="C1550" s="12"/>
      <c r="D1550" s="12" t="s">
        <v>12</v>
      </c>
      <c r="E1550" s="12" t="s">
        <v>10379</v>
      </c>
      <c r="F1550" s="12"/>
      <c r="G1550" s="12" t="s">
        <v>3023</v>
      </c>
      <c r="H1550" s="12" t="s">
        <v>44</v>
      </c>
      <c r="I1550" s="12" t="s">
        <v>27</v>
      </c>
      <c r="J1550" s="13" t="s">
        <v>3024</v>
      </c>
      <c r="K1550" s="14" t="s">
        <v>10380</v>
      </c>
      <c r="L1550" s="15">
        <v>0</v>
      </c>
      <c r="M1550" s="15" t="s">
        <v>144</v>
      </c>
      <c r="N1550" s="16">
        <v>40896</v>
      </c>
      <c r="O1550" s="12" t="s">
        <v>10378</v>
      </c>
      <c r="P1550" s="14" t="s">
        <v>10381</v>
      </c>
      <c r="Q1550" s="17" t="s">
        <v>137</v>
      </c>
      <c r="R1550" s="17" t="s">
        <v>146</v>
      </c>
    </row>
    <row r="1551" spans="1:18" x14ac:dyDescent="0.3">
      <c r="A1551" s="12" t="s">
        <v>10382</v>
      </c>
      <c r="B1551" s="12" t="s">
        <v>12</v>
      </c>
      <c r="C1551" s="12"/>
      <c r="D1551" s="12" t="s">
        <v>12</v>
      </c>
      <c r="E1551" s="12" t="s">
        <v>10383</v>
      </c>
      <c r="F1551" s="12" t="s">
        <v>2884</v>
      </c>
      <c r="G1551" s="12" t="s">
        <v>3023</v>
      </c>
      <c r="H1551" s="12" t="s">
        <v>44</v>
      </c>
      <c r="I1551" s="12" t="s">
        <v>27</v>
      </c>
      <c r="J1551" s="13" t="s">
        <v>3024</v>
      </c>
      <c r="K1551" s="14" t="s">
        <v>10384</v>
      </c>
      <c r="L1551" s="15">
        <v>2</v>
      </c>
      <c r="M1551" s="15" t="s">
        <v>144</v>
      </c>
      <c r="N1551" s="16">
        <v>39970</v>
      </c>
      <c r="O1551" s="12" t="s">
        <v>10382</v>
      </c>
      <c r="P1551" s="14" t="s">
        <v>10385</v>
      </c>
      <c r="Q1551" s="17" t="s">
        <v>137</v>
      </c>
      <c r="R1551" s="17" t="s">
        <v>146</v>
      </c>
    </row>
    <row r="1552" spans="1:18" x14ac:dyDescent="0.3">
      <c r="A1552" s="12" t="s">
        <v>10386</v>
      </c>
      <c r="B1552" s="12" t="s">
        <v>12</v>
      </c>
      <c r="C1552" s="12"/>
      <c r="D1552" s="12" t="s">
        <v>12</v>
      </c>
      <c r="E1552" s="12" t="s">
        <v>10387</v>
      </c>
      <c r="F1552" s="12"/>
      <c r="G1552" s="12" t="s">
        <v>3023</v>
      </c>
      <c r="H1552" s="12" t="s">
        <v>44</v>
      </c>
      <c r="I1552" s="12" t="s">
        <v>27</v>
      </c>
      <c r="J1552" s="13" t="s">
        <v>3024</v>
      </c>
      <c r="K1552" s="14" t="s">
        <v>10367</v>
      </c>
      <c r="L1552" s="15">
        <v>0</v>
      </c>
      <c r="M1552" s="15" t="s">
        <v>144</v>
      </c>
      <c r="N1552" s="16">
        <v>40864</v>
      </c>
      <c r="O1552" s="12" t="s">
        <v>10388</v>
      </c>
      <c r="P1552" s="14" t="s">
        <v>10389</v>
      </c>
      <c r="Q1552" s="17" t="s">
        <v>137</v>
      </c>
      <c r="R1552" s="17" t="s">
        <v>146</v>
      </c>
    </row>
    <row r="1553" spans="1:18" x14ac:dyDescent="0.3">
      <c r="A1553" s="12" t="s">
        <v>10390</v>
      </c>
      <c r="B1553" s="12" t="s">
        <v>12</v>
      </c>
      <c r="C1553" s="12"/>
      <c r="D1553" s="12" t="s">
        <v>12</v>
      </c>
      <c r="E1553" s="12" t="s">
        <v>10391</v>
      </c>
      <c r="F1553" s="12" t="s">
        <v>454</v>
      </c>
      <c r="G1553" s="12" t="s">
        <v>3023</v>
      </c>
      <c r="H1553" s="12" t="s">
        <v>44</v>
      </c>
      <c r="I1553" s="12" t="s">
        <v>27</v>
      </c>
      <c r="J1553" s="13" t="s">
        <v>3024</v>
      </c>
      <c r="K1553" s="14" t="s">
        <v>10392</v>
      </c>
      <c r="L1553" s="15">
        <v>2</v>
      </c>
      <c r="M1553" s="15" t="s">
        <v>144</v>
      </c>
      <c r="N1553" s="16">
        <v>42017</v>
      </c>
      <c r="O1553" s="12" t="s">
        <v>10393</v>
      </c>
      <c r="P1553" s="14" t="s">
        <v>10394</v>
      </c>
      <c r="Q1553" s="17" t="s">
        <v>137</v>
      </c>
      <c r="R1553" s="17" t="s">
        <v>146</v>
      </c>
    </row>
    <row r="1554" spans="1:18" x14ac:dyDescent="0.3">
      <c r="A1554" s="12" t="s">
        <v>10395</v>
      </c>
      <c r="B1554" s="12" t="s">
        <v>12</v>
      </c>
      <c r="C1554" s="12"/>
      <c r="D1554" s="12" t="s">
        <v>12</v>
      </c>
      <c r="E1554" s="12" t="s">
        <v>10396</v>
      </c>
      <c r="F1554" s="12" t="s">
        <v>454</v>
      </c>
      <c r="G1554" s="12" t="s">
        <v>3023</v>
      </c>
      <c r="H1554" s="12" t="s">
        <v>44</v>
      </c>
      <c r="I1554" s="12" t="s">
        <v>27</v>
      </c>
      <c r="J1554" s="13" t="s">
        <v>3024</v>
      </c>
      <c r="K1554" s="14" t="s">
        <v>10397</v>
      </c>
      <c r="L1554" s="15">
        <v>2</v>
      </c>
      <c r="M1554" s="15" t="s">
        <v>144</v>
      </c>
      <c r="N1554" s="16">
        <v>41992</v>
      </c>
      <c r="O1554" s="12" t="s">
        <v>10395</v>
      </c>
      <c r="P1554" s="14" t="s">
        <v>10398</v>
      </c>
      <c r="Q1554" s="17" t="s">
        <v>137</v>
      </c>
      <c r="R1554" s="17" t="s">
        <v>146</v>
      </c>
    </row>
    <row r="1555" spans="1:18" x14ac:dyDescent="0.3">
      <c r="A1555" s="12" t="s">
        <v>10399</v>
      </c>
      <c r="B1555" s="12" t="s">
        <v>12</v>
      </c>
      <c r="C1555" s="12"/>
      <c r="D1555" s="12" t="s">
        <v>12</v>
      </c>
      <c r="E1555" s="12" t="s">
        <v>10366</v>
      </c>
      <c r="F1555" s="12"/>
      <c r="G1555" s="12" t="s">
        <v>3023</v>
      </c>
      <c r="H1555" s="12" t="s">
        <v>44</v>
      </c>
      <c r="I1555" s="12" t="s">
        <v>27</v>
      </c>
      <c r="J1555" s="13" t="s">
        <v>3024</v>
      </c>
      <c r="K1555" s="14" t="s">
        <v>10367</v>
      </c>
      <c r="L1555" s="15">
        <v>1</v>
      </c>
      <c r="M1555" s="15" t="s">
        <v>144</v>
      </c>
      <c r="N1555" s="16">
        <v>44065</v>
      </c>
      <c r="O1555" s="12" t="s">
        <v>10399</v>
      </c>
      <c r="P1555" s="14" t="s">
        <v>10400</v>
      </c>
      <c r="Q1555" s="17" t="s">
        <v>137</v>
      </c>
      <c r="R1555" s="17" t="s">
        <v>146</v>
      </c>
    </row>
    <row r="1556" spans="1:18" x14ac:dyDescent="0.3">
      <c r="A1556" s="12" t="s">
        <v>10401</v>
      </c>
      <c r="B1556" s="12" t="s">
        <v>12</v>
      </c>
      <c r="C1556" s="12"/>
      <c r="D1556" s="12" t="s">
        <v>12</v>
      </c>
      <c r="E1556" s="12" t="s">
        <v>10402</v>
      </c>
      <c r="F1556" s="12"/>
      <c r="G1556" s="12" t="s">
        <v>10403</v>
      </c>
      <c r="H1556" s="12" t="s">
        <v>120</v>
      </c>
      <c r="I1556" s="12" t="s">
        <v>27</v>
      </c>
      <c r="J1556" s="13" t="s">
        <v>10404</v>
      </c>
      <c r="K1556" s="14" t="s">
        <v>10405</v>
      </c>
      <c r="L1556" s="15">
        <v>1</v>
      </c>
      <c r="M1556" s="15" t="s">
        <v>144</v>
      </c>
      <c r="N1556" s="16">
        <v>42072</v>
      </c>
      <c r="O1556" s="12" t="s">
        <v>10401</v>
      </c>
      <c r="P1556" s="14" t="s">
        <v>10406</v>
      </c>
      <c r="Q1556" s="17" t="s">
        <v>137</v>
      </c>
      <c r="R1556" s="17" t="s">
        <v>146</v>
      </c>
    </row>
    <row r="1557" spans="1:18" x14ac:dyDescent="0.3">
      <c r="A1557" s="12" t="s">
        <v>10407</v>
      </c>
      <c r="B1557" s="12" t="s">
        <v>10</v>
      </c>
      <c r="C1557" s="12"/>
      <c r="D1557" s="12" t="s">
        <v>157</v>
      </c>
      <c r="E1557" s="12" t="s">
        <v>10408</v>
      </c>
      <c r="F1557" s="12"/>
      <c r="G1557" s="12" t="s">
        <v>10409</v>
      </c>
      <c r="H1557" s="12" t="s">
        <v>120</v>
      </c>
      <c r="I1557" s="12" t="s">
        <v>27</v>
      </c>
      <c r="J1557" s="13" t="s">
        <v>10410</v>
      </c>
      <c r="K1557" s="14" t="s">
        <v>10411</v>
      </c>
      <c r="L1557" s="15">
        <v>0</v>
      </c>
      <c r="M1557" s="15" t="s">
        <v>144</v>
      </c>
      <c r="N1557" s="16">
        <v>44125</v>
      </c>
      <c r="O1557" s="12" t="s">
        <v>10407</v>
      </c>
      <c r="P1557" s="14" t="s">
        <v>10412</v>
      </c>
      <c r="Q1557" s="17" t="s">
        <v>137</v>
      </c>
      <c r="R1557" s="17" t="s">
        <v>146</v>
      </c>
    </row>
    <row r="1558" spans="1:18" x14ac:dyDescent="0.3">
      <c r="A1558" s="12" t="s">
        <v>10413</v>
      </c>
      <c r="B1558" s="12" t="s">
        <v>12</v>
      </c>
      <c r="C1558" s="12"/>
      <c r="D1558" s="12" t="s">
        <v>12</v>
      </c>
      <c r="E1558" s="12" t="s">
        <v>10414</v>
      </c>
      <c r="F1558" s="12"/>
      <c r="G1558" s="12" t="s">
        <v>10409</v>
      </c>
      <c r="H1558" s="12" t="s">
        <v>120</v>
      </c>
      <c r="I1558" s="12" t="s">
        <v>27</v>
      </c>
      <c r="J1558" s="13" t="s">
        <v>10410</v>
      </c>
      <c r="K1558" s="14" t="s">
        <v>10415</v>
      </c>
      <c r="L1558" s="15">
        <v>1</v>
      </c>
      <c r="M1558" s="15" t="s">
        <v>144</v>
      </c>
      <c r="N1558" s="16">
        <v>42752</v>
      </c>
      <c r="O1558" s="12" t="s">
        <v>10413</v>
      </c>
      <c r="P1558" s="14" t="s">
        <v>10416</v>
      </c>
      <c r="Q1558" s="17" t="s">
        <v>137</v>
      </c>
      <c r="R1558" s="17" t="s">
        <v>146</v>
      </c>
    </row>
    <row r="1559" spans="1:18" x14ac:dyDescent="0.3">
      <c r="A1559" s="12" t="s">
        <v>10417</v>
      </c>
      <c r="B1559" s="12" t="s">
        <v>14</v>
      </c>
      <c r="C1559" s="12"/>
      <c r="D1559" s="12" t="s">
        <v>14</v>
      </c>
      <c r="E1559" s="12" t="s">
        <v>10418</v>
      </c>
      <c r="F1559" s="12"/>
      <c r="G1559" s="12" t="s">
        <v>10419</v>
      </c>
      <c r="H1559" s="12" t="s">
        <v>104</v>
      </c>
      <c r="I1559" s="12" t="s">
        <v>27</v>
      </c>
      <c r="J1559" s="13" t="s">
        <v>10420</v>
      </c>
      <c r="K1559" s="14" t="s">
        <v>10421</v>
      </c>
      <c r="L1559" s="15">
        <v>0</v>
      </c>
      <c r="M1559" s="15" t="s">
        <v>144</v>
      </c>
      <c r="N1559" s="16">
        <v>43602</v>
      </c>
      <c r="O1559" s="12" t="s">
        <v>3190</v>
      </c>
      <c r="P1559" s="14" t="s">
        <v>10422</v>
      </c>
      <c r="Q1559" s="17" t="s">
        <v>137</v>
      </c>
      <c r="R1559" s="17" t="s">
        <v>146</v>
      </c>
    </row>
    <row r="1560" spans="1:18" x14ac:dyDescent="0.3">
      <c r="A1560" s="12" t="s">
        <v>10423</v>
      </c>
      <c r="B1560" s="12" t="s">
        <v>12</v>
      </c>
      <c r="C1560" s="12"/>
      <c r="D1560" s="12" t="s">
        <v>12</v>
      </c>
      <c r="E1560" s="12" t="s">
        <v>10424</v>
      </c>
      <c r="F1560" s="12"/>
      <c r="G1560" s="12" t="s">
        <v>104</v>
      </c>
      <c r="H1560" s="12" t="s">
        <v>104</v>
      </c>
      <c r="I1560" s="12" t="s">
        <v>27</v>
      </c>
      <c r="J1560" s="13" t="s">
        <v>3029</v>
      </c>
      <c r="K1560" s="14" t="s">
        <v>10425</v>
      </c>
      <c r="L1560" s="15">
        <v>1</v>
      </c>
      <c r="M1560" s="15" t="s">
        <v>144</v>
      </c>
      <c r="N1560" s="16">
        <v>39455</v>
      </c>
      <c r="O1560" s="12" t="s">
        <v>10423</v>
      </c>
      <c r="P1560" s="14" t="s">
        <v>10426</v>
      </c>
      <c r="Q1560" s="17" t="s">
        <v>137</v>
      </c>
      <c r="R1560" s="17" t="s">
        <v>146</v>
      </c>
    </row>
    <row r="1561" spans="1:18" x14ac:dyDescent="0.3">
      <c r="A1561" s="12" t="s">
        <v>10427</v>
      </c>
      <c r="B1561" s="12" t="s">
        <v>12</v>
      </c>
      <c r="C1561" s="12"/>
      <c r="D1561" s="12" t="s">
        <v>12</v>
      </c>
      <c r="E1561" s="12" t="s">
        <v>10428</v>
      </c>
      <c r="F1561" s="12"/>
      <c r="G1561" s="12" t="s">
        <v>104</v>
      </c>
      <c r="H1561" s="12" t="s">
        <v>104</v>
      </c>
      <c r="I1561" s="12" t="s">
        <v>27</v>
      </c>
      <c r="J1561" s="13" t="s">
        <v>3029</v>
      </c>
      <c r="K1561" s="14" t="s">
        <v>10429</v>
      </c>
      <c r="L1561" s="15">
        <v>2</v>
      </c>
      <c r="M1561" s="15" t="s">
        <v>144</v>
      </c>
      <c r="N1561" s="16">
        <v>40807</v>
      </c>
      <c r="O1561" s="12" t="s">
        <v>10427</v>
      </c>
      <c r="P1561" s="14" t="s">
        <v>10430</v>
      </c>
      <c r="Q1561" s="17" t="s">
        <v>137</v>
      </c>
      <c r="R1561" s="17" t="s">
        <v>146</v>
      </c>
    </row>
    <row r="1562" spans="1:18" x14ac:dyDescent="0.3">
      <c r="A1562" s="12" t="s">
        <v>10431</v>
      </c>
      <c r="B1562" s="12" t="s">
        <v>14</v>
      </c>
      <c r="C1562" s="12"/>
      <c r="D1562" s="12" t="s">
        <v>14</v>
      </c>
      <c r="E1562" s="12" t="s">
        <v>10432</v>
      </c>
      <c r="F1562" s="12"/>
      <c r="G1562" s="12" t="s">
        <v>3041</v>
      </c>
      <c r="H1562" s="12" t="s">
        <v>71</v>
      </c>
      <c r="I1562" s="12" t="s">
        <v>28</v>
      </c>
      <c r="J1562" s="13" t="s">
        <v>3042</v>
      </c>
      <c r="K1562" s="14" t="s">
        <v>10433</v>
      </c>
      <c r="L1562" s="15">
        <v>1</v>
      </c>
      <c r="M1562" s="15" t="s">
        <v>144</v>
      </c>
      <c r="N1562" s="16">
        <v>43388</v>
      </c>
      <c r="O1562" s="12" t="s">
        <v>3433</v>
      </c>
      <c r="P1562" s="14" t="s">
        <v>10434</v>
      </c>
      <c r="Q1562" s="17" t="s">
        <v>137</v>
      </c>
      <c r="R1562" s="17" t="s">
        <v>146</v>
      </c>
    </row>
    <row r="1563" spans="1:18" x14ac:dyDescent="0.3">
      <c r="A1563" s="12" t="s">
        <v>10435</v>
      </c>
      <c r="B1563" s="12" t="s">
        <v>12</v>
      </c>
      <c r="C1563" s="12"/>
      <c r="D1563" s="12" t="s">
        <v>12</v>
      </c>
      <c r="E1563" s="12" t="s">
        <v>10436</v>
      </c>
      <c r="F1563" s="12"/>
      <c r="G1563" s="12" t="s">
        <v>3041</v>
      </c>
      <c r="H1563" s="12" t="s">
        <v>71</v>
      </c>
      <c r="I1563" s="12" t="s">
        <v>28</v>
      </c>
      <c r="J1563" s="13" t="s">
        <v>3042</v>
      </c>
      <c r="K1563" s="14" t="s">
        <v>10437</v>
      </c>
      <c r="L1563" s="15">
        <v>1</v>
      </c>
      <c r="M1563" s="15" t="s">
        <v>144</v>
      </c>
      <c r="N1563" s="16">
        <v>44065</v>
      </c>
      <c r="O1563" s="12" t="s">
        <v>10435</v>
      </c>
      <c r="P1563" s="14" t="s">
        <v>10438</v>
      </c>
      <c r="Q1563" s="17" t="s">
        <v>137</v>
      </c>
      <c r="R1563" s="17" t="s">
        <v>146</v>
      </c>
    </row>
    <row r="1564" spans="1:18" x14ac:dyDescent="0.3">
      <c r="A1564" s="12" t="s">
        <v>10439</v>
      </c>
      <c r="B1564" s="12" t="s">
        <v>16</v>
      </c>
      <c r="C1564" s="12"/>
      <c r="D1564" s="12" t="s">
        <v>993</v>
      </c>
      <c r="E1564" s="12" t="s">
        <v>10440</v>
      </c>
      <c r="F1564" s="12"/>
      <c r="G1564" s="12" t="s">
        <v>3041</v>
      </c>
      <c r="H1564" s="12" t="s">
        <v>71</v>
      </c>
      <c r="I1564" s="12" t="s">
        <v>28</v>
      </c>
      <c r="J1564" s="13" t="s">
        <v>3042</v>
      </c>
      <c r="K1564" s="14" t="s">
        <v>10441</v>
      </c>
      <c r="L1564" s="15">
        <v>0</v>
      </c>
      <c r="M1564" s="15" t="s">
        <v>144</v>
      </c>
      <c r="N1564" s="16">
        <v>40897</v>
      </c>
      <c r="O1564" s="12" t="s">
        <v>10439</v>
      </c>
      <c r="P1564" s="14" t="s">
        <v>10442</v>
      </c>
      <c r="Q1564" s="17" t="s">
        <v>137</v>
      </c>
      <c r="R1564" s="17" t="s">
        <v>146</v>
      </c>
    </row>
    <row r="1565" spans="1:18" x14ac:dyDescent="0.3">
      <c r="A1565" s="12" t="s">
        <v>10443</v>
      </c>
      <c r="B1565" s="12" t="s">
        <v>12</v>
      </c>
      <c r="C1565" s="12"/>
      <c r="D1565" s="12" t="s">
        <v>12</v>
      </c>
      <c r="E1565" s="12" t="s">
        <v>10444</v>
      </c>
      <c r="F1565" s="12"/>
      <c r="G1565" s="12" t="s">
        <v>3041</v>
      </c>
      <c r="H1565" s="12" t="s">
        <v>71</v>
      </c>
      <c r="I1565" s="12" t="s">
        <v>28</v>
      </c>
      <c r="J1565" s="13" t="s">
        <v>3042</v>
      </c>
      <c r="K1565" s="14" t="s">
        <v>10445</v>
      </c>
      <c r="L1565" s="15">
        <v>2</v>
      </c>
      <c r="M1565" s="15" t="s">
        <v>144</v>
      </c>
      <c r="N1565" s="16">
        <v>43585</v>
      </c>
      <c r="O1565" s="12" t="s">
        <v>10443</v>
      </c>
      <c r="P1565" s="14" t="s">
        <v>10446</v>
      </c>
      <c r="Q1565" s="17" t="s">
        <v>137</v>
      </c>
      <c r="R1565" s="17" t="s">
        <v>146</v>
      </c>
    </row>
    <row r="1566" spans="1:18" x14ac:dyDescent="0.3">
      <c r="A1566" s="12" t="s">
        <v>10447</v>
      </c>
      <c r="B1566" s="12" t="s">
        <v>12</v>
      </c>
      <c r="C1566" s="12"/>
      <c r="D1566" s="12" t="s">
        <v>12</v>
      </c>
      <c r="E1566" s="12" t="s">
        <v>10448</v>
      </c>
      <c r="F1566" s="12"/>
      <c r="G1566" s="12" t="s">
        <v>3041</v>
      </c>
      <c r="H1566" s="12" t="s">
        <v>71</v>
      </c>
      <c r="I1566" s="12" t="s">
        <v>28</v>
      </c>
      <c r="J1566" s="13" t="s">
        <v>3042</v>
      </c>
      <c r="K1566" s="14" t="s">
        <v>10449</v>
      </c>
      <c r="L1566" s="15">
        <v>1</v>
      </c>
      <c r="M1566" s="15" t="s">
        <v>144</v>
      </c>
      <c r="N1566" s="16">
        <v>39330</v>
      </c>
      <c r="O1566" s="12" t="s">
        <v>10447</v>
      </c>
      <c r="P1566" s="14" t="s">
        <v>10450</v>
      </c>
      <c r="Q1566" s="17" t="s">
        <v>137</v>
      </c>
      <c r="R1566" s="17" t="s">
        <v>146</v>
      </c>
    </row>
    <row r="1567" spans="1:18" x14ac:dyDescent="0.3">
      <c r="A1567" s="12" t="s">
        <v>10451</v>
      </c>
      <c r="B1567" s="12" t="s">
        <v>12</v>
      </c>
      <c r="C1567" s="12"/>
      <c r="D1567" s="12" t="s">
        <v>12</v>
      </c>
      <c r="E1567" s="12" t="s">
        <v>10452</v>
      </c>
      <c r="F1567" s="12" t="s">
        <v>359</v>
      </c>
      <c r="G1567" s="12" t="s">
        <v>3041</v>
      </c>
      <c r="H1567" s="12" t="s">
        <v>71</v>
      </c>
      <c r="I1567" s="12" t="s">
        <v>28</v>
      </c>
      <c r="J1567" s="13" t="s">
        <v>3042</v>
      </c>
      <c r="K1567" s="14" t="s">
        <v>10453</v>
      </c>
      <c r="L1567" s="15">
        <v>0</v>
      </c>
      <c r="M1567" s="15" t="s">
        <v>144</v>
      </c>
      <c r="N1567" s="16">
        <v>44065</v>
      </c>
      <c r="O1567" s="12" t="s">
        <v>10454</v>
      </c>
      <c r="P1567" s="14" t="s">
        <v>10455</v>
      </c>
      <c r="Q1567" s="17" t="s">
        <v>137</v>
      </c>
      <c r="R1567" s="17" t="s">
        <v>146</v>
      </c>
    </row>
    <row r="1568" spans="1:18" x14ac:dyDescent="0.3">
      <c r="A1568" s="12" t="s">
        <v>10451</v>
      </c>
      <c r="B1568" s="12" t="s">
        <v>12</v>
      </c>
      <c r="C1568" s="12"/>
      <c r="D1568" s="12" t="s">
        <v>12</v>
      </c>
      <c r="E1568" s="12" t="s">
        <v>10456</v>
      </c>
      <c r="F1568" s="12" t="s">
        <v>359</v>
      </c>
      <c r="G1568" s="12" t="s">
        <v>3041</v>
      </c>
      <c r="H1568" s="12" t="s">
        <v>71</v>
      </c>
      <c r="I1568" s="12" t="s">
        <v>28</v>
      </c>
      <c r="J1568" s="13" t="s">
        <v>3042</v>
      </c>
      <c r="K1568" s="14" t="s">
        <v>10453</v>
      </c>
      <c r="L1568" s="15">
        <v>1</v>
      </c>
      <c r="M1568" s="15" t="s">
        <v>144</v>
      </c>
      <c r="N1568" s="16">
        <v>44065</v>
      </c>
      <c r="O1568" s="12" t="s">
        <v>10451</v>
      </c>
      <c r="P1568" s="14" t="s">
        <v>10457</v>
      </c>
      <c r="Q1568" s="17" t="s">
        <v>137</v>
      </c>
      <c r="R1568" s="17" t="s">
        <v>146</v>
      </c>
    </row>
    <row r="1569" spans="1:18" x14ac:dyDescent="0.3">
      <c r="A1569" s="12" t="s">
        <v>10458</v>
      </c>
      <c r="B1569" s="12" t="s">
        <v>10</v>
      </c>
      <c r="C1569" s="12"/>
      <c r="D1569" s="12" t="s">
        <v>647</v>
      </c>
      <c r="E1569" s="12" t="s">
        <v>10444</v>
      </c>
      <c r="F1569" s="12"/>
      <c r="G1569" s="12" t="s">
        <v>3041</v>
      </c>
      <c r="H1569" s="12" t="s">
        <v>71</v>
      </c>
      <c r="I1569" s="12" t="s">
        <v>28</v>
      </c>
      <c r="J1569" s="13" t="s">
        <v>3042</v>
      </c>
      <c r="K1569" s="14" t="s">
        <v>10459</v>
      </c>
      <c r="L1569" s="15">
        <v>0</v>
      </c>
      <c r="M1569" s="15" t="s">
        <v>144</v>
      </c>
      <c r="N1569" s="16">
        <v>40122</v>
      </c>
      <c r="O1569" s="12" t="s">
        <v>10460</v>
      </c>
      <c r="P1569" s="14" t="s">
        <v>10461</v>
      </c>
      <c r="Q1569" s="17" t="s">
        <v>137</v>
      </c>
      <c r="R1569" s="17" t="s">
        <v>146</v>
      </c>
    </row>
    <row r="1570" spans="1:18" x14ac:dyDescent="0.3">
      <c r="A1570" s="12" t="s">
        <v>10462</v>
      </c>
      <c r="B1570" s="12" t="s">
        <v>12</v>
      </c>
      <c r="C1570" s="12"/>
      <c r="D1570" s="12" t="s">
        <v>12</v>
      </c>
      <c r="E1570" s="12" t="s">
        <v>10463</v>
      </c>
      <c r="F1570" s="12"/>
      <c r="G1570" s="12" t="s">
        <v>3041</v>
      </c>
      <c r="H1570" s="12" t="s">
        <v>71</v>
      </c>
      <c r="I1570" s="12" t="s">
        <v>28</v>
      </c>
      <c r="J1570" s="13" t="s">
        <v>3042</v>
      </c>
      <c r="K1570" s="14" t="s">
        <v>10464</v>
      </c>
      <c r="L1570" s="15">
        <v>0</v>
      </c>
      <c r="M1570" s="15" t="s">
        <v>144</v>
      </c>
      <c r="N1570" s="16">
        <v>40928</v>
      </c>
      <c r="O1570" s="12" t="s">
        <v>10462</v>
      </c>
      <c r="P1570" s="14" t="s">
        <v>10465</v>
      </c>
      <c r="Q1570" s="17" t="s">
        <v>137</v>
      </c>
      <c r="R1570" s="17" t="s">
        <v>146</v>
      </c>
    </row>
    <row r="1571" spans="1:18" x14ac:dyDescent="0.3">
      <c r="A1571" s="12" t="s">
        <v>10466</v>
      </c>
      <c r="B1571" s="12" t="s">
        <v>12</v>
      </c>
      <c r="C1571" s="12"/>
      <c r="D1571" s="12" t="s">
        <v>12</v>
      </c>
      <c r="E1571" s="12" t="s">
        <v>10467</v>
      </c>
      <c r="F1571" s="12"/>
      <c r="G1571" s="12" t="s">
        <v>3041</v>
      </c>
      <c r="H1571" s="12" t="s">
        <v>71</v>
      </c>
      <c r="I1571" s="12" t="s">
        <v>28</v>
      </c>
      <c r="J1571" s="13" t="s">
        <v>3042</v>
      </c>
      <c r="K1571" s="14" t="s">
        <v>10468</v>
      </c>
      <c r="L1571" s="15">
        <v>0</v>
      </c>
      <c r="M1571" s="15" t="s">
        <v>144</v>
      </c>
      <c r="N1571" s="16">
        <v>43276</v>
      </c>
      <c r="O1571" s="12" t="s">
        <v>10469</v>
      </c>
      <c r="P1571" s="14" t="s">
        <v>10470</v>
      </c>
      <c r="Q1571" s="17" t="s">
        <v>137</v>
      </c>
      <c r="R1571" s="17" t="s">
        <v>146</v>
      </c>
    </row>
    <row r="1572" spans="1:18" x14ac:dyDescent="0.3">
      <c r="A1572" s="12" t="s">
        <v>10471</v>
      </c>
      <c r="B1572" s="12" t="s">
        <v>14</v>
      </c>
      <c r="C1572" s="12"/>
      <c r="D1572" s="12" t="s">
        <v>14</v>
      </c>
      <c r="E1572" s="12" t="s">
        <v>10472</v>
      </c>
      <c r="F1572" s="12"/>
      <c r="G1572" s="12" t="s">
        <v>3041</v>
      </c>
      <c r="H1572" s="12" t="s">
        <v>71</v>
      </c>
      <c r="I1572" s="12" t="s">
        <v>28</v>
      </c>
      <c r="J1572" s="13" t="s">
        <v>3042</v>
      </c>
      <c r="K1572" s="14" t="s">
        <v>10473</v>
      </c>
      <c r="L1572" s="15">
        <v>0</v>
      </c>
      <c r="M1572" s="15" t="s">
        <v>144</v>
      </c>
      <c r="N1572" s="16">
        <v>40396</v>
      </c>
      <c r="O1572" s="12" t="s">
        <v>10471</v>
      </c>
      <c r="P1572" s="14" t="s">
        <v>10474</v>
      </c>
      <c r="Q1572" s="17" t="s">
        <v>137</v>
      </c>
      <c r="R1572" s="17" t="s">
        <v>146</v>
      </c>
    </row>
    <row r="1573" spans="1:18" x14ac:dyDescent="0.3">
      <c r="A1573" s="12" t="s">
        <v>10475</v>
      </c>
      <c r="B1573" s="12" t="s">
        <v>14</v>
      </c>
      <c r="C1573" s="12"/>
      <c r="D1573" s="12" t="s">
        <v>14</v>
      </c>
      <c r="E1573" s="12" t="s">
        <v>10476</v>
      </c>
      <c r="F1573" s="12"/>
      <c r="G1573" s="12" t="s">
        <v>10477</v>
      </c>
      <c r="H1573" s="12" t="s">
        <v>71</v>
      </c>
      <c r="I1573" s="12" t="s">
        <v>28</v>
      </c>
      <c r="J1573" s="13" t="s">
        <v>10478</v>
      </c>
      <c r="K1573" s="14" t="s">
        <v>10479</v>
      </c>
      <c r="L1573" s="15">
        <v>0</v>
      </c>
      <c r="M1573" s="15" t="s">
        <v>144</v>
      </c>
      <c r="N1573" s="16">
        <v>39454</v>
      </c>
      <c r="O1573" s="12" t="s">
        <v>10480</v>
      </c>
      <c r="P1573" s="14" t="s">
        <v>10481</v>
      </c>
      <c r="Q1573" s="17" t="s">
        <v>137</v>
      </c>
      <c r="R1573" s="17" t="s">
        <v>146</v>
      </c>
    </row>
    <row r="1574" spans="1:18" x14ac:dyDescent="0.3">
      <c r="A1574" s="12" t="s">
        <v>10482</v>
      </c>
      <c r="B1574" s="12" t="s">
        <v>12</v>
      </c>
      <c r="C1574" s="12"/>
      <c r="D1574" s="12" t="s">
        <v>12</v>
      </c>
      <c r="E1574" s="12" t="s">
        <v>10483</v>
      </c>
      <c r="F1574" s="12" t="s">
        <v>248</v>
      </c>
      <c r="G1574" s="12" t="s">
        <v>3054</v>
      </c>
      <c r="H1574" s="12" t="s">
        <v>49</v>
      </c>
      <c r="I1574" s="12" t="s">
        <v>28</v>
      </c>
      <c r="J1574" s="13" t="s">
        <v>3055</v>
      </c>
      <c r="K1574" s="14" t="s">
        <v>10484</v>
      </c>
      <c r="L1574" s="15">
        <v>3</v>
      </c>
      <c r="M1574" s="15" t="s">
        <v>144</v>
      </c>
      <c r="N1574" s="16">
        <v>43054</v>
      </c>
      <c r="O1574" s="12" t="s">
        <v>10482</v>
      </c>
      <c r="P1574" s="14" t="s">
        <v>10485</v>
      </c>
      <c r="Q1574" s="17" t="s">
        <v>137</v>
      </c>
      <c r="R1574" s="17" t="s">
        <v>146</v>
      </c>
    </row>
    <row r="1575" spans="1:18" x14ac:dyDescent="0.3">
      <c r="A1575" s="12" t="s">
        <v>10486</v>
      </c>
      <c r="B1575" s="12" t="s">
        <v>12</v>
      </c>
      <c r="C1575" s="12"/>
      <c r="D1575" s="12" t="s">
        <v>12</v>
      </c>
      <c r="E1575" s="12" t="s">
        <v>10487</v>
      </c>
      <c r="F1575" s="12"/>
      <c r="G1575" s="12" t="s">
        <v>3054</v>
      </c>
      <c r="H1575" s="12" t="s">
        <v>49</v>
      </c>
      <c r="I1575" s="12" t="s">
        <v>28</v>
      </c>
      <c r="J1575" s="13" t="s">
        <v>3055</v>
      </c>
      <c r="K1575" s="14" t="s">
        <v>10488</v>
      </c>
      <c r="L1575" s="15">
        <v>1</v>
      </c>
      <c r="M1575" s="15" t="s">
        <v>144</v>
      </c>
      <c r="N1575" s="16">
        <v>44065</v>
      </c>
      <c r="O1575" s="12" t="s">
        <v>10489</v>
      </c>
      <c r="P1575" s="14" t="s">
        <v>10490</v>
      </c>
      <c r="Q1575" s="17" t="s">
        <v>137</v>
      </c>
      <c r="R1575" s="17" t="s">
        <v>146</v>
      </c>
    </row>
    <row r="1576" spans="1:18" x14ac:dyDescent="0.3">
      <c r="A1576" s="12" t="s">
        <v>10491</v>
      </c>
      <c r="B1576" s="12" t="s">
        <v>12</v>
      </c>
      <c r="C1576" s="12"/>
      <c r="D1576" s="12" t="s">
        <v>12</v>
      </c>
      <c r="E1576" s="12" t="s">
        <v>10492</v>
      </c>
      <c r="F1576" s="12"/>
      <c r="G1576" s="12" t="s">
        <v>3054</v>
      </c>
      <c r="H1576" s="12" t="s">
        <v>49</v>
      </c>
      <c r="I1576" s="12" t="s">
        <v>28</v>
      </c>
      <c r="J1576" s="13" t="s">
        <v>3055</v>
      </c>
      <c r="K1576" s="14" t="s">
        <v>10493</v>
      </c>
      <c r="L1576" s="15">
        <v>1</v>
      </c>
      <c r="M1576" s="15" t="s">
        <v>144</v>
      </c>
      <c r="N1576" s="16">
        <v>44497</v>
      </c>
      <c r="O1576" s="12" t="s">
        <v>10491</v>
      </c>
      <c r="P1576" s="14" t="s">
        <v>10494</v>
      </c>
      <c r="Q1576" s="17" t="s">
        <v>137</v>
      </c>
      <c r="R1576" s="17" t="s">
        <v>146</v>
      </c>
    </row>
    <row r="1577" spans="1:18" x14ac:dyDescent="0.3">
      <c r="A1577" s="12" t="s">
        <v>10495</v>
      </c>
      <c r="B1577" s="12" t="s">
        <v>12</v>
      </c>
      <c r="C1577" s="12"/>
      <c r="D1577" s="12" t="s">
        <v>12</v>
      </c>
      <c r="E1577" s="12" t="s">
        <v>3080</v>
      </c>
      <c r="F1577" s="12" t="s">
        <v>3081</v>
      </c>
      <c r="G1577" s="12" t="s">
        <v>3054</v>
      </c>
      <c r="H1577" s="12" t="s">
        <v>49</v>
      </c>
      <c r="I1577" s="12" t="s">
        <v>28</v>
      </c>
      <c r="J1577" s="13" t="s">
        <v>3055</v>
      </c>
      <c r="K1577" s="14" t="s">
        <v>10496</v>
      </c>
      <c r="L1577" s="15">
        <v>2</v>
      </c>
      <c r="M1577" s="15" t="s">
        <v>144</v>
      </c>
      <c r="N1577" s="16">
        <v>44550</v>
      </c>
      <c r="O1577" s="12" t="s">
        <v>10495</v>
      </c>
      <c r="P1577" s="14" t="s">
        <v>10497</v>
      </c>
      <c r="Q1577" s="17" t="s">
        <v>137</v>
      </c>
      <c r="R1577" s="17" t="s">
        <v>146</v>
      </c>
    </row>
    <row r="1578" spans="1:18" x14ac:dyDescent="0.3">
      <c r="A1578" s="12" t="s">
        <v>10498</v>
      </c>
      <c r="B1578" s="12" t="s">
        <v>12</v>
      </c>
      <c r="C1578" s="12"/>
      <c r="D1578" s="12" t="s">
        <v>12</v>
      </c>
      <c r="E1578" s="12" t="s">
        <v>10499</v>
      </c>
      <c r="F1578" s="12"/>
      <c r="G1578" s="12" t="s">
        <v>3054</v>
      </c>
      <c r="H1578" s="12" t="s">
        <v>49</v>
      </c>
      <c r="I1578" s="12" t="s">
        <v>28</v>
      </c>
      <c r="J1578" s="13" t="s">
        <v>3055</v>
      </c>
      <c r="K1578" s="14" t="s">
        <v>10496</v>
      </c>
      <c r="L1578" s="15">
        <v>1</v>
      </c>
      <c r="M1578" s="15" t="s">
        <v>144</v>
      </c>
      <c r="N1578" s="16">
        <v>42390</v>
      </c>
      <c r="O1578" s="12" t="s">
        <v>10498</v>
      </c>
      <c r="P1578" s="14" t="s">
        <v>10500</v>
      </c>
      <c r="Q1578" s="17" t="s">
        <v>137</v>
      </c>
      <c r="R1578" s="17" t="s">
        <v>146</v>
      </c>
    </row>
    <row r="1579" spans="1:18" x14ac:dyDescent="0.3">
      <c r="A1579" s="12" t="s">
        <v>10501</v>
      </c>
      <c r="B1579" s="12" t="s">
        <v>12</v>
      </c>
      <c r="C1579" s="12"/>
      <c r="D1579" s="12" t="s">
        <v>12</v>
      </c>
      <c r="E1579" s="12" t="s">
        <v>10499</v>
      </c>
      <c r="F1579" s="12"/>
      <c r="G1579" s="12" t="s">
        <v>3054</v>
      </c>
      <c r="H1579" s="12" t="s">
        <v>49</v>
      </c>
      <c r="I1579" s="12" t="s">
        <v>28</v>
      </c>
      <c r="J1579" s="13" t="s">
        <v>3055</v>
      </c>
      <c r="K1579" s="14" t="s">
        <v>10496</v>
      </c>
      <c r="L1579" s="15">
        <v>1</v>
      </c>
      <c r="M1579" s="15" t="s">
        <v>144</v>
      </c>
      <c r="N1579" s="16">
        <v>40571</v>
      </c>
      <c r="O1579" s="12" t="s">
        <v>10501</v>
      </c>
      <c r="P1579" s="14" t="s">
        <v>10502</v>
      </c>
      <c r="Q1579" s="17" t="s">
        <v>137</v>
      </c>
      <c r="R1579" s="17" t="s">
        <v>146</v>
      </c>
    </row>
    <row r="1580" spans="1:18" x14ac:dyDescent="0.3">
      <c r="A1580" s="12" t="s">
        <v>10503</v>
      </c>
      <c r="B1580" s="12" t="s">
        <v>12</v>
      </c>
      <c r="C1580" s="12"/>
      <c r="D1580" s="12" t="s">
        <v>12</v>
      </c>
      <c r="E1580" s="12" t="s">
        <v>10504</v>
      </c>
      <c r="F1580" s="12"/>
      <c r="G1580" s="12" t="s">
        <v>3054</v>
      </c>
      <c r="H1580" s="12" t="s">
        <v>49</v>
      </c>
      <c r="I1580" s="12" t="s">
        <v>28</v>
      </c>
      <c r="J1580" s="13" t="s">
        <v>3055</v>
      </c>
      <c r="K1580" s="14" t="s">
        <v>10484</v>
      </c>
      <c r="L1580" s="15">
        <v>1</v>
      </c>
      <c r="M1580" s="15" t="s">
        <v>144</v>
      </c>
      <c r="N1580" s="16">
        <v>39325</v>
      </c>
      <c r="O1580" s="12" t="s">
        <v>10503</v>
      </c>
      <c r="P1580" s="14" t="s">
        <v>10505</v>
      </c>
      <c r="Q1580" s="17" t="s">
        <v>137</v>
      </c>
      <c r="R1580" s="17" t="s">
        <v>146</v>
      </c>
    </row>
    <row r="1581" spans="1:18" x14ac:dyDescent="0.3">
      <c r="A1581" s="12" t="s">
        <v>10506</v>
      </c>
      <c r="B1581" s="12" t="s">
        <v>10</v>
      </c>
      <c r="C1581" s="12"/>
      <c r="D1581" s="12" t="s">
        <v>647</v>
      </c>
      <c r="E1581" s="12" t="s">
        <v>3072</v>
      </c>
      <c r="F1581" s="12"/>
      <c r="G1581" s="12" t="s">
        <v>3054</v>
      </c>
      <c r="H1581" s="12" t="s">
        <v>49</v>
      </c>
      <c r="I1581" s="12" t="s">
        <v>28</v>
      </c>
      <c r="J1581" s="13" t="s">
        <v>3055</v>
      </c>
      <c r="K1581" s="14" t="s">
        <v>10507</v>
      </c>
      <c r="L1581" s="15">
        <v>0</v>
      </c>
      <c r="M1581" s="15" t="s">
        <v>144</v>
      </c>
      <c r="N1581" s="16">
        <v>43056</v>
      </c>
      <c r="O1581" s="12" t="s">
        <v>10506</v>
      </c>
      <c r="P1581" s="14" t="s">
        <v>10508</v>
      </c>
      <c r="Q1581" s="17" t="s">
        <v>137</v>
      </c>
      <c r="R1581" s="17" t="s">
        <v>146</v>
      </c>
    </row>
    <row r="1582" spans="1:18" x14ac:dyDescent="0.3">
      <c r="A1582" s="12" t="s">
        <v>10509</v>
      </c>
      <c r="B1582" s="12" t="s">
        <v>12</v>
      </c>
      <c r="C1582" s="12"/>
      <c r="D1582" s="12" t="s">
        <v>12</v>
      </c>
      <c r="E1582" s="12" t="s">
        <v>10483</v>
      </c>
      <c r="F1582" s="12" t="s">
        <v>248</v>
      </c>
      <c r="G1582" s="12" t="s">
        <v>3054</v>
      </c>
      <c r="H1582" s="12" t="s">
        <v>49</v>
      </c>
      <c r="I1582" s="12" t="s">
        <v>28</v>
      </c>
      <c r="J1582" s="13" t="s">
        <v>3055</v>
      </c>
      <c r="K1582" s="14" t="s">
        <v>10484</v>
      </c>
      <c r="L1582" s="15">
        <v>3</v>
      </c>
      <c r="M1582" s="15" t="s">
        <v>144</v>
      </c>
      <c r="N1582" s="16">
        <v>42019</v>
      </c>
      <c r="O1582" s="12" t="s">
        <v>10509</v>
      </c>
      <c r="P1582" s="14" t="s">
        <v>10510</v>
      </c>
      <c r="Q1582" s="17" t="s">
        <v>137</v>
      </c>
      <c r="R1582" s="17" t="s">
        <v>146</v>
      </c>
    </row>
    <row r="1583" spans="1:18" x14ac:dyDescent="0.3">
      <c r="A1583" s="12" t="s">
        <v>10511</v>
      </c>
      <c r="B1583" s="12" t="s">
        <v>12</v>
      </c>
      <c r="C1583" s="12"/>
      <c r="D1583" s="12" t="s">
        <v>12</v>
      </c>
      <c r="E1583" s="12" t="s">
        <v>10512</v>
      </c>
      <c r="F1583" s="12"/>
      <c r="G1583" s="12" t="s">
        <v>3054</v>
      </c>
      <c r="H1583" s="12" t="s">
        <v>49</v>
      </c>
      <c r="I1583" s="12" t="s">
        <v>28</v>
      </c>
      <c r="J1583" s="13" t="s">
        <v>3055</v>
      </c>
      <c r="K1583" s="14" t="s">
        <v>10513</v>
      </c>
      <c r="L1583" s="15">
        <v>1</v>
      </c>
      <c r="M1583" s="15" t="s">
        <v>144</v>
      </c>
      <c r="N1583" s="16">
        <v>44438</v>
      </c>
      <c r="O1583" s="12" t="s">
        <v>10511</v>
      </c>
      <c r="P1583" s="14" t="s">
        <v>10514</v>
      </c>
      <c r="Q1583" s="17" t="s">
        <v>137</v>
      </c>
      <c r="R1583" s="17" t="s">
        <v>146</v>
      </c>
    </row>
    <row r="1584" spans="1:18" x14ac:dyDescent="0.3">
      <c r="A1584" s="12" t="s">
        <v>10515</v>
      </c>
      <c r="B1584" s="12" t="s">
        <v>10</v>
      </c>
      <c r="C1584" s="12"/>
      <c r="D1584" s="12" t="s">
        <v>157</v>
      </c>
      <c r="E1584" s="12" t="s">
        <v>10516</v>
      </c>
      <c r="F1584" s="12"/>
      <c r="G1584" s="12" t="s">
        <v>3054</v>
      </c>
      <c r="H1584" s="12" t="s">
        <v>49</v>
      </c>
      <c r="I1584" s="12" t="s">
        <v>28</v>
      </c>
      <c r="J1584" s="13" t="s">
        <v>3055</v>
      </c>
      <c r="K1584" s="14" t="s">
        <v>10517</v>
      </c>
      <c r="L1584" s="15">
        <v>0</v>
      </c>
      <c r="M1584" s="15" t="s">
        <v>144</v>
      </c>
      <c r="N1584" s="16">
        <v>40643</v>
      </c>
      <c r="O1584" s="12" t="s">
        <v>10515</v>
      </c>
      <c r="P1584" s="14" t="s">
        <v>10518</v>
      </c>
      <c r="Q1584" s="17" t="s">
        <v>137</v>
      </c>
      <c r="R1584" s="17" t="s">
        <v>146</v>
      </c>
    </row>
    <row r="1585" spans="1:18" x14ac:dyDescent="0.3">
      <c r="A1585" s="12" t="s">
        <v>10519</v>
      </c>
      <c r="B1585" s="12" t="s">
        <v>12</v>
      </c>
      <c r="C1585" s="12"/>
      <c r="D1585" s="12" t="s">
        <v>12</v>
      </c>
      <c r="E1585" s="12" t="s">
        <v>10520</v>
      </c>
      <c r="F1585" s="12"/>
      <c r="G1585" s="12" t="s">
        <v>3054</v>
      </c>
      <c r="H1585" s="12" t="s">
        <v>49</v>
      </c>
      <c r="I1585" s="12" t="s">
        <v>28</v>
      </c>
      <c r="J1585" s="13" t="s">
        <v>3055</v>
      </c>
      <c r="K1585" s="14" t="s">
        <v>10521</v>
      </c>
      <c r="L1585" s="15">
        <v>4</v>
      </c>
      <c r="M1585" s="15" t="s">
        <v>144</v>
      </c>
      <c r="N1585" s="16">
        <v>42671</v>
      </c>
      <c r="O1585" s="12" t="s">
        <v>10519</v>
      </c>
      <c r="P1585" s="14" t="s">
        <v>10522</v>
      </c>
      <c r="Q1585" s="17" t="s">
        <v>137</v>
      </c>
      <c r="R1585" s="17" t="s">
        <v>146</v>
      </c>
    </row>
    <row r="1586" spans="1:18" x14ac:dyDescent="0.3">
      <c r="A1586" s="12" t="s">
        <v>10523</v>
      </c>
      <c r="B1586" s="12" t="s">
        <v>12</v>
      </c>
      <c r="C1586" s="12"/>
      <c r="D1586" s="12" t="s">
        <v>12</v>
      </c>
      <c r="E1586" s="12" t="s">
        <v>10520</v>
      </c>
      <c r="F1586" s="12"/>
      <c r="G1586" s="12" t="s">
        <v>3054</v>
      </c>
      <c r="H1586" s="12" t="s">
        <v>49</v>
      </c>
      <c r="I1586" s="12" t="s">
        <v>28</v>
      </c>
      <c r="J1586" s="13" t="s">
        <v>3055</v>
      </c>
      <c r="K1586" s="14" t="s">
        <v>10524</v>
      </c>
      <c r="L1586" s="15">
        <v>4</v>
      </c>
      <c r="M1586" s="15" t="s">
        <v>144</v>
      </c>
      <c r="N1586" s="16">
        <v>39916</v>
      </c>
      <c r="O1586" s="12" t="s">
        <v>10523</v>
      </c>
      <c r="P1586" s="14" t="s">
        <v>10525</v>
      </c>
      <c r="Q1586" s="17" t="s">
        <v>137</v>
      </c>
      <c r="R1586" s="17" t="s">
        <v>146</v>
      </c>
    </row>
    <row r="1587" spans="1:18" x14ac:dyDescent="0.3">
      <c r="A1587" s="12" t="s">
        <v>10526</v>
      </c>
      <c r="B1587" s="12" t="s">
        <v>12</v>
      </c>
      <c r="C1587" s="12"/>
      <c r="D1587" s="12" t="s">
        <v>12</v>
      </c>
      <c r="E1587" s="12" t="s">
        <v>10527</v>
      </c>
      <c r="F1587" s="12"/>
      <c r="G1587" s="12" t="s">
        <v>3054</v>
      </c>
      <c r="H1587" s="12" t="s">
        <v>49</v>
      </c>
      <c r="I1587" s="12" t="s">
        <v>28</v>
      </c>
      <c r="J1587" s="13" t="s">
        <v>3055</v>
      </c>
      <c r="K1587" s="14" t="s">
        <v>10528</v>
      </c>
      <c r="L1587" s="15">
        <v>1</v>
      </c>
      <c r="M1587" s="15" t="s">
        <v>144</v>
      </c>
      <c r="N1587" s="16">
        <v>41612</v>
      </c>
      <c r="O1587" s="12" t="s">
        <v>10529</v>
      </c>
      <c r="P1587" s="14" t="s">
        <v>10530</v>
      </c>
      <c r="Q1587" s="17" t="s">
        <v>137</v>
      </c>
      <c r="R1587" s="17" t="s">
        <v>146</v>
      </c>
    </row>
    <row r="1588" spans="1:18" x14ac:dyDescent="0.3">
      <c r="A1588" s="12" t="s">
        <v>10531</v>
      </c>
      <c r="B1588" s="12" t="s">
        <v>12</v>
      </c>
      <c r="C1588" s="12"/>
      <c r="D1588" s="12" t="s">
        <v>12</v>
      </c>
      <c r="E1588" s="12" t="s">
        <v>10532</v>
      </c>
      <c r="F1588" s="12"/>
      <c r="G1588" s="12" t="s">
        <v>3054</v>
      </c>
      <c r="H1588" s="12" t="s">
        <v>49</v>
      </c>
      <c r="I1588" s="12" t="s">
        <v>28</v>
      </c>
      <c r="J1588" s="13" t="s">
        <v>3055</v>
      </c>
      <c r="K1588" s="14" t="s">
        <v>10533</v>
      </c>
      <c r="L1588" s="15">
        <v>0</v>
      </c>
      <c r="M1588" s="15" t="s">
        <v>144</v>
      </c>
      <c r="N1588" s="16">
        <v>40465</v>
      </c>
      <c r="O1588" s="12" t="s">
        <v>10531</v>
      </c>
      <c r="P1588" s="14" t="s">
        <v>10534</v>
      </c>
      <c r="Q1588" s="17" t="s">
        <v>137</v>
      </c>
      <c r="R1588" s="17" t="s">
        <v>146</v>
      </c>
    </row>
    <row r="1589" spans="1:18" x14ac:dyDescent="0.3">
      <c r="A1589" s="12" t="s">
        <v>10535</v>
      </c>
      <c r="B1589" s="12" t="s">
        <v>12</v>
      </c>
      <c r="C1589" s="12"/>
      <c r="D1589" s="12" t="s">
        <v>12</v>
      </c>
      <c r="E1589" s="12" t="s">
        <v>10483</v>
      </c>
      <c r="F1589" s="12" t="s">
        <v>248</v>
      </c>
      <c r="G1589" s="12" t="s">
        <v>3054</v>
      </c>
      <c r="H1589" s="12" t="s">
        <v>49</v>
      </c>
      <c r="I1589" s="12" t="s">
        <v>28</v>
      </c>
      <c r="J1589" s="13" t="s">
        <v>3055</v>
      </c>
      <c r="K1589" s="14" t="s">
        <v>10484</v>
      </c>
      <c r="L1589" s="15">
        <v>3</v>
      </c>
      <c r="M1589" s="15" t="s">
        <v>144</v>
      </c>
      <c r="N1589" s="16">
        <v>44160</v>
      </c>
      <c r="O1589" s="12" t="s">
        <v>10535</v>
      </c>
      <c r="P1589" s="14" t="s">
        <v>10536</v>
      </c>
      <c r="Q1589" s="17" t="s">
        <v>137</v>
      </c>
      <c r="R1589" s="17" t="s">
        <v>146</v>
      </c>
    </row>
    <row r="1590" spans="1:18" x14ac:dyDescent="0.3">
      <c r="A1590" s="12" t="s">
        <v>10537</v>
      </c>
      <c r="B1590" s="12" t="s">
        <v>12</v>
      </c>
      <c r="C1590" s="12"/>
      <c r="D1590" s="12" t="s">
        <v>12</v>
      </c>
      <c r="E1590" s="12" t="s">
        <v>10538</v>
      </c>
      <c r="F1590" s="12"/>
      <c r="G1590" s="12" t="s">
        <v>3054</v>
      </c>
      <c r="H1590" s="12" t="s">
        <v>49</v>
      </c>
      <c r="I1590" s="12" t="s">
        <v>28</v>
      </c>
      <c r="J1590" s="13" t="s">
        <v>3055</v>
      </c>
      <c r="K1590" s="14" t="s">
        <v>10539</v>
      </c>
      <c r="L1590" s="15">
        <v>0</v>
      </c>
      <c r="M1590" s="15" t="s">
        <v>144</v>
      </c>
      <c r="N1590" s="16">
        <v>41032</v>
      </c>
      <c r="O1590" s="12" t="s">
        <v>10537</v>
      </c>
      <c r="P1590" s="14" t="s">
        <v>10540</v>
      </c>
      <c r="Q1590" s="17" t="s">
        <v>137</v>
      </c>
      <c r="R1590" s="17" t="s">
        <v>146</v>
      </c>
    </row>
    <row r="1591" spans="1:18" x14ac:dyDescent="0.3">
      <c r="A1591" s="12" t="s">
        <v>10541</v>
      </c>
      <c r="B1591" s="12" t="s">
        <v>12</v>
      </c>
      <c r="C1591" s="12"/>
      <c r="D1591" s="12" t="s">
        <v>12</v>
      </c>
      <c r="E1591" s="12" t="s">
        <v>10542</v>
      </c>
      <c r="F1591" s="12"/>
      <c r="G1591" s="12" t="s">
        <v>3103</v>
      </c>
      <c r="H1591" s="12" t="s">
        <v>49</v>
      </c>
      <c r="I1591" s="12" t="s">
        <v>28</v>
      </c>
      <c r="J1591" s="13" t="s">
        <v>3104</v>
      </c>
      <c r="K1591" s="14" t="s">
        <v>10543</v>
      </c>
      <c r="L1591" s="15">
        <v>0</v>
      </c>
      <c r="M1591" s="15" t="s">
        <v>144</v>
      </c>
      <c r="N1591" s="16">
        <v>40962</v>
      </c>
      <c r="O1591" s="12" t="s">
        <v>10544</v>
      </c>
      <c r="P1591" s="14" t="s">
        <v>10545</v>
      </c>
      <c r="Q1591" s="17" t="s">
        <v>137</v>
      </c>
      <c r="R1591" s="17" t="s">
        <v>146</v>
      </c>
    </row>
    <row r="1592" spans="1:18" x14ac:dyDescent="0.3">
      <c r="A1592" s="12" t="s">
        <v>10546</v>
      </c>
      <c r="B1592" s="12" t="s">
        <v>20</v>
      </c>
      <c r="C1592" s="12"/>
      <c r="D1592" s="12" t="s">
        <v>193</v>
      </c>
      <c r="E1592" s="12" t="s">
        <v>10547</v>
      </c>
      <c r="F1592" s="12"/>
      <c r="G1592" s="12" t="s">
        <v>3109</v>
      </c>
      <c r="H1592" s="12" t="s">
        <v>60</v>
      </c>
      <c r="I1592" s="12" t="s">
        <v>28</v>
      </c>
      <c r="J1592" s="13" t="s">
        <v>3110</v>
      </c>
      <c r="K1592" s="14" t="s">
        <v>10548</v>
      </c>
      <c r="L1592" s="15">
        <v>0</v>
      </c>
      <c r="M1592" s="15" t="s">
        <v>144</v>
      </c>
      <c r="N1592" s="16">
        <v>39737</v>
      </c>
      <c r="O1592" s="12" t="s">
        <v>10546</v>
      </c>
      <c r="P1592" s="14" t="s">
        <v>10549</v>
      </c>
      <c r="Q1592" s="17" t="s">
        <v>137</v>
      </c>
      <c r="R1592" s="17" t="s">
        <v>146</v>
      </c>
    </row>
    <row r="1593" spans="1:18" x14ac:dyDescent="0.3">
      <c r="A1593" s="12" t="s">
        <v>10550</v>
      </c>
      <c r="B1593" s="12" t="s">
        <v>12</v>
      </c>
      <c r="C1593" s="12"/>
      <c r="D1593" s="12" t="s">
        <v>12</v>
      </c>
      <c r="E1593" s="12" t="s">
        <v>10551</v>
      </c>
      <c r="F1593" s="12" t="s">
        <v>372</v>
      </c>
      <c r="G1593" s="12" t="s">
        <v>3109</v>
      </c>
      <c r="H1593" s="12" t="s">
        <v>60</v>
      </c>
      <c r="I1593" s="12" t="s">
        <v>28</v>
      </c>
      <c r="J1593" s="13" t="s">
        <v>3110</v>
      </c>
      <c r="K1593" s="14" t="s">
        <v>10552</v>
      </c>
      <c r="L1593" s="15">
        <v>1</v>
      </c>
      <c r="M1593" s="15" t="s">
        <v>144</v>
      </c>
      <c r="N1593" s="16">
        <v>43301</v>
      </c>
      <c r="O1593" s="12" t="s">
        <v>10550</v>
      </c>
      <c r="P1593" s="14" t="s">
        <v>10553</v>
      </c>
      <c r="Q1593" s="17" t="s">
        <v>137</v>
      </c>
      <c r="R1593" s="17" t="s">
        <v>146</v>
      </c>
    </row>
    <row r="1594" spans="1:18" x14ac:dyDescent="0.3">
      <c r="A1594" s="12" t="s">
        <v>10554</v>
      </c>
      <c r="B1594" s="12" t="s">
        <v>14</v>
      </c>
      <c r="C1594" s="12"/>
      <c r="D1594" s="12" t="s">
        <v>14</v>
      </c>
      <c r="E1594" s="12" t="s">
        <v>10555</v>
      </c>
      <c r="F1594" s="12"/>
      <c r="G1594" s="12" t="s">
        <v>3109</v>
      </c>
      <c r="H1594" s="12" t="s">
        <v>60</v>
      </c>
      <c r="I1594" s="12" t="s">
        <v>28</v>
      </c>
      <c r="J1594" s="13" t="s">
        <v>3110</v>
      </c>
      <c r="K1594" s="14" t="s">
        <v>10556</v>
      </c>
      <c r="L1594" s="15">
        <v>10</v>
      </c>
      <c r="M1594" s="15" t="s">
        <v>144</v>
      </c>
      <c r="N1594" s="16">
        <v>41166</v>
      </c>
      <c r="O1594" s="12" t="s">
        <v>10554</v>
      </c>
      <c r="P1594" s="14" t="s">
        <v>10557</v>
      </c>
      <c r="Q1594" s="17" t="s">
        <v>137</v>
      </c>
      <c r="R1594" s="17" t="s">
        <v>146</v>
      </c>
    </row>
    <row r="1595" spans="1:18" x14ac:dyDescent="0.3">
      <c r="A1595" s="12" t="s">
        <v>10558</v>
      </c>
      <c r="B1595" s="12" t="s">
        <v>12</v>
      </c>
      <c r="C1595" s="12"/>
      <c r="D1595" s="12" t="s">
        <v>12</v>
      </c>
      <c r="E1595" s="12" t="s">
        <v>10559</v>
      </c>
      <c r="F1595" s="12"/>
      <c r="G1595" s="12" t="s">
        <v>3124</v>
      </c>
      <c r="H1595" s="12" t="s">
        <v>60</v>
      </c>
      <c r="I1595" s="12" t="s">
        <v>28</v>
      </c>
      <c r="J1595" s="13" t="s">
        <v>3125</v>
      </c>
      <c r="K1595" s="14" t="s">
        <v>10560</v>
      </c>
      <c r="L1595" s="15">
        <v>0</v>
      </c>
      <c r="M1595" s="15" t="s">
        <v>144</v>
      </c>
      <c r="N1595" s="16">
        <v>42963</v>
      </c>
      <c r="O1595" s="12" t="s">
        <v>10558</v>
      </c>
      <c r="P1595" s="14" t="s">
        <v>10561</v>
      </c>
      <c r="Q1595" s="17" t="s">
        <v>137</v>
      </c>
      <c r="R1595" s="17" t="s">
        <v>146</v>
      </c>
    </row>
    <row r="1596" spans="1:18" x14ac:dyDescent="0.3">
      <c r="A1596" s="12" t="s">
        <v>10550</v>
      </c>
      <c r="B1596" s="12" t="s">
        <v>12</v>
      </c>
      <c r="C1596" s="12"/>
      <c r="D1596" s="12" t="s">
        <v>12</v>
      </c>
      <c r="E1596" s="12" t="s">
        <v>10562</v>
      </c>
      <c r="F1596" s="12"/>
      <c r="G1596" s="12" t="s">
        <v>3124</v>
      </c>
      <c r="H1596" s="12" t="s">
        <v>60</v>
      </c>
      <c r="I1596" s="12" t="s">
        <v>28</v>
      </c>
      <c r="J1596" s="13" t="s">
        <v>3125</v>
      </c>
      <c r="K1596" s="14" t="s">
        <v>10563</v>
      </c>
      <c r="L1596" s="15">
        <v>0</v>
      </c>
      <c r="M1596" s="15" t="s">
        <v>144</v>
      </c>
      <c r="N1596" s="16">
        <v>43301</v>
      </c>
      <c r="O1596" s="12" t="s">
        <v>10550</v>
      </c>
      <c r="P1596" s="14" t="s">
        <v>10553</v>
      </c>
      <c r="Q1596" s="17" t="s">
        <v>137</v>
      </c>
      <c r="R1596" s="17" t="s">
        <v>146</v>
      </c>
    </row>
    <row r="1597" spans="1:18" x14ac:dyDescent="0.3">
      <c r="A1597" s="12" t="s">
        <v>10564</v>
      </c>
      <c r="B1597" s="12" t="s">
        <v>14</v>
      </c>
      <c r="C1597" s="12"/>
      <c r="D1597" s="12" t="s">
        <v>14</v>
      </c>
      <c r="E1597" s="12" t="s">
        <v>10565</v>
      </c>
      <c r="F1597" s="12"/>
      <c r="G1597" s="12" t="s">
        <v>10566</v>
      </c>
      <c r="H1597" s="12" t="s">
        <v>93</v>
      </c>
      <c r="I1597" s="12" t="s">
        <v>28</v>
      </c>
      <c r="J1597" s="13" t="s">
        <v>10567</v>
      </c>
      <c r="K1597" s="14" t="s">
        <v>10568</v>
      </c>
      <c r="L1597" s="15">
        <v>0</v>
      </c>
      <c r="M1597" s="15" t="s">
        <v>144</v>
      </c>
      <c r="N1597" s="16">
        <v>40557</v>
      </c>
      <c r="O1597" s="12" t="s">
        <v>10564</v>
      </c>
      <c r="P1597" s="14" t="s">
        <v>10569</v>
      </c>
      <c r="Q1597" s="17" t="s">
        <v>137</v>
      </c>
      <c r="R1597" s="17" t="s">
        <v>146</v>
      </c>
    </row>
    <row r="1598" spans="1:18" x14ac:dyDescent="0.3">
      <c r="A1598" s="12" t="s">
        <v>10570</v>
      </c>
      <c r="B1598" s="12" t="s">
        <v>12</v>
      </c>
      <c r="C1598" s="12"/>
      <c r="D1598" s="12" t="s">
        <v>12</v>
      </c>
      <c r="E1598" s="12" t="s">
        <v>10571</v>
      </c>
      <c r="F1598" s="12"/>
      <c r="G1598" s="12" t="s">
        <v>10566</v>
      </c>
      <c r="H1598" s="12" t="s">
        <v>93</v>
      </c>
      <c r="I1598" s="12" t="s">
        <v>28</v>
      </c>
      <c r="J1598" s="13" t="s">
        <v>10567</v>
      </c>
      <c r="K1598" s="14" t="s">
        <v>10572</v>
      </c>
      <c r="L1598" s="15">
        <v>1</v>
      </c>
      <c r="M1598" s="15" t="s">
        <v>144</v>
      </c>
      <c r="N1598" s="16">
        <v>39666</v>
      </c>
      <c r="O1598" s="12" t="s">
        <v>10570</v>
      </c>
      <c r="P1598" s="14" t="s">
        <v>10573</v>
      </c>
      <c r="Q1598" s="17" t="s">
        <v>137</v>
      </c>
      <c r="R1598" s="17" t="s">
        <v>146</v>
      </c>
    </row>
    <row r="1599" spans="1:18" x14ac:dyDescent="0.3">
      <c r="A1599" s="12" t="s">
        <v>10574</v>
      </c>
      <c r="B1599" s="12" t="s">
        <v>14</v>
      </c>
      <c r="C1599" s="12"/>
      <c r="D1599" s="12" t="s">
        <v>14</v>
      </c>
      <c r="E1599" s="12" t="s">
        <v>10575</v>
      </c>
      <c r="F1599" s="12"/>
      <c r="G1599" s="12" t="s">
        <v>10566</v>
      </c>
      <c r="H1599" s="12" t="s">
        <v>93</v>
      </c>
      <c r="I1599" s="12" t="s">
        <v>28</v>
      </c>
      <c r="J1599" s="13" t="s">
        <v>10567</v>
      </c>
      <c r="K1599" s="14" t="s">
        <v>10576</v>
      </c>
      <c r="L1599" s="15">
        <v>5</v>
      </c>
      <c r="M1599" s="15" t="s">
        <v>144</v>
      </c>
      <c r="N1599" s="16">
        <v>44021</v>
      </c>
      <c r="O1599" s="12" t="s">
        <v>3099</v>
      </c>
      <c r="P1599" s="14" t="s">
        <v>10577</v>
      </c>
      <c r="Q1599" s="17" t="s">
        <v>137</v>
      </c>
      <c r="R1599" s="17" t="s">
        <v>146</v>
      </c>
    </row>
    <row r="1600" spans="1:18" x14ac:dyDescent="0.3">
      <c r="A1600" s="12" t="s">
        <v>10578</v>
      </c>
      <c r="B1600" s="12" t="s">
        <v>12</v>
      </c>
      <c r="C1600" s="12"/>
      <c r="D1600" s="12" t="s">
        <v>12</v>
      </c>
      <c r="E1600" s="12" t="s">
        <v>10579</v>
      </c>
      <c r="F1600" s="12"/>
      <c r="G1600" s="12" t="s">
        <v>10566</v>
      </c>
      <c r="H1600" s="12" t="s">
        <v>93</v>
      </c>
      <c r="I1600" s="12" t="s">
        <v>28</v>
      </c>
      <c r="J1600" s="13" t="s">
        <v>10567</v>
      </c>
      <c r="K1600" s="14" t="s">
        <v>10580</v>
      </c>
      <c r="L1600" s="15">
        <v>0</v>
      </c>
      <c r="M1600" s="15" t="s">
        <v>144</v>
      </c>
      <c r="N1600" s="16">
        <v>39443</v>
      </c>
      <c r="O1600" s="12" t="s">
        <v>10578</v>
      </c>
      <c r="P1600" s="14" t="s">
        <v>10581</v>
      </c>
      <c r="Q1600" s="17" t="s">
        <v>137</v>
      </c>
      <c r="R1600" s="17" t="s">
        <v>146</v>
      </c>
    </row>
    <row r="1601" spans="1:18" x14ac:dyDescent="0.3">
      <c r="A1601" s="12" t="s">
        <v>10582</v>
      </c>
      <c r="B1601" s="12" t="s">
        <v>12</v>
      </c>
      <c r="C1601" s="12"/>
      <c r="D1601" s="12" t="s">
        <v>12</v>
      </c>
      <c r="E1601" s="12" t="s">
        <v>10583</v>
      </c>
      <c r="F1601" s="12"/>
      <c r="G1601" s="12" t="s">
        <v>10566</v>
      </c>
      <c r="H1601" s="12" t="s">
        <v>93</v>
      </c>
      <c r="I1601" s="12" t="s">
        <v>28</v>
      </c>
      <c r="J1601" s="13" t="s">
        <v>10567</v>
      </c>
      <c r="K1601" s="14" t="s">
        <v>10580</v>
      </c>
      <c r="L1601" s="15">
        <v>1</v>
      </c>
      <c r="M1601" s="15" t="s">
        <v>144</v>
      </c>
      <c r="N1601" s="16">
        <v>40367</v>
      </c>
      <c r="O1601" s="12" t="s">
        <v>10582</v>
      </c>
      <c r="P1601" s="14" t="s">
        <v>10584</v>
      </c>
      <c r="Q1601" s="17" t="s">
        <v>137</v>
      </c>
      <c r="R1601" s="17" t="s">
        <v>146</v>
      </c>
    </row>
    <row r="1602" spans="1:18" x14ac:dyDescent="0.3">
      <c r="A1602" s="12" t="s">
        <v>10585</v>
      </c>
      <c r="B1602" s="12" t="s">
        <v>12</v>
      </c>
      <c r="C1602" s="12"/>
      <c r="D1602" s="12" t="s">
        <v>12</v>
      </c>
      <c r="E1602" s="12" t="s">
        <v>10586</v>
      </c>
      <c r="F1602" s="12"/>
      <c r="G1602" s="12" t="s">
        <v>3138</v>
      </c>
      <c r="H1602" s="12" t="s">
        <v>94</v>
      </c>
      <c r="I1602" s="12" t="s">
        <v>28</v>
      </c>
      <c r="J1602" s="13" t="s">
        <v>3139</v>
      </c>
      <c r="K1602" s="14" t="s">
        <v>10587</v>
      </c>
      <c r="L1602" s="15">
        <v>0</v>
      </c>
      <c r="M1602" s="15" t="s">
        <v>144</v>
      </c>
      <c r="N1602" s="16">
        <v>40638</v>
      </c>
      <c r="O1602" s="12" t="s">
        <v>10585</v>
      </c>
      <c r="P1602" s="14" t="s">
        <v>10588</v>
      </c>
      <c r="Q1602" s="17" t="s">
        <v>137</v>
      </c>
      <c r="R1602" s="17" t="s">
        <v>146</v>
      </c>
    </row>
    <row r="1603" spans="1:18" x14ac:dyDescent="0.3">
      <c r="A1603" s="12" t="s">
        <v>10589</v>
      </c>
      <c r="B1603" s="12" t="s">
        <v>12</v>
      </c>
      <c r="C1603" s="12"/>
      <c r="D1603" s="12" t="s">
        <v>12</v>
      </c>
      <c r="E1603" s="12" t="s">
        <v>10590</v>
      </c>
      <c r="F1603" s="12"/>
      <c r="G1603" s="12" t="s">
        <v>10591</v>
      </c>
      <c r="H1603" s="12" t="s">
        <v>106</v>
      </c>
      <c r="I1603" s="12" t="s">
        <v>28</v>
      </c>
      <c r="J1603" s="13" t="s">
        <v>10592</v>
      </c>
      <c r="K1603" s="14" t="s">
        <v>10593</v>
      </c>
      <c r="L1603" s="15">
        <v>2</v>
      </c>
      <c r="M1603" s="15" t="s">
        <v>144</v>
      </c>
      <c r="N1603" s="16">
        <v>42237</v>
      </c>
      <c r="O1603" s="12" t="s">
        <v>10589</v>
      </c>
      <c r="P1603" s="14" t="s">
        <v>10594</v>
      </c>
      <c r="Q1603" s="17" t="s">
        <v>137</v>
      </c>
      <c r="R1603" s="17" t="s">
        <v>146</v>
      </c>
    </row>
    <row r="1604" spans="1:18" x14ac:dyDescent="0.3">
      <c r="A1604" s="12" t="s">
        <v>10595</v>
      </c>
      <c r="B1604" s="12" t="s">
        <v>12</v>
      </c>
      <c r="C1604" s="12"/>
      <c r="D1604" s="12" t="s">
        <v>12</v>
      </c>
      <c r="E1604" s="12" t="s">
        <v>10596</v>
      </c>
      <c r="F1604" s="12"/>
      <c r="G1604" s="12" t="s">
        <v>10591</v>
      </c>
      <c r="H1604" s="12" t="s">
        <v>106</v>
      </c>
      <c r="I1604" s="12" t="s">
        <v>28</v>
      </c>
      <c r="J1604" s="13" t="s">
        <v>10592</v>
      </c>
      <c r="K1604" s="14" t="s">
        <v>10597</v>
      </c>
      <c r="L1604" s="15">
        <v>1</v>
      </c>
      <c r="M1604" s="15" t="s">
        <v>144</v>
      </c>
      <c r="N1604" s="16">
        <v>41001</v>
      </c>
      <c r="O1604" s="12" t="s">
        <v>10595</v>
      </c>
      <c r="P1604" s="14" t="s">
        <v>10598</v>
      </c>
      <c r="Q1604" s="17" t="s">
        <v>137</v>
      </c>
      <c r="R1604" s="17" t="s">
        <v>146</v>
      </c>
    </row>
    <row r="1605" spans="1:18" x14ac:dyDescent="0.3">
      <c r="A1605" s="12" t="s">
        <v>10599</v>
      </c>
      <c r="B1605" s="12" t="s">
        <v>12</v>
      </c>
      <c r="C1605" s="12"/>
      <c r="D1605" s="12" t="s">
        <v>12</v>
      </c>
      <c r="E1605" s="12" t="s">
        <v>10600</v>
      </c>
      <c r="F1605" s="12"/>
      <c r="G1605" s="12" t="s">
        <v>3144</v>
      </c>
      <c r="H1605" s="12" t="s">
        <v>54</v>
      </c>
      <c r="I1605" s="12" t="s">
        <v>28</v>
      </c>
      <c r="J1605" s="13" t="s">
        <v>3145</v>
      </c>
      <c r="K1605" s="14" t="s">
        <v>10601</v>
      </c>
      <c r="L1605" s="15">
        <v>3</v>
      </c>
      <c r="M1605" s="15" t="s">
        <v>144</v>
      </c>
      <c r="N1605" s="16">
        <v>42717</v>
      </c>
      <c r="O1605" s="12" t="s">
        <v>10602</v>
      </c>
      <c r="P1605" s="14" t="s">
        <v>10603</v>
      </c>
      <c r="Q1605" s="17" t="s">
        <v>137</v>
      </c>
      <c r="R1605" s="17" t="s">
        <v>146</v>
      </c>
    </row>
    <row r="1606" spans="1:18" x14ac:dyDescent="0.3">
      <c r="A1606" s="12" t="s">
        <v>10604</v>
      </c>
      <c r="B1606" s="12" t="s">
        <v>12</v>
      </c>
      <c r="C1606" s="12"/>
      <c r="D1606" s="12" t="s">
        <v>12</v>
      </c>
      <c r="E1606" s="12" t="s">
        <v>10605</v>
      </c>
      <c r="F1606" s="12" t="s">
        <v>164</v>
      </c>
      <c r="G1606" s="12" t="s">
        <v>3144</v>
      </c>
      <c r="H1606" s="12" t="s">
        <v>54</v>
      </c>
      <c r="I1606" s="12" t="s">
        <v>28</v>
      </c>
      <c r="J1606" s="13" t="s">
        <v>3145</v>
      </c>
      <c r="K1606" s="14" t="s">
        <v>3155</v>
      </c>
      <c r="L1606" s="15">
        <v>1</v>
      </c>
      <c r="M1606" s="15" t="s">
        <v>144</v>
      </c>
      <c r="N1606" s="16">
        <v>40039</v>
      </c>
      <c r="O1606" s="12" t="s">
        <v>10606</v>
      </c>
      <c r="P1606" s="14" t="s">
        <v>10607</v>
      </c>
      <c r="Q1606" s="17" t="s">
        <v>137</v>
      </c>
      <c r="R1606" s="17" t="s">
        <v>146</v>
      </c>
    </row>
    <row r="1607" spans="1:18" x14ac:dyDescent="0.3">
      <c r="A1607" s="12" t="s">
        <v>10608</v>
      </c>
      <c r="B1607" s="12" t="s">
        <v>12</v>
      </c>
      <c r="C1607" s="12"/>
      <c r="D1607" s="12" t="s">
        <v>12</v>
      </c>
      <c r="E1607" s="12" t="s">
        <v>10609</v>
      </c>
      <c r="F1607" s="12" t="s">
        <v>188</v>
      </c>
      <c r="G1607" s="12" t="s">
        <v>3144</v>
      </c>
      <c r="H1607" s="12" t="s">
        <v>54</v>
      </c>
      <c r="I1607" s="12" t="s">
        <v>28</v>
      </c>
      <c r="J1607" s="13" t="s">
        <v>3145</v>
      </c>
      <c r="K1607" s="14" t="s">
        <v>10610</v>
      </c>
      <c r="L1607" s="15">
        <v>0</v>
      </c>
      <c r="M1607" s="15" t="s">
        <v>144</v>
      </c>
      <c r="N1607" s="16">
        <v>42089</v>
      </c>
      <c r="O1607" s="12" t="s">
        <v>10608</v>
      </c>
      <c r="P1607" s="14" t="s">
        <v>10611</v>
      </c>
      <c r="Q1607" s="17" t="s">
        <v>137</v>
      </c>
      <c r="R1607" s="17" t="s">
        <v>146</v>
      </c>
    </row>
    <row r="1608" spans="1:18" x14ac:dyDescent="0.3">
      <c r="A1608" s="12" t="s">
        <v>10612</v>
      </c>
      <c r="B1608" s="12" t="s">
        <v>12</v>
      </c>
      <c r="C1608" s="12"/>
      <c r="D1608" s="12" t="s">
        <v>12</v>
      </c>
      <c r="E1608" s="12" t="s">
        <v>10613</v>
      </c>
      <c r="F1608" s="12" t="s">
        <v>188</v>
      </c>
      <c r="G1608" s="12" t="s">
        <v>3144</v>
      </c>
      <c r="H1608" s="12" t="s">
        <v>54</v>
      </c>
      <c r="I1608" s="12" t="s">
        <v>28</v>
      </c>
      <c r="J1608" s="13" t="s">
        <v>3145</v>
      </c>
      <c r="K1608" s="14" t="s">
        <v>10614</v>
      </c>
      <c r="L1608" s="15">
        <v>3</v>
      </c>
      <c r="M1608" s="15" t="s">
        <v>144</v>
      </c>
      <c r="N1608" s="16">
        <v>40241</v>
      </c>
      <c r="O1608" s="12" t="s">
        <v>10612</v>
      </c>
      <c r="P1608" s="14" t="s">
        <v>10615</v>
      </c>
      <c r="Q1608" s="17" t="s">
        <v>137</v>
      </c>
      <c r="R1608" s="17" t="s">
        <v>146</v>
      </c>
    </row>
    <row r="1609" spans="1:18" x14ac:dyDescent="0.3">
      <c r="A1609" s="12" t="s">
        <v>10616</v>
      </c>
      <c r="B1609" s="12" t="s">
        <v>12</v>
      </c>
      <c r="C1609" s="12"/>
      <c r="D1609" s="12" t="s">
        <v>12</v>
      </c>
      <c r="E1609" s="12" t="s">
        <v>10617</v>
      </c>
      <c r="F1609" s="12" t="s">
        <v>1698</v>
      </c>
      <c r="G1609" s="12" t="s">
        <v>3144</v>
      </c>
      <c r="H1609" s="12" t="s">
        <v>54</v>
      </c>
      <c r="I1609" s="12" t="s">
        <v>28</v>
      </c>
      <c r="J1609" s="13" t="s">
        <v>3160</v>
      </c>
      <c r="K1609" s="14" t="s">
        <v>10618</v>
      </c>
      <c r="L1609" s="15">
        <v>0</v>
      </c>
      <c r="M1609" s="15" t="s">
        <v>144</v>
      </c>
      <c r="N1609" s="16">
        <v>41794</v>
      </c>
      <c r="O1609" s="12" t="s">
        <v>10616</v>
      </c>
      <c r="P1609" s="14" t="s">
        <v>10619</v>
      </c>
      <c r="Q1609" s="17" t="s">
        <v>137</v>
      </c>
      <c r="R1609" s="17" t="s">
        <v>146</v>
      </c>
    </row>
    <row r="1610" spans="1:18" x14ac:dyDescent="0.3">
      <c r="A1610" s="12" t="s">
        <v>6100</v>
      </c>
      <c r="B1610" s="12" t="s">
        <v>12</v>
      </c>
      <c r="C1610" s="12"/>
      <c r="D1610" s="12" t="s">
        <v>12</v>
      </c>
      <c r="E1610" s="12" t="s">
        <v>10620</v>
      </c>
      <c r="F1610" s="12" t="s">
        <v>164</v>
      </c>
      <c r="G1610" s="12" t="s">
        <v>3144</v>
      </c>
      <c r="H1610" s="12" t="s">
        <v>54</v>
      </c>
      <c r="I1610" s="12" t="s">
        <v>28</v>
      </c>
      <c r="J1610" s="13" t="s">
        <v>3145</v>
      </c>
      <c r="K1610" s="14" t="s">
        <v>10621</v>
      </c>
      <c r="L1610" s="15">
        <v>1</v>
      </c>
      <c r="M1610" s="15" t="s">
        <v>144</v>
      </c>
      <c r="N1610" s="16">
        <v>43510</v>
      </c>
      <c r="O1610" s="12" t="s">
        <v>6100</v>
      </c>
      <c r="P1610" s="14" t="s">
        <v>6103</v>
      </c>
      <c r="Q1610" s="17" t="s">
        <v>137</v>
      </c>
      <c r="R1610" s="17" t="s">
        <v>146</v>
      </c>
    </row>
    <row r="1611" spans="1:18" x14ac:dyDescent="0.3">
      <c r="A1611" s="12" t="s">
        <v>10622</v>
      </c>
      <c r="B1611" s="12" t="s">
        <v>12</v>
      </c>
      <c r="C1611" s="12"/>
      <c r="D1611" s="12" t="s">
        <v>12</v>
      </c>
      <c r="E1611" s="12" t="s">
        <v>10620</v>
      </c>
      <c r="F1611" s="12" t="s">
        <v>164</v>
      </c>
      <c r="G1611" s="12" t="s">
        <v>3144</v>
      </c>
      <c r="H1611" s="12" t="s">
        <v>54</v>
      </c>
      <c r="I1611" s="12" t="s">
        <v>28</v>
      </c>
      <c r="J1611" s="13" t="s">
        <v>3145</v>
      </c>
      <c r="K1611" s="14" t="s">
        <v>10623</v>
      </c>
      <c r="L1611" s="15">
        <v>1</v>
      </c>
      <c r="M1611" s="15" t="s">
        <v>144</v>
      </c>
      <c r="N1611" s="16">
        <v>43439</v>
      </c>
      <c r="O1611" s="12" t="s">
        <v>10622</v>
      </c>
      <c r="P1611" s="14" t="s">
        <v>10624</v>
      </c>
      <c r="Q1611" s="17" t="s">
        <v>137</v>
      </c>
      <c r="R1611" s="17" t="s">
        <v>146</v>
      </c>
    </row>
    <row r="1612" spans="1:18" x14ac:dyDescent="0.3">
      <c r="A1612" s="12" t="s">
        <v>10625</v>
      </c>
      <c r="B1612" s="12" t="s">
        <v>14</v>
      </c>
      <c r="C1612" s="12"/>
      <c r="D1612" s="12" t="s">
        <v>14</v>
      </c>
      <c r="E1612" s="12" t="s">
        <v>10626</v>
      </c>
      <c r="F1612" s="12"/>
      <c r="G1612" s="12" t="s">
        <v>3144</v>
      </c>
      <c r="H1612" s="12" t="s">
        <v>54</v>
      </c>
      <c r="I1612" s="12" t="s">
        <v>28</v>
      </c>
      <c r="J1612" s="13" t="s">
        <v>3145</v>
      </c>
      <c r="K1612" s="14" t="s">
        <v>10627</v>
      </c>
      <c r="L1612" s="15">
        <v>1</v>
      </c>
      <c r="M1612" s="15" t="s">
        <v>144</v>
      </c>
      <c r="N1612" s="16">
        <v>44063</v>
      </c>
      <c r="O1612" s="12" t="s">
        <v>10625</v>
      </c>
      <c r="P1612" s="14" t="s">
        <v>10628</v>
      </c>
      <c r="Q1612" s="17" t="s">
        <v>137</v>
      </c>
      <c r="R1612" s="17" t="s">
        <v>146</v>
      </c>
    </row>
    <row r="1613" spans="1:18" x14ac:dyDescent="0.3">
      <c r="A1613" s="12" t="s">
        <v>10629</v>
      </c>
      <c r="B1613" s="12" t="s">
        <v>12</v>
      </c>
      <c r="C1613" s="12"/>
      <c r="D1613" s="12" t="s">
        <v>12</v>
      </c>
      <c r="E1613" s="12" t="s">
        <v>10630</v>
      </c>
      <c r="F1613" s="12" t="s">
        <v>10631</v>
      </c>
      <c r="G1613" s="12" t="s">
        <v>3144</v>
      </c>
      <c r="H1613" s="12" t="s">
        <v>54</v>
      </c>
      <c r="I1613" s="12" t="s">
        <v>28</v>
      </c>
      <c r="J1613" s="13" t="s">
        <v>3145</v>
      </c>
      <c r="K1613" s="14" t="s">
        <v>10632</v>
      </c>
      <c r="L1613" s="15">
        <v>1</v>
      </c>
      <c r="M1613" s="15" t="s">
        <v>144</v>
      </c>
      <c r="N1613" s="16">
        <v>41514</v>
      </c>
      <c r="O1613" s="12" t="s">
        <v>10629</v>
      </c>
      <c r="P1613" s="14" t="s">
        <v>10633</v>
      </c>
      <c r="Q1613" s="17" t="s">
        <v>137</v>
      </c>
      <c r="R1613" s="17" t="s">
        <v>146</v>
      </c>
    </row>
    <row r="1614" spans="1:18" x14ac:dyDescent="0.3">
      <c r="A1614" s="12" t="s">
        <v>10634</v>
      </c>
      <c r="B1614" s="12" t="s">
        <v>12</v>
      </c>
      <c r="C1614" s="12"/>
      <c r="D1614" s="12" t="s">
        <v>12</v>
      </c>
      <c r="E1614" s="12" t="s">
        <v>10635</v>
      </c>
      <c r="F1614" s="12" t="s">
        <v>447</v>
      </c>
      <c r="G1614" s="12" t="s">
        <v>3144</v>
      </c>
      <c r="H1614" s="12" t="s">
        <v>54</v>
      </c>
      <c r="I1614" s="12" t="s">
        <v>28</v>
      </c>
      <c r="J1614" s="13" t="s">
        <v>3145</v>
      </c>
      <c r="K1614" s="14" t="s">
        <v>10636</v>
      </c>
      <c r="L1614" s="15">
        <v>1</v>
      </c>
      <c r="M1614" s="15" t="s">
        <v>144</v>
      </c>
      <c r="N1614" s="16">
        <v>40645</v>
      </c>
      <c r="O1614" s="12" t="s">
        <v>10634</v>
      </c>
      <c r="P1614" s="14" t="s">
        <v>10637</v>
      </c>
      <c r="Q1614" s="17" t="s">
        <v>137</v>
      </c>
      <c r="R1614" s="17" t="s">
        <v>146</v>
      </c>
    </row>
    <row r="1615" spans="1:18" x14ac:dyDescent="0.3">
      <c r="A1615" s="12" t="s">
        <v>3179</v>
      </c>
      <c r="B1615" s="12" t="s">
        <v>14</v>
      </c>
      <c r="C1615" s="12"/>
      <c r="D1615" s="12" t="s">
        <v>14</v>
      </c>
      <c r="E1615" s="12" t="s">
        <v>10638</v>
      </c>
      <c r="F1615" s="12"/>
      <c r="G1615" s="12" t="s">
        <v>3144</v>
      </c>
      <c r="H1615" s="12" t="s">
        <v>54</v>
      </c>
      <c r="I1615" s="12" t="s">
        <v>28</v>
      </c>
      <c r="J1615" s="13" t="s">
        <v>3145</v>
      </c>
      <c r="K1615" s="14" t="s">
        <v>3183</v>
      </c>
      <c r="L1615" s="15">
        <v>15</v>
      </c>
      <c r="M1615" s="15" t="s">
        <v>144</v>
      </c>
      <c r="N1615" s="16">
        <v>40444</v>
      </c>
      <c r="O1615" s="12" t="s">
        <v>3179</v>
      </c>
      <c r="P1615" s="14" t="s">
        <v>10639</v>
      </c>
      <c r="Q1615" s="17" t="s">
        <v>137</v>
      </c>
      <c r="R1615" s="17" t="s">
        <v>146</v>
      </c>
    </row>
    <row r="1616" spans="1:18" x14ac:dyDescent="0.3">
      <c r="A1616" s="12" t="s">
        <v>10640</v>
      </c>
      <c r="B1616" s="12" t="s">
        <v>14</v>
      </c>
      <c r="C1616" s="12"/>
      <c r="D1616" s="12" t="s">
        <v>14</v>
      </c>
      <c r="E1616" s="12" t="s">
        <v>10641</v>
      </c>
      <c r="F1616" s="12" t="s">
        <v>218</v>
      </c>
      <c r="G1616" s="12" t="s">
        <v>3144</v>
      </c>
      <c r="H1616" s="12" t="s">
        <v>54</v>
      </c>
      <c r="I1616" s="12" t="s">
        <v>28</v>
      </c>
      <c r="J1616" s="13" t="s">
        <v>3145</v>
      </c>
      <c r="K1616" s="14" t="s">
        <v>10642</v>
      </c>
      <c r="L1616" s="15">
        <v>1</v>
      </c>
      <c r="M1616" s="15" t="s">
        <v>144</v>
      </c>
      <c r="N1616" s="16">
        <v>41905</v>
      </c>
      <c r="O1616" s="12" t="s">
        <v>10640</v>
      </c>
      <c r="P1616" s="14" t="s">
        <v>10643</v>
      </c>
      <c r="Q1616" s="17" t="s">
        <v>137</v>
      </c>
      <c r="R1616" s="17" t="s">
        <v>146</v>
      </c>
    </row>
    <row r="1617" spans="1:18" x14ac:dyDescent="0.3">
      <c r="A1617" s="12" t="s">
        <v>10644</v>
      </c>
      <c r="B1617" s="12" t="s">
        <v>14</v>
      </c>
      <c r="C1617" s="12"/>
      <c r="D1617" s="12" t="s">
        <v>14</v>
      </c>
      <c r="E1617" s="12" t="s">
        <v>10645</v>
      </c>
      <c r="F1617" s="12"/>
      <c r="G1617" s="12" t="s">
        <v>3159</v>
      </c>
      <c r="H1617" s="12" t="s">
        <v>54</v>
      </c>
      <c r="I1617" s="12" t="s">
        <v>28</v>
      </c>
      <c r="J1617" s="13" t="s">
        <v>3160</v>
      </c>
      <c r="K1617" s="14" t="s">
        <v>10646</v>
      </c>
      <c r="L1617" s="15">
        <v>0</v>
      </c>
      <c r="M1617" s="15" t="s">
        <v>144</v>
      </c>
      <c r="N1617" s="16">
        <v>41960</v>
      </c>
      <c r="O1617" s="12" t="s">
        <v>10644</v>
      </c>
      <c r="P1617" s="14" t="s">
        <v>10647</v>
      </c>
      <c r="Q1617" s="17" t="s">
        <v>137</v>
      </c>
      <c r="R1617" s="17" t="s">
        <v>146</v>
      </c>
    </row>
    <row r="1618" spans="1:18" x14ac:dyDescent="0.3">
      <c r="A1618" s="12" t="s">
        <v>10648</v>
      </c>
      <c r="B1618" s="12" t="s">
        <v>12</v>
      </c>
      <c r="C1618" s="12"/>
      <c r="D1618" s="12" t="s">
        <v>12</v>
      </c>
      <c r="E1618" s="12" t="s">
        <v>10649</v>
      </c>
      <c r="F1618" s="12"/>
      <c r="G1618" s="12" t="s">
        <v>3159</v>
      </c>
      <c r="H1618" s="12" t="s">
        <v>54</v>
      </c>
      <c r="I1618" s="12" t="s">
        <v>28</v>
      </c>
      <c r="J1618" s="13" t="s">
        <v>3160</v>
      </c>
      <c r="K1618" s="14" t="s">
        <v>10650</v>
      </c>
      <c r="L1618" s="15">
        <v>3</v>
      </c>
      <c r="M1618" s="15" t="s">
        <v>144</v>
      </c>
      <c r="N1618" s="16">
        <v>44065</v>
      </c>
      <c r="O1618" s="12" t="s">
        <v>10648</v>
      </c>
      <c r="P1618" s="14" t="s">
        <v>10651</v>
      </c>
      <c r="Q1618" s="17" t="s">
        <v>137</v>
      </c>
      <c r="R1618" s="17" t="s">
        <v>146</v>
      </c>
    </row>
    <row r="1619" spans="1:18" x14ac:dyDescent="0.3">
      <c r="A1619" s="12" t="s">
        <v>10652</v>
      </c>
      <c r="B1619" s="12" t="s">
        <v>14</v>
      </c>
      <c r="C1619" s="12"/>
      <c r="D1619" s="12" t="s">
        <v>14</v>
      </c>
      <c r="E1619" s="12" t="s">
        <v>10653</v>
      </c>
      <c r="F1619" s="12" t="s">
        <v>516</v>
      </c>
      <c r="G1619" s="12" t="s">
        <v>3159</v>
      </c>
      <c r="H1619" s="12" t="s">
        <v>54</v>
      </c>
      <c r="I1619" s="12" t="s">
        <v>28</v>
      </c>
      <c r="J1619" s="13" t="s">
        <v>3160</v>
      </c>
      <c r="K1619" s="14" t="s">
        <v>10654</v>
      </c>
      <c r="L1619" s="15">
        <v>0</v>
      </c>
      <c r="M1619" s="15" t="s">
        <v>144</v>
      </c>
      <c r="N1619" s="16">
        <v>43250</v>
      </c>
      <c r="O1619" s="12" t="s">
        <v>10652</v>
      </c>
      <c r="P1619" s="14" t="s">
        <v>10655</v>
      </c>
      <c r="Q1619" s="17" t="s">
        <v>137</v>
      </c>
      <c r="R1619" s="17" t="s">
        <v>146</v>
      </c>
    </row>
    <row r="1620" spans="1:18" x14ac:dyDescent="0.3">
      <c r="A1620" s="12" t="s">
        <v>10656</v>
      </c>
      <c r="B1620" s="12" t="s">
        <v>12</v>
      </c>
      <c r="C1620" s="12"/>
      <c r="D1620" s="12" t="s">
        <v>12</v>
      </c>
      <c r="E1620" s="12" t="s">
        <v>10657</v>
      </c>
      <c r="F1620" s="12" t="s">
        <v>10658</v>
      </c>
      <c r="G1620" s="12" t="s">
        <v>3159</v>
      </c>
      <c r="H1620" s="12" t="s">
        <v>54</v>
      </c>
      <c r="I1620" s="12" t="s">
        <v>28</v>
      </c>
      <c r="J1620" s="13" t="s">
        <v>3160</v>
      </c>
      <c r="K1620" s="14" t="s">
        <v>10659</v>
      </c>
      <c r="L1620" s="15">
        <v>1</v>
      </c>
      <c r="M1620" s="15" t="s">
        <v>144</v>
      </c>
      <c r="N1620" s="16">
        <v>44065</v>
      </c>
      <c r="O1620" s="12" t="s">
        <v>10656</v>
      </c>
      <c r="P1620" s="14" t="s">
        <v>10660</v>
      </c>
      <c r="Q1620" s="17" t="s">
        <v>137</v>
      </c>
      <c r="R1620" s="17" t="s">
        <v>146</v>
      </c>
    </row>
    <row r="1621" spans="1:18" x14ac:dyDescent="0.3">
      <c r="A1621" s="12" t="s">
        <v>10661</v>
      </c>
      <c r="B1621" s="12" t="s">
        <v>14</v>
      </c>
      <c r="C1621" s="12"/>
      <c r="D1621" s="12" t="s">
        <v>14</v>
      </c>
      <c r="E1621" s="12" t="s">
        <v>10662</v>
      </c>
      <c r="F1621" s="12" t="s">
        <v>10663</v>
      </c>
      <c r="G1621" s="12" t="s">
        <v>3159</v>
      </c>
      <c r="H1621" s="12" t="s">
        <v>54</v>
      </c>
      <c r="I1621" s="12" t="s">
        <v>28</v>
      </c>
      <c r="J1621" s="13" t="s">
        <v>3160</v>
      </c>
      <c r="K1621" s="14" t="s">
        <v>10664</v>
      </c>
      <c r="L1621" s="15">
        <v>2</v>
      </c>
      <c r="M1621" s="15" t="s">
        <v>144</v>
      </c>
      <c r="N1621" s="16">
        <v>39909</v>
      </c>
      <c r="O1621" s="12" t="s">
        <v>10665</v>
      </c>
      <c r="P1621" s="14" t="s">
        <v>10666</v>
      </c>
      <c r="Q1621" s="17" t="s">
        <v>137</v>
      </c>
      <c r="R1621" s="17" t="s">
        <v>146</v>
      </c>
    </row>
    <row r="1622" spans="1:18" x14ac:dyDescent="0.3">
      <c r="A1622" s="12" t="s">
        <v>10665</v>
      </c>
      <c r="B1622" s="12" t="s">
        <v>14</v>
      </c>
      <c r="C1622" s="12"/>
      <c r="D1622" s="12" t="s">
        <v>14</v>
      </c>
      <c r="E1622" s="12" t="s">
        <v>10667</v>
      </c>
      <c r="F1622" s="12"/>
      <c r="G1622" s="12" t="s">
        <v>3159</v>
      </c>
      <c r="H1622" s="12" t="s">
        <v>54</v>
      </c>
      <c r="I1622" s="12" t="s">
        <v>28</v>
      </c>
      <c r="J1622" s="13" t="s">
        <v>3160</v>
      </c>
      <c r="K1622" s="14" t="s">
        <v>10668</v>
      </c>
      <c r="L1622" s="15">
        <v>0</v>
      </c>
      <c r="M1622" s="15" t="s">
        <v>144</v>
      </c>
      <c r="N1622" s="16">
        <v>39721</v>
      </c>
      <c r="O1622" s="12" t="s">
        <v>10665</v>
      </c>
      <c r="P1622" s="14" t="s">
        <v>10669</v>
      </c>
      <c r="Q1622" s="17" t="s">
        <v>137</v>
      </c>
      <c r="R1622" s="17" t="s">
        <v>146</v>
      </c>
    </row>
    <row r="1623" spans="1:18" x14ac:dyDescent="0.3">
      <c r="A1623" s="12" t="s">
        <v>10670</v>
      </c>
      <c r="B1623" s="12" t="s">
        <v>14</v>
      </c>
      <c r="C1623" s="12"/>
      <c r="D1623" s="12" t="s">
        <v>14</v>
      </c>
      <c r="E1623" s="12" t="s">
        <v>10671</v>
      </c>
      <c r="F1623" s="12"/>
      <c r="G1623" s="12" t="s">
        <v>3159</v>
      </c>
      <c r="H1623" s="12" t="s">
        <v>54</v>
      </c>
      <c r="I1623" s="12" t="s">
        <v>28</v>
      </c>
      <c r="J1623" s="13" t="s">
        <v>3160</v>
      </c>
      <c r="K1623" s="14" t="s">
        <v>10654</v>
      </c>
      <c r="L1623" s="15">
        <v>0</v>
      </c>
      <c r="M1623" s="15" t="s">
        <v>144</v>
      </c>
      <c r="N1623" s="16">
        <v>42300</v>
      </c>
      <c r="O1623" s="12" t="s">
        <v>10670</v>
      </c>
      <c r="P1623" s="14" t="s">
        <v>10672</v>
      </c>
      <c r="Q1623" s="17" t="s">
        <v>137</v>
      </c>
      <c r="R1623" s="17" t="s">
        <v>146</v>
      </c>
    </row>
    <row r="1624" spans="1:18" x14ac:dyDescent="0.3">
      <c r="A1624" s="12" t="s">
        <v>10673</v>
      </c>
      <c r="B1624" s="12" t="s">
        <v>14</v>
      </c>
      <c r="C1624" s="12" t="s">
        <v>12</v>
      </c>
      <c r="D1624" s="12" t="s">
        <v>180</v>
      </c>
      <c r="E1624" s="12" t="s">
        <v>10671</v>
      </c>
      <c r="F1624" s="12"/>
      <c r="G1624" s="12" t="s">
        <v>3159</v>
      </c>
      <c r="H1624" s="12" t="s">
        <v>54</v>
      </c>
      <c r="I1624" s="12" t="s">
        <v>28</v>
      </c>
      <c r="J1624" s="13" t="s">
        <v>3160</v>
      </c>
      <c r="K1624" s="14" t="s">
        <v>10654</v>
      </c>
      <c r="L1624" s="15">
        <v>0</v>
      </c>
      <c r="M1624" s="15" t="s">
        <v>144</v>
      </c>
      <c r="N1624" s="16">
        <v>41792</v>
      </c>
      <c r="O1624" s="12" t="s">
        <v>10673</v>
      </c>
      <c r="P1624" s="14" t="s">
        <v>10674</v>
      </c>
      <c r="Q1624" s="17" t="s">
        <v>137</v>
      </c>
      <c r="R1624" s="17" t="s">
        <v>146</v>
      </c>
    </row>
    <row r="1625" spans="1:18" x14ac:dyDescent="0.3">
      <c r="A1625" s="12" t="s">
        <v>10675</v>
      </c>
      <c r="B1625" s="12" t="s">
        <v>10</v>
      </c>
      <c r="C1625" s="12"/>
      <c r="D1625" s="12" t="s">
        <v>647</v>
      </c>
      <c r="E1625" s="12" t="s">
        <v>10676</v>
      </c>
      <c r="F1625" s="12"/>
      <c r="G1625" s="12" t="s">
        <v>3159</v>
      </c>
      <c r="H1625" s="12" t="s">
        <v>54</v>
      </c>
      <c r="I1625" s="12" t="s">
        <v>28</v>
      </c>
      <c r="J1625" s="13" t="s">
        <v>3160</v>
      </c>
      <c r="K1625" s="14" t="s">
        <v>10677</v>
      </c>
      <c r="L1625" s="15">
        <v>9</v>
      </c>
      <c r="M1625" s="15" t="s">
        <v>220</v>
      </c>
      <c r="N1625" s="16">
        <v>41408</v>
      </c>
      <c r="O1625" s="12" t="s">
        <v>10675</v>
      </c>
      <c r="P1625" s="14" t="s">
        <v>10678</v>
      </c>
      <c r="Q1625" s="17" t="s">
        <v>137</v>
      </c>
      <c r="R1625" s="17" t="s">
        <v>146</v>
      </c>
    </row>
    <row r="1626" spans="1:18" x14ac:dyDescent="0.3">
      <c r="A1626" s="12" t="s">
        <v>10679</v>
      </c>
      <c r="B1626" s="12" t="s">
        <v>14</v>
      </c>
      <c r="C1626" s="12"/>
      <c r="D1626" s="12" t="s">
        <v>14</v>
      </c>
      <c r="E1626" s="12" t="s">
        <v>10680</v>
      </c>
      <c r="F1626" s="12"/>
      <c r="G1626" s="12" t="s">
        <v>3159</v>
      </c>
      <c r="H1626" s="12" t="s">
        <v>54</v>
      </c>
      <c r="I1626" s="12" t="s">
        <v>28</v>
      </c>
      <c r="J1626" s="13" t="s">
        <v>3160</v>
      </c>
      <c r="K1626" s="14" t="s">
        <v>10681</v>
      </c>
      <c r="L1626" s="15">
        <v>2</v>
      </c>
      <c r="M1626" s="15" t="s">
        <v>144</v>
      </c>
      <c r="N1626" s="16">
        <v>41947</v>
      </c>
      <c r="O1626" s="12" t="s">
        <v>10679</v>
      </c>
      <c r="P1626" s="14" t="s">
        <v>10682</v>
      </c>
      <c r="Q1626" s="17" t="s">
        <v>137</v>
      </c>
      <c r="R1626" s="17" t="s">
        <v>146</v>
      </c>
    </row>
    <row r="1627" spans="1:18" x14ac:dyDescent="0.3">
      <c r="A1627" s="12" t="s">
        <v>10683</v>
      </c>
      <c r="B1627" s="12" t="s">
        <v>12</v>
      </c>
      <c r="C1627" s="12"/>
      <c r="D1627" s="12" t="s">
        <v>12</v>
      </c>
      <c r="E1627" s="12" t="s">
        <v>10684</v>
      </c>
      <c r="F1627" s="12"/>
      <c r="G1627" s="12" t="s">
        <v>3159</v>
      </c>
      <c r="H1627" s="12" t="s">
        <v>54</v>
      </c>
      <c r="I1627" s="12" t="s">
        <v>28</v>
      </c>
      <c r="J1627" s="13" t="s">
        <v>3160</v>
      </c>
      <c r="K1627" s="14" t="s">
        <v>10685</v>
      </c>
      <c r="L1627" s="15">
        <v>0</v>
      </c>
      <c r="M1627" s="15" t="s">
        <v>144</v>
      </c>
      <c r="N1627" s="16">
        <v>39720</v>
      </c>
      <c r="O1627" s="12" t="s">
        <v>10683</v>
      </c>
      <c r="P1627" s="14" t="s">
        <v>10686</v>
      </c>
      <c r="Q1627" s="17" t="s">
        <v>137</v>
      </c>
      <c r="R1627" s="17" t="s">
        <v>146</v>
      </c>
    </row>
    <row r="1628" spans="1:18" x14ac:dyDescent="0.3">
      <c r="A1628" s="12" t="s">
        <v>10687</v>
      </c>
      <c r="B1628" s="12" t="s">
        <v>12</v>
      </c>
      <c r="C1628" s="12"/>
      <c r="D1628" s="12" t="s">
        <v>12</v>
      </c>
      <c r="E1628" s="12" t="s">
        <v>10688</v>
      </c>
      <c r="F1628" s="12"/>
      <c r="G1628" s="12" t="s">
        <v>3159</v>
      </c>
      <c r="H1628" s="12" t="s">
        <v>54</v>
      </c>
      <c r="I1628" s="12" t="s">
        <v>28</v>
      </c>
      <c r="J1628" s="13" t="s">
        <v>3160</v>
      </c>
      <c r="K1628" s="14" t="s">
        <v>10689</v>
      </c>
      <c r="L1628" s="15">
        <v>1</v>
      </c>
      <c r="M1628" s="15" t="s">
        <v>144</v>
      </c>
      <c r="N1628" s="16">
        <v>41702</v>
      </c>
      <c r="O1628" s="12" t="s">
        <v>10687</v>
      </c>
      <c r="P1628" s="14" t="s">
        <v>10690</v>
      </c>
      <c r="Q1628" s="17" t="s">
        <v>137</v>
      </c>
      <c r="R1628" s="17" t="s">
        <v>146</v>
      </c>
    </row>
    <row r="1629" spans="1:18" x14ac:dyDescent="0.3">
      <c r="A1629" s="12" t="s">
        <v>10691</v>
      </c>
      <c r="B1629" s="12" t="s">
        <v>12</v>
      </c>
      <c r="C1629" s="12" t="s">
        <v>14</v>
      </c>
      <c r="D1629" s="12" t="s">
        <v>180</v>
      </c>
      <c r="E1629" s="12" t="s">
        <v>10692</v>
      </c>
      <c r="F1629" s="12"/>
      <c r="G1629" s="12" t="s">
        <v>3159</v>
      </c>
      <c r="H1629" s="12" t="s">
        <v>54</v>
      </c>
      <c r="I1629" s="12" t="s">
        <v>28</v>
      </c>
      <c r="J1629" s="13" t="s">
        <v>3160</v>
      </c>
      <c r="K1629" s="14" t="s">
        <v>10650</v>
      </c>
      <c r="L1629" s="15">
        <v>4</v>
      </c>
      <c r="M1629" s="15" t="s">
        <v>144</v>
      </c>
      <c r="N1629" s="16">
        <v>44255</v>
      </c>
      <c r="O1629" s="12" t="s">
        <v>10691</v>
      </c>
      <c r="P1629" s="14" t="s">
        <v>10693</v>
      </c>
      <c r="Q1629" s="17" t="s">
        <v>137</v>
      </c>
      <c r="R1629" s="17" t="s">
        <v>146</v>
      </c>
    </row>
    <row r="1630" spans="1:18" x14ac:dyDescent="0.3">
      <c r="A1630" s="12" t="s">
        <v>10694</v>
      </c>
      <c r="B1630" s="12" t="s">
        <v>12</v>
      </c>
      <c r="C1630" s="12"/>
      <c r="D1630" s="12" t="s">
        <v>12</v>
      </c>
      <c r="E1630" s="12" t="s">
        <v>10695</v>
      </c>
      <c r="F1630" s="12" t="s">
        <v>10696</v>
      </c>
      <c r="G1630" s="12" t="s">
        <v>3159</v>
      </c>
      <c r="H1630" s="12" t="s">
        <v>54</v>
      </c>
      <c r="I1630" s="12" t="s">
        <v>28</v>
      </c>
      <c r="J1630" s="13" t="s">
        <v>3160</v>
      </c>
      <c r="K1630" s="14" t="s">
        <v>10697</v>
      </c>
      <c r="L1630" s="15">
        <v>0</v>
      </c>
      <c r="M1630" s="15" t="s">
        <v>144</v>
      </c>
      <c r="N1630" s="16">
        <v>44160</v>
      </c>
      <c r="O1630" s="12" t="s">
        <v>10694</v>
      </c>
      <c r="P1630" s="14" t="s">
        <v>10698</v>
      </c>
      <c r="Q1630" s="17" t="s">
        <v>137</v>
      </c>
      <c r="R1630" s="17" t="s">
        <v>146</v>
      </c>
    </row>
    <row r="1631" spans="1:18" x14ac:dyDescent="0.3">
      <c r="A1631" s="12" t="s">
        <v>2736</v>
      </c>
      <c r="B1631" s="12" t="s">
        <v>12</v>
      </c>
      <c r="C1631" s="12"/>
      <c r="D1631" s="12" t="s">
        <v>12</v>
      </c>
      <c r="E1631" s="12" t="s">
        <v>10699</v>
      </c>
      <c r="F1631" s="12" t="s">
        <v>10696</v>
      </c>
      <c r="G1631" s="12" t="s">
        <v>3159</v>
      </c>
      <c r="H1631" s="12" t="s">
        <v>54</v>
      </c>
      <c r="I1631" s="12" t="s">
        <v>28</v>
      </c>
      <c r="J1631" s="13" t="s">
        <v>3160</v>
      </c>
      <c r="K1631" s="14" t="s">
        <v>10697</v>
      </c>
      <c r="L1631" s="15">
        <v>0</v>
      </c>
      <c r="M1631" s="15" t="s">
        <v>144</v>
      </c>
      <c r="N1631" s="16">
        <v>44111</v>
      </c>
      <c r="O1631" s="12" t="s">
        <v>2736</v>
      </c>
      <c r="P1631" s="14" t="s">
        <v>2739</v>
      </c>
      <c r="Q1631" s="17" t="s">
        <v>137</v>
      </c>
      <c r="R1631" s="17" t="s">
        <v>146</v>
      </c>
    </row>
    <row r="1632" spans="1:18" x14ac:dyDescent="0.3">
      <c r="A1632" s="12" t="s">
        <v>10700</v>
      </c>
      <c r="B1632" s="12" t="s">
        <v>12</v>
      </c>
      <c r="C1632" s="12"/>
      <c r="D1632" s="12" t="s">
        <v>12</v>
      </c>
      <c r="E1632" s="12" t="s">
        <v>10701</v>
      </c>
      <c r="F1632" s="12"/>
      <c r="G1632" s="12" t="s">
        <v>10702</v>
      </c>
      <c r="H1632" s="12" t="s">
        <v>54</v>
      </c>
      <c r="I1632" s="12" t="s">
        <v>28</v>
      </c>
      <c r="J1632" s="13" t="s">
        <v>10703</v>
      </c>
      <c r="K1632" s="14" t="s">
        <v>10704</v>
      </c>
      <c r="L1632" s="15">
        <v>1</v>
      </c>
      <c r="M1632" s="15" t="s">
        <v>144</v>
      </c>
      <c r="N1632" s="16">
        <v>39491</v>
      </c>
      <c r="O1632" s="12" t="s">
        <v>10700</v>
      </c>
      <c r="P1632" s="14" t="s">
        <v>10705</v>
      </c>
      <c r="Q1632" s="17" t="s">
        <v>137</v>
      </c>
      <c r="R1632" s="17" t="s">
        <v>146</v>
      </c>
    </row>
    <row r="1633" spans="1:18" x14ac:dyDescent="0.3">
      <c r="A1633" s="12" t="s">
        <v>10706</v>
      </c>
      <c r="B1633" s="12" t="s">
        <v>12</v>
      </c>
      <c r="C1633" s="12"/>
      <c r="D1633" s="12" t="s">
        <v>12</v>
      </c>
      <c r="E1633" s="12" t="s">
        <v>10707</v>
      </c>
      <c r="F1633" s="12"/>
      <c r="G1633" s="12" t="s">
        <v>10708</v>
      </c>
      <c r="H1633" s="12" t="s">
        <v>54</v>
      </c>
      <c r="I1633" s="12" t="s">
        <v>28</v>
      </c>
      <c r="J1633" s="13" t="s">
        <v>10709</v>
      </c>
      <c r="K1633" s="14" t="s">
        <v>10710</v>
      </c>
      <c r="L1633" s="15">
        <v>1</v>
      </c>
      <c r="M1633" s="15" t="s">
        <v>144</v>
      </c>
      <c r="N1633" s="16">
        <v>44065</v>
      </c>
      <c r="O1633" s="12" t="s">
        <v>10706</v>
      </c>
      <c r="P1633" s="14" t="s">
        <v>10711</v>
      </c>
      <c r="Q1633" s="17" t="s">
        <v>137</v>
      </c>
      <c r="R1633" s="17" t="s">
        <v>146</v>
      </c>
    </row>
    <row r="1634" spans="1:18" x14ac:dyDescent="0.3">
      <c r="A1634" s="12" t="s">
        <v>10712</v>
      </c>
      <c r="B1634" s="12" t="s">
        <v>12</v>
      </c>
      <c r="C1634" s="12"/>
      <c r="D1634" s="12" t="s">
        <v>12</v>
      </c>
      <c r="E1634" s="12" t="s">
        <v>10713</v>
      </c>
      <c r="F1634" s="12"/>
      <c r="G1634" s="12" t="s">
        <v>10708</v>
      </c>
      <c r="H1634" s="12" t="s">
        <v>54</v>
      </c>
      <c r="I1634" s="12" t="s">
        <v>28</v>
      </c>
      <c r="J1634" s="13" t="s">
        <v>10709</v>
      </c>
      <c r="K1634" s="14" t="s">
        <v>10714</v>
      </c>
      <c r="L1634" s="15">
        <v>0</v>
      </c>
      <c r="M1634" s="15" t="s">
        <v>144</v>
      </c>
      <c r="N1634" s="16">
        <v>39423</v>
      </c>
      <c r="O1634" s="12" t="s">
        <v>10712</v>
      </c>
      <c r="P1634" s="14" t="s">
        <v>10715</v>
      </c>
      <c r="Q1634" s="17" t="s">
        <v>137</v>
      </c>
      <c r="R1634" s="17" t="s">
        <v>146</v>
      </c>
    </row>
    <row r="1635" spans="1:18" x14ac:dyDescent="0.3">
      <c r="A1635" s="12" t="s">
        <v>10716</v>
      </c>
      <c r="B1635" s="12" t="s">
        <v>12</v>
      </c>
      <c r="C1635" s="12"/>
      <c r="D1635" s="12" t="s">
        <v>12</v>
      </c>
      <c r="E1635" s="12" t="s">
        <v>10717</v>
      </c>
      <c r="F1635" s="12"/>
      <c r="G1635" s="12" t="s">
        <v>10718</v>
      </c>
      <c r="H1635" s="12" t="s">
        <v>54</v>
      </c>
      <c r="I1635" s="12" t="s">
        <v>28</v>
      </c>
      <c r="J1635" s="13" t="s">
        <v>10719</v>
      </c>
      <c r="K1635" s="14" t="s">
        <v>10720</v>
      </c>
      <c r="L1635" s="15">
        <v>0</v>
      </c>
      <c r="M1635" s="15" t="s">
        <v>144</v>
      </c>
      <c r="N1635" s="16">
        <v>43369</v>
      </c>
      <c r="O1635" s="12" t="s">
        <v>10716</v>
      </c>
      <c r="P1635" s="14" t="s">
        <v>10721</v>
      </c>
      <c r="Q1635" s="17" t="s">
        <v>137</v>
      </c>
      <c r="R1635" s="17" t="s">
        <v>146</v>
      </c>
    </row>
    <row r="1636" spans="1:18" x14ac:dyDescent="0.3">
      <c r="A1636" s="12" t="s">
        <v>10722</v>
      </c>
      <c r="B1636" s="12" t="s">
        <v>12</v>
      </c>
      <c r="C1636" s="12"/>
      <c r="D1636" s="12" t="s">
        <v>12</v>
      </c>
      <c r="E1636" s="12" t="s">
        <v>10717</v>
      </c>
      <c r="F1636" s="12"/>
      <c r="G1636" s="12" t="s">
        <v>10718</v>
      </c>
      <c r="H1636" s="12" t="s">
        <v>54</v>
      </c>
      <c r="I1636" s="12" t="s">
        <v>28</v>
      </c>
      <c r="J1636" s="13" t="s">
        <v>10719</v>
      </c>
      <c r="K1636" s="14" t="s">
        <v>10723</v>
      </c>
      <c r="L1636" s="15">
        <v>0</v>
      </c>
      <c r="M1636" s="15" t="s">
        <v>144</v>
      </c>
      <c r="N1636" s="16">
        <v>43297</v>
      </c>
      <c r="O1636" s="12" t="s">
        <v>10722</v>
      </c>
      <c r="P1636" s="14" t="s">
        <v>10724</v>
      </c>
      <c r="Q1636" s="17" t="s">
        <v>137</v>
      </c>
      <c r="R1636" s="17" t="s">
        <v>146</v>
      </c>
    </row>
    <row r="1637" spans="1:18" x14ac:dyDescent="0.3">
      <c r="A1637" s="12" t="s">
        <v>10725</v>
      </c>
      <c r="B1637" s="12" t="s">
        <v>12</v>
      </c>
      <c r="C1637" s="12"/>
      <c r="D1637" s="12" t="s">
        <v>12</v>
      </c>
      <c r="E1637" s="12" t="s">
        <v>10726</v>
      </c>
      <c r="F1637" s="12"/>
      <c r="G1637" s="12" t="s">
        <v>10718</v>
      </c>
      <c r="H1637" s="12" t="s">
        <v>54</v>
      </c>
      <c r="I1637" s="12" t="s">
        <v>28</v>
      </c>
      <c r="J1637" s="13" t="s">
        <v>10719</v>
      </c>
      <c r="K1637" s="14" t="s">
        <v>10727</v>
      </c>
      <c r="L1637" s="15">
        <v>2</v>
      </c>
      <c r="M1637" s="15" t="s">
        <v>144</v>
      </c>
      <c r="N1637" s="16">
        <v>39287</v>
      </c>
      <c r="O1637" s="12" t="s">
        <v>10725</v>
      </c>
      <c r="P1637" s="14" t="s">
        <v>10728</v>
      </c>
      <c r="Q1637" s="17" t="s">
        <v>137</v>
      </c>
      <c r="R1637" s="17" t="s">
        <v>146</v>
      </c>
    </row>
    <row r="1638" spans="1:18" x14ac:dyDescent="0.3">
      <c r="A1638" s="12" t="s">
        <v>10665</v>
      </c>
      <c r="B1638" s="12" t="s">
        <v>14</v>
      </c>
      <c r="C1638" s="12"/>
      <c r="D1638" s="12" t="s">
        <v>14</v>
      </c>
      <c r="E1638" s="12" t="s">
        <v>10729</v>
      </c>
      <c r="F1638" s="12"/>
      <c r="G1638" s="12" t="s">
        <v>3181</v>
      </c>
      <c r="H1638" s="12" t="s">
        <v>54</v>
      </c>
      <c r="I1638" s="12" t="s">
        <v>28</v>
      </c>
      <c r="J1638" s="13" t="s">
        <v>3182</v>
      </c>
      <c r="K1638" s="14" t="s">
        <v>10730</v>
      </c>
      <c r="L1638" s="15">
        <v>0</v>
      </c>
      <c r="M1638" s="15" t="s">
        <v>144</v>
      </c>
      <c r="N1638" s="16">
        <v>39905</v>
      </c>
      <c r="O1638" s="12" t="s">
        <v>10665</v>
      </c>
      <c r="P1638" s="14" t="s">
        <v>10731</v>
      </c>
      <c r="Q1638" s="17" t="s">
        <v>137</v>
      </c>
      <c r="R1638" s="17" t="s">
        <v>146</v>
      </c>
    </row>
    <row r="1639" spans="1:18" x14ac:dyDescent="0.3">
      <c r="A1639" s="12" t="s">
        <v>10732</v>
      </c>
      <c r="B1639" s="12" t="s">
        <v>12</v>
      </c>
      <c r="C1639" s="12" t="s">
        <v>14</v>
      </c>
      <c r="D1639" s="12" t="s">
        <v>180</v>
      </c>
      <c r="E1639" s="12" t="s">
        <v>10733</v>
      </c>
      <c r="F1639" s="12" t="s">
        <v>389</v>
      </c>
      <c r="G1639" s="12" t="s">
        <v>3181</v>
      </c>
      <c r="H1639" s="12" t="s">
        <v>54</v>
      </c>
      <c r="I1639" s="12" t="s">
        <v>28</v>
      </c>
      <c r="J1639" s="13" t="s">
        <v>3182</v>
      </c>
      <c r="K1639" s="14" t="s">
        <v>10734</v>
      </c>
      <c r="L1639" s="15">
        <v>1</v>
      </c>
      <c r="M1639" s="15" t="s">
        <v>144</v>
      </c>
      <c r="N1639" s="16">
        <v>41551</v>
      </c>
      <c r="O1639" s="12" t="s">
        <v>10732</v>
      </c>
      <c r="P1639" s="14" t="s">
        <v>10735</v>
      </c>
      <c r="Q1639" s="17" t="s">
        <v>137</v>
      </c>
      <c r="R1639" s="17" t="s">
        <v>146</v>
      </c>
    </row>
    <row r="1640" spans="1:18" x14ac:dyDescent="0.3">
      <c r="A1640" s="12" t="s">
        <v>10736</v>
      </c>
      <c r="B1640" s="12" t="s">
        <v>12</v>
      </c>
      <c r="C1640" s="12"/>
      <c r="D1640" s="12" t="s">
        <v>12</v>
      </c>
      <c r="E1640" s="12" t="s">
        <v>10737</v>
      </c>
      <c r="F1640" s="12"/>
      <c r="G1640" s="12" t="s">
        <v>3181</v>
      </c>
      <c r="H1640" s="12" t="s">
        <v>54</v>
      </c>
      <c r="I1640" s="12" t="s">
        <v>28</v>
      </c>
      <c r="J1640" s="13" t="s">
        <v>3182</v>
      </c>
      <c r="K1640" s="14" t="s">
        <v>10738</v>
      </c>
      <c r="L1640" s="15">
        <v>1</v>
      </c>
      <c r="M1640" s="15" t="s">
        <v>144</v>
      </c>
      <c r="N1640" s="16">
        <v>41193</v>
      </c>
      <c r="O1640" s="12" t="s">
        <v>10736</v>
      </c>
      <c r="P1640" s="14" t="s">
        <v>10739</v>
      </c>
      <c r="Q1640" s="17" t="s">
        <v>137</v>
      </c>
      <c r="R1640" s="17" t="s">
        <v>146</v>
      </c>
    </row>
    <row r="1641" spans="1:18" x14ac:dyDescent="0.3">
      <c r="A1641" s="12" t="s">
        <v>10740</v>
      </c>
      <c r="B1641" s="12" t="s">
        <v>12</v>
      </c>
      <c r="C1641" s="12"/>
      <c r="D1641" s="12" t="s">
        <v>12</v>
      </c>
      <c r="E1641" s="12" t="s">
        <v>10741</v>
      </c>
      <c r="F1641" s="12"/>
      <c r="G1641" s="12" t="s">
        <v>3181</v>
      </c>
      <c r="H1641" s="12" t="s">
        <v>54</v>
      </c>
      <c r="I1641" s="12" t="s">
        <v>28</v>
      </c>
      <c r="J1641" s="13" t="s">
        <v>3182</v>
      </c>
      <c r="K1641" s="14" t="s">
        <v>10738</v>
      </c>
      <c r="L1641" s="15">
        <v>1</v>
      </c>
      <c r="M1641" s="15" t="s">
        <v>144</v>
      </c>
      <c r="N1641" s="16">
        <v>44245</v>
      </c>
      <c r="O1641" s="12" t="s">
        <v>10740</v>
      </c>
      <c r="P1641" s="14" t="s">
        <v>10742</v>
      </c>
      <c r="Q1641" s="17" t="s">
        <v>137</v>
      </c>
      <c r="R1641" s="17" t="s">
        <v>146</v>
      </c>
    </row>
    <row r="1642" spans="1:18" x14ac:dyDescent="0.3">
      <c r="A1642" s="12" t="s">
        <v>10743</v>
      </c>
      <c r="B1642" s="12" t="s">
        <v>14</v>
      </c>
      <c r="C1642" s="12"/>
      <c r="D1642" s="12" t="s">
        <v>14</v>
      </c>
      <c r="E1642" s="12" t="s">
        <v>10744</v>
      </c>
      <c r="F1642" s="12"/>
      <c r="G1642" s="12" t="s">
        <v>3181</v>
      </c>
      <c r="H1642" s="12" t="s">
        <v>54</v>
      </c>
      <c r="I1642" s="12" t="s">
        <v>28</v>
      </c>
      <c r="J1642" s="13" t="s">
        <v>3182</v>
      </c>
      <c r="K1642" s="14" t="s">
        <v>10745</v>
      </c>
      <c r="L1642" s="15">
        <v>1</v>
      </c>
      <c r="M1642" s="15" t="s">
        <v>144</v>
      </c>
      <c r="N1642" s="16">
        <v>44065</v>
      </c>
      <c r="O1642" s="12" t="s">
        <v>10743</v>
      </c>
      <c r="P1642" s="14" t="s">
        <v>10746</v>
      </c>
      <c r="Q1642" s="17" t="s">
        <v>137</v>
      </c>
      <c r="R1642" s="17" t="s">
        <v>146</v>
      </c>
    </row>
    <row r="1643" spans="1:18" x14ac:dyDescent="0.3">
      <c r="A1643" s="12" t="s">
        <v>10747</v>
      </c>
      <c r="B1643" s="12" t="s">
        <v>12</v>
      </c>
      <c r="C1643" s="12"/>
      <c r="D1643" s="12" t="s">
        <v>12</v>
      </c>
      <c r="E1643" s="12" t="s">
        <v>10748</v>
      </c>
      <c r="F1643" s="12" t="s">
        <v>1542</v>
      </c>
      <c r="G1643" s="12" t="s">
        <v>3187</v>
      </c>
      <c r="H1643" s="12" t="s">
        <v>64</v>
      </c>
      <c r="I1643" s="12" t="s">
        <v>28</v>
      </c>
      <c r="J1643" s="13" t="s">
        <v>3188</v>
      </c>
      <c r="K1643" s="14" t="s">
        <v>10749</v>
      </c>
      <c r="L1643" s="15">
        <v>0</v>
      </c>
      <c r="M1643" s="15" t="s">
        <v>144</v>
      </c>
      <c r="N1643" s="16">
        <v>41256</v>
      </c>
      <c r="O1643" s="12" t="s">
        <v>10747</v>
      </c>
      <c r="P1643" s="14" t="s">
        <v>10750</v>
      </c>
      <c r="Q1643" s="17" t="s">
        <v>137</v>
      </c>
      <c r="R1643" s="17" t="s">
        <v>146</v>
      </c>
    </row>
    <row r="1644" spans="1:18" x14ac:dyDescent="0.3">
      <c r="A1644" s="12" t="s">
        <v>10751</v>
      </c>
      <c r="B1644" s="12" t="s">
        <v>14</v>
      </c>
      <c r="C1644" s="12"/>
      <c r="D1644" s="12" t="s">
        <v>14</v>
      </c>
      <c r="E1644" s="12" t="s">
        <v>10752</v>
      </c>
      <c r="F1644" s="12"/>
      <c r="G1644" s="12" t="s">
        <v>3187</v>
      </c>
      <c r="H1644" s="12" t="s">
        <v>64</v>
      </c>
      <c r="I1644" s="12" t="s">
        <v>28</v>
      </c>
      <c r="J1644" s="13" t="s">
        <v>3188</v>
      </c>
      <c r="K1644" s="14" t="s">
        <v>10753</v>
      </c>
      <c r="L1644" s="15">
        <v>4</v>
      </c>
      <c r="M1644" s="15" t="s">
        <v>144</v>
      </c>
      <c r="N1644" s="16">
        <v>40977</v>
      </c>
      <c r="O1644" s="12" t="s">
        <v>10751</v>
      </c>
      <c r="P1644" s="14" t="s">
        <v>10754</v>
      </c>
      <c r="Q1644" s="17" t="s">
        <v>137</v>
      </c>
      <c r="R1644" s="17" t="s">
        <v>146</v>
      </c>
    </row>
    <row r="1645" spans="1:18" x14ac:dyDescent="0.3">
      <c r="A1645" s="12" t="s">
        <v>10755</v>
      </c>
      <c r="B1645" s="12" t="s">
        <v>12</v>
      </c>
      <c r="C1645" s="12"/>
      <c r="D1645" s="12" t="s">
        <v>12</v>
      </c>
      <c r="E1645" s="12" t="s">
        <v>10756</v>
      </c>
      <c r="F1645" s="12"/>
      <c r="G1645" s="12" t="s">
        <v>3187</v>
      </c>
      <c r="H1645" s="12" t="s">
        <v>64</v>
      </c>
      <c r="I1645" s="12" t="s">
        <v>28</v>
      </c>
      <c r="J1645" s="13" t="s">
        <v>3188</v>
      </c>
      <c r="K1645" s="14" t="s">
        <v>10757</v>
      </c>
      <c r="L1645" s="15">
        <v>0</v>
      </c>
      <c r="M1645" s="15" t="s">
        <v>144</v>
      </c>
      <c r="N1645" s="16">
        <v>39301</v>
      </c>
      <c r="O1645" s="12" t="s">
        <v>10755</v>
      </c>
      <c r="P1645" s="14" t="s">
        <v>10758</v>
      </c>
      <c r="Q1645" s="17" t="s">
        <v>137</v>
      </c>
      <c r="R1645" s="17" t="s">
        <v>146</v>
      </c>
    </row>
    <row r="1646" spans="1:18" x14ac:dyDescent="0.3">
      <c r="A1646" s="12" t="s">
        <v>10759</v>
      </c>
      <c r="B1646" s="12" t="s">
        <v>12</v>
      </c>
      <c r="C1646" s="12"/>
      <c r="D1646" s="12" t="s">
        <v>12</v>
      </c>
      <c r="E1646" s="12" t="s">
        <v>10760</v>
      </c>
      <c r="F1646" s="12"/>
      <c r="G1646" s="12" t="s">
        <v>3187</v>
      </c>
      <c r="H1646" s="12" t="s">
        <v>64</v>
      </c>
      <c r="I1646" s="12" t="s">
        <v>28</v>
      </c>
      <c r="J1646" s="13" t="s">
        <v>3188</v>
      </c>
      <c r="K1646" s="14" t="s">
        <v>10761</v>
      </c>
      <c r="L1646" s="15">
        <v>2</v>
      </c>
      <c r="M1646" s="15" t="s">
        <v>144</v>
      </c>
      <c r="N1646" s="16">
        <v>39547</v>
      </c>
      <c r="O1646" s="12" t="s">
        <v>10759</v>
      </c>
      <c r="P1646" s="14" t="s">
        <v>10762</v>
      </c>
      <c r="Q1646" s="17" t="s">
        <v>137</v>
      </c>
      <c r="R1646" s="17" t="s">
        <v>146</v>
      </c>
    </row>
    <row r="1647" spans="1:18" x14ac:dyDescent="0.3">
      <c r="A1647" s="12" t="s">
        <v>10763</v>
      </c>
      <c r="B1647" s="12" t="s">
        <v>12</v>
      </c>
      <c r="C1647" s="12"/>
      <c r="D1647" s="12" t="s">
        <v>12</v>
      </c>
      <c r="E1647" s="12" t="s">
        <v>10764</v>
      </c>
      <c r="F1647" s="12" t="s">
        <v>547</v>
      </c>
      <c r="G1647" s="12" t="s">
        <v>10765</v>
      </c>
      <c r="H1647" s="12" t="s">
        <v>51</v>
      </c>
      <c r="I1647" s="12" t="s">
        <v>28</v>
      </c>
      <c r="J1647" s="13" t="s">
        <v>10766</v>
      </c>
      <c r="K1647" s="14" t="s">
        <v>10767</v>
      </c>
      <c r="L1647" s="15">
        <v>1</v>
      </c>
      <c r="M1647" s="15" t="s">
        <v>144</v>
      </c>
      <c r="N1647" s="16">
        <v>44319</v>
      </c>
      <c r="O1647" s="12" t="s">
        <v>10763</v>
      </c>
      <c r="P1647" s="14" t="s">
        <v>10768</v>
      </c>
      <c r="Q1647" s="17" t="s">
        <v>137</v>
      </c>
      <c r="R1647" s="17" t="s">
        <v>146</v>
      </c>
    </row>
    <row r="1648" spans="1:18" x14ac:dyDescent="0.3">
      <c r="A1648" s="12" t="s">
        <v>10769</v>
      </c>
      <c r="B1648" s="12" t="s">
        <v>14</v>
      </c>
      <c r="C1648" s="12"/>
      <c r="D1648" s="12" t="s">
        <v>14</v>
      </c>
      <c r="E1648" s="12" t="s">
        <v>10770</v>
      </c>
      <c r="F1648" s="12" t="s">
        <v>248</v>
      </c>
      <c r="G1648" s="12" t="s">
        <v>3214</v>
      </c>
      <c r="H1648" s="12" t="s">
        <v>51</v>
      </c>
      <c r="I1648" s="12" t="s">
        <v>28</v>
      </c>
      <c r="J1648" s="13" t="s">
        <v>3215</v>
      </c>
      <c r="K1648" s="14" t="s">
        <v>10771</v>
      </c>
      <c r="L1648" s="15">
        <v>1</v>
      </c>
      <c r="M1648" s="15" t="s">
        <v>144</v>
      </c>
      <c r="N1648" s="16">
        <v>41816</v>
      </c>
      <c r="O1648" s="12" t="s">
        <v>10769</v>
      </c>
      <c r="P1648" s="14" t="s">
        <v>10772</v>
      </c>
      <c r="Q1648" s="17" t="s">
        <v>137</v>
      </c>
      <c r="R1648" s="17" t="s">
        <v>146</v>
      </c>
    </row>
    <row r="1649" spans="1:18" x14ac:dyDescent="0.3">
      <c r="A1649" s="12" t="s">
        <v>10773</v>
      </c>
      <c r="B1649" s="12" t="s">
        <v>12</v>
      </c>
      <c r="C1649" s="12"/>
      <c r="D1649" s="12" t="s">
        <v>12</v>
      </c>
      <c r="E1649" s="12" t="s">
        <v>10774</v>
      </c>
      <c r="F1649" s="12"/>
      <c r="G1649" s="12" t="s">
        <v>3214</v>
      </c>
      <c r="H1649" s="12" t="s">
        <v>51</v>
      </c>
      <c r="I1649" s="12" t="s">
        <v>28</v>
      </c>
      <c r="J1649" s="13" t="s">
        <v>3215</v>
      </c>
      <c r="K1649" s="14" t="s">
        <v>10775</v>
      </c>
      <c r="L1649" s="15">
        <v>2</v>
      </c>
      <c r="M1649" s="15" t="s">
        <v>144</v>
      </c>
      <c r="N1649" s="16">
        <v>41717</v>
      </c>
      <c r="O1649" s="12" t="s">
        <v>10773</v>
      </c>
      <c r="P1649" s="14" t="s">
        <v>10776</v>
      </c>
      <c r="Q1649" s="17" t="s">
        <v>137</v>
      </c>
      <c r="R1649" s="17" t="s">
        <v>146</v>
      </c>
    </row>
    <row r="1650" spans="1:18" x14ac:dyDescent="0.3">
      <c r="A1650" s="12" t="s">
        <v>10777</v>
      </c>
      <c r="B1650" s="12" t="s">
        <v>12</v>
      </c>
      <c r="C1650" s="12"/>
      <c r="D1650" s="12" t="s">
        <v>12</v>
      </c>
      <c r="E1650" s="12" t="s">
        <v>10778</v>
      </c>
      <c r="F1650" s="12"/>
      <c r="G1650" s="12" t="s">
        <v>3214</v>
      </c>
      <c r="H1650" s="12" t="s">
        <v>51</v>
      </c>
      <c r="I1650" s="12" t="s">
        <v>28</v>
      </c>
      <c r="J1650" s="13" t="s">
        <v>3215</v>
      </c>
      <c r="K1650" s="14" t="s">
        <v>10779</v>
      </c>
      <c r="L1650" s="15">
        <v>1</v>
      </c>
      <c r="M1650" s="15" t="s">
        <v>144</v>
      </c>
      <c r="N1650" s="16">
        <v>39602</v>
      </c>
      <c r="O1650" s="12" t="s">
        <v>10780</v>
      </c>
      <c r="P1650" s="14" t="s">
        <v>10781</v>
      </c>
      <c r="Q1650" s="17" t="s">
        <v>137</v>
      </c>
      <c r="R1650" s="17" t="s">
        <v>146</v>
      </c>
    </row>
    <row r="1651" spans="1:18" x14ac:dyDescent="0.3">
      <c r="A1651" s="12" t="s">
        <v>10782</v>
      </c>
      <c r="B1651" s="12" t="s">
        <v>12</v>
      </c>
      <c r="C1651" s="12"/>
      <c r="D1651" s="12" t="s">
        <v>12</v>
      </c>
      <c r="E1651" s="12" t="s">
        <v>10783</v>
      </c>
      <c r="F1651" s="12"/>
      <c r="G1651" s="12" t="s">
        <v>3214</v>
      </c>
      <c r="H1651" s="12" t="s">
        <v>51</v>
      </c>
      <c r="I1651" s="12" t="s">
        <v>28</v>
      </c>
      <c r="J1651" s="13" t="s">
        <v>3215</v>
      </c>
      <c r="K1651" s="14" t="s">
        <v>10784</v>
      </c>
      <c r="L1651" s="15">
        <v>1</v>
      </c>
      <c r="M1651" s="15" t="s">
        <v>144</v>
      </c>
      <c r="N1651" s="16">
        <v>44065</v>
      </c>
      <c r="O1651" s="12" t="s">
        <v>10782</v>
      </c>
      <c r="P1651" s="14" t="s">
        <v>10785</v>
      </c>
      <c r="Q1651" s="17" t="s">
        <v>137</v>
      </c>
      <c r="R1651" s="17" t="s">
        <v>146</v>
      </c>
    </row>
    <row r="1652" spans="1:18" x14ac:dyDescent="0.3">
      <c r="A1652" s="12" t="s">
        <v>10786</v>
      </c>
      <c r="B1652" s="12" t="s">
        <v>12</v>
      </c>
      <c r="C1652" s="12"/>
      <c r="D1652" s="12" t="s">
        <v>12</v>
      </c>
      <c r="E1652" s="12" t="s">
        <v>10787</v>
      </c>
      <c r="F1652" s="12"/>
      <c r="G1652" s="12" t="s">
        <v>3214</v>
      </c>
      <c r="H1652" s="12" t="s">
        <v>51</v>
      </c>
      <c r="I1652" s="12" t="s">
        <v>28</v>
      </c>
      <c r="J1652" s="13" t="s">
        <v>3215</v>
      </c>
      <c r="K1652" s="14" t="s">
        <v>10784</v>
      </c>
      <c r="L1652" s="15">
        <v>0</v>
      </c>
      <c r="M1652" s="15" t="s">
        <v>144</v>
      </c>
      <c r="N1652" s="16">
        <v>40988</v>
      </c>
      <c r="O1652" s="12" t="s">
        <v>10786</v>
      </c>
      <c r="P1652" s="14" t="s">
        <v>10788</v>
      </c>
      <c r="Q1652" s="17" t="s">
        <v>137</v>
      </c>
      <c r="R1652" s="17" t="s">
        <v>146</v>
      </c>
    </row>
    <row r="1653" spans="1:18" x14ac:dyDescent="0.3">
      <c r="A1653" s="12" t="s">
        <v>10789</v>
      </c>
      <c r="B1653" s="12" t="s">
        <v>12</v>
      </c>
      <c r="C1653" s="12"/>
      <c r="D1653" s="12" t="s">
        <v>12</v>
      </c>
      <c r="E1653" s="12" t="s">
        <v>10790</v>
      </c>
      <c r="F1653" s="12" t="s">
        <v>447</v>
      </c>
      <c r="G1653" s="12" t="s">
        <v>3214</v>
      </c>
      <c r="H1653" s="12" t="s">
        <v>51</v>
      </c>
      <c r="I1653" s="12" t="s">
        <v>28</v>
      </c>
      <c r="J1653" s="13" t="s">
        <v>3215</v>
      </c>
      <c r="K1653" s="14" t="s">
        <v>10791</v>
      </c>
      <c r="L1653" s="15">
        <v>1</v>
      </c>
      <c r="M1653" s="15" t="s">
        <v>144</v>
      </c>
      <c r="N1653" s="16">
        <v>40876</v>
      </c>
      <c r="O1653" s="12" t="s">
        <v>10789</v>
      </c>
      <c r="P1653" s="14" t="s">
        <v>10792</v>
      </c>
      <c r="Q1653" s="17" t="s">
        <v>137</v>
      </c>
      <c r="R1653" s="17" t="s">
        <v>146</v>
      </c>
    </row>
    <row r="1654" spans="1:18" x14ac:dyDescent="0.3">
      <c r="A1654" s="12" t="s">
        <v>10793</v>
      </c>
      <c r="B1654" s="12" t="s">
        <v>12</v>
      </c>
      <c r="C1654" s="12"/>
      <c r="D1654" s="12" t="s">
        <v>12</v>
      </c>
      <c r="E1654" s="12" t="s">
        <v>10794</v>
      </c>
      <c r="F1654" s="12"/>
      <c r="G1654" s="12" t="s">
        <v>3214</v>
      </c>
      <c r="H1654" s="12" t="s">
        <v>51</v>
      </c>
      <c r="I1654" s="12" t="s">
        <v>28</v>
      </c>
      <c r="J1654" s="13" t="s">
        <v>3215</v>
      </c>
      <c r="K1654" s="14" t="s">
        <v>10795</v>
      </c>
      <c r="L1654" s="15">
        <v>0</v>
      </c>
      <c r="M1654" s="15" t="s">
        <v>144</v>
      </c>
      <c r="N1654" s="16">
        <v>41374</v>
      </c>
      <c r="O1654" s="12" t="s">
        <v>10793</v>
      </c>
      <c r="P1654" s="14" t="s">
        <v>10796</v>
      </c>
      <c r="Q1654" s="17" t="s">
        <v>137</v>
      </c>
      <c r="R1654" s="17" t="s">
        <v>146</v>
      </c>
    </row>
    <row r="1655" spans="1:18" x14ac:dyDescent="0.3">
      <c r="A1655" s="12" t="s">
        <v>10797</v>
      </c>
      <c r="B1655" s="12" t="s">
        <v>12</v>
      </c>
      <c r="C1655" s="12"/>
      <c r="D1655" s="12" t="s">
        <v>12</v>
      </c>
      <c r="E1655" s="12" t="s">
        <v>10798</v>
      </c>
      <c r="F1655" s="12" t="s">
        <v>3485</v>
      </c>
      <c r="G1655" s="12" t="s">
        <v>3214</v>
      </c>
      <c r="H1655" s="12" t="s">
        <v>51</v>
      </c>
      <c r="I1655" s="12" t="s">
        <v>28</v>
      </c>
      <c r="J1655" s="13" t="s">
        <v>3215</v>
      </c>
      <c r="K1655" s="14" t="s">
        <v>10799</v>
      </c>
      <c r="L1655" s="15">
        <v>3</v>
      </c>
      <c r="M1655" s="15" t="s">
        <v>144</v>
      </c>
      <c r="N1655" s="16">
        <v>43073</v>
      </c>
      <c r="O1655" s="12" t="s">
        <v>10797</v>
      </c>
      <c r="P1655" s="14" t="s">
        <v>10800</v>
      </c>
      <c r="Q1655" s="17" t="s">
        <v>137</v>
      </c>
      <c r="R1655" s="17" t="s">
        <v>146</v>
      </c>
    </row>
    <row r="1656" spans="1:18" x14ac:dyDescent="0.3">
      <c r="A1656" s="12" t="s">
        <v>10801</v>
      </c>
      <c r="B1656" s="12" t="s">
        <v>16</v>
      </c>
      <c r="C1656" s="12"/>
      <c r="D1656" s="12" t="s">
        <v>993</v>
      </c>
      <c r="E1656" s="12" t="s">
        <v>10770</v>
      </c>
      <c r="F1656" s="12" t="s">
        <v>3485</v>
      </c>
      <c r="G1656" s="12" t="s">
        <v>3214</v>
      </c>
      <c r="H1656" s="12" t="s">
        <v>51</v>
      </c>
      <c r="I1656" s="12" t="s">
        <v>28</v>
      </c>
      <c r="J1656" s="13" t="s">
        <v>3215</v>
      </c>
      <c r="K1656" s="14" t="s">
        <v>10802</v>
      </c>
      <c r="L1656" s="15">
        <v>0</v>
      </c>
      <c r="M1656" s="15" t="s">
        <v>220</v>
      </c>
      <c r="N1656" s="16">
        <v>41897</v>
      </c>
      <c r="O1656" s="12" t="s">
        <v>10801</v>
      </c>
      <c r="P1656" s="14" t="s">
        <v>10803</v>
      </c>
      <c r="Q1656" s="17" t="s">
        <v>137</v>
      </c>
      <c r="R1656" s="17" t="s">
        <v>146</v>
      </c>
    </row>
    <row r="1657" spans="1:18" x14ac:dyDescent="0.3">
      <c r="A1657" s="12" t="s">
        <v>10804</v>
      </c>
      <c r="B1657" s="12" t="s">
        <v>10</v>
      </c>
      <c r="C1657" s="12"/>
      <c r="D1657" s="12" t="s">
        <v>647</v>
      </c>
      <c r="E1657" s="12" t="s">
        <v>10770</v>
      </c>
      <c r="F1657" s="12" t="s">
        <v>1542</v>
      </c>
      <c r="G1657" s="12" t="s">
        <v>3214</v>
      </c>
      <c r="H1657" s="12" t="s">
        <v>51</v>
      </c>
      <c r="I1657" s="12" t="s">
        <v>28</v>
      </c>
      <c r="J1657" s="13" t="s">
        <v>3215</v>
      </c>
      <c r="K1657" s="14" t="s">
        <v>10805</v>
      </c>
      <c r="L1657" s="15">
        <v>1</v>
      </c>
      <c r="M1657" s="15" t="s">
        <v>220</v>
      </c>
      <c r="N1657" s="16">
        <v>41172</v>
      </c>
      <c r="O1657" s="12" t="s">
        <v>10804</v>
      </c>
      <c r="P1657" s="14" t="s">
        <v>10806</v>
      </c>
      <c r="Q1657" s="17" t="s">
        <v>137</v>
      </c>
      <c r="R1657" s="17" t="s">
        <v>146</v>
      </c>
    </row>
    <row r="1658" spans="1:18" x14ac:dyDescent="0.3">
      <c r="A1658" s="12" t="s">
        <v>10807</v>
      </c>
      <c r="B1658" s="12" t="s">
        <v>14</v>
      </c>
      <c r="C1658" s="12"/>
      <c r="D1658" s="12" t="s">
        <v>14</v>
      </c>
      <c r="E1658" s="12" t="s">
        <v>10808</v>
      </c>
      <c r="F1658" s="12"/>
      <c r="G1658" s="12" t="s">
        <v>3214</v>
      </c>
      <c r="H1658" s="12" t="s">
        <v>51</v>
      </c>
      <c r="I1658" s="12" t="s">
        <v>28</v>
      </c>
      <c r="J1658" s="13" t="s">
        <v>3215</v>
      </c>
      <c r="K1658" s="14" t="s">
        <v>10809</v>
      </c>
      <c r="L1658" s="15">
        <v>1</v>
      </c>
      <c r="M1658" s="15" t="s">
        <v>220</v>
      </c>
      <c r="N1658" s="16">
        <v>40968</v>
      </c>
      <c r="O1658" s="12" t="s">
        <v>10807</v>
      </c>
      <c r="P1658" s="14" t="s">
        <v>10810</v>
      </c>
      <c r="Q1658" s="17" t="s">
        <v>137</v>
      </c>
      <c r="R1658" s="17" t="s">
        <v>146</v>
      </c>
    </row>
    <row r="1659" spans="1:18" x14ac:dyDescent="0.3">
      <c r="A1659" s="12" t="s">
        <v>10811</v>
      </c>
      <c r="B1659" s="12" t="s">
        <v>12</v>
      </c>
      <c r="C1659" s="12"/>
      <c r="D1659" s="12" t="s">
        <v>12</v>
      </c>
      <c r="E1659" s="12" t="s">
        <v>3234</v>
      </c>
      <c r="F1659" s="12" t="s">
        <v>366</v>
      </c>
      <c r="G1659" s="12" t="s">
        <v>3214</v>
      </c>
      <c r="H1659" s="12" t="s">
        <v>51</v>
      </c>
      <c r="I1659" s="12" t="s">
        <v>28</v>
      </c>
      <c r="J1659" s="13" t="s">
        <v>3215</v>
      </c>
      <c r="K1659" s="14" t="s">
        <v>10812</v>
      </c>
      <c r="L1659" s="15">
        <v>2</v>
      </c>
      <c r="M1659" s="15" t="s">
        <v>144</v>
      </c>
      <c r="N1659" s="16">
        <v>41578</v>
      </c>
      <c r="O1659" s="12" t="s">
        <v>10811</v>
      </c>
      <c r="P1659" s="14" t="s">
        <v>10813</v>
      </c>
      <c r="Q1659" s="17" t="s">
        <v>137</v>
      </c>
      <c r="R1659" s="17" t="s">
        <v>146</v>
      </c>
    </row>
    <row r="1660" spans="1:18" x14ac:dyDescent="0.3">
      <c r="A1660" s="12" t="s">
        <v>10814</v>
      </c>
      <c r="B1660" s="12" t="s">
        <v>14</v>
      </c>
      <c r="C1660" s="12"/>
      <c r="D1660" s="12" t="s">
        <v>14</v>
      </c>
      <c r="E1660" s="12" t="s">
        <v>10815</v>
      </c>
      <c r="F1660" s="12"/>
      <c r="G1660" s="12" t="s">
        <v>3214</v>
      </c>
      <c r="H1660" s="12" t="s">
        <v>51</v>
      </c>
      <c r="I1660" s="12" t="s">
        <v>28</v>
      </c>
      <c r="J1660" s="13" t="s">
        <v>3215</v>
      </c>
      <c r="K1660" s="14" t="s">
        <v>10816</v>
      </c>
      <c r="L1660" s="15">
        <v>1</v>
      </c>
      <c r="M1660" s="15" t="s">
        <v>144</v>
      </c>
      <c r="N1660" s="16">
        <v>40106</v>
      </c>
      <c r="O1660" s="12" t="s">
        <v>10814</v>
      </c>
      <c r="P1660" s="14" t="s">
        <v>10817</v>
      </c>
      <c r="Q1660" s="17" t="s">
        <v>137</v>
      </c>
      <c r="R1660" s="17" t="s">
        <v>146</v>
      </c>
    </row>
    <row r="1661" spans="1:18" x14ac:dyDescent="0.3">
      <c r="A1661" s="12" t="s">
        <v>10818</v>
      </c>
      <c r="B1661" s="12" t="s">
        <v>14</v>
      </c>
      <c r="C1661" s="12"/>
      <c r="D1661" s="12" t="s">
        <v>14</v>
      </c>
      <c r="E1661" s="12" t="s">
        <v>10815</v>
      </c>
      <c r="F1661" s="12"/>
      <c r="G1661" s="12" t="s">
        <v>3214</v>
      </c>
      <c r="H1661" s="12" t="s">
        <v>51</v>
      </c>
      <c r="I1661" s="12" t="s">
        <v>28</v>
      </c>
      <c r="J1661" s="13" t="s">
        <v>3215</v>
      </c>
      <c r="K1661" s="14" t="s">
        <v>10816</v>
      </c>
      <c r="L1661" s="15">
        <v>1</v>
      </c>
      <c r="M1661" s="15" t="s">
        <v>144</v>
      </c>
      <c r="N1661" s="16">
        <v>40112</v>
      </c>
      <c r="O1661" s="12" t="s">
        <v>10818</v>
      </c>
      <c r="P1661" s="14" t="s">
        <v>10819</v>
      </c>
      <c r="Q1661" s="17" t="s">
        <v>137</v>
      </c>
      <c r="R1661" s="17" t="s">
        <v>146</v>
      </c>
    </row>
    <row r="1662" spans="1:18" x14ac:dyDescent="0.3">
      <c r="A1662" s="12" t="s">
        <v>10820</v>
      </c>
      <c r="B1662" s="12" t="s">
        <v>14</v>
      </c>
      <c r="C1662" s="12"/>
      <c r="D1662" s="12" t="s">
        <v>14</v>
      </c>
      <c r="E1662" s="12" t="s">
        <v>10821</v>
      </c>
      <c r="F1662" s="12" t="s">
        <v>258</v>
      </c>
      <c r="G1662" s="12" t="s">
        <v>3214</v>
      </c>
      <c r="H1662" s="12" t="s">
        <v>51</v>
      </c>
      <c r="I1662" s="12" t="s">
        <v>28</v>
      </c>
      <c r="J1662" s="13" t="s">
        <v>3215</v>
      </c>
      <c r="K1662" s="14" t="s">
        <v>10822</v>
      </c>
      <c r="L1662" s="15">
        <v>5</v>
      </c>
      <c r="M1662" s="15" t="s">
        <v>144</v>
      </c>
      <c r="N1662" s="16">
        <v>40869</v>
      </c>
      <c r="O1662" s="12" t="s">
        <v>10820</v>
      </c>
      <c r="P1662" s="14" t="s">
        <v>10823</v>
      </c>
      <c r="Q1662" s="17" t="s">
        <v>137</v>
      </c>
      <c r="R1662" s="17" t="s">
        <v>146</v>
      </c>
    </row>
    <row r="1663" spans="1:18" x14ac:dyDescent="0.3">
      <c r="A1663" s="12" t="s">
        <v>10820</v>
      </c>
      <c r="B1663" s="12" t="s">
        <v>14</v>
      </c>
      <c r="C1663" s="12"/>
      <c r="D1663" s="12" t="s">
        <v>14</v>
      </c>
      <c r="E1663" s="12" t="s">
        <v>10770</v>
      </c>
      <c r="F1663" s="12" t="s">
        <v>248</v>
      </c>
      <c r="G1663" s="12" t="s">
        <v>3214</v>
      </c>
      <c r="H1663" s="12" t="s">
        <v>51</v>
      </c>
      <c r="I1663" s="12" t="s">
        <v>28</v>
      </c>
      <c r="J1663" s="13" t="s">
        <v>3215</v>
      </c>
      <c r="K1663" s="14" t="s">
        <v>10824</v>
      </c>
      <c r="L1663" s="15">
        <v>1</v>
      </c>
      <c r="M1663" s="15" t="s">
        <v>144</v>
      </c>
      <c r="N1663" s="16">
        <v>41088</v>
      </c>
      <c r="O1663" s="12" t="s">
        <v>10820</v>
      </c>
      <c r="P1663" s="14" t="s">
        <v>10825</v>
      </c>
      <c r="Q1663" s="17" t="s">
        <v>137</v>
      </c>
      <c r="R1663" s="17" t="s">
        <v>146</v>
      </c>
    </row>
    <row r="1664" spans="1:18" x14ac:dyDescent="0.3">
      <c r="A1664" s="12" t="s">
        <v>10826</v>
      </c>
      <c r="B1664" s="12" t="s">
        <v>14</v>
      </c>
      <c r="C1664" s="12"/>
      <c r="D1664" s="12" t="s">
        <v>14</v>
      </c>
      <c r="E1664" s="12" t="s">
        <v>10827</v>
      </c>
      <c r="F1664" s="12"/>
      <c r="G1664" s="12" t="s">
        <v>3214</v>
      </c>
      <c r="H1664" s="12" t="s">
        <v>51</v>
      </c>
      <c r="I1664" s="12" t="s">
        <v>28</v>
      </c>
      <c r="J1664" s="13" t="s">
        <v>3215</v>
      </c>
      <c r="K1664" s="14" t="s">
        <v>10822</v>
      </c>
      <c r="L1664" s="15">
        <v>0</v>
      </c>
      <c r="M1664" s="15" t="s">
        <v>144</v>
      </c>
      <c r="N1664" s="16">
        <v>44065</v>
      </c>
      <c r="O1664" s="12" t="s">
        <v>10826</v>
      </c>
      <c r="P1664" s="14" t="s">
        <v>10828</v>
      </c>
      <c r="Q1664" s="17" t="s">
        <v>137</v>
      </c>
      <c r="R1664" s="17" t="s">
        <v>146</v>
      </c>
    </row>
    <row r="1665" spans="1:18" x14ac:dyDescent="0.3">
      <c r="A1665" s="12" t="s">
        <v>10829</v>
      </c>
      <c r="B1665" s="12" t="s">
        <v>12</v>
      </c>
      <c r="C1665" s="12"/>
      <c r="D1665" s="12" t="s">
        <v>12</v>
      </c>
      <c r="E1665" s="12" t="s">
        <v>10830</v>
      </c>
      <c r="F1665" s="12" t="s">
        <v>1542</v>
      </c>
      <c r="G1665" s="12" t="s">
        <v>3214</v>
      </c>
      <c r="H1665" s="12" t="s">
        <v>51</v>
      </c>
      <c r="I1665" s="12" t="s">
        <v>28</v>
      </c>
      <c r="J1665" s="13" t="s">
        <v>3215</v>
      </c>
      <c r="K1665" s="14" t="s">
        <v>10831</v>
      </c>
      <c r="L1665" s="15">
        <v>3</v>
      </c>
      <c r="M1665" s="15" t="s">
        <v>144</v>
      </c>
      <c r="N1665" s="16">
        <v>44065</v>
      </c>
      <c r="O1665" s="12" t="s">
        <v>10829</v>
      </c>
      <c r="P1665" s="14" t="s">
        <v>10832</v>
      </c>
      <c r="Q1665" s="17" t="s">
        <v>137</v>
      </c>
      <c r="R1665" s="17" t="s">
        <v>146</v>
      </c>
    </row>
    <row r="1666" spans="1:18" x14ac:dyDescent="0.3">
      <c r="A1666" s="12" t="s">
        <v>10833</v>
      </c>
      <c r="B1666" s="12" t="s">
        <v>14</v>
      </c>
      <c r="C1666" s="12"/>
      <c r="D1666" s="12" t="s">
        <v>14</v>
      </c>
      <c r="E1666" s="12" t="s">
        <v>10834</v>
      </c>
      <c r="F1666" s="12" t="s">
        <v>1039</v>
      </c>
      <c r="G1666" s="12" t="s">
        <v>10835</v>
      </c>
      <c r="H1666" s="12" t="s">
        <v>51</v>
      </c>
      <c r="I1666" s="12" t="s">
        <v>28</v>
      </c>
      <c r="J1666" s="13" t="s">
        <v>10836</v>
      </c>
      <c r="K1666" s="14" t="s">
        <v>10837</v>
      </c>
      <c r="L1666" s="15">
        <v>1</v>
      </c>
      <c r="M1666" s="15" t="s">
        <v>144</v>
      </c>
      <c r="N1666" s="16">
        <v>41298</v>
      </c>
      <c r="O1666" s="12" t="s">
        <v>10833</v>
      </c>
      <c r="P1666" s="14" t="s">
        <v>10838</v>
      </c>
      <c r="Q1666" s="17" t="s">
        <v>137</v>
      </c>
      <c r="R1666" s="17" t="s">
        <v>146</v>
      </c>
    </row>
    <row r="1667" spans="1:18" x14ac:dyDescent="0.3">
      <c r="A1667" s="12" t="s">
        <v>10839</v>
      </c>
      <c r="B1667" s="12" t="s">
        <v>12</v>
      </c>
      <c r="C1667" s="12"/>
      <c r="D1667" s="12" t="s">
        <v>12</v>
      </c>
      <c r="E1667" s="12" t="s">
        <v>10840</v>
      </c>
      <c r="F1667" s="12"/>
      <c r="G1667" s="12" t="s">
        <v>10835</v>
      </c>
      <c r="H1667" s="12" t="s">
        <v>51</v>
      </c>
      <c r="I1667" s="12" t="s">
        <v>28</v>
      </c>
      <c r="J1667" s="13" t="s">
        <v>10836</v>
      </c>
      <c r="K1667" s="14" t="s">
        <v>10841</v>
      </c>
      <c r="L1667" s="15">
        <v>1</v>
      </c>
      <c r="M1667" s="15" t="s">
        <v>144</v>
      </c>
      <c r="N1667" s="16">
        <v>39558</v>
      </c>
      <c r="O1667" s="12" t="s">
        <v>10839</v>
      </c>
      <c r="P1667" s="14" t="s">
        <v>10842</v>
      </c>
      <c r="Q1667" s="17" t="s">
        <v>137</v>
      </c>
      <c r="R1667" s="17" t="s">
        <v>146</v>
      </c>
    </row>
    <row r="1668" spans="1:18" x14ac:dyDescent="0.3">
      <c r="A1668" s="12" t="s">
        <v>10820</v>
      </c>
      <c r="B1668" s="12" t="s">
        <v>14</v>
      </c>
      <c r="C1668" s="12"/>
      <c r="D1668" s="12" t="s">
        <v>14</v>
      </c>
      <c r="E1668" s="12" t="s">
        <v>10834</v>
      </c>
      <c r="F1668" s="12" t="s">
        <v>1039</v>
      </c>
      <c r="G1668" s="12" t="s">
        <v>10835</v>
      </c>
      <c r="H1668" s="12" t="s">
        <v>51</v>
      </c>
      <c r="I1668" s="12" t="s">
        <v>28</v>
      </c>
      <c r="J1668" s="13" t="s">
        <v>10836</v>
      </c>
      <c r="K1668" s="14" t="s">
        <v>10837</v>
      </c>
      <c r="L1668" s="15">
        <v>1</v>
      </c>
      <c r="M1668" s="15" t="s">
        <v>144</v>
      </c>
      <c r="N1668" s="16">
        <v>41088</v>
      </c>
      <c r="O1668" s="12" t="s">
        <v>10820</v>
      </c>
      <c r="P1668" s="14" t="s">
        <v>10843</v>
      </c>
      <c r="Q1668" s="17" t="s">
        <v>137</v>
      </c>
      <c r="R1668" s="17" t="s">
        <v>146</v>
      </c>
    </row>
    <row r="1669" spans="1:18" x14ac:dyDescent="0.3">
      <c r="A1669" s="12" t="s">
        <v>10844</v>
      </c>
      <c r="B1669" s="12" t="s">
        <v>12</v>
      </c>
      <c r="C1669" s="12"/>
      <c r="D1669" s="12" t="s">
        <v>12</v>
      </c>
      <c r="E1669" s="12" t="s">
        <v>10845</v>
      </c>
      <c r="F1669" s="12"/>
      <c r="G1669" s="12" t="s">
        <v>10846</v>
      </c>
      <c r="H1669" s="12" t="s">
        <v>109</v>
      </c>
      <c r="I1669" s="12" t="s">
        <v>28</v>
      </c>
      <c r="J1669" s="13" t="s">
        <v>10847</v>
      </c>
      <c r="K1669" s="14" t="s">
        <v>10848</v>
      </c>
      <c r="L1669" s="15">
        <v>0</v>
      </c>
      <c r="M1669" s="15" t="s">
        <v>144</v>
      </c>
      <c r="N1669" s="16">
        <v>44065</v>
      </c>
      <c r="O1669" s="12" t="s">
        <v>10844</v>
      </c>
      <c r="P1669" s="14" t="s">
        <v>10849</v>
      </c>
      <c r="Q1669" s="17" t="s">
        <v>137</v>
      </c>
      <c r="R1669" s="17" t="s">
        <v>146</v>
      </c>
    </row>
    <row r="1670" spans="1:18" x14ac:dyDescent="0.3">
      <c r="A1670" s="12" t="s">
        <v>10850</v>
      </c>
      <c r="B1670" s="12" t="s">
        <v>12</v>
      </c>
      <c r="C1670" s="12"/>
      <c r="D1670" s="12" t="s">
        <v>12</v>
      </c>
      <c r="E1670" s="12" t="s">
        <v>10851</v>
      </c>
      <c r="F1670" s="12" t="s">
        <v>319</v>
      </c>
      <c r="G1670" s="12" t="s">
        <v>10852</v>
      </c>
      <c r="H1670" s="12" t="s">
        <v>109</v>
      </c>
      <c r="I1670" s="12" t="s">
        <v>28</v>
      </c>
      <c r="J1670" s="13" t="s">
        <v>10847</v>
      </c>
      <c r="K1670" s="14" t="s">
        <v>10853</v>
      </c>
      <c r="L1670" s="15">
        <v>2</v>
      </c>
      <c r="M1670" s="15" t="s">
        <v>144</v>
      </c>
      <c r="N1670" s="16">
        <v>44095</v>
      </c>
      <c r="O1670" s="12" t="s">
        <v>10850</v>
      </c>
      <c r="P1670" s="14" t="s">
        <v>10854</v>
      </c>
      <c r="Q1670" s="17" t="s">
        <v>137</v>
      </c>
      <c r="R1670" s="17" t="s">
        <v>146</v>
      </c>
    </row>
    <row r="1671" spans="1:18" x14ac:dyDescent="0.3">
      <c r="A1671" s="12" t="s">
        <v>10855</v>
      </c>
      <c r="B1671" s="12" t="s">
        <v>12</v>
      </c>
      <c r="C1671" s="12"/>
      <c r="D1671" s="12" t="s">
        <v>12</v>
      </c>
      <c r="E1671" s="12" t="s">
        <v>10856</v>
      </c>
      <c r="F1671" s="12" t="s">
        <v>319</v>
      </c>
      <c r="G1671" s="12" t="s">
        <v>10852</v>
      </c>
      <c r="H1671" s="12" t="s">
        <v>109</v>
      </c>
      <c r="I1671" s="12" t="s">
        <v>28</v>
      </c>
      <c r="J1671" s="13" t="s">
        <v>10847</v>
      </c>
      <c r="K1671" s="14" t="s">
        <v>10857</v>
      </c>
      <c r="L1671" s="15">
        <v>2</v>
      </c>
      <c r="M1671" s="15" t="s">
        <v>144</v>
      </c>
      <c r="N1671" s="16">
        <v>41176</v>
      </c>
      <c r="O1671" s="12" t="s">
        <v>10855</v>
      </c>
      <c r="P1671" s="14" t="s">
        <v>10858</v>
      </c>
      <c r="Q1671" s="17" t="s">
        <v>137</v>
      </c>
      <c r="R1671" s="17" t="s">
        <v>146</v>
      </c>
    </row>
    <row r="1672" spans="1:18" x14ac:dyDescent="0.3">
      <c r="A1672" s="12" t="s">
        <v>10859</v>
      </c>
      <c r="B1672" s="12" t="s">
        <v>12</v>
      </c>
      <c r="C1672" s="12"/>
      <c r="D1672" s="12" t="s">
        <v>12</v>
      </c>
      <c r="E1672" s="12" t="s">
        <v>10860</v>
      </c>
      <c r="F1672" s="12"/>
      <c r="G1672" s="12" t="s">
        <v>10852</v>
      </c>
      <c r="H1672" s="12" t="s">
        <v>109</v>
      </c>
      <c r="I1672" s="12" t="s">
        <v>28</v>
      </c>
      <c r="J1672" s="13" t="s">
        <v>10847</v>
      </c>
      <c r="K1672" s="14" t="s">
        <v>10861</v>
      </c>
      <c r="L1672" s="15">
        <v>1</v>
      </c>
      <c r="M1672" s="15" t="s">
        <v>144</v>
      </c>
      <c r="N1672" s="16">
        <v>40418</v>
      </c>
      <c r="O1672" s="12" t="s">
        <v>10859</v>
      </c>
      <c r="P1672" s="14" t="s">
        <v>10862</v>
      </c>
      <c r="Q1672" s="17" t="s">
        <v>137</v>
      </c>
      <c r="R1672" s="17" t="s">
        <v>146</v>
      </c>
    </row>
    <row r="1673" spans="1:18" x14ac:dyDescent="0.3">
      <c r="A1673" s="12" t="s">
        <v>10863</v>
      </c>
      <c r="B1673" s="12" t="s">
        <v>12</v>
      </c>
      <c r="C1673" s="12"/>
      <c r="D1673" s="12" t="s">
        <v>12</v>
      </c>
      <c r="E1673" s="12" t="s">
        <v>10864</v>
      </c>
      <c r="F1673" s="12" t="s">
        <v>188</v>
      </c>
      <c r="G1673" s="12" t="s">
        <v>10852</v>
      </c>
      <c r="H1673" s="12" t="s">
        <v>109</v>
      </c>
      <c r="I1673" s="12" t="s">
        <v>28</v>
      </c>
      <c r="J1673" s="13" t="s">
        <v>10847</v>
      </c>
      <c r="K1673" s="14" t="s">
        <v>10865</v>
      </c>
      <c r="L1673" s="15">
        <v>1</v>
      </c>
      <c r="M1673" s="15" t="s">
        <v>144</v>
      </c>
      <c r="N1673" s="16">
        <v>44065</v>
      </c>
      <c r="O1673" s="12" t="s">
        <v>10863</v>
      </c>
      <c r="P1673" s="14" t="s">
        <v>10866</v>
      </c>
      <c r="Q1673" s="17" t="s">
        <v>137</v>
      </c>
      <c r="R1673" s="17" t="s">
        <v>146</v>
      </c>
    </row>
    <row r="1674" spans="1:18" x14ac:dyDescent="0.3">
      <c r="A1674" s="12" t="s">
        <v>10867</v>
      </c>
      <c r="B1674" s="12" t="s">
        <v>12</v>
      </c>
      <c r="C1674" s="12"/>
      <c r="D1674" s="12" t="s">
        <v>12</v>
      </c>
      <c r="E1674" s="12" t="s">
        <v>10868</v>
      </c>
      <c r="F1674" s="12"/>
      <c r="G1674" s="12" t="s">
        <v>10869</v>
      </c>
      <c r="H1674" s="12" t="s">
        <v>109</v>
      </c>
      <c r="I1674" s="12" t="s">
        <v>28</v>
      </c>
      <c r="J1674" s="13" t="s">
        <v>10847</v>
      </c>
      <c r="K1674" s="14" t="s">
        <v>10870</v>
      </c>
      <c r="L1674" s="15">
        <v>1</v>
      </c>
      <c r="M1674" s="15" t="s">
        <v>144</v>
      </c>
      <c r="N1674" s="16">
        <v>40373</v>
      </c>
      <c r="O1674" s="12" t="s">
        <v>10867</v>
      </c>
      <c r="P1674" s="14" t="s">
        <v>10871</v>
      </c>
      <c r="Q1674" s="17" t="s">
        <v>137</v>
      </c>
      <c r="R1674" s="17" t="s">
        <v>146</v>
      </c>
    </row>
    <row r="1675" spans="1:18" x14ac:dyDescent="0.3">
      <c r="A1675" s="12" t="s">
        <v>10872</v>
      </c>
      <c r="B1675" s="12" t="s">
        <v>14</v>
      </c>
      <c r="C1675" s="12"/>
      <c r="D1675" s="12" t="s">
        <v>14</v>
      </c>
      <c r="E1675" s="12" t="s">
        <v>10873</v>
      </c>
      <c r="F1675" s="12"/>
      <c r="G1675" s="12" t="s">
        <v>10874</v>
      </c>
      <c r="H1675" s="12" t="s">
        <v>111</v>
      </c>
      <c r="I1675" s="12" t="s">
        <v>28</v>
      </c>
      <c r="J1675" s="13" t="s">
        <v>10875</v>
      </c>
      <c r="K1675" s="14" t="s">
        <v>10876</v>
      </c>
      <c r="L1675" s="15">
        <v>0</v>
      </c>
      <c r="M1675" s="15" t="s">
        <v>144</v>
      </c>
      <c r="N1675" s="16">
        <v>39493</v>
      </c>
      <c r="O1675" s="12" t="s">
        <v>10877</v>
      </c>
      <c r="P1675" s="14" t="s">
        <v>10878</v>
      </c>
      <c r="Q1675" s="17" t="s">
        <v>137</v>
      </c>
      <c r="R1675" s="17" t="s">
        <v>146</v>
      </c>
    </row>
    <row r="1676" spans="1:18" x14ac:dyDescent="0.3">
      <c r="A1676" s="12" t="s">
        <v>10879</v>
      </c>
      <c r="B1676" s="12" t="s">
        <v>12</v>
      </c>
      <c r="C1676" s="12"/>
      <c r="D1676" s="12" t="s">
        <v>12</v>
      </c>
      <c r="E1676" s="12" t="s">
        <v>10880</v>
      </c>
      <c r="F1676" s="12"/>
      <c r="G1676" s="12" t="s">
        <v>10874</v>
      </c>
      <c r="H1676" s="12" t="s">
        <v>111</v>
      </c>
      <c r="I1676" s="12" t="s">
        <v>28</v>
      </c>
      <c r="J1676" s="13" t="s">
        <v>10875</v>
      </c>
      <c r="K1676" s="14" t="s">
        <v>10881</v>
      </c>
      <c r="L1676" s="15">
        <v>1</v>
      </c>
      <c r="M1676" s="15" t="s">
        <v>144</v>
      </c>
      <c r="N1676" s="16">
        <v>39504</v>
      </c>
      <c r="O1676" s="12" t="s">
        <v>10879</v>
      </c>
      <c r="P1676" s="14" t="s">
        <v>10882</v>
      </c>
      <c r="Q1676" s="17" t="s">
        <v>137</v>
      </c>
      <c r="R1676" s="17" t="s">
        <v>146</v>
      </c>
    </row>
    <row r="1677" spans="1:18" x14ac:dyDescent="0.3">
      <c r="A1677" s="12" t="s">
        <v>10883</v>
      </c>
      <c r="B1677" s="12" t="s">
        <v>12</v>
      </c>
      <c r="C1677" s="12"/>
      <c r="D1677" s="12" t="s">
        <v>12</v>
      </c>
      <c r="E1677" s="12" t="s">
        <v>10884</v>
      </c>
      <c r="F1677" s="12"/>
      <c r="G1677" s="12" t="s">
        <v>10874</v>
      </c>
      <c r="H1677" s="12" t="s">
        <v>111</v>
      </c>
      <c r="I1677" s="12" t="s">
        <v>28</v>
      </c>
      <c r="J1677" s="13" t="s">
        <v>10875</v>
      </c>
      <c r="K1677" s="14" t="s">
        <v>10885</v>
      </c>
      <c r="L1677" s="15">
        <v>2</v>
      </c>
      <c r="M1677" s="15" t="s">
        <v>144</v>
      </c>
      <c r="N1677" s="16">
        <v>40696</v>
      </c>
      <c r="O1677" s="12" t="s">
        <v>10883</v>
      </c>
      <c r="P1677" s="14" t="s">
        <v>10886</v>
      </c>
      <c r="Q1677" s="17" t="s">
        <v>137</v>
      </c>
      <c r="R1677" s="17" t="s">
        <v>146</v>
      </c>
    </row>
    <row r="1678" spans="1:18" x14ac:dyDescent="0.3">
      <c r="A1678" s="12" t="s">
        <v>10887</v>
      </c>
      <c r="B1678" s="12" t="s">
        <v>12</v>
      </c>
      <c r="C1678" s="12"/>
      <c r="D1678" s="12" t="s">
        <v>12</v>
      </c>
      <c r="E1678" s="12" t="s">
        <v>10884</v>
      </c>
      <c r="F1678" s="12"/>
      <c r="G1678" s="12" t="s">
        <v>10874</v>
      </c>
      <c r="H1678" s="12" t="s">
        <v>111</v>
      </c>
      <c r="I1678" s="12" t="s">
        <v>28</v>
      </c>
      <c r="J1678" s="13" t="s">
        <v>10875</v>
      </c>
      <c r="K1678" s="14" t="s">
        <v>10888</v>
      </c>
      <c r="L1678" s="15">
        <v>2</v>
      </c>
      <c r="M1678" s="15" t="s">
        <v>144</v>
      </c>
      <c r="N1678" s="16">
        <v>39475</v>
      </c>
      <c r="O1678" s="12" t="s">
        <v>10887</v>
      </c>
      <c r="P1678" s="14" t="s">
        <v>10889</v>
      </c>
      <c r="Q1678" s="17" t="s">
        <v>137</v>
      </c>
      <c r="R1678" s="17" t="s">
        <v>146</v>
      </c>
    </row>
    <row r="1679" spans="1:18" x14ac:dyDescent="0.3">
      <c r="A1679" s="12" t="s">
        <v>10890</v>
      </c>
      <c r="B1679" s="12" t="s">
        <v>14</v>
      </c>
      <c r="C1679" s="12"/>
      <c r="D1679" s="12" t="s">
        <v>14</v>
      </c>
      <c r="E1679" s="12" t="s">
        <v>10891</v>
      </c>
      <c r="F1679" s="12"/>
      <c r="G1679" s="12" t="s">
        <v>3263</v>
      </c>
      <c r="H1679" s="12" t="s">
        <v>41</v>
      </c>
      <c r="I1679" s="12" t="s">
        <v>28</v>
      </c>
      <c r="J1679" s="13" t="s">
        <v>3264</v>
      </c>
      <c r="K1679" s="14" t="s">
        <v>10892</v>
      </c>
      <c r="L1679" s="15">
        <v>0</v>
      </c>
      <c r="M1679" s="15" t="s">
        <v>144</v>
      </c>
      <c r="N1679" s="16">
        <v>39660</v>
      </c>
      <c r="O1679" s="12" t="s">
        <v>10893</v>
      </c>
      <c r="P1679" s="14" t="s">
        <v>10894</v>
      </c>
      <c r="Q1679" s="17" t="s">
        <v>137</v>
      </c>
      <c r="R1679" s="17" t="s">
        <v>146</v>
      </c>
    </row>
    <row r="1680" spans="1:18" x14ac:dyDescent="0.3">
      <c r="A1680" s="12" t="s">
        <v>10895</v>
      </c>
      <c r="B1680" s="12" t="s">
        <v>12</v>
      </c>
      <c r="C1680" s="12"/>
      <c r="D1680" s="12" t="s">
        <v>12</v>
      </c>
      <c r="E1680" s="12" t="s">
        <v>10896</v>
      </c>
      <c r="F1680" s="12" t="s">
        <v>10897</v>
      </c>
      <c r="G1680" s="12" t="s">
        <v>106</v>
      </c>
      <c r="H1680" s="12" t="s">
        <v>41</v>
      </c>
      <c r="I1680" s="12" t="s">
        <v>28</v>
      </c>
      <c r="J1680" s="13" t="s">
        <v>10898</v>
      </c>
      <c r="K1680" s="14" t="s">
        <v>10899</v>
      </c>
      <c r="L1680" s="15">
        <v>1</v>
      </c>
      <c r="M1680" s="15" t="s">
        <v>144</v>
      </c>
      <c r="N1680" s="16">
        <v>40032</v>
      </c>
      <c r="O1680" s="12" t="s">
        <v>10900</v>
      </c>
      <c r="P1680" s="14" t="s">
        <v>10901</v>
      </c>
      <c r="Q1680" s="17" t="s">
        <v>137</v>
      </c>
      <c r="R1680" s="17" t="s">
        <v>146</v>
      </c>
    </row>
    <row r="1681" spans="1:18" x14ac:dyDescent="0.3">
      <c r="A1681" s="12" t="s">
        <v>10902</v>
      </c>
      <c r="B1681" s="12" t="s">
        <v>14</v>
      </c>
      <c r="C1681" s="12"/>
      <c r="D1681" s="12" t="s">
        <v>14</v>
      </c>
      <c r="E1681" s="12" t="s">
        <v>10903</v>
      </c>
      <c r="F1681" s="12" t="s">
        <v>1765</v>
      </c>
      <c r="G1681" s="12" t="s">
        <v>106</v>
      </c>
      <c r="H1681" s="12" t="s">
        <v>41</v>
      </c>
      <c r="I1681" s="12" t="s">
        <v>28</v>
      </c>
      <c r="J1681" s="13" t="s">
        <v>10898</v>
      </c>
      <c r="K1681" s="14" t="s">
        <v>10904</v>
      </c>
      <c r="L1681" s="15">
        <v>2</v>
      </c>
      <c r="M1681" s="15" t="s">
        <v>144</v>
      </c>
      <c r="N1681" s="16">
        <v>40078</v>
      </c>
      <c r="O1681" s="12" t="s">
        <v>10902</v>
      </c>
      <c r="P1681" s="14" t="s">
        <v>10905</v>
      </c>
      <c r="Q1681" s="17" t="s">
        <v>137</v>
      </c>
      <c r="R1681" s="17" t="s">
        <v>146</v>
      </c>
    </row>
    <row r="1682" spans="1:18" x14ac:dyDescent="0.3">
      <c r="A1682" s="12" t="s">
        <v>10906</v>
      </c>
      <c r="B1682" s="12" t="s">
        <v>12</v>
      </c>
      <c r="C1682" s="12"/>
      <c r="D1682" s="12" t="s">
        <v>12</v>
      </c>
      <c r="E1682" s="12" t="s">
        <v>10907</v>
      </c>
      <c r="F1682" s="12" t="s">
        <v>218</v>
      </c>
      <c r="G1682" s="12" t="s">
        <v>3269</v>
      </c>
      <c r="H1682" s="12" t="s">
        <v>41</v>
      </c>
      <c r="I1682" s="12" t="s">
        <v>28</v>
      </c>
      <c r="J1682" s="13" t="s">
        <v>3288</v>
      </c>
      <c r="K1682" s="14" t="s">
        <v>3329</v>
      </c>
      <c r="L1682" s="15">
        <v>1</v>
      </c>
      <c r="M1682" s="15" t="s">
        <v>144</v>
      </c>
      <c r="N1682" s="16">
        <v>39484</v>
      </c>
      <c r="O1682" s="12" t="s">
        <v>10908</v>
      </c>
      <c r="P1682" s="14" t="s">
        <v>10909</v>
      </c>
      <c r="Q1682" s="17" t="s">
        <v>137</v>
      </c>
      <c r="R1682" s="17" t="s">
        <v>146</v>
      </c>
    </row>
    <row r="1683" spans="1:18" x14ac:dyDescent="0.3">
      <c r="A1683" s="12" t="s">
        <v>10910</v>
      </c>
      <c r="B1683" s="12" t="s">
        <v>12</v>
      </c>
      <c r="C1683" s="12"/>
      <c r="D1683" s="12" t="s">
        <v>12</v>
      </c>
      <c r="E1683" s="12" t="s">
        <v>10911</v>
      </c>
      <c r="F1683" s="12"/>
      <c r="G1683" s="12" t="s">
        <v>3269</v>
      </c>
      <c r="H1683" s="12" t="s">
        <v>41</v>
      </c>
      <c r="I1683" s="12" t="s">
        <v>28</v>
      </c>
      <c r="J1683" s="13" t="s">
        <v>3296</v>
      </c>
      <c r="K1683" s="14" t="s">
        <v>10912</v>
      </c>
      <c r="L1683" s="15">
        <v>1</v>
      </c>
      <c r="M1683" s="15" t="s">
        <v>144</v>
      </c>
      <c r="N1683" s="16">
        <v>39433</v>
      </c>
      <c r="O1683" s="12" t="s">
        <v>10910</v>
      </c>
      <c r="P1683" s="14" t="s">
        <v>10913</v>
      </c>
      <c r="Q1683" s="17" t="s">
        <v>137</v>
      </c>
      <c r="R1683" s="17" t="s">
        <v>146</v>
      </c>
    </row>
    <row r="1684" spans="1:18" x14ac:dyDescent="0.3">
      <c r="A1684" s="12" t="s">
        <v>10914</v>
      </c>
      <c r="B1684" s="12" t="s">
        <v>12</v>
      </c>
      <c r="C1684" s="12"/>
      <c r="D1684" s="12" t="s">
        <v>12</v>
      </c>
      <c r="E1684" s="12" t="s">
        <v>10915</v>
      </c>
      <c r="F1684" s="12"/>
      <c r="G1684" s="12" t="s">
        <v>3269</v>
      </c>
      <c r="H1684" s="12" t="s">
        <v>41</v>
      </c>
      <c r="I1684" s="12" t="s">
        <v>28</v>
      </c>
      <c r="J1684" s="13" t="s">
        <v>3288</v>
      </c>
      <c r="K1684" s="14" t="s">
        <v>10916</v>
      </c>
      <c r="L1684" s="15">
        <v>1</v>
      </c>
      <c r="M1684" s="15" t="s">
        <v>144</v>
      </c>
      <c r="N1684" s="16">
        <v>41106</v>
      </c>
      <c r="O1684" s="12" t="s">
        <v>10914</v>
      </c>
      <c r="P1684" s="14" t="s">
        <v>10917</v>
      </c>
      <c r="Q1684" s="17" t="s">
        <v>137</v>
      </c>
      <c r="R1684" s="17" t="s">
        <v>146</v>
      </c>
    </row>
    <row r="1685" spans="1:18" x14ac:dyDescent="0.3">
      <c r="A1685" s="12" t="s">
        <v>10918</v>
      </c>
      <c r="B1685" s="12" t="s">
        <v>12</v>
      </c>
      <c r="C1685" s="12"/>
      <c r="D1685" s="12" t="s">
        <v>12</v>
      </c>
      <c r="E1685" s="12" t="s">
        <v>10919</v>
      </c>
      <c r="F1685" s="12" t="s">
        <v>547</v>
      </c>
      <c r="G1685" s="12" t="s">
        <v>3269</v>
      </c>
      <c r="H1685" s="12" t="s">
        <v>41</v>
      </c>
      <c r="I1685" s="12" t="s">
        <v>28</v>
      </c>
      <c r="J1685" s="13" t="s">
        <v>3270</v>
      </c>
      <c r="K1685" s="14" t="s">
        <v>10920</v>
      </c>
      <c r="L1685" s="15">
        <v>0</v>
      </c>
      <c r="M1685" s="15" t="s">
        <v>144</v>
      </c>
      <c r="N1685" s="16">
        <v>43725</v>
      </c>
      <c r="O1685" s="12" t="s">
        <v>10918</v>
      </c>
      <c r="P1685" s="14" t="s">
        <v>10921</v>
      </c>
      <c r="Q1685" s="17" t="s">
        <v>137</v>
      </c>
      <c r="R1685" s="17" t="s">
        <v>146</v>
      </c>
    </row>
    <row r="1686" spans="1:18" x14ac:dyDescent="0.3">
      <c r="A1686" s="12" t="s">
        <v>10922</v>
      </c>
      <c r="B1686" s="12" t="s">
        <v>12</v>
      </c>
      <c r="C1686" s="12"/>
      <c r="D1686" s="12" t="s">
        <v>12</v>
      </c>
      <c r="E1686" s="12" t="s">
        <v>10923</v>
      </c>
      <c r="F1686" s="12" t="s">
        <v>4565</v>
      </c>
      <c r="G1686" s="12" t="s">
        <v>3269</v>
      </c>
      <c r="H1686" s="12" t="s">
        <v>41</v>
      </c>
      <c r="I1686" s="12" t="s">
        <v>28</v>
      </c>
      <c r="J1686" s="13" t="s">
        <v>3320</v>
      </c>
      <c r="K1686" s="14" t="s">
        <v>10924</v>
      </c>
      <c r="L1686" s="15">
        <v>0</v>
      </c>
      <c r="M1686" s="15" t="s">
        <v>144</v>
      </c>
      <c r="N1686" s="16">
        <v>39534</v>
      </c>
      <c r="O1686" s="12" t="s">
        <v>10925</v>
      </c>
      <c r="P1686" s="14" t="s">
        <v>10926</v>
      </c>
      <c r="Q1686" s="17" t="s">
        <v>137</v>
      </c>
      <c r="R1686" s="17" t="s">
        <v>146</v>
      </c>
    </row>
    <row r="1687" spans="1:18" x14ac:dyDescent="0.3">
      <c r="A1687" s="12" t="s">
        <v>10927</v>
      </c>
      <c r="B1687" s="12" t="s">
        <v>12</v>
      </c>
      <c r="C1687" s="12"/>
      <c r="D1687" s="12" t="s">
        <v>12</v>
      </c>
      <c r="E1687" s="12" t="s">
        <v>10928</v>
      </c>
      <c r="F1687" s="12"/>
      <c r="G1687" s="12" t="s">
        <v>3269</v>
      </c>
      <c r="H1687" s="12" t="s">
        <v>41</v>
      </c>
      <c r="I1687" s="12" t="s">
        <v>28</v>
      </c>
      <c r="J1687" s="13" t="s">
        <v>3309</v>
      </c>
      <c r="K1687" s="14" t="s">
        <v>10929</v>
      </c>
      <c r="L1687" s="15">
        <v>1</v>
      </c>
      <c r="M1687" s="15" t="s">
        <v>144</v>
      </c>
      <c r="N1687" s="16">
        <v>40567</v>
      </c>
      <c r="O1687" s="12" t="s">
        <v>10927</v>
      </c>
      <c r="P1687" s="14" t="s">
        <v>10930</v>
      </c>
      <c r="Q1687" s="17" t="s">
        <v>137</v>
      </c>
      <c r="R1687" s="17" t="s">
        <v>146</v>
      </c>
    </row>
    <row r="1688" spans="1:18" x14ac:dyDescent="0.3">
      <c r="A1688" s="12" t="s">
        <v>10931</v>
      </c>
      <c r="B1688" s="12" t="s">
        <v>12</v>
      </c>
      <c r="C1688" s="12"/>
      <c r="D1688" s="12" t="s">
        <v>12</v>
      </c>
      <c r="E1688" s="12" t="s">
        <v>10932</v>
      </c>
      <c r="F1688" s="12"/>
      <c r="G1688" s="12" t="s">
        <v>3269</v>
      </c>
      <c r="H1688" s="12" t="s">
        <v>41</v>
      </c>
      <c r="I1688" s="12" t="s">
        <v>28</v>
      </c>
      <c r="J1688" s="13" t="s">
        <v>3288</v>
      </c>
      <c r="K1688" s="14" t="s">
        <v>10933</v>
      </c>
      <c r="L1688" s="15">
        <v>0</v>
      </c>
      <c r="M1688" s="15" t="s">
        <v>144</v>
      </c>
      <c r="N1688" s="16">
        <v>43601</v>
      </c>
      <c r="O1688" s="12" t="s">
        <v>10931</v>
      </c>
      <c r="P1688" s="14" t="s">
        <v>10934</v>
      </c>
      <c r="Q1688" s="17" t="s">
        <v>137</v>
      </c>
      <c r="R1688" s="17" t="s">
        <v>146</v>
      </c>
    </row>
    <row r="1689" spans="1:18" x14ac:dyDescent="0.3">
      <c r="A1689" s="12" t="s">
        <v>10935</v>
      </c>
      <c r="B1689" s="12" t="s">
        <v>12</v>
      </c>
      <c r="C1689" s="12"/>
      <c r="D1689" s="12" t="s">
        <v>12</v>
      </c>
      <c r="E1689" s="12" t="s">
        <v>10936</v>
      </c>
      <c r="F1689" s="12"/>
      <c r="G1689" s="12" t="s">
        <v>3269</v>
      </c>
      <c r="H1689" s="12" t="s">
        <v>41</v>
      </c>
      <c r="I1689" s="12" t="s">
        <v>28</v>
      </c>
      <c r="J1689" s="13" t="s">
        <v>3314</v>
      </c>
      <c r="K1689" s="14" t="s">
        <v>10937</v>
      </c>
      <c r="L1689" s="15">
        <v>1</v>
      </c>
      <c r="M1689" s="15" t="s">
        <v>144</v>
      </c>
      <c r="N1689" s="16">
        <v>39830</v>
      </c>
      <c r="O1689" s="12" t="s">
        <v>10935</v>
      </c>
      <c r="P1689" s="14" t="s">
        <v>10938</v>
      </c>
      <c r="Q1689" s="17" t="s">
        <v>137</v>
      </c>
      <c r="R1689" s="17" t="s">
        <v>146</v>
      </c>
    </row>
    <row r="1690" spans="1:18" x14ac:dyDescent="0.3">
      <c r="A1690" s="12" t="s">
        <v>10939</v>
      </c>
      <c r="B1690" s="12" t="s">
        <v>12</v>
      </c>
      <c r="C1690" s="12"/>
      <c r="D1690" s="12" t="s">
        <v>12</v>
      </c>
      <c r="E1690" s="12" t="s">
        <v>10940</v>
      </c>
      <c r="F1690" s="12"/>
      <c r="G1690" s="12" t="s">
        <v>3269</v>
      </c>
      <c r="H1690" s="12" t="s">
        <v>41</v>
      </c>
      <c r="I1690" s="12" t="s">
        <v>28</v>
      </c>
      <c r="J1690" s="13" t="s">
        <v>3320</v>
      </c>
      <c r="K1690" s="14" t="s">
        <v>10941</v>
      </c>
      <c r="L1690" s="15">
        <v>4</v>
      </c>
      <c r="M1690" s="15" t="s">
        <v>144</v>
      </c>
      <c r="N1690" s="16">
        <v>44065</v>
      </c>
      <c r="O1690" s="12" t="s">
        <v>10939</v>
      </c>
      <c r="P1690" s="14" t="s">
        <v>10942</v>
      </c>
      <c r="Q1690" s="17" t="s">
        <v>137</v>
      </c>
      <c r="R1690" s="17" t="s">
        <v>146</v>
      </c>
    </row>
    <row r="1691" spans="1:18" x14ac:dyDescent="0.3">
      <c r="A1691" s="12" t="s">
        <v>10943</v>
      </c>
      <c r="B1691" s="12" t="s">
        <v>14</v>
      </c>
      <c r="C1691" s="12"/>
      <c r="D1691" s="12" t="s">
        <v>14</v>
      </c>
      <c r="E1691" s="12" t="s">
        <v>3351</v>
      </c>
      <c r="F1691" s="12" t="s">
        <v>947</v>
      </c>
      <c r="G1691" s="12" t="s">
        <v>3269</v>
      </c>
      <c r="H1691" s="12" t="s">
        <v>41</v>
      </c>
      <c r="I1691" s="12" t="s">
        <v>28</v>
      </c>
      <c r="J1691" s="13" t="s">
        <v>3352</v>
      </c>
      <c r="K1691" s="14" t="s">
        <v>3350</v>
      </c>
      <c r="L1691" s="15">
        <v>12</v>
      </c>
      <c r="M1691" s="15" t="s">
        <v>144</v>
      </c>
      <c r="N1691" s="16">
        <v>41031</v>
      </c>
      <c r="O1691" s="12" t="s">
        <v>10943</v>
      </c>
      <c r="P1691" s="14" t="s">
        <v>10944</v>
      </c>
      <c r="Q1691" s="17" t="s">
        <v>137</v>
      </c>
      <c r="R1691" s="17" t="s">
        <v>146</v>
      </c>
    </row>
    <row r="1692" spans="1:18" x14ac:dyDescent="0.3">
      <c r="A1692" s="12" t="s">
        <v>10945</v>
      </c>
      <c r="B1692" s="12" t="s">
        <v>14</v>
      </c>
      <c r="C1692" s="12"/>
      <c r="D1692" s="12" t="s">
        <v>14</v>
      </c>
      <c r="E1692" s="12" t="s">
        <v>10946</v>
      </c>
      <c r="F1692" s="12" t="s">
        <v>170</v>
      </c>
      <c r="G1692" s="12" t="s">
        <v>3269</v>
      </c>
      <c r="H1692" s="12" t="s">
        <v>41</v>
      </c>
      <c r="I1692" s="12" t="s">
        <v>28</v>
      </c>
      <c r="J1692" s="13" t="s">
        <v>3352</v>
      </c>
      <c r="K1692" s="14" t="s">
        <v>3350</v>
      </c>
      <c r="L1692" s="15">
        <v>0</v>
      </c>
      <c r="M1692" s="15" t="s">
        <v>144</v>
      </c>
      <c r="N1692" s="16">
        <v>39609</v>
      </c>
      <c r="O1692" s="12" t="s">
        <v>10945</v>
      </c>
      <c r="P1692" s="14" t="s">
        <v>10947</v>
      </c>
      <c r="Q1692" s="17" t="s">
        <v>137</v>
      </c>
      <c r="R1692" s="17" t="s">
        <v>146</v>
      </c>
    </row>
    <row r="1693" spans="1:18" x14ac:dyDescent="0.3">
      <c r="A1693" s="12" t="s">
        <v>10948</v>
      </c>
      <c r="B1693" s="12" t="s">
        <v>12</v>
      </c>
      <c r="C1693" s="12"/>
      <c r="D1693" s="12" t="s">
        <v>12</v>
      </c>
      <c r="E1693" s="12" t="s">
        <v>10949</v>
      </c>
      <c r="F1693" s="12"/>
      <c r="G1693" s="12" t="s">
        <v>3269</v>
      </c>
      <c r="H1693" s="12" t="s">
        <v>41</v>
      </c>
      <c r="I1693" s="12" t="s">
        <v>28</v>
      </c>
      <c r="J1693" s="13" t="s">
        <v>3314</v>
      </c>
      <c r="K1693" s="14" t="s">
        <v>10950</v>
      </c>
      <c r="L1693" s="15">
        <v>0</v>
      </c>
      <c r="M1693" s="15" t="s">
        <v>144</v>
      </c>
      <c r="N1693" s="16">
        <v>39680</v>
      </c>
      <c r="O1693" s="12" t="s">
        <v>10951</v>
      </c>
      <c r="P1693" s="14" t="s">
        <v>10952</v>
      </c>
      <c r="Q1693" s="17" t="s">
        <v>137</v>
      </c>
      <c r="R1693" s="17" t="s">
        <v>146</v>
      </c>
    </row>
    <row r="1694" spans="1:18" x14ac:dyDescent="0.3">
      <c r="A1694" s="12" t="s">
        <v>10953</v>
      </c>
      <c r="B1694" s="12" t="s">
        <v>14</v>
      </c>
      <c r="C1694" s="12"/>
      <c r="D1694" s="12" t="s">
        <v>14</v>
      </c>
      <c r="E1694" s="12" t="s">
        <v>10954</v>
      </c>
      <c r="F1694" s="12" t="s">
        <v>10955</v>
      </c>
      <c r="G1694" s="12" t="s">
        <v>3269</v>
      </c>
      <c r="H1694" s="12" t="s">
        <v>41</v>
      </c>
      <c r="I1694" s="12" t="s">
        <v>28</v>
      </c>
      <c r="J1694" s="13" t="s">
        <v>3320</v>
      </c>
      <c r="K1694" s="14" t="s">
        <v>10956</v>
      </c>
      <c r="L1694" s="15">
        <v>0</v>
      </c>
      <c r="M1694" s="15" t="s">
        <v>144</v>
      </c>
      <c r="N1694" s="16">
        <v>44065</v>
      </c>
      <c r="O1694" s="12" t="s">
        <v>10953</v>
      </c>
      <c r="P1694" s="14" t="s">
        <v>10957</v>
      </c>
      <c r="Q1694" s="17" t="s">
        <v>137</v>
      </c>
      <c r="R1694" s="17" t="s">
        <v>146</v>
      </c>
    </row>
    <row r="1695" spans="1:18" x14ac:dyDescent="0.3">
      <c r="A1695" s="12" t="s">
        <v>10958</v>
      </c>
      <c r="B1695" s="12" t="s">
        <v>14</v>
      </c>
      <c r="C1695" s="12"/>
      <c r="D1695" s="12" t="s">
        <v>14</v>
      </c>
      <c r="E1695" s="12" t="s">
        <v>10959</v>
      </c>
      <c r="F1695" s="12" t="s">
        <v>10960</v>
      </c>
      <c r="G1695" s="12" t="s">
        <v>3269</v>
      </c>
      <c r="H1695" s="12" t="s">
        <v>41</v>
      </c>
      <c r="I1695" s="12" t="s">
        <v>28</v>
      </c>
      <c r="J1695" s="13" t="s">
        <v>3296</v>
      </c>
      <c r="K1695" s="14" t="s">
        <v>10961</v>
      </c>
      <c r="L1695" s="15">
        <v>0</v>
      </c>
      <c r="M1695" s="15" t="s">
        <v>144</v>
      </c>
      <c r="N1695" s="16">
        <v>42060</v>
      </c>
      <c r="O1695" s="12" t="s">
        <v>10958</v>
      </c>
      <c r="P1695" s="14" t="s">
        <v>10962</v>
      </c>
      <c r="Q1695" s="17" t="s">
        <v>137</v>
      </c>
      <c r="R1695" s="17" t="s">
        <v>146</v>
      </c>
    </row>
    <row r="1696" spans="1:18" x14ac:dyDescent="0.3">
      <c r="A1696" s="12" t="s">
        <v>10963</v>
      </c>
      <c r="B1696" s="12" t="s">
        <v>12</v>
      </c>
      <c r="C1696" s="12"/>
      <c r="D1696" s="12" t="s">
        <v>12</v>
      </c>
      <c r="E1696" s="12" t="s">
        <v>10964</v>
      </c>
      <c r="F1696" s="12"/>
      <c r="G1696" s="12" t="s">
        <v>3269</v>
      </c>
      <c r="H1696" s="12" t="s">
        <v>41</v>
      </c>
      <c r="I1696" s="12" t="s">
        <v>28</v>
      </c>
      <c r="J1696" s="13" t="s">
        <v>3296</v>
      </c>
      <c r="K1696" s="14" t="s">
        <v>10965</v>
      </c>
      <c r="L1696" s="15">
        <v>2</v>
      </c>
      <c r="M1696" s="15" t="s">
        <v>144</v>
      </c>
      <c r="N1696" s="16">
        <v>39395</v>
      </c>
      <c r="O1696" s="12" t="s">
        <v>10966</v>
      </c>
      <c r="P1696" s="14" t="s">
        <v>10967</v>
      </c>
      <c r="Q1696" s="17" t="s">
        <v>137</v>
      </c>
      <c r="R1696" s="17" t="s">
        <v>146</v>
      </c>
    </row>
    <row r="1697" spans="1:18" x14ac:dyDescent="0.3">
      <c r="A1697" s="12" t="s">
        <v>10968</v>
      </c>
      <c r="B1697" s="12" t="s">
        <v>12</v>
      </c>
      <c r="C1697" s="12"/>
      <c r="D1697" s="12" t="s">
        <v>12</v>
      </c>
      <c r="E1697" s="12" t="s">
        <v>10969</v>
      </c>
      <c r="F1697" s="12"/>
      <c r="G1697" s="12" t="s">
        <v>3269</v>
      </c>
      <c r="H1697" s="12" t="s">
        <v>41</v>
      </c>
      <c r="I1697" s="12" t="s">
        <v>28</v>
      </c>
      <c r="J1697" s="13" t="s">
        <v>3288</v>
      </c>
      <c r="K1697" s="14" t="s">
        <v>10970</v>
      </c>
      <c r="L1697" s="15">
        <v>0</v>
      </c>
      <c r="M1697" s="15" t="s">
        <v>144</v>
      </c>
      <c r="N1697" s="16">
        <v>39764</v>
      </c>
      <c r="O1697" s="12" t="s">
        <v>10968</v>
      </c>
      <c r="P1697" s="14" t="s">
        <v>10971</v>
      </c>
      <c r="Q1697" s="17" t="s">
        <v>137</v>
      </c>
      <c r="R1697" s="17" t="s">
        <v>146</v>
      </c>
    </row>
    <row r="1698" spans="1:18" x14ac:dyDescent="0.3">
      <c r="A1698" s="12" t="s">
        <v>10972</v>
      </c>
      <c r="B1698" s="12" t="s">
        <v>12</v>
      </c>
      <c r="C1698" s="12"/>
      <c r="D1698" s="12" t="s">
        <v>12</v>
      </c>
      <c r="E1698" s="12" t="s">
        <v>10973</v>
      </c>
      <c r="F1698" s="12"/>
      <c r="G1698" s="12" t="s">
        <v>3269</v>
      </c>
      <c r="H1698" s="12" t="s">
        <v>41</v>
      </c>
      <c r="I1698" s="12" t="s">
        <v>28</v>
      </c>
      <c r="J1698" s="13" t="s">
        <v>3288</v>
      </c>
      <c r="K1698" s="14" t="s">
        <v>10974</v>
      </c>
      <c r="L1698" s="15">
        <v>1</v>
      </c>
      <c r="M1698" s="15" t="s">
        <v>144</v>
      </c>
      <c r="N1698" s="16">
        <v>43909</v>
      </c>
      <c r="O1698" s="12" t="s">
        <v>10972</v>
      </c>
      <c r="P1698" s="14" t="s">
        <v>10975</v>
      </c>
      <c r="Q1698" s="17" t="s">
        <v>137</v>
      </c>
      <c r="R1698" s="17" t="s">
        <v>146</v>
      </c>
    </row>
    <row r="1699" spans="1:18" x14ac:dyDescent="0.3">
      <c r="A1699" s="12" t="s">
        <v>199</v>
      </c>
      <c r="B1699" s="12" t="s">
        <v>14</v>
      </c>
      <c r="C1699" s="12"/>
      <c r="D1699" s="12" t="s">
        <v>14</v>
      </c>
      <c r="E1699" s="12" t="s">
        <v>10976</v>
      </c>
      <c r="F1699" s="12" t="s">
        <v>2012</v>
      </c>
      <c r="G1699" s="12" t="s">
        <v>3269</v>
      </c>
      <c r="H1699" s="12" t="s">
        <v>41</v>
      </c>
      <c r="I1699" s="12" t="s">
        <v>28</v>
      </c>
      <c r="J1699" s="13" t="s">
        <v>3320</v>
      </c>
      <c r="K1699" s="14" t="s">
        <v>10977</v>
      </c>
      <c r="L1699" s="15">
        <v>3</v>
      </c>
      <c r="M1699" s="15" t="s">
        <v>144</v>
      </c>
      <c r="N1699" s="16">
        <v>40421</v>
      </c>
      <c r="O1699" s="12" t="s">
        <v>331</v>
      </c>
      <c r="P1699" s="14" t="s">
        <v>10978</v>
      </c>
      <c r="Q1699" s="17" t="s">
        <v>137</v>
      </c>
      <c r="R1699" s="17" t="s">
        <v>146</v>
      </c>
    </row>
    <row r="1700" spans="1:18" x14ac:dyDescent="0.3">
      <c r="A1700" s="12" t="s">
        <v>10979</v>
      </c>
      <c r="B1700" s="12" t="s">
        <v>14</v>
      </c>
      <c r="C1700" s="12"/>
      <c r="D1700" s="12" t="s">
        <v>14</v>
      </c>
      <c r="E1700" s="12" t="s">
        <v>10980</v>
      </c>
      <c r="F1700" s="12"/>
      <c r="G1700" s="12" t="s">
        <v>3269</v>
      </c>
      <c r="H1700" s="12" t="s">
        <v>41</v>
      </c>
      <c r="I1700" s="12" t="s">
        <v>28</v>
      </c>
      <c r="J1700" s="13" t="s">
        <v>3288</v>
      </c>
      <c r="K1700" s="14" t="s">
        <v>10981</v>
      </c>
      <c r="L1700" s="15">
        <v>0</v>
      </c>
      <c r="M1700" s="15" t="s">
        <v>144</v>
      </c>
      <c r="N1700" s="16">
        <v>44042</v>
      </c>
      <c r="O1700" s="12" t="s">
        <v>10979</v>
      </c>
      <c r="P1700" s="14" t="s">
        <v>10982</v>
      </c>
      <c r="Q1700" s="17" t="s">
        <v>137</v>
      </c>
      <c r="R1700" s="17" t="s">
        <v>146</v>
      </c>
    </row>
    <row r="1701" spans="1:18" x14ac:dyDescent="0.3">
      <c r="A1701" s="12" t="s">
        <v>10983</v>
      </c>
      <c r="B1701" s="12" t="s">
        <v>14</v>
      </c>
      <c r="C1701" s="12"/>
      <c r="D1701" s="12" t="s">
        <v>14</v>
      </c>
      <c r="E1701" s="12" t="s">
        <v>10984</v>
      </c>
      <c r="F1701" s="12"/>
      <c r="G1701" s="12" t="s">
        <v>3269</v>
      </c>
      <c r="H1701" s="12" t="s">
        <v>41</v>
      </c>
      <c r="I1701" s="12" t="s">
        <v>28</v>
      </c>
      <c r="J1701" s="13" t="s">
        <v>3352</v>
      </c>
      <c r="K1701" s="14" t="s">
        <v>10985</v>
      </c>
      <c r="L1701" s="15">
        <v>0</v>
      </c>
      <c r="M1701" s="15" t="s">
        <v>144</v>
      </c>
      <c r="N1701" s="16">
        <v>43561</v>
      </c>
      <c r="O1701" s="12" t="s">
        <v>10983</v>
      </c>
      <c r="P1701" s="14" t="s">
        <v>10986</v>
      </c>
      <c r="Q1701" s="17" t="s">
        <v>137</v>
      </c>
      <c r="R1701" s="17" t="s">
        <v>146</v>
      </c>
    </row>
    <row r="1702" spans="1:18" x14ac:dyDescent="0.3">
      <c r="A1702" s="12" t="s">
        <v>10987</v>
      </c>
      <c r="B1702" s="12" t="s">
        <v>14</v>
      </c>
      <c r="C1702" s="12"/>
      <c r="D1702" s="12" t="s">
        <v>14</v>
      </c>
      <c r="E1702" s="12" t="s">
        <v>10988</v>
      </c>
      <c r="F1702" s="12" t="s">
        <v>547</v>
      </c>
      <c r="G1702" s="12" t="s">
        <v>3269</v>
      </c>
      <c r="H1702" s="12" t="s">
        <v>41</v>
      </c>
      <c r="I1702" s="12" t="s">
        <v>28</v>
      </c>
      <c r="J1702" s="13" t="s">
        <v>3352</v>
      </c>
      <c r="K1702" s="14" t="s">
        <v>10989</v>
      </c>
      <c r="L1702" s="15">
        <v>2</v>
      </c>
      <c r="M1702" s="15" t="s">
        <v>144</v>
      </c>
      <c r="N1702" s="16">
        <v>40994</v>
      </c>
      <c r="O1702" s="12" t="s">
        <v>10990</v>
      </c>
      <c r="P1702" s="14" t="s">
        <v>10991</v>
      </c>
      <c r="Q1702" s="17" t="s">
        <v>137</v>
      </c>
      <c r="R1702" s="17" t="s">
        <v>146</v>
      </c>
    </row>
    <row r="1703" spans="1:18" x14ac:dyDescent="0.3">
      <c r="A1703" s="12" t="s">
        <v>10992</v>
      </c>
      <c r="B1703" s="12" t="s">
        <v>12</v>
      </c>
      <c r="C1703" s="12"/>
      <c r="D1703" s="12" t="s">
        <v>12</v>
      </c>
      <c r="E1703" s="12" t="s">
        <v>10993</v>
      </c>
      <c r="F1703" s="12"/>
      <c r="G1703" s="12" t="s">
        <v>3269</v>
      </c>
      <c r="H1703" s="12" t="s">
        <v>41</v>
      </c>
      <c r="I1703" s="12" t="s">
        <v>28</v>
      </c>
      <c r="J1703" s="13" t="s">
        <v>3288</v>
      </c>
      <c r="K1703" s="14" t="s">
        <v>10994</v>
      </c>
      <c r="L1703" s="15">
        <v>1</v>
      </c>
      <c r="M1703" s="15" t="s">
        <v>144</v>
      </c>
      <c r="N1703" s="16">
        <v>39546</v>
      </c>
      <c r="O1703" s="12" t="s">
        <v>10995</v>
      </c>
      <c r="P1703" s="14" t="s">
        <v>10996</v>
      </c>
      <c r="Q1703" s="17" t="s">
        <v>137</v>
      </c>
      <c r="R1703" s="17" t="s">
        <v>146</v>
      </c>
    </row>
    <row r="1704" spans="1:18" x14ac:dyDescent="0.3">
      <c r="A1704" s="12" t="s">
        <v>10997</v>
      </c>
      <c r="B1704" s="12" t="s">
        <v>12</v>
      </c>
      <c r="C1704" s="12"/>
      <c r="D1704" s="12" t="s">
        <v>12</v>
      </c>
      <c r="E1704" s="12" t="s">
        <v>10998</v>
      </c>
      <c r="F1704" s="12" t="s">
        <v>10999</v>
      </c>
      <c r="G1704" s="12" t="s">
        <v>3269</v>
      </c>
      <c r="H1704" s="12" t="s">
        <v>41</v>
      </c>
      <c r="I1704" s="12" t="s">
        <v>28</v>
      </c>
      <c r="J1704" s="13" t="s">
        <v>3320</v>
      </c>
      <c r="K1704" s="14" t="s">
        <v>11000</v>
      </c>
      <c r="L1704" s="15">
        <v>1</v>
      </c>
      <c r="M1704" s="15" t="s">
        <v>144</v>
      </c>
      <c r="N1704" s="16">
        <v>39294</v>
      </c>
      <c r="O1704" s="12" t="s">
        <v>10997</v>
      </c>
      <c r="P1704" s="14" t="s">
        <v>11001</v>
      </c>
      <c r="Q1704" s="17" t="s">
        <v>137</v>
      </c>
      <c r="R1704" s="17" t="s">
        <v>146</v>
      </c>
    </row>
    <row r="1705" spans="1:18" x14ac:dyDescent="0.3">
      <c r="A1705" s="12" t="s">
        <v>11002</v>
      </c>
      <c r="B1705" s="12" t="s">
        <v>12</v>
      </c>
      <c r="C1705" s="12"/>
      <c r="D1705" s="12" t="s">
        <v>12</v>
      </c>
      <c r="E1705" s="12" t="s">
        <v>3324</v>
      </c>
      <c r="F1705" s="12"/>
      <c r="G1705" s="12" t="s">
        <v>3269</v>
      </c>
      <c r="H1705" s="12" t="s">
        <v>41</v>
      </c>
      <c r="I1705" s="12" t="s">
        <v>28</v>
      </c>
      <c r="J1705" s="13" t="s">
        <v>3288</v>
      </c>
      <c r="K1705" s="14" t="s">
        <v>3325</v>
      </c>
      <c r="L1705" s="15">
        <v>1</v>
      </c>
      <c r="M1705" s="15" t="s">
        <v>144</v>
      </c>
      <c r="N1705" s="16">
        <v>41191</v>
      </c>
      <c r="O1705" s="12" t="s">
        <v>11002</v>
      </c>
      <c r="P1705" s="14" t="s">
        <v>11003</v>
      </c>
      <c r="Q1705" s="17" t="s">
        <v>137</v>
      </c>
      <c r="R1705" s="17" t="s">
        <v>146</v>
      </c>
    </row>
    <row r="1706" spans="1:18" x14ac:dyDescent="0.3">
      <c r="A1706" s="12" t="s">
        <v>11004</v>
      </c>
      <c r="B1706" s="12" t="s">
        <v>16</v>
      </c>
      <c r="C1706" s="12"/>
      <c r="D1706" s="12" t="s">
        <v>471</v>
      </c>
      <c r="E1706" s="12" t="s">
        <v>11005</v>
      </c>
      <c r="F1706" s="12"/>
      <c r="G1706" s="12" t="s">
        <v>3269</v>
      </c>
      <c r="H1706" s="12" t="s">
        <v>41</v>
      </c>
      <c r="I1706" s="12" t="s">
        <v>28</v>
      </c>
      <c r="J1706" s="13" t="s">
        <v>3270</v>
      </c>
      <c r="K1706" s="14" t="s">
        <v>11006</v>
      </c>
      <c r="L1706" s="15">
        <v>0</v>
      </c>
      <c r="M1706" s="15" t="s">
        <v>144</v>
      </c>
      <c r="N1706" s="16">
        <v>40431</v>
      </c>
      <c r="O1706" s="12" t="s">
        <v>11007</v>
      </c>
      <c r="P1706" s="14" t="s">
        <v>11008</v>
      </c>
      <c r="Q1706" s="17" t="s">
        <v>137</v>
      </c>
      <c r="R1706" s="17" t="s">
        <v>146</v>
      </c>
    </row>
    <row r="1707" spans="1:18" x14ac:dyDescent="0.3">
      <c r="A1707" s="12" t="s">
        <v>11009</v>
      </c>
      <c r="B1707" s="12" t="s">
        <v>14</v>
      </c>
      <c r="C1707" s="12"/>
      <c r="D1707" s="12" t="s">
        <v>14</v>
      </c>
      <c r="E1707" s="12" t="s">
        <v>11010</v>
      </c>
      <c r="F1707" s="12" t="s">
        <v>11011</v>
      </c>
      <c r="G1707" s="12" t="s">
        <v>3269</v>
      </c>
      <c r="H1707" s="12" t="s">
        <v>41</v>
      </c>
      <c r="I1707" s="12" t="s">
        <v>28</v>
      </c>
      <c r="J1707" s="13" t="s">
        <v>3320</v>
      </c>
      <c r="K1707" s="14" t="s">
        <v>11012</v>
      </c>
      <c r="L1707" s="15">
        <v>0</v>
      </c>
      <c r="M1707" s="15" t="s">
        <v>144</v>
      </c>
      <c r="N1707" s="16">
        <v>41029</v>
      </c>
      <c r="O1707" s="12" t="s">
        <v>11009</v>
      </c>
      <c r="P1707" s="14" t="s">
        <v>11013</v>
      </c>
      <c r="Q1707" s="17" t="s">
        <v>137</v>
      </c>
      <c r="R1707" s="17" t="s">
        <v>146</v>
      </c>
    </row>
    <row r="1708" spans="1:18" x14ac:dyDescent="0.3">
      <c r="A1708" s="12" t="s">
        <v>11014</v>
      </c>
      <c r="B1708" s="12" t="s">
        <v>12</v>
      </c>
      <c r="C1708" s="12"/>
      <c r="D1708" s="12" t="s">
        <v>12</v>
      </c>
      <c r="E1708" s="12" t="s">
        <v>11015</v>
      </c>
      <c r="F1708" s="12"/>
      <c r="G1708" s="12" t="s">
        <v>3269</v>
      </c>
      <c r="H1708" s="12" t="s">
        <v>41</v>
      </c>
      <c r="I1708" s="12" t="s">
        <v>28</v>
      </c>
      <c r="J1708" s="13" t="s">
        <v>3288</v>
      </c>
      <c r="K1708" s="14" t="s">
        <v>11016</v>
      </c>
      <c r="L1708" s="15">
        <v>2</v>
      </c>
      <c r="M1708" s="15" t="s">
        <v>144</v>
      </c>
      <c r="N1708" s="16">
        <v>39763</v>
      </c>
      <c r="O1708" s="12" t="s">
        <v>11017</v>
      </c>
      <c r="P1708" s="14" t="s">
        <v>11018</v>
      </c>
      <c r="Q1708" s="17" t="s">
        <v>137</v>
      </c>
      <c r="R1708" s="17" t="s">
        <v>146</v>
      </c>
    </row>
    <row r="1709" spans="1:18" x14ac:dyDescent="0.3">
      <c r="A1709" s="12" t="s">
        <v>11019</v>
      </c>
      <c r="B1709" s="12" t="s">
        <v>14</v>
      </c>
      <c r="C1709" s="12"/>
      <c r="D1709" s="12" t="s">
        <v>14</v>
      </c>
      <c r="E1709" s="12" t="s">
        <v>11020</v>
      </c>
      <c r="F1709" s="12" t="s">
        <v>467</v>
      </c>
      <c r="G1709" s="12" t="s">
        <v>3269</v>
      </c>
      <c r="H1709" s="12" t="s">
        <v>41</v>
      </c>
      <c r="I1709" s="12" t="s">
        <v>28</v>
      </c>
      <c r="J1709" s="13" t="s">
        <v>3270</v>
      </c>
      <c r="K1709" s="14" t="s">
        <v>11021</v>
      </c>
      <c r="L1709" s="15">
        <v>4</v>
      </c>
      <c r="M1709" s="15" t="s">
        <v>144</v>
      </c>
      <c r="N1709" s="16">
        <v>39591</v>
      </c>
      <c r="O1709" s="12" t="s">
        <v>11022</v>
      </c>
      <c r="P1709" s="14" t="s">
        <v>11023</v>
      </c>
      <c r="Q1709" s="17" t="s">
        <v>137</v>
      </c>
      <c r="R1709" s="17" t="s">
        <v>146</v>
      </c>
    </row>
    <row r="1710" spans="1:18" x14ac:dyDescent="0.3">
      <c r="A1710" s="12" t="s">
        <v>11024</v>
      </c>
      <c r="B1710" s="12" t="s">
        <v>10</v>
      </c>
      <c r="C1710" s="12"/>
      <c r="D1710" s="12" t="s">
        <v>720</v>
      </c>
      <c r="E1710" s="12" t="s">
        <v>11025</v>
      </c>
      <c r="F1710" s="12"/>
      <c r="G1710" s="12" t="s">
        <v>3269</v>
      </c>
      <c r="H1710" s="12" t="s">
        <v>41</v>
      </c>
      <c r="I1710" s="12" t="s">
        <v>28</v>
      </c>
      <c r="J1710" s="13" t="s">
        <v>3314</v>
      </c>
      <c r="K1710" s="14" t="s">
        <v>11026</v>
      </c>
      <c r="L1710" s="15">
        <v>0</v>
      </c>
      <c r="M1710" s="15" t="s">
        <v>144</v>
      </c>
      <c r="N1710" s="16">
        <v>41906</v>
      </c>
      <c r="O1710" s="12" t="s">
        <v>11027</v>
      </c>
      <c r="P1710" s="14" t="s">
        <v>11028</v>
      </c>
      <c r="Q1710" s="17" t="s">
        <v>137</v>
      </c>
      <c r="R1710" s="17" t="s">
        <v>146</v>
      </c>
    </row>
    <row r="1711" spans="1:18" x14ac:dyDescent="0.3">
      <c r="A1711" s="12" t="s">
        <v>1723</v>
      </c>
      <c r="B1711" s="12" t="s">
        <v>14</v>
      </c>
      <c r="C1711" s="12"/>
      <c r="D1711" s="12" t="s">
        <v>14</v>
      </c>
      <c r="E1711" s="12" t="s">
        <v>3353</v>
      </c>
      <c r="F1711" s="12"/>
      <c r="G1711" s="12" t="s">
        <v>3269</v>
      </c>
      <c r="H1711" s="12" t="s">
        <v>41</v>
      </c>
      <c r="I1711" s="12" t="s">
        <v>28</v>
      </c>
      <c r="J1711" s="13" t="s">
        <v>3288</v>
      </c>
      <c r="K1711" s="14" t="s">
        <v>8184</v>
      </c>
      <c r="L1711" s="15">
        <v>13</v>
      </c>
      <c r="M1711" s="15" t="s">
        <v>144</v>
      </c>
      <c r="N1711" s="16">
        <v>43983</v>
      </c>
      <c r="O1711" s="12" t="s">
        <v>1723</v>
      </c>
      <c r="P1711" s="14" t="s">
        <v>11029</v>
      </c>
      <c r="Q1711" s="17" t="s">
        <v>137</v>
      </c>
      <c r="R1711" s="17" t="s">
        <v>146</v>
      </c>
    </row>
    <row r="1712" spans="1:18" x14ac:dyDescent="0.3">
      <c r="A1712" s="12" t="s">
        <v>11030</v>
      </c>
      <c r="B1712" s="12" t="s">
        <v>12</v>
      </c>
      <c r="C1712" s="12"/>
      <c r="D1712" s="12" t="s">
        <v>12</v>
      </c>
      <c r="E1712" s="12" t="s">
        <v>11031</v>
      </c>
      <c r="F1712" s="12" t="s">
        <v>372</v>
      </c>
      <c r="G1712" s="12" t="s">
        <v>3269</v>
      </c>
      <c r="H1712" s="12" t="s">
        <v>41</v>
      </c>
      <c r="I1712" s="12" t="s">
        <v>28</v>
      </c>
      <c r="J1712" s="13" t="s">
        <v>3288</v>
      </c>
      <c r="K1712" s="14" t="s">
        <v>11032</v>
      </c>
      <c r="L1712" s="15">
        <v>1</v>
      </c>
      <c r="M1712" s="15" t="s">
        <v>144</v>
      </c>
      <c r="N1712" s="16">
        <v>43132</v>
      </c>
      <c r="O1712" s="12" t="s">
        <v>11030</v>
      </c>
      <c r="P1712" s="14" t="s">
        <v>11033</v>
      </c>
      <c r="Q1712" s="17" t="s">
        <v>137</v>
      </c>
      <c r="R1712" s="17" t="s">
        <v>146</v>
      </c>
    </row>
    <row r="1713" spans="1:18" x14ac:dyDescent="0.3">
      <c r="A1713" s="12" t="s">
        <v>11034</v>
      </c>
      <c r="B1713" s="12" t="s">
        <v>10</v>
      </c>
      <c r="C1713" s="12"/>
      <c r="D1713" s="12" t="s">
        <v>157</v>
      </c>
      <c r="E1713" s="12" t="s">
        <v>11020</v>
      </c>
      <c r="F1713" s="12" t="s">
        <v>188</v>
      </c>
      <c r="G1713" s="12" t="s">
        <v>3269</v>
      </c>
      <c r="H1713" s="12" t="s">
        <v>41</v>
      </c>
      <c r="I1713" s="12" t="s">
        <v>28</v>
      </c>
      <c r="J1713" s="13" t="s">
        <v>3270</v>
      </c>
      <c r="K1713" s="14" t="s">
        <v>11035</v>
      </c>
      <c r="L1713" s="15">
        <v>2</v>
      </c>
      <c r="M1713" s="15" t="s">
        <v>144</v>
      </c>
      <c r="N1713" s="16">
        <v>44065</v>
      </c>
      <c r="O1713" s="12" t="s">
        <v>11034</v>
      </c>
      <c r="P1713" s="14" t="s">
        <v>11036</v>
      </c>
      <c r="Q1713" s="17" t="s">
        <v>137</v>
      </c>
      <c r="R1713" s="17" t="s">
        <v>146</v>
      </c>
    </row>
    <row r="1714" spans="1:18" x14ac:dyDescent="0.3">
      <c r="A1714" s="12" t="s">
        <v>11037</v>
      </c>
      <c r="B1714" s="12" t="s">
        <v>12</v>
      </c>
      <c r="C1714" s="12"/>
      <c r="D1714" s="12" t="s">
        <v>12</v>
      </c>
      <c r="E1714" s="12" t="s">
        <v>11038</v>
      </c>
      <c r="F1714" s="12"/>
      <c r="G1714" s="12" t="s">
        <v>11039</v>
      </c>
      <c r="H1714" s="12" t="s">
        <v>41</v>
      </c>
      <c r="I1714" s="12" t="s">
        <v>28</v>
      </c>
      <c r="J1714" s="13" t="s">
        <v>11040</v>
      </c>
      <c r="K1714" s="14" t="s">
        <v>11041</v>
      </c>
      <c r="L1714" s="15">
        <v>1</v>
      </c>
      <c r="M1714" s="15" t="s">
        <v>144</v>
      </c>
      <c r="N1714" s="16">
        <v>44065</v>
      </c>
      <c r="O1714" s="12" t="s">
        <v>11037</v>
      </c>
      <c r="P1714" s="14" t="s">
        <v>11042</v>
      </c>
      <c r="Q1714" s="17" t="s">
        <v>137</v>
      </c>
      <c r="R1714" s="17" t="s">
        <v>146</v>
      </c>
    </row>
    <row r="1715" spans="1:18" x14ac:dyDescent="0.3">
      <c r="A1715" s="12" t="s">
        <v>11043</v>
      </c>
      <c r="B1715" s="12" t="s">
        <v>12</v>
      </c>
      <c r="C1715" s="12"/>
      <c r="D1715" s="12" t="s">
        <v>12</v>
      </c>
      <c r="E1715" s="12" t="s">
        <v>11044</v>
      </c>
      <c r="F1715" s="12"/>
      <c r="G1715" s="12" t="s">
        <v>11039</v>
      </c>
      <c r="H1715" s="12" t="s">
        <v>41</v>
      </c>
      <c r="I1715" s="12" t="s">
        <v>28</v>
      </c>
      <c r="J1715" s="13" t="s">
        <v>11040</v>
      </c>
      <c r="K1715" s="14" t="s">
        <v>11045</v>
      </c>
      <c r="L1715" s="15">
        <v>1</v>
      </c>
      <c r="M1715" s="15" t="s">
        <v>144</v>
      </c>
      <c r="N1715" s="16">
        <v>39860</v>
      </c>
      <c r="O1715" s="12" t="s">
        <v>11043</v>
      </c>
      <c r="P1715" s="14" t="s">
        <v>11046</v>
      </c>
      <c r="Q1715" s="17" t="s">
        <v>137</v>
      </c>
      <c r="R1715" s="17" t="s">
        <v>146</v>
      </c>
    </row>
    <row r="1716" spans="1:18" x14ac:dyDescent="0.3">
      <c r="A1716" s="12" t="s">
        <v>11047</v>
      </c>
      <c r="B1716" s="12" t="s">
        <v>12</v>
      </c>
      <c r="C1716" s="12"/>
      <c r="D1716" s="12" t="s">
        <v>12</v>
      </c>
      <c r="E1716" s="12" t="s">
        <v>11048</v>
      </c>
      <c r="F1716" s="12"/>
      <c r="G1716" s="12" t="s">
        <v>11039</v>
      </c>
      <c r="H1716" s="12" t="s">
        <v>41</v>
      </c>
      <c r="I1716" s="12" t="s">
        <v>28</v>
      </c>
      <c r="J1716" s="13" t="s">
        <v>11040</v>
      </c>
      <c r="K1716" s="14" t="s">
        <v>11049</v>
      </c>
      <c r="L1716" s="15">
        <v>0</v>
      </c>
      <c r="M1716" s="15" t="s">
        <v>144</v>
      </c>
      <c r="N1716" s="16">
        <v>40911</v>
      </c>
      <c r="O1716" s="12" t="s">
        <v>11047</v>
      </c>
      <c r="P1716" s="14" t="s">
        <v>11050</v>
      </c>
      <c r="Q1716" s="17" t="s">
        <v>137</v>
      </c>
      <c r="R1716" s="17" t="s">
        <v>146</v>
      </c>
    </row>
    <row r="1717" spans="1:18" x14ac:dyDescent="0.3">
      <c r="A1717" s="12" t="s">
        <v>11051</v>
      </c>
      <c r="B1717" s="12" t="s">
        <v>14</v>
      </c>
      <c r="C1717" s="12"/>
      <c r="D1717" s="12" t="s">
        <v>14</v>
      </c>
      <c r="E1717" s="12" t="s">
        <v>3355</v>
      </c>
      <c r="F1717" s="12"/>
      <c r="G1717" s="12" t="s">
        <v>3356</v>
      </c>
      <c r="H1717" s="12" t="s">
        <v>41</v>
      </c>
      <c r="I1717" s="12" t="s">
        <v>28</v>
      </c>
      <c r="J1717" s="13" t="s">
        <v>3357</v>
      </c>
      <c r="K1717" s="14" t="s">
        <v>11052</v>
      </c>
      <c r="L1717" s="15">
        <v>1</v>
      </c>
      <c r="M1717" s="15" t="s">
        <v>144</v>
      </c>
      <c r="N1717" s="16">
        <v>42956</v>
      </c>
      <c r="O1717" s="12" t="s">
        <v>11051</v>
      </c>
      <c r="P1717" s="14" t="s">
        <v>11053</v>
      </c>
      <c r="Q1717" s="17" t="s">
        <v>137</v>
      </c>
      <c r="R1717" s="17" t="s">
        <v>146</v>
      </c>
    </row>
    <row r="1718" spans="1:18" x14ac:dyDescent="0.3">
      <c r="A1718" s="12" t="s">
        <v>11054</v>
      </c>
      <c r="B1718" s="12" t="s">
        <v>12</v>
      </c>
      <c r="C1718" s="12"/>
      <c r="D1718" s="12" t="s">
        <v>12</v>
      </c>
      <c r="E1718" s="12" t="s">
        <v>11055</v>
      </c>
      <c r="F1718" s="12"/>
      <c r="G1718" s="12" t="s">
        <v>3356</v>
      </c>
      <c r="H1718" s="12" t="s">
        <v>41</v>
      </c>
      <c r="I1718" s="12" t="s">
        <v>28</v>
      </c>
      <c r="J1718" s="13" t="s">
        <v>3357</v>
      </c>
      <c r="K1718" s="14" t="s">
        <v>11056</v>
      </c>
      <c r="L1718" s="15">
        <v>2</v>
      </c>
      <c r="M1718" s="15" t="s">
        <v>144</v>
      </c>
      <c r="N1718" s="16">
        <v>40067</v>
      </c>
      <c r="O1718" s="12" t="s">
        <v>11057</v>
      </c>
      <c r="P1718" s="14" t="s">
        <v>11058</v>
      </c>
      <c r="Q1718" s="17" t="s">
        <v>137</v>
      </c>
      <c r="R1718" s="17" t="s">
        <v>146</v>
      </c>
    </row>
    <row r="1719" spans="1:18" x14ac:dyDescent="0.3">
      <c r="A1719" s="12" t="s">
        <v>11059</v>
      </c>
      <c r="B1719" s="12" t="s">
        <v>10</v>
      </c>
      <c r="C1719" s="12"/>
      <c r="D1719" s="12" t="s">
        <v>157</v>
      </c>
      <c r="E1719" s="12" t="s">
        <v>11060</v>
      </c>
      <c r="F1719" s="12"/>
      <c r="G1719" s="12" t="s">
        <v>3371</v>
      </c>
      <c r="H1719" s="12" t="s">
        <v>41</v>
      </c>
      <c r="I1719" s="12" t="s">
        <v>28</v>
      </c>
      <c r="J1719" s="13" t="s">
        <v>3372</v>
      </c>
      <c r="K1719" s="14" t="s">
        <v>11061</v>
      </c>
      <c r="L1719" s="15">
        <v>2</v>
      </c>
      <c r="M1719" s="15" t="s">
        <v>144</v>
      </c>
      <c r="N1719" s="16">
        <v>40933</v>
      </c>
      <c r="O1719" s="12" t="s">
        <v>11059</v>
      </c>
      <c r="P1719" s="14" t="s">
        <v>11062</v>
      </c>
      <c r="Q1719" s="17" t="s">
        <v>137</v>
      </c>
      <c r="R1719" s="17" t="s">
        <v>146</v>
      </c>
    </row>
    <row r="1720" spans="1:18" x14ac:dyDescent="0.3">
      <c r="A1720" s="12" t="s">
        <v>11063</v>
      </c>
      <c r="B1720" s="12" t="s">
        <v>16</v>
      </c>
      <c r="C1720" s="12"/>
      <c r="D1720" s="12" t="s">
        <v>471</v>
      </c>
      <c r="E1720" s="12" t="s">
        <v>11064</v>
      </c>
      <c r="F1720" s="12" t="s">
        <v>4824</v>
      </c>
      <c r="G1720" s="12" t="s">
        <v>3371</v>
      </c>
      <c r="H1720" s="12" t="s">
        <v>41</v>
      </c>
      <c r="I1720" s="12" t="s">
        <v>28</v>
      </c>
      <c r="J1720" s="13" t="s">
        <v>3372</v>
      </c>
      <c r="K1720" s="14" t="s">
        <v>11065</v>
      </c>
      <c r="L1720" s="15">
        <v>0</v>
      </c>
      <c r="M1720" s="15" t="s">
        <v>144</v>
      </c>
      <c r="N1720" s="16">
        <v>39619</v>
      </c>
      <c r="O1720" s="12" t="s">
        <v>11066</v>
      </c>
      <c r="P1720" s="14" t="s">
        <v>11067</v>
      </c>
      <c r="Q1720" s="17" t="s">
        <v>137</v>
      </c>
      <c r="R1720" s="17" t="s">
        <v>146</v>
      </c>
    </row>
    <row r="1721" spans="1:18" x14ac:dyDescent="0.3">
      <c r="A1721" s="12" t="s">
        <v>11068</v>
      </c>
      <c r="B1721" s="12" t="s">
        <v>16</v>
      </c>
      <c r="C1721" s="12"/>
      <c r="D1721" s="12" t="s">
        <v>471</v>
      </c>
      <c r="E1721" s="12" t="s">
        <v>11069</v>
      </c>
      <c r="F1721" s="12"/>
      <c r="G1721" s="12" t="s">
        <v>3371</v>
      </c>
      <c r="H1721" s="12" t="s">
        <v>41</v>
      </c>
      <c r="I1721" s="12" t="s">
        <v>28</v>
      </c>
      <c r="J1721" s="13" t="s">
        <v>3372</v>
      </c>
      <c r="K1721" s="14" t="s">
        <v>11061</v>
      </c>
      <c r="L1721" s="15">
        <v>0</v>
      </c>
      <c r="M1721" s="15" t="s">
        <v>144</v>
      </c>
      <c r="N1721" s="16">
        <v>42320</v>
      </c>
      <c r="O1721" s="12" t="s">
        <v>11068</v>
      </c>
      <c r="P1721" s="14" t="s">
        <v>11070</v>
      </c>
      <c r="Q1721" s="17" t="s">
        <v>137</v>
      </c>
      <c r="R1721" s="17" t="s">
        <v>146</v>
      </c>
    </row>
    <row r="1722" spans="1:18" x14ac:dyDescent="0.3">
      <c r="A1722" s="12" t="s">
        <v>11071</v>
      </c>
      <c r="B1722" s="12" t="s">
        <v>12</v>
      </c>
      <c r="C1722" s="12"/>
      <c r="D1722" s="12" t="s">
        <v>12</v>
      </c>
      <c r="E1722" s="12" t="s">
        <v>11060</v>
      </c>
      <c r="F1722" s="12"/>
      <c r="G1722" s="12" t="s">
        <v>3371</v>
      </c>
      <c r="H1722" s="12" t="s">
        <v>41</v>
      </c>
      <c r="I1722" s="12" t="s">
        <v>28</v>
      </c>
      <c r="J1722" s="13" t="s">
        <v>3372</v>
      </c>
      <c r="K1722" s="14" t="s">
        <v>11072</v>
      </c>
      <c r="L1722" s="15">
        <v>0</v>
      </c>
      <c r="M1722" s="15" t="s">
        <v>144</v>
      </c>
      <c r="N1722" s="16">
        <v>44065</v>
      </c>
      <c r="O1722" s="12" t="s">
        <v>11073</v>
      </c>
      <c r="P1722" s="14" t="s">
        <v>11074</v>
      </c>
      <c r="Q1722" s="17" t="s">
        <v>137</v>
      </c>
      <c r="R1722" s="17" t="s">
        <v>146</v>
      </c>
    </row>
    <row r="1723" spans="1:18" x14ac:dyDescent="0.3">
      <c r="A1723" s="12" t="s">
        <v>11075</v>
      </c>
      <c r="B1723" s="12" t="s">
        <v>14</v>
      </c>
      <c r="C1723" s="12"/>
      <c r="D1723" s="12" t="s">
        <v>14</v>
      </c>
      <c r="E1723" s="12" t="s">
        <v>11076</v>
      </c>
      <c r="F1723" s="12"/>
      <c r="G1723" s="12" t="s">
        <v>3371</v>
      </c>
      <c r="H1723" s="12" t="s">
        <v>41</v>
      </c>
      <c r="I1723" s="12" t="s">
        <v>28</v>
      </c>
      <c r="J1723" s="13" t="s">
        <v>3372</v>
      </c>
      <c r="K1723" s="14" t="s">
        <v>11077</v>
      </c>
      <c r="L1723" s="15">
        <v>0</v>
      </c>
      <c r="M1723" s="15" t="s">
        <v>144</v>
      </c>
      <c r="N1723" s="16">
        <v>42072</v>
      </c>
      <c r="O1723" s="12" t="s">
        <v>11075</v>
      </c>
      <c r="P1723" s="14" t="s">
        <v>11078</v>
      </c>
      <c r="Q1723" s="17" t="s">
        <v>137</v>
      </c>
      <c r="R1723" s="17" t="s">
        <v>146</v>
      </c>
    </row>
    <row r="1724" spans="1:18" x14ac:dyDescent="0.3">
      <c r="A1724" s="12" t="s">
        <v>11079</v>
      </c>
      <c r="B1724" s="12" t="s">
        <v>10</v>
      </c>
      <c r="C1724" s="12"/>
      <c r="D1724" s="12" t="s">
        <v>720</v>
      </c>
      <c r="E1724" s="12" t="s">
        <v>11080</v>
      </c>
      <c r="F1724" s="12"/>
      <c r="G1724" s="12" t="s">
        <v>3371</v>
      </c>
      <c r="H1724" s="12" t="s">
        <v>41</v>
      </c>
      <c r="I1724" s="12" t="s">
        <v>28</v>
      </c>
      <c r="J1724" s="13" t="s">
        <v>3372</v>
      </c>
      <c r="K1724" s="14" t="s">
        <v>11081</v>
      </c>
      <c r="L1724" s="15">
        <v>0</v>
      </c>
      <c r="M1724" s="15" t="s">
        <v>144</v>
      </c>
      <c r="N1724" s="16">
        <v>41213</v>
      </c>
      <c r="O1724" s="12" t="s">
        <v>11079</v>
      </c>
      <c r="P1724" s="14" t="s">
        <v>11082</v>
      </c>
      <c r="Q1724" s="17" t="s">
        <v>137</v>
      </c>
      <c r="R1724" s="17" t="s">
        <v>146</v>
      </c>
    </row>
    <row r="1725" spans="1:18" x14ac:dyDescent="0.3">
      <c r="A1725" s="12" t="s">
        <v>11083</v>
      </c>
      <c r="B1725" s="12" t="s">
        <v>12</v>
      </c>
      <c r="C1725" s="12"/>
      <c r="D1725" s="12" t="s">
        <v>12</v>
      </c>
      <c r="E1725" s="12" t="s">
        <v>11084</v>
      </c>
      <c r="F1725" s="12"/>
      <c r="G1725" s="12" t="s">
        <v>3371</v>
      </c>
      <c r="H1725" s="12" t="s">
        <v>41</v>
      </c>
      <c r="I1725" s="12" t="s">
        <v>28</v>
      </c>
      <c r="J1725" s="13" t="s">
        <v>3372</v>
      </c>
      <c r="K1725" s="14" t="s">
        <v>11085</v>
      </c>
      <c r="L1725" s="15">
        <v>1</v>
      </c>
      <c r="M1725" s="15" t="s">
        <v>144</v>
      </c>
      <c r="N1725" s="16">
        <v>41282</v>
      </c>
      <c r="O1725" s="12" t="s">
        <v>11083</v>
      </c>
      <c r="P1725" s="14" t="s">
        <v>11086</v>
      </c>
      <c r="Q1725" s="17" t="s">
        <v>137</v>
      </c>
      <c r="R1725" s="17" t="s">
        <v>146</v>
      </c>
    </row>
    <row r="1726" spans="1:18" x14ac:dyDescent="0.3">
      <c r="A1726" s="12" t="s">
        <v>11087</v>
      </c>
      <c r="B1726" s="12" t="s">
        <v>16</v>
      </c>
      <c r="C1726" s="12"/>
      <c r="D1726" s="12" t="s">
        <v>471</v>
      </c>
      <c r="E1726" s="12" t="s">
        <v>11069</v>
      </c>
      <c r="F1726" s="12"/>
      <c r="G1726" s="12" t="s">
        <v>3371</v>
      </c>
      <c r="H1726" s="12" t="s">
        <v>41</v>
      </c>
      <c r="I1726" s="12" t="s">
        <v>28</v>
      </c>
      <c r="J1726" s="13" t="s">
        <v>3372</v>
      </c>
      <c r="K1726" s="14" t="s">
        <v>11088</v>
      </c>
      <c r="L1726" s="15">
        <v>0</v>
      </c>
      <c r="M1726" s="15" t="s">
        <v>144</v>
      </c>
      <c r="N1726" s="16">
        <v>42347</v>
      </c>
      <c r="O1726" s="12" t="s">
        <v>11068</v>
      </c>
      <c r="P1726" s="14" t="s">
        <v>11089</v>
      </c>
      <c r="Q1726" s="17" t="s">
        <v>137</v>
      </c>
      <c r="R1726" s="17" t="s">
        <v>146</v>
      </c>
    </row>
    <row r="1727" spans="1:18" x14ac:dyDescent="0.3">
      <c r="A1727" s="12" t="s">
        <v>11090</v>
      </c>
      <c r="B1727" s="12" t="s">
        <v>12</v>
      </c>
      <c r="C1727" s="12"/>
      <c r="D1727" s="12" t="s">
        <v>12</v>
      </c>
      <c r="E1727" s="12" t="s">
        <v>11080</v>
      </c>
      <c r="F1727" s="12"/>
      <c r="G1727" s="12" t="s">
        <v>3371</v>
      </c>
      <c r="H1727" s="12" t="s">
        <v>41</v>
      </c>
      <c r="I1727" s="12" t="s">
        <v>28</v>
      </c>
      <c r="J1727" s="13" t="s">
        <v>3372</v>
      </c>
      <c r="K1727" s="14" t="s">
        <v>11081</v>
      </c>
      <c r="L1727" s="15">
        <v>3</v>
      </c>
      <c r="M1727" s="15" t="s">
        <v>144</v>
      </c>
      <c r="N1727" s="16">
        <v>44065</v>
      </c>
      <c r="O1727" s="12" t="s">
        <v>11090</v>
      </c>
      <c r="P1727" s="14" t="s">
        <v>11091</v>
      </c>
      <c r="Q1727" s="17" t="s">
        <v>137</v>
      </c>
      <c r="R1727" s="17" t="s">
        <v>146</v>
      </c>
    </row>
    <row r="1728" spans="1:18" x14ac:dyDescent="0.3">
      <c r="A1728" s="12" t="s">
        <v>11092</v>
      </c>
      <c r="B1728" s="12" t="s">
        <v>12</v>
      </c>
      <c r="C1728" s="12"/>
      <c r="D1728" s="12" t="s">
        <v>12</v>
      </c>
      <c r="E1728" s="12" t="s">
        <v>11093</v>
      </c>
      <c r="F1728" s="12"/>
      <c r="G1728" s="12" t="s">
        <v>3383</v>
      </c>
      <c r="H1728" s="12" t="s">
        <v>41</v>
      </c>
      <c r="I1728" s="12" t="s">
        <v>28</v>
      </c>
      <c r="J1728" s="13" t="s">
        <v>3384</v>
      </c>
      <c r="K1728" s="14" t="s">
        <v>11094</v>
      </c>
      <c r="L1728" s="15">
        <v>1</v>
      </c>
      <c r="M1728" s="15" t="s">
        <v>144</v>
      </c>
      <c r="N1728" s="16">
        <v>41302</v>
      </c>
      <c r="O1728" s="12" t="s">
        <v>11092</v>
      </c>
      <c r="P1728" s="14" t="s">
        <v>11095</v>
      </c>
      <c r="Q1728" s="17" t="s">
        <v>137</v>
      </c>
      <c r="R1728" s="17" t="s">
        <v>146</v>
      </c>
    </row>
    <row r="1729" spans="1:18" x14ac:dyDescent="0.3">
      <c r="A1729" s="12" t="s">
        <v>11096</v>
      </c>
      <c r="B1729" s="12" t="s">
        <v>12</v>
      </c>
      <c r="C1729" s="12"/>
      <c r="D1729" s="12" t="s">
        <v>12</v>
      </c>
      <c r="E1729" s="12" t="s">
        <v>11097</v>
      </c>
      <c r="F1729" s="12"/>
      <c r="G1729" s="12" t="s">
        <v>3383</v>
      </c>
      <c r="H1729" s="12" t="s">
        <v>41</v>
      </c>
      <c r="I1729" s="12" t="s">
        <v>28</v>
      </c>
      <c r="J1729" s="13" t="s">
        <v>3384</v>
      </c>
      <c r="K1729" s="14" t="s">
        <v>11098</v>
      </c>
      <c r="L1729" s="15">
        <v>0</v>
      </c>
      <c r="M1729" s="15" t="s">
        <v>144</v>
      </c>
      <c r="N1729" s="16">
        <v>39647</v>
      </c>
      <c r="O1729" s="12" t="s">
        <v>11096</v>
      </c>
      <c r="P1729" s="14" t="s">
        <v>11099</v>
      </c>
      <c r="Q1729" s="17" t="s">
        <v>137</v>
      </c>
      <c r="R1729" s="17" t="s">
        <v>146</v>
      </c>
    </row>
    <row r="1730" spans="1:18" x14ac:dyDescent="0.3">
      <c r="A1730" s="12" t="s">
        <v>11100</v>
      </c>
      <c r="B1730" s="12" t="s">
        <v>12</v>
      </c>
      <c r="C1730" s="12"/>
      <c r="D1730" s="12" t="s">
        <v>12</v>
      </c>
      <c r="E1730" s="12" t="s">
        <v>11101</v>
      </c>
      <c r="F1730" s="12"/>
      <c r="G1730" s="12" t="s">
        <v>3383</v>
      </c>
      <c r="H1730" s="12" t="s">
        <v>41</v>
      </c>
      <c r="I1730" s="12" t="s">
        <v>28</v>
      </c>
      <c r="J1730" s="13" t="s">
        <v>3384</v>
      </c>
      <c r="K1730" s="14" t="s">
        <v>11102</v>
      </c>
      <c r="L1730" s="15">
        <v>1</v>
      </c>
      <c r="M1730" s="15" t="s">
        <v>144</v>
      </c>
      <c r="N1730" s="16">
        <v>39804</v>
      </c>
      <c r="O1730" s="12" t="s">
        <v>11103</v>
      </c>
      <c r="P1730" s="14" t="s">
        <v>11104</v>
      </c>
      <c r="Q1730" s="17" t="s">
        <v>137</v>
      </c>
      <c r="R1730" s="17" t="s">
        <v>146</v>
      </c>
    </row>
    <row r="1731" spans="1:18" x14ac:dyDescent="0.3">
      <c r="A1731" s="12" t="s">
        <v>11105</v>
      </c>
      <c r="B1731" s="12" t="s">
        <v>12</v>
      </c>
      <c r="C1731" s="12"/>
      <c r="D1731" s="12" t="s">
        <v>12</v>
      </c>
      <c r="E1731" s="12" t="s">
        <v>11106</v>
      </c>
      <c r="F1731" s="12"/>
      <c r="G1731" s="12" t="s">
        <v>3383</v>
      </c>
      <c r="H1731" s="12" t="s">
        <v>41</v>
      </c>
      <c r="I1731" s="12" t="s">
        <v>28</v>
      </c>
      <c r="J1731" s="13" t="s">
        <v>3384</v>
      </c>
      <c r="K1731" s="14" t="s">
        <v>11107</v>
      </c>
      <c r="L1731" s="15">
        <v>1</v>
      </c>
      <c r="M1731" s="15" t="s">
        <v>144</v>
      </c>
      <c r="N1731" s="16">
        <v>40380</v>
      </c>
      <c r="O1731" s="12" t="s">
        <v>11108</v>
      </c>
      <c r="P1731" s="14" t="s">
        <v>11109</v>
      </c>
      <c r="Q1731" s="17" t="s">
        <v>137</v>
      </c>
      <c r="R1731" s="17" t="s">
        <v>146</v>
      </c>
    </row>
    <row r="1732" spans="1:18" x14ac:dyDescent="0.3">
      <c r="A1732" s="12" t="s">
        <v>11110</v>
      </c>
      <c r="B1732" s="12" t="s">
        <v>12</v>
      </c>
      <c r="C1732" s="12"/>
      <c r="D1732" s="12" t="s">
        <v>12</v>
      </c>
      <c r="E1732" s="12" t="s">
        <v>11097</v>
      </c>
      <c r="F1732" s="12"/>
      <c r="G1732" s="12" t="s">
        <v>3383</v>
      </c>
      <c r="H1732" s="12" t="s">
        <v>41</v>
      </c>
      <c r="I1732" s="12" t="s">
        <v>28</v>
      </c>
      <c r="J1732" s="13" t="s">
        <v>3384</v>
      </c>
      <c r="K1732" s="14" t="s">
        <v>11098</v>
      </c>
      <c r="L1732" s="15">
        <v>0</v>
      </c>
      <c r="M1732" s="15" t="s">
        <v>144</v>
      </c>
      <c r="N1732" s="16">
        <v>42116</v>
      </c>
      <c r="O1732" s="12" t="s">
        <v>11110</v>
      </c>
      <c r="P1732" s="14" t="s">
        <v>11111</v>
      </c>
      <c r="Q1732" s="17" t="s">
        <v>137</v>
      </c>
      <c r="R1732" s="17" t="s">
        <v>146</v>
      </c>
    </row>
    <row r="1733" spans="1:18" x14ac:dyDescent="0.3">
      <c r="A1733" s="12" t="s">
        <v>11112</v>
      </c>
      <c r="B1733" s="12" t="s">
        <v>12</v>
      </c>
      <c r="C1733" s="12"/>
      <c r="D1733" s="12" t="s">
        <v>12</v>
      </c>
      <c r="E1733" s="12" t="s">
        <v>11113</v>
      </c>
      <c r="F1733" s="12"/>
      <c r="G1733" s="12" t="s">
        <v>11114</v>
      </c>
      <c r="H1733" s="12" t="s">
        <v>96</v>
      </c>
      <c r="I1733" s="12" t="s">
        <v>29</v>
      </c>
      <c r="J1733" s="13" t="s">
        <v>11115</v>
      </c>
      <c r="K1733" s="14" t="s">
        <v>11116</v>
      </c>
      <c r="L1733" s="15">
        <v>2</v>
      </c>
      <c r="M1733" s="15" t="s">
        <v>144</v>
      </c>
      <c r="N1733" s="16">
        <v>44065</v>
      </c>
      <c r="O1733" s="12" t="s">
        <v>11112</v>
      </c>
      <c r="P1733" s="14" t="s">
        <v>11117</v>
      </c>
      <c r="Q1733" s="17" t="s">
        <v>137</v>
      </c>
      <c r="R1733" s="17" t="s">
        <v>146</v>
      </c>
    </row>
    <row r="1734" spans="1:18" x14ac:dyDescent="0.3">
      <c r="A1734" s="12" t="s">
        <v>11118</v>
      </c>
      <c r="B1734" s="12" t="s">
        <v>12</v>
      </c>
      <c r="C1734" s="12"/>
      <c r="D1734" s="12" t="s">
        <v>12</v>
      </c>
      <c r="E1734" s="12" t="s">
        <v>11119</v>
      </c>
      <c r="F1734" s="12"/>
      <c r="G1734" s="12" t="s">
        <v>11120</v>
      </c>
      <c r="H1734" s="12" t="s">
        <v>116</v>
      </c>
      <c r="I1734" s="12" t="s">
        <v>29</v>
      </c>
      <c r="J1734" s="13" t="s">
        <v>11121</v>
      </c>
      <c r="K1734" s="14" t="s">
        <v>11122</v>
      </c>
      <c r="L1734" s="15">
        <v>1</v>
      </c>
      <c r="M1734" s="15" t="s">
        <v>144</v>
      </c>
      <c r="N1734" s="16">
        <v>42380</v>
      </c>
      <c r="O1734" s="12" t="s">
        <v>11118</v>
      </c>
      <c r="P1734" s="14" t="s">
        <v>11123</v>
      </c>
      <c r="Q1734" s="17" t="s">
        <v>137</v>
      </c>
      <c r="R1734" s="17" t="s">
        <v>146</v>
      </c>
    </row>
    <row r="1735" spans="1:18" x14ac:dyDescent="0.3">
      <c r="A1735" s="12" t="s">
        <v>11124</v>
      </c>
      <c r="B1735" s="12" t="s">
        <v>12</v>
      </c>
      <c r="C1735" s="12"/>
      <c r="D1735" s="12" t="s">
        <v>12</v>
      </c>
      <c r="E1735" s="12" t="s">
        <v>11125</v>
      </c>
      <c r="F1735" s="12" t="s">
        <v>516</v>
      </c>
      <c r="G1735" s="12" t="s">
        <v>3401</v>
      </c>
      <c r="H1735" s="12" t="s">
        <v>70</v>
      </c>
      <c r="I1735" s="12" t="s">
        <v>29</v>
      </c>
      <c r="J1735" s="13" t="s">
        <v>3402</v>
      </c>
      <c r="K1735" s="14" t="s">
        <v>11126</v>
      </c>
      <c r="L1735" s="15">
        <v>0</v>
      </c>
      <c r="M1735" s="15" t="s">
        <v>144</v>
      </c>
      <c r="N1735" s="16">
        <v>40910</v>
      </c>
      <c r="O1735" s="12" t="s">
        <v>11124</v>
      </c>
      <c r="P1735" s="14" t="s">
        <v>11127</v>
      </c>
      <c r="Q1735" s="17" t="s">
        <v>137</v>
      </c>
      <c r="R1735" s="17" t="s">
        <v>146</v>
      </c>
    </row>
    <row r="1736" spans="1:18" x14ac:dyDescent="0.3">
      <c r="A1736" s="12" t="s">
        <v>11128</v>
      </c>
      <c r="B1736" s="12" t="s">
        <v>12</v>
      </c>
      <c r="C1736" s="12"/>
      <c r="D1736" s="12" t="s">
        <v>12</v>
      </c>
      <c r="E1736" s="12" t="s">
        <v>11129</v>
      </c>
      <c r="F1736" s="12"/>
      <c r="G1736" s="12" t="s">
        <v>3401</v>
      </c>
      <c r="H1736" s="12" t="s">
        <v>70</v>
      </c>
      <c r="I1736" s="12" t="s">
        <v>29</v>
      </c>
      <c r="J1736" s="13" t="s">
        <v>3402</v>
      </c>
      <c r="K1736" s="14" t="s">
        <v>11130</v>
      </c>
      <c r="L1736" s="15">
        <v>2</v>
      </c>
      <c r="M1736" s="15" t="s">
        <v>144</v>
      </c>
      <c r="N1736" s="16">
        <v>42808</v>
      </c>
      <c r="O1736" s="12" t="s">
        <v>11128</v>
      </c>
      <c r="P1736" s="14" t="s">
        <v>11131</v>
      </c>
      <c r="Q1736" s="17" t="s">
        <v>137</v>
      </c>
      <c r="R1736" s="17" t="s">
        <v>146</v>
      </c>
    </row>
    <row r="1737" spans="1:18" x14ac:dyDescent="0.3">
      <c r="A1737" s="12" t="s">
        <v>11132</v>
      </c>
      <c r="B1737" s="12" t="s">
        <v>12</v>
      </c>
      <c r="C1737" s="12"/>
      <c r="D1737" s="12" t="s">
        <v>12</v>
      </c>
      <c r="E1737" s="12" t="s">
        <v>11133</v>
      </c>
      <c r="F1737" s="12"/>
      <c r="G1737" s="12" t="s">
        <v>3401</v>
      </c>
      <c r="H1737" s="12" t="s">
        <v>70</v>
      </c>
      <c r="I1737" s="12" t="s">
        <v>29</v>
      </c>
      <c r="J1737" s="13" t="s">
        <v>3402</v>
      </c>
      <c r="K1737" s="14" t="s">
        <v>11134</v>
      </c>
      <c r="L1737" s="15">
        <v>1</v>
      </c>
      <c r="M1737" s="15" t="s">
        <v>144</v>
      </c>
      <c r="N1737" s="16">
        <v>42648</v>
      </c>
      <c r="O1737" s="12" t="s">
        <v>11132</v>
      </c>
      <c r="P1737" s="14" t="s">
        <v>11135</v>
      </c>
      <c r="Q1737" s="17" t="s">
        <v>137</v>
      </c>
      <c r="R1737" s="17" t="s">
        <v>146</v>
      </c>
    </row>
    <row r="1738" spans="1:18" x14ac:dyDescent="0.3">
      <c r="A1738" s="12" t="s">
        <v>11136</v>
      </c>
      <c r="B1738" s="12" t="s">
        <v>12</v>
      </c>
      <c r="C1738" s="12"/>
      <c r="D1738" s="12" t="s">
        <v>12</v>
      </c>
      <c r="E1738" s="12" t="s">
        <v>11137</v>
      </c>
      <c r="F1738" s="12"/>
      <c r="G1738" s="12" t="s">
        <v>3420</v>
      </c>
      <c r="H1738" s="12" t="s">
        <v>59</v>
      </c>
      <c r="I1738" s="12" t="s">
        <v>29</v>
      </c>
      <c r="J1738" s="13" t="s">
        <v>3421</v>
      </c>
      <c r="K1738" s="14" t="s">
        <v>11138</v>
      </c>
      <c r="L1738" s="15">
        <v>1</v>
      </c>
      <c r="M1738" s="15" t="s">
        <v>144</v>
      </c>
      <c r="N1738" s="16">
        <v>40864</v>
      </c>
      <c r="O1738" s="12" t="s">
        <v>11139</v>
      </c>
      <c r="P1738" s="14" t="s">
        <v>11140</v>
      </c>
      <c r="Q1738" s="17" t="s">
        <v>137</v>
      </c>
      <c r="R1738" s="17" t="s">
        <v>146</v>
      </c>
    </row>
    <row r="1739" spans="1:18" x14ac:dyDescent="0.3">
      <c r="A1739" s="12" t="s">
        <v>11141</v>
      </c>
      <c r="B1739" s="12" t="s">
        <v>12</v>
      </c>
      <c r="C1739" s="12"/>
      <c r="D1739" s="12" t="s">
        <v>12</v>
      </c>
      <c r="E1739" s="12" t="s">
        <v>3419</v>
      </c>
      <c r="F1739" s="12"/>
      <c r="G1739" s="12" t="s">
        <v>3420</v>
      </c>
      <c r="H1739" s="12" t="s">
        <v>59</v>
      </c>
      <c r="I1739" s="12" t="s">
        <v>29</v>
      </c>
      <c r="J1739" s="13" t="s">
        <v>3421</v>
      </c>
      <c r="K1739" s="14" t="s">
        <v>3422</v>
      </c>
      <c r="L1739" s="15">
        <v>2</v>
      </c>
      <c r="M1739" s="15" t="s">
        <v>144</v>
      </c>
      <c r="N1739" s="16">
        <v>40673</v>
      </c>
      <c r="O1739" s="12" t="s">
        <v>11141</v>
      </c>
      <c r="P1739" s="14" t="s">
        <v>11142</v>
      </c>
      <c r="Q1739" s="17" t="s">
        <v>137</v>
      </c>
      <c r="R1739" s="17" t="s">
        <v>146</v>
      </c>
    </row>
    <row r="1740" spans="1:18" x14ac:dyDescent="0.3">
      <c r="A1740" s="12" t="s">
        <v>3433</v>
      </c>
      <c r="B1740" s="12" t="s">
        <v>14</v>
      </c>
      <c r="C1740" s="12"/>
      <c r="D1740" s="12" t="s">
        <v>14</v>
      </c>
      <c r="E1740" s="12" t="s">
        <v>3429</v>
      </c>
      <c r="F1740" s="12"/>
      <c r="G1740" s="12" t="s">
        <v>3430</v>
      </c>
      <c r="H1740" s="12" t="s">
        <v>59</v>
      </c>
      <c r="I1740" s="12" t="s">
        <v>29</v>
      </c>
      <c r="J1740" s="13" t="s">
        <v>3431</v>
      </c>
      <c r="K1740" s="14" t="s">
        <v>3432</v>
      </c>
      <c r="L1740" s="15">
        <v>3</v>
      </c>
      <c r="M1740" s="15" t="s">
        <v>144</v>
      </c>
      <c r="N1740" s="16">
        <v>44494</v>
      </c>
      <c r="O1740" s="12" t="s">
        <v>3433</v>
      </c>
      <c r="P1740" s="14" t="s">
        <v>11143</v>
      </c>
      <c r="Q1740" s="17" t="s">
        <v>137</v>
      </c>
      <c r="R1740" s="17" t="s">
        <v>146</v>
      </c>
    </row>
    <row r="1741" spans="1:18" x14ac:dyDescent="0.3">
      <c r="A1741" s="12" t="s">
        <v>11144</v>
      </c>
      <c r="B1741" s="12" t="s">
        <v>12</v>
      </c>
      <c r="C1741" s="12"/>
      <c r="D1741" s="12" t="s">
        <v>12</v>
      </c>
      <c r="E1741" s="12" t="s">
        <v>11145</v>
      </c>
      <c r="F1741" s="12"/>
      <c r="G1741" s="12" t="s">
        <v>3430</v>
      </c>
      <c r="H1741" s="12" t="s">
        <v>59</v>
      </c>
      <c r="I1741" s="12" t="s">
        <v>29</v>
      </c>
      <c r="J1741" s="13" t="s">
        <v>3431</v>
      </c>
      <c r="K1741" s="14" t="s">
        <v>11146</v>
      </c>
      <c r="L1741" s="15">
        <v>1</v>
      </c>
      <c r="M1741" s="15" t="s">
        <v>144</v>
      </c>
      <c r="N1741" s="16">
        <v>39415</v>
      </c>
      <c r="O1741" s="12" t="s">
        <v>11144</v>
      </c>
      <c r="P1741" s="14" t="s">
        <v>11147</v>
      </c>
      <c r="Q1741" s="17" t="s">
        <v>137</v>
      </c>
      <c r="R1741" s="17" t="s">
        <v>146</v>
      </c>
    </row>
    <row r="1742" spans="1:18" x14ac:dyDescent="0.3">
      <c r="A1742" s="12" t="s">
        <v>11148</v>
      </c>
      <c r="B1742" s="12" t="s">
        <v>12</v>
      </c>
      <c r="C1742" s="12"/>
      <c r="D1742" s="12" t="s">
        <v>12</v>
      </c>
      <c r="E1742" s="12" t="s">
        <v>11149</v>
      </c>
      <c r="F1742" s="12"/>
      <c r="G1742" s="12" t="s">
        <v>11150</v>
      </c>
      <c r="H1742" s="12" t="s">
        <v>59</v>
      </c>
      <c r="I1742" s="12" t="s">
        <v>29</v>
      </c>
      <c r="J1742" s="13" t="s">
        <v>11151</v>
      </c>
      <c r="K1742" s="14" t="s">
        <v>11152</v>
      </c>
      <c r="L1742" s="15">
        <v>2</v>
      </c>
      <c r="M1742" s="15" t="s">
        <v>144</v>
      </c>
      <c r="N1742" s="16">
        <v>44065</v>
      </c>
      <c r="O1742" s="12" t="s">
        <v>11148</v>
      </c>
      <c r="P1742" s="14" t="s">
        <v>11153</v>
      </c>
      <c r="Q1742" s="17" t="s">
        <v>137</v>
      </c>
      <c r="R1742" s="17" t="s">
        <v>146</v>
      </c>
    </row>
    <row r="1743" spans="1:18" x14ac:dyDescent="0.3">
      <c r="A1743" s="12" t="s">
        <v>11154</v>
      </c>
      <c r="B1743" s="12" t="s">
        <v>14</v>
      </c>
      <c r="C1743" s="12"/>
      <c r="D1743" s="12" t="s">
        <v>14</v>
      </c>
      <c r="E1743" s="12" t="s">
        <v>11155</v>
      </c>
      <c r="F1743" s="12"/>
      <c r="G1743" s="12" t="s">
        <v>11150</v>
      </c>
      <c r="H1743" s="12" t="s">
        <v>59</v>
      </c>
      <c r="I1743" s="12" t="s">
        <v>29</v>
      </c>
      <c r="J1743" s="13" t="s">
        <v>11151</v>
      </c>
      <c r="K1743" s="14" t="s">
        <v>11156</v>
      </c>
      <c r="L1743" s="15">
        <v>1</v>
      </c>
      <c r="M1743" s="15" t="s">
        <v>144</v>
      </c>
      <c r="N1743" s="16">
        <v>44410</v>
      </c>
      <c r="O1743" s="12" t="s">
        <v>11157</v>
      </c>
      <c r="P1743" s="14" t="s">
        <v>11158</v>
      </c>
      <c r="Q1743" s="17" t="s">
        <v>137</v>
      </c>
      <c r="R1743" s="17" t="s">
        <v>146</v>
      </c>
    </row>
    <row r="1744" spans="1:18" x14ac:dyDescent="0.3">
      <c r="A1744" s="12" t="s">
        <v>11159</v>
      </c>
      <c r="B1744" s="12" t="s">
        <v>12</v>
      </c>
      <c r="C1744" s="12"/>
      <c r="D1744" s="12" t="s">
        <v>12</v>
      </c>
      <c r="E1744" s="12" t="s">
        <v>11160</v>
      </c>
      <c r="F1744" s="12"/>
      <c r="G1744" s="12" t="s">
        <v>3442</v>
      </c>
      <c r="H1744" s="12" t="s">
        <v>59</v>
      </c>
      <c r="I1744" s="12" t="s">
        <v>29</v>
      </c>
      <c r="J1744" s="13" t="s">
        <v>3443</v>
      </c>
      <c r="K1744" s="14" t="s">
        <v>11161</v>
      </c>
      <c r="L1744" s="15">
        <v>2</v>
      </c>
      <c r="M1744" s="15" t="s">
        <v>144</v>
      </c>
      <c r="N1744" s="16">
        <v>39569</v>
      </c>
      <c r="O1744" s="12" t="s">
        <v>11159</v>
      </c>
      <c r="P1744" s="14" t="s">
        <v>11162</v>
      </c>
      <c r="Q1744" s="17" t="s">
        <v>137</v>
      </c>
      <c r="R1744" s="17" t="s">
        <v>146</v>
      </c>
    </row>
    <row r="1745" spans="1:18" x14ac:dyDescent="0.3">
      <c r="A1745" s="12" t="s">
        <v>11163</v>
      </c>
      <c r="B1745" s="12" t="s">
        <v>12</v>
      </c>
      <c r="C1745" s="12"/>
      <c r="D1745" s="12" t="s">
        <v>12</v>
      </c>
      <c r="E1745" s="12" t="s">
        <v>11164</v>
      </c>
      <c r="F1745" s="12"/>
      <c r="G1745" s="12" t="s">
        <v>3442</v>
      </c>
      <c r="H1745" s="12" t="s">
        <v>59</v>
      </c>
      <c r="I1745" s="12" t="s">
        <v>29</v>
      </c>
      <c r="J1745" s="13" t="s">
        <v>3443</v>
      </c>
      <c r="K1745" s="14" t="s">
        <v>11165</v>
      </c>
      <c r="L1745" s="15">
        <v>1</v>
      </c>
      <c r="M1745" s="15" t="s">
        <v>144</v>
      </c>
      <c r="N1745" s="16">
        <v>40815</v>
      </c>
      <c r="O1745" s="12" t="s">
        <v>11163</v>
      </c>
      <c r="P1745" s="14" t="s">
        <v>11166</v>
      </c>
      <c r="Q1745" s="17" t="s">
        <v>137</v>
      </c>
      <c r="R1745" s="17" t="s">
        <v>146</v>
      </c>
    </row>
    <row r="1746" spans="1:18" x14ac:dyDescent="0.3">
      <c r="A1746" s="12" t="s">
        <v>11167</v>
      </c>
      <c r="B1746" s="12" t="s">
        <v>12</v>
      </c>
      <c r="C1746" s="12"/>
      <c r="D1746" s="12" t="s">
        <v>12</v>
      </c>
      <c r="E1746" s="12" t="s">
        <v>11168</v>
      </c>
      <c r="F1746" s="12"/>
      <c r="G1746" s="12" t="s">
        <v>11169</v>
      </c>
      <c r="H1746" s="12" t="s">
        <v>59</v>
      </c>
      <c r="I1746" s="12" t="s">
        <v>29</v>
      </c>
      <c r="J1746" s="13" t="s">
        <v>11170</v>
      </c>
      <c r="K1746" s="14" t="s">
        <v>11171</v>
      </c>
      <c r="L1746" s="15">
        <v>0</v>
      </c>
      <c r="M1746" s="15" t="s">
        <v>144</v>
      </c>
      <c r="N1746" s="16">
        <v>39366</v>
      </c>
      <c r="O1746" s="12" t="s">
        <v>11167</v>
      </c>
      <c r="P1746" s="14" t="s">
        <v>11172</v>
      </c>
      <c r="Q1746" s="17" t="s">
        <v>137</v>
      </c>
      <c r="R1746" s="17" t="s">
        <v>146</v>
      </c>
    </row>
    <row r="1747" spans="1:18" x14ac:dyDescent="0.3">
      <c r="A1747" s="12" t="s">
        <v>11173</v>
      </c>
      <c r="B1747" s="12" t="s">
        <v>12</v>
      </c>
      <c r="C1747" s="12"/>
      <c r="D1747" s="12" t="s">
        <v>12</v>
      </c>
      <c r="E1747" s="12" t="s">
        <v>11174</v>
      </c>
      <c r="F1747" s="12" t="s">
        <v>7168</v>
      </c>
      <c r="G1747" s="12" t="s">
        <v>11175</v>
      </c>
      <c r="H1747" s="12" t="s">
        <v>117</v>
      </c>
      <c r="I1747" s="12" t="s">
        <v>29</v>
      </c>
      <c r="J1747" s="13" t="s">
        <v>11176</v>
      </c>
      <c r="K1747" s="14" t="s">
        <v>11177</v>
      </c>
      <c r="L1747" s="15">
        <v>0</v>
      </c>
      <c r="M1747" s="15" t="s">
        <v>144</v>
      </c>
      <c r="N1747" s="16">
        <v>42720</v>
      </c>
      <c r="O1747" s="12" t="s">
        <v>11173</v>
      </c>
      <c r="P1747" s="14" t="s">
        <v>11178</v>
      </c>
      <c r="Q1747" s="17" t="s">
        <v>137</v>
      </c>
      <c r="R1747" s="17" t="s">
        <v>146</v>
      </c>
    </row>
    <row r="1748" spans="1:18" x14ac:dyDescent="0.3">
      <c r="A1748" s="12" t="s">
        <v>11179</v>
      </c>
      <c r="B1748" s="12" t="s">
        <v>10</v>
      </c>
      <c r="C1748" s="12"/>
      <c r="D1748" s="12" t="s">
        <v>1561</v>
      </c>
      <c r="E1748" s="12" t="s">
        <v>11180</v>
      </c>
      <c r="F1748" s="12"/>
      <c r="G1748" s="12" t="s">
        <v>87</v>
      </c>
      <c r="H1748" s="12" t="s">
        <v>87</v>
      </c>
      <c r="I1748" s="12" t="s">
        <v>29</v>
      </c>
      <c r="J1748" s="13" t="s">
        <v>3451</v>
      </c>
      <c r="K1748" s="14" t="s">
        <v>11181</v>
      </c>
      <c r="L1748" s="15">
        <v>1</v>
      </c>
      <c r="M1748" s="15" t="s">
        <v>144</v>
      </c>
      <c r="N1748" s="16">
        <v>44404</v>
      </c>
      <c r="O1748" s="12" t="s">
        <v>11179</v>
      </c>
      <c r="P1748" s="14" t="s">
        <v>11182</v>
      </c>
      <c r="Q1748" s="17" t="s">
        <v>137</v>
      </c>
      <c r="R1748" s="17" t="s">
        <v>146</v>
      </c>
    </row>
    <row r="1749" spans="1:18" x14ac:dyDescent="0.3">
      <c r="A1749" s="12" t="s">
        <v>11183</v>
      </c>
      <c r="B1749" s="12" t="s">
        <v>12</v>
      </c>
      <c r="C1749" s="12"/>
      <c r="D1749" s="12" t="s">
        <v>12</v>
      </c>
      <c r="E1749" s="12" t="s">
        <v>11184</v>
      </c>
      <c r="F1749" s="12" t="s">
        <v>5687</v>
      </c>
      <c r="G1749" s="12" t="s">
        <v>3457</v>
      </c>
      <c r="H1749" s="12" t="s">
        <v>87</v>
      </c>
      <c r="I1749" s="12" t="s">
        <v>29</v>
      </c>
      <c r="J1749" s="13" t="s">
        <v>3458</v>
      </c>
      <c r="K1749" s="14" t="s">
        <v>11185</v>
      </c>
      <c r="L1749" s="15">
        <v>1</v>
      </c>
      <c r="M1749" s="15" t="s">
        <v>144</v>
      </c>
      <c r="N1749" s="16">
        <v>41359</v>
      </c>
      <c r="O1749" s="12" t="s">
        <v>11186</v>
      </c>
      <c r="P1749" s="14" t="s">
        <v>11187</v>
      </c>
      <c r="Q1749" s="17" t="s">
        <v>137</v>
      </c>
      <c r="R1749" s="17" t="s">
        <v>146</v>
      </c>
    </row>
    <row r="1750" spans="1:18" x14ac:dyDescent="0.3">
      <c r="A1750" s="12" t="s">
        <v>11188</v>
      </c>
      <c r="B1750" s="12" t="s">
        <v>12</v>
      </c>
      <c r="C1750" s="12"/>
      <c r="D1750" s="12" t="s">
        <v>12</v>
      </c>
      <c r="E1750" s="12" t="s">
        <v>11189</v>
      </c>
      <c r="F1750" s="12"/>
      <c r="G1750" s="12" t="s">
        <v>3457</v>
      </c>
      <c r="H1750" s="12" t="s">
        <v>87</v>
      </c>
      <c r="I1750" s="12" t="s">
        <v>29</v>
      </c>
      <c r="J1750" s="13" t="s">
        <v>3458</v>
      </c>
      <c r="K1750" s="14" t="s">
        <v>11190</v>
      </c>
      <c r="L1750" s="15">
        <v>0</v>
      </c>
      <c r="M1750" s="15" t="s">
        <v>144</v>
      </c>
      <c r="N1750" s="16">
        <v>41017</v>
      </c>
      <c r="O1750" s="12" t="s">
        <v>11188</v>
      </c>
      <c r="P1750" s="14" t="s">
        <v>11191</v>
      </c>
      <c r="Q1750" s="17" t="s">
        <v>137</v>
      </c>
      <c r="R1750" s="17" t="s">
        <v>146</v>
      </c>
    </row>
    <row r="1751" spans="1:18" x14ac:dyDescent="0.3">
      <c r="A1751" s="12" t="s">
        <v>11192</v>
      </c>
      <c r="B1751" s="12" t="s">
        <v>12</v>
      </c>
      <c r="C1751" s="12"/>
      <c r="D1751" s="12" t="s">
        <v>12</v>
      </c>
      <c r="E1751" s="12" t="s">
        <v>11193</v>
      </c>
      <c r="F1751" s="12"/>
      <c r="G1751" s="12" t="s">
        <v>3464</v>
      </c>
      <c r="H1751" s="12" t="s">
        <v>53</v>
      </c>
      <c r="I1751" s="12" t="s">
        <v>30</v>
      </c>
      <c r="J1751" s="13" t="s">
        <v>3465</v>
      </c>
      <c r="K1751" s="14" t="s">
        <v>11194</v>
      </c>
      <c r="L1751" s="15">
        <v>1</v>
      </c>
      <c r="M1751" s="15" t="s">
        <v>144</v>
      </c>
      <c r="N1751" s="16">
        <v>41264</v>
      </c>
      <c r="O1751" s="12" t="s">
        <v>11192</v>
      </c>
      <c r="P1751" s="14" t="s">
        <v>11195</v>
      </c>
      <c r="Q1751" s="17" t="s">
        <v>137</v>
      </c>
      <c r="R1751" s="17" t="s">
        <v>146</v>
      </c>
    </row>
    <row r="1752" spans="1:18" x14ac:dyDescent="0.3">
      <c r="A1752" s="12" t="s">
        <v>11196</v>
      </c>
      <c r="B1752" s="12" t="s">
        <v>12</v>
      </c>
      <c r="C1752" s="12"/>
      <c r="D1752" s="12" t="s">
        <v>12</v>
      </c>
      <c r="E1752" s="12" t="s">
        <v>11197</v>
      </c>
      <c r="F1752" s="12" t="s">
        <v>345</v>
      </c>
      <c r="G1752" s="12" t="s">
        <v>11198</v>
      </c>
      <c r="H1752" s="12" t="s">
        <v>53</v>
      </c>
      <c r="I1752" s="12" t="s">
        <v>30</v>
      </c>
      <c r="J1752" s="13" t="s">
        <v>11199</v>
      </c>
      <c r="K1752" s="14" t="s">
        <v>11200</v>
      </c>
      <c r="L1752" s="15">
        <v>1</v>
      </c>
      <c r="M1752" s="15" t="s">
        <v>144</v>
      </c>
      <c r="N1752" s="16">
        <v>42712</v>
      </c>
      <c r="O1752" s="12" t="s">
        <v>11196</v>
      </c>
      <c r="P1752" s="14" t="s">
        <v>11201</v>
      </c>
      <c r="Q1752" s="17" t="s">
        <v>137</v>
      </c>
      <c r="R1752" s="17" t="s">
        <v>146</v>
      </c>
    </row>
    <row r="1753" spans="1:18" x14ac:dyDescent="0.3">
      <c r="A1753" s="12" t="s">
        <v>11202</v>
      </c>
      <c r="B1753" s="12" t="s">
        <v>14</v>
      </c>
      <c r="C1753" s="12"/>
      <c r="D1753" s="12" t="s">
        <v>14</v>
      </c>
      <c r="E1753" s="12" t="s">
        <v>11203</v>
      </c>
      <c r="F1753" s="12"/>
      <c r="G1753" s="12" t="s">
        <v>11204</v>
      </c>
      <c r="H1753" s="12" t="s">
        <v>53</v>
      </c>
      <c r="I1753" s="12" t="s">
        <v>30</v>
      </c>
      <c r="J1753" s="13" t="s">
        <v>11205</v>
      </c>
      <c r="K1753" s="14" t="s">
        <v>11206</v>
      </c>
      <c r="L1753" s="15">
        <v>0</v>
      </c>
      <c r="M1753" s="15" t="s">
        <v>144</v>
      </c>
      <c r="N1753" s="16">
        <v>44061</v>
      </c>
      <c r="O1753" s="12" t="s">
        <v>11202</v>
      </c>
      <c r="P1753" s="14" t="s">
        <v>11207</v>
      </c>
      <c r="Q1753" s="17" t="s">
        <v>137</v>
      </c>
      <c r="R1753" s="17" t="s">
        <v>146</v>
      </c>
    </row>
    <row r="1754" spans="1:18" x14ac:dyDescent="0.3">
      <c r="A1754" s="12" t="s">
        <v>11208</v>
      </c>
      <c r="B1754" s="12" t="s">
        <v>14</v>
      </c>
      <c r="C1754" s="12"/>
      <c r="D1754" s="12" t="s">
        <v>14</v>
      </c>
      <c r="E1754" s="12" t="s">
        <v>11209</v>
      </c>
      <c r="F1754" s="12"/>
      <c r="G1754" s="12" t="s">
        <v>11204</v>
      </c>
      <c r="H1754" s="12" t="s">
        <v>53</v>
      </c>
      <c r="I1754" s="12" t="s">
        <v>30</v>
      </c>
      <c r="J1754" s="13" t="s">
        <v>11205</v>
      </c>
      <c r="K1754" s="14" t="s">
        <v>11210</v>
      </c>
      <c r="L1754" s="15">
        <v>2</v>
      </c>
      <c r="M1754" s="15" t="s">
        <v>144</v>
      </c>
      <c r="N1754" s="16">
        <v>42978</v>
      </c>
      <c r="O1754" s="12" t="s">
        <v>11208</v>
      </c>
      <c r="P1754" s="14" t="s">
        <v>11211</v>
      </c>
      <c r="Q1754" s="17" t="s">
        <v>137</v>
      </c>
      <c r="R1754" s="17" t="s">
        <v>146</v>
      </c>
    </row>
    <row r="1755" spans="1:18" x14ac:dyDescent="0.3">
      <c r="A1755" s="12" t="s">
        <v>11212</v>
      </c>
      <c r="B1755" s="12" t="s">
        <v>14</v>
      </c>
      <c r="C1755" s="12"/>
      <c r="D1755" s="12" t="s">
        <v>14</v>
      </c>
      <c r="E1755" s="12" t="s">
        <v>11213</v>
      </c>
      <c r="F1755" s="12"/>
      <c r="G1755" s="12" t="s">
        <v>3474</v>
      </c>
      <c r="H1755" s="12" t="s">
        <v>53</v>
      </c>
      <c r="I1755" s="12" t="s">
        <v>30</v>
      </c>
      <c r="J1755" s="13" t="s">
        <v>3475</v>
      </c>
      <c r="K1755" s="14" t="s">
        <v>11214</v>
      </c>
      <c r="L1755" s="15">
        <v>0</v>
      </c>
      <c r="M1755" s="15" t="s">
        <v>144</v>
      </c>
      <c r="N1755" s="16">
        <v>44101</v>
      </c>
      <c r="O1755" s="12" t="s">
        <v>11212</v>
      </c>
      <c r="P1755" s="14" t="s">
        <v>11215</v>
      </c>
      <c r="Q1755" s="17" t="s">
        <v>137</v>
      </c>
      <c r="R1755" s="17" t="s">
        <v>146</v>
      </c>
    </row>
    <row r="1756" spans="1:18" x14ac:dyDescent="0.3">
      <c r="A1756" s="12" t="s">
        <v>11216</v>
      </c>
      <c r="B1756" s="12" t="s">
        <v>12</v>
      </c>
      <c r="C1756" s="12"/>
      <c r="D1756" s="12" t="s">
        <v>12</v>
      </c>
      <c r="E1756" s="12" t="s">
        <v>11217</v>
      </c>
      <c r="F1756" s="12"/>
      <c r="G1756" s="12" t="s">
        <v>3474</v>
      </c>
      <c r="H1756" s="12" t="s">
        <v>53</v>
      </c>
      <c r="I1756" s="12" t="s">
        <v>30</v>
      </c>
      <c r="J1756" s="13" t="s">
        <v>3475</v>
      </c>
      <c r="K1756" s="14" t="s">
        <v>11218</v>
      </c>
      <c r="L1756" s="15">
        <v>3</v>
      </c>
      <c r="M1756" s="15" t="s">
        <v>144</v>
      </c>
      <c r="N1756" s="16">
        <v>39643</v>
      </c>
      <c r="O1756" s="12" t="s">
        <v>11216</v>
      </c>
      <c r="P1756" s="14" t="s">
        <v>11219</v>
      </c>
      <c r="Q1756" s="17" t="s">
        <v>137</v>
      </c>
      <c r="R1756" s="17" t="s">
        <v>146</v>
      </c>
    </row>
    <row r="1757" spans="1:18" x14ac:dyDescent="0.3">
      <c r="A1757" s="12" t="s">
        <v>11220</v>
      </c>
      <c r="B1757" s="12" t="s">
        <v>14</v>
      </c>
      <c r="C1757" s="12"/>
      <c r="D1757" s="12" t="s">
        <v>14</v>
      </c>
      <c r="E1757" s="12" t="s">
        <v>11221</v>
      </c>
      <c r="F1757" s="12"/>
      <c r="G1757" s="12" t="s">
        <v>3474</v>
      </c>
      <c r="H1757" s="12" t="s">
        <v>53</v>
      </c>
      <c r="I1757" s="12" t="s">
        <v>30</v>
      </c>
      <c r="J1757" s="13" t="s">
        <v>3475</v>
      </c>
      <c r="K1757" s="14" t="s">
        <v>11222</v>
      </c>
      <c r="L1757" s="15">
        <v>0</v>
      </c>
      <c r="M1757" s="15" t="s">
        <v>144</v>
      </c>
      <c r="N1757" s="16">
        <v>44512</v>
      </c>
      <c r="O1757" s="12" t="s">
        <v>11223</v>
      </c>
      <c r="P1757" s="14" t="s">
        <v>11224</v>
      </c>
      <c r="Q1757" s="17" t="s">
        <v>137</v>
      </c>
      <c r="R1757" s="17" t="s">
        <v>146</v>
      </c>
    </row>
    <row r="1758" spans="1:18" x14ac:dyDescent="0.3">
      <c r="A1758" s="12" t="s">
        <v>11225</v>
      </c>
      <c r="B1758" s="12" t="s">
        <v>14</v>
      </c>
      <c r="C1758" s="12"/>
      <c r="D1758" s="12" t="s">
        <v>14</v>
      </c>
      <c r="E1758" s="12" t="s">
        <v>3497</v>
      </c>
      <c r="F1758" s="12"/>
      <c r="G1758" s="12" t="s">
        <v>3474</v>
      </c>
      <c r="H1758" s="12" t="s">
        <v>53</v>
      </c>
      <c r="I1758" s="12" t="s">
        <v>30</v>
      </c>
      <c r="J1758" s="13" t="s">
        <v>3475</v>
      </c>
      <c r="K1758" s="14" t="s">
        <v>3486</v>
      </c>
      <c r="L1758" s="15">
        <v>0</v>
      </c>
      <c r="M1758" s="15" t="s">
        <v>144</v>
      </c>
      <c r="N1758" s="16">
        <v>44065</v>
      </c>
      <c r="O1758" s="12" t="s">
        <v>11225</v>
      </c>
      <c r="P1758" s="14" t="s">
        <v>11226</v>
      </c>
      <c r="Q1758" s="17" t="s">
        <v>137</v>
      </c>
      <c r="R1758" s="17" t="s">
        <v>146</v>
      </c>
    </row>
    <row r="1759" spans="1:18" x14ac:dyDescent="0.3">
      <c r="A1759" s="12" t="s">
        <v>11227</v>
      </c>
      <c r="B1759" s="12" t="s">
        <v>14</v>
      </c>
      <c r="C1759" s="12"/>
      <c r="D1759" s="12" t="s">
        <v>14</v>
      </c>
      <c r="E1759" s="12" t="s">
        <v>11228</v>
      </c>
      <c r="F1759" s="12"/>
      <c r="G1759" s="12" t="s">
        <v>3474</v>
      </c>
      <c r="H1759" s="12" t="s">
        <v>53</v>
      </c>
      <c r="I1759" s="12" t="s">
        <v>30</v>
      </c>
      <c r="J1759" s="13" t="s">
        <v>3475</v>
      </c>
      <c r="K1759" s="14" t="s">
        <v>11229</v>
      </c>
      <c r="L1759" s="15">
        <v>0</v>
      </c>
      <c r="M1759" s="15" t="s">
        <v>144</v>
      </c>
      <c r="N1759" s="16">
        <v>42564</v>
      </c>
      <c r="O1759" s="12" t="s">
        <v>11227</v>
      </c>
      <c r="P1759" s="14" t="s">
        <v>11230</v>
      </c>
      <c r="Q1759" s="17" t="s">
        <v>137</v>
      </c>
      <c r="R1759" s="17" t="s">
        <v>146</v>
      </c>
    </row>
    <row r="1760" spans="1:18" x14ac:dyDescent="0.3">
      <c r="A1760" s="12" t="s">
        <v>11231</v>
      </c>
      <c r="B1760" s="12" t="s">
        <v>12</v>
      </c>
      <c r="C1760" s="12"/>
      <c r="D1760" s="12" t="s">
        <v>12</v>
      </c>
      <c r="E1760" s="12" t="s">
        <v>11232</v>
      </c>
      <c r="F1760" s="12" t="s">
        <v>467</v>
      </c>
      <c r="G1760" s="12" t="s">
        <v>3474</v>
      </c>
      <c r="H1760" s="12" t="s">
        <v>53</v>
      </c>
      <c r="I1760" s="12" t="s">
        <v>30</v>
      </c>
      <c r="J1760" s="13" t="s">
        <v>3475</v>
      </c>
      <c r="K1760" s="14" t="s">
        <v>11233</v>
      </c>
      <c r="L1760" s="15">
        <v>2</v>
      </c>
      <c r="M1760" s="15" t="s">
        <v>144</v>
      </c>
      <c r="N1760" s="16">
        <v>44065</v>
      </c>
      <c r="O1760" s="12" t="s">
        <v>11231</v>
      </c>
      <c r="P1760" s="14" t="s">
        <v>11234</v>
      </c>
      <c r="Q1760" s="17" t="s">
        <v>137</v>
      </c>
      <c r="R1760" s="17" t="s">
        <v>146</v>
      </c>
    </row>
    <row r="1761" spans="1:18" x14ac:dyDescent="0.3">
      <c r="A1761" s="12" t="s">
        <v>11235</v>
      </c>
      <c r="B1761" s="12" t="s">
        <v>12</v>
      </c>
      <c r="C1761" s="12"/>
      <c r="D1761" s="12" t="s">
        <v>12</v>
      </c>
      <c r="E1761" s="12" t="s">
        <v>11236</v>
      </c>
      <c r="F1761" s="12"/>
      <c r="G1761" s="12" t="s">
        <v>3474</v>
      </c>
      <c r="H1761" s="12" t="s">
        <v>53</v>
      </c>
      <c r="I1761" s="12" t="s">
        <v>30</v>
      </c>
      <c r="J1761" s="13" t="s">
        <v>3475</v>
      </c>
      <c r="K1761" s="14" t="s">
        <v>11237</v>
      </c>
      <c r="L1761" s="15">
        <v>3</v>
      </c>
      <c r="M1761" s="15" t="s">
        <v>144</v>
      </c>
      <c r="N1761" s="16">
        <v>44065</v>
      </c>
      <c r="O1761" s="12" t="s">
        <v>11235</v>
      </c>
      <c r="P1761" s="14" t="s">
        <v>11238</v>
      </c>
      <c r="Q1761" s="17" t="s">
        <v>137</v>
      </c>
      <c r="R1761" s="17" t="s">
        <v>146</v>
      </c>
    </row>
    <row r="1762" spans="1:18" x14ac:dyDescent="0.3">
      <c r="A1762" s="12" t="s">
        <v>11239</v>
      </c>
      <c r="B1762" s="12" t="s">
        <v>12</v>
      </c>
      <c r="C1762" s="12"/>
      <c r="D1762" s="12" t="s">
        <v>12</v>
      </c>
      <c r="E1762" s="12" t="s">
        <v>11240</v>
      </c>
      <c r="F1762" s="12" t="s">
        <v>11241</v>
      </c>
      <c r="G1762" s="12" t="s">
        <v>3474</v>
      </c>
      <c r="H1762" s="12" t="s">
        <v>53</v>
      </c>
      <c r="I1762" s="12" t="s">
        <v>30</v>
      </c>
      <c r="J1762" s="13" t="s">
        <v>3475</v>
      </c>
      <c r="K1762" s="14" t="s">
        <v>11242</v>
      </c>
      <c r="L1762" s="15">
        <v>2</v>
      </c>
      <c r="M1762" s="15" t="s">
        <v>144</v>
      </c>
      <c r="N1762" s="16">
        <v>41261</v>
      </c>
      <c r="O1762" s="12" t="s">
        <v>11239</v>
      </c>
      <c r="P1762" s="14" t="s">
        <v>11243</v>
      </c>
      <c r="Q1762" s="17" t="s">
        <v>137</v>
      </c>
      <c r="R1762" s="17" t="s">
        <v>146</v>
      </c>
    </row>
    <row r="1763" spans="1:18" x14ac:dyDescent="0.3">
      <c r="A1763" s="12" t="s">
        <v>11244</v>
      </c>
      <c r="B1763" s="12" t="s">
        <v>12</v>
      </c>
      <c r="C1763" s="12"/>
      <c r="D1763" s="12" t="s">
        <v>12</v>
      </c>
      <c r="E1763" s="12" t="s">
        <v>11245</v>
      </c>
      <c r="F1763" s="12" t="s">
        <v>1988</v>
      </c>
      <c r="G1763" s="12" t="s">
        <v>3474</v>
      </c>
      <c r="H1763" s="12" t="s">
        <v>53</v>
      </c>
      <c r="I1763" s="12" t="s">
        <v>30</v>
      </c>
      <c r="J1763" s="13" t="s">
        <v>3475</v>
      </c>
      <c r="K1763" s="14" t="s">
        <v>11246</v>
      </c>
      <c r="L1763" s="15">
        <v>3</v>
      </c>
      <c r="M1763" s="15" t="s">
        <v>144</v>
      </c>
      <c r="N1763" s="16">
        <v>41760</v>
      </c>
      <c r="O1763" s="12" t="s">
        <v>11247</v>
      </c>
      <c r="P1763" s="14" t="s">
        <v>11248</v>
      </c>
      <c r="Q1763" s="17" t="s">
        <v>137</v>
      </c>
      <c r="R1763" s="17" t="s">
        <v>146</v>
      </c>
    </row>
    <row r="1764" spans="1:18" x14ac:dyDescent="0.3">
      <c r="A1764" s="12" t="s">
        <v>11249</v>
      </c>
      <c r="B1764" s="12" t="s">
        <v>12</v>
      </c>
      <c r="C1764" s="12"/>
      <c r="D1764" s="12" t="s">
        <v>12</v>
      </c>
      <c r="E1764" s="12" t="s">
        <v>11250</v>
      </c>
      <c r="F1764" s="12"/>
      <c r="G1764" s="12" t="s">
        <v>3474</v>
      </c>
      <c r="H1764" s="12" t="s">
        <v>53</v>
      </c>
      <c r="I1764" s="12" t="s">
        <v>30</v>
      </c>
      <c r="J1764" s="13" t="s">
        <v>3475</v>
      </c>
      <c r="K1764" s="14" t="s">
        <v>11251</v>
      </c>
      <c r="L1764" s="15">
        <v>2</v>
      </c>
      <c r="M1764" s="15" t="s">
        <v>144</v>
      </c>
      <c r="N1764" s="16">
        <v>42404</v>
      </c>
      <c r="O1764" s="12" t="s">
        <v>11249</v>
      </c>
      <c r="P1764" s="14" t="s">
        <v>11252</v>
      </c>
      <c r="Q1764" s="17" t="s">
        <v>137</v>
      </c>
      <c r="R1764" s="17" t="s">
        <v>146</v>
      </c>
    </row>
    <row r="1765" spans="1:18" x14ac:dyDescent="0.3">
      <c r="A1765" s="12" t="s">
        <v>11253</v>
      </c>
      <c r="B1765" s="12" t="s">
        <v>12</v>
      </c>
      <c r="C1765" s="12"/>
      <c r="D1765" s="12" t="s">
        <v>12</v>
      </c>
      <c r="E1765" s="12" t="s">
        <v>11254</v>
      </c>
      <c r="F1765" s="12"/>
      <c r="G1765" s="12" t="s">
        <v>3474</v>
      </c>
      <c r="H1765" s="12" t="s">
        <v>53</v>
      </c>
      <c r="I1765" s="12" t="s">
        <v>30</v>
      </c>
      <c r="J1765" s="13" t="s">
        <v>3475</v>
      </c>
      <c r="K1765" s="14" t="s">
        <v>11255</v>
      </c>
      <c r="L1765" s="15">
        <v>1</v>
      </c>
      <c r="M1765" s="15" t="s">
        <v>144</v>
      </c>
      <c r="N1765" s="16">
        <v>41009</v>
      </c>
      <c r="O1765" s="12" t="s">
        <v>11253</v>
      </c>
      <c r="P1765" s="14" t="s">
        <v>11256</v>
      </c>
      <c r="Q1765" s="17" t="s">
        <v>137</v>
      </c>
      <c r="R1765" s="17" t="s">
        <v>146</v>
      </c>
    </row>
    <row r="1766" spans="1:18" x14ac:dyDescent="0.3">
      <c r="A1766" s="12" t="s">
        <v>11257</v>
      </c>
      <c r="B1766" s="12" t="s">
        <v>12</v>
      </c>
      <c r="C1766" s="12"/>
      <c r="D1766" s="12" t="s">
        <v>12</v>
      </c>
      <c r="E1766" s="12" t="s">
        <v>11232</v>
      </c>
      <c r="F1766" s="12" t="s">
        <v>467</v>
      </c>
      <c r="G1766" s="12" t="s">
        <v>3474</v>
      </c>
      <c r="H1766" s="12" t="s">
        <v>53</v>
      </c>
      <c r="I1766" s="12" t="s">
        <v>30</v>
      </c>
      <c r="J1766" s="13" t="s">
        <v>3475</v>
      </c>
      <c r="K1766" s="14" t="s">
        <v>11258</v>
      </c>
      <c r="L1766" s="15">
        <v>2</v>
      </c>
      <c r="M1766" s="15" t="s">
        <v>144</v>
      </c>
      <c r="N1766" s="16">
        <v>39356</v>
      </c>
      <c r="O1766" s="12" t="s">
        <v>11257</v>
      </c>
      <c r="P1766" s="14" t="s">
        <v>11259</v>
      </c>
      <c r="Q1766" s="17" t="s">
        <v>137</v>
      </c>
      <c r="R1766" s="17" t="s">
        <v>146</v>
      </c>
    </row>
    <row r="1767" spans="1:18" x14ac:dyDescent="0.3">
      <c r="A1767" s="12" t="s">
        <v>11260</v>
      </c>
      <c r="B1767" s="12" t="s">
        <v>14</v>
      </c>
      <c r="C1767" s="12"/>
      <c r="D1767" s="12" t="s">
        <v>14</v>
      </c>
      <c r="E1767" s="12" t="s">
        <v>11261</v>
      </c>
      <c r="F1767" s="12" t="s">
        <v>11262</v>
      </c>
      <c r="G1767" s="12" t="s">
        <v>3505</v>
      </c>
      <c r="H1767" s="12" t="s">
        <v>45</v>
      </c>
      <c r="I1767" s="12" t="s">
        <v>30</v>
      </c>
      <c r="J1767" s="13" t="s">
        <v>2944</v>
      </c>
      <c r="K1767" s="14" t="s">
        <v>11263</v>
      </c>
      <c r="L1767" s="15">
        <v>2</v>
      </c>
      <c r="M1767" s="15" t="s">
        <v>220</v>
      </c>
      <c r="N1767" s="16">
        <v>40870</v>
      </c>
      <c r="O1767" s="12" t="s">
        <v>11260</v>
      </c>
      <c r="P1767" s="14" t="s">
        <v>11264</v>
      </c>
      <c r="Q1767" s="17" t="s">
        <v>137</v>
      </c>
      <c r="R1767" s="17" t="s">
        <v>146</v>
      </c>
    </row>
    <row r="1768" spans="1:18" x14ac:dyDescent="0.3">
      <c r="A1768" s="12" t="s">
        <v>11265</v>
      </c>
      <c r="B1768" s="12" t="s">
        <v>12</v>
      </c>
      <c r="C1768" s="12"/>
      <c r="D1768" s="12" t="s">
        <v>12</v>
      </c>
      <c r="E1768" s="12" t="s">
        <v>3545</v>
      </c>
      <c r="F1768" s="12" t="s">
        <v>11266</v>
      </c>
      <c r="G1768" s="12" t="s">
        <v>3505</v>
      </c>
      <c r="H1768" s="12" t="s">
        <v>45</v>
      </c>
      <c r="I1768" s="12" t="s">
        <v>30</v>
      </c>
      <c r="J1768" s="13" t="s">
        <v>2944</v>
      </c>
      <c r="K1768" s="14" t="s">
        <v>11267</v>
      </c>
      <c r="L1768" s="15">
        <v>5</v>
      </c>
      <c r="M1768" s="15" t="s">
        <v>144</v>
      </c>
      <c r="N1768" s="16">
        <v>41660</v>
      </c>
      <c r="O1768" s="12" t="s">
        <v>11265</v>
      </c>
      <c r="P1768" s="14" t="s">
        <v>11268</v>
      </c>
      <c r="Q1768" s="17" t="s">
        <v>137</v>
      </c>
      <c r="R1768" s="17" t="s">
        <v>146</v>
      </c>
    </row>
    <row r="1769" spans="1:18" x14ac:dyDescent="0.3">
      <c r="A1769" s="12" t="s">
        <v>11269</v>
      </c>
      <c r="B1769" s="12" t="s">
        <v>12</v>
      </c>
      <c r="C1769" s="12"/>
      <c r="D1769" s="12" t="s">
        <v>12</v>
      </c>
      <c r="E1769" s="12" t="s">
        <v>11270</v>
      </c>
      <c r="F1769" s="12"/>
      <c r="G1769" s="12" t="s">
        <v>3505</v>
      </c>
      <c r="H1769" s="12" t="s">
        <v>45</v>
      </c>
      <c r="I1769" s="12" t="s">
        <v>30</v>
      </c>
      <c r="J1769" s="13" t="s">
        <v>2944</v>
      </c>
      <c r="K1769" s="14" t="s">
        <v>11271</v>
      </c>
      <c r="L1769" s="15">
        <v>2</v>
      </c>
      <c r="M1769" s="15" t="s">
        <v>144</v>
      </c>
      <c r="N1769" s="16">
        <v>40806</v>
      </c>
      <c r="O1769" s="12" t="s">
        <v>11272</v>
      </c>
      <c r="P1769" s="14" t="s">
        <v>11273</v>
      </c>
      <c r="Q1769" s="17" t="s">
        <v>137</v>
      </c>
      <c r="R1769" s="17" t="s">
        <v>146</v>
      </c>
    </row>
    <row r="1770" spans="1:18" x14ac:dyDescent="0.3">
      <c r="A1770" s="12" t="s">
        <v>11274</v>
      </c>
      <c r="B1770" s="12" t="s">
        <v>12</v>
      </c>
      <c r="C1770" s="12"/>
      <c r="D1770" s="12" t="s">
        <v>12</v>
      </c>
      <c r="E1770" s="12" t="s">
        <v>3545</v>
      </c>
      <c r="F1770" s="12" t="s">
        <v>11266</v>
      </c>
      <c r="G1770" s="12" t="s">
        <v>3505</v>
      </c>
      <c r="H1770" s="12" t="s">
        <v>45</v>
      </c>
      <c r="I1770" s="12" t="s">
        <v>30</v>
      </c>
      <c r="J1770" s="13" t="s">
        <v>2944</v>
      </c>
      <c r="K1770" s="14" t="s">
        <v>11267</v>
      </c>
      <c r="L1770" s="15">
        <v>5</v>
      </c>
      <c r="M1770" s="15" t="s">
        <v>144</v>
      </c>
      <c r="N1770" s="16">
        <v>41691</v>
      </c>
      <c r="O1770" s="12" t="s">
        <v>11274</v>
      </c>
      <c r="P1770" s="14" t="s">
        <v>11275</v>
      </c>
      <c r="Q1770" s="17" t="s">
        <v>137</v>
      </c>
      <c r="R1770" s="17" t="s">
        <v>146</v>
      </c>
    </row>
    <row r="1771" spans="1:18" x14ac:dyDescent="0.3">
      <c r="A1771" s="12" t="s">
        <v>11276</v>
      </c>
      <c r="B1771" s="12" t="s">
        <v>12</v>
      </c>
      <c r="C1771" s="12"/>
      <c r="D1771" s="12" t="s">
        <v>12</v>
      </c>
      <c r="E1771" s="12" t="s">
        <v>11277</v>
      </c>
      <c r="F1771" s="12" t="s">
        <v>9217</v>
      </c>
      <c r="G1771" s="12" t="s">
        <v>3505</v>
      </c>
      <c r="H1771" s="12" t="s">
        <v>45</v>
      </c>
      <c r="I1771" s="12" t="s">
        <v>30</v>
      </c>
      <c r="J1771" s="13" t="s">
        <v>2944</v>
      </c>
      <c r="K1771" s="14" t="s">
        <v>11278</v>
      </c>
      <c r="L1771" s="15">
        <v>1</v>
      </c>
      <c r="M1771" s="15" t="s">
        <v>144</v>
      </c>
      <c r="N1771" s="16">
        <v>39436</v>
      </c>
      <c r="O1771" s="12" t="s">
        <v>11276</v>
      </c>
      <c r="P1771" s="14" t="s">
        <v>11279</v>
      </c>
      <c r="Q1771" s="17" t="s">
        <v>137</v>
      </c>
      <c r="R1771" s="17" t="s">
        <v>146</v>
      </c>
    </row>
    <row r="1772" spans="1:18" x14ac:dyDescent="0.3">
      <c r="A1772" s="12" t="s">
        <v>11280</v>
      </c>
      <c r="B1772" s="12" t="s">
        <v>12</v>
      </c>
      <c r="C1772" s="12"/>
      <c r="D1772" s="12" t="s">
        <v>12</v>
      </c>
      <c r="E1772" s="12" t="s">
        <v>11281</v>
      </c>
      <c r="F1772" s="12" t="s">
        <v>345</v>
      </c>
      <c r="G1772" s="12" t="s">
        <v>3505</v>
      </c>
      <c r="H1772" s="12" t="s">
        <v>45</v>
      </c>
      <c r="I1772" s="12" t="s">
        <v>30</v>
      </c>
      <c r="J1772" s="13" t="s">
        <v>2944</v>
      </c>
      <c r="K1772" s="14" t="s">
        <v>11282</v>
      </c>
      <c r="L1772" s="15">
        <v>2</v>
      </c>
      <c r="M1772" s="15" t="s">
        <v>144</v>
      </c>
      <c r="N1772" s="16">
        <v>43375</v>
      </c>
      <c r="O1772" s="12" t="s">
        <v>11283</v>
      </c>
      <c r="P1772" s="14" t="s">
        <v>11284</v>
      </c>
      <c r="Q1772" s="17" t="s">
        <v>137</v>
      </c>
      <c r="R1772" s="17" t="s">
        <v>146</v>
      </c>
    </row>
    <row r="1773" spans="1:18" x14ac:dyDescent="0.3">
      <c r="A1773" s="12" t="s">
        <v>11285</v>
      </c>
      <c r="B1773" s="12" t="s">
        <v>12</v>
      </c>
      <c r="C1773" s="12"/>
      <c r="D1773" s="12" t="s">
        <v>12</v>
      </c>
      <c r="E1773" s="12" t="s">
        <v>11281</v>
      </c>
      <c r="F1773" s="12" t="s">
        <v>1191</v>
      </c>
      <c r="G1773" s="12" t="s">
        <v>3505</v>
      </c>
      <c r="H1773" s="12" t="s">
        <v>45</v>
      </c>
      <c r="I1773" s="12" t="s">
        <v>30</v>
      </c>
      <c r="J1773" s="13" t="s">
        <v>2944</v>
      </c>
      <c r="K1773" s="14" t="s">
        <v>11282</v>
      </c>
      <c r="L1773" s="15">
        <v>2</v>
      </c>
      <c r="M1773" s="15" t="s">
        <v>144</v>
      </c>
      <c r="N1773" s="16">
        <v>39353</v>
      </c>
      <c r="O1773" s="12" t="s">
        <v>11285</v>
      </c>
      <c r="P1773" s="14" t="s">
        <v>11286</v>
      </c>
      <c r="Q1773" s="17" t="s">
        <v>137</v>
      </c>
      <c r="R1773" s="17" t="s">
        <v>146</v>
      </c>
    </row>
    <row r="1774" spans="1:18" x14ac:dyDescent="0.3">
      <c r="A1774" s="12" t="s">
        <v>11287</v>
      </c>
      <c r="B1774" s="12" t="s">
        <v>12</v>
      </c>
      <c r="C1774" s="12"/>
      <c r="D1774" s="12" t="s">
        <v>12</v>
      </c>
      <c r="E1774" s="12" t="s">
        <v>11288</v>
      </c>
      <c r="F1774" s="12"/>
      <c r="G1774" s="12" t="s">
        <v>3505</v>
      </c>
      <c r="H1774" s="12" t="s">
        <v>45</v>
      </c>
      <c r="I1774" s="12" t="s">
        <v>30</v>
      </c>
      <c r="J1774" s="13" t="s">
        <v>2944</v>
      </c>
      <c r="K1774" s="14" t="s">
        <v>11289</v>
      </c>
      <c r="L1774" s="15">
        <v>4</v>
      </c>
      <c r="M1774" s="15" t="s">
        <v>144</v>
      </c>
      <c r="N1774" s="16">
        <v>42053</v>
      </c>
      <c r="O1774" s="12" t="s">
        <v>11287</v>
      </c>
      <c r="P1774" s="14" t="s">
        <v>11290</v>
      </c>
      <c r="Q1774" s="17" t="s">
        <v>137</v>
      </c>
      <c r="R1774" s="17" t="s">
        <v>146</v>
      </c>
    </row>
    <row r="1775" spans="1:18" x14ac:dyDescent="0.3">
      <c r="A1775" s="12" t="s">
        <v>11291</v>
      </c>
      <c r="B1775" s="12" t="s">
        <v>10</v>
      </c>
      <c r="C1775" s="12" t="s">
        <v>14</v>
      </c>
      <c r="D1775" s="12" t="s">
        <v>702</v>
      </c>
      <c r="E1775" s="12" t="s">
        <v>3513</v>
      </c>
      <c r="F1775" s="12" t="s">
        <v>516</v>
      </c>
      <c r="G1775" s="12" t="s">
        <v>3505</v>
      </c>
      <c r="H1775" s="12" t="s">
        <v>45</v>
      </c>
      <c r="I1775" s="12" t="s">
        <v>30</v>
      </c>
      <c r="J1775" s="13" t="s">
        <v>2944</v>
      </c>
      <c r="K1775" s="14" t="s">
        <v>3525</v>
      </c>
      <c r="L1775" s="15">
        <v>22</v>
      </c>
      <c r="M1775" s="15" t="s">
        <v>220</v>
      </c>
      <c r="N1775" s="16">
        <v>40570</v>
      </c>
      <c r="O1775" s="12" t="s">
        <v>11291</v>
      </c>
      <c r="P1775" s="14" t="s">
        <v>11292</v>
      </c>
      <c r="Q1775" s="17" t="s">
        <v>137</v>
      </c>
      <c r="R1775" s="17" t="s">
        <v>146</v>
      </c>
    </row>
    <row r="1776" spans="1:18" x14ac:dyDescent="0.3">
      <c r="A1776" s="12" t="s">
        <v>11293</v>
      </c>
      <c r="B1776" s="12" t="s">
        <v>12</v>
      </c>
      <c r="C1776" s="12"/>
      <c r="D1776" s="12" t="s">
        <v>12</v>
      </c>
      <c r="E1776" s="12" t="s">
        <v>11294</v>
      </c>
      <c r="F1776" s="12"/>
      <c r="G1776" s="12" t="s">
        <v>3505</v>
      </c>
      <c r="H1776" s="12" t="s">
        <v>45</v>
      </c>
      <c r="I1776" s="12" t="s">
        <v>30</v>
      </c>
      <c r="J1776" s="13" t="s">
        <v>2944</v>
      </c>
      <c r="K1776" s="14" t="s">
        <v>11295</v>
      </c>
      <c r="L1776" s="15">
        <v>1</v>
      </c>
      <c r="M1776" s="15" t="s">
        <v>144</v>
      </c>
      <c r="N1776" s="16">
        <v>40198</v>
      </c>
      <c r="O1776" s="12" t="s">
        <v>11293</v>
      </c>
      <c r="P1776" s="14" t="s">
        <v>11296</v>
      </c>
      <c r="Q1776" s="17" t="s">
        <v>137</v>
      </c>
      <c r="R1776" s="17" t="s">
        <v>146</v>
      </c>
    </row>
    <row r="1777" spans="1:18" x14ac:dyDescent="0.3">
      <c r="A1777" s="12" t="s">
        <v>11297</v>
      </c>
      <c r="B1777" s="12" t="s">
        <v>12</v>
      </c>
      <c r="C1777" s="12"/>
      <c r="D1777" s="12" t="s">
        <v>12</v>
      </c>
      <c r="E1777" s="12" t="s">
        <v>11298</v>
      </c>
      <c r="F1777" s="12" t="s">
        <v>516</v>
      </c>
      <c r="G1777" s="12" t="s">
        <v>3505</v>
      </c>
      <c r="H1777" s="12" t="s">
        <v>45</v>
      </c>
      <c r="I1777" s="12" t="s">
        <v>30</v>
      </c>
      <c r="J1777" s="13" t="s">
        <v>2944</v>
      </c>
      <c r="K1777" s="14" t="s">
        <v>11299</v>
      </c>
      <c r="L1777" s="15">
        <v>2</v>
      </c>
      <c r="M1777" s="15" t="s">
        <v>144</v>
      </c>
      <c r="N1777" s="16">
        <v>39540</v>
      </c>
      <c r="O1777" s="12" t="s">
        <v>11297</v>
      </c>
      <c r="P1777" s="14" t="s">
        <v>11300</v>
      </c>
      <c r="Q1777" s="17" t="s">
        <v>137</v>
      </c>
      <c r="R1777" s="17" t="s">
        <v>146</v>
      </c>
    </row>
    <row r="1778" spans="1:18" x14ac:dyDescent="0.3">
      <c r="A1778" s="12" t="s">
        <v>11301</v>
      </c>
      <c r="B1778" s="12" t="s">
        <v>12</v>
      </c>
      <c r="C1778" s="12"/>
      <c r="D1778" s="12" t="s">
        <v>12</v>
      </c>
      <c r="E1778" s="12" t="s">
        <v>11298</v>
      </c>
      <c r="F1778" s="12" t="s">
        <v>516</v>
      </c>
      <c r="G1778" s="12" t="s">
        <v>3505</v>
      </c>
      <c r="H1778" s="12" t="s">
        <v>45</v>
      </c>
      <c r="I1778" s="12" t="s">
        <v>30</v>
      </c>
      <c r="J1778" s="13" t="s">
        <v>2944</v>
      </c>
      <c r="K1778" s="14" t="s">
        <v>11299</v>
      </c>
      <c r="L1778" s="15">
        <v>2</v>
      </c>
      <c r="M1778" s="15" t="s">
        <v>144</v>
      </c>
      <c r="N1778" s="16">
        <v>44065</v>
      </c>
      <c r="O1778" s="12" t="s">
        <v>11301</v>
      </c>
      <c r="P1778" s="14" t="s">
        <v>11302</v>
      </c>
      <c r="Q1778" s="17" t="s">
        <v>137</v>
      </c>
      <c r="R1778" s="17" t="s">
        <v>146</v>
      </c>
    </row>
    <row r="1779" spans="1:18" x14ac:dyDescent="0.3">
      <c r="A1779" s="12" t="s">
        <v>11303</v>
      </c>
      <c r="B1779" s="12" t="s">
        <v>12</v>
      </c>
      <c r="C1779" s="12"/>
      <c r="D1779" s="12" t="s">
        <v>12</v>
      </c>
      <c r="E1779" s="12" t="s">
        <v>11304</v>
      </c>
      <c r="F1779" s="12"/>
      <c r="G1779" s="12" t="s">
        <v>3505</v>
      </c>
      <c r="H1779" s="12" t="s">
        <v>45</v>
      </c>
      <c r="I1779" s="12" t="s">
        <v>30</v>
      </c>
      <c r="J1779" s="13" t="s">
        <v>2944</v>
      </c>
      <c r="K1779" s="14" t="s">
        <v>11305</v>
      </c>
      <c r="L1779" s="15">
        <v>2</v>
      </c>
      <c r="M1779" s="15" t="s">
        <v>144</v>
      </c>
      <c r="N1779" s="16">
        <v>39475</v>
      </c>
      <c r="O1779" s="12" t="s">
        <v>11303</v>
      </c>
      <c r="P1779" s="14" t="s">
        <v>11306</v>
      </c>
      <c r="Q1779" s="17" t="s">
        <v>137</v>
      </c>
      <c r="R1779" s="17" t="s">
        <v>146</v>
      </c>
    </row>
    <row r="1780" spans="1:18" x14ac:dyDescent="0.3">
      <c r="A1780" s="12" t="s">
        <v>11307</v>
      </c>
      <c r="B1780" s="12" t="s">
        <v>14</v>
      </c>
      <c r="C1780" s="12"/>
      <c r="D1780" s="12" t="s">
        <v>14</v>
      </c>
      <c r="E1780" s="12" t="s">
        <v>11308</v>
      </c>
      <c r="F1780" s="12" t="s">
        <v>467</v>
      </c>
      <c r="G1780" s="12" t="s">
        <v>3505</v>
      </c>
      <c r="H1780" s="12" t="s">
        <v>45</v>
      </c>
      <c r="I1780" s="12" t="s">
        <v>30</v>
      </c>
      <c r="J1780" s="13" t="s">
        <v>2944</v>
      </c>
      <c r="K1780" s="14" t="s">
        <v>11309</v>
      </c>
      <c r="L1780" s="15">
        <v>3</v>
      </c>
      <c r="M1780" s="15" t="s">
        <v>144</v>
      </c>
      <c r="N1780" s="16">
        <v>39610</v>
      </c>
      <c r="O1780" s="12" t="s">
        <v>11307</v>
      </c>
      <c r="P1780" s="14" t="s">
        <v>11310</v>
      </c>
      <c r="Q1780" s="17" t="s">
        <v>137</v>
      </c>
      <c r="R1780" s="17" t="s">
        <v>146</v>
      </c>
    </row>
    <row r="1781" spans="1:18" x14ac:dyDescent="0.3">
      <c r="A1781" s="12" t="s">
        <v>11311</v>
      </c>
      <c r="B1781" s="12" t="s">
        <v>12</v>
      </c>
      <c r="C1781" s="12"/>
      <c r="D1781" s="12" t="s">
        <v>12</v>
      </c>
      <c r="E1781" s="12" t="s">
        <v>11312</v>
      </c>
      <c r="F1781" s="12"/>
      <c r="G1781" s="12" t="s">
        <v>3505</v>
      </c>
      <c r="H1781" s="12" t="s">
        <v>45</v>
      </c>
      <c r="I1781" s="12" t="s">
        <v>30</v>
      </c>
      <c r="J1781" s="13" t="s">
        <v>2944</v>
      </c>
      <c r="K1781" s="14" t="s">
        <v>11313</v>
      </c>
      <c r="L1781" s="15">
        <v>2</v>
      </c>
      <c r="M1781" s="15" t="s">
        <v>144</v>
      </c>
      <c r="N1781" s="16">
        <v>43626</v>
      </c>
      <c r="O1781" s="12" t="s">
        <v>11311</v>
      </c>
      <c r="P1781" s="14" t="s">
        <v>11314</v>
      </c>
      <c r="Q1781" s="17" t="s">
        <v>137</v>
      </c>
      <c r="R1781" s="17" t="s">
        <v>146</v>
      </c>
    </row>
    <row r="1782" spans="1:18" x14ac:dyDescent="0.3">
      <c r="A1782" s="12" t="s">
        <v>11315</v>
      </c>
      <c r="B1782" s="12" t="s">
        <v>12</v>
      </c>
      <c r="C1782" s="12"/>
      <c r="D1782" s="12" t="s">
        <v>12</v>
      </c>
      <c r="E1782" s="12" t="s">
        <v>11316</v>
      </c>
      <c r="F1782" s="12"/>
      <c r="G1782" s="12" t="s">
        <v>11317</v>
      </c>
      <c r="H1782" s="12" t="s">
        <v>45</v>
      </c>
      <c r="I1782" s="12" t="s">
        <v>30</v>
      </c>
      <c r="J1782" s="13" t="s">
        <v>11318</v>
      </c>
      <c r="K1782" s="14" t="s">
        <v>11319</v>
      </c>
      <c r="L1782" s="15">
        <v>0</v>
      </c>
      <c r="M1782" s="15" t="s">
        <v>144</v>
      </c>
      <c r="N1782" s="16">
        <v>43844</v>
      </c>
      <c r="O1782" s="12" t="s">
        <v>11315</v>
      </c>
      <c r="P1782" s="14" t="s">
        <v>11320</v>
      </c>
      <c r="Q1782" s="17" t="s">
        <v>137</v>
      </c>
      <c r="R1782" s="17" t="s">
        <v>146</v>
      </c>
    </row>
    <row r="1783" spans="1:18" x14ac:dyDescent="0.3">
      <c r="A1783" s="12" t="s">
        <v>11321</v>
      </c>
      <c r="B1783" s="12" t="s">
        <v>12</v>
      </c>
      <c r="C1783" s="12"/>
      <c r="D1783" s="12" t="s">
        <v>12</v>
      </c>
      <c r="E1783" s="12" t="s">
        <v>11322</v>
      </c>
      <c r="F1783" s="12"/>
      <c r="G1783" s="12" t="s">
        <v>11323</v>
      </c>
      <c r="H1783" s="12" t="s">
        <v>107</v>
      </c>
      <c r="I1783" s="12" t="s">
        <v>30</v>
      </c>
      <c r="J1783" s="13" t="s">
        <v>11324</v>
      </c>
      <c r="K1783" s="14" t="s">
        <v>11325</v>
      </c>
      <c r="L1783" s="15">
        <v>1</v>
      </c>
      <c r="M1783" s="15" t="s">
        <v>144</v>
      </c>
      <c r="N1783" s="16">
        <v>40779</v>
      </c>
      <c r="O1783" s="12" t="s">
        <v>11321</v>
      </c>
      <c r="P1783" s="14" t="s">
        <v>11326</v>
      </c>
      <c r="Q1783" s="17" t="s">
        <v>137</v>
      </c>
      <c r="R1783" s="17" t="s">
        <v>146</v>
      </c>
    </row>
    <row r="1784" spans="1:18" x14ac:dyDescent="0.3">
      <c r="A1784" s="12" t="s">
        <v>11327</v>
      </c>
      <c r="B1784" s="12" t="s">
        <v>12</v>
      </c>
      <c r="C1784" s="12"/>
      <c r="D1784" s="12" t="s">
        <v>12</v>
      </c>
      <c r="E1784" s="12" t="s">
        <v>11328</v>
      </c>
      <c r="F1784" s="12"/>
      <c r="G1784" s="12" t="s">
        <v>3579</v>
      </c>
      <c r="H1784" s="12" t="s">
        <v>48</v>
      </c>
      <c r="I1784" s="12" t="s">
        <v>30</v>
      </c>
      <c r="J1784" s="13" t="s">
        <v>3580</v>
      </c>
      <c r="K1784" s="14" t="s">
        <v>11329</v>
      </c>
      <c r="L1784" s="15">
        <v>1</v>
      </c>
      <c r="M1784" s="15" t="s">
        <v>144</v>
      </c>
      <c r="N1784" s="16">
        <v>39631</v>
      </c>
      <c r="O1784" s="12" t="s">
        <v>11327</v>
      </c>
      <c r="P1784" s="14" t="s">
        <v>11330</v>
      </c>
      <c r="Q1784" s="17" t="s">
        <v>137</v>
      </c>
      <c r="R1784" s="17" t="s">
        <v>146</v>
      </c>
    </row>
    <row r="1785" spans="1:18" x14ac:dyDescent="0.3">
      <c r="A1785" s="12" t="s">
        <v>11331</v>
      </c>
      <c r="B1785" s="12" t="s">
        <v>12</v>
      </c>
      <c r="C1785" s="12"/>
      <c r="D1785" s="12" t="s">
        <v>12</v>
      </c>
      <c r="E1785" s="12" t="s">
        <v>11332</v>
      </c>
      <c r="F1785" s="12"/>
      <c r="G1785" s="12" t="s">
        <v>3579</v>
      </c>
      <c r="H1785" s="12" t="s">
        <v>48</v>
      </c>
      <c r="I1785" s="12" t="s">
        <v>30</v>
      </c>
      <c r="J1785" s="13" t="s">
        <v>3580</v>
      </c>
      <c r="K1785" s="14" t="s">
        <v>11333</v>
      </c>
      <c r="L1785" s="15">
        <v>1</v>
      </c>
      <c r="M1785" s="15" t="s">
        <v>144</v>
      </c>
      <c r="N1785" s="16">
        <v>42305</v>
      </c>
      <c r="O1785" s="12" t="s">
        <v>11331</v>
      </c>
      <c r="P1785" s="14" t="s">
        <v>11334</v>
      </c>
      <c r="Q1785" s="17" t="s">
        <v>137</v>
      </c>
      <c r="R1785" s="17" t="s">
        <v>146</v>
      </c>
    </row>
    <row r="1786" spans="1:18" x14ac:dyDescent="0.3">
      <c r="A1786" s="12" t="s">
        <v>11335</v>
      </c>
      <c r="B1786" s="12" t="s">
        <v>12</v>
      </c>
      <c r="C1786" s="12"/>
      <c r="D1786" s="12" t="s">
        <v>12</v>
      </c>
      <c r="E1786" s="12" t="s">
        <v>11336</v>
      </c>
      <c r="F1786" s="12"/>
      <c r="G1786" s="12" t="s">
        <v>11337</v>
      </c>
      <c r="H1786" s="12" t="s">
        <v>48</v>
      </c>
      <c r="I1786" s="12" t="s">
        <v>30</v>
      </c>
      <c r="J1786" s="13" t="s">
        <v>11338</v>
      </c>
      <c r="K1786" s="14" t="s">
        <v>11339</v>
      </c>
      <c r="L1786" s="15">
        <v>1</v>
      </c>
      <c r="M1786" s="15" t="s">
        <v>144</v>
      </c>
      <c r="N1786" s="16">
        <v>44560</v>
      </c>
      <c r="O1786" s="12" t="s">
        <v>11335</v>
      </c>
      <c r="P1786" s="14" t="s">
        <v>11340</v>
      </c>
      <c r="Q1786" s="17" t="s">
        <v>137</v>
      </c>
      <c r="R1786" s="17" t="s">
        <v>146</v>
      </c>
    </row>
    <row r="1787" spans="1:18" x14ac:dyDescent="0.3">
      <c r="A1787" s="12" t="s">
        <v>11341</v>
      </c>
      <c r="B1787" s="12" t="s">
        <v>12</v>
      </c>
      <c r="C1787" s="12"/>
      <c r="D1787" s="12" t="s">
        <v>12</v>
      </c>
      <c r="E1787" s="12" t="s">
        <v>11342</v>
      </c>
      <c r="F1787" s="12"/>
      <c r="G1787" s="12" t="s">
        <v>3586</v>
      </c>
      <c r="H1787" s="12" t="s">
        <v>48</v>
      </c>
      <c r="I1787" s="12" t="s">
        <v>30</v>
      </c>
      <c r="J1787" s="13" t="s">
        <v>3587</v>
      </c>
      <c r="K1787" s="14" t="s">
        <v>11343</v>
      </c>
      <c r="L1787" s="15">
        <v>0</v>
      </c>
      <c r="M1787" s="15" t="s">
        <v>144</v>
      </c>
      <c r="N1787" s="16">
        <v>40169</v>
      </c>
      <c r="O1787" s="12" t="s">
        <v>11341</v>
      </c>
      <c r="P1787" s="14" t="s">
        <v>11344</v>
      </c>
      <c r="Q1787" s="17" t="s">
        <v>137</v>
      </c>
      <c r="R1787" s="17" t="s">
        <v>146</v>
      </c>
    </row>
    <row r="1788" spans="1:18" x14ac:dyDescent="0.3">
      <c r="A1788" s="12" t="s">
        <v>11345</v>
      </c>
      <c r="B1788" s="12" t="s">
        <v>12</v>
      </c>
      <c r="C1788" s="12"/>
      <c r="D1788" s="12" t="s">
        <v>12</v>
      </c>
      <c r="E1788" s="12" t="s">
        <v>11346</v>
      </c>
      <c r="F1788" s="12"/>
      <c r="G1788" s="12" t="s">
        <v>3586</v>
      </c>
      <c r="H1788" s="12" t="s">
        <v>48</v>
      </c>
      <c r="I1788" s="12" t="s">
        <v>30</v>
      </c>
      <c r="J1788" s="13" t="s">
        <v>3587</v>
      </c>
      <c r="K1788" s="14" t="s">
        <v>11347</v>
      </c>
      <c r="L1788" s="15">
        <v>1</v>
      </c>
      <c r="M1788" s="15" t="s">
        <v>144</v>
      </c>
      <c r="N1788" s="16">
        <v>42422</v>
      </c>
      <c r="O1788" s="12" t="s">
        <v>11345</v>
      </c>
      <c r="P1788" s="14" t="s">
        <v>11348</v>
      </c>
      <c r="Q1788" s="17" t="s">
        <v>137</v>
      </c>
      <c r="R1788" s="17" t="s">
        <v>146</v>
      </c>
    </row>
    <row r="1789" spans="1:18" x14ac:dyDescent="0.3">
      <c r="A1789" s="12" t="s">
        <v>11349</v>
      </c>
      <c r="B1789" s="12" t="s">
        <v>12</v>
      </c>
      <c r="C1789" s="12"/>
      <c r="D1789" s="12" t="s">
        <v>12</v>
      </c>
      <c r="E1789" s="12" t="s">
        <v>11350</v>
      </c>
      <c r="F1789" s="12"/>
      <c r="G1789" s="12" t="s">
        <v>3586</v>
      </c>
      <c r="H1789" s="12" t="s">
        <v>48</v>
      </c>
      <c r="I1789" s="12" t="s">
        <v>30</v>
      </c>
      <c r="J1789" s="13" t="s">
        <v>3587</v>
      </c>
      <c r="K1789" s="14" t="s">
        <v>11351</v>
      </c>
      <c r="L1789" s="15">
        <v>2</v>
      </c>
      <c r="M1789" s="15" t="s">
        <v>144</v>
      </c>
      <c r="N1789" s="16">
        <v>43721</v>
      </c>
      <c r="O1789" s="12" t="s">
        <v>11349</v>
      </c>
      <c r="P1789" s="14" t="s">
        <v>11352</v>
      </c>
      <c r="Q1789" s="17" t="s">
        <v>137</v>
      </c>
      <c r="R1789" s="17" t="s">
        <v>146</v>
      </c>
    </row>
    <row r="1790" spans="1:18" x14ac:dyDescent="0.3">
      <c r="A1790" s="12" t="s">
        <v>11353</v>
      </c>
      <c r="B1790" s="12" t="s">
        <v>12</v>
      </c>
      <c r="C1790" s="12"/>
      <c r="D1790" s="12" t="s">
        <v>12</v>
      </c>
      <c r="E1790" s="12" t="s">
        <v>11354</v>
      </c>
      <c r="F1790" s="12"/>
      <c r="G1790" s="12" t="s">
        <v>3586</v>
      </c>
      <c r="H1790" s="12" t="s">
        <v>48</v>
      </c>
      <c r="I1790" s="12" t="s">
        <v>30</v>
      </c>
      <c r="J1790" s="13" t="s">
        <v>3587</v>
      </c>
      <c r="K1790" s="14" t="s">
        <v>11355</v>
      </c>
      <c r="L1790" s="15">
        <v>1</v>
      </c>
      <c r="M1790" s="15" t="s">
        <v>144</v>
      </c>
      <c r="N1790" s="16">
        <v>40814</v>
      </c>
      <c r="O1790" s="12" t="s">
        <v>11356</v>
      </c>
      <c r="P1790" s="14" t="s">
        <v>11357</v>
      </c>
      <c r="Q1790" s="17" t="s">
        <v>137</v>
      </c>
      <c r="R1790" s="17" t="s">
        <v>146</v>
      </c>
    </row>
    <row r="1791" spans="1:18" x14ac:dyDescent="0.3">
      <c r="A1791" s="12" t="s">
        <v>11358</v>
      </c>
      <c r="B1791" s="12" t="s">
        <v>12</v>
      </c>
      <c r="C1791" s="12"/>
      <c r="D1791" s="12" t="s">
        <v>12</v>
      </c>
      <c r="E1791" s="12" t="s">
        <v>3609</v>
      </c>
      <c r="F1791" s="12"/>
      <c r="G1791" s="12" t="s">
        <v>3586</v>
      </c>
      <c r="H1791" s="12" t="s">
        <v>48</v>
      </c>
      <c r="I1791" s="12" t="s">
        <v>30</v>
      </c>
      <c r="J1791" s="13" t="s">
        <v>3587</v>
      </c>
      <c r="K1791" s="14" t="s">
        <v>3610</v>
      </c>
      <c r="L1791" s="15">
        <v>1</v>
      </c>
      <c r="M1791" s="15" t="s">
        <v>144</v>
      </c>
      <c r="N1791" s="16">
        <v>40225</v>
      </c>
      <c r="O1791" s="12" t="s">
        <v>11358</v>
      </c>
      <c r="P1791" s="14" t="s">
        <v>11359</v>
      </c>
      <c r="Q1791" s="17" t="s">
        <v>137</v>
      </c>
      <c r="R1791" s="17" t="s">
        <v>146</v>
      </c>
    </row>
    <row r="1792" spans="1:18" x14ac:dyDescent="0.3">
      <c r="A1792" s="12" t="s">
        <v>11360</v>
      </c>
      <c r="B1792" s="12" t="s">
        <v>12</v>
      </c>
      <c r="C1792" s="12"/>
      <c r="D1792" s="12" t="s">
        <v>12</v>
      </c>
      <c r="E1792" s="12" t="s">
        <v>11361</v>
      </c>
      <c r="F1792" s="12"/>
      <c r="G1792" s="12" t="s">
        <v>3586</v>
      </c>
      <c r="H1792" s="12" t="s">
        <v>48</v>
      </c>
      <c r="I1792" s="12" t="s">
        <v>30</v>
      </c>
      <c r="J1792" s="13" t="s">
        <v>3587</v>
      </c>
      <c r="K1792" s="14" t="s">
        <v>11362</v>
      </c>
      <c r="L1792" s="15">
        <v>0</v>
      </c>
      <c r="M1792" s="15" t="s">
        <v>144</v>
      </c>
      <c r="N1792" s="16">
        <v>42215</v>
      </c>
      <c r="O1792" s="12" t="s">
        <v>11360</v>
      </c>
      <c r="P1792" s="14" t="s">
        <v>11363</v>
      </c>
      <c r="Q1792" s="17" t="s">
        <v>137</v>
      </c>
      <c r="R1792" s="17" t="s">
        <v>146</v>
      </c>
    </row>
    <row r="1793" spans="1:18" x14ac:dyDescent="0.3">
      <c r="A1793" s="12" t="s">
        <v>10458</v>
      </c>
      <c r="B1793" s="12" t="s">
        <v>10</v>
      </c>
      <c r="C1793" s="12"/>
      <c r="D1793" s="12" t="s">
        <v>647</v>
      </c>
      <c r="E1793" s="12" t="s">
        <v>11364</v>
      </c>
      <c r="F1793" s="12"/>
      <c r="G1793" s="12" t="s">
        <v>3586</v>
      </c>
      <c r="H1793" s="12" t="s">
        <v>48</v>
      </c>
      <c r="I1793" s="12" t="s">
        <v>30</v>
      </c>
      <c r="J1793" s="13" t="s">
        <v>3587</v>
      </c>
      <c r="K1793" s="14" t="s">
        <v>11365</v>
      </c>
      <c r="L1793" s="15">
        <v>0</v>
      </c>
      <c r="M1793" s="15" t="s">
        <v>144</v>
      </c>
      <c r="N1793" s="16">
        <v>40169</v>
      </c>
      <c r="O1793" s="12" t="s">
        <v>10460</v>
      </c>
      <c r="P1793" s="14" t="s">
        <v>11366</v>
      </c>
      <c r="Q1793" s="17" t="s">
        <v>137</v>
      </c>
      <c r="R1793" s="17" t="s">
        <v>146</v>
      </c>
    </row>
    <row r="1794" spans="1:18" x14ac:dyDescent="0.3">
      <c r="A1794" s="12" t="s">
        <v>11367</v>
      </c>
      <c r="B1794" s="12" t="s">
        <v>12</v>
      </c>
      <c r="C1794" s="12"/>
      <c r="D1794" s="12" t="s">
        <v>12</v>
      </c>
      <c r="E1794" s="12" t="s">
        <v>11368</v>
      </c>
      <c r="F1794" s="12"/>
      <c r="G1794" s="12" t="s">
        <v>3586</v>
      </c>
      <c r="H1794" s="12" t="s">
        <v>48</v>
      </c>
      <c r="I1794" s="12" t="s">
        <v>30</v>
      </c>
      <c r="J1794" s="13" t="s">
        <v>3587</v>
      </c>
      <c r="K1794" s="14" t="s">
        <v>11369</v>
      </c>
      <c r="L1794" s="15">
        <v>2</v>
      </c>
      <c r="M1794" s="15" t="s">
        <v>144</v>
      </c>
      <c r="N1794" s="16">
        <v>39505</v>
      </c>
      <c r="O1794" s="12" t="s">
        <v>11367</v>
      </c>
      <c r="P1794" s="14" t="s">
        <v>11370</v>
      </c>
      <c r="Q1794" s="17" t="s">
        <v>137</v>
      </c>
      <c r="R1794" s="17" t="s">
        <v>146</v>
      </c>
    </row>
    <row r="1795" spans="1:18" x14ac:dyDescent="0.3">
      <c r="A1795" s="12" t="s">
        <v>11371</v>
      </c>
      <c r="B1795" s="12" t="s">
        <v>12</v>
      </c>
      <c r="C1795" s="12"/>
      <c r="D1795" s="12" t="s">
        <v>12</v>
      </c>
      <c r="E1795" s="12" t="s">
        <v>11372</v>
      </c>
      <c r="F1795" s="12"/>
      <c r="G1795" s="12" t="s">
        <v>3586</v>
      </c>
      <c r="H1795" s="12" t="s">
        <v>48</v>
      </c>
      <c r="I1795" s="12" t="s">
        <v>30</v>
      </c>
      <c r="J1795" s="13" t="s">
        <v>3587</v>
      </c>
      <c r="K1795" s="14" t="s">
        <v>11373</v>
      </c>
      <c r="L1795" s="15">
        <v>0</v>
      </c>
      <c r="M1795" s="15" t="s">
        <v>144</v>
      </c>
      <c r="N1795" s="16">
        <v>40997</v>
      </c>
      <c r="O1795" s="12" t="s">
        <v>11371</v>
      </c>
      <c r="P1795" s="14" t="s">
        <v>11374</v>
      </c>
      <c r="Q1795" s="17" t="s">
        <v>137</v>
      </c>
      <c r="R1795" s="17" t="s">
        <v>146</v>
      </c>
    </row>
    <row r="1796" spans="1:18" x14ac:dyDescent="0.3">
      <c r="A1796" s="12" t="s">
        <v>11375</v>
      </c>
      <c r="B1796" s="12" t="s">
        <v>12</v>
      </c>
      <c r="C1796" s="12"/>
      <c r="D1796" s="12" t="s">
        <v>12</v>
      </c>
      <c r="E1796" s="12" t="s">
        <v>11376</v>
      </c>
      <c r="F1796" s="12"/>
      <c r="G1796" s="12" t="s">
        <v>3586</v>
      </c>
      <c r="H1796" s="12" t="s">
        <v>48</v>
      </c>
      <c r="I1796" s="12" t="s">
        <v>30</v>
      </c>
      <c r="J1796" s="13" t="s">
        <v>3587</v>
      </c>
      <c r="K1796" s="14" t="s">
        <v>11377</v>
      </c>
      <c r="L1796" s="15">
        <v>0</v>
      </c>
      <c r="M1796" s="15" t="s">
        <v>144</v>
      </c>
      <c r="N1796" s="16">
        <v>44065</v>
      </c>
      <c r="O1796" s="12" t="s">
        <v>11375</v>
      </c>
      <c r="P1796" s="14" t="s">
        <v>11378</v>
      </c>
      <c r="Q1796" s="17" t="s">
        <v>137</v>
      </c>
      <c r="R1796" s="17" t="s">
        <v>146</v>
      </c>
    </row>
    <row r="1797" spans="1:18" x14ac:dyDescent="0.3">
      <c r="A1797" s="12" t="s">
        <v>11379</v>
      </c>
      <c r="B1797" s="12" t="s">
        <v>12</v>
      </c>
      <c r="C1797" s="12"/>
      <c r="D1797" s="12" t="s">
        <v>12</v>
      </c>
      <c r="E1797" s="12" t="s">
        <v>11380</v>
      </c>
      <c r="F1797" s="12"/>
      <c r="G1797" s="12" t="s">
        <v>11381</v>
      </c>
      <c r="H1797" s="12" t="s">
        <v>48</v>
      </c>
      <c r="I1797" s="12" t="s">
        <v>30</v>
      </c>
      <c r="J1797" s="13" t="s">
        <v>11382</v>
      </c>
      <c r="K1797" s="14" t="s">
        <v>11383</v>
      </c>
      <c r="L1797" s="15">
        <v>1</v>
      </c>
      <c r="M1797" s="15" t="s">
        <v>144</v>
      </c>
      <c r="N1797" s="16">
        <v>44096</v>
      </c>
      <c r="O1797" s="12" t="s">
        <v>11379</v>
      </c>
      <c r="P1797" s="14" t="s">
        <v>11384</v>
      </c>
      <c r="Q1797" s="17" t="s">
        <v>137</v>
      </c>
      <c r="R1797" s="17" t="s">
        <v>146</v>
      </c>
    </row>
    <row r="1798" spans="1:18" x14ac:dyDescent="0.3">
      <c r="A1798" s="12" t="s">
        <v>11385</v>
      </c>
      <c r="B1798" s="12" t="s">
        <v>12</v>
      </c>
      <c r="C1798" s="12"/>
      <c r="D1798" s="12" t="s">
        <v>12</v>
      </c>
      <c r="E1798" s="12" t="s">
        <v>11386</v>
      </c>
      <c r="F1798" s="12"/>
      <c r="G1798" s="12" t="s">
        <v>11381</v>
      </c>
      <c r="H1798" s="12" t="s">
        <v>48</v>
      </c>
      <c r="I1798" s="12" t="s">
        <v>30</v>
      </c>
      <c r="J1798" s="13" t="s">
        <v>11382</v>
      </c>
      <c r="K1798" s="14" t="s">
        <v>11383</v>
      </c>
      <c r="L1798" s="15">
        <v>1</v>
      </c>
      <c r="M1798" s="15" t="s">
        <v>144</v>
      </c>
      <c r="N1798" s="16">
        <v>40235</v>
      </c>
      <c r="O1798" s="12" t="s">
        <v>11387</v>
      </c>
      <c r="P1798" s="14" t="s">
        <v>11388</v>
      </c>
      <c r="Q1798" s="17" t="s">
        <v>137</v>
      </c>
      <c r="R1798" s="17" t="s">
        <v>146</v>
      </c>
    </row>
    <row r="1799" spans="1:18" x14ac:dyDescent="0.3">
      <c r="A1799" s="12" t="s">
        <v>11389</v>
      </c>
      <c r="B1799" s="12" t="s">
        <v>14</v>
      </c>
      <c r="C1799" s="12"/>
      <c r="D1799" s="12" t="s">
        <v>14</v>
      </c>
      <c r="E1799" s="12" t="s">
        <v>11390</v>
      </c>
      <c r="F1799" s="12"/>
      <c r="G1799" s="12" t="s">
        <v>11391</v>
      </c>
      <c r="H1799" s="12" t="s">
        <v>48</v>
      </c>
      <c r="I1799" s="12" t="s">
        <v>30</v>
      </c>
      <c r="J1799" s="13" t="s">
        <v>11392</v>
      </c>
      <c r="K1799" s="14" t="s">
        <v>11393</v>
      </c>
      <c r="L1799" s="15">
        <v>0</v>
      </c>
      <c r="M1799" s="15" t="s">
        <v>144</v>
      </c>
      <c r="N1799" s="16">
        <v>44166</v>
      </c>
      <c r="O1799" s="12" t="s">
        <v>11394</v>
      </c>
      <c r="P1799" s="14" t="s">
        <v>11395</v>
      </c>
      <c r="Q1799" s="17" t="s">
        <v>137</v>
      </c>
      <c r="R1799" s="17" t="s">
        <v>146</v>
      </c>
    </row>
    <row r="1800" spans="1:18" x14ac:dyDescent="0.3">
      <c r="A1800" s="12" t="s">
        <v>11396</v>
      </c>
      <c r="B1800" s="12" t="s">
        <v>12</v>
      </c>
      <c r="C1800" s="12"/>
      <c r="D1800" s="12" t="s">
        <v>12</v>
      </c>
      <c r="E1800" s="12" t="s">
        <v>11397</v>
      </c>
      <c r="F1800" s="12"/>
      <c r="G1800" s="12" t="s">
        <v>11391</v>
      </c>
      <c r="H1800" s="12" t="s">
        <v>48</v>
      </c>
      <c r="I1800" s="12" t="s">
        <v>30</v>
      </c>
      <c r="J1800" s="13" t="s">
        <v>11392</v>
      </c>
      <c r="K1800" s="14" t="s">
        <v>11398</v>
      </c>
      <c r="L1800" s="15">
        <v>0</v>
      </c>
      <c r="M1800" s="15" t="s">
        <v>144</v>
      </c>
      <c r="N1800" s="16">
        <v>39889</v>
      </c>
      <c r="O1800" s="12" t="s">
        <v>11396</v>
      </c>
      <c r="P1800" s="14" t="s">
        <v>11399</v>
      </c>
      <c r="Q1800" s="17" t="s">
        <v>137</v>
      </c>
      <c r="R1800" s="17" t="s">
        <v>146</v>
      </c>
    </row>
    <row r="1801" spans="1:18" x14ac:dyDescent="0.3">
      <c r="A1801" s="12" t="s">
        <v>11400</v>
      </c>
      <c r="B1801" s="12" t="s">
        <v>12</v>
      </c>
      <c r="C1801" s="12"/>
      <c r="D1801" s="12" t="s">
        <v>12</v>
      </c>
      <c r="E1801" s="12" t="s">
        <v>11401</v>
      </c>
      <c r="F1801" s="12"/>
      <c r="G1801" s="12" t="s">
        <v>11402</v>
      </c>
      <c r="H1801" s="12" t="s">
        <v>48</v>
      </c>
      <c r="I1801" s="12" t="s">
        <v>30</v>
      </c>
      <c r="J1801" s="13" t="s">
        <v>11403</v>
      </c>
      <c r="K1801" s="14" t="s">
        <v>11404</v>
      </c>
      <c r="L1801" s="15">
        <v>1</v>
      </c>
      <c r="M1801" s="15" t="s">
        <v>144</v>
      </c>
      <c r="N1801" s="16">
        <v>42705</v>
      </c>
      <c r="O1801" s="12" t="s">
        <v>11400</v>
      </c>
      <c r="P1801" s="14" t="s">
        <v>11405</v>
      </c>
      <c r="Q1801" s="17" t="s">
        <v>137</v>
      </c>
      <c r="R1801" s="17" t="s">
        <v>146</v>
      </c>
    </row>
    <row r="1802" spans="1:18" x14ac:dyDescent="0.3">
      <c r="A1802" s="12" t="s">
        <v>889</v>
      </c>
      <c r="B1802" s="12" t="s">
        <v>14</v>
      </c>
      <c r="C1802" s="12"/>
      <c r="D1802" s="12" t="s">
        <v>14</v>
      </c>
      <c r="E1802" s="12" t="s">
        <v>11406</v>
      </c>
      <c r="F1802" s="12"/>
      <c r="G1802" s="12" t="s">
        <v>3617</v>
      </c>
      <c r="H1802" s="12" t="s">
        <v>48</v>
      </c>
      <c r="I1802" s="12" t="s">
        <v>30</v>
      </c>
      <c r="J1802" s="13" t="s">
        <v>3618</v>
      </c>
      <c r="K1802" s="14" t="s">
        <v>11407</v>
      </c>
      <c r="L1802" s="15">
        <v>1</v>
      </c>
      <c r="M1802" s="15" t="s">
        <v>144</v>
      </c>
      <c r="N1802" s="16">
        <v>39519</v>
      </c>
      <c r="O1802" s="12" t="s">
        <v>889</v>
      </c>
      <c r="P1802" s="14" t="s">
        <v>11408</v>
      </c>
      <c r="Q1802" s="17" t="s">
        <v>137</v>
      </c>
      <c r="R1802" s="17" t="s">
        <v>146</v>
      </c>
    </row>
    <row r="1803" spans="1:18" x14ac:dyDescent="0.3">
      <c r="A1803" s="12" t="s">
        <v>11409</v>
      </c>
      <c r="B1803" s="12" t="s">
        <v>12</v>
      </c>
      <c r="C1803" s="12"/>
      <c r="D1803" s="12" t="s">
        <v>12</v>
      </c>
      <c r="E1803" s="12" t="s">
        <v>11410</v>
      </c>
      <c r="F1803" s="12"/>
      <c r="G1803" s="12" t="s">
        <v>3622</v>
      </c>
      <c r="H1803" s="12" t="s">
        <v>48</v>
      </c>
      <c r="I1803" s="12" t="s">
        <v>30</v>
      </c>
      <c r="J1803" s="13" t="s">
        <v>3623</v>
      </c>
      <c r="K1803" s="14" t="s">
        <v>11411</v>
      </c>
      <c r="L1803" s="15">
        <v>3</v>
      </c>
      <c r="M1803" s="15" t="s">
        <v>144</v>
      </c>
      <c r="N1803" s="16">
        <v>43049</v>
      </c>
      <c r="O1803" s="12" t="s">
        <v>11409</v>
      </c>
      <c r="P1803" s="14" t="s">
        <v>11412</v>
      </c>
      <c r="Q1803" s="17" t="s">
        <v>137</v>
      </c>
      <c r="R1803" s="17" t="s">
        <v>146</v>
      </c>
    </row>
    <row r="1804" spans="1:18" x14ac:dyDescent="0.3">
      <c r="A1804" s="12" t="s">
        <v>11413</v>
      </c>
      <c r="B1804" s="12" t="s">
        <v>14</v>
      </c>
      <c r="C1804" s="12"/>
      <c r="D1804" s="12" t="s">
        <v>14</v>
      </c>
      <c r="E1804" s="12" t="s">
        <v>11414</v>
      </c>
      <c r="F1804" s="12"/>
      <c r="G1804" s="12" t="s">
        <v>3622</v>
      </c>
      <c r="H1804" s="12" t="s">
        <v>48</v>
      </c>
      <c r="I1804" s="12" t="s">
        <v>30</v>
      </c>
      <c r="J1804" s="13" t="s">
        <v>3623</v>
      </c>
      <c r="K1804" s="14" t="s">
        <v>11415</v>
      </c>
      <c r="L1804" s="15">
        <v>0</v>
      </c>
      <c r="M1804" s="15" t="s">
        <v>144</v>
      </c>
      <c r="N1804" s="16">
        <v>43053</v>
      </c>
      <c r="O1804" s="12" t="s">
        <v>11413</v>
      </c>
      <c r="P1804" s="14" t="s">
        <v>11416</v>
      </c>
      <c r="Q1804" s="17" t="s">
        <v>137</v>
      </c>
      <c r="R1804" s="17" t="s">
        <v>146</v>
      </c>
    </row>
    <row r="1805" spans="1:18" x14ac:dyDescent="0.3">
      <c r="A1805" s="12" t="s">
        <v>11417</v>
      </c>
      <c r="B1805" s="12" t="s">
        <v>12</v>
      </c>
      <c r="C1805" s="12"/>
      <c r="D1805" s="12" t="s">
        <v>12</v>
      </c>
      <c r="E1805" s="12" t="s">
        <v>11418</v>
      </c>
      <c r="F1805" s="12"/>
      <c r="G1805" s="12" t="s">
        <v>3622</v>
      </c>
      <c r="H1805" s="12" t="s">
        <v>48</v>
      </c>
      <c r="I1805" s="12" t="s">
        <v>30</v>
      </c>
      <c r="J1805" s="13" t="s">
        <v>3623</v>
      </c>
      <c r="K1805" s="14" t="s">
        <v>11419</v>
      </c>
      <c r="L1805" s="15">
        <v>1</v>
      </c>
      <c r="M1805" s="15" t="s">
        <v>144</v>
      </c>
      <c r="N1805" s="16">
        <v>40802</v>
      </c>
      <c r="O1805" s="12" t="s">
        <v>11417</v>
      </c>
      <c r="P1805" s="14" t="s">
        <v>11420</v>
      </c>
      <c r="Q1805" s="17" t="s">
        <v>137</v>
      </c>
      <c r="R1805" s="17" t="s">
        <v>146</v>
      </c>
    </row>
    <row r="1806" spans="1:18" x14ac:dyDescent="0.3">
      <c r="A1806" s="12" t="s">
        <v>11421</v>
      </c>
      <c r="B1806" s="12" t="s">
        <v>12</v>
      </c>
      <c r="C1806" s="12"/>
      <c r="D1806" s="12" t="s">
        <v>12</v>
      </c>
      <c r="E1806" s="12" t="s">
        <v>11422</v>
      </c>
      <c r="F1806" s="12"/>
      <c r="G1806" s="12" t="s">
        <v>3622</v>
      </c>
      <c r="H1806" s="12" t="s">
        <v>48</v>
      </c>
      <c r="I1806" s="12" t="s">
        <v>30</v>
      </c>
      <c r="J1806" s="13" t="s">
        <v>3623</v>
      </c>
      <c r="K1806" s="14" t="s">
        <v>11423</v>
      </c>
      <c r="L1806" s="15">
        <v>1</v>
      </c>
      <c r="M1806" s="15" t="s">
        <v>144</v>
      </c>
      <c r="N1806" s="16">
        <v>44065</v>
      </c>
      <c r="O1806" s="12" t="s">
        <v>11421</v>
      </c>
      <c r="P1806" s="14" t="s">
        <v>11424</v>
      </c>
      <c r="Q1806" s="17" t="s">
        <v>137</v>
      </c>
      <c r="R1806" s="17" t="s">
        <v>146</v>
      </c>
    </row>
    <row r="1807" spans="1:18" x14ac:dyDescent="0.3">
      <c r="A1807" s="12" t="s">
        <v>11425</v>
      </c>
      <c r="B1807" s="12" t="s">
        <v>12</v>
      </c>
      <c r="C1807" s="12"/>
      <c r="D1807" s="12" t="s">
        <v>12</v>
      </c>
      <c r="E1807" s="12" t="s">
        <v>11426</v>
      </c>
      <c r="F1807" s="12"/>
      <c r="G1807" s="12" t="s">
        <v>3622</v>
      </c>
      <c r="H1807" s="12" t="s">
        <v>48</v>
      </c>
      <c r="I1807" s="12" t="s">
        <v>30</v>
      </c>
      <c r="J1807" s="13" t="s">
        <v>3623</v>
      </c>
      <c r="K1807" s="14" t="s">
        <v>11427</v>
      </c>
      <c r="L1807" s="15">
        <v>1</v>
      </c>
      <c r="M1807" s="15" t="s">
        <v>144</v>
      </c>
      <c r="N1807" s="16">
        <v>43214</v>
      </c>
      <c r="O1807" s="12" t="s">
        <v>11428</v>
      </c>
      <c r="P1807" s="14" t="s">
        <v>11429</v>
      </c>
      <c r="Q1807" s="17" t="s">
        <v>137</v>
      </c>
      <c r="R1807" s="17" t="s">
        <v>146</v>
      </c>
    </row>
    <row r="1808" spans="1:18" x14ac:dyDescent="0.3">
      <c r="A1808" s="12" t="s">
        <v>11430</v>
      </c>
      <c r="B1808" s="12" t="s">
        <v>12</v>
      </c>
      <c r="C1808" s="12"/>
      <c r="D1808" s="12" t="s">
        <v>12</v>
      </c>
      <c r="E1808" s="12" t="s">
        <v>11431</v>
      </c>
      <c r="F1808" s="12"/>
      <c r="G1808" s="12" t="s">
        <v>3622</v>
      </c>
      <c r="H1808" s="12" t="s">
        <v>48</v>
      </c>
      <c r="I1808" s="12" t="s">
        <v>30</v>
      </c>
      <c r="J1808" s="13" t="s">
        <v>3623</v>
      </c>
      <c r="K1808" s="14" t="s">
        <v>11411</v>
      </c>
      <c r="L1808" s="15">
        <v>0</v>
      </c>
      <c r="M1808" s="15" t="s">
        <v>144</v>
      </c>
      <c r="N1808" s="16">
        <v>42088</v>
      </c>
      <c r="O1808" s="12" t="s">
        <v>11432</v>
      </c>
      <c r="P1808" s="14" t="s">
        <v>11433</v>
      </c>
      <c r="Q1808" s="17" t="s">
        <v>137</v>
      </c>
      <c r="R1808" s="17" t="s">
        <v>146</v>
      </c>
    </row>
    <row r="1809" spans="1:18" x14ac:dyDescent="0.3">
      <c r="A1809" s="12" t="s">
        <v>11434</v>
      </c>
      <c r="B1809" s="12" t="s">
        <v>12</v>
      </c>
      <c r="C1809" s="12"/>
      <c r="D1809" s="12" t="s">
        <v>12</v>
      </c>
      <c r="E1809" s="12" t="s">
        <v>11435</v>
      </c>
      <c r="F1809" s="12" t="s">
        <v>188</v>
      </c>
      <c r="G1809" s="12" t="s">
        <v>11436</v>
      </c>
      <c r="H1809" s="12" t="s">
        <v>100</v>
      </c>
      <c r="I1809" s="12" t="s">
        <v>30</v>
      </c>
      <c r="J1809" s="13" t="s">
        <v>11437</v>
      </c>
      <c r="K1809" s="14" t="s">
        <v>11438</v>
      </c>
      <c r="L1809" s="15">
        <v>1</v>
      </c>
      <c r="M1809" s="15" t="s">
        <v>144</v>
      </c>
      <c r="N1809" s="16">
        <v>39583</v>
      </c>
      <c r="O1809" s="12" t="s">
        <v>11434</v>
      </c>
      <c r="P1809" s="14" t="s">
        <v>11439</v>
      </c>
      <c r="Q1809" s="17" t="s">
        <v>137</v>
      </c>
      <c r="R1809" s="17" t="s">
        <v>146</v>
      </c>
    </row>
    <row r="1810" spans="1:18" x14ac:dyDescent="0.3">
      <c r="A1810" s="12" t="s">
        <v>11440</v>
      </c>
      <c r="B1810" s="12" t="s">
        <v>12</v>
      </c>
      <c r="C1810" s="12"/>
      <c r="D1810" s="12" t="s">
        <v>12</v>
      </c>
      <c r="E1810" s="12" t="s">
        <v>11441</v>
      </c>
      <c r="F1810" s="12" t="s">
        <v>188</v>
      </c>
      <c r="G1810" s="12" t="s">
        <v>11436</v>
      </c>
      <c r="H1810" s="12" t="s">
        <v>100</v>
      </c>
      <c r="I1810" s="12" t="s">
        <v>30</v>
      </c>
      <c r="J1810" s="13" t="s">
        <v>11437</v>
      </c>
      <c r="K1810" s="14" t="s">
        <v>11438</v>
      </c>
      <c r="L1810" s="15">
        <v>1</v>
      </c>
      <c r="M1810" s="15" t="s">
        <v>144</v>
      </c>
      <c r="N1810" s="16">
        <v>44302</v>
      </c>
      <c r="O1810" s="12" t="s">
        <v>11440</v>
      </c>
      <c r="P1810" s="14" t="s">
        <v>11442</v>
      </c>
      <c r="Q1810" s="17" t="s">
        <v>137</v>
      </c>
      <c r="R1810" s="17" t="s">
        <v>146</v>
      </c>
    </row>
    <row r="1811" spans="1:18" x14ac:dyDescent="0.3">
      <c r="A1811" s="12" t="s">
        <v>11443</v>
      </c>
      <c r="B1811" s="12" t="s">
        <v>12</v>
      </c>
      <c r="C1811" s="12"/>
      <c r="D1811" s="12" t="s">
        <v>12</v>
      </c>
      <c r="E1811" s="12" t="s">
        <v>11444</v>
      </c>
      <c r="F1811" s="12"/>
      <c r="G1811" s="12" t="s">
        <v>3633</v>
      </c>
      <c r="H1811" s="12" t="s">
        <v>88</v>
      </c>
      <c r="I1811" s="12" t="s">
        <v>30</v>
      </c>
      <c r="J1811" s="13" t="s">
        <v>3634</v>
      </c>
      <c r="K1811" s="14" t="s">
        <v>11445</v>
      </c>
      <c r="L1811" s="15">
        <v>1</v>
      </c>
      <c r="M1811" s="15" t="s">
        <v>144</v>
      </c>
      <c r="N1811" s="16">
        <v>41848</v>
      </c>
      <c r="O1811" s="12" t="s">
        <v>11446</v>
      </c>
      <c r="P1811" s="14" t="s">
        <v>11447</v>
      </c>
      <c r="Q1811" s="17" t="s">
        <v>137</v>
      </c>
      <c r="R1811" s="17" t="s">
        <v>146</v>
      </c>
    </row>
    <row r="1812" spans="1:18" x14ac:dyDescent="0.3">
      <c r="A1812" s="12" t="s">
        <v>11448</v>
      </c>
      <c r="B1812" s="12" t="s">
        <v>14</v>
      </c>
      <c r="C1812" s="12"/>
      <c r="D1812" s="12" t="s">
        <v>14</v>
      </c>
      <c r="E1812" s="12" t="s">
        <v>11449</v>
      </c>
      <c r="F1812" s="12" t="s">
        <v>11450</v>
      </c>
      <c r="G1812" s="12" t="s">
        <v>3633</v>
      </c>
      <c r="H1812" s="12" t="s">
        <v>88</v>
      </c>
      <c r="I1812" s="12" t="s">
        <v>30</v>
      </c>
      <c r="J1812" s="13" t="s">
        <v>3634</v>
      </c>
      <c r="K1812" s="14" t="s">
        <v>11451</v>
      </c>
      <c r="L1812" s="15">
        <v>4</v>
      </c>
      <c r="M1812" s="15" t="s">
        <v>144</v>
      </c>
      <c r="N1812" s="16">
        <v>41708</v>
      </c>
      <c r="O1812" s="12" t="s">
        <v>11448</v>
      </c>
      <c r="P1812" s="14" t="s">
        <v>11452</v>
      </c>
      <c r="Q1812" s="17" t="s">
        <v>137</v>
      </c>
      <c r="R1812" s="17" t="s">
        <v>146</v>
      </c>
    </row>
    <row r="1813" spans="1:18" x14ac:dyDescent="0.3">
      <c r="A1813" s="12" t="s">
        <v>11453</v>
      </c>
      <c r="B1813" s="12" t="s">
        <v>12</v>
      </c>
      <c r="C1813" s="12"/>
      <c r="D1813" s="12" t="s">
        <v>12</v>
      </c>
      <c r="E1813" s="12" t="s">
        <v>11454</v>
      </c>
      <c r="F1813" s="12"/>
      <c r="G1813" s="12" t="s">
        <v>11455</v>
      </c>
      <c r="H1813" s="12" t="s">
        <v>122</v>
      </c>
      <c r="I1813" s="12" t="s">
        <v>30</v>
      </c>
      <c r="J1813" s="13" t="s">
        <v>11456</v>
      </c>
      <c r="K1813" s="14" t="s">
        <v>11457</v>
      </c>
      <c r="L1813" s="15">
        <v>1</v>
      </c>
      <c r="M1813" s="15" t="s">
        <v>144</v>
      </c>
      <c r="N1813" s="16">
        <v>42041</v>
      </c>
      <c r="O1813" s="12" t="s">
        <v>11453</v>
      </c>
      <c r="P1813" s="14" t="s">
        <v>11458</v>
      </c>
      <c r="Q1813" s="17" t="s">
        <v>137</v>
      </c>
      <c r="R1813" s="17" t="s">
        <v>146</v>
      </c>
    </row>
    <row r="1814" spans="1:18" x14ac:dyDescent="0.3">
      <c r="A1814" s="12" t="s">
        <v>11459</v>
      </c>
      <c r="B1814" s="12" t="s">
        <v>14</v>
      </c>
      <c r="C1814" s="12"/>
      <c r="D1814" s="12" t="s">
        <v>14</v>
      </c>
      <c r="E1814" s="12" t="s">
        <v>11460</v>
      </c>
      <c r="F1814" s="12"/>
      <c r="G1814" s="12" t="s">
        <v>11455</v>
      </c>
      <c r="H1814" s="12" t="s">
        <v>122</v>
      </c>
      <c r="I1814" s="12" t="s">
        <v>30</v>
      </c>
      <c r="J1814" s="13" t="s">
        <v>11456</v>
      </c>
      <c r="K1814" s="14" t="s">
        <v>11461</v>
      </c>
      <c r="L1814" s="15">
        <v>14</v>
      </c>
      <c r="M1814" s="15" t="s">
        <v>144</v>
      </c>
      <c r="N1814" s="16">
        <v>43110</v>
      </c>
      <c r="O1814" s="12" t="s">
        <v>11459</v>
      </c>
      <c r="P1814" s="14" t="s">
        <v>11462</v>
      </c>
      <c r="Q1814" s="17" t="s">
        <v>137</v>
      </c>
      <c r="R1814" s="17" t="s">
        <v>146</v>
      </c>
    </row>
    <row r="1815" spans="1:18" x14ac:dyDescent="0.3">
      <c r="A1815" s="12" t="s">
        <v>11463</v>
      </c>
      <c r="B1815" s="12" t="s">
        <v>12</v>
      </c>
      <c r="C1815" s="12"/>
      <c r="D1815" s="12" t="s">
        <v>12</v>
      </c>
      <c r="E1815" s="12" t="s">
        <v>11464</v>
      </c>
      <c r="F1815" s="12"/>
      <c r="G1815" s="12" t="s">
        <v>11465</v>
      </c>
      <c r="H1815" s="12" t="s">
        <v>50</v>
      </c>
      <c r="I1815" s="12" t="s">
        <v>31</v>
      </c>
      <c r="J1815" s="13" t="s">
        <v>11466</v>
      </c>
      <c r="K1815" s="14" t="s">
        <v>11467</v>
      </c>
      <c r="L1815" s="15">
        <v>2</v>
      </c>
      <c r="M1815" s="15" t="s">
        <v>144</v>
      </c>
      <c r="N1815" s="16">
        <v>44065</v>
      </c>
      <c r="O1815" s="12" t="s">
        <v>11463</v>
      </c>
      <c r="P1815" s="14" t="s">
        <v>11468</v>
      </c>
      <c r="Q1815" s="17" t="s">
        <v>137</v>
      </c>
      <c r="R1815" s="17" t="s">
        <v>146</v>
      </c>
    </row>
    <row r="1816" spans="1:18" x14ac:dyDescent="0.3">
      <c r="A1816" s="12" t="s">
        <v>11469</v>
      </c>
      <c r="B1816" s="12" t="s">
        <v>12</v>
      </c>
      <c r="C1816" s="12"/>
      <c r="D1816" s="12" t="s">
        <v>12</v>
      </c>
      <c r="E1816" s="12" t="s">
        <v>11470</v>
      </c>
      <c r="F1816" s="12" t="s">
        <v>11471</v>
      </c>
      <c r="G1816" s="12" t="s">
        <v>11465</v>
      </c>
      <c r="H1816" s="12" t="s">
        <v>50</v>
      </c>
      <c r="I1816" s="12" t="s">
        <v>31</v>
      </c>
      <c r="J1816" s="13" t="s">
        <v>11466</v>
      </c>
      <c r="K1816" s="14" t="s">
        <v>11472</v>
      </c>
      <c r="L1816" s="15">
        <v>0</v>
      </c>
      <c r="M1816" s="15" t="s">
        <v>144</v>
      </c>
      <c r="N1816" s="16">
        <v>44065</v>
      </c>
      <c r="O1816" s="12" t="s">
        <v>11469</v>
      </c>
      <c r="P1816" s="14" t="s">
        <v>11473</v>
      </c>
      <c r="Q1816" s="17" t="s">
        <v>137</v>
      </c>
      <c r="R1816" s="17" t="s">
        <v>146</v>
      </c>
    </row>
    <row r="1817" spans="1:18" x14ac:dyDescent="0.3">
      <c r="A1817" s="12" t="s">
        <v>11474</v>
      </c>
      <c r="B1817" s="12" t="s">
        <v>12</v>
      </c>
      <c r="C1817" s="12"/>
      <c r="D1817" s="12" t="s">
        <v>12</v>
      </c>
      <c r="E1817" s="12" t="s">
        <v>11475</v>
      </c>
      <c r="F1817" s="12"/>
      <c r="G1817" s="12" t="s">
        <v>11465</v>
      </c>
      <c r="H1817" s="12" t="s">
        <v>50</v>
      </c>
      <c r="I1817" s="12" t="s">
        <v>31</v>
      </c>
      <c r="J1817" s="13" t="s">
        <v>11466</v>
      </c>
      <c r="K1817" s="14" t="s">
        <v>5363</v>
      </c>
      <c r="L1817" s="15">
        <v>2</v>
      </c>
      <c r="M1817" s="15" t="s">
        <v>144</v>
      </c>
      <c r="N1817" s="16">
        <v>43721</v>
      </c>
      <c r="O1817" s="12" t="s">
        <v>11474</v>
      </c>
      <c r="P1817" s="14" t="s">
        <v>11476</v>
      </c>
      <c r="Q1817" s="17" t="s">
        <v>137</v>
      </c>
      <c r="R1817" s="17" t="s">
        <v>146</v>
      </c>
    </row>
    <row r="1818" spans="1:18" x14ac:dyDescent="0.3">
      <c r="A1818" s="12" t="s">
        <v>11477</v>
      </c>
      <c r="B1818" s="12" t="s">
        <v>12</v>
      </c>
      <c r="C1818" s="12"/>
      <c r="D1818" s="12" t="s">
        <v>12</v>
      </c>
      <c r="E1818" s="12" t="s">
        <v>11478</v>
      </c>
      <c r="F1818" s="12" t="s">
        <v>225</v>
      </c>
      <c r="G1818" s="12" t="s">
        <v>3649</v>
      </c>
      <c r="H1818" s="12" t="s">
        <v>50</v>
      </c>
      <c r="I1818" s="12" t="s">
        <v>31</v>
      </c>
      <c r="J1818" s="13" t="s">
        <v>3650</v>
      </c>
      <c r="K1818" s="14" t="s">
        <v>11479</v>
      </c>
      <c r="L1818" s="15">
        <v>2</v>
      </c>
      <c r="M1818" s="15" t="s">
        <v>144</v>
      </c>
      <c r="N1818" s="16">
        <v>41647</v>
      </c>
      <c r="O1818" s="12" t="s">
        <v>11477</v>
      </c>
      <c r="P1818" s="14" t="s">
        <v>11480</v>
      </c>
      <c r="Q1818" s="17" t="s">
        <v>137</v>
      </c>
      <c r="R1818" s="17" t="s">
        <v>146</v>
      </c>
    </row>
    <row r="1819" spans="1:18" x14ac:dyDescent="0.3">
      <c r="A1819" s="12" t="s">
        <v>11481</v>
      </c>
      <c r="B1819" s="12" t="s">
        <v>12</v>
      </c>
      <c r="C1819" s="12"/>
      <c r="D1819" s="12" t="s">
        <v>12</v>
      </c>
      <c r="E1819" s="12" t="s">
        <v>11482</v>
      </c>
      <c r="F1819" s="12" t="s">
        <v>218</v>
      </c>
      <c r="G1819" s="12" t="s">
        <v>3649</v>
      </c>
      <c r="H1819" s="12" t="s">
        <v>50</v>
      </c>
      <c r="I1819" s="12" t="s">
        <v>31</v>
      </c>
      <c r="J1819" s="13" t="s">
        <v>3650</v>
      </c>
      <c r="K1819" s="14" t="s">
        <v>11483</v>
      </c>
      <c r="L1819" s="15">
        <v>2</v>
      </c>
      <c r="M1819" s="15" t="s">
        <v>144</v>
      </c>
      <c r="N1819" s="16">
        <v>39899</v>
      </c>
      <c r="O1819" s="12" t="s">
        <v>11481</v>
      </c>
      <c r="P1819" s="14" t="s">
        <v>11484</v>
      </c>
      <c r="Q1819" s="17" t="s">
        <v>137</v>
      </c>
      <c r="R1819" s="17" t="s">
        <v>146</v>
      </c>
    </row>
    <row r="1820" spans="1:18" x14ac:dyDescent="0.3">
      <c r="A1820" s="12" t="s">
        <v>11485</v>
      </c>
      <c r="B1820" s="12" t="s">
        <v>20</v>
      </c>
      <c r="C1820" s="12"/>
      <c r="D1820" s="12" t="s">
        <v>193</v>
      </c>
      <c r="E1820" s="12" t="s">
        <v>11486</v>
      </c>
      <c r="F1820" s="12"/>
      <c r="G1820" s="12" t="s">
        <v>3649</v>
      </c>
      <c r="H1820" s="12" t="s">
        <v>50</v>
      </c>
      <c r="I1820" s="12" t="s">
        <v>31</v>
      </c>
      <c r="J1820" s="13" t="s">
        <v>3650</v>
      </c>
      <c r="K1820" s="14" t="s">
        <v>11487</v>
      </c>
      <c r="L1820" s="15">
        <v>2</v>
      </c>
      <c r="M1820" s="15" t="s">
        <v>144</v>
      </c>
      <c r="N1820" s="16">
        <v>44065</v>
      </c>
      <c r="O1820" s="12" t="s">
        <v>11485</v>
      </c>
      <c r="P1820" s="14" t="s">
        <v>11488</v>
      </c>
      <c r="Q1820" s="17" t="s">
        <v>137</v>
      </c>
      <c r="R1820" s="17" t="s">
        <v>146</v>
      </c>
    </row>
    <row r="1821" spans="1:18" x14ac:dyDescent="0.3">
      <c r="A1821" s="12" t="s">
        <v>11489</v>
      </c>
      <c r="B1821" s="12" t="s">
        <v>12</v>
      </c>
      <c r="C1821" s="12"/>
      <c r="D1821" s="12" t="s">
        <v>12</v>
      </c>
      <c r="E1821" s="12" t="s">
        <v>11490</v>
      </c>
      <c r="F1821" s="12"/>
      <c r="G1821" s="12" t="s">
        <v>3649</v>
      </c>
      <c r="H1821" s="12" t="s">
        <v>50</v>
      </c>
      <c r="I1821" s="12" t="s">
        <v>31</v>
      </c>
      <c r="J1821" s="13" t="s">
        <v>3650</v>
      </c>
      <c r="K1821" s="14" t="s">
        <v>11491</v>
      </c>
      <c r="L1821" s="15">
        <v>4</v>
      </c>
      <c r="M1821" s="15" t="s">
        <v>144</v>
      </c>
      <c r="N1821" s="16">
        <v>43586</v>
      </c>
      <c r="O1821" s="12" t="s">
        <v>11489</v>
      </c>
      <c r="P1821" s="14" t="s">
        <v>11492</v>
      </c>
      <c r="Q1821" s="17" t="s">
        <v>137</v>
      </c>
      <c r="R1821" s="17" t="s">
        <v>146</v>
      </c>
    </row>
    <row r="1822" spans="1:18" x14ac:dyDescent="0.3">
      <c r="A1822" s="12" t="s">
        <v>11493</v>
      </c>
      <c r="B1822" s="12" t="s">
        <v>14</v>
      </c>
      <c r="C1822" s="12"/>
      <c r="D1822" s="12" t="s">
        <v>14</v>
      </c>
      <c r="E1822" s="12" t="s">
        <v>11494</v>
      </c>
      <c r="F1822" s="12"/>
      <c r="G1822" s="12" t="s">
        <v>3649</v>
      </c>
      <c r="H1822" s="12" t="s">
        <v>50</v>
      </c>
      <c r="I1822" s="12" t="s">
        <v>31</v>
      </c>
      <c r="J1822" s="13" t="s">
        <v>3650</v>
      </c>
      <c r="K1822" s="14" t="s">
        <v>11495</v>
      </c>
      <c r="L1822" s="15">
        <v>1</v>
      </c>
      <c r="M1822" s="15" t="s">
        <v>144</v>
      </c>
      <c r="N1822" s="16">
        <v>43745</v>
      </c>
      <c r="O1822" s="12" t="s">
        <v>11493</v>
      </c>
      <c r="P1822" s="14" t="s">
        <v>11496</v>
      </c>
      <c r="Q1822" s="17" t="s">
        <v>137</v>
      </c>
      <c r="R1822" s="17" t="s">
        <v>146</v>
      </c>
    </row>
    <row r="1823" spans="1:18" x14ac:dyDescent="0.3">
      <c r="A1823" s="12" t="s">
        <v>11493</v>
      </c>
      <c r="B1823" s="12" t="s">
        <v>14</v>
      </c>
      <c r="C1823" s="12"/>
      <c r="D1823" s="12" t="s">
        <v>14</v>
      </c>
      <c r="E1823" s="12" t="s">
        <v>11497</v>
      </c>
      <c r="F1823" s="12" t="s">
        <v>516</v>
      </c>
      <c r="G1823" s="12" t="s">
        <v>3649</v>
      </c>
      <c r="H1823" s="12" t="s">
        <v>50</v>
      </c>
      <c r="I1823" s="12" t="s">
        <v>31</v>
      </c>
      <c r="J1823" s="13" t="s">
        <v>3650</v>
      </c>
      <c r="K1823" s="14" t="s">
        <v>11495</v>
      </c>
      <c r="L1823" s="15">
        <v>0</v>
      </c>
      <c r="M1823" s="15" t="s">
        <v>144</v>
      </c>
      <c r="N1823" s="16">
        <v>43745</v>
      </c>
      <c r="O1823" s="12" t="s">
        <v>11493</v>
      </c>
      <c r="P1823" s="14" t="s">
        <v>11496</v>
      </c>
      <c r="Q1823" s="17" t="s">
        <v>137</v>
      </c>
      <c r="R1823" s="17" t="s">
        <v>146</v>
      </c>
    </row>
    <row r="1824" spans="1:18" x14ac:dyDescent="0.3">
      <c r="A1824" s="12" t="s">
        <v>11498</v>
      </c>
      <c r="B1824" s="12" t="s">
        <v>12</v>
      </c>
      <c r="C1824" s="12"/>
      <c r="D1824" s="12" t="s">
        <v>12</v>
      </c>
      <c r="E1824" s="12" t="s">
        <v>11499</v>
      </c>
      <c r="F1824" s="12" t="s">
        <v>164</v>
      </c>
      <c r="G1824" s="12" t="s">
        <v>3649</v>
      </c>
      <c r="H1824" s="12" t="s">
        <v>50</v>
      </c>
      <c r="I1824" s="12" t="s">
        <v>31</v>
      </c>
      <c r="J1824" s="13" t="s">
        <v>3650</v>
      </c>
      <c r="K1824" s="14" t="s">
        <v>11500</v>
      </c>
      <c r="L1824" s="15">
        <v>0</v>
      </c>
      <c r="M1824" s="15" t="s">
        <v>144</v>
      </c>
      <c r="N1824" s="16">
        <v>39301</v>
      </c>
      <c r="O1824" s="12" t="s">
        <v>11498</v>
      </c>
      <c r="P1824" s="14" t="s">
        <v>11501</v>
      </c>
      <c r="Q1824" s="17" t="s">
        <v>137</v>
      </c>
      <c r="R1824" s="17" t="s">
        <v>146</v>
      </c>
    </row>
    <row r="1825" spans="1:18" x14ac:dyDescent="0.3">
      <c r="A1825" s="12" t="s">
        <v>11502</v>
      </c>
      <c r="B1825" s="12" t="s">
        <v>12</v>
      </c>
      <c r="C1825" s="12"/>
      <c r="D1825" s="12" t="s">
        <v>12</v>
      </c>
      <c r="E1825" s="12" t="s">
        <v>11503</v>
      </c>
      <c r="F1825" s="12"/>
      <c r="G1825" s="12" t="s">
        <v>3649</v>
      </c>
      <c r="H1825" s="12" t="s">
        <v>50</v>
      </c>
      <c r="I1825" s="12" t="s">
        <v>31</v>
      </c>
      <c r="J1825" s="13" t="s">
        <v>3650</v>
      </c>
      <c r="K1825" s="14" t="s">
        <v>11504</v>
      </c>
      <c r="L1825" s="15">
        <v>2</v>
      </c>
      <c r="M1825" s="15" t="s">
        <v>144</v>
      </c>
      <c r="N1825" s="16">
        <v>43851</v>
      </c>
      <c r="O1825" s="12" t="s">
        <v>11502</v>
      </c>
      <c r="P1825" s="14" t="s">
        <v>11505</v>
      </c>
      <c r="Q1825" s="17" t="s">
        <v>137</v>
      </c>
      <c r="R1825" s="17" t="s">
        <v>146</v>
      </c>
    </row>
    <row r="1826" spans="1:18" x14ac:dyDescent="0.3">
      <c r="A1826" s="12" t="s">
        <v>11506</v>
      </c>
      <c r="B1826" s="12" t="s">
        <v>12</v>
      </c>
      <c r="C1826" s="12"/>
      <c r="D1826" s="12" t="s">
        <v>12</v>
      </c>
      <c r="E1826" s="12" t="s">
        <v>11507</v>
      </c>
      <c r="F1826" s="12"/>
      <c r="G1826" s="12" t="s">
        <v>3649</v>
      </c>
      <c r="H1826" s="12" t="s">
        <v>50</v>
      </c>
      <c r="I1826" s="12" t="s">
        <v>31</v>
      </c>
      <c r="J1826" s="13" t="s">
        <v>3650</v>
      </c>
      <c r="K1826" s="14" t="s">
        <v>11508</v>
      </c>
      <c r="L1826" s="15">
        <v>0</v>
      </c>
      <c r="M1826" s="15" t="s">
        <v>144</v>
      </c>
      <c r="N1826" s="16">
        <v>40382</v>
      </c>
      <c r="O1826" s="12" t="s">
        <v>11506</v>
      </c>
      <c r="P1826" s="14" t="s">
        <v>11509</v>
      </c>
      <c r="Q1826" s="17" t="s">
        <v>137</v>
      </c>
      <c r="R1826" s="17" t="s">
        <v>146</v>
      </c>
    </row>
    <row r="1827" spans="1:18" x14ac:dyDescent="0.3">
      <c r="A1827" s="12" t="s">
        <v>11510</v>
      </c>
      <c r="B1827" s="12" t="s">
        <v>12</v>
      </c>
      <c r="C1827" s="12"/>
      <c r="D1827" s="12" t="s">
        <v>12</v>
      </c>
      <c r="E1827" s="12" t="s">
        <v>11511</v>
      </c>
      <c r="F1827" s="12" t="s">
        <v>467</v>
      </c>
      <c r="G1827" s="12" t="s">
        <v>3649</v>
      </c>
      <c r="H1827" s="12" t="s">
        <v>50</v>
      </c>
      <c r="I1827" s="12" t="s">
        <v>31</v>
      </c>
      <c r="J1827" s="13" t="s">
        <v>3650</v>
      </c>
      <c r="K1827" s="14" t="s">
        <v>11512</v>
      </c>
      <c r="L1827" s="15">
        <v>2</v>
      </c>
      <c r="M1827" s="15" t="s">
        <v>144</v>
      </c>
      <c r="N1827" s="16">
        <v>39678</v>
      </c>
      <c r="O1827" s="12" t="s">
        <v>11513</v>
      </c>
      <c r="P1827" s="14" t="s">
        <v>11514</v>
      </c>
      <c r="Q1827" s="17" t="s">
        <v>137</v>
      </c>
      <c r="R1827" s="17" t="s">
        <v>146</v>
      </c>
    </row>
    <row r="1828" spans="1:18" x14ac:dyDescent="0.3">
      <c r="A1828" s="12" t="s">
        <v>11515</v>
      </c>
      <c r="B1828" s="12" t="s">
        <v>12</v>
      </c>
      <c r="C1828" s="12"/>
      <c r="D1828" s="12" t="s">
        <v>12</v>
      </c>
      <c r="E1828" s="12" t="s">
        <v>3669</v>
      </c>
      <c r="F1828" s="12" t="s">
        <v>188</v>
      </c>
      <c r="G1828" s="12" t="s">
        <v>3649</v>
      </c>
      <c r="H1828" s="12" t="s">
        <v>50</v>
      </c>
      <c r="I1828" s="12" t="s">
        <v>31</v>
      </c>
      <c r="J1828" s="13" t="s">
        <v>3650</v>
      </c>
      <c r="K1828" s="14" t="s">
        <v>11516</v>
      </c>
      <c r="L1828" s="15">
        <v>3</v>
      </c>
      <c r="M1828" s="15" t="s">
        <v>144</v>
      </c>
      <c r="N1828" s="16">
        <v>42102</v>
      </c>
      <c r="O1828" s="12" t="s">
        <v>11515</v>
      </c>
      <c r="P1828" s="14" t="s">
        <v>11517</v>
      </c>
      <c r="Q1828" s="17" t="s">
        <v>137</v>
      </c>
      <c r="R1828" s="17" t="s">
        <v>146</v>
      </c>
    </row>
    <row r="1829" spans="1:18" x14ac:dyDescent="0.3">
      <c r="A1829" s="12" t="s">
        <v>11518</v>
      </c>
      <c r="B1829" s="12" t="s">
        <v>12</v>
      </c>
      <c r="C1829" s="12"/>
      <c r="D1829" s="12" t="s">
        <v>12</v>
      </c>
      <c r="E1829" s="12" t="s">
        <v>11519</v>
      </c>
      <c r="F1829" s="12"/>
      <c r="G1829" s="12" t="s">
        <v>3649</v>
      </c>
      <c r="H1829" s="12" t="s">
        <v>50</v>
      </c>
      <c r="I1829" s="12" t="s">
        <v>31</v>
      </c>
      <c r="J1829" s="13" t="s">
        <v>3650</v>
      </c>
      <c r="K1829" s="14" t="s">
        <v>3666</v>
      </c>
      <c r="L1829" s="15">
        <v>0</v>
      </c>
      <c r="M1829" s="15" t="s">
        <v>144</v>
      </c>
      <c r="N1829" s="16">
        <v>42999</v>
      </c>
      <c r="O1829" s="12" t="s">
        <v>11518</v>
      </c>
      <c r="P1829" s="14" t="s">
        <v>11520</v>
      </c>
      <c r="Q1829" s="17" t="s">
        <v>137</v>
      </c>
      <c r="R1829" s="17" t="s">
        <v>146</v>
      </c>
    </row>
    <row r="1830" spans="1:18" x14ac:dyDescent="0.3">
      <c r="A1830" s="12" t="s">
        <v>11521</v>
      </c>
      <c r="B1830" s="12" t="s">
        <v>12</v>
      </c>
      <c r="C1830" s="12"/>
      <c r="D1830" s="12" t="s">
        <v>12</v>
      </c>
      <c r="E1830" s="12" t="s">
        <v>11522</v>
      </c>
      <c r="F1830" s="12"/>
      <c r="G1830" s="12" t="s">
        <v>3649</v>
      </c>
      <c r="H1830" s="12" t="s">
        <v>50</v>
      </c>
      <c r="I1830" s="12" t="s">
        <v>31</v>
      </c>
      <c r="J1830" s="13" t="s">
        <v>3650</v>
      </c>
      <c r="K1830" s="14" t="s">
        <v>11523</v>
      </c>
      <c r="L1830" s="15">
        <v>1</v>
      </c>
      <c r="M1830" s="15" t="s">
        <v>144</v>
      </c>
      <c r="N1830" s="16">
        <v>39763</v>
      </c>
      <c r="O1830" s="12" t="s">
        <v>11524</v>
      </c>
      <c r="P1830" s="14" t="s">
        <v>11525</v>
      </c>
      <c r="Q1830" s="17" t="s">
        <v>137</v>
      </c>
      <c r="R1830" s="17" t="s">
        <v>146</v>
      </c>
    </row>
    <row r="1831" spans="1:18" x14ac:dyDescent="0.3">
      <c r="A1831" s="12" t="s">
        <v>11526</v>
      </c>
      <c r="B1831" s="12" t="s">
        <v>12</v>
      </c>
      <c r="C1831" s="12"/>
      <c r="D1831" s="12" t="s">
        <v>12</v>
      </c>
      <c r="E1831" s="12" t="s">
        <v>11527</v>
      </c>
      <c r="F1831" s="12"/>
      <c r="G1831" s="12" t="s">
        <v>3649</v>
      </c>
      <c r="H1831" s="12" t="s">
        <v>50</v>
      </c>
      <c r="I1831" s="12" t="s">
        <v>31</v>
      </c>
      <c r="J1831" s="13" t="s">
        <v>3650</v>
      </c>
      <c r="K1831" s="14" t="s">
        <v>11528</v>
      </c>
      <c r="L1831" s="15">
        <v>1</v>
      </c>
      <c r="M1831" s="15" t="s">
        <v>144</v>
      </c>
      <c r="N1831" s="16">
        <v>44425</v>
      </c>
      <c r="O1831" s="12" t="s">
        <v>11529</v>
      </c>
      <c r="P1831" s="14" t="s">
        <v>11530</v>
      </c>
      <c r="Q1831" s="17" t="s">
        <v>137</v>
      </c>
      <c r="R1831" s="17" t="s">
        <v>146</v>
      </c>
    </row>
    <row r="1832" spans="1:18" x14ac:dyDescent="0.3">
      <c r="A1832" s="12" t="s">
        <v>11531</v>
      </c>
      <c r="B1832" s="12" t="s">
        <v>12</v>
      </c>
      <c r="C1832" s="12"/>
      <c r="D1832" s="12" t="s">
        <v>12</v>
      </c>
      <c r="E1832" s="12" t="s">
        <v>11532</v>
      </c>
      <c r="F1832" s="12"/>
      <c r="G1832" s="12" t="s">
        <v>3649</v>
      </c>
      <c r="H1832" s="12" t="s">
        <v>50</v>
      </c>
      <c r="I1832" s="12" t="s">
        <v>31</v>
      </c>
      <c r="J1832" s="13" t="s">
        <v>3650</v>
      </c>
      <c r="K1832" s="14" t="s">
        <v>11533</v>
      </c>
      <c r="L1832" s="15">
        <v>0</v>
      </c>
      <c r="M1832" s="15" t="s">
        <v>144</v>
      </c>
      <c r="N1832" s="16">
        <v>40008</v>
      </c>
      <c r="O1832" s="12" t="s">
        <v>11534</v>
      </c>
      <c r="P1832" s="14" t="s">
        <v>11535</v>
      </c>
      <c r="Q1832" s="17" t="s">
        <v>137</v>
      </c>
      <c r="R1832" s="17" t="s">
        <v>146</v>
      </c>
    </row>
    <row r="1833" spans="1:18" x14ac:dyDescent="0.3">
      <c r="A1833" s="12" t="s">
        <v>11536</v>
      </c>
      <c r="B1833" s="12" t="s">
        <v>12</v>
      </c>
      <c r="C1833" s="12"/>
      <c r="D1833" s="12" t="s">
        <v>12</v>
      </c>
      <c r="E1833" s="12" t="s">
        <v>11537</v>
      </c>
      <c r="F1833" s="12"/>
      <c r="G1833" s="12" t="s">
        <v>3649</v>
      </c>
      <c r="H1833" s="12" t="s">
        <v>50</v>
      </c>
      <c r="I1833" s="12" t="s">
        <v>31</v>
      </c>
      <c r="J1833" s="13" t="s">
        <v>3650</v>
      </c>
      <c r="K1833" s="14" t="s">
        <v>11538</v>
      </c>
      <c r="L1833" s="15">
        <v>7</v>
      </c>
      <c r="M1833" s="15" t="s">
        <v>144</v>
      </c>
      <c r="N1833" s="16">
        <v>40570</v>
      </c>
      <c r="O1833" s="12" t="s">
        <v>11536</v>
      </c>
      <c r="P1833" s="14" t="s">
        <v>11539</v>
      </c>
      <c r="Q1833" s="17" t="s">
        <v>137</v>
      </c>
      <c r="R1833" s="17" t="s">
        <v>146</v>
      </c>
    </row>
    <row r="1834" spans="1:18" x14ac:dyDescent="0.3">
      <c r="A1834" s="12" t="s">
        <v>11540</v>
      </c>
      <c r="B1834" s="12" t="s">
        <v>10</v>
      </c>
      <c r="C1834" s="12"/>
      <c r="D1834" s="12" t="s">
        <v>216</v>
      </c>
      <c r="E1834" s="12" t="s">
        <v>11541</v>
      </c>
      <c r="F1834" s="12"/>
      <c r="G1834" s="12" t="s">
        <v>3649</v>
      </c>
      <c r="H1834" s="12" t="s">
        <v>50</v>
      </c>
      <c r="I1834" s="12" t="s">
        <v>31</v>
      </c>
      <c r="J1834" s="13" t="s">
        <v>3650</v>
      </c>
      <c r="K1834" s="14" t="s">
        <v>11542</v>
      </c>
      <c r="L1834" s="15">
        <v>0</v>
      </c>
      <c r="M1834" s="15" t="s">
        <v>144</v>
      </c>
      <c r="N1834" s="16">
        <v>42272</v>
      </c>
      <c r="O1834" s="12" t="s">
        <v>11543</v>
      </c>
      <c r="P1834" s="14" t="s">
        <v>11544</v>
      </c>
      <c r="Q1834" s="17" t="s">
        <v>137</v>
      </c>
      <c r="R1834" s="17" t="s">
        <v>146</v>
      </c>
    </row>
    <row r="1835" spans="1:18" x14ac:dyDescent="0.3">
      <c r="A1835" s="12" t="s">
        <v>11545</v>
      </c>
      <c r="B1835" s="12" t="s">
        <v>12</v>
      </c>
      <c r="C1835" s="12"/>
      <c r="D1835" s="12" t="s">
        <v>12</v>
      </c>
      <c r="E1835" s="12" t="s">
        <v>11546</v>
      </c>
      <c r="F1835" s="12" t="s">
        <v>467</v>
      </c>
      <c r="G1835" s="12" t="s">
        <v>3649</v>
      </c>
      <c r="H1835" s="12" t="s">
        <v>50</v>
      </c>
      <c r="I1835" s="12" t="s">
        <v>31</v>
      </c>
      <c r="J1835" s="13" t="s">
        <v>3650</v>
      </c>
      <c r="K1835" s="14" t="s">
        <v>11547</v>
      </c>
      <c r="L1835" s="15">
        <v>1</v>
      </c>
      <c r="M1835" s="15" t="s">
        <v>144</v>
      </c>
      <c r="N1835" s="16">
        <v>42321</v>
      </c>
      <c r="O1835" s="12" t="s">
        <v>11545</v>
      </c>
      <c r="P1835" s="14" t="s">
        <v>11548</v>
      </c>
      <c r="Q1835" s="17" t="s">
        <v>137</v>
      </c>
      <c r="R1835" s="17" t="s">
        <v>146</v>
      </c>
    </row>
    <row r="1836" spans="1:18" x14ac:dyDescent="0.3">
      <c r="A1836" s="12" t="s">
        <v>11549</v>
      </c>
      <c r="B1836" s="12" t="s">
        <v>12</v>
      </c>
      <c r="C1836" s="12"/>
      <c r="D1836" s="12" t="s">
        <v>12</v>
      </c>
      <c r="E1836" s="12" t="s">
        <v>11550</v>
      </c>
      <c r="F1836" s="12" t="s">
        <v>947</v>
      </c>
      <c r="G1836" s="12" t="s">
        <v>3649</v>
      </c>
      <c r="H1836" s="12" t="s">
        <v>50</v>
      </c>
      <c r="I1836" s="12" t="s">
        <v>31</v>
      </c>
      <c r="J1836" s="13" t="s">
        <v>3650</v>
      </c>
      <c r="K1836" s="14" t="s">
        <v>11551</v>
      </c>
      <c r="L1836" s="15">
        <v>0</v>
      </c>
      <c r="M1836" s="15" t="s">
        <v>144</v>
      </c>
      <c r="N1836" s="16">
        <v>44175</v>
      </c>
      <c r="O1836" s="12" t="s">
        <v>11549</v>
      </c>
      <c r="P1836" s="14" t="s">
        <v>11552</v>
      </c>
      <c r="Q1836" s="17" t="s">
        <v>137</v>
      </c>
      <c r="R1836" s="17" t="s">
        <v>146</v>
      </c>
    </row>
    <row r="1837" spans="1:18" x14ac:dyDescent="0.3">
      <c r="A1837" s="12" t="s">
        <v>11553</v>
      </c>
      <c r="B1837" s="12" t="s">
        <v>12</v>
      </c>
      <c r="C1837" s="12"/>
      <c r="D1837" s="12" t="s">
        <v>12</v>
      </c>
      <c r="E1837" s="12" t="s">
        <v>11554</v>
      </c>
      <c r="F1837" s="12" t="s">
        <v>1765</v>
      </c>
      <c r="G1837" s="12" t="s">
        <v>3649</v>
      </c>
      <c r="H1837" s="12" t="s">
        <v>50</v>
      </c>
      <c r="I1837" s="12" t="s">
        <v>31</v>
      </c>
      <c r="J1837" s="13" t="s">
        <v>3650</v>
      </c>
      <c r="K1837" s="14" t="s">
        <v>11555</v>
      </c>
      <c r="L1837" s="15">
        <v>0</v>
      </c>
      <c r="M1837" s="15" t="s">
        <v>144</v>
      </c>
      <c r="N1837" s="16">
        <v>42177</v>
      </c>
      <c r="O1837" s="12" t="s">
        <v>11553</v>
      </c>
      <c r="P1837" s="14" t="s">
        <v>11556</v>
      </c>
      <c r="Q1837" s="17" t="s">
        <v>137</v>
      </c>
      <c r="R1837" s="17" t="s">
        <v>146</v>
      </c>
    </row>
    <row r="1838" spans="1:18" x14ac:dyDescent="0.3">
      <c r="A1838" s="12" t="s">
        <v>11557</v>
      </c>
      <c r="B1838" s="12" t="s">
        <v>12</v>
      </c>
      <c r="C1838" s="12"/>
      <c r="D1838" s="12" t="s">
        <v>12</v>
      </c>
      <c r="E1838" s="12" t="s">
        <v>11558</v>
      </c>
      <c r="F1838" s="12" t="s">
        <v>218</v>
      </c>
      <c r="G1838" s="12" t="s">
        <v>3649</v>
      </c>
      <c r="H1838" s="12" t="s">
        <v>50</v>
      </c>
      <c r="I1838" s="12" t="s">
        <v>31</v>
      </c>
      <c r="J1838" s="13" t="s">
        <v>3650</v>
      </c>
      <c r="K1838" s="14" t="s">
        <v>11559</v>
      </c>
      <c r="L1838" s="15">
        <v>2</v>
      </c>
      <c r="M1838" s="15" t="s">
        <v>144</v>
      </c>
      <c r="N1838" s="16">
        <v>44065</v>
      </c>
      <c r="O1838" s="12" t="s">
        <v>11557</v>
      </c>
      <c r="P1838" s="14" t="s">
        <v>11560</v>
      </c>
      <c r="Q1838" s="17" t="s">
        <v>137</v>
      </c>
      <c r="R1838" s="17" t="s">
        <v>146</v>
      </c>
    </row>
    <row r="1839" spans="1:18" x14ac:dyDescent="0.3">
      <c r="A1839" s="12" t="s">
        <v>11561</v>
      </c>
      <c r="B1839" s="12" t="s">
        <v>12</v>
      </c>
      <c r="C1839" s="12"/>
      <c r="D1839" s="12" t="s">
        <v>12</v>
      </c>
      <c r="E1839" s="12" t="s">
        <v>11562</v>
      </c>
      <c r="F1839" s="12"/>
      <c r="G1839" s="12" t="s">
        <v>3649</v>
      </c>
      <c r="H1839" s="12" t="s">
        <v>50</v>
      </c>
      <c r="I1839" s="12" t="s">
        <v>31</v>
      </c>
      <c r="J1839" s="13" t="s">
        <v>3650</v>
      </c>
      <c r="K1839" s="14" t="s">
        <v>11563</v>
      </c>
      <c r="L1839" s="15">
        <v>3</v>
      </c>
      <c r="M1839" s="15" t="s">
        <v>144</v>
      </c>
      <c r="N1839" s="16">
        <v>43571</v>
      </c>
      <c r="O1839" s="12" t="s">
        <v>11561</v>
      </c>
      <c r="P1839" s="14" t="s">
        <v>11564</v>
      </c>
      <c r="Q1839" s="17" t="s">
        <v>137</v>
      </c>
      <c r="R1839" s="17" t="s">
        <v>146</v>
      </c>
    </row>
    <row r="1840" spans="1:18" x14ac:dyDescent="0.3">
      <c r="A1840" s="12" t="s">
        <v>11565</v>
      </c>
      <c r="B1840" s="12" t="s">
        <v>12</v>
      </c>
      <c r="C1840" s="12"/>
      <c r="D1840" s="12" t="s">
        <v>12</v>
      </c>
      <c r="E1840" s="12" t="s">
        <v>11490</v>
      </c>
      <c r="F1840" s="12" t="s">
        <v>248</v>
      </c>
      <c r="G1840" s="12" t="s">
        <v>3649</v>
      </c>
      <c r="H1840" s="12" t="s">
        <v>50</v>
      </c>
      <c r="I1840" s="12" t="s">
        <v>31</v>
      </c>
      <c r="J1840" s="13" t="s">
        <v>3650</v>
      </c>
      <c r="K1840" s="14" t="s">
        <v>11566</v>
      </c>
      <c r="L1840" s="15">
        <v>4</v>
      </c>
      <c r="M1840" s="15" t="s">
        <v>144</v>
      </c>
      <c r="N1840" s="16">
        <v>42969</v>
      </c>
      <c r="O1840" s="12" t="s">
        <v>11565</v>
      </c>
      <c r="P1840" s="14" t="s">
        <v>11567</v>
      </c>
      <c r="Q1840" s="17" t="s">
        <v>137</v>
      </c>
      <c r="R1840" s="17" t="s">
        <v>146</v>
      </c>
    </row>
    <row r="1841" spans="1:18" x14ac:dyDescent="0.3">
      <c r="A1841" s="12" t="s">
        <v>11568</v>
      </c>
      <c r="B1841" s="12" t="s">
        <v>12</v>
      </c>
      <c r="C1841" s="12"/>
      <c r="D1841" s="12" t="s">
        <v>12</v>
      </c>
      <c r="E1841" s="12" t="s">
        <v>11569</v>
      </c>
      <c r="F1841" s="12"/>
      <c r="G1841" s="12" t="s">
        <v>3699</v>
      </c>
      <c r="H1841" s="12" t="s">
        <v>72</v>
      </c>
      <c r="I1841" s="12" t="s">
        <v>31</v>
      </c>
      <c r="J1841" s="13" t="s">
        <v>3700</v>
      </c>
      <c r="K1841" s="14" t="s">
        <v>11570</v>
      </c>
      <c r="L1841" s="15">
        <v>2</v>
      </c>
      <c r="M1841" s="15" t="s">
        <v>144</v>
      </c>
      <c r="N1841" s="16">
        <v>41072</v>
      </c>
      <c r="O1841" s="12" t="s">
        <v>11568</v>
      </c>
      <c r="P1841" s="14" t="s">
        <v>11571</v>
      </c>
      <c r="Q1841" s="17" t="s">
        <v>137</v>
      </c>
      <c r="R1841" s="17" t="s">
        <v>146</v>
      </c>
    </row>
    <row r="1842" spans="1:18" x14ac:dyDescent="0.3">
      <c r="A1842" s="12" t="s">
        <v>11572</v>
      </c>
      <c r="B1842" s="12" t="s">
        <v>12</v>
      </c>
      <c r="C1842" s="12"/>
      <c r="D1842" s="12" t="s">
        <v>12</v>
      </c>
      <c r="E1842" s="12" t="s">
        <v>11573</v>
      </c>
      <c r="F1842" s="12" t="s">
        <v>248</v>
      </c>
      <c r="G1842" s="12" t="s">
        <v>3699</v>
      </c>
      <c r="H1842" s="12" t="s">
        <v>72</v>
      </c>
      <c r="I1842" s="12" t="s">
        <v>31</v>
      </c>
      <c r="J1842" s="13" t="s">
        <v>3700</v>
      </c>
      <c r="K1842" s="14" t="s">
        <v>11574</v>
      </c>
      <c r="L1842" s="15">
        <v>0</v>
      </c>
      <c r="M1842" s="15" t="s">
        <v>144</v>
      </c>
      <c r="N1842" s="16">
        <v>43245</v>
      </c>
      <c r="O1842" s="12" t="s">
        <v>11575</v>
      </c>
      <c r="P1842" s="14" t="s">
        <v>11576</v>
      </c>
      <c r="Q1842" s="17" t="s">
        <v>137</v>
      </c>
      <c r="R1842" s="17" t="s">
        <v>146</v>
      </c>
    </row>
    <row r="1843" spans="1:18" x14ac:dyDescent="0.3">
      <c r="A1843" s="12" t="s">
        <v>11577</v>
      </c>
      <c r="B1843" s="12" t="s">
        <v>12</v>
      </c>
      <c r="C1843" s="12"/>
      <c r="D1843" s="12" t="s">
        <v>12</v>
      </c>
      <c r="E1843" s="12" t="s">
        <v>11578</v>
      </c>
      <c r="F1843" s="12"/>
      <c r="G1843" s="12" t="s">
        <v>3699</v>
      </c>
      <c r="H1843" s="12" t="s">
        <v>72</v>
      </c>
      <c r="I1843" s="12" t="s">
        <v>31</v>
      </c>
      <c r="J1843" s="13" t="s">
        <v>3700</v>
      </c>
      <c r="K1843" s="14" t="s">
        <v>3705</v>
      </c>
      <c r="L1843" s="15">
        <v>0</v>
      </c>
      <c r="M1843" s="15" t="s">
        <v>144</v>
      </c>
      <c r="N1843" s="16">
        <v>41327</v>
      </c>
      <c r="O1843" s="12" t="s">
        <v>11577</v>
      </c>
      <c r="P1843" s="14" t="s">
        <v>11579</v>
      </c>
      <c r="Q1843" s="17" t="s">
        <v>137</v>
      </c>
      <c r="R1843" s="17" t="s">
        <v>146</v>
      </c>
    </row>
    <row r="1844" spans="1:18" x14ac:dyDescent="0.3">
      <c r="A1844" s="12" t="s">
        <v>11580</v>
      </c>
      <c r="B1844" s="12" t="s">
        <v>12</v>
      </c>
      <c r="C1844" s="12"/>
      <c r="D1844" s="12" t="s">
        <v>12</v>
      </c>
      <c r="E1844" s="12" t="s">
        <v>11581</v>
      </c>
      <c r="F1844" s="12"/>
      <c r="G1844" s="12" t="s">
        <v>3699</v>
      </c>
      <c r="H1844" s="12" t="s">
        <v>72</v>
      </c>
      <c r="I1844" s="12" t="s">
        <v>31</v>
      </c>
      <c r="J1844" s="13" t="s">
        <v>3700</v>
      </c>
      <c r="K1844" s="14" t="s">
        <v>11582</v>
      </c>
      <c r="L1844" s="15">
        <v>2</v>
      </c>
      <c r="M1844" s="15" t="s">
        <v>144</v>
      </c>
      <c r="N1844" s="16">
        <v>39507</v>
      </c>
      <c r="O1844" s="12" t="s">
        <v>11580</v>
      </c>
      <c r="P1844" s="14" t="s">
        <v>11583</v>
      </c>
      <c r="Q1844" s="17" t="s">
        <v>137</v>
      </c>
      <c r="R1844" s="17" t="s">
        <v>146</v>
      </c>
    </row>
    <row r="1845" spans="1:18" x14ac:dyDescent="0.3">
      <c r="A1845" s="12" t="s">
        <v>11584</v>
      </c>
      <c r="B1845" s="12" t="s">
        <v>12</v>
      </c>
      <c r="C1845" s="12"/>
      <c r="D1845" s="12" t="s">
        <v>12</v>
      </c>
      <c r="E1845" s="12" t="s">
        <v>11585</v>
      </c>
      <c r="F1845" s="12"/>
      <c r="G1845" s="12" t="s">
        <v>3699</v>
      </c>
      <c r="H1845" s="12" t="s">
        <v>72</v>
      </c>
      <c r="I1845" s="12" t="s">
        <v>31</v>
      </c>
      <c r="J1845" s="13" t="s">
        <v>3700</v>
      </c>
      <c r="K1845" s="14" t="s">
        <v>11586</v>
      </c>
      <c r="L1845" s="15">
        <v>0</v>
      </c>
      <c r="M1845" s="15" t="s">
        <v>144</v>
      </c>
      <c r="N1845" s="16">
        <v>39728</v>
      </c>
      <c r="O1845" s="12" t="s">
        <v>11584</v>
      </c>
      <c r="P1845" s="14" t="s">
        <v>11587</v>
      </c>
      <c r="Q1845" s="17" t="s">
        <v>137</v>
      </c>
      <c r="R1845" s="17" t="s">
        <v>146</v>
      </c>
    </row>
    <row r="1846" spans="1:18" x14ac:dyDescent="0.3">
      <c r="A1846" s="12" t="s">
        <v>11588</v>
      </c>
      <c r="B1846" s="12" t="s">
        <v>12</v>
      </c>
      <c r="C1846" s="12"/>
      <c r="D1846" s="12" t="s">
        <v>12</v>
      </c>
      <c r="E1846" s="12" t="s">
        <v>11589</v>
      </c>
      <c r="F1846" s="12"/>
      <c r="G1846" s="12" t="s">
        <v>11590</v>
      </c>
      <c r="H1846" s="12" t="s">
        <v>72</v>
      </c>
      <c r="I1846" s="12" t="s">
        <v>31</v>
      </c>
      <c r="J1846" s="13" t="s">
        <v>11591</v>
      </c>
      <c r="K1846" s="14" t="s">
        <v>11592</v>
      </c>
      <c r="L1846" s="15">
        <v>2</v>
      </c>
      <c r="M1846" s="15" t="s">
        <v>144</v>
      </c>
      <c r="N1846" s="16">
        <v>44120</v>
      </c>
      <c r="O1846" s="12" t="s">
        <v>11588</v>
      </c>
      <c r="P1846" s="14" t="s">
        <v>11593</v>
      </c>
      <c r="Q1846" s="17" t="s">
        <v>137</v>
      </c>
      <c r="R1846" s="17" t="s">
        <v>146</v>
      </c>
    </row>
    <row r="1847" spans="1:18" x14ac:dyDescent="0.3">
      <c r="A1847" s="12" t="s">
        <v>11594</v>
      </c>
      <c r="B1847" s="12" t="s">
        <v>12</v>
      </c>
      <c r="C1847" s="12"/>
      <c r="D1847" s="12" t="s">
        <v>12</v>
      </c>
      <c r="E1847" s="12" t="s">
        <v>11595</v>
      </c>
      <c r="F1847" s="12"/>
      <c r="G1847" s="12" t="s">
        <v>11590</v>
      </c>
      <c r="H1847" s="12" t="s">
        <v>72</v>
      </c>
      <c r="I1847" s="12" t="s">
        <v>31</v>
      </c>
      <c r="J1847" s="13" t="s">
        <v>11591</v>
      </c>
      <c r="K1847" s="14" t="s">
        <v>11596</v>
      </c>
      <c r="L1847" s="15">
        <v>1</v>
      </c>
      <c r="M1847" s="15" t="s">
        <v>144</v>
      </c>
      <c r="N1847" s="16">
        <v>40240</v>
      </c>
      <c r="O1847" s="12" t="s">
        <v>11594</v>
      </c>
      <c r="P1847" s="14" t="s">
        <v>11597</v>
      </c>
      <c r="Q1847" s="17" t="s">
        <v>137</v>
      </c>
      <c r="R1847" s="17" t="s">
        <v>146</v>
      </c>
    </row>
    <row r="1848" spans="1:18" x14ac:dyDescent="0.3">
      <c r="A1848" s="12" t="s">
        <v>11598</v>
      </c>
      <c r="B1848" s="12" t="s">
        <v>12</v>
      </c>
      <c r="C1848" s="12"/>
      <c r="D1848" s="12" t="s">
        <v>12</v>
      </c>
      <c r="E1848" s="12" t="s">
        <v>11599</v>
      </c>
      <c r="F1848" s="12"/>
      <c r="G1848" s="12" t="s">
        <v>11600</v>
      </c>
      <c r="H1848" s="12" t="s">
        <v>72</v>
      </c>
      <c r="I1848" s="12" t="s">
        <v>31</v>
      </c>
      <c r="J1848" s="13" t="s">
        <v>11601</v>
      </c>
      <c r="K1848" s="14" t="s">
        <v>11602</v>
      </c>
      <c r="L1848" s="15">
        <v>1</v>
      </c>
      <c r="M1848" s="15" t="s">
        <v>144</v>
      </c>
      <c r="N1848" s="16">
        <v>40576</v>
      </c>
      <c r="O1848" s="12" t="s">
        <v>11598</v>
      </c>
      <c r="P1848" s="14" t="s">
        <v>11603</v>
      </c>
      <c r="Q1848" s="17" t="s">
        <v>137</v>
      </c>
      <c r="R1848" s="17" t="s">
        <v>146</v>
      </c>
    </row>
    <row r="1849" spans="1:18" x14ac:dyDescent="0.3">
      <c r="A1849" s="12" t="s">
        <v>11604</v>
      </c>
      <c r="B1849" s="12" t="s">
        <v>12</v>
      </c>
      <c r="C1849" s="12"/>
      <c r="D1849" s="12" t="s">
        <v>12</v>
      </c>
      <c r="E1849" s="12" t="s">
        <v>11605</v>
      </c>
      <c r="F1849" s="12"/>
      <c r="G1849" s="12" t="s">
        <v>11600</v>
      </c>
      <c r="H1849" s="12" t="s">
        <v>72</v>
      </c>
      <c r="I1849" s="12" t="s">
        <v>31</v>
      </c>
      <c r="J1849" s="13" t="s">
        <v>11601</v>
      </c>
      <c r="K1849" s="14" t="s">
        <v>11606</v>
      </c>
      <c r="L1849" s="15">
        <v>1</v>
      </c>
      <c r="M1849" s="15" t="s">
        <v>144</v>
      </c>
      <c r="N1849" s="16">
        <v>44065</v>
      </c>
      <c r="O1849" s="12" t="s">
        <v>11604</v>
      </c>
      <c r="P1849" s="14" t="s">
        <v>11607</v>
      </c>
      <c r="Q1849" s="17" t="s">
        <v>137</v>
      </c>
      <c r="R1849" s="17" t="s">
        <v>146</v>
      </c>
    </row>
    <row r="1850" spans="1:18" x14ac:dyDescent="0.3">
      <c r="A1850" s="12" t="s">
        <v>11608</v>
      </c>
      <c r="B1850" s="12" t="s">
        <v>14</v>
      </c>
      <c r="C1850" s="12"/>
      <c r="D1850" s="12" t="s">
        <v>14</v>
      </c>
      <c r="E1850" s="12" t="s">
        <v>11609</v>
      </c>
      <c r="F1850" s="12"/>
      <c r="G1850" s="12" t="s">
        <v>11600</v>
      </c>
      <c r="H1850" s="12" t="s">
        <v>72</v>
      </c>
      <c r="I1850" s="12" t="s">
        <v>31</v>
      </c>
      <c r="J1850" s="13" t="s">
        <v>11601</v>
      </c>
      <c r="K1850" s="14" t="s">
        <v>11610</v>
      </c>
      <c r="L1850" s="15">
        <v>0</v>
      </c>
      <c r="M1850" s="15" t="s">
        <v>144</v>
      </c>
      <c r="N1850" s="16">
        <v>44234</v>
      </c>
      <c r="O1850" s="12" t="s">
        <v>11608</v>
      </c>
      <c r="P1850" s="14" t="s">
        <v>11611</v>
      </c>
      <c r="Q1850" s="17" t="s">
        <v>137</v>
      </c>
      <c r="R1850" s="17" t="s">
        <v>146</v>
      </c>
    </row>
    <row r="1851" spans="1:18" x14ac:dyDescent="0.3">
      <c r="A1851" s="12" t="s">
        <v>11612</v>
      </c>
      <c r="B1851" s="12" t="s">
        <v>12</v>
      </c>
      <c r="C1851" s="12"/>
      <c r="D1851" s="12" t="s">
        <v>12</v>
      </c>
      <c r="E1851" s="12" t="s">
        <v>11613</v>
      </c>
      <c r="F1851" s="12"/>
      <c r="G1851" s="12" t="s">
        <v>3726</v>
      </c>
      <c r="H1851" s="12" t="s">
        <v>74</v>
      </c>
      <c r="I1851" s="12" t="s">
        <v>31</v>
      </c>
      <c r="J1851" s="13" t="s">
        <v>3727</v>
      </c>
      <c r="K1851" s="14" t="s">
        <v>11614</v>
      </c>
      <c r="L1851" s="15">
        <v>1</v>
      </c>
      <c r="M1851" s="15" t="s">
        <v>144</v>
      </c>
      <c r="N1851" s="16">
        <v>42180</v>
      </c>
      <c r="O1851" s="12" t="s">
        <v>11612</v>
      </c>
      <c r="P1851" s="14" t="s">
        <v>11615</v>
      </c>
      <c r="Q1851" s="17" t="s">
        <v>137</v>
      </c>
      <c r="R1851" s="17" t="s">
        <v>146</v>
      </c>
    </row>
    <row r="1852" spans="1:18" x14ac:dyDescent="0.3">
      <c r="A1852" s="12" t="s">
        <v>11616</v>
      </c>
      <c r="B1852" s="12" t="s">
        <v>12</v>
      </c>
      <c r="C1852" s="12"/>
      <c r="D1852" s="12" t="s">
        <v>12</v>
      </c>
      <c r="E1852" s="12" t="s">
        <v>11617</v>
      </c>
      <c r="F1852" s="12"/>
      <c r="G1852" s="12" t="s">
        <v>3726</v>
      </c>
      <c r="H1852" s="12" t="s">
        <v>74</v>
      </c>
      <c r="I1852" s="12" t="s">
        <v>31</v>
      </c>
      <c r="J1852" s="13" t="s">
        <v>3727</v>
      </c>
      <c r="K1852" s="14" t="s">
        <v>11618</v>
      </c>
      <c r="L1852" s="15">
        <v>1</v>
      </c>
      <c r="M1852" s="15" t="s">
        <v>144</v>
      </c>
      <c r="N1852" s="16">
        <v>43287</v>
      </c>
      <c r="O1852" s="12" t="s">
        <v>11616</v>
      </c>
      <c r="P1852" s="14" t="s">
        <v>11619</v>
      </c>
      <c r="Q1852" s="17" t="s">
        <v>137</v>
      </c>
      <c r="R1852" s="17" t="s">
        <v>146</v>
      </c>
    </row>
    <row r="1853" spans="1:18" x14ac:dyDescent="0.3">
      <c r="A1853" s="12" t="s">
        <v>11620</v>
      </c>
      <c r="B1853" s="12" t="s">
        <v>12</v>
      </c>
      <c r="C1853" s="12"/>
      <c r="D1853" s="12" t="s">
        <v>12</v>
      </c>
      <c r="E1853" s="12" t="s">
        <v>11621</v>
      </c>
      <c r="F1853" s="12"/>
      <c r="G1853" s="12" t="s">
        <v>11622</v>
      </c>
      <c r="H1853" s="12" t="s">
        <v>76</v>
      </c>
      <c r="I1853" s="12" t="s">
        <v>31</v>
      </c>
      <c r="J1853" s="13" t="s">
        <v>11623</v>
      </c>
      <c r="K1853" s="14" t="s">
        <v>11624</v>
      </c>
      <c r="L1853" s="15">
        <v>1</v>
      </c>
      <c r="M1853" s="15" t="s">
        <v>144</v>
      </c>
      <c r="N1853" s="16">
        <v>41989</v>
      </c>
      <c r="O1853" s="12" t="s">
        <v>11620</v>
      </c>
      <c r="P1853" s="14" t="s">
        <v>11625</v>
      </c>
      <c r="Q1853" s="17" t="s">
        <v>137</v>
      </c>
      <c r="R1853" s="17" t="s">
        <v>146</v>
      </c>
    </row>
    <row r="1854" spans="1:18" x14ac:dyDescent="0.3">
      <c r="A1854" s="12" t="s">
        <v>11626</v>
      </c>
      <c r="B1854" s="12" t="s">
        <v>12</v>
      </c>
      <c r="C1854" s="12"/>
      <c r="D1854" s="12" t="s">
        <v>12</v>
      </c>
      <c r="E1854" s="12" t="s">
        <v>11627</v>
      </c>
      <c r="F1854" s="12"/>
      <c r="G1854" s="12" t="s">
        <v>3740</v>
      </c>
      <c r="H1854" s="12" t="s">
        <v>76</v>
      </c>
      <c r="I1854" s="12" t="s">
        <v>31</v>
      </c>
      <c r="J1854" s="13" t="s">
        <v>3741</v>
      </c>
      <c r="K1854" s="14" t="s">
        <v>11628</v>
      </c>
      <c r="L1854" s="15">
        <v>3</v>
      </c>
      <c r="M1854" s="15" t="s">
        <v>144</v>
      </c>
      <c r="N1854" s="16">
        <v>41213</v>
      </c>
      <c r="O1854" s="12" t="s">
        <v>11626</v>
      </c>
      <c r="P1854" s="14" t="s">
        <v>11629</v>
      </c>
      <c r="Q1854" s="17" t="s">
        <v>137</v>
      </c>
      <c r="R1854" s="17" t="s">
        <v>146</v>
      </c>
    </row>
    <row r="1855" spans="1:18" x14ac:dyDescent="0.3">
      <c r="A1855" s="12" t="s">
        <v>11630</v>
      </c>
      <c r="B1855" s="12" t="s">
        <v>12</v>
      </c>
      <c r="C1855" s="12"/>
      <c r="D1855" s="12" t="s">
        <v>12</v>
      </c>
      <c r="E1855" s="12" t="s">
        <v>11627</v>
      </c>
      <c r="F1855" s="12"/>
      <c r="G1855" s="12" t="s">
        <v>3740</v>
      </c>
      <c r="H1855" s="12" t="s">
        <v>76</v>
      </c>
      <c r="I1855" s="12" t="s">
        <v>31</v>
      </c>
      <c r="J1855" s="13" t="s">
        <v>3741</v>
      </c>
      <c r="K1855" s="14" t="s">
        <v>11628</v>
      </c>
      <c r="L1855" s="15">
        <v>3</v>
      </c>
      <c r="M1855" s="15" t="s">
        <v>144</v>
      </c>
      <c r="N1855" s="16">
        <v>42779</v>
      </c>
      <c r="O1855" s="12" t="s">
        <v>11630</v>
      </c>
      <c r="P1855" s="14" t="s">
        <v>11631</v>
      </c>
      <c r="Q1855" s="17" t="s">
        <v>137</v>
      </c>
      <c r="R1855" s="17" t="s">
        <v>146</v>
      </c>
    </row>
    <row r="1856" spans="1:18" x14ac:dyDescent="0.3">
      <c r="A1856" s="12" t="s">
        <v>11632</v>
      </c>
      <c r="B1856" s="12" t="s">
        <v>12</v>
      </c>
      <c r="C1856" s="12"/>
      <c r="D1856" s="12" t="s">
        <v>12</v>
      </c>
      <c r="E1856" s="12" t="s">
        <v>11633</v>
      </c>
      <c r="F1856" s="12"/>
      <c r="G1856" s="12" t="s">
        <v>62</v>
      </c>
      <c r="H1856" s="12" t="s">
        <v>62</v>
      </c>
      <c r="I1856" s="12" t="s">
        <v>31</v>
      </c>
      <c r="J1856" s="13" t="s">
        <v>3747</v>
      </c>
      <c r="K1856" s="14" t="s">
        <v>11634</v>
      </c>
      <c r="L1856" s="15">
        <v>1</v>
      </c>
      <c r="M1856" s="15" t="s">
        <v>144</v>
      </c>
      <c r="N1856" s="16">
        <v>41985</v>
      </c>
      <c r="O1856" s="12" t="s">
        <v>11632</v>
      </c>
      <c r="P1856" s="14" t="s">
        <v>11635</v>
      </c>
      <c r="Q1856" s="17" t="s">
        <v>137</v>
      </c>
      <c r="R1856" s="17" t="s">
        <v>146</v>
      </c>
    </row>
    <row r="1857" spans="1:18" x14ac:dyDescent="0.3">
      <c r="A1857" s="12" t="s">
        <v>11636</v>
      </c>
      <c r="B1857" s="12" t="s">
        <v>12</v>
      </c>
      <c r="C1857" s="12"/>
      <c r="D1857" s="12" t="s">
        <v>12</v>
      </c>
      <c r="E1857" s="12" t="s">
        <v>11637</v>
      </c>
      <c r="F1857" s="12"/>
      <c r="G1857" s="12" t="s">
        <v>62</v>
      </c>
      <c r="H1857" s="12" t="s">
        <v>62</v>
      </c>
      <c r="I1857" s="12" t="s">
        <v>31</v>
      </c>
      <c r="J1857" s="13" t="s">
        <v>3747</v>
      </c>
      <c r="K1857" s="14" t="s">
        <v>11638</v>
      </c>
      <c r="L1857" s="15">
        <v>1</v>
      </c>
      <c r="M1857" s="15" t="s">
        <v>144</v>
      </c>
      <c r="N1857" s="16">
        <v>44065</v>
      </c>
      <c r="O1857" s="12" t="s">
        <v>11636</v>
      </c>
      <c r="P1857" s="14" t="s">
        <v>11639</v>
      </c>
      <c r="Q1857" s="17" t="s">
        <v>137</v>
      </c>
      <c r="R1857" s="17" t="s">
        <v>146</v>
      </c>
    </row>
    <row r="1858" spans="1:18" x14ac:dyDescent="0.3">
      <c r="A1858" s="12" t="s">
        <v>11640</v>
      </c>
      <c r="B1858" s="12" t="s">
        <v>12</v>
      </c>
      <c r="C1858" s="12"/>
      <c r="D1858" s="12" t="s">
        <v>12</v>
      </c>
      <c r="E1858" s="12" t="s">
        <v>11641</v>
      </c>
      <c r="F1858" s="12"/>
      <c r="G1858" s="12" t="s">
        <v>3762</v>
      </c>
      <c r="H1858" s="12" t="s">
        <v>62</v>
      </c>
      <c r="I1858" s="12" t="s">
        <v>31</v>
      </c>
      <c r="J1858" s="13" t="s">
        <v>3763</v>
      </c>
      <c r="K1858" s="14" t="s">
        <v>11642</v>
      </c>
      <c r="L1858" s="15">
        <v>1</v>
      </c>
      <c r="M1858" s="15" t="s">
        <v>144</v>
      </c>
      <c r="N1858" s="16">
        <v>44065</v>
      </c>
      <c r="O1858" s="12" t="s">
        <v>11640</v>
      </c>
      <c r="P1858" s="14" t="s">
        <v>11643</v>
      </c>
      <c r="Q1858" s="17" t="s">
        <v>137</v>
      </c>
      <c r="R1858" s="17" t="s">
        <v>146</v>
      </c>
    </row>
    <row r="1859" spans="1:18" x14ac:dyDescent="0.3">
      <c r="A1859" s="12" t="s">
        <v>11644</v>
      </c>
      <c r="B1859" s="12" t="s">
        <v>12</v>
      </c>
      <c r="C1859" s="12"/>
      <c r="D1859" s="12" t="s">
        <v>12</v>
      </c>
      <c r="E1859" s="12" t="s">
        <v>11645</v>
      </c>
      <c r="F1859" s="12"/>
      <c r="G1859" s="12" t="s">
        <v>3771</v>
      </c>
      <c r="H1859" s="12" t="s">
        <v>68</v>
      </c>
      <c r="I1859" s="12" t="s">
        <v>31</v>
      </c>
      <c r="J1859" s="13" t="s">
        <v>3772</v>
      </c>
      <c r="K1859" s="14" t="s">
        <v>11646</v>
      </c>
      <c r="L1859" s="15">
        <v>1</v>
      </c>
      <c r="M1859" s="15" t="s">
        <v>144</v>
      </c>
      <c r="N1859" s="16">
        <v>42284</v>
      </c>
      <c r="O1859" s="12" t="s">
        <v>11647</v>
      </c>
      <c r="P1859" s="14" t="s">
        <v>11648</v>
      </c>
      <c r="Q1859" s="17" t="s">
        <v>137</v>
      </c>
      <c r="R1859" s="17" t="s">
        <v>146</v>
      </c>
    </row>
    <row r="1860" spans="1:18" x14ac:dyDescent="0.3">
      <c r="A1860" s="12" t="s">
        <v>11649</v>
      </c>
      <c r="B1860" s="12" t="s">
        <v>12</v>
      </c>
      <c r="C1860" s="12"/>
      <c r="D1860" s="12" t="s">
        <v>12</v>
      </c>
      <c r="E1860" s="12" t="s">
        <v>3776</v>
      </c>
      <c r="F1860" s="12"/>
      <c r="G1860" s="12" t="s">
        <v>3771</v>
      </c>
      <c r="H1860" s="12" t="s">
        <v>68</v>
      </c>
      <c r="I1860" s="12" t="s">
        <v>31</v>
      </c>
      <c r="J1860" s="13" t="s">
        <v>3772</v>
      </c>
      <c r="K1860" s="14" t="s">
        <v>3777</v>
      </c>
      <c r="L1860" s="15">
        <v>2</v>
      </c>
      <c r="M1860" s="15" t="s">
        <v>144</v>
      </c>
      <c r="N1860" s="16">
        <v>41509</v>
      </c>
      <c r="O1860" s="12" t="s">
        <v>11649</v>
      </c>
      <c r="P1860" s="14" t="s">
        <v>11650</v>
      </c>
      <c r="Q1860" s="17" t="s">
        <v>137</v>
      </c>
      <c r="R1860" s="17" t="s">
        <v>146</v>
      </c>
    </row>
    <row r="1861" spans="1:18" x14ac:dyDescent="0.3">
      <c r="A1861" s="12" t="s">
        <v>11651</v>
      </c>
      <c r="B1861" s="12" t="s">
        <v>12</v>
      </c>
      <c r="C1861" s="12"/>
      <c r="D1861" s="12" t="s">
        <v>12</v>
      </c>
      <c r="E1861" s="12" t="s">
        <v>11652</v>
      </c>
      <c r="F1861" s="12"/>
      <c r="G1861" s="12" t="s">
        <v>3784</v>
      </c>
      <c r="H1861" s="12" t="s">
        <v>68</v>
      </c>
      <c r="I1861" s="12" t="s">
        <v>31</v>
      </c>
      <c r="J1861" s="13" t="s">
        <v>3785</v>
      </c>
      <c r="K1861" s="14" t="s">
        <v>11653</v>
      </c>
      <c r="L1861" s="15">
        <v>0</v>
      </c>
      <c r="M1861" s="15" t="s">
        <v>144</v>
      </c>
      <c r="N1861" s="16">
        <v>44065</v>
      </c>
      <c r="O1861" s="12" t="s">
        <v>11651</v>
      </c>
      <c r="P1861" s="14" t="s">
        <v>11654</v>
      </c>
      <c r="Q1861" s="17" t="s">
        <v>137</v>
      </c>
      <c r="R1861" s="17" t="s">
        <v>146</v>
      </c>
    </row>
    <row r="1862" spans="1:18" x14ac:dyDescent="0.3">
      <c r="A1862" s="12" t="s">
        <v>11655</v>
      </c>
      <c r="B1862" s="12" t="s">
        <v>12</v>
      </c>
      <c r="C1862" s="12"/>
      <c r="D1862" s="12" t="s">
        <v>12</v>
      </c>
      <c r="E1862" s="12" t="s">
        <v>11656</v>
      </c>
      <c r="F1862" s="12" t="s">
        <v>11657</v>
      </c>
      <c r="G1862" s="12" t="s">
        <v>11658</v>
      </c>
      <c r="H1862" s="12" t="s">
        <v>68</v>
      </c>
      <c r="I1862" s="12" t="s">
        <v>31</v>
      </c>
      <c r="J1862" s="13" t="s">
        <v>11659</v>
      </c>
      <c r="K1862" s="14" t="s">
        <v>11660</v>
      </c>
      <c r="L1862" s="15">
        <v>0</v>
      </c>
      <c r="M1862" s="15" t="s">
        <v>144</v>
      </c>
      <c r="N1862" s="16">
        <v>41124</v>
      </c>
      <c r="O1862" s="12" t="s">
        <v>11655</v>
      </c>
      <c r="P1862" s="14" t="s">
        <v>11661</v>
      </c>
      <c r="Q1862" s="17" t="s">
        <v>137</v>
      </c>
      <c r="R1862" s="17" t="s">
        <v>146</v>
      </c>
    </row>
    <row r="1863" spans="1:18" x14ac:dyDescent="0.3">
      <c r="A1863" s="12" t="s">
        <v>11662</v>
      </c>
      <c r="B1863" s="12" t="s">
        <v>12</v>
      </c>
      <c r="C1863" s="12"/>
      <c r="D1863" s="12" t="s">
        <v>12</v>
      </c>
      <c r="E1863" s="12" t="s">
        <v>11656</v>
      </c>
      <c r="F1863" s="12" t="s">
        <v>11657</v>
      </c>
      <c r="G1863" s="12" t="s">
        <v>11658</v>
      </c>
      <c r="H1863" s="12" t="s">
        <v>68</v>
      </c>
      <c r="I1863" s="12" t="s">
        <v>31</v>
      </c>
      <c r="J1863" s="13" t="s">
        <v>11659</v>
      </c>
      <c r="K1863" s="14" t="s">
        <v>11660</v>
      </c>
      <c r="L1863" s="15">
        <v>0</v>
      </c>
      <c r="M1863" s="15" t="s">
        <v>144</v>
      </c>
      <c r="N1863" s="16">
        <v>40165</v>
      </c>
      <c r="O1863" s="12" t="s">
        <v>11662</v>
      </c>
      <c r="P1863" s="14" t="s">
        <v>11663</v>
      </c>
      <c r="Q1863" s="17" t="s">
        <v>137</v>
      </c>
      <c r="R1863" s="17" t="s">
        <v>146</v>
      </c>
    </row>
    <row r="1864" spans="1:18" x14ac:dyDescent="0.3">
      <c r="A1864" s="12" t="s">
        <v>11664</v>
      </c>
      <c r="B1864" s="12" t="s">
        <v>12</v>
      </c>
      <c r="C1864" s="12"/>
      <c r="D1864" s="12" t="s">
        <v>12</v>
      </c>
      <c r="E1864" s="12" t="s">
        <v>11665</v>
      </c>
      <c r="F1864" s="12"/>
      <c r="G1864" s="12" t="s">
        <v>11666</v>
      </c>
      <c r="H1864" s="12" t="s">
        <v>68</v>
      </c>
      <c r="I1864" s="12" t="s">
        <v>31</v>
      </c>
      <c r="J1864" s="13" t="s">
        <v>11667</v>
      </c>
      <c r="K1864" s="14" t="s">
        <v>11668</v>
      </c>
      <c r="L1864" s="15">
        <v>1</v>
      </c>
      <c r="M1864" s="15" t="s">
        <v>144</v>
      </c>
      <c r="N1864" s="16">
        <v>41911</v>
      </c>
      <c r="O1864" s="12" t="s">
        <v>11664</v>
      </c>
      <c r="P1864" s="14" t="s">
        <v>11669</v>
      </c>
      <c r="Q1864" s="17" t="s">
        <v>137</v>
      </c>
      <c r="R1864" s="17" t="s">
        <v>146</v>
      </c>
    </row>
    <row r="1865" spans="1:18" x14ac:dyDescent="0.3">
      <c r="A1865" s="12" t="s">
        <v>11670</v>
      </c>
      <c r="B1865" s="12" t="s">
        <v>12</v>
      </c>
      <c r="C1865" s="12"/>
      <c r="D1865" s="12" t="s">
        <v>12</v>
      </c>
      <c r="E1865" s="12" t="s">
        <v>11671</v>
      </c>
      <c r="F1865" s="12"/>
      <c r="G1865" s="12" t="s">
        <v>3789</v>
      </c>
      <c r="H1865" s="12" t="s">
        <v>99</v>
      </c>
      <c r="I1865" s="12" t="s">
        <v>31</v>
      </c>
      <c r="J1865" s="13" t="s">
        <v>3790</v>
      </c>
      <c r="K1865" s="14" t="s">
        <v>11672</v>
      </c>
      <c r="L1865" s="15">
        <v>1</v>
      </c>
      <c r="M1865" s="15" t="s">
        <v>144</v>
      </c>
      <c r="N1865" s="16">
        <v>42026</v>
      </c>
      <c r="O1865" s="12" t="s">
        <v>11670</v>
      </c>
      <c r="P1865" s="14" t="s">
        <v>11673</v>
      </c>
      <c r="Q1865" s="17" t="s">
        <v>137</v>
      </c>
      <c r="R1865" s="17" t="s">
        <v>146</v>
      </c>
    </row>
    <row r="1866" spans="1:18" x14ac:dyDescent="0.3">
      <c r="A1866" s="12" t="s">
        <v>11674</v>
      </c>
      <c r="B1866" s="12" t="s">
        <v>12</v>
      </c>
      <c r="C1866" s="12"/>
      <c r="D1866" s="12" t="s">
        <v>12</v>
      </c>
      <c r="E1866" s="12" t="s">
        <v>11675</v>
      </c>
      <c r="F1866" s="12"/>
      <c r="G1866" s="12" t="s">
        <v>11676</v>
      </c>
      <c r="H1866" s="12" t="s">
        <v>99</v>
      </c>
      <c r="I1866" s="12" t="s">
        <v>31</v>
      </c>
      <c r="J1866" s="13" t="s">
        <v>11677</v>
      </c>
      <c r="K1866" s="14" t="s">
        <v>11678</v>
      </c>
      <c r="L1866" s="15">
        <v>1</v>
      </c>
      <c r="M1866" s="15" t="s">
        <v>144</v>
      </c>
      <c r="N1866" s="16">
        <v>40513</v>
      </c>
      <c r="O1866" s="12" t="s">
        <v>11674</v>
      </c>
      <c r="P1866" s="14" t="s">
        <v>11679</v>
      </c>
      <c r="Q1866" s="17" t="s">
        <v>137</v>
      </c>
      <c r="R1866" s="17" t="s">
        <v>146</v>
      </c>
    </row>
    <row r="1867" spans="1:18" x14ac:dyDescent="0.3">
      <c r="A1867" s="12" t="s">
        <v>11680</v>
      </c>
      <c r="B1867" s="12" t="s">
        <v>10</v>
      </c>
      <c r="C1867" s="12"/>
      <c r="D1867" s="12" t="s">
        <v>647</v>
      </c>
      <c r="E1867" s="12" t="s">
        <v>11681</v>
      </c>
      <c r="F1867" s="12"/>
      <c r="G1867" s="12" t="s">
        <v>11676</v>
      </c>
      <c r="H1867" s="12" t="s">
        <v>99</v>
      </c>
      <c r="I1867" s="12" t="s">
        <v>31</v>
      </c>
      <c r="J1867" s="13" t="s">
        <v>11677</v>
      </c>
      <c r="K1867" s="14" t="s">
        <v>11682</v>
      </c>
      <c r="L1867" s="15">
        <v>1</v>
      </c>
      <c r="M1867" s="15" t="s">
        <v>220</v>
      </c>
      <c r="N1867" s="16">
        <v>40632</v>
      </c>
      <c r="O1867" s="12" t="s">
        <v>11680</v>
      </c>
      <c r="P1867" s="14" t="s">
        <v>11683</v>
      </c>
      <c r="Q1867" s="17" t="s">
        <v>137</v>
      </c>
      <c r="R1867" s="17" t="s">
        <v>146</v>
      </c>
    </row>
    <row r="1868" spans="1:18" x14ac:dyDescent="0.3">
      <c r="A1868" s="12" t="s">
        <v>421</v>
      </c>
      <c r="B1868" s="12" t="s">
        <v>12</v>
      </c>
      <c r="C1868" s="12"/>
      <c r="D1868" s="12" t="s">
        <v>12</v>
      </c>
      <c r="E1868" s="12" t="s">
        <v>11684</v>
      </c>
      <c r="F1868" s="12"/>
      <c r="G1868" s="12" t="s">
        <v>69</v>
      </c>
      <c r="H1868" s="12" t="s">
        <v>69</v>
      </c>
      <c r="I1868" s="12" t="s">
        <v>31</v>
      </c>
      <c r="J1868" s="13" t="s">
        <v>11685</v>
      </c>
      <c r="K1868" s="14" t="s">
        <v>11686</v>
      </c>
      <c r="L1868" s="15">
        <v>1</v>
      </c>
      <c r="M1868" s="15" t="s">
        <v>144</v>
      </c>
      <c r="N1868" s="16">
        <v>41558</v>
      </c>
      <c r="O1868" s="12" t="s">
        <v>421</v>
      </c>
      <c r="P1868" s="14" t="s">
        <v>11687</v>
      </c>
      <c r="Q1868" s="17" t="s">
        <v>137</v>
      </c>
      <c r="R1868" s="17" t="s">
        <v>146</v>
      </c>
    </row>
    <row r="1869" spans="1:18" x14ac:dyDescent="0.3">
      <c r="A1869" s="12" t="s">
        <v>11688</v>
      </c>
      <c r="B1869" s="12" t="s">
        <v>12</v>
      </c>
      <c r="C1869" s="12"/>
      <c r="D1869" s="12" t="s">
        <v>12</v>
      </c>
      <c r="E1869" s="12" t="s">
        <v>11689</v>
      </c>
      <c r="F1869" s="12"/>
      <c r="G1869" s="12" t="s">
        <v>3795</v>
      </c>
      <c r="H1869" s="12" t="s">
        <v>69</v>
      </c>
      <c r="I1869" s="12" t="s">
        <v>31</v>
      </c>
      <c r="J1869" s="13" t="s">
        <v>3796</v>
      </c>
      <c r="K1869" s="14" t="s">
        <v>11690</v>
      </c>
      <c r="L1869" s="15">
        <v>1</v>
      </c>
      <c r="M1869" s="15" t="s">
        <v>144</v>
      </c>
      <c r="N1869" s="16">
        <v>43489</v>
      </c>
      <c r="O1869" s="12" t="s">
        <v>11688</v>
      </c>
      <c r="P1869" s="14" t="s">
        <v>11691</v>
      </c>
      <c r="Q1869" s="17" t="s">
        <v>137</v>
      </c>
      <c r="R1869" s="17" t="s">
        <v>146</v>
      </c>
    </row>
    <row r="1870" spans="1:18" x14ac:dyDescent="0.3">
      <c r="A1870" s="12" t="s">
        <v>11692</v>
      </c>
      <c r="B1870" s="12" t="s">
        <v>12</v>
      </c>
      <c r="C1870" s="12"/>
      <c r="D1870" s="12" t="s">
        <v>12</v>
      </c>
      <c r="E1870" s="12" t="s">
        <v>11693</v>
      </c>
      <c r="F1870" s="12"/>
      <c r="G1870" s="12" t="s">
        <v>3795</v>
      </c>
      <c r="H1870" s="12" t="s">
        <v>69</v>
      </c>
      <c r="I1870" s="12" t="s">
        <v>31</v>
      </c>
      <c r="J1870" s="13" t="s">
        <v>3796</v>
      </c>
      <c r="K1870" s="14" t="s">
        <v>11694</v>
      </c>
      <c r="L1870" s="15">
        <v>2</v>
      </c>
      <c r="M1870" s="15" t="s">
        <v>144</v>
      </c>
      <c r="N1870" s="16">
        <v>40598</v>
      </c>
      <c r="O1870" s="12" t="s">
        <v>11692</v>
      </c>
      <c r="P1870" s="14" t="s">
        <v>11695</v>
      </c>
      <c r="Q1870" s="17" t="s">
        <v>137</v>
      </c>
      <c r="R1870" s="17" t="s">
        <v>146</v>
      </c>
    </row>
    <row r="1871" spans="1:18" x14ac:dyDescent="0.3">
      <c r="A1871" s="12" t="s">
        <v>11696</v>
      </c>
      <c r="B1871" s="12" t="s">
        <v>12</v>
      </c>
      <c r="C1871" s="12"/>
      <c r="D1871" s="12" t="s">
        <v>12</v>
      </c>
      <c r="E1871" s="12" t="s">
        <v>11689</v>
      </c>
      <c r="F1871" s="12"/>
      <c r="G1871" s="12" t="s">
        <v>3795</v>
      </c>
      <c r="H1871" s="12" t="s">
        <v>69</v>
      </c>
      <c r="I1871" s="12" t="s">
        <v>31</v>
      </c>
      <c r="J1871" s="13" t="s">
        <v>3796</v>
      </c>
      <c r="K1871" s="14" t="s">
        <v>11500</v>
      </c>
      <c r="L1871" s="15">
        <v>1</v>
      </c>
      <c r="M1871" s="15" t="s">
        <v>144</v>
      </c>
      <c r="N1871" s="16">
        <v>43783</v>
      </c>
      <c r="O1871" s="12" t="s">
        <v>11696</v>
      </c>
      <c r="P1871" s="14" t="s">
        <v>11697</v>
      </c>
      <c r="Q1871" s="17" t="s">
        <v>137</v>
      </c>
      <c r="R1871" s="17" t="s">
        <v>146</v>
      </c>
    </row>
    <row r="1872" spans="1:18" x14ac:dyDescent="0.3">
      <c r="A1872" s="12" t="s">
        <v>11698</v>
      </c>
      <c r="B1872" s="12" t="s">
        <v>12</v>
      </c>
      <c r="C1872" s="12"/>
      <c r="D1872" s="12" t="s">
        <v>12</v>
      </c>
      <c r="E1872" s="12" t="s">
        <v>11699</v>
      </c>
      <c r="F1872" s="12"/>
      <c r="G1872" s="12" t="s">
        <v>3805</v>
      </c>
      <c r="H1872" s="12" t="s">
        <v>69</v>
      </c>
      <c r="I1872" s="12" t="s">
        <v>31</v>
      </c>
      <c r="J1872" s="13" t="s">
        <v>3806</v>
      </c>
      <c r="K1872" s="14" t="s">
        <v>11700</v>
      </c>
      <c r="L1872" s="15">
        <v>1</v>
      </c>
      <c r="M1872" s="15" t="s">
        <v>144</v>
      </c>
      <c r="N1872" s="16">
        <v>39549</v>
      </c>
      <c r="O1872" s="12" t="s">
        <v>11698</v>
      </c>
      <c r="P1872" s="14" t="s">
        <v>11701</v>
      </c>
      <c r="Q1872" s="17" t="s">
        <v>137</v>
      </c>
      <c r="R1872" s="17" t="s">
        <v>146</v>
      </c>
    </row>
    <row r="1873" spans="1:18" x14ac:dyDescent="0.3">
      <c r="A1873" s="12" t="s">
        <v>11702</v>
      </c>
      <c r="B1873" s="12" t="s">
        <v>12</v>
      </c>
      <c r="C1873" s="12"/>
      <c r="D1873" s="12" t="s">
        <v>12</v>
      </c>
      <c r="E1873" s="12" t="s">
        <v>11703</v>
      </c>
      <c r="F1873" s="12"/>
      <c r="G1873" s="12" t="s">
        <v>3805</v>
      </c>
      <c r="H1873" s="12" t="s">
        <v>69</v>
      </c>
      <c r="I1873" s="12" t="s">
        <v>31</v>
      </c>
      <c r="J1873" s="13" t="s">
        <v>3806</v>
      </c>
      <c r="K1873" s="14" t="s">
        <v>11704</v>
      </c>
      <c r="L1873" s="15">
        <v>1</v>
      </c>
      <c r="M1873" s="15" t="s">
        <v>144</v>
      </c>
      <c r="N1873" s="16">
        <v>39527</v>
      </c>
      <c r="O1873" s="12" t="s">
        <v>11705</v>
      </c>
      <c r="P1873" s="14" t="s">
        <v>11706</v>
      </c>
      <c r="Q1873" s="17" t="s">
        <v>137</v>
      </c>
      <c r="R1873" s="17" t="s">
        <v>146</v>
      </c>
    </row>
    <row r="1874" spans="1:18" x14ac:dyDescent="0.3">
      <c r="A1874" s="12" t="s">
        <v>11707</v>
      </c>
      <c r="B1874" s="12" t="s">
        <v>12</v>
      </c>
      <c r="C1874" s="12"/>
      <c r="D1874" s="12" t="s">
        <v>12</v>
      </c>
      <c r="E1874" s="12" t="s">
        <v>11708</v>
      </c>
      <c r="F1874" s="12" t="s">
        <v>188</v>
      </c>
      <c r="G1874" s="12" t="s">
        <v>3805</v>
      </c>
      <c r="H1874" s="12" t="s">
        <v>69</v>
      </c>
      <c r="I1874" s="12" t="s">
        <v>31</v>
      </c>
      <c r="J1874" s="13" t="s">
        <v>3806</v>
      </c>
      <c r="K1874" s="14" t="s">
        <v>11538</v>
      </c>
      <c r="L1874" s="15">
        <v>0</v>
      </c>
      <c r="M1874" s="15" t="s">
        <v>220</v>
      </c>
      <c r="N1874" s="16">
        <v>39825</v>
      </c>
      <c r="O1874" s="12" t="s">
        <v>11707</v>
      </c>
      <c r="P1874" s="14" t="s">
        <v>11709</v>
      </c>
      <c r="Q1874" s="17" t="s">
        <v>137</v>
      </c>
      <c r="R1874" s="17" t="s">
        <v>146</v>
      </c>
    </row>
    <row r="1875" spans="1:18" x14ac:dyDescent="0.3">
      <c r="A1875" s="12" t="s">
        <v>11710</v>
      </c>
      <c r="B1875" s="12" t="s">
        <v>12</v>
      </c>
      <c r="C1875" s="12"/>
      <c r="D1875" s="12" t="s">
        <v>12</v>
      </c>
      <c r="E1875" s="12" t="s">
        <v>11711</v>
      </c>
      <c r="F1875" s="12"/>
      <c r="G1875" s="12" t="s">
        <v>11712</v>
      </c>
      <c r="H1875" s="12" t="s">
        <v>119</v>
      </c>
      <c r="I1875" s="12" t="s">
        <v>31</v>
      </c>
      <c r="J1875" s="13" t="s">
        <v>11713</v>
      </c>
      <c r="K1875" s="14" t="s">
        <v>11714</v>
      </c>
      <c r="L1875" s="15">
        <v>0</v>
      </c>
      <c r="M1875" s="15" t="s">
        <v>144</v>
      </c>
      <c r="N1875" s="16">
        <v>40954</v>
      </c>
      <c r="O1875" s="12" t="s">
        <v>11710</v>
      </c>
      <c r="P1875" s="14" t="s">
        <v>11715</v>
      </c>
      <c r="Q1875" s="17" t="s">
        <v>137</v>
      </c>
      <c r="R1875" s="17" t="s">
        <v>146</v>
      </c>
    </row>
    <row r="1876" spans="1:18" x14ac:dyDescent="0.3">
      <c r="A1876" s="12" t="s">
        <v>11716</v>
      </c>
      <c r="B1876" s="12" t="s">
        <v>12</v>
      </c>
      <c r="C1876" s="12"/>
      <c r="D1876" s="12" t="s">
        <v>12</v>
      </c>
      <c r="E1876" s="12" t="s">
        <v>11717</v>
      </c>
      <c r="F1876" s="12"/>
      <c r="G1876" s="12" t="s">
        <v>11718</v>
      </c>
      <c r="H1876" s="12" t="s">
        <v>119</v>
      </c>
      <c r="I1876" s="12" t="s">
        <v>31</v>
      </c>
      <c r="J1876" s="13" t="s">
        <v>11719</v>
      </c>
      <c r="K1876" s="14" t="s">
        <v>11720</v>
      </c>
      <c r="L1876" s="15">
        <v>1</v>
      </c>
      <c r="M1876" s="15" t="s">
        <v>144</v>
      </c>
      <c r="N1876" s="16">
        <v>40786</v>
      </c>
      <c r="O1876" s="12" t="s">
        <v>11716</v>
      </c>
      <c r="P1876" s="14" t="s">
        <v>11721</v>
      </c>
      <c r="Q1876" s="17" t="s">
        <v>137</v>
      </c>
      <c r="R1876" s="17" t="s">
        <v>146</v>
      </c>
    </row>
    <row r="1877" spans="1:18" x14ac:dyDescent="0.3">
      <c r="A1877" s="12" t="s">
        <v>11722</v>
      </c>
      <c r="B1877" s="12" t="s">
        <v>12</v>
      </c>
      <c r="C1877" s="12"/>
      <c r="D1877" s="12" t="s">
        <v>12</v>
      </c>
      <c r="E1877" s="12" t="s">
        <v>11717</v>
      </c>
      <c r="F1877" s="12"/>
      <c r="G1877" s="12" t="s">
        <v>11718</v>
      </c>
      <c r="H1877" s="12" t="s">
        <v>119</v>
      </c>
      <c r="I1877" s="12" t="s">
        <v>31</v>
      </c>
      <c r="J1877" s="13" t="s">
        <v>11719</v>
      </c>
      <c r="K1877" s="14" t="s">
        <v>11720</v>
      </c>
      <c r="L1877" s="15">
        <v>1</v>
      </c>
      <c r="M1877" s="15" t="s">
        <v>144</v>
      </c>
      <c r="N1877" s="16">
        <v>44279</v>
      </c>
      <c r="O1877" s="12" t="s">
        <v>11722</v>
      </c>
      <c r="P1877" s="14" t="s">
        <v>11723</v>
      </c>
      <c r="Q1877" s="17" t="s">
        <v>137</v>
      </c>
      <c r="R1877" s="17" t="s">
        <v>146</v>
      </c>
    </row>
    <row r="1878" spans="1:18" x14ac:dyDescent="0.3">
      <c r="A1878" s="12" t="s">
        <v>11724</v>
      </c>
      <c r="B1878" s="12" t="s">
        <v>12</v>
      </c>
      <c r="C1878" s="12"/>
      <c r="D1878" s="12" t="s">
        <v>12</v>
      </c>
      <c r="E1878" s="12" t="s">
        <v>11725</v>
      </c>
      <c r="F1878" s="12"/>
      <c r="G1878" s="12" t="s">
        <v>11718</v>
      </c>
      <c r="H1878" s="12" t="s">
        <v>119</v>
      </c>
      <c r="I1878" s="12" t="s">
        <v>31</v>
      </c>
      <c r="J1878" s="13" t="s">
        <v>11719</v>
      </c>
      <c r="K1878" s="14" t="s">
        <v>11726</v>
      </c>
      <c r="L1878" s="15">
        <v>0</v>
      </c>
      <c r="M1878" s="15" t="s">
        <v>144</v>
      </c>
      <c r="N1878" s="16">
        <v>41227</v>
      </c>
      <c r="O1878" s="12" t="s">
        <v>11724</v>
      </c>
      <c r="P1878" s="14" t="s">
        <v>11727</v>
      </c>
      <c r="Q1878" s="17" t="s">
        <v>137</v>
      </c>
      <c r="R1878" s="17" t="s">
        <v>146</v>
      </c>
    </row>
    <row r="1879" spans="1:18" x14ac:dyDescent="0.3">
      <c r="A1879" s="12" t="s">
        <v>11728</v>
      </c>
      <c r="B1879" s="12" t="s">
        <v>12</v>
      </c>
      <c r="C1879" s="12"/>
      <c r="D1879" s="12" t="s">
        <v>12</v>
      </c>
      <c r="E1879" s="12" t="s">
        <v>11729</v>
      </c>
      <c r="F1879" s="12"/>
      <c r="G1879" s="12" t="s">
        <v>11730</v>
      </c>
      <c r="H1879" s="12" t="s">
        <v>119</v>
      </c>
      <c r="I1879" s="12" t="s">
        <v>31</v>
      </c>
      <c r="J1879" s="13" t="s">
        <v>11731</v>
      </c>
      <c r="K1879" s="14" t="s">
        <v>11732</v>
      </c>
      <c r="L1879" s="15">
        <v>0</v>
      </c>
      <c r="M1879" s="15" t="s">
        <v>144</v>
      </c>
      <c r="N1879" s="16">
        <v>39374</v>
      </c>
      <c r="O1879" s="12" t="s">
        <v>11728</v>
      </c>
      <c r="P1879" s="14" t="s">
        <v>11733</v>
      </c>
      <c r="Q1879" s="17" t="s">
        <v>137</v>
      </c>
      <c r="R1879" s="17" t="s">
        <v>146</v>
      </c>
    </row>
    <row r="1880" spans="1:18" x14ac:dyDescent="0.3">
      <c r="A1880" s="12" t="s">
        <v>11734</v>
      </c>
      <c r="B1880" s="12" t="s">
        <v>12</v>
      </c>
      <c r="C1880" s="12"/>
      <c r="D1880" s="12" t="s">
        <v>12</v>
      </c>
      <c r="E1880" s="12" t="s">
        <v>11735</v>
      </c>
      <c r="F1880" s="12"/>
      <c r="G1880" s="12" t="s">
        <v>3814</v>
      </c>
      <c r="H1880" s="12" t="s">
        <v>89</v>
      </c>
      <c r="I1880" s="12" t="s">
        <v>31</v>
      </c>
      <c r="J1880" s="13" t="s">
        <v>3815</v>
      </c>
      <c r="K1880" s="14" t="s">
        <v>11736</v>
      </c>
      <c r="L1880" s="15">
        <v>0</v>
      </c>
      <c r="M1880" s="15" t="s">
        <v>144</v>
      </c>
      <c r="N1880" s="16">
        <v>44065</v>
      </c>
      <c r="O1880" s="12" t="s">
        <v>11734</v>
      </c>
      <c r="P1880" s="14" t="s">
        <v>11737</v>
      </c>
      <c r="Q1880" s="17" t="s">
        <v>137</v>
      </c>
      <c r="R1880" s="17" t="s">
        <v>146</v>
      </c>
    </row>
    <row r="1881" spans="1:18" x14ac:dyDescent="0.3">
      <c r="A1881" s="12" t="s">
        <v>11738</v>
      </c>
      <c r="B1881" s="12" t="s">
        <v>12</v>
      </c>
      <c r="C1881" s="12"/>
      <c r="D1881" s="12" t="s">
        <v>12</v>
      </c>
      <c r="E1881" s="12" t="s">
        <v>11739</v>
      </c>
      <c r="F1881" s="12"/>
      <c r="G1881" s="12" t="s">
        <v>3814</v>
      </c>
      <c r="H1881" s="12" t="s">
        <v>89</v>
      </c>
      <c r="I1881" s="12" t="s">
        <v>31</v>
      </c>
      <c r="J1881" s="13" t="s">
        <v>3815</v>
      </c>
      <c r="K1881" s="14" t="s">
        <v>11740</v>
      </c>
      <c r="L1881" s="15">
        <v>1</v>
      </c>
      <c r="M1881" s="15" t="s">
        <v>144</v>
      </c>
      <c r="N1881" s="16">
        <v>44065</v>
      </c>
      <c r="O1881" s="12" t="s">
        <v>11738</v>
      </c>
      <c r="P1881" s="14" t="s">
        <v>11741</v>
      </c>
      <c r="Q1881" s="17" t="s">
        <v>137</v>
      </c>
      <c r="R1881" s="17" t="s">
        <v>146</v>
      </c>
    </row>
    <row r="1882" spans="1:18" x14ac:dyDescent="0.3">
      <c r="A1882" s="12" t="s">
        <v>11742</v>
      </c>
      <c r="B1882" s="12" t="s">
        <v>12</v>
      </c>
      <c r="C1882" s="12"/>
      <c r="D1882" s="12" t="s">
        <v>12</v>
      </c>
      <c r="E1882" s="12" t="s">
        <v>11743</v>
      </c>
      <c r="F1882" s="12"/>
      <c r="G1882" s="12" t="s">
        <v>11744</v>
      </c>
      <c r="H1882" s="12" t="s">
        <v>75</v>
      </c>
      <c r="I1882" s="12" t="s">
        <v>32</v>
      </c>
      <c r="J1882" s="13" t="s">
        <v>11745</v>
      </c>
      <c r="K1882" s="14" t="s">
        <v>11746</v>
      </c>
      <c r="L1882" s="15">
        <v>1</v>
      </c>
      <c r="M1882" s="15" t="s">
        <v>144</v>
      </c>
      <c r="N1882" s="16">
        <v>44065</v>
      </c>
      <c r="O1882" s="12" t="s">
        <v>11742</v>
      </c>
      <c r="P1882" s="14" t="s">
        <v>11747</v>
      </c>
      <c r="Q1882" s="17" t="s">
        <v>137</v>
      </c>
      <c r="R1882" s="17" t="s">
        <v>146</v>
      </c>
    </row>
    <row r="1883" spans="1:18" x14ac:dyDescent="0.3">
      <c r="A1883" s="12" t="s">
        <v>11748</v>
      </c>
      <c r="B1883" s="12" t="s">
        <v>12</v>
      </c>
      <c r="C1883" s="12"/>
      <c r="D1883" s="12" t="s">
        <v>12</v>
      </c>
      <c r="E1883" s="12" t="s">
        <v>11749</v>
      </c>
      <c r="F1883" s="12" t="s">
        <v>952</v>
      </c>
      <c r="G1883" s="12" t="s">
        <v>3822</v>
      </c>
      <c r="H1883" s="12" t="s">
        <v>75</v>
      </c>
      <c r="I1883" s="12" t="s">
        <v>32</v>
      </c>
      <c r="J1883" s="13" t="s">
        <v>3823</v>
      </c>
      <c r="K1883" s="14" t="s">
        <v>11750</v>
      </c>
      <c r="L1883" s="15">
        <v>0</v>
      </c>
      <c r="M1883" s="15" t="s">
        <v>144</v>
      </c>
      <c r="N1883" s="16">
        <v>42201</v>
      </c>
      <c r="O1883" s="12" t="s">
        <v>11748</v>
      </c>
      <c r="P1883" s="14" t="s">
        <v>11751</v>
      </c>
      <c r="Q1883" s="17" t="s">
        <v>137</v>
      </c>
      <c r="R1883" s="17" t="s">
        <v>146</v>
      </c>
    </row>
    <row r="1884" spans="1:18" x14ac:dyDescent="0.3">
      <c r="A1884" s="12" t="s">
        <v>11752</v>
      </c>
      <c r="B1884" s="12" t="s">
        <v>12</v>
      </c>
      <c r="C1884" s="12"/>
      <c r="D1884" s="12" t="s">
        <v>12</v>
      </c>
      <c r="E1884" s="12" t="s">
        <v>11753</v>
      </c>
      <c r="F1884" s="12"/>
      <c r="G1884" s="12" t="s">
        <v>3822</v>
      </c>
      <c r="H1884" s="12" t="s">
        <v>75</v>
      </c>
      <c r="I1884" s="12" t="s">
        <v>32</v>
      </c>
      <c r="J1884" s="13" t="s">
        <v>3823</v>
      </c>
      <c r="K1884" s="14" t="s">
        <v>11754</v>
      </c>
      <c r="L1884" s="15">
        <v>1</v>
      </c>
      <c r="M1884" s="15" t="s">
        <v>144</v>
      </c>
      <c r="N1884" s="16">
        <v>39426</v>
      </c>
      <c r="O1884" s="12" t="s">
        <v>11752</v>
      </c>
      <c r="P1884" s="14" t="s">
        <v>11755</v>
      </c>
      <c r="Q1884" s="17" t="s">
        <v>137</v>
      </c>
      <c r="R1884" s="17" t="s">
        <v>146</v>
      </c>
    </row>
    <row r="1885" spans="1:18" x14ac:dyDescent="0.3">
      <c r="A1885" s="12" t="s">
        <v>11756</v>
      </c>
      <c r="B1885" s="12" t="s">
        <v>12</v>
      </c>
      <c r="C1885" s="12"/>
      <c r="D1885" s="12" t="s">
        <v>12</v>
      </c>
      <c r="E1885" s="12" t="s">
        <v>11757</v>
      </c>
      <c r="F1885" s="12"/>
      <c r="G1885" s="12" t="s">
        <v>3822</v>
      </c>
      <c r="H1885" s="12" t="s">
        <v>75</v>
      </c>
      <c r="I1885" s="12" t="s">
        <v>32</v>
      </c>
      <c r="J1885" s="13" t="s">
        <v>3823</v>
      </c>
      <c r="K1885" s="14" t="s">
        <v>11758</v>
      </c>
      <c r="L1885" s="15">
        <v>1</v>
      </c>
      <c r="M1885" s="15" t="s">
        <v>144</v>
      </c>
      <c r="N1885" s="16">
        <v>39351</v>
      </c>
      <c r="O1885" s="12" t="s">
        <v>11756</v>
      </c>
      <c r="P1885" s="14" t="s">
        <v>11759</v>
      </c>
      <c r="Q1885" s="17" t="s">
        <v>137</v>
      </c>
      <c r="R1885" s="17" t="s">
        <v>146</v>
      </c>
    </row>
    <row r="1886" spans="1:18" x14ac:dyDescent="0.3">
      <c r="A1886" s="12" t="s">
        <v>11760</v>
      </c>
      <c r="B1886" s="12" t="s">
        <v>14</v>
      </c>
      <c r="C1886" s="12"/>
      <c r="D1886" s="12" t="s">
        <v>14</v>
      </c>
      <c r="E1886" s="12" t="s">
        <v>11761</v>
      </c>
      <c r="F1886" s="12"/>
      <c r="G1886" s="12" t="s">
        <v>3847</v>
      </c>
      <c r="H1886" s="12" t="s">
        <v>81</v>
      </c>
      <c r="I1886" s="12" t="s">
        <v>32</v>
      </c>
      <c r="J1886" s="13" t="s">
        <v>3848</v>
      </c>
      <c r="K1886" s="14" t="s">
        <v>11762</v>
      </c>
      <c r="L1886" s="15">
        <v>0</v>
      </c>
      <c r="M1886" s="15" t="s">
        <v>144</v>
      </c>
      <c r="N1886" s="16">
        <v>41865</v>
      </c>
      <c r="O1886" s="12" t="s">
        <v>11760</v>
      </c>
      <c r="P1886" s="14" t="s">
        <v>11763</v>
      </c>
      <c r="Q1886" s="17" t="s">
        <v>137</v>
      </c>
      <c r="R1886" s="17" t="s">
        <v>146</v>
      </c>
    </row>
    <row r="1887" spans="1:18" x14ac:dyDescent="0.3">
      <c r="A1887" s="12" t="s">
        <v>11764</v>
      </c>
      <c r="B1887" s="12" t="s">
        <v>12</v>
      </c>
      <c r="C1887" s="12"/>
      <c r="D1887" s="12" t="s">
        <v>12</v>
      </c>
      <c r="E1887" s="12" t="s">
        <v>11765</v>
      </c>
      <c r="F1887" s="12"/>
      <c r="G1887" s="12" t="s">
        <v>3847</v>
      </c>
      <c r="H1887" s="12" t="s">
        <v>81</v>
      </c>
      <c r="I1887" s="12" t="s">
        <v>32</v>
      </c>
      <c r="J1887" s="13" t="s">
        <v>3848</v>
      </c>
      <c r="K1887" s="14" t="s">
        <v>11766</v>
      </c>
      <c r="L1887" s="15">
        <v>0</v>
      </c>
      <c r="M1887" s="15" t="s">
        <v>144</v>
      </c>
      <c r="N1887" s="16">
        <v>39391</v>
      </c>
      <c r="O1887" s="12" t="s">
        <v>11767</v>
      </c>
      <c r="P1887" s="14" t="s">
        <v>11768</v>
      </c>
      <c r="Q1887" s="17" t="s">
        <v>137</v>
      </c>
      <c r="R1887" s="17" t="s">
        <v>146</v>
      </c>
    </row>
    <row r="1888" spans="1:18" x14ac:dyDescent="0.3">
      <c r="A1888" s="12" t="s">
        <v>11769</v>
      </c>
      <c r="B1888" s="12" t="s">
        <v>12</v>
      </c>
      <c r="C1888" s="12"/>
      <c r="D1888" s="12" t="s">
        <v>12</v>
      </c>
      <c r="E1888" s="12" t="s">
        <v>11770</v>
      </c>
      <c r="F1888" s="12"/>
      <c r="G1888" s="12" t="s">
        <v>11771</v>
      </c>
      <c r="H1888" s="12" t="s">
        <v>81</v>
      </c>
      <c r="I1888" s="12" t="s">
        <v>32</v>
      </c>
      <c r="J1888" s="13" t="s">
        <v>11772</v>
      </c>
      <c r="K1888" s="14" t="s">
        <v>11773</v>
      </c>
      <c r="L1888" s="15">
        <v>2</v>
      </c>
      <c r="M1888" s="15" t="s">
        <v>144</v>
      </c>
      <c r="N1888" s="16">
        <v>41212</v>
      </c>
      <c r="O1888" s="12" t="s">
        <v>11769</v>
      </c>
      <c r="P1888" s="14" t="s">
        <v>11774</v>
      </c>
      <c r="Q1888" s="17" t="s">
        <v>137</v>
      </c>
      <c r="R1888" s="17" t="s">
        <v>146</v>
      </c>
    </row>
    <row r="1889" spans="1:18" x14ac:dyDescent="0.3">
      <c r="A1889" s="12" t="s">
        <v>11775</v>
      </c>
      <c r="B1889" s="12" t="s">
        <v>14</v>
      </c>
      <c r="C1889" s="12"/>
      <c r="D1889" s="12" t="s">
        <v>14</v>
      </c>
      <c r="E1889" s="12" t="s">
        <v>11776</v>
      </c>
      <c r="F1889" s="12"/>
      <c r="G1889" s="12" t="s">
        <v>11771</v>
      </c>
      <c r="H1889" s="12" t="s">
        <v>81</v>
      </c>
      <c r="I1889" s="12" t="s">
        <v>32</v>
      </c>
      <c r="J1889" s="13" t="s">
        <v>11772</v>
      </c>
      <c r="K1889" s="14" t="s">
        <v>11777</v>
      </c>
      <c r="L1889" s="15">
        <v>0</v>
      </c>
      <c r="M1889" s="15" t="s">
        <v>144</v>
      </c>
      <c r="N1889" s="16">
        <v>39346</v>
      </c>
      <c r="O1889" s="12" t="s">
        <v>11775</v>
      </c>
      <c r="P1889" s="14" t="s">
        <v>11778</v>
      </c>
      <c r="Q1889" s="17" t="s">
        <v>137</v>
      </c>
      <c r="R1889" s="17" t="s">
        <v>146</v>
      </c>
    </row>
    <row r="1890" spans="1:18" x14ac:dyDescent="0.3">
      <c r="A1890" s="12" t="s">
        <v>11779</v>
      </c>
      <c r="B1890" s="12" t="s">
        <v>12</v>
      </c>
      <c r="C1890" s="12"/>
      <c r="D1890" s="12" t="s">
        <v>12</v>
      </c>
      <c r="E1890" s="12" t="s">
        <v>3852</v>
      </c>
      <c r="F1890" s="12"/>
      <c r="G1890" s="12" t="s">
        <v>3853</v>
      </c>
      <c r="H1890" s="12" t="s">
        <v>82</v>
      </c>
      <c r="I1890" s="12" t="s">
        <v>32</v>
      </c>
      <c r="J1890" s="13" t="s">
        <v>3854</v>
      </c>
      <c r="K1890" s="14" t="s">
        <v>3855</v>
      </c>
      <c r="L1890" s="15">
        <v>2</v>
      </c>
      <c r="M1890" s="15" t="s">
        <v>144</v>
      </c>
      <c r="N1890" s="16">
        <v>39791</v>
      </c>
      <c r="O1890" s="12" t="s">
        <v>11779</v>
      </c>
      <c r="P1890" s="14" t="s">
        <v>11780</v>
      </c>
      <c r="Q1890" s="17" t="s">
        <v>137</v>
      </c>
      <c r="R1890" s="17" t="s">
        <v>146</v>
      </c>
    </row>
    <row r="1891" spans="1:18" x14ac:dyDescent="0.3">
      <c r="A1891" s="12" t="s">
        <v>11781</v>
      </c>
      <c r="B1891" s="12" t="s">
        <v>12</v>
      </c>
      <c r="C1891" s="12"/>
      <c r="D1891" s="12" t="s">
        <v>12</v>
      </c>
      <c r="E1891" s="12" t="s">
        <v>11782</v>
      </c>
      <c r="F1891" s="12" t="s">
        <v>3485</v>
      </c>
      <c r="G1891" s="12" t="s">
        <v>3853</v>
      </c>
      <c r="H1891" s="12" t="s">
        <v>82</v>
      </c>
      <c r="I1891" s="12" t="s">
        <v>32</v>
      </c>
      <c r="J1891" s="13" t="s">
        <v>3854</v>
      </c>
      <c r="K1891" s="14" t="s">
        <v>11783</v>
      </c>
      <c r="L1891" s="15">
        <v>0</v>
      </c>
      <c r="M1891" s="15" t="s">
        <v>144</v>
      </c>
      <c r="N1891" s="16">
        <v>39899</v>
      </c>
      <c r="O1891" s="12" t="s">
        <v>11781</v>
      </c>
      <c r="P1891" s="14" t="s">
        <v>11784</v>
      </c>
      <c r="Q1891" s="17" t="s">
        <v>137</v>
      </c>
      <c r="R1891" s="17" t="s">
        <v>146</v>
      </c>
    </row>
    <row r="1892" spans="1:18" x14ac:dyDescent="0.3">
      <c r="A1892" s="12" t="s">
        <v>11785</v>
      </c>
      <c r="B1892" s="12" t="s">
        <v>12</v>
      </c>
      <c r="C1892" s="12"/>
      <c r="D1892" s="12" t="s">
        <v>12</v>
      </c>
      <c r="E1892" s="12" t="s">
        <v>11786</v>
      </c>
      <c r="F1892" s="12"/>
      <c r="G1892" s="12" t="s">
        <v>3853</v>
      </c>
      <c r="H1892" s="12" t="s">
        <v>82</v>
      </c>
      <c r="I1892" s="12" t="s">
        <v>32</v>
      </c>
      <c r="J1892" s="13" t="s">
        <v>3854</v>
      </c>
      <c r="K1892" s="14" t="s">
        <v>11787</v>
      </c>
      <c r="L1892" s="15">
        <v>1</v>
      </c>
      <c r="M1892" s="15" t="s">
        <v>144</v>
      </c>
      <c r="N1892" s="16">
        <v>40200</v>
      </c>
      <c r="O1892" s="12" t="s">
        <v>11785</v>
      </c>
      <c r="P1892" s="14" t="s">
        <v>11788</v>
      </c>
      <c r="Q1892" s="17" t="s">
        <v>137</v>
      </c>
      <c r="R1892" s="17" t="s">
        <v>146</v>
      </c>
    </row>
    <row r="1893" spans="1:18" x14ac:dyDescent="0.3">
      <c r="A1893" s="12" t="s">
        <v>11789</v>
      </c>
      <c r="B1893" s="12" t="s">
        <v>12</v>
      </c>
      <c r="C1893" s="12"/>
      <c r="D1893" s="12" t="s">
        <v>12</v>
      </c>
      <c r="E1893" s="12" t="s">
        <v>11790</v>
      </c>
      <c r="F1893" s="12"/>
      <c r="G1893" s="12" t="s">
        <v>11791</v>
      </c>
      <c r="H1893" s="12" t="s">
        <v>57</v>
      </c>
      <c r="I1893" s="12" t="s">
        <v>32</v>
      </c>
      <c r="J1893" s="13" t="s">
        <v>11792</v>
      </c>
      <c r="K1893" s="14" t="s">
        <v>11793</v>
      </c>
      <c r="L1893" s="15">
        <v>1</v>
      </c>
      <c r="M1893" s="15" t="s">
        <v>144</v>
      </c>
      <c r="N1893" s="16">
        <v>44065</v>
      </c>
      <c r="O1893" s="12" t="s">
        <v>11789</v>
      </c>
      <c r="P1893" s="14" t="s">
        <v>11794</v>
      </c>
      <c r="Q1893" s="17" t="s">
        <v>137</v>
      </c>
      <c r="R1893" s="17" t="s">
        <v>146</v>
      </c>
    </row>
    <row r="1894" spans="1:18" x14ac:dyDescent="0.3">
      <c r="A1894" s="12" t="s">
        <v>11795</v>
      </c>
      <c r="B1894" s="12" t="s">
        <v>12</v>
      </c>
      <c r="C1894" s="12"/>
      <c r="D1894" s="12" t="s">
        <v>12</v>
      </c>
      <c r="E1894" s="12" t="s">
        <v>11796</v>
      </c>
      <c r="F1894" s="12"/>
      <c r="G1894" s="12" t="s">
        <v>11791</v>
      </c>
      <c r="H1894" s="12" t="s">
        <v>57</v>
      </c>
      <c r="I1894" s="12" t="s">
        <v>32</v>
      </c>
      <c r="J1894" s="13" t="s">
        <v>11792</v>
      </c>
      <c r="K1894" s="14" t="s">
        <v>11797</v>
      </c>
      <c r="L1894" s="15">
        <v>1</v>
      </c>
      <c r="M1894" s="15" t="s">
        <v>144</v>
      </c>
      <c r="N1894" s="16">
        <v>39421</v>
      </c>
      <c r="O1894" s="12" t="s">
        <v>11795</v>
      </c>
      <c r="P1894" s="14" t="s">
        <v>11798</v>
      </c>
      <c r="Q1894" s="17" t="s">
        <v>137</v>
      </c>
      <c r="R1894" s="17" t="s">
        <v>146</v>
      </c>
    </row>
    <row r="1895" spans="1:18" x14ac:dyDescent="0.3">
      <c r="A1895" s="12" t="s">
        <v>11799</v>
      </c>
      <c r="B1895" s="12" t="s">
        <v>12</v>
      </c>
      <c r="C1895" s="12"/>
      <c r="D1895" s="12" t="s">
        <v>12</v>
      </c>
      <c r="E1895" s="12" t="s">
        <v>11800</v>
      </c>
      <c r="F1895" s="12"/>
      <c r="G1895" s="12" t="s">
        <v>11801</v>
      </c>
      <c r="H1895" s="12" t="s">
        <v>57</v>
      </c>
      <c r="I1895" s="12" t="s">
        <v>32</v>
      </c>
      <c r="J1895" s="13" t="s">
        <v>11802</v>
      </c>
      <c r="K1895" s="14" t="s">
        <v>11803</v>
      </c>
      <c r="L1895" s="15">
        <v>3</v>
      </c>
      <c r="M1895" s="15" t="s">
        <v>144</v>
      </c>
      <c r="N1895" s="16">
        <v>44533</v>
      </c>
      <c r="O1895" s="12" t="s">
        <v>11799</v>
      </c>
      <c r="P1895" s="14" t="s">
        <v>11804</v>
      </c>
      <c r="Q1895" s="17" t="s">
        <v>137</v>
      </c>
      <c r="R1895" s="17" t="s">
        <v>146</v>
      </c>
    </row>
    <row r="1896" spans="1:18" x14ac:dyDescent="0.3">
      <c r="A1896" s="12" t="s">
        <v>11805</v>
      </c>
      <c r="B1896" s="12" t="s">
        <v>12</v>
      </c>
      <c r="C1896" s="12"/>
      <c r="D1896" s="12" t="s">
        <v>12</v>
      </c>
      <c r="E1896" s="12" t="s">
        <v>11806</v>
      </c>
      <c r="F1896" s="12"/>
      <c r="G1896" s="12" t="s">
        <v>3870</v>
      </c>
      <c r="H1896" s="12" t="s">
        <v>57</v>
      </c>
      <c r="I1896" s="12" t="s">
        <v>32</v>
      </c>
      <c r="J1896" s="13" t="s">
        <v>3871</v>
      </c>
      <c r="K1896" s="14" t="s">
        <v>11807</v>
      </c>
      <c r="L1896" s="15">
        <v>1</v>
      </c>
      <c r="M1896" s="15" t="s">
        <v>144</v>
      </c>
      <c r="N1896" s="16">
        <v>42684</v>
      </c>
      <c r="O1896" s="12" t="s">
        <v>11805</v>
      </c>
      <c r="P1896" s="14" t="s">
        <v>11808</v>
      </c>
      <c r="Q1896" s="17" t="s">
        <v>137</v>
      </c>
      <c r="R1896" s="17" t="s">
        <v>146</v>
      </c>
    </row>
    <row r="1897" spans="1:18" x14ac:dyDescent="0.3">
      <c r="A1897" s="12" t="s">
        <v>11809</v>
      </c>
      <c r="B1897" s="12" t="s">
        <v>12</v>
      </c>
      <c r="C1897" s="12"/>
      <c r="D1897" s="12" t="s">
        <v>12</v>
      </c>
      <c r="E1897" s="12" t="s">
        <v>11810</v>
      </c>
      <c r="F1897" s="12"/>
      <c r="G1897" s="12" t="s">
        <v>3870</v>
      </c>
      <c r="H1897" s="12" t="s">
        <v>57</v>
      </c>
      <c r="I1897" s="12" t="s">
        <v>32</v>
      </c>
      <c r="J1897" s="13" t="s">
        <v>3871</v>
      </c>
      <c r="K1897" s="14" t="s">
        <v>11811</v>
      </c>
      <c r="L1897" s="15">
        <v>1</v>
      </c>
      <c r="M1897" s="15" t="s">
        <v>144</v>
      </c>
      <c r="N1897" s="16">
        <v>43455</v>
      </c>
      <c r="O1897" s="12" t="s">
        <v>11809</v>
      </c>
      <c r="P1897" s="14" t="s">
        <v>11812</v>
      </c>
      <c r="Q1897" s="17" t="s">
        <v>137</v>
      </c>
      <c r="R1897" s="17" t="s">
        <v>146</v>
      </c>
    </row>
    <row r="1898" spans="1:18" x14ac:dyDescent="0.3">
      <c r="A1898" s="12" t="s">
        <v>11813</v>
      </c>
      <c r="B1898" s="12" t="s">
        <v>12</v>
      </c>
      <c r="C1898" s="12"/>
      <c r="D1898" s="12" t="s">
        <v>12</v>
      </c>
      <c r="E1898" s="12" t="s">
        <v>11814</v>
      </c>
      <c r="F1898" s="12"/>
      <c r="G1898" s="12" t="s">
        <v>3870</v>
      </c>
      <c r="H1898" s="12" t="s">
        <v>57</v>
      </c>
      <c r="I1898" s="12" t="s">
        <v>32</v>
      </c>
      <c r="J1898" s="13" t="s">
        <v>3871</v>
      </c>
      <c r="K1898" s="14" t="s">
        <v>11815</v>
      </c>
      <c r="L1898" s="15">
        <v>0</v>
      </c>
      <c r="M1898" s="15" t="s">
        <v>144</v>
      </c>
      <c r="N1898" s="16">
        <v>39365</v>
      </c>
      <c r="O1898" s="12" t="s">
        <v>11813</v>
      </c>
      <c r="P1898" s="14" t="s">
        <v>11816</v>
      </c>
      <c r="Q1898" s="17" t="s">
        <v>137</v>
      </c>
      <c r="R1898" s="17" t="s">
        <v>146</v>
      </c>
    </row>
    <row r="1899" spans="1:18" x14ac:dyDescent="0.3">
      <c r="A1899" s="12" t="s">
        <v>11817</v>
      </c>
      <c r="B1899" s="12" t="s">
        <v>12</v>
      </c>
      <c r="C1899" s="12"/>
      <c r="D1899" s="12" t="s">
        <v>12</v>
      </c>
      <c r="E1899" s="12" t="s">
        <v>11818</v>
      </c>
      <c r="F1899" s="12"/>
      <c r="G1899" s="12" t="s">
        <v>3870</v>
      </c>
      <c r="H1899" s="12" t="s">
        <v>57</v>
      </c>
      <c r="I1899" s="12" t="s">
        <v>32</v>
      </c>
      <c r="J1899" s="13" t="s">
        <v>3871</v>
      </c>
      <c r="K1899" s="14" t="s">
        <v>11819</v>
      </c>
      <c r="L1899" s="15">
        <v>1</v>
      </c>
      <c r="M1899" s="15" t="s">
        <v>144</v>
      </c>
      <c r="N1899" s="16">
        <v>40891</v>
      </c>
      <c r="O1899" s="12" t="s">
        <v>11820</v>
      </c>
      <c r="P1899" s="14" t="s">
        <v>11821</v>
      </c>
      <c r="Q1899" s="17" t="s">
        <v>137</v>
      </c>
      <c r="R1899" s="17" t="s">
        <v>146</v>
      </c>
    </row>
    <row r="1900" spans="1:18" x14ac:dyDescent="0.3">
      <c r="A1900" s="12" t="s">
        <v>11822</v>
      </c>
      <c r="B1900" s="12" t="s">
        <v>12</v>
      </c>
      <c r="C1900" s="12"/>
      <c r="D1900" s="12" t="s">
        <v>12</v>
      </c>
      <c r="E1900" s="12" t="s">
        <v>11823</v>
      </c>
      <c r="F1900" s="12"/>
      <c r="G1900" s="12" t="s">
        <v>3870</v>
      </c>
      <c r="H1900" s="12" t="s">
        <v>57</v>
      </c>
      <c r="I1900" s="12" t="s">
        <v>32</v>
      </c>
      <c r="J1900" s="13" t="s">
        <v>3871</v>
      </c>
      <c r="K1900" s="14" t="s">
        <v>11824</v>
      </c>
      <c r="L1900" s="15">
        <v>2</v>
      </c>
      <c r="M1900" s="15" t="s">
        <v>144</v>
      </c>
      <c r="N1900" s="16">
        <v>40120</v>
      </c>
      <c r="O1900" s="12" t="s">
        <v>11822</v>
      </c>
      <c r="P1900" s="14" t="s">
        <v>11825</v>
      </c>
      <c r="Q1900" s="17" t="s">
        <v>137</v>
      </c>
      <c r="R1900" s="17" t="s">
        <v>146</v>
      </c>
    </row>
    <row r="1901" spans="1:18" x14ac:dyDescent="0.3">
      <c r="A1901" s="12" t="s">
        <v>11826</v>
      </c>
      <c r="B1901" s="12" t="s">
        <v>14</v>
      </c>
      <c r="C1901" s="12"/>
      <c r="D1901" s="12" t="s">
        <v>14</v>
      </c>
      <c r="E1901" s="12" t="s">
        <v>11827</v>
      </c>
      <c r="F1901" s="12"/>
      <c r="G1901" s="12" t="s">
        <v>3870</v>
      </c>
      <c r="H1901" s="12" t="s">
        <v>57</v>
      </c>
      <c r="I1901" s="12" t="s">
        <v>32</v>
      </c>
      <c r="J1901" s="13" t="s">
        <v>3871</v>
      </c>
      <c r="K1901" s="14" t="s">
        <v>11828</v>
      </c>
      <c r="L1901" s="15">
        <v>1</v>
      </c>
      <c r="M1901" s="15" t="s">
        <v>144</v>
      </c>
      <c r="N1901" s="16">
        <v>40368</v>
      </c>
      <c r="O1901" s="12" t="s">
        <v>11826</v>
      </c>
      <c r="P1901" s="14" t="s">
        <v>11829</v>
      </c>
      <c r="Q1901" s="17" t="s">
        <v>137</v>
      </c>
      <c r="R1901" s="17" t="s">
        <v>146</v>
      </c>
    </row>
    <row r="1902" spans="1:18" x14ac:dyDescent="0.3">
      <c r="A1902" s="12" t="s">
        <v>11830</v>
      </c>
      <c r="B1902" s="12" t="s">
        <v>12</v>
      </c>
      <c r="C1902" s="12"/>
      <c r="D1902" s="12" t="s">
        <v>12</v>
      </c>
      <c r="E1902" s="12" t="s">
        <v>11831</v>
      </c>
      <c r="F1902" s="12" t="s">
        <v>293</v>
      </c>
      <c r="G1902" s="12" t="s">
        <v>3870</v>
      </c>
      <c r="H1902" s="12" t="s">
        <v>57</v>
      </c>
      <c r="I1902" s="12" t="s">
        <v>32</v>
      </c>
      <c r="J1902" s="13" t="s">
        <v>3871</v>
      </c>
      <c r="K1902" s="14" t="s">
        <v>11832</v>
      </c>
      <c r="L1902" s="15">
        <v>1</v>
      </c>
      <c r="M1902" s="15" t="s">
        <v>144</v>
      </c>
      <c r="N1902" s="16">
        <v>42179</v>
      </c>
      <c r="O1902" s="12" t="s">
        <v>11833</v>
      </c>
      <c r="P1902" s="14" t="s">
        <v>11834</v>
      </c>
      <c r="Q1902" s="17" t="s">
        <v>137</v>
      </c>
      <c r="R1902" s="17" t="s">
        <v>146</v>
      </c>
    </row>
    <row r="1903" spans="1:18" x14ac:dyDescent="0.3">
      <c r="A1903" s="12" t="s">
        <v>11835</v>
      </c>
      <c r="B1903" s="12" t="s">
        <v>12</v>
      </c>
      <c r="C1903" s="12"/>
      <c r="D1903" s="12" t="s">
        <v>12</v>
      </c>
      <c r="E1903" s="12" t="s">
        <v>11836</v>
      </c>
      <c r="F1903" s="12"/>
      <c r="G1903" s="12" t="s">
        <v>3870</v>
      </c>
      <c r="H1903" s="12" t="s">
        <v>57</v>
      </c>
      <c r="I1903" s="12" t="s">
        <v>32</v>
      </c>
      <c r="J1903" s="13" t="s">
        <v>3865</v>
      </c>
      <c r="K1903" s="14" t="s">
        <v>11837</v>
      </c>
      <c r="L1903" s="15">
        <v>0</v>
      </c>
      <c r="M1903" s="15" t="s">
        <v>144</v>
      </c>
      <c r="N1903" s="16">
        <v>41968</v>
      </c>
      <c r="O1903" s="12" t="s">
        <v>11835</v>
      </c>
      <c r="P1903" s="14" t="s">
        <v>11838</v>
      </c>
      <c r="Q1903" s="17" t="s">
        <v>137</v>
      </c>
      <c r="R1903" s="17" t="s">
        <v>146</v>
      </c>
    </row>
    <row r="1904" spans="1:18" x14ac:dyDescent="0.3">
      <c r="A1904" s="12" t="s">
        <v>11839</v>
      </c>
      <c r="B1904" s="12" t="s">
        <v>12</v>
      </c>
      <c r="C1904" s="12"/>
      <c r="D1904" s="12" t="s">
        <v>12</v>
      </c>
      <c r="E1904" s="12" t="s">
        <v>11827</v>
      </c>
      <c r="F1904" s="12"/>
      <c r="G1904" s="12" t="s">
        <v>3870</v>
      </c>
      <c r="H1904" s="12" t="s">
        <v>57</v>
      </c>
      <c r="I1904" s="12" t="s">
        <v>32</v>
      </c>
      <c r="J1904" s="13" t="s">
        <v>3871</v>
      </c>
      <c r="K1904" s="14" t="s">
        <v>11828</v>
      </c>
      <c r="L1904" s="15">
        <v>2</v>
      </c>
      <c r="M1904" s="15" t="s">
        <v>144</v>
      </c>
      <c r="N1904" s="16">
        <v>40368</v>
      </c>
      <c r="O1904" s="12" t="s">
        <v>11839</v>
      </c>
      <c r="P1904" s="14" t="s">
        <v>11840</v>
      </c>
      <c r="Q1904" s="17" t="s">
        <v>137</v>
      </c>
      <c r="R1904" s="17" t="s">
        <v>146</v>
      </c>
    </row>
    <row r="1905" spans="1:18" x14ac:dyDescent="0.3">
      <c r="A1905" s="12" t="s">
        <v>11841</v>
      </c>
      <c r="B1905" s="12" t="s">
        <v>12</v>
      </c>
      <c r="C1905" s="12"/>
      <c r="D1905" s="12" t="s">
        <v>12</v>
      </c>
      <c r="E1905" s="12" t="s">
        <v>11842</v>
      </c>
      <c r="F1905" s="12"/>
      <c r="G1905" s="12" t="s">
        <v>3870</v>
      </c>
      <c r="H1905" s="12" t="s">
        <v>57</v>
      </c>
      <c r="I1905" s="12" t="s">
        <v>32</v>
      </c>
      <c r="J1905" s="13" t="s">
        <v>3871</v>
      </c>
      <c r="K1905" s="14" t="s">
        <v>11843</v>
      </c>
      <c r="L1905" s="15">
        <v>3</v>
      </c>
      <c r="M1905" s="15" t="s">
        <v>144</v>
      </c>
      <c r="N1905" s="16">
        <v>44065</v>
      </c>
      <c r="O1905" s="12" t="s">
        <v>11841</v>
      </c>
      <c r="P1905" s="14" t="s">
        <v>11844</v>
      </c>
      <c r="Q1905" s="17" t="s">
        <v>137</v>
      </c>
      <c r="R1905" s="17" t="s">
        <v>146</v>
      </c>
    </row>
    <row r="1906" spans="1:18" x14ac:dyDescent="0.3">
      <c r="A1906" s="12" t="s">
        <v>11845</v>
      </c>
      <c r="B1906" s="12" t="s">
        <v>14</v>
      </c>
      <c r="C1906" s="12"/>
      <c r="D1906" s="12" t="s">
        <v>14</v>
      </c>
      <c r="E1906" s="12" t="s">
        <v>11846</v>
      </c>
      <c r="F1906" s="12"/>
      <c r="G1906" s="12" t="s">
        <v>11847</v>
      </c>
      <c r="H1906" s="12" t="s">
        <v>57</v>
      </c>
      <c r="I1906" s="12" t="s">
        <v>32</v>
      </c>
      <c r="J1906" s="13" t="s">
        <v>3871</v>
      </c>
      <c r="K1906" s="14" t="s">
        <v>11848</v>
      </c>
      <c r="L1906" s="15">
        <v>0</v>
      </c>
      <c r="M1906" s="15" t="s">
        <v>144</v>
      </c>
      <c r="N1906" s="16">
        <v>43207</v>
      </c>
      <c r="O1906" s="12" t="s">
        <v>11845</v>
      </c>
      <c r="P1906" s="14" t="s">
        <v>11849</v>
      </c>
      <c r="Q1906" s="17" t="s">
        <v>137</v>
      </c>
      <c r="R1906" s="17" t="s">
        <v>146</v>
      </c>
    </row>
    <row r="1907" spans="1:18" x14ac:dyDescent="0.3">
      <c r="A1907" s="12" t="s">
        <v>11850</v>
      </c>
      <c r="B1907" s="12" t="s">
        <v>14</v>
      </c>
      <c r="C1907" s="12"/>
      <c r="D1907" s="12" t="s">
        <v>14</v>
      </c>
      <c r="E1907" s="12" t="s">
        <v>11851</v>
      </c>
      <c r="F1907" s="12"/>
      <c r="G1907" s="12" t="s">
        <v>3882</v>
      </c>
      <c r="H1907" s="12" t="s">
        <v>57</v>
      </c>
      <c r="I1907" s="12" t="s">
        <v>32</v>
      </c>
      <c r="J1907" s="13" t="s">
        <v>3883</v>
      </c>
      <c r="K1907" s="14" t="s">
        <v>11852</v>
      </c>
      <c r="L1907" s="15">
        <v>0</v>
      </c>
      <c r="M1907" s="15" t="s">
        <v>144</v>
      </c>
      <c r="N1907" s="16">
        <v>44540</v>
      </c>
      <c r="O1907" s="12" t="s">
        <v>11850</v>
      </c>
      <c r="P1907" s="14" t="s">
        <v>11853</v>
      </c>
      <c r="Q1907" s="17" t="s">
        <v>137</v>
      </c>
      <c r="R1907" s="17" t="s">
        <v>146</v>
      </c>
    </row>
    <row r="1908" spans="1:18" x14ac:dyDescent="0.3">
      <c r="A1908" s="12" t="s">
        <v>11854</v>
      </c>
      <c r="B1908" s="12" t="s">
        <v>14</v>
      </c>
      <c r="C1908" s="12"/>
      <c r="D1908" s="12" t="s">
        <v>14</v>
      </c>
      <c r="E1908" s="12" t="s">
        <v>11855</v>
      </c>
      <c r="F1908" s="12"/>
      <c r="G1908" s="12" t="s">
        <v>11856</v>
      </c>
      <c r="H1908" s="12" t="s">
        <v>83</v>
      </c>
      <c r="I1908" s="12" t="s">
        <v>32</v>
      </c>
      <c r="J1908" s="13" t="s">
        <v>11857</v>
      </c>
      <c r="K1908" s="14" t="s">
        <v>11858</v>
      </c>
      <c r="L1908" s="15">
        <v>0</v>
      </c>
      <c r="M1908" s="15" t="s">
        <v>144</v>
      </c>
      <c r="N1908" s="16">
        <v>44414</v>
      </c>
      <c r="O1908" s="12" t="s">
        <v>11854</v>
      </c>
      <c r="P1908" s="14" t="s">
        <v>11859</v>
      </c>
      <c r="Q1908" s="17" t="s">
        <v>137</v>
      </c>
      <c r="R1908" s="17" t="s">
        <v>146</v>
      </c>
    </row>
    <row r="1909" spans="1:18" x14ac:dyDescent="0.3">
      <c r="A1909" s="12" t="s">
        <v>11860</v>
      </c>
      <c r="B1909" s="12" t="s">
        <v>12</v>
      </c>
      <c r="C1909" s="12"/>
      <c r="D1909" s="12" t="s">
        <v>12</v>
      </c>
      <c r="E1909" s="12" t="s">
        <v>11861</v>
      </c>
      <c r="F1909" s="12"/>
      <c r="G1909" s="12" t="s">
        <v>11856</v>
      </c>
      <c r="H1909" s="12" t="s">
        <v>83</v>
      </c>
      <c r="I1909" s="12" t="s">
        <v>32</v>
      </c>
      <c r="J1909" s="13" t="s">
        <v>11857</v>
      </c>
      <c r="K1909" s="14" t="s">
        <v>11862</v>
      </c>
      <c r="L1909" s="15">
        <v>1</v>
      </c>
      <c r="M1909" s="15" t="s">
        <v>144</v>
      </c>
      <c r="N1909" s="16">
        <v>44449</v>
      </c>
      <c r="O1909" s="12" t="s">
        <v>11860</v>
      </c>
      <c r="P1909" s="14" t="s">
        <v>11863</v>
      </c>
      <c r="Q1909" s="17" t="s">
        <v>137</v>
      </c>
      <c r="R1909" s="17" t="s">
        <v>146</v>
      </c>
    </row>
    <row r="1910" spans="1:18" x14ac:dyDescent="0.3">
      <c r="A1910" s="12" t="s">
        <v>11864</v>
      </c>
      <c r="B1910" s="12" t="s">
        <v>12</v>
      </c>
      <c r="C1910" s="12"/>
      <c r="D1910" s="12" t="s">
        <v>12</v>
      </c>
      <c r="E1910" s="12" t="s">
        <v>11865</v>
      </c>
      <c r="F1910" s="12" t="s">
        <v>389</v>
      </c>
      <c r="G1910" s="12" t="s">
        <v>3895</v>
      </c>
      <c r="H1910" s="12" t="s">
        <v>83</v>
      </c>
      <c r="I1910" s="12" t="s">
        <v>32</v>
      </c>
      <c r="J1910" s="13" t="s">
        <v>3896</v>
      </c>
      <c r="K1910" s="14" t="s">
        <v>11866</v>
      </c>
      <c r="L1910" s="15">
        <v>2</v>
      </c>
      <c r="M1910" s="15" t="s">
        <v>144</v>
      </c>
      <c r="N1910" s="16">
        <v>44065</v>
      </c>
      <c r="O1910" s="12" t="s">
        <v>11867</v>
      </c>
      <c r="P1910" s="14" t="s">
        <v>11868</v>
      </c>
      <c r="Q1910" s="17" t="s">
        <v>137</v>
      </c>
      <c r="R1910" s="17" t="s">
        <v>146</v>
      </c>
    </row>
    <row r="1911" spans="1:18" x14ac:dyDescent="0.3">
      <c r="A1911" s="12" t="s">
        <v>11869</v>
      </c>
      <c r="B1911" s="12" t="s">
        <v>12</v>
      </c>
      <c r="C1911" s="12"/>
      <c r="D1911" s="12" t="s">
        <v>12</v>
      </c>
      <c r="E1911" s="12" t="s">
        <v>3894</v>
      </c>
      <c r="F1911" s="12" t="s">
        <v>516</v>
      </c>
      <c r="G1911" s="12" t="s">
        <v>3895</v>
      </c>
      <c r="H1911" s="12" t="s">
        <v>83</v>
      </c>
      <c r="I1911" s="12" t="s">
        <v>32</v>
      </c>
      <c r="J1911" s="13" t="s">
        <v>3896</v>
      </c>
      <c r="K1911" s="14" t="s">
        <v>11870</v>
      </c>
      <c r="L1911" s="15">
        <v>3</v>
      </c>
      <c r="M1911" s="15" t="s">
        <v>144</v>
      </c>
      <c r="N1911" s="16">
        <v>43056</v>
      </c>
      <c r="O1911" s="12" t="s">
        <v>11869</v>
      </c>
      <c r="P1911" s="14" t="s">
        <v>11871</v>
      </c>
      <c r="Q1911" s="17" t="s">
        <v>137</v>
      </c>
      <c r="R1911" s="17" t="s">
        <v>146</v>
      </c>
    </row>
    <row r="1912" spans="1:18" x14ac:dyDescent="0.3">
      <c r="A1912" s="12" t="s">
        <v>11872</v>
      </c>
      <c r="B1912" s="12" t="s">
        <v>12</v>
      </c>
      <c r="C1912" s="12"/>
      <c r="D1912" s="12" t="s">
        <v>12</v>
      </c>
      <c r="E1912" s="12" t="s">
        <v>11873</v>
      </c>
      <c r="F1912" s="12" t="s">
        <v>447</v>
      </c>
      <c r="G1912" s="12" t="s">
        <v>3895</v>
      </c>
      <c r="H1912" s="12" t="s">
        <v>83</v>
      </c>
      <c r="I1912" s="12" t="s">
        <v>32</v>
      </c>
      <c r="J1912" s="13" t="s">
        <v>3896</v>
      </c>
      <c r="K1912" s="14" t="s">
        <v>11874</v>
      </c>
      <c r="L1912" s="15">
        <v>0</v>
      </c>
      <c r="M1912" s="15" t="s">
        <v>144</v>
      </c>
      <c r="N1912" s="16">
        <v>41402</v>
      </c>
      <c r="O1912" s="12" t="s">
        <v>11872</v>
      </c>
      <c r="P1912" s="14" t="s">
        <v>11875</v>
      </c>
      <c r="Q1912" s="17" t="s">
        <v>137</v>
      </c>
      <c r="R1912" s="17" t="s">
        <v>146</v>
      </c>
    </row>
    <row r="1913" spans="1:18" x14ac:dyDescent="0.3">
      <c r="A1913" s="12" t="s">
        <v>11876</v>
      </c>
      <c r="B1913" s="12" t="s">
        <v>12</v>
      </c>
      <c r="C1913" s="12"/>
      <c r="D1913" s="12" t="s">
        <v>12</v>
      </c>
      <c r="E1913" s="12" t="s">
        <v>11877</v>
      </c>
      <c r="F1913" s="12"/>
      <c r="G1913" s="12" t="s">
        <v>11878</v>
      </c>
      <c r="H1913" s="12" t="s">
        <v>83</v>
      </c>
      <c r="I1913" s="12" t="s">
        <v>32</v>
      </c>
      <c r="J1913" s="13" t="s">
        <v>11879</v>
      </c>
      <c r="K1913" s="14" t="s">
        <v>11880</v>
      </c>
      <c r="L1913" s="15">
        <v>1</v>
      </c>
      <c r="M1913" s="15" t="s">
        <v>144</v>
      </c>
      <c r="N1913" s="16">
        <v>44065</v>
      </c>
      <c r="O1913" s="12" t="s">
        <v>11876</v>
      </c>
      <c r="P1913" s="14" t="s">
        <v>11881</v>
      </c>
      <c r="Q1913" s="17" t="s">
        <v>137</v>
      </c>
      <c r="R1913" s="17" t="s">
        <v>146</v>
      </c>
    </row>
    <row r="1914" spans="1:18" x14ac:dyDescent="0.3">
      <c r="A1914" s="12" t="s">
        <v>11882</v>
      </c>
      <c r="B1914" s="12" t="s">
        <v>12</v>
      </c>
      <c r="C1914" s="12"/>
      <c r="D1914" s="12" t="s">
        <v>12</v>
      </c>
      <c r="E1914" s="12" t="s">
        <v>11883</v>
      </c>
      <c r="F1914" s="12"/>
      <c r="G1914" s="12" t="s">
        <v>11878</v>
      </c>
      <c r="H1914" s="12" t="s">
        <v>83</v>
      </c>
      <c r="I1914" s="12" t="s">
        <v>32</v>
      </c>
      <c r="J1914" s="13" t="s">
        <v>11879</v>
      </c>
      <c r="K1914" s="14" t="s">
        <v>11884</v>
      </c>
      <c r="L1914" s="15">
        <v>1</v>
      </c>
      <c r="M1914" s="15" t="s">
        <v>144</v>
      </c>
      <c r="N1914" s="16">
        <v>39871</v>
      </c>
      <c r="O1914" s="12" t="s">
        <v>11882</v>
      </c>
      <c r="P1914" s="14" t="s">
        <v>11885</v>
      </c>
      <c r="Q1914" s="17" t="s">
        <v>137</v>
      </c>
      <c r="R1914" s="17" t="s">
        <v>146</v>
      </c>
    </row>
    <row r="1915" spans="1:18" x14ac:dyDescent="0.3">
      <c r="A1915" s="12" t="s">
        <v>11886</v>
      </c>
      <c r="B1915" s="12" t="s">
        <v>12</v>
      </c>
      <c r="C1915" s="12"/>
      <c r="D1915" s="12" t="s">
        <v>12</v>
      </c>
      <c r="E1915" s="12" t="s">
        <v>11887</v>
      </c>
      <c r="F1915" s="12"/>
      <c r="G1915" s="12" t="s">
        <v>3905</v>
      </c>
      <c r="H1915" s="12" t="s">
        <v>84</v>
      </c>
      <c r="I1915" s="12" t="s">
        <v>32</v>
      </c>
      <c r="J1915" s="13" t="s">
        <v>3906</v>
      </c>
      <c r="K1915" s="14" t="s">
        <v>11888</v>
      </c>
      <c r="L1915" s="15">
        <v>1</v>
      </c>
      <c r="M1915" s="15" t="s">
        <v>144</v>
      </c>
      <c r="N1915" s="16">
        <v>42170</v>
      </c>
      <c r="O1915" s="12" t="s">
        <v>11889</v>
      </c>
      <c r="P1915" s="14" t="s">
        <v>11890</v>
      </c>
      <c r="Q1915" s="17" t="s">
        <v>137</v>
      </c>
      <c r="R1915" s="17" t="s">
        <v>146</v>
      </c>
    </row>
    <row r="1916" spans="1:18" x14ac:dyDescent="0.3">
      <c r="A1916" s="12" t="s">
        <v>11891</v>
      </c>
      <c r="B1916" s="12" t="s">
        <v>12</v>
      </c>
      <c r="C1916" s="12"/>
      <c r="D1916" s="12" t="s">
        <v>12</v>
      </c>
      <c r="E1916" s="12" t="s">
        <v>11892</v>
      </c>
      <c r="F1916" s="12"/>
      <c r="G1916" s="12" t="s">
        <v>3905</v>
      </c>
      <c r="H1916" s="12" t="s">
        <v>84</v>
      </c>
      <c r="I1916" s="12" t="s">
        <v>32</v>
      </c>
      <c r="J1916" s="13" t="s">
        <v>3906</v>
      </c>
      <c r="K1916" s="14" t="s">
        <v>11893</v>
      </c>
      <c r="L1916" s="15">
        <v>1</v>
      </c>
      <c r="M1916" s="15" t="s">
        <v>144</v>
      </c>
      <c r="N1916" s="16">
        <v>39623</v>
      </c>
      <c r="O1916" s="12" t="s">
        <v>11894</v>
      </c>
      <c r="P1916" s="14" t="s">
        <v>11895</v>
      </c>
      <c r="Q1916" s="17" t="s">
        <v>137</v>
      </c>
      <c r="R1916" s="17" t="s">
        <v>146</v>
      </c>
    </row>
    <row r="1917" spans="1:18" x14ac:dyDescent="0.3">
      <c r="A1917" s="12" t="s">
        <v>11896</v>
      </c>
      <c r="B1917" s="12" t="s">
        <v>12</v>
      </c>
      <c r="C1917" s="12"/>
      <c r="D1917" s="12" t="s">
        <v>12</v>
      </c>
      <c r="E1917" s="12" t="s">
        <v>11897</v>
      </c>
      <c r="F1917" s="12"/>
      <c r="G1917" s="12" t="s">
        <v>3905</v>
      </c>
      <c r="H1917" s="12" t="s">
        <v>84</v>
      </c>
      <c r="I1917" s="12" t="s">
        <v>32</v>
      </c>
      <c r="J1917" s="13" t="s">
        <v>3906</v>
      </c>
      <c r="K1917" s="14" t="s">
        <v>11898</v>
      </c>
      <c r="L1917" s="15">
        <v>2</v>
      </c>
      <c r="M1917" s="15" t="s">
        <v>144</v>
      </c>
      <c r="N1917" s="16">
        <v>40039</v>
      </c>
      <c r="O1917" s="12" t="s">
        <v>11896</v>
      </c>
      <c r="P1917" s="14" t="s">
        <v>11899</v>
      </c>
      <c r="Q1917" s="17" t="s">
        <v>137</v>
      </c>
      <c r="R1917" s="17" t="s">
        <v>146</v>
      </c>
    </row>
    <row r="1918" spans="1:18" x14ac:dyDescent="0.3">
      <c r="A1918" s="12" t="s">
        <v>11900</v>
      </c>
      <c r="B1918" s="12" t="s">
        <v>12</v>
      </c>
      <c r="C1918" s="12"/>
      <c r="D1918" s="12" t="s">
        <v>12</v>
      </c>
      <c r="E1918" s="12" t="s">
        <v>11901</v>
      </c>
      <c r="F1918" s="12"/>
      <c r="G1918" s="12" t="s">
        <v>84</v>
      </c>
      <c r="H1918" s="12" t="s">
        <v>84</v>
      </c>
      <c r="I1918" s="12" t="s">
        <v>32</v>
      </c>
      <c r="J1918" s="13" t="s">
        <v>11902</v>
      </c>
      <c r="K1918" s="14" t="s">
        <v>11903</v>
      </c>
      <c r="L1918" s="15">
        <v>1</v>
      </c>
      <c r="M1918" s="15" t="s">
        <v>144</v>
      </c>
      <c r="N1918" s="16">
        <v>44065</v>
      </c>
      <c r="O1918" s="12" t="s">
        <v>11900</v>
      </c>
      <c r="P1918" s="14" t="s">
        <v>11904</v>
      </c>
      <c r="Q1918" s="17" t="s">
        <v>137</v>
      </c>
      <c r="R1918" s="17" t="s">
        <v>146</v>
      </c>
    </row>
    <row r="1919" spans="1:18" x14ac:dyDescent="0.3">
      <c r="A1919" s="12" t="s">
        <v>11905</v>
      </c>
      <c r="B1919" s="12" t="s">
        <v>14</v>
      </c>
      <c r="C1919" s="12"/>
      <c r="D1919" s="12" t="s">
        <v>14</v>
      </c>
      <c r="E1919" s="12" t="s">
        <v>11906</v>
      </c>
      <c r="F1919" s="12"/>
      <c r="G1919" s="12" t="s">
        <v>84</v>
      </c>
      <c r="H1919" s="12" t="s">
        <v>84</v>
      </c>
      <c r="I1919" s="12" t="s">
        <v>32</v>
      </c>
      <c r="J1919" s="13" t="s">
        <v>11902</v>
      </c>
      <c r="K1919" s="14" t="s">
        <v>11907</v>
      </c>
      <c r="L1919" s="15">
        <v>1</v>
      </c>
      <c r="M1919" s="15" t="s">
        <v>144</v>
      </c>
      <c r="N1919" s="16">
        <v>44279</v>
      </c>
      <c r="O1919" s="12" t="s">
        <v>11905</v>
      </c>
      <c r="P1919" s="14" t="s">
        <v>11908</v>
      </c>
      <c r="Q1919" s="17" t="s">
        <v>137</v>
      </c>
      <c r="R1919" s="17" t="s">
        <v>146</v>
      </c>
    </row>
    <row r="1920" spans="1:18" x14ac:dyDescent="0.3">
      <c r="A1920" s="12" t="s">
        <v>11909</v>
      </c>
      <c r="B1920" s="12" t="s">
        <v>12</v>
      </c>
      <c r="C1920" s="12"/>
      <c r="D1920" s="12" t="s">
        <v>12</v>
      </c>
      <c r="E1920" s="12" t="s">
        <v>11910</v>
      </c>
      <c r="F1920" s="12"/>
      <c r="G1920" s="12" t="s">
        <v>11911</v>
      </c>
      <c r="H1920" s="12" t="s">
        <v>84</v>
      </c>
      <c r="I1920" s="12" t="s">
        <v>32</v>
      </c>
      <c r="J1920" s="13" t="s">
        <v>11912</v>
      </c>
      <c r="K1920" s="14" t="s">
        <v>11913</v>
      </c>
      <c r="L1920" s="15">
        <v>2</v>
      </c>
      <c r="M1920" s="15" t="s">
        <v>144</v>
      </c>
      <c r="N1920" s="16">
        <v>39973</v>
      </c>
      <c r="O1920" s="12" t="s">
        <v>11909</v>
      </c>
      <c r="P1920" s="14" t="s">
        <v>11914</v>
      </c>
      <c r="Q1920" s="17" t="s">
        <v>137</v>
      </c>
      <c r="R1920" s="17" t="s">
        <v>146</v>
      </c>
    </row>
    <row r="1921" spans="1:18" x14ac:dyDescent="0.3">
      <c r="A1921" s="12" t="s">
        <v>11915</v>
      </c>
      <c r="B1921" s="12" t="s">
        <v>12</v>
      </c>
      <c r="C1921" s="12"/>
      <c r="D1921" s="12" t="s">
        <v>12</v>
      </c>
      <c r="E1921" s="12" t="s">
        <v>3910</v>
      </c>
      <c r="F1921" s="12" t="s">
        <v>248</v>
      </c>
      <c r="G1921" s="12" t="s">
        <v>3911</v>
      </c>
      <c r="H1921" s="12" t="s">
        <v>84</v>
      </c>
      <c r="I1921" s="12" t="s">
        <v>32</v>
      </c>
      <c r="J1921" s="13" t="s">
        <v>3912</v>
      </c>
      <c r="K1921" s="14" t="s">
        <v>11916</v>
      </c>
      <c r="L1921" s="15">
        <v>0</v>
      </c>
      <c r="M1921" s="15" t="s">
        <v>144</v>
      </c>
      <c r="N1921" s="16">
        <v>39646</v>
      </c>
      <c r="O1921" s="12" t="s">
        <v>11917</v>
      </c>
      <c r="P1921" s="14" t="s">
        <v>11918</v>
      </c>
      <c r="Q1921" s="17" t="s">
        <v>137</v>
      </c>
      <c r="R1921" s="17" t="s">
        <v>146</v>
      </c>
    </row>
    <row r="1922" spans="1:18" x14ac:dyDescent="0.3">
      <c r="A1922" s="12" t="s">
        <v>11919</v>
      </c>
      <c r="B1922" s="12" t="s">
        <v>12</v>
      </c>
      <c r="C1922" s="12"/>
      <c r="D1922" s="12" t="s">
        <v>12</v>
      </c>
      <c r="E1922" s="12" t="s">
        <v>11920</v>
      </c>
      <c r="F1922" s="12"/>
      <c r="G1922" s="12" t="s">
        <v>3911</v>
      </c>
      <c r="H1922" s="12" t="s">
        <v>84</v>
      </c>
      <c r="I1922" s="12" t="s">
        <v>32</v>
      </c>
      <c r="J1922" s="13" t="s">
        <v>3912</v>
      </c>
      <c r="K1922" s="14" t="s">
        <v>11921</v>
      </c>
      <c r="L1922" s="15">
        <v>0</v>
      </c>
      <c r="M1922" s="15" t="s">
        <v>144</v>
      </c>
      <c r="N1922" s="16">
        <v>42663</v>
      </c>
      <c r="O1922" s="12" t="s">
        <v>11919</v>
      </c>
      <c r="P1922" s="14" t="s">
        <v>11922</v>
      </c>
      <c r="Q1922" s="17" t="s">
        <v>137</v>
      </c>
      <c r="R1922" s="17" t="s">
        <v>146</v>
      </c>
    </row>
    <row r="1923" spans="1:18" x14ac:dyDescent="0.3">
      <c r="A1923" s="12" t="s">
        <v>11923</v>
      </c>
      <c r="B1923" s="12" t="s">
        <v>12</v>
      </c>
      <c r="C1923" s="12"/>
      <c r="D1923" s="12" t="s">
        <v>12</v>
      </c>
      <c r="E1923" s="12" t="s">
        <v>11924</v>
      </c>
      <c r="F1923" s="12"/>
      <c r="G1923" s="12" t="s">
        <v>11925</v>
      </c>
      <c r="H1923" s="12" t="s">
        <v>98</v>
      </c>
      <c r="I1923" s="12" t="s">
        <v>32</v>
      </c>
      <c r="J1923" s="13" t="s">
        <v>11926</v>
      </c>
      <c r="K1923" s="14" t="s">
        <v>11927</v>
      </c>
      <c r="L1923" s="15">
        <v>0</v>
      </c>
      <c r="M1923" s="15" t="s">
        <v>144</v>
      </c>
      <c r="N1923" s="16">
        <v>40981</v>
      </c>
      <c r="O1923" s="12" t="s">
        <v>11923</v>
      </c>
      <c r="P1923" s="14" t="s">
        <v>11928</v>
      </c>
      <c r="Q1923" s="17" t="s">
        <v>137</v>
      </c>
      <c r="R1923" s="17" t="s">
        <v>146</v>
      </c>
    </row>
    <row r="1924" spans="1:18" x14ac:dyDescent="0.3">
      <c r="A1924" s="12" t="s">
        <v>11929</v>
      </c>
      <c r="B1924" s="12" t="s">
        <v>12</v>
      </c>
      <c r="C1924" s="12"/>
      <c r="D1924" s="12" t="s">
        <v>12</v>
      </c>
      <c r="E1924" s="12" t="s">
        <v>11930</v>
      </c>
      <c r="F1924" s="12" t="s">
        <v>11931</v>
      </c>
      <c r="G1924" s="12" t="s">
        <v>11925</v>
      </c>
      <c r="H1924" s="12" t="s">
        <v>98</v>
      </c>
      <c r="I1924" s="12" t="s">
        <v>32</v>
      </c>
      <c r="J1924" s="13" t="s">
        <v>11926</v>
      </c>
      <c r="K1924" s="14" t="s">
        <v>11932</v>
      </c>
      <c r="L1924" s="15">
        <v>2</v>
      </c>
      <c r="M1924" s="15" t="s">
        <v>144</v>
      </c>
      <c r="N1924" s="16">
        <v>44028</v>
      </c>
      <c r="O1924" s="12" t="s">
        <v>11929</v>
      </c>
      <c r="P1924" s="14" t="s">
        <v>11933</v>
      </c>
      <c r="Q1924" s="17" t="s">
        <v>137</v>
      </c>
      <c r="R1924" s="17" t="s">
        <v>146</v>
      </c>
    </row>
    <row r="1925" spans="1:18" x14ac:dyDescent="0.3">
      <c r="A1925" s="12" t="s">
        <v>11934</v>
      </c>
      <c r="B1925" s="12" t="s">
        <v>14</v>
      </c>
      <c r="C1925" s="12"/>
      <c r="D1925" s="12" t="s">
        <v>14</v>
      </c>
      <c r="E1925" s="12" t="s">
        <v>11930</v>
      </c>
      <c r="F1925" s="12" t="s">
        <v>11935</v>
      </c>
      <c r="G1925" s="12" t="s">
        <v>11925</v>
      </c>
      <c r="H1925" s="12" t="s">
        <v>98</v>
      </c>
      <c r="I1925" s="12" t="s">
        <v>32</v>
      </c>
      <c r="J1925" s="13" t="s">
        <v>11926</v>
      </c>
      <c r="K1925" s="14" t="s">
        <v>11936</v>
      </c>
      <c r="L1925" s="15">
        <v>1</v>
      </c>
      <c r="M1925" s="15" t="s">
        <v>144</v>
      </c>
      <c r="N1925" s="16">
        <v>44328</v>
      </c>
      <c r="O1925" s="12" t="s">
        <v>11937</v>
      </c>
      <c r="P1925" s="14" t="s">
        <v>11938</v>
      </c>
      <c r="Q1925" s="17" t="s">
        <v>137</v>
      </c>
      <c r="R1925" s="17" t="s">
        <v>146</v>
      </c>
    </row>
    <row r="1926" spans="1:18" x14ac:dyDescent="0.3">
      <c r="A1926" s="12" t="s">
        <v>11939</v>
      </c>
      <c r="B1926" s="12" t="s">
        <v>12</v>
      </c>
      <c r="C1926" s="12"/>
      <c r="D1926" s="12" t="s">
        <v>12</v>
      </c>
      <c r="E1926" s="12" t="s">
        <v>11940</v>
      </c>
      <c r="F1926" s="12"/>
      <c r="G1926" s="12" t="s">
        <v>11925</v>
      </c>
      <c r="H1926" s="12" t="s">
        <v>98</v>
      </c>
      <c r="I1926" s="12" t="s">
        <v>32</v>
      </c>
      <c r="J1926" s="13" t="s">
        <v>11926</v>
      </c>
      <c r="K1926" s="14" t="s">
        <v>11941</v>
      </c>
      <c r="L1926" s="15">
        <v>1</v>
      </c>
      <c r="M1926" s="15" t="s">
        <v>144</v>
      </c>
      <c r="N1926" s="16">
        <v>40795</v>
      </c>
      <c r="O1926" s="12" t="s">
        <v>11939</v>
      </c>
      <c r="P1926" s="14" t="s">
        <v>11942</v>
      </c>
      <c r="Q1926" s="17" t="s">
        <v>137</v>
      </c>
      <c r="R1926" s="17" t="s">
        <v>146</v>
      </c>
    </row>
    <row r="1927" spans="1:18" x14ac:dyDescent="0.3">
      <c r="A1927" s="12" t="s">
        <v>11943</v>
      </c>
      <c r="B1927" s="12" t="s">
        <v>12</v>
      </c>
      <c r="C1927" s="12"/>
      <c r="D1927" s="12" t="s">
        <v>12</v>
      </c>
      <c r="E1927" s="12" t="s">
        <v>11940</v>
      </c>
      <c r="F1927" s="12"/>
      <c r="G1927" s="12" t="s">
        <v>11925</v>
      </c>
      <c r="H1927" s="12" t="s">
        <v>98</v>
      </c>
      <c r="I1927" s="12" t="s">
        <v>32</v>
      </c>
      <c r="J1927" s="13" t="s">
        <v>11926</v>
      </c>
      <c r="K1927" s="14" t="s">
        <v>11941</v>
      </c>
      <c r="L1927" s="15">
        <v>1</v>
      </c>
      <c r="M1927" s="15" t="s">
        <v>144</v>
      </c>
      <c r="N1927" s="16">
        <v>43991</v>
      </c>
      <c r="O1927" s="12" t="s">
        <v>11943</v>
      </c>
      <c r="P1927" s="14" t="s">
        <v>11944</v>
      </c>
      <c r="Q1927" s="17" t="s">
        <v>137</v>
      </c>
      <c r="R1927" s="17" t="s">
        <v>146</v>
      </c>
    </row>
    <row r="1928" spans="1:18" x14ac:dyDescent="0.3">
      <c r="A1928" s="12" t="s">
        <v>11945</v>
      </c>
      <c r="B1928" s="12" t="s">
        <v>12</v>
      </c>
      <c r="C1928" s="12"/>
      <c r="D1928" s="12" t="s">
        <v>12</v>
      </c>
      <c r="E1928" s="12" t="s">
        <v>11946</v>
      </c>
      <c r="F1928" s="12"/>
      <c r="G1928" s="12" t="s">
        <v>11925</v>
      </c>
      <c r="H1928" s="12" t="s">
        <v>98</v>
      </c>
      <c r="I1928" s="12" t="s">
        <v>32</v>
      </c>
      <c r="J1928" s="13" t="s">
        <v>11926</v>
      </c>
      <c r="K1928" s="14" t="s">
        <v>11947</v>
      </c>
      <c r="L1928" s="15">
        <v>1</v>
      </c>
      <c r="M1928" s="15" t="s">
        <v>144</v>
      </c>
      <c r="N1928" s="16">
        <v>41227</v>
      </c>
      <c r="O1928" s="12" t="s">
        <v>11945</v>
      </c>
      <c r="P1928" s="14" t="s">
        <v>11948</v>
      </c>
      <c r="Q1928" s="17" t="s">
        <v>137</v>
      </c>
      <c r="R1928" s="17" t="s">
        <v>146</v>
      </c>
    </row>
    <row r="1929" spans="1:18" x14ac:dyDescent="0.3">
      <c r="A1929" s="12" t="s">
        <v>11949</v>
      </c>
      <c r="B1929" s="12" t="s">
        <v>12</v>
      </c>
      <c r="C1929" s="12"/>
      <c r="D1929" s="12" t="s">
        <v>12</v>
      </c>
      <c r="E1929" s="12" t="s">
        <v>11950</v>
      </c>
      <c r="F1929" s="12" t="s">
        <v>447</v>
      </c>
      <c r="G1929" s="12" t="s">
        <v>11951</v>
      </c>
      <c r="H1929" s="12" t="s">
        <v>42</v>
      </c>
      <c r="I1929" s="12" t="s">
        <v>32</v>
      </c>
      <c r="J1929" s="13" t="s">
        <v>11952</v>
      </c>
      <c r="K1929" s="14" t="s">
        <v>11953</v>
      </c>
      <c r="L1929" s="15">
        <v>2</v>
      </c>
      <c r="M1929" s="15" t="s">
        <v>144</v>
      </c>
      <c r="N1929" s="16">
        <v>42830</v>
      </c>
      <c r="O1929" s="12" t="s">
        <v>11949</v>
      </c>
      <c r="P1929" s="14" t="s">
        <v>11954</v>
      </c>
      <c r="Q1929" s="17" t="s">
        <v>137</v>
      </c>
      <c r="R1929" s="17" t="s">
        <v>146</v>
      </c>
    </row>
    <row r="1930" spans="1:18" x14ac:dyDescent="0.3">
      <c r="A1930" s="12" t="s">
        <v>11955</v>
      </c>
      <c r="B1930" s="12" t="s">
        <v>12</v>
      </c>
      <c r="C1930" s="12"/>
      <c r="D1930" s="12" t="s">
        <v>12</v>
      </c>
      <c r="E1930" s="12" t="s">
        <v>11956</v>
      </c>
      <c r="F1930" s="12"/>
      <c r="G1930" s="12" t="s">
        <v>11951</v>
      </c>
      <c r="H1930" s="12" t="s">
        <v>42</v>
      </c>
      <c r="I1930" s="12" t="s">
        <v>32</v>
      </c>
      <c r="J1930" s="13" t="s">
        <v>11952</v>
      </c>
      <c r="K1930" s="14" t="s">
        <v>11957</v>
      </c>
      <c r="L1930" s="15">
        <v>0</v>
      </c>
      <c r="M1930" s="15" t="s">
        <v>144</v>
      </c>
      <c r="N1930" s="16">
        <v>41522</v>
      </c>
      <c r="O1930" s="12" t="s">
        <v>11955</v>
      </c>
      <c r="P1930" s="14" t="s">
        <v>11958</v>
      </c>
      <c r="Q1930" s="17" t="s">
        <v>137</v>
      </c>
      <c r="R1930" s="17" t="s">
        <v>146</v>
      </c>
    </row>
    <row r="1931" spans="1:18" x14ac:dyDescent="0.3">
      <c r="A1931" s="12" t="s">
        <v>11959</v>
      </c>
      <c r="B1931" s="12" t="s">
        <v>12</v>
      </c>
      <c r="C1931" s="12"/>
      <c r="D1931" s="12" t="s">
        <v>12</v>
      </c>
      <c r="E1931" s="12" t="s">
        <v>11960</v>
      </c>
      <c r="F1931" s="12"/>
      <c r="G1931" s="12" t="s">
        <v>11961</v>
      </c>
      <c r="H1931" s="12" t="s">
        <v>42</v>
      </c>
      <c r="I1931" s="12" t="s">
        <v>32</v>
      </c>
      <c r="J1931" s="13" t="s">
        <v>11962</v>
      </c>
      <c r="K1931" s="14" t="s">
        <v>11963</v>
      </c>
      <c r="L1931" s="15">
        <v>2</v>
      </c>
      <c r="M1931" s="15" t="s">
        <v>144</v>
      </c>
      <c r="N1931" s="16">
        <v>43723</v>
      </c>
      <c r="O1931" s="12" t="s">
        <v>10088</v>
      </c>
      <c r="P1931" s="14" t="s">
        <v>11964</v>
      </c>
      <c r="Q1931" s="17" t="s">
        <v>137</v>
      </c>
      <c r="R1931" s="17" t="s">
        <v>146</v>
      </c>
    </row>
    <row r="1932" spans="1:18" x14ac:dyDescent="0.3">
      <c r="A1932" s="12" t="s">
        <v>11965</v>
      </c>
      <c r="B1932" s="12" t="s">
        <v>12</v>
      </c>
      <c r="C1932" s="12"/>
      <c r="D1932" s="12" t="s">
        <v>12</v>
      </c>
      <c r="E1932" s="12" t="s">
        <v>11966</v>
      </c>
      <c r="F1932" s="12" t="s">
        <v>5084</v>
      </c>
      <c r="G1932" s="12" t="s">
        <v>3922</v>
      </c>
      <c r="H1932" s="12" t="s">
        <v>42</v>
      </c>
      <c r="I1932" s="12" t="s">
        <v>32</v>
      </c>
      <c r="J1932" s="13" t="s">
        <v>3925</v>
      </c>
      <c r="K1932" s="14" t="s">
        <v>11967</v>
      </c>
      <c r="L1932" s="15">
        <v>3</v>
      </c>
      <c r="M1932" s="15" t="s">
        <v>144</v>
      </c>
      <c r="N1932" s="16">
        <v>44065</v>
      </c>
      <c r="O1932" s="12" t="s">
        <v>11965</v>
      </c>
      <c r="P1932" s="14" t="s">
        <v>11968</v>
      </c>
      <c r="Q1932" s="17" t="s">
        <v>137</v>
      </c>
      <c r="R1932" s="17" t="s">
        <v>146</v>
      </c>
    </row>
    <row r="1933" spans="1:18" x14ac:dyDescent="0.3">
      <c r="A1933" s="12" t="s">
        <v>11969</v>
      </c>
      <c r="B1933" s="12" t="s">
        <v>14</v>
      </c>
      <c r="C1933" s="12"/>
      <c r="D1933" s="12" t="s">
        <v>14</v>
      </c>
      <c r="E1933" s="12" t="s">
        <v>11970</v>
      </c>
      <c r="F1933" s="12" t="s">
        <v>1025</v>
      </c>
      <c r="G1933" s="12" t="s">
        <v>3922</v>
      </c>
      <c r="H1933" s="12" t="s">
        <v>42</v>
      </c>
      <c r="I1933" s="12" t="s">
        <v>32</v>
      </c>
      <c r="J1933" s="13" t="s">
        <v>3965</v>
      </c>
      <c r="K1933" s="14" t="s">
        <v>11971</v>
      </c>
      <c r="L1933" s="15">
        <v>0</v>
      </c>
      <c r="M1933" s="15" t="s">
        <v>144</v>
      </c>
      <c r="N1933" s="16">
        <v>41709</v>
      </c>
      <c r="O1933" s="12" t="s">
        <v>11972</v>
      </c>
      <c r="P1933" s="14" t="s">
        <v>11973</v>
      </c>
      <c r="Q1933" s="17" t="s">
        <v>137</v>
      </c>
      <c r="R1933" s="17" t="s">
        <v>146</v>
      </c>
    </row>
    <row r="1934" spans="1:18" x14ac:dyDescent="0.3">
      <c r="A1934" s="12" t="s">
        <v>11974</v>
      </c>
      <c r="B1934" s="12" t="s">
        <v>12</v>
      </c>
      <c r="C1934" s="12"/>
      <c r="D1934" s="12" t="s">
        <v>12</v>
      </c>
      <c r="E1934" s="12" t="s">
        <v>11975</v>
      </c>
      <c r="F1934" s="12"/>
      <c r="G1934" s="12" t="s">
        <v>3922</v>
      </c>
      <c r="H1934" s="12" t="s">
        <v>42</v>
      </c>
      <c r="I1934" s="12" t="s">
        <v>32</v>
      </c>
      <c r="J1934" s="13" t="s">
        <v>3923</v>
      </c>
      <c r="K1934" s="14" t="s">
        <v>11976</v>
      </c>
      <c r="L1934" s="15">
        <v>1</v>
      </c>
      <c r="M1934" s="15" t="s">
        <v>144</v>
      </c>
      <c r="N1934" s="16">
        <v>43425</v>
      </c>
      <c r="O1934" s="12" t="s">
        <v>11974</v>
      </c>
      <c r="P1934" s="14" t="s">
        <v>11977</v>
      </c>
      <c r="Q1934" s="17" t="s">
        <v>137</v>
      </c>
      <c r="R1934" s="17" t="s">
        <v>146</v>
      </c>
    </row>
    <row r="1935" spans="1:18" x14ac:dyDescent="0.3">
      <c r="A1935" s="12" t="s">
        <v>11485</v>
      </c>
      <c r="B1935" s="12" t="s">
        <v>20</v>
      </c>
      <c r="C1935" s="12"/>
      <c r="D1935" s="12" t="s">
        <v>193</v>
      </c>
      <c r="E1935" s="12" t="s">
        <v>11978</v>
      </c>
      <c r="F1935" s="12" t="s">
        <v>345</v>
      </c>
      <c r="G1935" s="12" t="s">
        <v>3922</v>
      </c>
      <c r="H1935" s="12" t="s">
        <v>42</v>
      </c>
      <c r="I1935" s="12" t="s">
        <v>32</v>
      </c>
      <c r="J1935" s="13" t="s">
        <v>3925</v>
      </c>
      <c r="K1935" s="14" t="s">
        <v>11979</v>
      </c>
      <c r="L1935" s="15">
        <v>2</v>
      </c>
      <c r="M1935" s="15" t="s">
        <v>144</v>
      </c>
      <c r="N1935" s="16">
        <v>40284</v>
      </c>
      <c r="O1935" s="12" t="s">
        <v>11485</v>
      </c>
      <c r="P1935" s="14" t="s">
        <v>11980</v>
      </c>
      <c r="Q1935" s="17" t="s">
        <v>137</v>
      </c>
      <c r="R1935" s="17" t="s">
        <v>146</v>
      </c>
    </row>
    <row r="1936" spans="1:18" x14ac:dyDescent="0.3">
      <c r="A1936" s="12" t="s">
        <v>11981</v>
      </c>
      <c r="B1936" s="12" t="s">
        <v>12</v>
      </c>
      <c r="C1936" s="12"/>
      <c r="D1936" s="12" t="s">
        <v>12</v>
      </c>
      <c r="E1936" s="12" t="s">
        <v>11982</v>
      </c>
      <c r="F1936" s="12"/>
      <c r="G1936" s="12" t="s">
        <v>3922</v>
      </c>
      <c r="H1936" s="12" t="s">
        <v>42</v>
      </c>
      <c r="I1936" s="12" t="s">
        <v>32</v>
      </c>
      <c r="J1936" s="13" t="s">
        <v>4013</v>
      </c>
      <c r="K1936" s="14" t="s">
        <v>11983</v>
      </c>
      <c r="L1936" s="15">
        <v>1</v>
      </c>
      <c r="M1936" s="15" t="s">
        <v>144</v>
      </c>
      <c r="N1936" s="16">
        <v>40220</v>
      </c>
      <c r="O1936" s="12" t="s">
        <v>11981</v>
      </c>
      <c r="P1936" s="14" t="s">
        <v>11984</v>
      </c>
      <c r="Q1936" s="17" t="s">
        <v>137</v>
      </c>
      <c r="R1936" s="17" t="s">
        <v>146</v>
      </c>
    </row>
    <row r="1937" spans="1:18" x14ac:dyDescent="0.3">
      <c r="A1937" s="12" t="s">
        <v>11985</v>
      </c>
      <c r="B1937" s="12" t="s">
        <v>14</v>
      </c>
      <c r="C1937" s="12"/>
      <c r="D1937" s="12" t="s">
        <v>14</v>
      </c>
      <c r="E1937" s="12" t="s">
        <v>11986</v>
      </c>
      <c r="F1937" s="12" t="s">
        <v>218</v>
      </c>
      <c r="G1937" s="12" t="s">
        <v>3922</v>
      </c>
      <c r="H1937" s="12" t="s">
        <v>42</v>
      </c>
      <c r="I1937" s="12" t="s">
        <v>32</v>
      </c>
      <c r="J1937" s="13" t="s">
        <v>4013</v>
      </c>
      <c r="K1937" s="14" t="s">
        <v>11987</v>
      </c>
      <c r="L1937" s="15">
        <v>0</v>
      </c>
      <c r="M1937" s="15" t="s">
        <v>144</v>
      </c>
      <c r="N1937" s="16">
        <v>42352</v>
      </c>
      <c r="O1937" s="12" t="s">
        <v>11985</v>
      </c>
      <c r="P1937" s="14" t="s">
        <v>11988</v>
      </c>
      <c r="Q1937" s="17" t="s">
        <v>137</v>
      </c>
      <c r="R1937" s="17" t="s">
        <v>146</v>
      </c>
    </row>
    <row r="1938" spans="1:18" x14ac:dyDescent="0.3">
      <c r="A1938" s="12" t="s">
        <v>11989</v>
      </c>
      <c r="B1938" s="12" t="s">
        <v>12</v>
      </c>
      <c r="C1938" s="12"/>
      <c r="D1938" s="12" t="s">
        <v>12</v>
      </c>
      <c r="E1938" s="12" t="s">
        <v>11990</v>
      </c>
      <c r="F1938" s="12"/>
      <c r="G1938" s="12" t="s">
        <v>3922</v>
      </c>
      <c r="H1938" s="12" t="s">
        <v>42</v>
      </c>
      <c r="I1938" s="12" t="s">
        <v>32</v>
      </c>
      <c r="J1938" s="13" t="s">
        <v>3925</v>
      </c>
      <c r="K1938" s="14" t="s">
        <v>11991</v>
      </c>
      <c r="L1938" s="15">
        <v>3</v>
      </c>
      <c r="M1938" s="15" t="s">
        <v>144</v>
      </c>
      <c r="N1938" s="16">
        <v>44065</v>
      </c>
      <c r="O1938" s="12" t="s">
        <v>11992</v>
      </c>
      <c r="P1938" s="14" t="s">
        <v>11993</v>
      </c>
      <c r="Q1938" s="17" t="s">
        <v>137</v>
      </c>
      <c r="R1938" s="17" t="s">
        <v>146</v>
      </c>
    </row>
    <row r="1939" spans="1:18" x14ac:dyDescent="0.3">
      <c r="A1939" s="12" t="s">
        <v>11994</v>
      </c>
      <c r="B1939" s="12" t="s">
        <v>12</v>
      </c>
      <c r="C1939" s="12"/>
      <c r="D1939" s="12" t="s">
        <v>12</v>
      </c>
      <c r="E1939" s="12" t="s">
        <v>3955</v>
      </c>
      <c r="F1939" s="12" t="s">
        <v>1542</v>
      </c>
      <c r="G1939" s="12" t="s">
        <v>3922</v>
      </c>
      <c r="H1939" s="12" t="s">
        <v>42</v>
      </c>
      <c r="I1939" s="12" t="s">
        <v>32</v>
      </c>
      <c r="J1939" s="13" t="s">
        <v>3925</v>
      </c>
      <c r="K1939" s="14" t="s">
        <v>3956</v>
      </c>
      <c r="L1939" s="15">
        <v>3</v>
      </c>
      <c r="M1939" s="15" t="s">
        <v>144</v>
      </c>
      <c r="N1939" s="16">
        <v>41927</v>
      </c>
      <c r="O1939" s="12" t="s">
        <v>11994</v>
      </c>
      <c r="P1939" s="14" t="s">
        <v>11995</v>
      </c>
      <c r="Q1939" s="17" t="s">
        <v>137</v>
      </c>
      <c r="R1939" s="17" t="s">
        <v>146</v>
      </c>
    </row>
    <row r="1940" spans="1:18" x14ac:dyDescent="0.3">
      <c r="A1940" s="12" t="s">
        <v>11996</v>
      </c>
      <c r="B1940" s="12" t="s">
        <v>12</v>
      </c>
      <c r="C1940" s="12"/>
      <c r="D1940" s="12" t="s">
        <v>12</v>
      </c>
      <c r="E1940" s="12" t="s">
        <v>11975</v>
      </c>
      <c r="F1940" s="12" t="s">
        <v>447</v>
      </c>
      <c r="G1940" s="12" t="s">
        <v>3922</v>
      </c>
      <c r="H1940" s="12" t="s">
        <v>42</v>
      </c>
      <c r="I1940" s="12" t="s">
        <v>32</v>
      </c>
      <c r="J1940" s="13" t="s">
        <v>3923</v>
      </c>
      <c r="K1940" s="14" t="s">
        <v>11997</v>
      </c>
      <c r="L1940" s="15">
        <v>1</v>
      </c>
      <c r="M1940" s="15" t="s">
        <v>144</v>
      </c>
      <c r="N1940" s="16">
        <v>44291</v>
      </c>
      <c r="O1940" s="12" t="s">
        <v>11996</v>
      </c>
      <c r="P1940" s="14" t="s">
        <v>11998</v>
      </c>
      <c r="Q1940" s="17" t="s">
        <v>137</v>
      </c>
      <c r="R1940" s="17" t="s">
        <v>146</v>
      </c>
    </row>
    <row r="1941" spans="1:18" x14ac:dyDescent="0.3">
      <c r="A1941" s="12" t="s">
        <v>11999</v>
      </c>
      <c r="B1941" s="12" t="s">
        <v>12</v>
      </c>
      <c r="C1941" s="12"/>
      <c r="D1941" s="12" t="s">
        <v>12</v>
      </c>
      <c r="E1941" s="12" t="s">
        <v>12000</v>
      </c>
      <c r="F1941" s="12"/>
      <c r="G1941" s="12" t="s">
        <v>3922</v>
      </c>
      <c r="H1941" s="12" t="s">
        <v>42</v>
      </c>
      <c r="I1941" s="12" t="s">
        <v>32</v>
      </c>
      <c r="J1941" s="13" t="s">
        <v>3965</v>
      </c>
      <c r="K1941" s="14" t="s">
        <v>12001</v>
      </c>
      <c r="L1941" s="15">
        <v>0</v>
      </c>
      <c r="M1941" s="15" t="s">
        <v>144</v>
      </c>
      <c r="N1941" s="16">
        <v>44065</v>
      </c>
      <c r="O1941" s="12" t="s">
        <v>11999</v>
      </c>
      <c r="P1941" s="14" t="s">
        <v>12002</v>
      </c>
      <c r="Q1941" s="17" t="s">
        <v>137</v>
      </c>
      <c r="R1941" s="17" t="s">
        <v>146</v>
      </c>
    </row>
    <row r="1942" spans="1:18" x14ac:dyDescent="0.3">
      <c r="A1942" s="12" t="s">
        <v>12003</v>
      </c>
      <c r="B1942" s="12" t="s">
        <v>12</v>
      </c>
      <c r="C1942" s="12"/>
      <c r="D1942" s="12" t="s">
        <v>12</v>
      </c>
      <c r="E1942" s="12" t="s">
        <v>12004</v>
      </c>
      <c r="F1942" s="12" t="s">
        <v>345</v>
      </c>
      <c r="G1942" s="12" t="s">
        <v>3922</v>
      </c>
      <c r="H1942" s="12" t="s">
        <v>42</v>
      </c>
      <c r="I1942" s="12" t="s">
        <v>32</v>
      </c>
      <c r="J1942" s="13" t="s">
        <v>3925</v>
      </c>
      <c r="K1942" s="14" t="s">
        <v>12005</v>
      </c>
      <c r="L1942" s="15">
        <v>3</v>
      </c>
      <c r="M1942" s="15" t="s">
        <v>144</v>
      </c>
      <c r="N1942" s="16">
        <v>40904</v>
      </c>
      <c r="O1942" s="12" t="s">
        <v>12003</v>
      </c>
      <c r="P1942" s="14" t="s">
        <v>12006</v>
      </c>
      <c r="Q1942" s="17" t="s">
        <v>137</v>
      </c>
      <c r="R1942" s="17" t="s">
        <v>146</v>
      </c>
    </row>
    <row r="1943" spans="1:18" x14ac:dyDescent="0.3">
      <c r="A1943" s="12" t="s">
        <v>12007</v>
      </c>
      <c r="B1943" s="12" t="s">
        <v>14</v>
      </c>
      <c r="C1943" s="12"/>
      <c r="D1943" s="12" t="s">
        <v>14</v>
      </c>
      <c r="E1943" s="12" t="s">
        <v>12008</v>
      </c>
      <c r="F1943" s="12"/>
      <c r="G1943" s="12" t="s">
        <v>3922</v>
      </c>
      <c r="H1943" s="12" t="s">
        <v>42</v>
      </c>
      <c r="I1943" s="12" t="s">
        <v>32</v>
      </c>
      <c r="J1943" s="13" t="s">
        <v>3925</v>
      </c>
      <c r="K1943" s="14" t="s">
        <v>12009</v>
      </c>
      <c r="L1943" s="15">
        <v>0</v>
      </c>
      <c r="M1943" s="15" t="s">
        <v>144</v>
      </c>
      <c r="N1943" s="16">
        <v>42289</v>
      </c>
      <c r="O1943" s="12" t="s">
        <v>12007</v>
      </c>
      <c r="P1943" s="14" t="s">
        <v>12010</v>
      </c>
      <c r="Q1943" s="17" t="s">
        <v>137</v>
      </c>
      <c r="R1943" s="17" t="s">
        <v>146</v>
      </c>
    </row>
    <row r="1944" spans="1:18" x14ac:dyDescent="0.3">
      <c r="A1944" s="12" t="s">
        <v>12011</v>
      </c>
      <c r="B1944" s="12" t="s">
        <v>12</v>
      </c>
      <c r="C1944" s="12"/>
      <c r="D1944" s="12" t="s">
        <v>12</v>
      </c>
      <c r="E1944" s="12" t="s">
        <v>12012</v>
      </c>
      <c r="F1944" s="12"/>
      <c r="G1944" s="12" t="s">
        <v>3922</v>
      </c>
      <c r="H1944" s="12" t="s">
        <v>42</v>
      </c>
      <c r="I1944" s="12" t="s">
        <v>32</v>
      </c>
      <c r="J1944" s="13" t="s">
        <v>3925</v>
      </c>
      <c r="K1944" s="14" t="s">
        <v>12013</v>
      </c>
      <c r="L1944" s="15">
        <v>0</v>
      </c>
      <c r="M1944" s="15" t="s">
        <v>144</v>
      </c>
      <c r="N1944" s="16">
        <v>39651</v>
      </c>
      <c r="O1944" s="12" t="s">
        <v>12011</v>
      </c>
      <c r="P1944" s="14" t="s">
        <v>12014</v>
      </c>
      <c r="Q1944" s="17" t="s">
        <v>137</v>
      </c>
      <c r="R1944" s="17" t="s">
        <v>146</v>
      </c>
    </row>
    <row r="1945" spans="1:18" x14ac:dyDescent="0.3">
      <c r="A1945" s="12" t="s">
        <v>12015</v>
      </c>
      <c r="B1945" s="12" t="s">
        <v>12</v>
      </c>
      <c r="C1945" s="12"/>
      <c r="D1945" s="12" t="s">
        <v>12</v>
      </c>
      <c r="E1945" s="12" t="s">
        <v>12016</v>
      </c>
      <c r="F1945" s="12" t="s">
        <v>258</v>
      </c>
      <c r="G1945" s="12" t="s">
        <v>3922</v>
      </c>
      <c r="H1945" s="12" t="s">
        <v>42</v>
      </c>
      <c r="I1945" s="12" t="s">
        <v>32</v>
      </c>
      <c r="J1945" s="13" t="s">
        <v>4013</v>
      </c>
      <c r="K1945" s="14" t="s">
        <v>12017</v>
      </c>
      <c r="L1945" s="15">
        <v>0</v>
      </c>
      <c r="M1945" s="15" t="s">
        <v>144</v>
      </c>
      <c r="N1945" s="16">
        <v>41626</v>
      </c>
      <c r="O1945" s="12" t="s">
        <v>12015</v>
      </c>
      <c r="P1945" s="14" t="s">
        <v>12018</v>
      </c>
      <c r="Q1945" s="17" t="s">
        <v>137</v>
      </c>
      <c r="R1945" s="17" t="s">
        <v>146</v>
      </c>
    </row>
    <row r="1946" spans="1:18" x14ac:dyDescent="0.3">
      <c r="A1946" s="12" t="s">
        <v>12019</v>
      </c>
      <c r="B1946" s="12" t="s">
        <v>12</v>
      </c>
      <c r="C1946" s="12"/>
      <c r="D1946" s="12" t="s">
        <v>12</v>
      </c>
      <c r="E1946" s="12" t="s">
        <v>12020</v>
      </c>
      <c r="F1946" s="12" t="s">
        <v>345</v>
      </c>
      <c r="G1946" s="12" t="s">
        <v>3922</v>
      </c>
      <c r="H1946" s="12" t="s">
        <v>42</v>
      </c>
      <c r="I1946" s="12" t="s">
        <v>32</v>
      </c>
      <c r="J1946" s="13" t="s">
        <v>3925</v>
      </c>
      <c r="K1946" s="14" t="s">
        <v>12005</v>
      </c>
      <c r="L1946" s="15">
        <v>3</v>
      </c>
      <c r="M1946" s="15" t="s">
        <v>144</v>
      </c>
      <c r="N1946" s="16">
        <v>40700</v>
      </c>
      <c r="O1946" s="12" t="s">
        <v>12019</v>
      </c>
      <c r="P1946" s="14" t="s">
        <v>12021</v>
      </c>
      <c r="Q1946" s="17" t="s">
        <v>137</v>
      </c>
      <c r="R1946" s="17" t="s">
        <v>146</v>
      </c>
    </row>
    <row r="1947" spans="1:18" x14ac:dyDescent="0.3">
      <c r="A1947" s="12" t="s">
        <v>12022</v>
      </c>
      <c r="B1947" s="12" t="s">
        <v>12</v>
      </c>
      <c r="C1947" s="12"/>
      <c r="D1947" s="12" t="s">
        <v>12</v>
      </c>
      <c r="E1947" s="12" t="s">
        <v>12023</v>
      </c>
      <c r="F1947" s="12"/>
      <c r="G1947" s="12" t="s">
        <v>3922</v>
      </c>
      <c r="H1947" s="12" t="s">
        <v>42</v>
      </c>
      <c r="I1947" s="12" t="s">
        <v>32</v>
      </c>
      <c r="J1947" s="13" t="s">
        <v>3925</v>
      </c>
      <c r="K1947" s="14" t="s">
        <v>12024</v>
      </c>
      <c r="L1947" s="15">
        <v>2</v>
      </c>
      <c r="M1947" s="15" t="s">
        <v>144</v>
      </c>
      <c r="N1947" s="16">
        <v>40458</v>
      </c>
      <c r="O1947" s="12" t="s">
        <v>12022</v>
      </c>
      <c r="P1947" s="14" t="s">
        <v>12025</v>
      </c>
      <c r="Q1947" s="17" t="s">
        <v>137</v>
      </c>
      <c r="R1947" s="17" t="s">
        <v>146</v>
      </c>
    </row>
    <row r="1948" spans="1:18" x14ac:dyDescent="0.3">
      <c r="A1948" s="12" t="s">
        <v>12026</v>
      </c>
      <c r="B1948" s="12" t="s">
        <v>12</v>
      </c>
      <c r="C1948" s="12"/>
      <c r="D1948" s="12" t="s">
        <v>12</v>
      </c>
      <c r="E1948" s="12" t="s">
        <v>12027</v>
      </c>
      <c r="F1948" s="12" t="s">
        <v>1765</v>
      </c>
      <c r="G1948" s="12" t="s">
        <v>3922</v>
      </c>
      <c r="H1948" s="12" t="s">
        <v>42</v>
      </c>
      <c r="I1948" s="12" t="s">
        <v>32</v>
      </c>
      <c r="J1948" s="13" t="s">
        <v>3965</v>
      </c>
      <c r="K1948" s="14" t="s">
        <v>12028</v>
      </c>
      <c r="L1948" s="15">
        <v>0</v>
      </c>
      <c r="M1948" s="15" t="s">
        <v>144</v>
      </c>
      <c r="N1948" s="16">
        <v>39806</v>
      </c>
      <c r="O1948" s="12" t="s">
        <v>12026</v>
      </c>
      <c r="P1948" s="14" t="s">
        <v>12029</v>
      </c>
      <c r="Q1948" s="17" t="s">
        <v>137</v>
      </c>
      <c r="R1948" s="17" t="s">
        <v>146</v>
      </c>
    </row>
    <row r="1949" spans="1:18" x14ac:dyDescent="0.3">
      <c r="A1949" s="12" t="s">
        <v>12030</v>
      </c>
      <c r="B1949" s="12" t="s">
        <v>12</v>
      </c>
      <c r="C1949" s="12"/>
      <c r="D1949" s="12" t="s">
        <v>12</v>
      </c>
      <c r="E1949" s="12" t="s">
        <v>12031</v>
      </c>
      <c r="F1949" s="12"/>
      <c r="G1949" s="12" t="s">
        <v>3922</v>
      </c>
      <c r="H1949" s="12" t="s">
        <v>42</v>
      </c>
      <c r="I1949" s="12" t="s">
        <v>32</v>
      </c>
      <c r="J1949" s="13" t="s">
        <v>3925</v>
      </c>
      <c r="K1949" s="14" t="s">
        <v>12032</v>
      </c>
      <c r="L1949" s="15">
        <v>4</v>
      </c>
      <c r="M1949" s="15" t="s">
        <v>144</v>
      </c>
      <c r="N1949" s="16">
        <v>43817</v>
      </c>
      <c r="O1949" s="12" t="s">
        <v>12033</v>
      </c>
      <c r="P1949" s="14" t="s">
        <v>12034</v>
      </c>
      <c r="Q1949" s="17" t="s">
        <v>137</v>
      </c>
      <c r="R1949" s="17" t="s">
        <v>146</v>
      </c>
    </row>
    <row r="1950" spans="1:18" x14ac:dyDescent="0.3">
      <c r="A1950" s="12" t="s">
        <v>12035</v>
      </c>
      <c r="B1950" s="12" t="s">
        <v>12</v>
      </c>
      <c r="C1950" s="12"/>
      <c r="D1950" s="12" t="s">
        <v>12</v>
      </c>
      <c r="E1950" s="12" t="s">
        <v>12036</v>
      </c>
      <c r="F1950" s="12" t="s">
        <v>218</v>
      </c>
      <c r="G1950" s="12" t="s">
        <v>3922</v>
      </c>
      <c r="H1950" s="12" t="s">
        <v>42</v>
      </c>
      <c r="I1950" s="12" t="s">
        <v>32</v>
      </c>
      <c r="J1950" s="13" t="s">
        <v>3925</v>
      </c>
      <c r="K1950" s="14" t="s">
        <v>12037</v>
      </c>
      <c r="L1950" s="15">
        <v>3</v>
      </c>
      <c r="M1950" s="15" t="s">
        <v>144</v>
      </c>
      <c r="N1950" s="16">
        <v>41880</v>
      </c>
      <c r="O1950" s="12" t="s">
        <v>12038</v>
      </c>
      <c r="P1950" s="14" t="s">
        <v>12039</v>
      </c>
      <c r="Q1950" s="17" t="s">
        <v>137</v>
      </c>
      <c r="R1950" s="17" t="s">
        <v>146</v>
      </c>
    </row>
    <row r="1951" spans="1:18" x14ac:dyDescent="0.3">
      <c r="A1951" s="12" t="s">
        <v>12040</v>
      </c>
      <c r="B1951" s="12" t="s">
        <v>12</v>
      </c>
      <c r="C1951" s="12"/>
      <c r="D1951" s="12" t="s">
        <v>12</v>
      </c>
      <c r="E1951" s="12" t="s">
        <v>12041</v>
      </c>
      <c r="F1951" s="12" t="s">
        <v>248</v>
      </c>
      <c r="G1951" s="12" t="s">
        <v>3922</v>
      </c>
      <c r="H1951" s="12" t="s">
        <v>42</v>
      </c>
      <c r="I1951" s="12" t="s">
        <v>32</v>
      </c>
      <c r="J1951" s="13" t="s">
        <v>3925</v>
      </c>
      <c r="K1951" s="14" t="s">
        <v>12042</v>
      </c>
      <c r="L1951" s="15">
        <v>2</v>
      </c>
      <c r="M1951" s="15" t="s">
        <v>144</v>
      </c>
      <c r="N1951" s="16">
        <v>39657</v>
      </c>
      <c r="O1951" s="12" t="s">
        <v>12040</v>
      </c>
      <c r="P1951" s="14" t="s">
        <v>12043</v>
      </c>
      <c r="Q1951" s="17" t="s">
        <v>137</v>
      </c>
      <c r="R1951" s="17" t="s">
        <v>146</v>
      </c>
    </row>
    <row r="1952" spans="1:18" x14ac:dyDescent="0.3">
      <c r="A1952" s="12" t="s">
        <v>12044</v>
      </c>
      <c r="B1952" s="12" t="s">
        <v>12</v>
      </c>
      <c r="C1952" s="12"/>
      <c r="D1952" s="12" t="s">
        <v>12</v>
      </c>
      <c r="E1952" s="12" t="s">
        <v>12045</v>
      </c>
      <c r="F1952" s="12" t="s">
        <v>12046</v>
      </c>
      <c r="G1952" s="12" t="s">
        <v>3922</v>
      </c>
      <c r="H1952" s="12" t="s">
        <v>42</v>
      </c>
      <c r="I1952" s="12" t="s">
        <v>32</v>
      </c>
      <c r="J1952" s="13" t="s">
        <v>3923</v>
      </c>
      <c r="K1952" s="14" t="s">
        <v>12047</v>
      </c>
      <c r="L1952" s="15">
        <v>0</v>
      </c>
      <c r="M1952" s="15" t="s">
        <v>144</v>
      </c>
      <c r="N1952" s="16">
        <v>41361</v>
      </c>
      <c r="O1952" s="12" t="s">
        <v>12044</v>
      </c>
      <c r="P1952" s="14" t="s">
        <v>12048</v>
      </c>
      <c r="Q1952" s="17" t="s">
        <v>137</v>
      </c>
      <c r="R1952" s="17" t="s">
        <v>146</v>
      </c>
    </row>
    <row r="1953" spans="1:18" x14ac:dyDescent="0.3">
      <c r="A1953" s="12" t="s">
        <v>12049</v>
      </c>
      <c r="B1953" s="12" t="s">
        <v>12</v>
      </c>
      <c r="C1953" s="12"/>
      <c r="D1953" s="12" t="s">
        <v>12</v>
      </c>
      <c r="E1953" s="12" t="s">
        <v>12050</v>
      </c>
      <c r="F1953" s="12" t="s">
        <v>12051</v>
      </c>
      <c r="G1953" s="12" t="s">
        <v>3922</v>
      </c>
      <c r="H1953" s="12" t="s">
        <v>42</v>
      </c>
      <c r="I1953" s="12" t="s">
        <v>32</v>
      </c>
      <c r="J1953" s="13" t="s">
        <v>3925</v>
      </c>
      <c r="K1953" s="14" t="s">
        <v>12052</v>
      </c>
      <c r="L1953" s="15">
        <v>4</v>
      </c>
      <c r="M1953" s="15" t="s">
        <v>144</v>
      </c>
      <c r="N1953" s="16">
        <v>42850</v>
      </c>
      <c r="O1953" s="12" t="s">
        <v>12049</v>
      </c>
      <c r="P1953" s="14" t="s">
        <v>12053</v>
      </c>
      <c r="Q1953" s="17" t="s">
        <v>137</v>
      </c>
      <c r="R1953" s="17" t="s">
        <v>146</v>
      </c>
    </row>
    <row r="1954" spans="1:18" x14ac:dyDescent="0.3">
      <c r="A1954" s="12" t="s">
        <v>12054</v>
      </c>
      <c r="B1954" s="12" t="s">
        <v>12</v>
      </c>
      <c r="C1954" s="12"/>
      <c r="D1954" s="12" t="s">
        <v>12</v>
      </c>
      <c r="E1954" s="12" t="s">
        <v>12036</v>
      </c>
      <c r="F1954" s="12" t="s">
        <v>218</v>
      </c>
      <c r="G1954" s="12" t="s">
        <v>3922</v>
      </c>
      <c r="H1954" s="12" t="s">
        <v>42</v>
      </c>
      <c r="I1954" s="12" t="s">
        <v>32</v>
      </c>
      <c r="J1954" s="13" t="s">
        <v>3925</v>
      </c>
      <c r="K1954" s="14" t="s">
        <v>12037</v>
      </c>
      <c r="L1954" s="15">
        <v>3</v>
      </c>
      <c r="M1954" s="15" t="s">
        <v>144</v>
      </c>
      <c r="N1954" s="16">
        <v>41052</v>
      </c>
      <c r="O1954" s="12" t="s">
        <v>12054</v>
      </c>
      <c r="P1954" s="14" t="s">
        <v>12055</v>
      </c>
      <c r="Q1954" s="17" t="s">
        <v>137</v>
      </c>
      <c r="R1954" s="17" t="s">
        <v>146</v>
      </c>
    </row>
    <row r="1955" spans="1:18" x14ac:dyDescent="0.3">
      <c r="A1955" s="12" t="s">
        <v>12056</v>
      </c>
      <c r="B1955" s="12" t="s">
        <v>12</v>
      </c>
      <c r="C1955" s="12"/>
      <c r="D1955" s="12" t="s">
        <v>12</v>
      </c>
      <c r="E1955" s="12" t="s">
        <v>11966</v>
      </c>
      <c r="F1955" s="12" t="s">
        <v>467</v>
      </c>
      <c r="G1955" s="12" t="s">
        <v>3922</v>
      </c>
      <c r="H1955" s="12" t="s">
        <v>42</v>
      </c>
      <c r="I1955" s="12" t="s">
        <v>32</v>
      </c>
      <c r="J1955" s="13" t="s">
        <v>3925</v>
      </c>
      <c r="K1955" s="14" t="s">
        <v>11967</v>
      </c>
      <c r="L1955" s="15">
        <v>3</v>
      </c>
      <c r="M1955" s="15" t="s">
        <v>144</v>
      </c>
      <c r="N1955" s="16">
        <v>41222</v>
      </c>
      <c r="O1955" s="12" t="s">
        <v>12056</v>
      </c>
      <c r="P1955" s="14" t="s">
        <v>12057</v>
      </c>
      <c r="Q1955" s="17" t="s">
        <v>137</v>
      </c>
      <c r="R1955" s="17" t="s">
        <v>146</v>
      </c>
    </row>
    <row r="1956" spans="1:18" x14ac:dyDescent="0.3">
      <c r="A1956" s="12" t="s">
        <v>12058</v>
      </c>
      <c r="B1956" s="12" t="s">
        <v>12</v>
      </c>
      <c r="C1956" s="12"/>
      <c r="D1956" s="12" t="s">
        <v>12</v>
      </c>
      <c r="E1956" s="12" t="s">
        <v>12059</v>
      </c>
      <c r="F1956" s="12" t="s">
        <v>1039</v>
      </c>
      <c r="G1956" s="12" t="s">
        <v>3922</v>
      </c>
      <c r="H1956" s="12" t="s">
        <v>42</v>
      </c>
      <c r="I1956" s="12" t="s">
        <v>32</v>
      </c>
      <c r="J1956" s="13" t="s">
        <v>3965</v>
      </c>
      <c r="K1956" s="14" t="s">
        <v>12060</v>
      </c>
      <c r="L1956" s="15">
        <v>1</v>
      </c>
      <c r="M1956" s="15" t="s">
        <v>144</v>
      </c>
      <c r="N1956" s="16">
        <v>40861</v>
      </c>
      <c r="O1956" s="12" t="s">
        <v>12058</v>
      </c>
      <c r="P1956" s="14" t="s">
        <v>12061</v>
      </c>
      <c r="Q1956" s="17" t="s">
        <v>137</v>
      </c>
      <c r="R1956" s="17" t="s">
        <v>146</v>
      </c>
    </row>
    <row r="1957" spans="1:18" x14ac:dyDescent="0.3">
      <c r="A1957" s="12" t="s">
        <v>12062</v>
      </c>
      <c r="B1957" s="12" t="s">
        <v>12</v>
      </c>
      <c r="C1957" s="12"/>
      <c r="D1957" s="12" t="s">
        <v>12</v>
      </c>
      <c r="E1957" s="12" t="s">
        <v>11970</v>
      </c>
      <c r="F1957" s="12" t="s">
        <v>1698</v>
      </c>
      <c r="G1957" s="12" t="s">
        <v>3922</v>
      </c>
      <c r="H1957" s="12" t="s">
        <v>42</v>
      </c>
      <c r="I1957" s="12" t="s">
        <v>32</v>
      </c>
      <c r="J1957" s="13" t="s">
        <v>3965</v>
      </c>
      <c r="K1957" s="14" t="s">
        <v>12063</v>
      </c>
      <c r="L1957" s="15">
        <v>0</v>
      </c>
      <c r="M1957" s="15" t="s">
        <v>144</v>
      </c>
      <c r="N1957" s="16">
        <v>42576</v>
      </c>
      <c r="O1957" s="12" t="s">
        <v>12064</v>
      </c>
      <c r="P1957" s="14" t="s">
        <v>12065</v>
      </c>
      <c r="Q1957" s="17" t="s">
        <v>137</v>
      </c>
      <c r="R1957" s="17" t="s">
        <v>146</v>
      </c>
    </row>
    <row r="1958" spans="1:18" x14ac:dyDescent="0.3">
      <c r="A1958" s="12" t="s">
        <v>12066</v>
      </c>
      <c r="B1958" s="12" t="s">
        <v>12</v>
      </c>
      <c r="C1958" s="12"/>
      <c r="D1958" s="12" t="s">
        <v>12</v>
      </c>
      <c r="E1958" s="12" t="s">
        <v>12067</v>
      </c>
      <c r="F1958" s="12" t="s">
        <v>248</v>
      </c>
      <c r="G1958" s="12" t="s">
        <v>3922</v>
      </c>
      <c r="H1958" s="12" t="s">
        <v>42</v>
      </c>
      <c r="I1958" s="12" t="s">
        <v>32</v>
      </c>
      <c r="J1958" s="13" t="s">
        <v>3925</v>
      </c>
      <c r="K1958" s="14" t="s">
        <v>12068</v>
      </c>
      <c r="L1958" s="15">
        <v>1</v>
      </c>
      <c r="M1958" s="15" t="s">
        <v>144</v>
      </c>
      <c r="N1958" s="16">
        <v>42857</v>
      </c>
      <c r="O1958" s="12" t="s">
        <v>12066</v>
      </c>
      <c r="P1958" s="14" t="s">
        <v>12069</v>
      </c>
      <c r="Q1958" s="17" t="s">
        <v>137</v>
      </c>
      <c r="R1958" s="17" t="s">
        <v>146</v>
      </c>
    </row>
    <row r="1959" spans="1:18" x14ac:dyDescent="0.3">
      <c r="A1959" s="12" t="s">
        <v>12070</v>
      </c>
      <c r="B1959" s="12" t="s">
        <v>12</v>
      </c>
      <c r="C1959" s="12"/>
      <c r="D1959" s="12" t="s">
        <v>12</v>
      </c>
      <c r="E1959" s="12" t="s">
        <v>12020</v>
      </c>
      <c r="F1959" s="12" t="s">
        <v>345</v>
      </c>
      <c r="G1959" s="12" t="s">
        <v>3922</v>
      </c>
      <c r="H1959" s="12" t="s">
        <v>42</v>
      </c>
      <c r="I1959" s="12" t="s">
        <v>32</v>
      </c>
      <c r="J1959" s="13" t="s">
        <v>3925</v>
      </c>
      <c r="K1959" s="14" t="s">
        <v>12071</v>
      </c>
      <c r="L1959" s="15">
        <v>3</v>
      </c>
      <c r="M1959" s="15" t="s">
        <v>144</v>
      </c>
      <c r="N1959" s="16">
        <v>43134</v>
      </c>
      <c r="O1959" s="12" t="s">
        <v>12072</v>
      </c>
      <c r="P1959" s="14" t="s">
        <v>12073</v>
      </c>
      <c r="Q1959" s="17" t="s">
        <v>137</v>
      </c>
      <c r="R1959" s="17" t="s">
        <v>146</v>
      </c>
    </row>
    <row r="1960" spans="1:18" x14ac:dyDescent="0.3">
      <c r="A1960" s="12" t="s">
        <v>12074</v>
      </c>
      <c r="B1960" s="12" t="s">
        <v>12</v>
      </c>
      <c r="C1960" s="12"/>
      <c r="D1960" s="12" t="s">
        <v>12</v>
      </c>
      <c r="E1960" s="12" t="s">
        <v>11990</v>
      </c>
      <c r="F1960" s="12"/>
      <c r="G1960" s="12" t="s">
        <v>3922</v>
      </c>
      <c r="H1960" s="12" t="s">
        <v>42</v>
      </c>
      <c r="I1960" s="12" t="s">
        <v>32</v>
      </c>
      <c r="J1960" s="13" t="s">
        <v>3925</v>
      </c>
      <c r="K1960" s="14" t="s">
        <v>12075</v>
      </c>
      <c r="L1960" s="15">
        <v>3</v>
      </c>
      <c r="M1960" s="15" t="s">
        <v>144</v>
      </c>
      <c r="N1960" s="16">
        <v>42432</v>
      </c>
      <c r="O1960" s="12" t="s">
        <v>12074</v>
      </c>
      <c r="P1960" s="14" t="s">
        <v>12076</v>
      </c>
      <c r="Q1960" s="17" t="s">
        <v>137</v>
      </c>
      <c r="R1960" s="17" t="s">
        <v>146</v>
      </c>
    </row>
    <row r="1961" spans="1:18" x14ac:dyDescent="0.3">
      <c r="A1961" s="12" t="s">
        <v>12077</v>
      </c>
      <c r="B1961" s="12" t="s">
        <v>12</v>
      </c>
      <c r="C1961" s="12"/>
      <c r="D1961" s="12" t="s">
        <v>12</v>
      </c>
      <c r="E1961" s="12" t="s">
        <v>12078</v>
      </c>
      <c r="F1961" s="12" t="s">
        <v>248</v>
      </c>
      <c r="G1961" s="12" t="s">
        <v>12079</v>
      </c>
      <c r="H1961" s="12" t="s">
        <v>42</v>
      </c>
      <c r="I1961" s="12" t="s">
        <v>32</v>
      </c>
      <c r="J1961" s="13" t="s">
        <v>12080</v>
      </c>
      <c r="K1961" s="14" t="s">
        <v>12081</v>
      </c>
      <c r="L1961" s="15">
        <v>0</v>
      </c>
      <c r="M1961" s="15" t="s">
        <v>144</v>
      </c>
      <c r="N1961" s="16">
        <v>44418</v>
      </c>
      <c r="O1961" s="12" t="s">
        <v>12077</v>
      </c>
      <c r="P1961" s="14" t="s">
        <v>12082</v>
      </c>
      <c r="Q1961" s="17" t="s">
        <v>137</v>
      </c>
      <c r="R1961" s="17" t="s">
        <v>146</v>
      </c>
    </row>
    <row r="1962" spans="1:18" x14ac:dyDescent="0.3">
      <c r="A1962" s="12" t="s">
        <v>12083</v>
      </c>
      <c r="B1962" s="12" t="s">
        <v>12</v>
      </c>
      <c r="C1962" s="12"/>
      <c r="D1962" s="12" t="s">
        <v>12</v>
      </c>
      <c r="E1962" s="12" t="s">
        <v>12084</v>
      </c>
      <c r="F1962" s="12"/>
      <c r="G1962" s="12" t="s">
        <v>12079</v>
      </c>
      <c r="H1962" s="12" t="s">
        <v>42</v>
      </c>
      <c r="I1962" s="12" t="s">
        <v>32</v>
      </c>
      <c r="J1962" s="13" t="s">
        <v>12080</v>
      </c>
      <c r="K1962" s="14" t="s">
        <v>12085</v>
      </c>
      <c r="L1962" s="15">
        <v>1</v>
      </c>
      <c r="M1962" s="15" t="s">
        <v>144</v>
      </c>
      <c r="N1962" s="16">
        <v>41711</v>
      </c>
      <c r="O1962" s="12" t="s">
        <v>12083</v>
      </c>
      <c r="P1962" s="14" t="s">
        <v>12086</v>
      </c>
      <c r="Q1962" s="17" t="s">
        <v>137</v>
      </c>
      <c r="R1962" s="17" t="s">
        <v>146</v>
      </c>
    </row>
    <row r="1963" spans="1:18" x14ac:dyDescent="0.3">
      <c r="A1963" s="12" t="s">
        <v>12087</v>
      </c>
      <c r="B1963" s="12" t="s">
        <v>12</v>
      </c>
      <c r="C1963" s="12"/>
      <c r="D1963" s="12" t="s">
        <v>12</v>
      </c>
      <c r="E1963" s="12" t="s">
        <v>12088</v>
      </c>
      <c r="F1963" s="12"/>
      <c r="G1963" s="12" t="s">
        <v>12079</v>
      </c>
      <c r="H1963" s="12" t="s">
        <v>42</v>
      </c>
      <c r="I1963" s="12" t="s">
        <v>32</v>
      </c>
      <c r="J1963" s="13" t="s">
        <v>12080</v>
      </c>
      <c r="K1963" s="14" t="s">
        <v>12089</v>
      </c>
      <c r="L1963" s="15">
        <v>1</v>
      </c>
      <c r="M1963" s="15" t="s">
        <v>144</v>
      </c>
      <c r="N1963" s="16">
        <v>39384</v>
      </c>
      <c r="O1963" s="12" t="s">
        <v>12087</v>
      </c>
      <c r="P1963" s="14" t="s">
        <v>12090</v>
      </c>
      <c r="Q1963" s="17" t="s">
        <v>137</v>
      </c>
      <c r="R1963" s="17" t="s">
        <v>146</v>
      </c>
    </row>
    <row r="1964" spans="1:18" x14ac:dyDescent="0.3">
      <c r="A1964" s="12" t="s">
        <v>12091</v>
      </c>
      <c r="B1964" s="12" t="s">
        <v>12</v>
      </c>
      <c r="C1964" s="12"/>
      <c r="D1964" s="12" t="s">
        <v>12</v>
      </c>
      <c r="E1964" s="12" t="s">
        <v>12092</v>
      </c>
      <c r="F1964" s="12"/>
      <c r="G1964" s="12" t="s">
        <v>12093</v>
      </c>
      <c r="H1964" s="12" t="s">
        <v>56</v>
      </c>
      <c r="I1964" s="12" t="s">
        <v>32</v>
      </c>
      <c r="J1964" s="13" t="s">
        <v>12094</v>
      </c>
      <c r="K1964" s="14" t="s">
        <v>12095</v>
      </c>
      <c r="L1964" s="15">
        <v>1</v>
      </c>
      <c r="M1964" s="15" t="s">
        <v>144</v>
      </c>
      <c r="N1964" s="16">
        <v>39393</v>
      </c>
      <c r="O1964" s="12" t="s">
        <v>12091</v>
      </c>
      <c r="P1964" s="14" t="s">
        <v>12096</v>
      </c>
      <c r="Q1964" s="17" t="s">
        <v>137</v>
      </c>
      <c r="R1964" s="17" t="s">
        <v>146</v>
      </c>
    </row>
    <row r="1965" spans="1:18" x14ac:dyDescent="0.3">
      <c r="A1965" s="12" t="s">
        <v>12097</v>
      </c>
      <c r="B1965" s="12" t="s">
        <v>12</v>
      </c>
      <c r="C1965" s="12"/>
      <c r="D1965" s="12" t="s">
        <v>12</v>
      </c>
      <c r="E1965" s="12" t="s">
        <v>12098</v>
      </c>
      <c r="F1965" s="12" t="s">
        <v>9217</v>
      </c>
      <c r="G1965" s="12" t="s">
        <v>76</v>
      </c>
      <c r="H1965" s="12" t="s">
        <v>56</v>
      </c>
      <c r="I1965" s="12" t="s">
        <v>32</v>
      </c>
      <c r="J1965" s="13" t="s">
        <v>4032</v>
      </c>
      <c r="K1965" s="14" t="s">
        <v>12099</v>
      </c>
      <c r="L1965" s="15">
        <v>4</v>
      </c>
      <c r="M1965" s="15" t="s">
        <v>144</v>
      </c>
      <c r="N1965" s="16">
        <v>39730</v>
      </c>
      <c r="O1965" s="12" t="s">
        <v>12097</v>
      </c>
      <c r="P1965" s="14" t="s">
        <v>12100</v>
      </c>
      <c r="Q1965" s="17" t="s">
        <v>137</v>
      </c>
      <c r="R1965" s="17" t="s">
        <v>146</v>
      </c>
    </row>
    <row r="1966" spans="1:18" x14ac:dyDescent="0.3">
      <c r="A1966" s="12" t="s">
        <v>12101</v>
      </c>
      <c r="B1966" s="12" t="s">
        <v>12</v>
      </c>
      <c r="C1966" s="12"/>
      <c r="D1966" s="12" t="s">
        <v>12</v>
      </c>
      <c r="E1966" s="12" t="s">
        <v>12102</v>
      </c>
      <c r="F1966" s="12" t="s">
        <v>8915</v>
      </c>
      <c r="G1966" s="12" t="s">
        <v>76</v>
      </c>
      <c r="H1966" s="12" t="s">
        <v>56</v>
      </c>
      <c r="I1966" s="12" t="s">
        <v>32</v>
      </c>
      <c r="J1966" s="13" t="s">
        <v>4032</v>
      </c>
      <c r="K1966" s="14" t="s">
        <v>12103</v>
      </c>
      <c r="L1966" s="15">
        <v>1</v>
      </c>
      <c r="M1966" s="15" t="s">
        <v>144</v>
      </c>
      <c r="N1966" s="16">
        <v>41232</v>
      </c>
      <c r="O1966" s="12" t="s">
        <v>12101</v>
      </c>
      <c r="P1966" s="14" t="s">
        <v>12104</v>
      </c>
      <c r="Q1966" s="17" t="s">
        <v>137</v>
      </c>
      <c r="R1966" s="17" t="s">
        <v>146</v>
      </c>
    </row>
    <row r="1967" spans="1:18" x14ac:dyDescent="0.3">
      <c r="A1967" s="12" t="s">
        <v>12105</v>
      </c>
      <c r="B1967" s="12" t="s">
        <v>14</v>
      </c>
      <c r="C1967" s="12"/>
      <c r="D1967" s="12" t="s">
        <v>14</v>
      </c>
      <c r="E1967" s="12" t="s">
        <v>2880</v>
      </c>
      <c r="F1967" s="12"/>
      <c r="G1967" s="12" t="s">
        <v>76</v>
      </c>
      <c r="H1967" s="12" t="s">
        <v>56</v>
      </c>
      <c r="I1967" s="12" t="s">
        <v>32</v>
      </c>
      <c r="J1967" s="13" t="s">
        <v>4032</v>
      </c>
      <c r="K1967" s="14" t="s">
        <v>12106</v>
      </c>
      <c r="L1967" s="15">
        <v>0</v>
      </c>
      <c r="M1967" s="15" t="s">
        <v>144</v>
      </c>
      <c r="N1967" s="16">
        <v>41837</v>
      </c>
      <c r="O1967" s="12" t="s">
        <v>12105</v>
      </c>
      <c r="P1967" s="14" t="s">
        <v>12107</v>
      </c>
      <c r="Q1967" s="17" t="s">
        <v>137</v>
      </c>
      <c r="R1967" s="17" t="s">
        <v>146</v>
      </c>
    </row>
    <row r="1968" spans="1:18" x14ac:dyDescent="0.3">
      <c r="A1968" s="12" t="s">
        <v>12108</v>
      </c>
      <c r="B1968" s="12" t="s">
        <v>12</v>
      </c>
      <c r="C1968" s="12"/>
      <c r="D1968" s="12" t="s">
        <v>12</v>
      </c>
      <c r="E1968" s="12" t="s">
        <v>2880</v>
      </c>
      <c r="F1968" s="12"/>
      <c r="G1968" s="12" t="s">
        <v>76</v>
      </c>
      <c r="H1968" s="12" t="s">
        <v>56</v>
      </c>
      <c r="I1968" s="12" t="s">
        <v>32</v>
      </c>
      <c r="J1968" s="13" t="s">
        <v>4032</v>
      </c>
      <c r="K1968" s="14" t="s">
        <v>12109</v>
      </c>
      <c r="L1968" s="15">
        <v>0</v>
      </c>
      <c r="M1968" s="15" t="s">
        <v>144</v>
      </c>
      <c r="N1968" s="16">
        <v>42408</v>
      </c>
      <c r="O1968" s="12" t="s">
        <v>12108</v>
      </c>
      <c r="P1968" s="14" t="s">
        <v>12110</v>
      </c>
      <c r="Q1968" s="17" t="s">
        <v>137</v>
      </c>
      <c r="R1968" s="17" t="s">
        <v>146</v>
      </c>
    </row>
    <row r="1969" spans="1:18" x14ac:dyDescent="0.3">
      <c r="A1969" s="12" t="s">
        <v>12111</v>
      </c>
      <c r="B1969" s="12" t="s">
        <v>16</v>
      </c>
      <c r="C1969" s="12"/>
      <c r="D1969" s="12" t="s">
        <v>993</v>
      </c>
      <c r="E1969" s="12" t="s">
        <v>12112</v>
      </c>
      <c r="F1969" s="12"/>
      <c r="G1969" s="12" t="s">
        <v>76</v>
      </c>
      <c r="H1969" s="12" t="s">
        <v>56</v>
      </c>
      <c r="I1969" s="12" t="s">
        <v>32</v>
      </c>
      <c r="J1969" s="13" t="s">
        <v>4032</v>
      </c>
      <c r="K1969" s="14" t="s">
        <v>12113</v>
      </c>
      <c r="L1969" s="15">
        <v>0</v>
      </c>
      <c r="M1969" s="15" t="s">
        <v>144</v>
      </c>
      <c r="N1969" s="16">
        <v>44065</v>
      </c>
      <c r="O1969" s="12" t="s">
        <v>12111</v>
      </c>
      <c r="P1969" s="14" t="s">
        <v>12114</v>
      </c>
      <c r="Q1969" s="17" t="s">
        <v>137</v>
      </c>
      <c r="R1969" s="17" t="s">
        <v>146</v>
      </c>
    </row>
    <row r="1970" spans="1:18" x14ac:dyDescent="0.3">
      <c r="A1970" s="12" t="s">
        <v>12115</v>
      </c>
      <c r="B1970" s="12" t="s">
        <v>12</v>
      </c>
      <c r="C1970" s="12"/>
      <c r="D1970" s="12" t="s">
        <v>12</v>
      </c>
      <c r="E1970" s="12" t="s">
        <v>12116</v>
      </c>
      <c r="F1970" s="12"/>
      <c r="G1970" s="12" t="s">
        <v>76</v>
      </c>
      <c r="H1970" s="12" t="s">
        <v>56</v>
      </c>
      <c r="I1970" s="12" t="s">
        <v>32</v>
      </c>
      <c r="J1970" s="13" t="s">
        <v>4032</v>
      </c>
      <c r="K1970" s="14" t="s">
        <v>12117</v>
      </c>
      <c r="L1970" s="15">
        <v>1</v>
      </c>
      <c r="M1970" s="15" t="s">
        <v>144</v>
      </c>
      <c r="N1970" s="16">
        <v>41233</v>
      </c>
      <c r="O1970" s="12" t="s">
        <v>12115</v>
      </c>
      <c r="P1970" s="14" t="s">
        <v>12118</v>
      </c>
      <c r="Q1970" s="17" t="s">
        <v>137</v>
      </c>
      <c r="R1970" s="17" t="s">
        <v>146</v>
      </c>
    </row>
    <row r="1971" spans="1:18" x14ac:dyDescent="0.3">
      <c r="A1971" s="12" t="s">
        <v>12119</v>
      </c>
      <c r="B1971" s="12" t="s">
        <v>12</v>
      </c>
      <c r="C1971" s="12"/>
      <c r="D1971" s="12" t="s">
        <v>12</v>
      </c>
      <c r="E1971" s="12" t="s">
        <v>12120</v>
      </c>
      <c r="F1971" s="12"/>
      <c r="G1971" s="12" t="s">
        <v>76</v>
      </c>
      <c r="H1971" s="12" t="s">
        <v>56</v>
      </c>
      <c r="I1971" s="12" t="s">
        <v>32</v>
      </c>
      <c r="J1971" s="13" t="s">
        <v>4032</v>
      </c>
      <c r="K1971" s="14" t="s">
        <v>12121</v>
      </c>
      <c r="L1971" s="15">
        <v>1</v>
      </c>
      <c r="M1971" s="15" t="s">
        <v>144</v>
      </c>
      <c r="N1971" s="16">
        <v>40899</v>
      </c>
      <c r="O1971" s="12" t="s">
        <v>12119</v>
      </c>
      <c r="P1971" s="14" t="s">
        <v>12122</v>
      </c>
      <c r="Q1971" s="17" t="s">
        <v>137</v>
      </c>
      <c r="R1971" s="17" t="s">
        <v>146</v>
      </c>
    </row>
    <row r="1972" spans="1:18" x14ac:dyDescent="0.3">
      <c r="A1972" s="12" t="s">
        <v>12123</v>
      </c>
      <c r="B1972" s="12" t="s">
        <v>14</v>
      </c>
      <c r="C1972" s="12"/>
      <c r="D1972" s="12" t="s">
        <v>14</v>
      </c>
      <c r="E1972" s="12" t="s">
        <v>2880</v>
      </c>
      <c r="F1972" s="12"/>
      <c r="G1972" s="12" t="s">
        <v>76</v>
      </c>
      <c r="H1972" s="12" t="s">
        <v>56</v>
      </c>
      <c r="I1972" s="12" t="s">
        <v>32</v>
      </c>
      <c r="J1972" s="13" t="s">
        <v>4032</v>
      </c>
      <c r="K1972" s="14" t="s">
        <v>12124</v>
      </c>
      <c r="L1972" s="15">
        <v>0</v>
      </c>
      <c r="M1972" s="15" t="s">
        <v>144</v>
      </c>
      <c r="N1972" s="16">
        <v>43273</v>
      </c>
      <c r="O1972" s="12" t="s">
        <v>12123</v>
      </c>
      <c r="P1972" s="14" t="s">
        <v>12125</v>
      </c>
      <c r="Q1972" s="17" t="s">
        <v>137</v>
      </c>
      <c r="R1972" s="17" t="s">
        <v>146</v>
      </c>
    </row>
    <row r="1973" spans="1:18" x14ac:dyDescent="0.3">
      <c r="A1973" s="12" t="s">
        <v>12126</v>
      </c>
      <c r="B1973" s="12" t="s">
        <v>12</v>
      </c>
      <c r="C1973" s="12"/>
      <c r="D1973" s="12" t="s">
        <v>12</v>
      </c>
      <c r="E1973" s="12" t="s">
        <v>12127</v>
      </c>
      <c r="F1973" s="12" t="s">
        <v>547</v>
      </c>
      <c r="G1973" s="12" t="s">
        <v>76</v>
      </c>
      <c r="H1973" s="12" t="s">
        <v>56</v>
      </c>
      <c r="I1973" s="12" t="s">
        <v>32</v>
      </c>
      <c r="J1973" s="13" t="s">
        <v>4032</v>
      </c>
      <c r="K1973" s="14" t="s">
        <v>12128</v>
      </c>
      <c r="L1973" s="15">
        <v>4</v>
      </c>
      <c r="M1973" s="15" t="s">
        <v>144</v>
      </c>
      <c r="N1973" s="16">
        <v>39381</v>
      </c>
      <c r="O1973" s="12" t="s">
        <v>12129</v>
      </c>
      <c r="P1973" s="14" t="s">
        <v>12130</v>
      </c>
      <c r="Q1973" s="17" t="s">
        <v>137</v>
      </c>
      <c r="R1973" s="17" t="s">
        <v>146</v>
      </c>
    </row>
    <row r="1974" spans="1:18" x14ac:dyDescent="0.3">
      <c r="A1974" s="12" t="s">
        <v>12131</v>
      </c>
      <c r="B1974" s="12" t="s">
        <v>12</v>
      </c>
      <c r="C1974" s="12"/>
      <c r="D1974" s="12" t="s">
        <v>12</v>
      </c>
      <c r="E1974" s="12" t="s">
        <v>12132</v>
      </c>
      <c r="F1974" s="12"/>
      <c r="G1974" s="12" t="s">
        <v>76</v>
      </c>
      <c r="H1974" s="12" t="s">
        <v>56</v>
      </c>
      <c r="I1974" s="12" t="s">
        <v>32</v>
      </c>
      <c r="J1974" s="13" t="s">
        <v>4032</v>
      </c>
      <c r="K1974" s="14" t="s">
        <v>12133</v>
      </c>
      <c r="L1974" s="15">
        <v>1</v>
      </c>
      <c r="M1974" s="15" t="s">
        <v>144</v>
      </c>
      <c r="N1974" s="16">
        <v>40030</v>
      </c>
      <c r="O1974" s="12" t="s">
        <v>12131</v>
      </c>
      <c r="P1974" s="14" t="s">
        <v>12134</v>
      </c>
      <c r="Q1974" s="17" t="s">
        <v>137</v>
      </c>
      <c r="R1974" s="17" t="s">
        <v>146</v>
      </c>
    </row>
    <row r="1975" spans="1:18" x14ac:dyDescent="0.3">
      <c r="A1975" s="12" t="s">
        <v>12135</v>
      </c>
      <c r="B1975" s="12" t="s">
        <v>14</v>
      </c>
      <c r="C1975" s="12"/>
      <c r="D1975" s="12" t="s">
        <v>14</v>
      </c>
      <c r="E1975" s="12" t="s">
        <v>12132</v>
      </c>
      <c r="F1975" s="12"/>
      <c r="G1975" s="12" t="s">
        <v>76</v>
      </c>
      <c r="H1975" s="12" t="s">
        <v>56</v>
      </c>
      <c r="I1975" s="12" t="s">
        <v>32</v>
      </c>
      <c r="J1975" s="13" t="s">
        <v>4032</v>
      </c>
      <c r="K1975" s="14" t="s">
        <v>12136</v>
      </c>
      <c r="L1975" s="15">
        <v>3</v>
      </c>
      <c r="M1975" s="15" t="s">
        <v>144</v>
      </c>
      <c r="N1975" s="16">
        <v>40009</v>
      </c>
      <c r="O1975" s="12" t="s">
        <v>12135</v>
      </c>
      <c r="P1975" s="14" t="s">
        <v>12137</v>
      </c>
      <c r="Q1975" s="17" t="s">
        <v>137</v>
      </c>
      <c r="R1975" s="17" t="s">
        <v>146</v>
      </c>
    </row>
    <row r="1976" spans="1:18" x14ac:dyDescent="0.3">
      <c r="A1976" s="12" t="s">
        <v>12138</v>
      </c>
      <c r="B1976" s="12" t="s">
        <v>14</v>
      </c>
      <c r="C1976" s="12"/>
      <c r="D1976" s="12" t="s">
        <v>14</v>
      </c>
      <c r="E1976" s="12" t="s">
        <v>4036</v>
      </c>
      <c r="F1976" s="12" t="s">
        <v>547</v>
      </c>
      <c r="G1976" s="12" t="s">
        <v>76</v>
      </c>
      <c r="H1976" s="12" t="s">
        <v>56</v>
      </c>
      <c r="I1976" s="12" t="s">
        <v>32</v>
      </c>
      <c r="J1976" s="13" t="s">
        <v>4032</v>
      </c>
      <c r="K1976" s="14" t="s">
        <v>4037</v>
      </c>
      <c r="L1976" s="15">
        <v>12</v>
      </c>
      <c r="M1976" s="15" t="s">
        <v>144</v>
      </c>
      <c r="N1976" s="16">
        <v>42759</v>
      </c>
      <c r="O1976" s="12" t="s">
        <v>12138</v>
      </c>
      <c r="P1976" s="14" t="s">
        <v>12139</v>
      </c>
      <c r="Q1976" s="17" t="s">
        <v>137</v>
      </c>
      <c r="R1976" s="17" t="s">
        <v>146</v>
      </c>
    </row>
    <row r="1977" spans="1:18" x14ac:dyDescent="0.3">
      <c r="A1977" s="12" t="s">
        <v>12140</v>
      </c>
      <c r="B1977" s="12" t="s">
        <v>12</v>
      </c>
      <c r="C1977" s="12"/>
      <c r="D1977" s="12" t="s">
        <v>12</v>
      </c>
      <c r="E1977" s="12" t="s">
        <v>12141</v>
      </c>
      <c r="F1977" s="12"/>
      <c r="G1977" s="12" t="s">
        <v>12142</v>
      </c>
      <c r="H1977" s="12" t="s">
        <v>56</v>
      </c>
      <c r="I1977" s="12" t="s">
        <v>32</v>
      </c>
      <c r="J1977" s="13" t="s">
        <v>12143</v>
      </c>
      <c r="K1977" s="14" t="s">
        <v>12144</v>
      </c>
      <c r="L1977" s="15">
        <v>0</v>
      </c>
      <c r="M1977" s="15" t="s">
        <v>144</v>
      </c>
      <c r="N1977" s="16">
        <v>39653</v>
      </c>
      <c r="O1977" s="12" t="s">
        <v>12140</v>
      </c>
      <c r="P1977" s="14" t="s">
        <v>12145</v>
      </c>
      <c r="Q1977" s="17" t="s">
        <v>137</v>
      </c>
      <c r="R1977" s="17" t="s">
        <v>146</v>
      </c>
    </row>
    <row r="1978" spans="1:18" x14ac:dyDescent="0.3">
      <c r="A1978" s="12" t="s">
        <v>12146</v>
      </c>
      <c r="B1978" s="12" t="s">
        <v>12</v>
      </c>
      <c r="C1978" s="12"/>
      <c r="D1978" s="12" t="s">
        <v>12</v>
      </c>
      <c r="E1978" s="12" t="s">
        <v>12147</v>
      </c>
      <c r="F1978" s="12"/>
      <c r="G1978" s="12" t="s">
        <v>12142</v>
      </c>
      <c r="H1978" s="12" t="s">
        <v>56</v>
      </c>
      <c r="I1978" s="12" t="s">
        <v>32</v>
      </c>
      <c r="J1978" s="13" t="s">
        <v>12143</v>
      </c>
      <c r="K1978" s="14" t="s">
        <v>12148</v>
      </c>
      <c r="L1978" s="15">
        <v>0</v>
      </c>
      <c r="M1978" s="15" t="s">
        <v>144</v>
      </c>
      <c r="N1978" s="16">
        <v>40653</v>
      </c>
      <c r="O1978" s="12" t="s">
        <v>12146</v>
      </c>
      <c r="P1978" s="14" t="s">
        <v>12149</v>
      </c>
      <c r="Q1978" s="17" t="s">
        <v>137</v>
      </c>
      <c r="R1978" s="17" t="s">
        <v>146</v>
      </c>
    </row>
    <row r="1979" spans="1:18" x14ac:dyDescent="0.3">
      <c r="A1979" s="12" t="s">
        <v>12150</v>
      </c>
      <c r="B1979" s="12" t="s">
        <v>12</v>
      </c>
      <c r="C1979" s="12"/>
      <c r="D1979" s="12" t="s">
        <v>12</v>
      </c>
      <c r="E1979" s="12" t="s">
        <v>4057</v>
      </c>
      <c r="F1979" s="12" t="s">
        <v>547</v>
      </c>
      <c r="G1979" s="12" t="s">
        <v>4040</v>
      </c>
      <c r="H1979" s="12" t="s">
        <v>56</v>
      </c>
      <c r="I1979" s="12" t="s">
        <v>32</v>
      </c>
      <c r="J1979" s="13" t="s">
        <v>4041</v>
      </c>
      <c r="K1979" s="14" t="s">
        <v>12151</v>
      </c>
      <c r="L1979" s="15">
        <v>0</v>
      </c>
      <c r="M1979" s="15" t="s">
        <v>144</v>
      </c>
      <c r="N1979" s="16">
        <v>41953</v>
      </c>
      <c r="O1979" s="12" t="s">
        <v>12150</v>
      </c>
      <c r="P1979" s="14" t="s">
        <v>12152</v>
      </c>
      <c r="Q1979" s="17" t="s">
        <v>137</v>
      </c>
      <c r="R1979" s="17" t="s">
        <v>146</v>
      </c>
    </row>
    <row r="1980" spans="1:18" x14ac:dyDescent="0.3">
      <c r="A1980" s="12" t="s">
        <v>12153</v>
      </c>
      <c r="B1980" s="12" t="s">
        <v>12</v>
      </c>
      <c r="C1980" s="12"/>
      <c r="D1980" s="12" t="s">
        <v>12</v>
      </c>
      <c r="E1980" s="12" t="s">
        <v>12154</v>
      </c>
      <c r="F1980" s="12"/>
      <c r="G1980" s="12" t="s">
        <v>4040</v>
      </c>
      <c r="H1980" s="12" t="s">
        <v>56</v>
      </c>
      <c r="I1980" s="12" t="s">
        <v>32</v>
      </c>
      <c r="J1980" s="13" t="s">
        <v>4041</v>
      </c>
      <c r="K1980" s="14" t="s">
        <v>12155</v>
      </c>
      <c r="L1980" s="15">
        <v>1</v>
      </c>
      <c r="M1980" s="15" t="s">
        <v>144</v>
      </c>
      <c r="N1980" s="16">
        <v>44065</v>
      </c>
      <c r="O1980" s="12" t="s">
        <v>12153</v>
      </c>
      <c r="P1980" s="14" t="s">
        <v>12156</v>
      </c>
      <c r="Q1980" s="17" t="s">
        <v>137</v>
      </c>
      <c r="R1980" s="17" t="s">
        <v>146</v>
      </c>
    </row>
    <row r="1981" spans="1:18" x14ac:dyDescent="0.3">
      <c r="A1981" s="12" t="s">
        <v>12157</v>
      </c>
      <c r="B1981" s="12" t="s">
        <v>12</v>
      </c>
      <c r="C1981" s="12"/>
      <c r="D1981" s="12" t="s">
        <v>12</v>
      </c>
      <c r="E1981" s="12" t="s">
        <v>12158</v>
      </c>
      <c r="F1981" s="12"/>
      <c r="G1981" s="12" t="s">
        <v>4040</v>
      </c>
      <c r="H1981" s="12" t="s">
        <v>56</v>
      </c>
      <c r="I1981" s="12" t="s">
        <v>32</v>
      </c>
      <c r="J1981" s="13" t="s">
        <v>4041</v>
      </c>
      <c r="K1981" s="14" t="s">
        <v>12159</v>
      </c>
      <c r="L1981" s="15">
        <v>2</v>
      </c>
      <c r="M1981" s="15" t="s">
        <v>144</v>
      </c>
      <c r="N1981" s="16">
        <v>44065</v>
      </c>
      <c r="O1981" s="12" t="s">
        <v>12157</v>
      </c>
      <c r="P1981" s="14" t="s">
        <v>12160</v>
      </c>
      <c r="Q1981" s="17" t="s">
        <v>137</v>
      </c>
      <c r="R1981" s="17" t="s">
        <v>146</v>
      </c>
    </row>
    <row r="1982" spans="1:18" x14ac:dyDescent="0.3">
      <c r="A1982" s="12" t="s">
        <v>12161</v>
      </c>
      <c r="B1982" s="12" t="s">
        <v>12</v>
      </c>
      <c r="C1982" s="12"/>
      <c r="D1982" s="12" t="s">
        <v>12</v>
      </c>
      <c r="E1982" s="12" t="s">
        <v>12162</v>
      </c>
      <c r="F1982" s="12"/>
      <c r="G1982" s="12" t="s">
        <v>12163</v>
      </c>
      <c r="H1982" s="12" t="s">
        <v>63</v>
      </c>
      <c r="I1982" s="12" t="s">
        <v>32</v>
      </c>
      <c r="J1982" s="13" t="s">
        <v>12164</v>
      </c>
      <c r="K1982" s="14" t="s">
        <v>12165</v>
      </c>
      <c r="L1982" s="15">
        <v>1</v>
      </c>
      <c r="M1982" s="15" t="s">
        <v>144</v>
      </c>
      <c r="N1982" s="16">
        <v>39626</v>
      </c>
      <c r="O1982" s="12" t="s">
        <v>12161</v>
      </c>
      <c r="P1982" s="14" t="s">
        <v>12166</v>
      </c>
      <c r="Q1982" s="17" t="s">
        <v>137</v>
      </c>
      <c r="R1982" s="17" t="s">
        <v>146</v>
      </c>
    </row>
    <row r="1983" spans="1:18" x14ac:dyDescent="0.3">
      <c r="A1983" s="12" t="s">
        <v>12167</v>
      </c>
      <c r="B1983" s="12" t="s">
        <v>12</v>
      </c>
      <c r="C1983" s="12"/>
      <c r="D1983" s="12" t="s">
        <v>12</v>
      </c>
      <c r="E1983" s="12" t="s">
        <v>12168</v>
      </c>
      <c r="F1983" s="12"/>
      <c r="G1983" s="12" t="s">
        <v>4061</v>
      </c>
      <c r="H1983" s="12" t="s">
        <v>63</v>
      </c>
      <c r="I1983" s="12" t="s">
        <v>32</v>
      </c>
      <c r="J1983" s="13" t="s">
        <v>4062</v>
      </c>
      <c r="K1983" s="14" t="s">
        <v>12169</v>
      </c>
      <c r="L1983" s="15">
        <v>3</v>
      </c>
      <c r="M1983" s="15" t="s">
        <v>144</v>
      </c>
      <c r="N1983" s="16">
        <v>44412</v>
      </c>
      <c r="O1983" s="12" t="s">
        <v>12170</v>
      </c>
      <c r="P1983" s="14" t="s">
        <v>12171</v>
      </c>
      <c r="Q1983" s="17" t="s">
        <v>137</v>
      </c>
      <c r="R1983" s="17" t="s">
        <v>146</v>
      </c>
    </row>
    <row r="1984" spans="1:18" x14ac:dyDescent="0.3">
      <c r="A1984" s="12" t="s">
        <v>12172</v>
      </c>
      <c r="B1984" s="12" t="s">
        <v>12</v>
      </c>
      <c r="C1984" s="12"/>
      <c r="D1984" s="12" t="s">
        <v>12</v>
      </c>
      <c r="E1984" s="12" t="s">
        <v>12173</v>
      </c>
      <c r="F1984" s="12" t="s">
        <v>258</v>
      </c>
      <c r="G1984" s="12" t="s">
        <v>4061</v>
      </c>
      <c r="H1984" s="12" t="s">
        <v>63</v>
      </c>
      <c r="I1984" s="12" t="s">
        <v>32</v>
      </c>
      <c r="J1984" s="13" t="s">
        <v>4062</v>
      </c>
      <c r="K1984" s="14" t="s">
        <v>12174</v>
      </c>
      <c r="L1984" s="15">
        <v>1</v>
      </c>
      <c r="M1984" s="15" t="s">
        <v>144</v>
      </c>
      <c r="N1984" s="16">
        <v>44200</v>
      </c>
      <c r="O1984" s="12" t="s">
        <v>12172</v>
      </c>
      <c r="P1984" s="14" t="s">
        <v>12175</v>
      </c>
      <c r="Q1984" s="17" t="s">
        <v>137</v>
      </c>
      <c r="R1984" s="17" t="s">
        <v>146</v>
      </c>
    </row>
    <row r="1985" spans="1:18" x14ac:dyDescent="0.3">
      <c r="A1985" s="12" t="s">
        <v>12176</v>
      </c>
      <c r="B1985" s="12" t="s">
        <v>12</v>
      </c>
      <c r="C1985" s="12"/>
      <c r="D1985" s="12" t="s">
        <v>12</v>
      </c>
      <c r="E1985" s="12" t="s">
        <v>12177</v>
      </c>
      <c r="F1985" s="12"/>
      <c r="G1985" s="12" t="s">
        <v>4061</v>
      </c>
      <c r="H1985" s="12" t="s">
        <v>63</v>
      </c>
      <c r="I1985" s="12" t="s">
        <v>32</v>
      </c>
      <c r="J1985" s="13" t="s">
        <v>4062</v>
      </c>
      <c r="K1985" s="14" t="s">
        <v>12178</v>
      </c>
      <c r="L1985" s="15">
        <v>2</v>
      </c>
      <c r="M1985" s="15" t="s">
        <v>144</v>
      </c>
      <c r="N1985" s="16">
        <v>39492</v>
      </c>
      <c r="O1985" s="12" t="s">
        <v>12176</v>
      </c>
      <c r="P1985" s="14" t="s">
        <v>12179</v>
      </c>
      <c r="Q1985" s="17" t="s">
        <v>137</v>
      </c>
      <c r="R1985" s="17" t="s">
        <v>146</v>
      </c>
    </row>
    <row r="1986" spans="1:18" x14ac:dyDescent="0.3">
      <c r="A1986" s="12" t="s">
        <v>12180</v>
      </c>
      <c r="B1986" s="12" t="s">
        <v>12</v>
      </c>
      <c r="C1986" s="12"/>
      <c r="D1986" s="12" t="s">
        <v>12</v>
      </c>
      <c r="E1986" s="12" t="s">
        <v>12181</v>
      </c>
      <c r="F1986" s="12"/>
      <c r="G1986" s="12" t="s">
        <v>4061</v>
      </c>
      <c r="H1986" s="12" t="s">
        <v>63</v>
      </c>
      <c r="I1986" s="12" t="s">
        <v>32</v>
      </c>
      <c r="J1986" s="13" t="s">
        <v>4062</v>
      </c>
      <c r="K1986" s="14" t="s">
        <v>12182</v>
      </c>
      <c r="L1986" s="15">
        <v>1</v>
      </c>
      <c r="M1986" s="15" t="s">
        <v>144</v>
      </c>
      <c r="N1986" s="16">
        <v>40275</v>
      </c>
      <c r="O1986" s="12" t="s">
        <v>12180</v>
      </c>
      <c r="P1986" s="14" t="s">
        <v>12183</v>
      </c>
      <c r="Q1986" s="17" t="s">
        <v>137</v>
      </c>
      <c r="R1986" s="17" t="s">
        <v>146</v>
      </c>
    </row>
    <row r="1987" spans="1:18" x14ac:dyDescent="0.3">
      <c r="A1987" s="12" t="s">
        <v>12184</v>
      </c>
      <c r="B1987" s="12" t="s">
        <v>12</v>
      </c>
      <c r="C1987" s="12"/>
      <c r="D1987" s="12" t="s">
        <v>12</v>
      </c>
      <c r="E1987" s="12" t="s">
        <v>12185</v>
      </c>
      <c r="F1987" s="12"/>
      <c r="G1987" s="12" t="s">
        <v>4061</v>
      </c>
      <c r="H1987" s="12" t="s">
        <v>63</v>
      </c>
      <c r="I1987" s="12" t="s">
        <v>32</v>
      </c>
      <c r="J1987" s="13" t="s">
        <v>4062</v>
      </c>
      <c r="K1987" s="14" t="s">
        <v>12186</v>
      </c>
      <c r="L1987" s="15">
        <v>0</v>
      </c>
      <c r="M1987" s="15" t="s">
        <v>144</v>
      </c>
      <c r="N1987" s="16">
        <v>39659</v>
      </c>
      <c r="O1987" s="12" t="s">
        <v>12184</v>
      </c>
      <c r="P1987" s="14" t="s">
        <v>12187</v>
      </c>
      <c r="Q1987" s="17" t="s">
        <v>137</v>
      </c>
      <c r="R1987" s="17" t="s">
        <v>146</v>
      </c>
    </row>
    <row r="1988" spans="1:18" x14ac:dyDescent="0.3">
      <c r="A1988" s="12" t="s">
        <v>12188</v>
      </c>
      <c r="B1988" s="12" t="s">
        <v>12</v>
      </c>
      <c r="C1988" s="12"/>
      <c r="D1988" s="12" t="s">
        <v>12</v>
      </c>
      <c r="E1988" s="12" t="s">
        <v>12189</v>
      </c>
      <c r="F1988" s="12"/>
      <c r="G1988" s="12" t="s">
        <v>4061</v>
      </c>
      <c r="H1988" s="12" t="s">
        <v>63</v>
      </c>
      <c r="I1988" s="12" t="s">
        <v>32</v>
      </c>
      <c r="J1988" s="13" t="s">
        <v>4062</v>
      </c>
      <c r="K1988" s="14" t="s">
        <v>12190</v>
      </c>
      <c r="L1988" s="15">
        <v>2</v>
      </c>
      <c r="M1988" s="15" t="s">
        <v>144</v>
      </c>
      <c r="N1988" s="16">
        <v>39343</v>
      </c>
      <c r="O1988" s="12" t="s">
        <v>12188</v>
      </c>
      <c r="P1988" s="14" t="s">
        <v>12191</v>
      </c>
      <c r="Q1988" s="17" t="s">
        <v>137</v>
      </c>
      <c r="R1988" s="17" t="s">
        <v>146</v>
      </c>
    </row>
    <row r="1989" spans="1:18" x14ac:dyDescent="0.3">
      <c r="A1989" s="12" t="s">
        <v>12192</v>
      </c>
      <c r="B1989" s="12" t="s">
        <v>14</v>
      </c>
      <c r="C1989" s="12"/>
      <c r="D1989" s="12" t="s">
        <v>14</v>
      </c>
      <c r="E1989" s="12" t="s">
        <v>12193</v>
      </c>
      <c r="F1989" s="12"/>
      <c r="G1989" s="12" t="s">
        <v>4061</v>
      </c>
      <c r="H1989" s="12" t="s">
        <v>63</v>
      </c>
      <c r="I1989" s="12" t="s">
        <v>32</v>
      </c>
      <c r="J1989" s="13" t="s">
        <v>4062</v>
      </c>
      <c r="K1989" s="14" t="s">
        <v>12194</v>
      </c>
      <c r="L1989" s="15">
        <v>1</v>
      </c>
      <c r="M1989" s="15" t="s">
        <v>144</v>
      </c>
      <c r="N1989" s="16">
        <v>42166</v>
      </c>
      <c r="O1989" s="12" t="s">
        <v>12195</v>
      </c>
      <c r="P1989" s="14" t="s">
        <v>12196</v>
      </c>
      <c r="Q1989" s="17" t="s">
        <v>137</v>
      </c>
      <c r="R1989" s="17" t="s">
        <v>146</v>
      </c>
    </row>
    <row r="1990" spans="1:18" x14ac:dyDescent="0.3">
      <c r="A1990" s="12" t="s">
        <v>12197</v>
      </c>
      <c r="B1990" s="12" t="s">
        <v>16</v>
      </c>
      <c r="C1990" s="12"/>
      <c r="D1990" s="12" t="s">
        <v>471</v>
      </c>
      <c r="E1990" s="12" t="s">
        <v>12198</v>
      </c>
      <c r="F1990" s="12"/>
      <c r="G1990" s="12" t="s">
        <v>4061</v>
      </c>
      <c r="H1990" s="12" t="s">
        <v>63</v>
      </c>
      <c r="I1990" s="12" t="s">
        <v>32</v>
      </c>
      <c r="J1990" s="13" t="s">
        <v>4062</v>
      </c>
      <c r="K1990" s="14" t="s">
        <v>12199</v>
      </c>
      <c r="L1990" s="15">
        <v>1</v>
      </c>
      <c r="M1990" s="15" t="s">
        <v>144</v>
      </c>
      <c r="N1990" s="16">
        <v>44065</v>
      </c>
      <c r="O1990" s="12" t="s">
        <v>12197</v>
      </c>
      <c r="P1990" s="14" t="s">
        <v>12200</v>
      </c>
      <c r="Q1990" s="17" t="s">
        <v>137</v>
      </c>
      <c r="R1990" s="17" t="s">
        <v>146</v>
      </c>
    </row>
    <row r="1991" spans="1:18" x14ac:dyDescent="0.3">
      <c r="A1991" s="12" t="s">
        <v>12201</v>
      </c>
      <c r="B1991" s="12" t="s">
        <v>14</v>
      </c>
      <c r="C1991" s="12"/>
      <c r="D1991" s="12" t="s">
        <v>14</v>
      </c>
      <c r="E1991" s="12" t="s">
        <v>4060</v>
      </c>
      <c r="F1991" s="12"/>
      <c r="G1991" s="12" t="s">
        <v>4061</v>
      </c>
      <c r="H1991" s="12" t="s">
        <v>63</v>
      </c>
      <c r="I1991" s="12" t="s">
        <v>32</v>
      </c>
      <c r="J1991" s="13" t="s">
        <v>4062</v>
      </c>
      <c r="K1991" s="14" t="s">
        <v>12202</v>
      </c>
      <c r="L1991" s="15">
        <v>6</v>
      </c>
      <c r="M1991" s="15" t="s">
        <v>144</v>
      </c>
      <c r="N1991" s="16">
        <v>44065</v>
      </c>
      <c r="O1991" s="12" t="s">
        <v>12201</v>
      </c>
      <c r="P1991" s="14" t="s">
        <v>12203</v>
      </c>
      <c r="Q1991" s="17" t="s">
        <v>137</v>
      </c>
      <c r="R1991" s="17" t="s">
        <v>146</v>
      </c>
    </row>
    <row r="1992" spans="1:18" x14ac:dyDescent="0.3">
      <c r="A1992" s="12" t="s">
        <v>12204</v>
      </c>
      <c r="B1992" s="12" t="s">
        <v>12</v>
      </c>
      <c r="C1992" s="12"/>
      <c r="D1992" s="12" t="s">
        <v>12</v>
      </c>
      <c r="E1992" s="12" t="s">
        <v>4075</v>
      </c>
      <c r="F1992" s="12" t="s">
        <v>319</v>
      </c>
      <c r="G1992" s="12" t="s">
        <v>4061</v>
      </c>
      <c r="H1992" s="12" t="s">
        <v>63</v>
      </c>
      <c r="I1992" s="12" t="s">
        <v>32</v>
      </c>
      <c r="J1992" s="13" t="s">
        <v>4062</v>
      </c>
      <c r="K1992" s="14" t="s">
        <v>12205</v>
      </c>
      <c r="L1992" s="15">
        <v>6</v>
      </c>
      <c r="M1992" s="15" t="s">
        <v>144</v>
      </c>
      <c r="N1992" s="16">
        <v>40963</v>
      </c>
      <c r="O1992" s="12" t="s">
        <v>12204</v>
      </c>
      <c r="P1992" s="14" t="s">
        <v>12206</v>
      </c>
      <c r="Q1992" s="17" t="s">
        <v>137</v>
      </c>
      <c r="R1992" s="17" t="s">
        <v>146</v>
      </c>
    </row>
    <row r="1993" spans="1:18" x14ac:dyDescent="0.3">
      <c r="A1993" s="12" t="s">
        <v>12207</v>
      </c>
      <c r="B1993" s="12" t="s">
        <v>14</v>
      </c>
      <c r="C1993" s="12"/>
      <c r="D1993" s="12" t="s">
        <v>14</v>
      </c>
      <c r="E1993" s="12" t="s">
        <v>12208</v>
      </c>
      <c r="F1993" s="12" t="s">
        <v>12209</v>
      </c>
      <c r="G1993" s="12" t="s">
        <v>4061</v>
      </c>
      <c r="H1993" s="12" t="s">
        <v>63</v>
      </c>
      <c r="I1993" s="12" t="s">
        <v>32</v>
      </c>
      <c r="J1993" s="13" t="s">
        <v>4062</v>
      </c>
      <c r="K1993" s="14" t="s">
        <v>4076</v>
      </c>
      <c r="L1993" s="15">
        <v>0</v>
      </c>
      <c r="M1993" s="15" t="s">
        <v>144</v>
      </c>
      <c r="N1993" s="16">
        <v>40315</v>
      </c>
      <c r="O1993" s="12" t="s">
        <v>12207</v>
      </c>
      <c r="P1993" s="14" t="s">
        <v>12210</v>
      </c>
      <c r="Q1993" s="17" t="s">
        <v>137</v>
      </c>
      <c r="R1993" s="17" t="s">
        <v>146</v>
      </c>
    </row>
    <row r="1994" spans="1:18" x14ac:dyDescent="0.3">
      <c r="A1994" s="12" t="s">
        <v>12211</v>
      </c>
      <c r="B1994" s="12" t="s">
        <v>12</v>
      </c>
      <c r="C1994" s="12"/>
      <c r="D1994" s="12" t="s">
        <v>12</v>
      </c>
      <c r="E1994" s="12" t="s">
        <v>12212</v>
      </c>
      <c r="F1994" s="12"/>
      <c r="G1994" s="12" t="s">
        <v>12213</v>
      </c>
      <c r="H1994" s="12" t="s">
        <v>121</v>
      </c>
      <c r="I1994" s="12" t="s">
        <v>32</v>
      </c>
      <c r="J1994" s="13" t="s">
        <v>12214</v>
      </c>
      <c r="K1994" s="14" t="s">
        <v>12215</v>
      </c>
      <c r="L1994" s="15">
        <v>1</v>
      </c>
      <c r="M1994" s="15" t="s">
        <v>144</v>
      </c>
      <c r="N1994" s="16">
        <v>41290</v>
      </c>
      <c r="O1994" s="12" t="s">
        <v>12211</v>
      </c>
      <c r="P1994" s="14" t="s">
        <v>12216</v>
      </c>
      <c r="Q1994" s="17" t="s">
        <v>137</v>
      </c>
      <c r="R1994" s="17" t="s">
        <v>146</v>
      </c>
    </row>
    <row r="1995" spans="1:18" x14ac:dyDescent="0.3">
      <c r="A1995" s="12" t="s">
        <v>12217</v>
      </c>
      <c r="B1995" s="12" t="s">
        <v>12</v>
      </c>
      <c r="C1995" s="12"/>
      <c r="D1995" s="12" t="s">
        <v>12</v>
      </c>
      <c r="E1995" s="12" t="s">
        <v>12218</v>
      </c>
      <c r="F1995" s="12"/>
      <c r="G1995" s="12" t="s">
        <v>3864</v>
      </c>
      <c r="H1995" s="12" t="s">
        <v>121</v>
      </c>
      <c r="I1995" s="12" t="s">
        <v>32</v>
      </c>
      <c r="J1995" s="13" t="s">
        <v>3865</v>
      </c>
      <c r="K1995" s="14" t="s">
        <v>12219</v>
      </c>
      <c r="L1995" s="15">
        <v>1</v>
      </c>
      <c r="M1995" s="15" t="s">
        <v>144</v>
      </c>
      <c r="N1995" s="16">
        <v>39365</v>
      </c>
      <c r="O1995" s="12" t="s">
        <v>12220</v>
      </c>
      <c r="P1995" s="14" t="s">
        <v>12221</v>
      </c>
      <c r="Q1995" s="17" t="s">
        <v>137</v>
      </c>
      <c r="R1995" s="17" t="s">
        <v>146</v>
      </c>
    </row>
    <row r="1996" spans="1:18" x14ac:dyDescent="0.3">
      <c r="A1996" s="12" t="s">
        <v>12222</v>
      </c>
      <c r="B1996" s="12" t="s">
        <v>12</v>
      </c>
      <c r="C1996" s="12"/>
      <c r="D1996" s="12" t="s">
        <v>12</v>
      </c>
      <c r="E1996" s="12" t="s">
        <v>12223</v>
      </c>
      <c r="F1996" s="12"/>
      <c r="G1996" s="12" t="s">
        <v>3864</v>
      </c>
      <c r="H1996" s="12" t="s">
        <v>121</v>
      </c>
      <c r="I1996" s="12" t="s">
        <v>32</v>
      </c>
      <c r="J1996" s="13" t="s">
        <v>3865</v>
      </c>
      <c r="K1996" s="14" t="s">
        <v>12224</v>
      </c>
      <c r="L1996" s="15">
        <v>1</v>
      </c>
      <c r="M1996" s="15" t="s">
        <v>144</v>
      </c>
      <c r="N1996" s="16">
        <v>44065</v>
      </c>
      <c r="O1996" s="12" t="s">
        <v>12222</v>
      </c>
      <c r="P1996" s="14" t="s">
        <v>12225</v>
      </c>
      <c r="Q1996" s="17" t="s">
        <v>137</v>
      </c>
      <c r="R1996" s="17" t="s">
        <v>146</v>
      </c>
    </row>
    <row r="1997" spans="1:18" x14ac:dyDescent="0.3">
      <c r="A1997" s="12" t="s">
        <v>12226</v>
      </c>
      <c r="B1997" s="12" t="s">
        <v>12</v>
      </c>
      <c r="C1997" s="12"/>
      <c r="D1997" s="12" t="s">
        <v>12</v>
      </c>
      <c r="E1997" s="12" t="s">
        <v>12227</v>
      </c>
      <c r="F1997" s="12"/>
      <c r="G1997" s="12" t="s">
        <v>3864</v>
      </c>
      <c r="H1997" s="12" t="s">
        <v>121</v>
      </c>
      <c r="I1997" s="12" t="s">
        <v>32</v>
      </c>
      <c r="J1997" s="13" t="s">
        <v>3865</v>
      </c>
      <c r="K1997" s="14" t="s">
        <v>12228</v>
      </c>
      <c r="L1997" s="15">
        <v>1</v>
      </c>
      <c r="M1997" s="15" t="s">
        <v>144</v>
      </c>
      <c r="N1997" s="16">
        <v>39367</v>
      </c>
      <c r="O1997" s="12" t="s">
        <v>12226</v>
      </c>
      <c r="P1997" s="14" t="s">
        <v>12229</v>
      </c>
      <c r="Q1997" s="17" t="s">
        <v>137</v>
      </c>
      <c r="R1997" s="17" t="s">
        <v>146</v>
      </c>
    </row>
    <row r="1998" spans="1:18" x14ac:dyDescent="0.3">
      <c r="A1998" s="12" t="s">
        <v>12230</v>
      </c>
      <c r="B1998" s="12" t="s">
        <v>12</v>
      </c>
      <c r="C1998" s="12"/>
      <c r="D1998" s="12" t="s">
        <v>12</v>
      </c>
      <c r="E1998" s="12" t="s">
        <v>12231</v>
      </c>
      <c r="F1998" s="12"/>
      <c r="G1998" s="12" t="s">
        <v>12232</v>
      </c>
      <c r="H1998" s="12" t="s">
        <v>121</v>
      </c>
      <c r="I1998" s="12" t="s">
        <v>32</v>
      </c>
      <c r="J1998" s="13" t="s">
        <v>12233</v>
      </c>
      <c r="K1998" s="14" t="s">
        <v>12234</v>
      </c>
      <c r="L1998" s="15">
        <v>2</v>
      </c>
      <c r="M1998" s="15" t="s">
        <v>144</v>
      </c>
      <c r="N1998" s="16">
        <v>44065</v>
      </c>
      <c r="O1998" s="12" t="s">
        <v>12230</v>
      </c>
      <c r="P1998" s="14" t="s">
        <v>12235</v>
      </c>
      <c r="Q1998" s="17" t="s">
        <v>137</v>
      </c>
      <c r="R1998" s="17" t="s">
        <v>146</v>
      </c>
    </row>
    <row r="1999" spans="1:18" x14ac:dyDescent="0.3">
      <c r="A1999" s="12" t="s">
        <v>12236</v>
      </c>
      <c r="B1999" s="12" t="s">
        <v>12</v>
      </c>
      <c r="C1999" s="12"/>
      <c r="D1999" s="12" t="s">
        <v>12</v>
      </c>
      <c r="E1999" s="12" t="s">
        <v>12237</v>
      </c>
      <c r="F1999" s="12"/>
      <c r="G1999" s="12" t="s">
        <v>121</v>
      </c>
      <c r="H1999" s="12" t="s">
        <v>121</v>
      </c>
      <c r="I1999" s="12" t="s">
        <v>32</v>
      </c>
      <c r="J1999" s="13" t="s">
        <v>12238</v>
      </c>
      <c r="K1999" s="14" t="s">
        <v>12239</v>
      </c>
      <c r="L1999" s="15">
        <v>1</v>
      </c>
      <c r="M1999" s="15" t="s">
        <v>144</v>
      </c>
      <c r="N1999" s="16">
        <v>42291</v>
      </c>
      <c r="O1999" s="12" t="s">
        <v>12236</v>
      </c>
      <c r="P1999" s="14" t="s">
        <v>12240</v>
      </c>
      <c r="Q1999" s="17" t="s">
        <v>137</v>
      </c>
      <c r="R1999" s="17" t="s">
        <v>146</v>
      </c>
    </row>
    <row r="2000" spans="1:18" x14ac:dyDescent="0.3">
      <c r="A2000" s="12" t="s">
        <v>12241</v>
      </c>
      <c r="B2000" s="12" t="s">
        <v>12</v>
      </c>
      <c r="C2000" s="12"/>
      <c r="D2000" s="12" t="s">
        <v>12</v>
      </c>
      <c r="E2000" s="12" t="s">
        <v>12242</v>
      </c>
      <c r="F2000" s="12"/>
      <c r="G2000" s="12" t="s">
        <v>12243</v>
      </c>
      <c r="H2000" s="12" t="s">
        <v>105</v>
      </c>
      <c r="I2000" s="12" t="s">
        <v>32</v>
      </c>
      <c r="J2000" s="13" t="s">
        <v>12244</v>
      </c>
      <c r="K2000" s="14" t="s">
        <v>12245</v>
      </c>
      <c r="L2000" s="15">
        <v>0</v>
      </c>
      <c r="M2000" s="15" t="s">
        <v>144</v>
      </c>
      <c r="N2000" s="16">
        <v>40785</v>
      </c>
      <c r="O2000" s="12" t="s">
        <v>12241</v>
      </c>
      <c r="P2000" s="14" t="s">
        <v>12246</v>
      </c>
      <c r="Q2000" s="17" t="s">
        <v>137</v>
      </c>
      <c r="R2000" s="17" t="s">
        <v>146</v>
      </c>
    </row>
    <row r="2001" spans="1:18" x14ac:dyDescent="0.3">
      <c r="A2001" s="12" t="s">
        <v>12247</v>
      </c>
      <c r="B2001" s="12" t="s">
        <v>12</v>
      </c>
      <c r="C2001" s="12"/>
      <c r="D2001" s="12" t="s">
        <v>12</v>
      </c>
      <c r="E2001" s="12" t="s">
        <v>12248</v>
      </c>
      <c r="F2001" s="12"/>
      <c r="G2001" s="12" t="s">
        <v>105</v>
      </c>
      <c r="H2001" s="12" t="s">
        <v>105</v>
      </c>
      <c r="I2001" s="12" t="s">
        <v>32</v>
      </c>
      <c r="J2001" s="13" t="s">
        <v>4084</v>
      </c>
      <c r="K2001" s="14" t="s">
        <v>12249</v>
      </c>
      <c r="L2001" s="15">
        <v>1</v>
      </c>
      <c r="M2001" s="15" t="s">
        <v>144</v>
      </c>
      <c r="N2001" s="16">
        <v>44065</v>
      </c>
      <c r="O2001" s="12" t="s">
        <v>12247</v>
      </c>
      <c r="P2001" s="14" t="s">
        <v>12250</v>
      </c>
      <c r="Q2001" s="17" t="s">
        <v>137</v>
      </c>
      <c r="R2001" s="17" t="s">
        <v>146</v>
      </c>
    </row>
    <row r="2002" spans="1:18" x14ac:dyDescent="0.3">
      <c r="A2002" s="12" t="s">
        <v>12251</v>
      </c>
      <c r="B2002" s="12" t="s">
        <v>12</v>
      </c>
      <c r="C2002" s="12"/>
      <c r="D2002" s="12" t="s">
        <v>12</v>
      </c>
      <c r="E2002" s="12" t="s">
        <v>12252</v>
      </c>
      <c r="F2002" s="12"/>
      <c r="G2002" s="12" t="s">
        <v>105</v>
      </c>
      <c r="H2002" s="12" t="s">
        <v>105</v>
      </c>
      <c r="I2002" s="12" t="s">
        <v>32</v>
      </c>
      <c r="J2002" s="13" t="s">
        <v>4084</v>
      </c>
      <c r="K2002" s="14" t="s">
        <v>12253</v>
      </c>
      <c r="L2002" s="15">
        <v>1</v>
      </c>
      <c r="M2002" s="15" t="s">
        <v>144</v>
      </c>
      <c r="N2002" s="16">
        <v>43955</v>
      </c>
      <c r="O2002" s="12" t="s">
        <v>12254</v>
      </c>
      <c r="P2002" s="14" t="s">
        <v>12255</v>
      </c>
      <c r="Q2002" s="17" t="s">
        <v>137</v>
      </c>
      <c r="R2002" s="17" t="s">
        <v>146</v>
      </c>
    </row>
    <row r="2003" spans="1:18" x14ac:dyDescent="0.3">
      <c r="A2003" s="12" t="s">
        <v>12256</v>
      </c>
      <c r="B2003" s="12" t="s">
        <v>12</v>
      </c>
      <c r="C2003" s="12"/>
      <c r="D2003" s="12" t="s">
        <v>12</v>
      </c>
      <c r="E2003" s="12" t="s">
        <v>12257</v>
      </c>
      <c r="F2003" s="12"/>
      <c r="G2003" s="12" t="s">
        <v>12258</v>
      </c>
      <c r="H2003" s="12" t="s">
        <v>90</v>
      </c>
      <c r="I2003" s="12" t="s">
        <v>32</v>
      </c>
      <c r="J2003" s="13" t="s">
        <v>12259</v>
      </c>
      <c r="K2003" s="14" t="s">
        <v>12260</v>
      </c>
      <c r="L2003" s="15">
        <v>2</v>
      </c>
      <c r="M2003" s="15" t="s">
        <v>144</v>
      </c>
      <c r="N2003" s="16">
        <v>39510</v>
      </c>
      <c r="O2003" s="12" t="s">
        <v>12256</v>
      </c>
      <c r="P2003" s="14" t="s">
        <v>12261</v>
      </c>
      <c r="Q2003" s="17" t="s">
        <v>137</v>
      </c>
      <c r="R2003" s="17" t="s">
        <v>146</v>
      </c>
    </row>
    <row r="2004" spans="1:18" x14ac:dyDescent="0.3">
      <c r="A2004" s="12" t="s">
        <v>12262</v>
      </c>
      <c r="B2004" s="12" t="s">
        <v>12</v>
      </c>
      <c r="C2004" s="12"/>
      <c r="D2004" s="12" t="s">
        <v>12</v>
      </c>
      <c r="E2004" s="12" t="s">
        <v>12263</v>
      </c>
      <c r="F2004" s="12"/>
      <c r="G2004" s="12" t="s">
        <v>90</v>
      </c>
      <c r="H2004" s="12" t="s">
        <v>90</v>
      </c>
      <c r="I2004" s="12" t="s">
        <v>32</v>
      </c>
      <c r="J2004" s="13" t="s">
        <v>4090</v>
      </c>
      <c r="K2004" s="14" t="s">
        <v>12264</v>
      </c>
      <c r="L2004" s="15">
        <v>4</v>
      </c>
      <c r="M2004" s="15" t="s">
        <v>144</v>
      </c>
      <c r="N2004" s="16">
        <v>42320</v>
      </c>
      <c r="O2004" s="12" t="s">
        <v>12262</v>
      </c>
      <c r="P2004" s="14" t="s">
        <v>12265</v>
      </c>
      <c r="Q2004" s="17" t="s">
        <v>137</v>
      </c>
      <c r="R2004" s="17" t="s">
        <v>146</v>
      </c>
    </row>
    <row r="2005" spans="1:18" x14ac:dyDescent="0.3">
      <c r="A2005" s="12" t="s">
        <v>12266</v>
      </c>
      <c r="B2005" s="12" t="s">
        <v>12</v>
      </c>
      <c r="C2005" s="12"/>
      <c r="D2005" s="12" t="s">
        <v>12</v>
      </c>
      <c r="E2005" s="12" t="s">
        <v>12267</v>
      </c>
      <c r="F2005" s="12"/>
      <c r="G2005" s="12" t="s">
        <v>90</v>
      </c>
      <c r="H2005" s="12" t="s">
        <v>90</v>
      </c>
      <c r="I2005" s="12" t="s">
        <v>32</v>
      </c>
      <c r="J2005" s="13" t="s">
        <v>4090</v>
      </c>
      <c r="K2005" s="14" t="s">
        <v>12268</v>
      </c>
      <c r="L2005" s="15">
        <v>2</v>
      </c>
      <c r="M2005" s="15" t="s">
        <v>144</v>
      </c>
      <c r="N2005" s="16">
        <v>42135</v>
      </c>
      <c r="O2005" s="12" t="s">
        <v>12266</v>
      </c>
      <c r="P2005" s="14" t="s">
        <v>12269</v>
      </c>
      <c r="Q2005" s="17" t="s">
        <v>137</v>
      </c>
      <c r="R2005" s="17" t="s">
        <v>146</v>
      </c>
    </row>
    <row r="2006" spans="1:18" x14ac:dyDescent="0.3">
      <c r="A2006" s="12" t="s">
        <v>12270</v>
      </c>
      <c r="B2006" s="12" t="s">
        <v>12</v>
      </c>
      <c r="C2006" s="12"/>
      <c r="D2006" s="12" t="s">
        <v>12</v>
      </c>
      <c r="E2006" s="12" t="s">
        <v>12271</v>
      </c>
      <c r="F2006" s="12"/>
      <c r="G2006" s="12" t="s">
        <v>90</v>
      </c>
      <c r="H2006" s="12" t="s">
        <v>90</v>
      </c>
      <c r="I2006" s="12" t="s">
        <v>32</v>
      </c>
      <c r="J2006" s="13" t="s">
        <v>4090</v>
      </c>
      <c r="K2006" s="14" t="s">
        <v>12272</v>
      </c>
      <c r="L2006" s="15">
        <v>0</v>
      </c>
      <c r="M2006" s="15" t="s">
        <v>144</v>
      </c>
      <c r="N2006" s="16">
        <v>43104</v>
      </c>
      <c r="O2006" s="12" t="s">
        <v>12270</v>
      </c>
      <c r="P2006" s="14" t="s">
        <v>12273</v>
      </c>
      <c r="Q2006" s="17" t="s">
        <v>137</v>
      </c>
      <c r="R2006" s="17" t="s">
        <v>146</v>
      </c>
    </row>
    <row r="2007" spans="1:18" x14ac:dyDescent="0.3">
      <c r="A2007" s="12" t="s">
        <v>12274</v>
      </c>
      <c r="B2007" s="12" t="s">
        <v>12</v>
      </c>
      <c r="C2007" s="12"/>
      <c r="D2007" s="12" t="s">
        <v>12</v>
      </c>
      <c r="E2007" s="12" t="s">
        <v>12275</v>
      </c>
      <c r="F2007" s="12"/>
      <c r="G2007" s="12" t="s">
        <v>90</v>
      </c>
      <c r="H2007" s="12" t="s">
        <v>90</v>
      </c>
      <c r="I2007" s="12" t="s">
        <v>32</v>
      </c>
      <c r="J2007" s="13" t="s">
        <v>4090</v>
      </c>
      <c r="K2007" s="14" t="s">
        <v>12276</v>
      </c>
      <c r="L2007" s="15">
        <v>1</v>
      </c>
      <c r="M2007" s="15" t="s">
        <v>144</v>
      </c>
      <c r="N2007" s="16">
        <v>40231</v>
      </c>
      <c r="O2007" s="12" t="s">
        <v>12274</v>
      </c>
      <c r="P2007" s="14" t="s">
        <v>12277</v>
      </c>
      <c r="Q2007" s="17" t="s">
        <v>137</v>
      </c>
      <c r="R2007" s="17" t="s">
        <v>146</v>
      </c>
    </row>
    <row r="2008" spans="1:18" x14ac:dyDescent="0.3">
      <c r="A2008" s="12" t="s">
        <v>12278</v>
      </c>
      <c r="B2008" s="12" t="s">
        <v>12</v>
      </c>
      <c r="C2008" s="12"/>
      <c r="D2008" s="12" t="s">
        <v>12</v>
      </c>
      <c r="E2008" s="12" t="s">
        <v>12279</v>
      </c>
      <c r="F2008" s="12"/>
      <c r="G2008" s="12" t="s">
        <v>90</v>
      </c>
      <c r="H2008" s="12" t="s">
        <v>90</v>
      </c>
      <c r="I2008" s="12" t="s">
        <v>32</v>
      </c>
      <c r="J2008" s="13" t="s">
        <v>4090</v>
      </c>
      <c r="K2008" s="14" t="s">
        <v>12280</v>
      </c>
      <c r="L2008" s="15">
        <v>2</v>
      </c>
      <c r="M2008" s="15" t="s">
        <v>144</v>
      </c>
      <c r="N2008" s="16">
        <v>42787</v>
      </c>
      <c r="O2008" s="12" t="s">
        <v>12281</v>
      </c>
      <c r="P2008" s="14" t="s">
        <v>12282</v>
      </c>
      <c r="Q2008" s="17" t="s">
        <v>137</v>
      </c>
      <c r="R2008" s="17" t="s">
        <v>146</v>
      </c>
    </row>
    <row r="2009" spans="1:18" x14ac:dyDescent="0.3">
      <c r="A2009" s="12" t="s">
        <v>12283</v>
      </c>
      <c r="B2009" s="12" t="s">
        <v>12</v>
      </c>
      <c r="C2009" s="12"/>
      <c r="D2009" s="12" t="s">
        <v>12</v>
      </c>
      <c r="E2009" s="12" t="s">
        <v>12284</v>
      </c>
      <c r="F2009" s="12" t="s">
        <v>12285</v>
      </c>
      <c r="G2009" s="12" t="s">
        <v>90</v>
      </c>
      <c r="H2009" s="12" t="s">
        <v>90</v>
      </c>
      <c r="I2009" s="12" t="s">
        <v>32</v>
      </c>
      <c r="J2009" s="13" t="s">
        <v>4090</v>
      </c>
      <c r="K2009" s="14" t="s">
        <v>12286</v>
      </c>
      <c r="L2009" s="15">
        <v>1</v>
      </c>
      <c r="M2009" s="15" t="s">
        <v>144</v>
      </c>
      <c r="N2009" s="16">
        <v>40029</v>
      </c>
      <c r="O2009" s="12" t="s">
        <v>12287</v>
      </c>
      <c r="P2009" s="14" t="s">
        <v>12288</v>
      </c>
      <c r="Q2009" s="17" t="s">
        <v>137</v>
      </c>
      <c r="R2009" s="17" t="s">
        <v>146</v>
      </c>
    </row>
    <row r="2010" spans="1:18" x14ac:dyDescent="0.3">
      <c r="A2010" s="12" t="s">
        <v>12289</v>
      </c>
      <c r="B2010" s="12" t="s">
        <v>14</v>
      </c>
      <c r="C2010" s="12"/>
      <c r="D2010" s="12" t="s">
        <v>14</v>
      </c>
      <c r="E2010" s="12" t="s">
        <v>12290</v>
      </c>
      <c r="F2010" s="12"/>
      <c r="G2010" s="12" t="s">
        <v>90</v>
      </c>
      <c r="H2010" s="12" t="s">
        <v>90</v>
      </c>
      <c r="I2010" s="12" t="s">
        <v>32</v>
      </c>
      <c r="J2010" s="13" t="s">
        <v>4090</v>
      </c>
      <c r="K2010" s="14" t="s">
        <v>11858</v>
      </c>
      <c r="L2010" s="15">
        <v>0</v>
      </c>
      <c r="M2010" s="15" t="s">
        <v>144</v>
      </c>
      <c r="N2010" s="16">
        <v>43922</v>
      </c>
      <c r="O2010" s="12" t="s">
        <v>12289</v>
      </c>
      <c r="P2010" s="14" t="s">
        <v>12291</v>
      </c>
      <c r="Q2010" s="17" t="s">
        <v>137</v>
      </c>
      <c r="R2010" s="17" t="s">
        <v>146</v>
      </c>
    </row>
    <row r="2011" spans="1:18" x14ac:dyDescent="0.3">
      <c r="A2011" s="12" t="s">
        <v>12292</v>
      </c>
      <c r="B2011" s="12" t="s">
        <v>12</v>
      </c>
      <c r="C2011" s="12"/>
      <c r="D2011" s="12" t="s">
        <v>12</v>
      </c>
      <c r="E2011" s="12" t="s">
        <v>12293</v>
      </c>
      <c r="F2011" s="12"/>
      <c r="G2011" s="12" t="s">
        <v>90</v>
      </c>
      <c r="H2011" s="12" t="s">
        <v>90</v>
      </c>
      <c r="I2011" s="12" t="s">
        <v>32</v>
      </c>
      <c r="J2011" s="13" t="s">
        <v>4090</v>
      </c>
      <c r="K2011" s="14" t="s">
        <v>12294</v>
      </c>
      <c r="L2011" s="15">
        <v>0</v>
      </c>
      <c r="M2011" s="15" t="s">
        <v>144</v>
      </c>
      <c r="N2011" s="16">
        <v>41196</v>
      </c>
      <c r="O2011" s="12" t="s">
        <v>12295</v>
      </c>
      <c r="P2011" s="14" t="s">
        <v>12296</v>
      </c>
      <c r="Q2011" s="17" t="s">
        <v>137</v>
      </c>
      <c r="R2011" s="17" t="s">
        <v>146</v>
      </c>
    </row>
    <row r="2012" spans="1:18" x14ac:dyDescent="0.3">
      <c r="A2012" s="12" t="s">
        <v>12297</v>
      </c>
      <c r="B2012" s="12" t="s">
        <v>12</v>
      </c>
      <c r="C2012" s="12"/>
      <c r="D2012" s="12" t="s">
        <v>12</v>
      </c>
      <c r="E2012" s="12" t="s">
        <v>12279</v>
      </c>
      <c r="F2012" s="12"/>
      <c r="G2012" s="12" t="s">
        <v>90</v>
      </c>
      <c r="H2012" s="12" t="s">
        <v>90</v>
      </c>
      <c r="I2012" s="12" t="s">
        <v>32</v>
      </c>
      <c r="J2012" s="13" t="s">
        <v>4090</v>
      </c>
      <c r="K2012" s="14" t="s">
        <v>12298</v>
      </c>
      <c r="L2012" s="15">
        <v>2</v>
      </c>
      <c r="M2012" s="15" t="s">
        <v>144</v>
      </c>
      <c r="N2012" s="16">
        <v>40437</v>
      </c>
      <c r="O2012" s="12" t="s">
        <v>12297</v>
      </c>
      <c r="P2012" s="14" t="s">
        <v>12299</v>
      </c>
      <c r="Q2012" s="17" t="s">
        <v>137</v>
      </c>
      <c r="R2012" s="17" t="s">
        <v>146</v>
      </c>
    </row>
    <row r="2013" spans="1:18" x14ac:dyDescent="0.3">
      <c r="A2013" s="12" t="s">
        <v>12300</v>
      </c>
      <c r="B2013" s="12" t="s">
        <v>14</v>
      </c>
      <c r="C2013" s="12"/>
      <c r="D2013" s="12" t="s">
        <v>14</v>
      </c>
      <c r="E2013" s="12" t="s">
        <v>12301</v>
      </c>
      <c r="F2013" s="12"/>
      <c r="G2013" s="12" t="s">
        <v>90</v>
      </c>
      <c r="H2013" s="12" t="s">
        <v>90</v>
      </c>
      <c r="I2013" s="12" t="s">
        <v>32</v>
      </c>
      <c r="J2013" s="13" t="s">
        <v>4090</v>
      </c>
      <c r="K2013" s="14" t="s">
        <v>12302</v>
      </c>
      <c r="L2013" s="15">
        <v>2</v>
      </c>
      <c r="M2013" s="15" t="s">
        <v>144</v>
      </c>
      <c r="N2013" s="16">
        <v>40931</v>
      </c>
      <c r="O2013" s="12" t="s">
        <v>12300</v>
      </c>
      <c r="P2013" s="14" t="s">
        <v>12303</v>
      </c>
      <c r="Q2013" s="17" t="s">
        <v>137</v>
      </c>
      <c r="R2013" s="17" t="s">
        <v>146</v>
      </c>
    </row>
    <row r="2014" spans="1:18" x14ac:dyDescent="0.3">
      <c r="A2014" s="12" t="s">
        <v>12304</v>
      </c>
      <c r="B2014" s="12" t="s">
        <v>12</v>
      </c>
      <c r="C2014" s="12"/>
      <c r="D2014" s="12" t="s">
        <v>12</v>
      </c>
      <c r="E2014" s="12" t="s">
        <v>12305</v>
      </c>
      <c r="F2014" s="12"/>
      <c r="G2014" s="12" t="s">
        <v>90</v>
      </c>
      <c r="H2014" s="12" t="s">
        <v>90</v>
      </c>
      <c r="I2014" s="12" t="s">
        <v>32</v>
      </c>
      <c r="J2014" s="13" t="s">
        <v>4090</v>
      </c>
      <c r="K2014" s="14" t="s">
        <v>12264</v>
      </c>
      <c r="L2014" s="15">
        <v>0</v>
      </c>
      <c r="M2014" s="15" t="s">
        <v>144</v>
      </c>
      <c r="N2014" s="16">
        <v>39548</v>
      </c>
      <c r="O2014" s="12" t="s">
        <v>12304</v>
      </c>
      <c r="P2014" s="14" t="s">
        <v>12306</v>
      </c>
      <c r="Q2014" s="17" t="s">
        <v>137</v>
      </c>
      <c r="R2014" s="17" t="s">
        <v>146</v>
      </c>
    </row>
    <row r="2015" spans="1:18" x14ac:dyDescent="0.3">
      <c r="A2015" s="12" t="s">
        <v>12307</v>
      </c>
      <c r="B2015" s="12" t="s">
        <v>14</v>
      </c>
      <c r="C2015" s="12"/>
      <c r="D2015" s="12" t="s">
        <v>14</v>
      </c>
      <c r="E2015" s="12" t="s">
        <v>12308</v>
      </c>
      <c r="F2015" s="12"/>
      <c r="G2015" s="12" t="s">
        <v>4099</v>
      </c>
      <c r="H2015" s="12" t="s">
        <v>92</v>
      </c>
      <c r="I2015" s="12" t="s">
        <v>33</v>
      </c>
      <c r="J2015" s="13" t="s">
        <v>4100</v>
      </c>
      <c r="K2015" s="14" t="s">
        <v>12309</v>
      </c>
      <c r="L2015" s="15">
        <v>7</v>
      </c>
      <c r="M2015" s="15" t="s">
        <v>144</v>
      </c>
      <c r="N2015" s="16">
        <v>40262</v>
      </c>
      <c r="O2015" s="12" t="s">
        <v>12307</v>
      </c>
      <c r="P2015" s="14" t="s">
        <v>12310</v>
      </c>
      <c r="Q2015" s="17" t="s">
        <v>137</v>
      </c>
      <c r="R2015" s="17" t="s">
        <v>146</v>
      </c>
    </row>
    <row r="2016" spans="1:18" x14ac:dyDescent="0.3">
      <c r="A2016" s="12" t="s">
        <v>11071</v>
      </c>
      <c r="B2016" s="12" t="s">
        <v>12</v>
      </c>
      <c r="C2016" s="12"/>
      <c r="D2016" s="12" t="s">
        <v>12</v>
      </c>
      <c r="E2016" s="12" t="s">
        <v>12311</v>
      </c>
      <c r="F2016" s="12"/>
      <c r="G2016" s="12" t="s">
        <v>4099</v>
      </c>
      <c r="H2016" s="12" t="s">
        <v>92</v>
      </c>
      <c r="I2016" s="12" t="s">
        <v>33</v>
      </c>
      <c r="J2016" s="13" t="s">
        <v>4100</v>
      </c>
      <c r="K2016" s="14" t="s">
        <v>12312</v>
      </c>
      <c r="L2016" s="15">
        <v>1</v>
      </c>
      <c r="M2016" s="15" t="s">
        <v>144</v>
      </c>
      <c r="N2016" s="16">
        <v>44065</v>
      </c>
      <c r="O2016" s="12" t="s">
        <v>11071</v>
      </c>
      <c r="P2016" s="14" t="s">
        <v>12313</v>
      </c>
      <c r="Q2016" s="17" t="s">
        <v>137</v>
      </c>
      <c r="R2016" s="17" t="s">
        <v>146</v>
      </c>
    </row>
    <row r="2017" spans="1:18" x14ac:dyDescent="0.3">
      <c r="A2017" s="12" t="s">
        <v>12314</v>
      </c>
      <c r="B2017" s="12" t="s">
        <v>12</v>
      </c>
      <c r="C2017" s="12"/>
      <c r="D2017" s="12" t="s">
        <v>12</v>
      </c>
      <c r="E2017" s="12" t="s">
        <v>12315</v>
      </c>
      <c r="F2017" s="12"/>
      <c r="G2017" s="12" t="s">
        <v>4105</v>
      </c>
      <c r="H2017" s="12" t="s">
        <v>73</v>
      </c>
      <c r="I2017" s="12" t="s">
        <v>33</v>
      </c>
      <c r="J2017" s="13" t="s">
        <v>4106</v>
      </c>
      <c r="K2017" s="14" t="s">
        <v>4107</v>
      </c>
      <c r="L2017" s="15">
        <v>0</v>
      </c>
      <c r="M2017" s="15" t="s">
        <v>144</v>
      </c>
      <c r="N2017" s="16">
        <v>40947</v>
      </c>
      <c r="O2017" s="12" t="s">
        <v>12314</v>
      </c>
      <c r="P2017" s="14" t="s">
        <v>12316</v>
      </c>
      <c r="Q2017" s="17" t="s">
        <v>137</v>
      </c>
      <c r="R2017" s="17" t="s">
        <v>146</v>
      </c>
    </row>
    <row r="2018" spans="1:18" x14ac:dyDescent="0.3">
      <c r="A2018" s="12" t="s">
        <v>12317</v>
      </c>
      <c r="B2018" s="12" t="s">
        <v>12</v>
      </c>
      <c r="C2018" s="12"/>
      <c r="D2018" s="12" t="s">
        <v>12</v>
      </c>
      <c r="E2018" s="12" t="s">
        <v>12318</v>
      </c>
      <c r="F2018" s="12"/>
      <c r="G2018" s="12" t="s">
        <v>4105</v>
      </c>
      <c r="H2018" s="12" t="s">
        <v>73</v>
      </c>
      <c r="I2018" s="12" t="s">
        <v>33</v>
      </c>
      <c r="J2018" s="13" t="s">
        <v>4106</v>
      </c>
      <c r="K2018" s="14" t="s">
        <v>12319</v>
      </c>
      <c r="L2018" s="15">
        <v>2</v>
      </c>
      <c r="M2018" s="15" t="s">
        <v>144</v>
      </c>
      <c r="N2018" s="16">
        <v>44065</v>
      </c>
      <c r="O2018" s="12" t="s">
        <v>12320</v>
      </c>
      <c r="P2018" s="14" t="s">
        <v>12321</v>
      </c>
      <c r="Q2018" s="17" t="s">
        <v>137</v>
      </c>
      <c r="R2018" s="17" t="s">
        <v>146</v>
      </c>
    </row>
    <row r="2019" spans="1:18" x14ac:dyDescent="0.3">
      <c r="A2019" s="12" t="s">
        <v>12322</v>
      </c>
      <c r="B2019" s="12" t="s">
        <v>12</v>
      </c>
      <c r="C2019" s="12"/>
      <c r="D2019" s="12" t="s">
        <v>12</v>
      </c>
      <c r="E2019" s="12" t="s">
        <v>12323</v>
      </c>
      <c r="F2019" s="12" t="s">
        <v>1542</v>
      </c>
      <c r="G2019" s="12" t="s">
        <v>4105</v>
      </c>
      <c r="H2019" s="12" t="s">
        <v>73</v>
      </c>
      <c r="I2019" s="12" t="s">
        <v>33</v>
      </c>
      <c r="J2019" s="13" t="s">
        <v>4106</v>
      </c>
      <c r="K2019" s="14" t="s">
        <v>4111</v>
      </c>
      <c r="L2019" s="15">
        <v>2</v>
      </c>
      <c r="M2019" s="15" t="s">
        <v>144</v>
      </c>
      <c r="N2019" s="16">
        <v>43102</v>
      </c>
      <c r="O2019" s="12" t="s">
        <v>12322</v>
      </c>
      <c r="P2019" s="14" t="s">
        <v>12324</v>
      </c>
      <c r="Q2019" s="17" t="s">
        <v>137</v>
      </c>
      <c r="R2019" s="17" t="s">
        <v>146</v>
      </c>
    </row>
    <row r="2020" spans="1:18" x14ac:dyDescent="0.3">
      <c r="A2020" s="12" t="s">
        <v>12325</v>
      </c>
      <c r="B2020" s="12" t="s">
        <v>10</v>
      </c>
      <c r="C2020" s="12"/>
      <c r="D2020" s="12" t="s">
        <v>647</v>
      </c>
      <c r="E2020" s="12" t="s">
        <v>12326</v>
      </c>
      <c r="F2020" s="12"/>
      <c r="G2020" s="12" t="s">
        <v>4105</v>
      </c>
      <c r="H2020" s="12" t="s">
        <v>73</v>
      </c>
      <c r="I2020" s="12" t="s">
        <v>33</v>
      </c>
      <c r="J2020" s="13" t="s">
        <v>4106</v>
      </c>
      <c r="K2020" s="14" t="s">
        <v>12327</v>
      </c>
      <c r="L2020" s="15">
        <v>1</v>
      </c>
      <c r="M2020" s="15" t="s">
        <v>144</v>
      </c>
      <c r="N2020" s="16">
        <v>41327</v>
      </c>
      <c r="O2020" s="12" t="s">
        <v>12328</v>
      </c>
      <c r="P2020" s="14" t="s">
        <v>12329</v>
      </c>
      <c r="Q2020" s="17" t="s">
        <v>137</v>
      </c>
      <c r="R2020" s="17" t="s">
        <v>146</v>
      </c>
    </row>
    <row r="2021" spans="1:18" x14ac:dyDescent="0.3">
      <c r="A2021" s="12" t="s">
        <v>12330</v>
      </c>
      <c r="B2021" s="12" t="s">
        <v>12</v>
      </c>
      <c r="C2021" s="12"/>
      <c r="D2021" s="12" t="s">
        <v>12</v>
      </c>
      <c r="E2021" s="12" t="s">
        <v>12331</v>
      </c>
      <c r="F2021" s="12"/>
      <c r="G2021" s="12" t="s">
        <v>4105</v>
      </c>
      <c r="H2021" s="12" t="s">
        <v>73</v>
      </c>
      <c r="I2021" s="12" t="s">
        <v>33</v>
      </c>
      <c r="J2021" s="13" t="s">
        <v>4106</v>
      </c>
      <c r="K2021" s="14" t="s">
        <v>12332</v>
      </c>
      <c r="L2021" s="15">
        <v>0</v>
      </c>
      <c r="M2021" s="15" t="s">
        <v>144</v>
      </c>
      <c r="N2021" s="16">
        <v>44065</v>
      </c>
      <c r="O2021" s="12" t="s">
        <v>12330</v>
      </c>
      <c r="P2021" s="14" t="s">
        <v>12333</v>
      </c>
      <c r="Q2021" s="17" t="s">
        <v>137</v>
      </c>
      <c r="R2021" s="17" t="s">
        <v>146</v>
      </c>
    </row>
    <row r="2022" spans="1:18" x14ac:dyDescent="0.3">
      <c r="A2022" s="12" t="s">
        <v>12334</v>
      </c>
      <c r="B2022" s="12" t="s">
        <v>12</v>
      </c>
      <c r="C2022" s="12"/>
      <c r="D2022" s="12" t="s">
        <v>12</v>
      </c>
      <c r="E2022" s="12" t="s">
        <v>12335</v>
      </c>
      <c r="F2022" s="12"/>
      <c r="G2022" s="12" t="s">
        <v>12336</v>
      </c>
      <c r="H2022" s="12" t="s">
        <v>67</v>
      </c>
      <c r="I2022" s="12" t="s">
        <v>33</v>
      </c>
      <c r="J2022" s="13" t="s">
        <v>12337</v>
      </c>
      <c r="K2022" s="14" t="s">
        <v>12338</v>
      </c>
      <c r="L2022" s="15">
        <v>2</v>
      </c>
      <c r="M2022" s="15" t="s">
        <v>144</v>
      </c>
      <c r="N2022" s="16">
        <v>43962</v>
      </c>
      <c r="O2022" s="12" t="s">
        <v>12339</v>
      </c>
      <c r="P2022" s="14" t="s">
        <v>12340</v>
      </c>
      <c r="Q2022" s="17" t="s">
        <v>137</v>
      </c>
      <c r="R2022" s="17" t="s">
        <v>146</v>
      </c>
    </row>
    <row r="2023" spans="1:18" x14ac:dyDescent="0.3">
      <c r="A2023" s="12" t="s">
        <v>12341</v>
      </c>
      <c r="B2023" s="12" t="s">
        <v>14</v>
      </c>
      <c r="C2023" s="12"/>
      <c r="D2023" s="12" t="s">
        <v>14</v>
      </c>
      <c r="E2023" s="12" t="s">
        <v>12342</v>
      </c>
      <c r="F2023" s="12" t="s">
        <v>12343</v>
      </c>
      <c r="G2023" s="12" t="s">
        <v>4120</v>
      </c>
      <c r="H2023" s="12" t="s">
        <v>67</v>
      </c>
      <c r="I2023" s="12" t="s">
        <v>33</v>
      </c>
      <c r="J2023" s="13" t="s">
        <v>4121</v>
      </c>
      <c r="K2023" s="14" t="s">
        <v>12344</v>
      </c>
      <c r="L2023" s="15">
        <v>8</v>
      </c>
      <c r="M2023" s="15" t="s">
        <v>144</v>
      </c>
      <c r="N2023" s="16">
        <v>43122</v>
      </c>
      <c r="O2023" s="12" t="s">
        <v>12341</v>
      </c>
      <c r="P2023" s="14" t="s">
        <v>12345</v>
      </c>
      <c r="Q2023" s="17" t="s">
        <v>137</v>
      </c>
      <c r="R2023" s="17" t="s">
        <v>146</v>
      </c>
    </row>
    <row r="2024" spans="1:18" x14ac:dyDescent="0.3">
      <c r="A2024" s="12" t="s">
        <v>12346</v>
      </c>
      <c r="B2024" s="12" t="s">
        <v>12</v>
      </c>
      <c r="C2024" s="12"/>
      <c r="D2024" s="12" t="s">
        <v>12</v>
      </c>
      <c r="E2024" s="12" t="s">
        <v>12347</v>
      </c>
      <c r="F2024" s="12"/>
      <c r="G2024" s="12" t="s">
        <v>4120</v>
      </c>
      <c r="H2024" s="12" t="s">
        <v>67</v>
      </c>
      <c r="I2024" s="12" t="s">
        <v>33</v>
      </c>
      <c r="J2024" s="13" t="s">
        <v>4121</v>
      </c>
      <c r="K2024" s="14" t="s">
        <v>12348</v>
      </c>
      <c r="L2024" s="15">
        <v>2</v>
      </c>
      <c r="M2024" s="15" t="s">
        <v>144</v>
      </c>
      <c r="N2024" s="16">
        <v>39464</v>
      </c>
      <c r="O2024" s="12" t="s">
        <v>12346</v>
      </c>
      <c r="P2024" s="14" t="s">
        <v>12349</v>
      </c>
      <c r="Q2024" s="17" t="s">
        <v>137</v>
      </c>
      <c r="R2024" s="17" t="s">
        <v>146</v>
      </c>
    </row>
    <row r="2025" spans="1:18" x14ac:dyDescent="0.3">
      <c r="A2025" s="12" t="s">
        <v>12350</v>
      </c>
      <c r="B2025" s="12" t="s">
        <v>12</v>
      </c>
      <c r="C2025" s="12"/>
      <c r="D2025" s="12" t="s">
        <v>12</v>
      </c>
      <c r="E2025" s="12" t="s">
        <v>12351</v>
      </c>
      <c r="F2025" s="12"/>
      <c r="G2025" s="12" t="s">
        <v>4120</v>
      </c>
      <c r="H2025" s="12" t="s">
        <v>67</v>
      </c>
      <c r="I2025" s="12" t="s">
        <v>33</v>
      </c>
      <c r="J2025" s="13" t="s">
        <v>4121</v>
      </c>
      <c r="K2025" s="14" t="s">
        <v>12348</v>
      </c>
      <c r="L2025" s="15">
        <v>0</v>
      </c>
      <c r="M2025" s="15" t="s">
        <v>144</v>
      </c>
      <c r="N2025" s="16">
        <v>42174</v>
      </c>
      <c r="O2025" s="12" t="s">
        <v>12350</v>
      </c>
      <c r="P2025" s="14" t="s">
        <v>12352</v>
      </c>
      <c r="Q2025" s="17" t="s">
        <v>137</v>
      </c>
      <c r="R2025" s="17" t="s">
        <v>146</v>
      </c>
    </row>
    <row r="2026" spans="1:18" x14ac:dyDescent="0.3">
      <c r="A2026" s="12" t="s">
        <v>12353</v>
      </c>
      <c r="B2026" s="12" t="s">
        <v>12</v>
      </c>
      <c r="C2026" s="12"/>
      <c r="D2026" s="12" t="s">
        <v>12</v>
      </c>
      <c r="E2026" s="12" t="s">
        <v>12354</v>
      </c>
      <c r="F2026" s="12" t="s">
        <v>3485</v>
      </c>
      <c r="G2026" s="12" t="s">
        <v>4120</v>
      </c>
      <c r="H2026" s="12" t="s">
        <v>67</v>
      </c>
      <c r="I2026" s="12" t="s">
        <v>33</v>
      </c>
      <c r="J2026" s="13" t="s">
        <v>4121</v>
      </c>
      <c r="K2026" s="14" t="s">
        <v>12355</v>
      </c>
      <c r="L2026" s="15">
        <v>2</v>
      </c>
      <c r="M2026" s="15" t="s">
        <v>144</v>
      </c>
      <c r="N2026" s="16">
        <v>43711</v>
      </c>
      <c r="O2026" s="12" t="s">
        <v>12356</v>
      </c>
      <c r="P2026" s="14" t="s">
        <v>12357</v>
      </c>
      <c r="Q2026" s="17" t="s">
        <v>137</v>
      </c>
      <c r="R2026" s="17" t="s">
        <v>146</v>
      </c>
    </row>
    <row r="2027" spans="1:18" x14ac:dyDescent="0.3">
      <c r="A2027" s="12" t="s">
        <v>12358</v>
      </c>
      <c r="B2027" s="12" t="s">
        <v>12</v>
      </c>
      <c r="C2027" s="12"/>
      <c r="D2027" s="12" t="s">
        <v>12</v>
      </c>
      <c r="E2027" s="12" t="s">
        <v>12359</v>
      </c>
      <c r="F2027" s="12"/>
      <c r="G2027" s="12" t="s">
        <v>4120</v>
      </c>
      <c r="H2027" s="12" t="s">
        <v>67</v>
      </c>
      <c r="I2027" s="12" t="s">
        <v>33</v>
      </c>
      <c r="J2027" s="13" t="s">
        <v>4121</v>
      </c>
      <c r="K2027" s="14" t="s">
        <v>12360</v>
      </c>
      <c r="L2027" s="15">
        <v>1</v>
      </c>
      <c r="M2027" s="15" t="s">
        <v>144</v>
      </c>
      <c r="N2027" s="16">
        <v>41164</v>
      </c>
      <c r="O2027" s="12" t="s">
        <v>12358</v>
      </c>
      <c r="P2027" s="14" t="s">
        <v>12361</v>
      </c>
      <c r="Q2027" s="17" t="s">
        <v>137</v>
      </c>
      <c r="R2027" s="17" t="s">
        <v>146</v>
      </c>
    </row>
    <row r="2028" spans="1:18" x14ac:dyDescent="0.3">
      <c r="A2028" s="12" t="s">
        <v>12362</v>
      </c>
      <c r="B2028" s="12" t="s">
        <v>12</v>
      </c>
      <c r="C2028" s="12"/>
      <c r="D2028" s="12" t="s">
        <v>12</v>
      </c>
      <c r="E2028" s="12" t="s">
        <v>12363</v>
      </c>
      <c r="F2028" s="12" t="s">
        <v>345</v>
      </c>
      <c r="G2028" s="12" t="s">
        <v>4120</v>
      </c>
      <c r="H2028" s="12" t="s">
        <v>67</v>
      </c>
      <c r="I2028" s="12" t="s">
        <v>33</v>
      </c>
      <c r="J2028" s="13" t="s">
        <v>4121</v>
      </c>
      <c r="K2028" s="14" t="s">
        <v>12364</v>
      </c>
      <c r="L2028" s="15">
        <v>4</v>
      </c>
      <c r="M2028" s="15" t="s">
        <v>144</v>
      </c>
      <c r="N2028" s="16">
        <v>44065</v>
      </c>
      <c r="O2028" s="12" t="s">
        <v>12362</v>
      </c>
      <c r="P2028" s="14" t="s">
        <v>12365</v>
      </c>
      <c r="Q2028" s="17" t="s">
        <v>137</v>
      </c>
      <c r="R2028" s="17" t="s">
        <v>146</v>
      </c>
    </row>
    <row r="2029" spans="1:18" x14ac:dyDescent="0.3">
      <c r="A2029" s="12" t="s">
        <v>12366</v>
      </c>
      <c r="B2029" s="12" t="s">
        <v>12</v>
      </c>
      <c r="C2029" s="12"/>
      <c r="D2029" s="12" t="s">
        <v>12</v>
      </c>
      <c r="E2029" s="12" t="s">
        <v>12367</v>
      </c>
      <c r="F2029" s="12"/>
      <c r="G2029" s="12" t="s">
        <v>4120</v>
      </c>
      <c r="H2029" s="12" t="s">
        <v>67</v>
      </c>
      <c r="I2029" s="12" t="s">
        <v>33</v>
      </c>
      <c r="J2029" s="13" t="s">
        <v>4121</v>
      </c>
      <c r="K2029" s="14" t="s">
        <v>12368</v>
      </c>
      <c r="L2029" s="15">
        <v>1</v>
      </c>
      <c r="M2029" s="15" t="s">
        <v>144</v>
      </c>
      <c r="N2029" s="16">
        <v>44065</v>
      </c>
      <c r="O2029" s="12" t="s">
        <v>12366</v>
      </c>
      <c r="P2029" s="14" t="s">
        <v>12369</v>
      </c>
      <c r="Q2029" s="17" t="s">
        <v>137</v>
      </c>
      <c r="R2029" s="17" t="s">
        <v>146</v>
      </c>
    </row>
    <row r="2030" spans="1:18" x14ac:dyDescent="0.3">
      <c r="A2030" s="12" t="s">
        <v>12370</v>
      </c>
      <c r="B2030" s="12" t="s">
        <v>12</v>
      </c>
      <c r="C2030" s="12"/>
      <c r="D2030" s="12" t="s">
        <v>12</v>
      </c>
      <c r="E2030" s="12" t="s">
        <v>12371</v>
      </c>
      <c r="F2030" s="12"/>
      <c r="G2030" s="12" t="s">
        <v>4120</v>
      </c>
      <c r="H2030" s="12" t="s">
        <v>67</v>
      </c>
      <c r="I2030" s="12" t="s">
        <v>33</v>
      </c>
      <c r="J2030" s="13" t="s">
        <v>4121</v>
      </c>
      <c r="K2030" s="14" t="s">
        <v>12372</v>
      </c>
      <c r="L2030" s="15">
        <v>1</v>
      </c>
      <c r="M2030" s="15" t="s">
        <v>144</v>
      </c>
      <c r="N2030" s="16">
        <v>39449</v>
      </c>
      <c r="O2030" s="12" t="s">
        <v>12370</v>
      </c>
      <c r="P2030" s="14" t="s">
        <v>12373</v>
      </c>
      <c r="Q2030" s="17" t="s">
        <v>137</v>
      </c>
      <c r="R2030" s="17" t="s">
        <v>146</v>
      </c>
    </row>
    <row r="2031" spans="1:18" x14ac:dyDescent="0.3">
      <c r="A2031" s="12" t="s">
        <v>10307</v>
      </c>
      <c r="B2031" s="12" t="s">
        <v>12</v>
      </c>
      <c r="C2031" s="12"/>
      <c r="D2031" s="12" t="s">
        <v>12</v>
      </c>
      <c r="E2031" s="12" t="s">
        <v>12374</v>
      </c>
      <c r="F2031" s="12"/>
      <c r="G2031" s="12" t="s">
        <v>4120</v>
      </c>
      <c r="H2031" s="12" t="s">
        <v>67</v>
      </c>
      <c r="I2031" s="12" t="s">
        <v>33</v>
      </c>
      <c r="J2031" s="13" t="s">
        <v>4121</v>
      </c>
      <c r="K2031" s="14" t="s">
        <v>12375</v>
      </c>
      <c r="L2031" s="15">
        <v>0</v>
      </c>
      <c r="M2031" s="15" t="s">
        <v>144</v>
      </c>
      <c r="N2031" s="16">
        <v>44065</v>
      </c>
      <c r="O2031" s="12" t="s">
        <v>12376</v>
      </c>
      <c r="P2031" s="14" t="s">
        <v>12377</v>
      </c>
      <c r="Q2031" s="17" t="s">
        <v>137</v>
      </c>
      <c r="R2031" s="17" t="s">
        <v>146</v>
      </c>
    </row>
    <row r="2032" spans="1:18" x14ac:dyDescent="0.3">
      <c r="A2032" s="12" t="s">
        <v>12378</v>
      </c>
      <c r="B2032" s="12" t="s">
        <v>12</v>
      </c>
      <c r="C2032" s="12"/>
      <c r="D2032" s="12" t="s">
        <v>12</v>
      </c>
      <c r="E2032" s="12" t="s">
        <v>12379</v>
      </c>
      <c r="F2032" s="12"/>
      <c r="G2032" s="12" t="s">
        <v>4120</v>
      </c>
      <c r="H2032" s="12" t="s">
        <v>67</v>
      </c>
      <c r="I2032" s="12" t="s">
        <v>33</v>
      </c>
      <c r="J2032" s="13" t="s">
        <v>4121</v>
      </c>
      <c r="K2032" s="14" t="s">
        <v>12380</v>
      </c>
      <c r="L2032" s="15">
        <v>2</v>
      </c>
      <c r="M2032" s="15" t="s">
        <v>144</v>
      </c>
      <c r="N2032" s="16">
        <v>42528</v>
      </c>
      <c r="O2032" s="12" t="s">
        <v>12378</v>
      </c>
      <c r="P2032" s="14" t="s">
        <v>12381</v>
      </c>
      <c r="Q2032" s="17" t="s">
        <v>137</v>
      </c>
      <c r="R2032" s="17" t="s">
        <v>146</v>
      </c>
    </row>
    <row r="2033" spans="1:18" x14ac:dyDescent="0.3">
      <c r="A2033" s="12" t="s">
        <v>12382</v>
      </c>
      <c r="B2033" s="12" t="s">
        <v>12</v>
      </c>
      <c r="C2033" s="12"/>
      <c r="D2033" s="12" t="s">
        <v>12</v>
      </c>
      <c r="E2033" s="12" t="s">
        <v>12383</v>
      </c>
      <c r="F2033" s="12"/>
      <c r="G2033" s="12" t="s">
        <v>4120</v>
      </c>
      <c r="H2033" s="12" t="s">
        <v>67</v>
      </c>
      <c r="I2033" s="12" t="s">
        <v>33</v>
      </c>
      <c r="J2033" s="13" t="s">
        <v>4121</v>
      </c>
      <c r="K2033" s="14" t="s">
        <v>12384</v>
      </c>
      <c r="L2033" s="15">
        <v>0</v>
      </c>
      <c r="M2033" s="15" t="s">
        <v>144</v>
      </c>
      <c r="N2033" s="16">
        <v>44065</v>
      </c>
      <c r="O2033" s="12" t="s">
        <v>12382</v>
      </c>
      <c r="P2033" s="14" t="s">
        <v>12385</v>
      </c>
      <c r="Q2033" s="17" t="s">
        <v>137</v>
      </c>
      <c r="R2033" s="17" t="s">
        <v>146</v>
      </c>
    </row>
    <row r="2034" spans="1:18" x14ac:dyDescent="0.3">
      <c r="A2034" s="12" t="s">
        <v>12386</v>
      </c>
      <c r="B2034" s="12" t="s">
        <v>14</v>
      </c>
      <c r="C2034" s="12"/>
      <c r="D2034" s="12" t="s">
        <v>14</v>
      </c>
      <c r="E2034" s="12" t="s">
        <v>12387</v>
      </c>
      <c r="F2034" s="12"/>
      <c r="G2034" s="12" t="s">
        <v>4120</v>
      </c>
      <c r="H2034" s="12" t="s">
        <v>67</v>
      </c>
      <c r="I2034" s="12" t="s">
        <v>33</v>
      </c>
      <c r="J2034" s="13" t="s">
        <v>4121</v>
      </c>
      <c r="K2034" s="14" t="s">
        <v>12388</v>
      </c>
      <c r="L2034" s="15">
        <v>1</v>
      </c>
      <c r="M2034" s="15" t="s">
        <v>144</v>
      </c>
      <c r="N2034" s="16">
        <v>39384</v>
      </c>
      <c r="O2034" s="12" t="s">
        <v>12386</v>
      </c>
      <c r="P2034" s="14" t="s">
        <v>12389</v>
      </c>
      <c r="Q2034" s="17" t="s">
        <v>137</v>
      </c>
      <c r="R2034" s="17" t="s">
        <v>146</v>
      </c>
    </row>
    <row r="2035" spans="1:18" x14ac:dyDescent="0.3">
      <c r="A2035" s="12" t="s">
        <v>12390</v>
      </c>
      <c r="B2035" s="12" t="s">
        <v>12</v>
      </c>
      <c r="C2035" s="12"/>
      <c r="D2035" s="12" t="s">
        <v>12</v>
      </c>
      <c r="E2035" s="12" t="s">
        <v>12391</v>
      </c>
      <c r="F2035" s="12"/>
      <c r="G2035" s="12" t="s">
        <v>4120</v>
      </c>
      <c r="H2035" s="12" t="s">
        <v>67</v>
      </c>
      <c r="I2035" s="12" t="s">
        <v>33</v>
      </c>
      <c r="J2035" s="13" t="s">
        <v>4121</v>
      </c>
      <c r="K2035" s="14" t="s">
        <v>12392</v>
      </c>
      <c r="L2035" s="15">
        <v>0</v>
      </c>
      <c r="M2035" s="15" t="s">
        <v>144</v>
      </c>
      <c r="N2035" s="16">
        <v>44125</v>
      </c>
      <c r="O2035" s="12" t="s">
        <v>12393</v>
      </c>
      <c r="P2035" s="14" t="s">
        <v>12394</v>
      </c>
      <c r="Q2035" s="17" t="s">
        <v>137</v>
      </c>
      <c r="R2035" s="17" t="s">
        <v>146</v>
      </c>
    </row>
    <row r="2036" spans="1:18" x14ac:dyDescent="0.3">
      <c r="A2036" s="12" t="s">
        <v>12395</v>
      </c>
      <c r="B2036" s="12" t="s">
        <v>12</v>
      </c>
      <c r="C2036" s="12"/>
      <c r="D2036" s="12" t="s">
        <v>12</v>
      </c>
      <c r="E2036" s="12" t="s">
        <v>12396</v>
      </c>
      <c r="F2036" s="12"/>
      <c r="G2036" s="12" t="s">
        <v>4120</v>
      </c>
      <c r="H2036" s="12" t="s">
        <v>67</v>
      </c>
      <c r="I2036" s="12" t="s">
        <v>33</v>
      </c>
      <c r="J2036" s="13" t="s">
        <v>4121</v>
      </c>
      <c r="K2036" s="14" t="s">
        <v>12397</v>
      </c>
      <c r="L2036" s="15">
        <v>0</v>
      </c>
      <c r="M2036" s="15" t="s">
        <v>144</v>
      </c>
      <c r="N2036" s="16">
        <v>40374</v>
      </c>
      <c r="O2036" s="12" t="s">
        <v>12395</v>
      </c>
      <c r="P2036" s="14" t="s">
        <v>12398</v>
      </c>
      <c r="Q2036" s="17" t="s">
        <v>137</v>
      </c>
      <c r="R2036" s="17" t="s">
        <v>146</v>
      </c>
    </row>
    <row r="2037" spans="1:18" x14ac:dyDescent="0.3">
      <c r="A2037" s="12" t="s">
        <v>12399</v>
      </c>
      <c r="B2037" s="12" t="s">
        <v>12</v>
      </c>
      <c r="C2037" s="12"/>
      <c r="D2037" s="12" t="s">
        <v>12</v>
      </c>
      <c r="E2037" s="12" t="s">
        <v>12400</v>
      </c>
      <c r="F2037" s="12"/>
      <c r="G2037" s="12" t="s">
        <v>12401</v>
      </c>
      <c r="H2037" s="12" t="s">
        <v>110</v>
      </c>
      <c r="I2037" s="12" t="s">
        <v>33</v>
      </c>
      <c r="J2037" s="13" t="s">
        <v>12402</v>
      </c>
      <c r="K2037" s="14" t="s">
        <v>12403</v>
      </c>
      <c r="L2037" s="15">
        <v>1</v>
      </c>
      <c r="M2037" s="15" t="s">
        <v>144</v>
      </c>
      <c r="N2037" s="16">
        <v>44300</v>
      </c>
      <c r="O2037" s="12" t="s">
        <v>12399</v>
      </c>
      <c r="P2037" s="14" t="s">
        <v>12404</v>
      </c>
      <c r="Q2037" s="17" t="s">
        <v>137</v>
      </c>
      <c r="R2037" s="17" t="s">
        <v>146</v>
      </c>
    </row>
    <row r="2038" spans="1:18" x14ac:dyDescent="0.3">
      <c r="A2038" s="12" t="s">
        <v>12405</v>
      </c>
      <c r="B2038" s="12" t="s">
        <v>12</v>
      </c>
      <c r="C2038" s="12" t="s">
        <v>10</v>
      </c>
      <c r="D2038" s="12" t="s">
        <v>4990</v>
      </c>
      <c r="E2038" s="12" t="s">
        <v>12406</v>
      </c>
      <c r="F2038" s="12"/>
      <c r="G2038" s="12" t="s">
        <v>12407</v>
      </c>
      <c r="H2038" s="12" t="s">
        <v>110</v>
      </c>
      <c r="I2038" s="12" t="s">
        <v>33</v>
      </c>
      <c r="J2038" s="13" t="s">
        <v>12408</v>
      </c>
      <c r="K2038" s="14" t="s">
        <v>12409</v>
      </c>
      <c r="L2038" s="15">
        <v>1</v>
      </c>
      <c r="M2038" s="15" t="s">
        <v>144</v>
      </c>
      <c r="N2038" s="16">
        <v>40191</v>
      </c>
      <c r="O2038" s="12" t="s">
        <v>12405</v>
      </c>
      <c r="P2038" s="14" t="s">
        <v>12410</v>
      </c>
      <c r="Q2038" s="17" t="s">
        <v>137</v>
      </c>
      <c r="R2038" s="17" t="s">
        <v>146</v>
      </c>
    </row>
    <row r="2039" spans="1:18" x14ac:dyDescent="0.3">
      <c r="A2039" s="12" t="s">
        <v>12411</v>
      </c>
      <c r="B2039" s="12" t="s">
        <v>12</v>
      </c>
      <c r="C2039" s="12"/>
      <c r="D2039" s="12" t="s">
        <v>12</v>
      </c>
      <c r="E2039" s="12" t="s">
        <v>12412</v>
      </c>
      <c r="F2039" s="12"/>
      <c r="G2039" s="12" t="s">
        <v>12413</v>
      </c>
      <c r="H2039" s="12" t="s">
        <v>113</v>
      </c>
      <c r="I2039" s="12" t="s">
        <v>33</v>
      </c>
      <c r="J2039" s="13" t="s">
        <v>12414</v>
      </c>
      <c r="K2039" s="14" t="s">
        <v>12415</v>
      </c>
      <c r="L2039" s="15">
        <v>0</v>
      </c>
      <c r="M2039" s="15" t="s">
        <v>144</v>
      </c>
      <c r="N2039" s="16">
        <v>40632</v>
      </c>
      <c r="O2039" s="12" t="s">
        <v>12411</v>
      </c>
      <c r="P2039" s="14" t="s">
        <v>12416</v>
      </c>
      <c r="Q2039" s="17" t="s">
        <v>137</v>
      </c>
      <c r="R2039" s="17" t="s">
        <v>146</v>
      </c>
    </row>
    <row r="2040" spans="1:18" x14ac:dyDescent="0.3">
      <c r="A2040" s="12" t="s">
        <v>12417</v>
      </c>
      <c r="B2040" s="12" t="s">
        <v>12</v>
      </c>
      <c r="C2040" s="12"/>
      <c r="D2040" s="12" t="s">
        <v>12</v>
      </c>
      <c r="E2040" s="12" t="s">
        <v>12418</v>
      </c>
      <c r="F2040" s="12" t="s">
        <v>12419</v>
      </c>
      <c r="G2040" s="12" t="s">
        <v>12420</v>
      </c>
      <c r="H2040" s="12" t="s">
        <v>113</v>
      </c>
      <c r="I2040" s="12" t="s">
        <v>33</v>
      </c>
      <c r="J2040" s="13" t="s">
        <v>12421</v>
      </c>
      <c r="K2040" s="14" t="s">
        <v>12422</v>
      </c>
      <c r="L2040" s="15">
        <v>0</v>
      </c>
      <c r="M2040" s="15" t="s">
        <v>144</v>
      </c>
      <c r="N2040" s="16">
        <v>39364</v>
      </c>
      <c r="O2040" s="12" t="s">
        <v>12417</v>
      </c>
      <c r="P2040" s="14" t="s">
        <v>12423</v>
      </c>
      <c r="Q2040" s="17" t="s">
        <v>137</v>
      </c>
      <c r="R2040" s="17" t="s">
        <v>146</v>
      </c>
    </row>
    <row r="2041" spans="1:18" x14ac:dyDescent="0.3">
      <c r="A2041" s="12" t="s">
        <v>12424</v>
      </c>
      <c r="B2041" s="12" t="s">
        <v>12</v>
      </c>
      <c r="C2041" s="12"/>
      <c r="D2041" s="12" t="s">
        <v>12</v>
      </c>
      <c r="E2041" s="12" t="s">
        <v>12425</v>
      </c>
      <c r="F2041" s="12"/>
      <c r="G2041" s="12" t="s">
        <v>12426</v>
      </c>
      <c r="H2041" s="12" t="s">
        <v>113</v>
      </c>
      <c r="I2041" s="12" t="s">
        <v>33</v>
      </c>
      <c r="J2041" s="13" t="s">
        <v>12427</v>
      </c>
      <c r="K2041" s="14" t="s">
        <v>12428</v>
      </c>
      <c r="L2041" s="15">
        <v>0</v>
      </c>
      <c r="M2041" s="15" t="s">
        <v>144</v>
      </c>
      <c r="N2041" s="16">
        <v>43088</v>
      </c>
      <c r="O2041" s="12" t="s">
        <v>12424</v>
      </c>
      <c r="P2041" s="14" t="s">
        <v>12429</v>
      </c>
      <c r="Q2041" s="17" t="s">
        <v>137</v>
      </c>
      <c r="R2041" s="17" t="s">
        <v>146</v>
      </c>
    </row>
    <row r="2042" spans="1:18" x14ac:dyDescent="0.3">
      <c r="A2042" s="12" t="s">
        <v>12430</v>
      </c>
      <c r="B2042" s="12" t="s">
        <v>12</v>
      </c>
      <c r="C2042" s="12"/>
      <c r="D2042" s="12" t="s">
        <v>12</v>
      </c>
      <c r="E2042" s="12" t="s">
        <v>12431</v>
      </c>
      <c r="F2042" s="12"/>
      <c r="G2042" s="12" t="s">
        <v>12426</v>
      </c>
      <c r="H2042" s="12" t="s">
        <v>113</v>
      </c>
      <c r="I2042" s="12" t="s">
        <v>33</v>
      </c>
      <c r="J2042" s="13" t="s">
        <v>12427</v>
      </c>
      <c r="K2042" s="14" t="s">
        <v>12432</v>
      </c>
      <c r="L2042" s="15">
        <v>2</v>
      </c>
      <c r="M2042" s="15" t="s">
        <v>144</v>
      </c>
      <c r="N2042" s="16">
        <v>44243</v>
      </c>
      <c r="O2042" s="12" t="s">
        <v>12430</v>
      </c>
      <c r="P2042" s="14" t="s">
        <v>12433</v>
      </c>
      <c r="Q2042" s="17" t="s">
        <v>137</v>
      </c>
      <c r="R2042" s="17" t="s">
        <v>146</v>
      </c>
    </row>
    <row r="2043" spans="1:18" x14ac:dyDescent="0.3">
      <c r="A2043" s="12" t="s">
        <v>12434</v>
      </c>
      <c r="B2043" s="12" t="s">
        <v>12</v>
      </c>
      <c r="C2043" s="12"/>
      <c r="D2043" s="12" t="s">
        <v>12</v>
      </c>
      <c r="E2043" s="12" t="s">
        <v>12435</v>
      </c>
      <c r="F2043" s="12"/>
      <c r="G2043" s="12" t="s">
        <v>96</v>
      </c>
      <c r="H2043" s="12" t="s">
        <v>55</v>
      </c>
      <c r="I2043" s="12" t="s">
        <v>33</v>
      </c>
      <c r="J2043" s="13" t="s">
        <v>4136</v>
      </c>
      <c r="K2043" s="14" t="s">
        <v>12436</v>
      </c>
      <c r="L2043" s="15">
        <v>1</v>
      </c>
      <c r="M2043" s="15" t="s">
        <v>144</v>
      </c>
      <c r="N2043" s="16">
        <v>42779</v>
      </c>
      <c r="O2043" s="12" t="s">
        <v>12434</v>
      </c>
      <c r="P2043" s="14" t="s">
        <v>12437</v>
      </c>
      <c r="Q2043" s="17" t="s">
        <v>137</v>
      </c>
      <c r="R2043" s="17" t="s">
        <v>146</v>
      </c>
    </row>
    <row r="2044" spans="1:18" x14ac:dyDescent="0.3">
      <c r="A2044" s="12" t="s">
        <v>12438</v>
      </c>
      <c r="B2044" s="12" t="s">
        <v>12</v>
      </c>
      <c r="C2044" s="12"/>
      <c r="D2044" s="12" t="s">
        <v>12</v>
      </c>
      <c r="E2044" s="12" t="s">
        <v>12439</v>
      </c>
      <c r="F2044" s="12"/>
      <c r="G2044" s="12" t="s">
        <v>96</v>
      </c>
      <c r="H2044" s="12" t="s">
        <v>55</v>
      </c>
      <c r="I2044" s="12" t="s">
        <v>33</v>
      </c>
      <c r="J2044" s="13" t="s">
        <v>4136</v>
      </c>
      <c r="K2044" s="14" t="s">
        <v>12440</v>
      </c>
      <c r="L2044" s="15">
        <v>1</v>
      </c>
      <c r="M2044" s="15" t="s">
        <v>144</v>
      </c>
      <c r="N2044" s="16">
        <v>44065</v>
      </c>
      <c r="O2044" s="12" t="s">
        <v>12438</v>
      </c>
      <c r="P2044" s="14" t="s">
        <v>12441</v>
      </c>
      <c r="Q2044" s="17" t="s">
        <v>137</v>
      </c>
      <c r="R2044" s="17" t="s">
        <v>146</v>
      </c>
    </row>
    <row r="2045" spans="1:18" x14ac:dyDescent="0.3">
      <c r="A2045" s="12" t="s">
        <v>12442</v>
      </c>
      <c r="B2045" s="12" t="s">
        <v>14</v>
      </c>
      <c r="C2045" s="12"/>
      <c r="D2045" s="12" t="s">
        <v>14</v>
      </c>
      <c r="E2045" s="12" t="s">
        <v>4140</v>
      </c>
      <c r="F2045" s="12" t="s">
        <v>4141</v>
      </c>
      <c r="G2045" s="12" t="s">
        <v>96</v>
      </c>
      <c r="H2045" s="12" t="s">
        <v>55</v>
      </c>
      <c r="I2045" s="12" t="s">
        <v>33</v>
      </c>
      <c r="J2045" s="13" t="s">
        <v>4136</v>
      </c>
      <c r="K2045" s="14" t="s">
        <v>4142</v>
      </c>
      <c r="L2045" s="15">
        <v>14</v>
      </c>
      <c r="M2045" s="15" t="s">
        <v>144</v>
      </c>
      <c r="N2045" s="16">
        <v>39884</v>
      </c>
      <c r="O2045" s="12" t="s">
        <v>12442</v>
      </c>
      <c r="P2045" s="14" t="s">
        <v>12443</v>
      </c>
      <c r="Q2045" s="17" t="s">
        <v>137</v>
      </c>
      <c r="R2045" s="17" t="s">
        <v>146</v>
      </c>
    </row>
    <row r="2046" spans="1:18" x14ac:dyDescent="0.3">
      <c r="A2046" s="12" t="s">
        <v>12444</v>
      </c>
      <c r="B2046" s="12" t="s">
        <v>12</v>
      </c>
      <c r="C2046" s="12"/>
      <c r="D2046" s="12" t="s">
        <v>12</v>
      </c>
      <c r="E2046" s="12" t="s">
        <v>12445</v>
      </c>
      <c r="F2046" s="12" t="s">
        <v>345</v>
      </c>
      <c r="G2046" s="12" t="s">
        <v>96</v>
      </c>
      <c r="H2046" s="12" t="s">
        <v>55</v>
      </c>
      <c r="I2046" s="12" t="s">
        <v>33</v>
      </c>
      <c r="J2046" s="13" t="s">
        <v>4136</v>
      </c>
      <c r="K2046" s="14" t="s">
        <v>12446</v>
      </c>
      <c r="L2046" s="15">
        <v>1</v>
      </c>
      <c r="M2046" s="15" t="s">
        <v>144</v>
      </c>
      <c r="N2046" s="16">
        <v>43181</v>
      </c>
      <c r="O2046" s="12" t="s">
        <v>12444</v>
      </c>
      <c r="P2046" s="14" t="s">
        <v>12447</v>
      </c>
      <c r="Q2046" s="17" t="s">
        <v>137</v>
      </c>
      <c r="R2046" s="17" t="s">
        <v>146</v>
      </c>
    </row>
    <row r="2047" spans="1:18" x14ac:dyDescent="0.3">
      <c r="A2047" s="12" t="s">
        <v>12448</v>
      </c>
      <c r="B2047" s="12" t="s">
        <v>12</v>
      </c>
      <c r="C2047" s="12" t="s">
        <v>14</v>
      </c>
      <c r="D2047" s="12" t="s">
        <v>180</v>
      </c>
      <c r="E2047" s="12" t="s">
        <v>12449</v>
      </c>
      <c r="F2047" s="12"/>
      <c r="G2047" s="12" t="s">
        <v>96</v>
      </c>
      <c r="H2047" s="12" t="s">
        <v>55</v>
      </c>
      <c r="I2047" s="12" t="s">
        <v>33</v>
      </c>
      <c r="J2047" s="13" t="s">
        <v>4136</v>
      </c>
      <c r="K2047" s="14" t="s">
        <v>12450</v>
      </c>
      <c r="L2047" s="15">
        <v>8</v>
      </c>
      <c r="M2047" s="15" t="s">
        <v>144</v>
      </c>
      <c r="N2047" s="16">
        <v>42529</v>
      </c>
      <c r="O2047" s="12" t="s">
        <v>12451</v>
      </c>
      <c r="P2047" s="14" t="s">
        <v>12452</v>
      </c>
      <c r="Q2047" s="17" t="s">
        <v>137</v>
      </c>
      <c r="R2047" s="17" t="s">
        <v>146</v>
      </c>
    </row>
    <row r="2048" spans="1:18" x14ac:dyDescent="0.3">
      <c r="A2048" s="12" t="s">
        <v>12453</v>
      </c>
      <c r="B2048" s="12" t="s">
        <v>12</v>
      </c>
      <c r="C2048" s="12"/>
      <c r="D2048" s="12" t="s">
        <v>12</v>
      </c>
      <c r="E2048" s="12" t="s">
        <v>12454</v>
      </c>
      <c r="F2048" s="12" t="s">
        <v>319</v>
      </c>
      <c r="G2048" s="12" t="s">
        <v>96</v>
      </c>
      <c r="H2048" s="12" t="s">
        <v>55</v>
      </c>
      <c r="I2048" s="12" t="s">
        <v>33</v>
      </c>
      <c r="J2048" s="13" t="s">
        <v>4136</v>
      </c>
      <c r="K2048" s="14" t="s">
        <v>12455</v>
      </c>
      <c r="L2048" s="15">
        <v>0</v>
      </c>
      <c r="M2048" s="15" t="s">
        <v>144</v>
      </c>
      <c r="N2048" s="16">
        <v>40827</v>
      </c>
      <c r="O2048" s="12" t="s">
        <v>12453</v>
      </c>
      <c r="P2048" s="14" t="s">
        <v>12456</v>
      </c>
      <c r="Q2048" s="17" t="s">
        <v>137</v>
      </c>
      <c r="R2048" s="17" t="s">
        <v>146</v>
      </c>
    </row>
    <row r="2049" spans="1:18" x14ac:dyDescent="0.3">
      <c r="A2049" s="12" t="s">
        <v>12457</v>
      </c>
      <c r="B2049" s="12" t="s">
        <v>12</v>
      </c>
      <c r="C2049" s="12"/>
      <c r="D2049" s="12" t="s">
        <v>12</v>
      </c>
      <c r="E2049" s="12" t="s">
        <v>12458</v>
      </c>
      <c r="F2049" s="12"/>
      <c r="G2049" s="12" t="s">
        <v>96</v>
      </c>
      <c r="H2049" s="12" t="s">
        <v>55</v>
      </c>
      <c r="I2049" s="12" t="s">
        <v>33</v>
      </c>
      <c r="J2049" s="13" t="s">
        <v>4136</v>
      </c>
      <c r="K2049" s="14" t="s">
        <v>12459</v>
      </c>
      <c r="L2049" s="15">
        <v>1</v>
      </c>
      <c r="M2049" s="15" t="s">
        <v>144</v>
      </c>
      <c r="N2049" s="16">
        <v>39274</v>
      </c>
      <c r="O2049" s="12" t="s">
        <v>12457</v>
      </c>
      <c r="P2049" s="14" t="s">
        <v>12460</v>
      </c>
      <c r="Q2049" s="17" t="s">
        <v>137</v>
      </c>
      <c r="R2049" s="17" t="s">
        <v>146</v>
      </c>
    </row>
    <row r="2050" spans="1:18" x14ac:dyDescent="0.3">
      <c r="A2050" s="12" t="s">
        <v>12461</v>
      </c>
      <c r="B2050" s="12" t="s">
        <v>10</v>
      </c>
      <c r="C2050" s="12"/>
      <c r="D2050" s="12" t="s">
        <v>647</v>
      </c>
      <c r="E2050" s="12" t="s">
        <v>12462</v>
      </c>
      <c r="F2050" s="12" t="s">
        <v>218</v>
      </c>
      <c r="G2050" s="12" t="s">
        <v>96</v>
      </c>
      <c r="H2050" s="12" t="s">
        <v>55</v>
      </c>
      <c r="I2050" s="12" t="s">
        <v>33</v>
      </c>
      <c r="J2050" s="13" t="s">
        <v>4136</v>
      </c>
      <c r="K2050" s="14" t="s">
        <v>12463</v>
      </c>
      <c r="L2050" s="15">
        <v>0</v>
      </c>
      <c r="M2050" s="15" t="s">
        <v>220</v>
      </c>
      <c r="N2050" s="16">
        <v>40255</v>
      </c>
      <c r="O2050" s="12" t="s">
        <v>12464</v>
      </c>
      <c r="P2050" s="14" t="s">
        <v>12465</v>
      </c>
      <c r="Q2050" s="17" t="s">
        <v>137</v>
      </c>
      <c r="R2050" s="17" t="s">
        <v>146</v>
      </c>
    </row>
    <row r="2051" spans="1:18" x14ac:dyDescent="0.3">
      <c r="A2051" s="12" t="s">
        <v>12466</v>
      </c>
      <c r="B2051" s="12" t="s">
        <v>12</v>
      </c>
      <c r="C2051" s="12"/>
      <c r="D2051" s="12" t="s">
        <v>12</v>
      </c>
      <c r="E2051" s="12" t="s">
        <v>12467</v>
      </c>
      <c r="F2051" s="12"/>
      <c r="G2051" s="12" t="s">
        <v>4163</v>
      </c>
      <c r="H2051" s="12" t="s">
        <v>55</v>
      </c>
      <c r="I2051" s="12" t="s">
        <v>33</v>
      </c>
      <c r="J2051" s="13" t="s">
        <v>4164</v>
      </c>
      <c r="K2051" s="14" t="s">
        <v>12468</v>
      </c>
      <c r="L2051" s="15">
        <v>0</v>
      </c>
      <c r="M2051" s="15" t="s">
        <v>144</v>
      </c>
      <c r="N2051" s="16">
        <v>40413</v>
      </c>
      <c r="O2051" s="12" t="s">
        <v>12466</v>
      </c>
      <c r="P2051" s="14" t="s">
        <v>12469</v>
      </c>
      <c r="Q2051" s="17" t="s">
        <v>137</v>
      </c>
      <c r="R2051" s="17" t="s">
        <v>146</v>
      </c>
    </row>
    <row r="2052" spans="1:18" x14ac:dyDescent="0.3">
      <c r="A2052" s="12" t="s">
        <v>12470</v>
      </c>
      <c r="B2052" s="12" t="s">
        <v>12</v>
      </c>
      <c r="C2052" s="12"/>
      <c r="D2052" s="12" t="s">
        <v>12</v>
      </c>
      <c r="E2052" s="12" t="s">
        <v>12471</v>
      </c>
      <c r="F2052" s="12"/>
      <c r="G2052" s="12" t="s">
        <v>4167</v>
      </c>
      <c r="H2052" s="12" t="s">
        <v>55</v>
      </c>
      <c r="I2052" s="12" t="s">
        <v>33</v>
      </c>
      <c r="J2052" s="13" t="s">
        <v>4168</v>
      </c>
      <c r="K2052" s="14" t="s">
        <v>12472</v>
      </c>
      <c r="L2052" s="15">
        <v>2</v>
      </c>
      <c r="M2052" s="15" t="s">
        <v>144</v>
      </c>
      <c r="N2052" s="16">
        <v>44065</v>
      </c>
      <c r="O2052" s="12" t="s">
        <v>12470</v>
      </c>
      <c r="P2052" s="14" t="s">
        <v>12473</v>
      </c>
      <c r="Q2052" s="17" t="s">
        <v>137</v>
      </c>
      <c r="R2052" s="17" t="s">
        <v>146</v>
      </c>
    </row>
    <row r="2053" spans="1:18" x14ac:dyDescent="0.3">
      <c r="A2053" s="12" t="s">
        <v>12474</v>
      </c>
      <c r="B2053" s="12" t="s">
        <v>12</v>
      </c>
      <c r="C2053" s="12"/>
      <c r="D2053" s="12" t="s">
        <v>12</v>
      </c>
      <c r="E2053" s="12" t="s">
        <v>12475</v>
      </c>
      <c r="F2053" s="12"/>
      <c r="G2053" s="12" t="s">
        <v>12476</v>
      </c>
      <c r="H2053" s="12" t="s">
        <v>65</v>
      </c>
      <c r="I2053" s="12" t="s">
        <v>33</v>
      </c>
      <c r="J2053" s="13" t="s">
        <v>12477</v>
      </c>
      <c r="K2053" s="14" t="s">
        <v>12478</v>
      </c>
      <c r="L2053" s="15">
        <v>0</v>
      </c>
      <c r="M2053" s="15" t="s">
        <v>144</v>
      </c>
      <c r="N2053" s="16">
        <v>42432</v>
      </c>
      <c r="O2053" s="12" t="s">
        <v>12474</v>
      </c>
      <c r="P2053" s="14" t="s">
        <v>12479</v>
      </c>
      <c r="Q2053" s="17" t="s">
        <v>137</v>
      </c>
      <c r="R2053" s="17" t="s">
        <v>146</v>
      </c>
    </row>
    <row r="2054" spans="1:18" x14ac:dyDescent="0.3">
      <c r="A2054" s="12" t="s">
        <v>12480</v>
      </c>
      <c r="B2054" s="12" t="s">
        <v>12</v>
      </c>
      <c r="C2054" s="12"/>
      <c r="D2054" s="12" t="s">
        <v>12</v>
      </c>
      <c r="E2054" s="12" t="s">
        <v>12481</v>
      </c>
      <c r="F2054" s="12" t="s">
        <v>319</v>
      </c>
      <c r="G2054" s="12" t="s">
        <v>4172</v>
      </c>
      <c r="H2054" s="12" t="s">
        <v>65</v>
      </c>
      <c r="I2054" s="12" t="s">
        <v>33</v>
      </c>
      <c r="J2054" s="13" t="s">
        <v>4173</v>
      </c>
      <c r="K2054" s="14" t="s">
        <v>12482</v>
      </c>
      <c r="L2054" s="15">
        <v>1</v>
      </c>
      <c r="M2054" s="15" t="s">
        <v>144</v>
      </c>
      <c r="N2054" s="16">
        <v>41291</v>
      </c>
      <c r="O2054" s="12" t="s">
        <v>12480</v>
      </c>
      <c r="P2054" s="14" t="s">
        <v>12483</v>
      </c>
      <c r="Q2054" s="17" t="s">
        <v>137</v>
      </c>
      <c r="R2054" s="17" t="s">
        <v>146</v>
      </c>
    </row>
    <row r="2055" spans="1:18" x14ac:dyDescent="0.3">
      <c r="A2055" s="12" t="s">
        <v>12484</v>
      </c>
      <c r="B2055" s="12" t="s">
        <v>16</v>
      </c>
      <c r="C2055" s="12"/>
      <c r="D2055" s="12" t="s">
        <v>471</v>
      </c>
      <c r="E2055" s="12" t="s">
        <v>12485</v>
      </c>
      <c r="F2055" s="12" t="s">
        <v>1542</v>
      </c>
      <c r="G2055" s="12" t="s">
        <v>4172</v>
      </c>
      <c r="H2055" s="12" t="s">
        <v>65</v>
      </c>
      <c r="I2055" s="12" t="s">
        <v>33</v>
      </c>
      <c r="J2055" s="13" t="s">
        <v>4173</v>
      </c>
      <c r="K2055" s="14" t="s">
        <v>12486</v>
      </c>
      <c r="L2055" s="15">
        <v>0</v>
      </c>
      <c r="M2055" s="15" t="s">
        <v>144</v>
      </c>
      <c r="N2055" s="16">
        <v>44065</v>
      </c>
      <c r="O2055" s="12" t="s">
        <v>12484</v>
      </c>
      <c r="P2055" s="14" t="s">
        <v>12487</v>
      </c>
      <c r="Q2055" s="17" t="s">
        <v>137</v>
      </c>
      <c r="R2055" s="17" t="s">
        <v>146</v>
      </c>
    </row>
    <row r="2056" spans="1:18" x14ac:dyDescent="0.3">
      <c r="A2056" s="12" t="s">
        <v>12488</v>
      </c>
      <c r="B2056" s="12" t="s">
        <v>10</v>
      </c>
      <c r="C2056" s="12"/>
      <c r="D2056" s="12" t="s">
        <v>647</v>
      </c>
      <c r="E2056" s="12" t="s">
        <v>12489</v>
      </c>
      <c r="F2056" s="12"/>
      <c r="G2056" s="12" t="s">
        <v>4172</v>
      </c>
      <c r="H2056" s="12" t="s">
        <v>65</v>
      </c>
      <c r="I2056" s="12" t="s">
        <v>33</v>
      </c>
      <c r="J2056" s="13" t="s">
        <v>4173</v>
      </c>
      <c r="K2056" s="14" t="s">
        <v>12490</v>
      </c>
      <c r="L2056" s="15">
        <v>0</v>
      </c>
      <c r="M2056" s="15" t="s">
        <v>144</v>
      </c>
      <c r="N2056" s="16">
        <v>39898</v>
      </c>
      <c r="O2056" s="12" t="s">
        <v>12488</v>
      </c>
      <c r="P2056" s="14" t="s">
        <v>12491</v>
      </c>
      <c r="Q2056" s="17" t="s">
        <v>137</v>
      </c>
      <c r="R2056" s="17" t="s">
        <v>146</v>
      </c>
    </row>
    <row r="2057" spans="1:18" x14ac:dyDescent="0.3">
      <c r="A2057" s="12" t="s">
        <v>12492</v>
      </c>
      <c r="B2057" s="12" t="s">
        <v>12</v>
      </c>
      <c r="C2057" s="12"/>
      <c r="D2057" s="12" t="s">
        <v>12</v>
      </c>
      <c r="E2057" s="12" t="s">
        <v>12493</v>
      </c>
      <c r="F2057" s="12"/>
      <c r="G2057" s="12" t="s">
        <v>4172</v>
      </c>
      <c r="H2057" s="12" t="s">
        <v>65</v>
      </c>
      <c r="I2057" s="12" t="s">
        <v>33</v>
      </c>
      <c r="J2057" s="13" t="s">
        <v>4173</v>
      </c>
      <c r="K2057" s="14" t="s">
        <v>12494</v>
      </c>
      <c r="L2057" s="15">
        <v>1</v>
      </c>
      <c r="M2057" s="15" t="s">
        <v>144</v>
      </c>
      <c r="N2057" s="16">
        <v>39357</v>
      </c>
      <c r="O2057" s="12" t="s">
        <v>12492</v>
      </c>
      <c r="P2057" s="14" t="s">
        <v>12495</v>
      </c>
      <c r="Q2057" s="17" t="s">
        <v>137</v>
      </c>
      <c r="R2057" s="17" t="s">
        <v>146</v>
      </c>
    </row>
    <row r="2058" spans="1:18" x14ac:dyDescent="0.3">
      <c r="A2058" s="12" t="s">
        <v>12496</v>
      </c>
      <c r="B2058" s="12" t="s">
        <v>12</v>
      </c>
      <c r="C2058" s="12"/>
      <c r="D2058" s="12" t="s">
        <v>12</v>
      </c>
      <c r="E2058" s="12" t="s">
        <v>12497</v>
      </c>
      <c r="F2058" s="12"/>
      <c r="G2058" s="12" t="s">
        <v>4172</v>
      </c>
      <c r="H2058" s="12" t="s">
        <v>65</v>
      </c>
      <c r="I2058" s="12" t="s">
        <v>33</v>
      </c>
      <c r="J2058" s="13" t="s">
        <v>4173</v>
      </c>
      <c r="K2058" s="14" t="s">
        <v>12498</v>
      </c>
      <c r="L2058" s="15">
        <v>1</v>
      </c>
      <c r="M2058" s="15" t="s">
        <v>144</v>
      </c>
      <c r="N2058" s="16">
        <v>44065</v>
      </c>
      <c r="O2058" s="12" t="s">
        <v>12496</v>
      </c>
      <c r="P2058" s="14" t="s">
        <v>12499</v>
      </c>
      <c r="Q2058" s="17" t="s">
        <v>137</v>
      </c>
      <c r="R2058" s="17" t="s">
        <v>146</v>
      </c>
    </row>
    <row r="2059" spans="1:18" x14ac:dyDescent="0.3">
      <c r="A2059" s="12" t="s">
        <v>12500</v>
      </c>
      <c r="B2059" s="12" t="s">
        <v>12</v>
      </c>
      <c r="C2059" s="12"/>
      <c r="D2059" s="12" t="s">
        <v>12</v>
      </c>
      <c r="E2059" s="12" t="s">
        <v>12501</v>
      </c>
      <c r="F2059" s="12"/>
      <c r="G2059" s="12" t="s">
        <v>4172</v>
      </c>
      <c r="H2059" s="12" t="s">
        <v>65</v>
      </c>
      <c r="I2059" s="12" t="s">
        <v>33</v>
      </c>
      <c r="J2059" s="13" t="s">
        <v>4173</v>
      </c>
      <c r="K2059" s="14" t="s">
        <v>12502</v>
      </c>
      <c r="L2059" s="15">
        <v>2</v>
      </c>
      <c r="M2059" s="15" t="s">
        <v>144</v>
      </c>
      <c r="N2059" s="16">
        <v>40401</v>
      </c>
      <c r="O2059" s="12" t="s">
        <v>12500</v>
      </c>
      <c r="P2059" s="14" t="s">
        <v>12503</v>
      </c>
      <c r="Q2059" s="17" t="s">
        <v>137</v>
      </c>
      <c r="R2059" s="17" t="s">
        <v>146</v>
      </c>
    </row>
    <row r="2060" spans="1:18" x14ac:dyDescent="0.3">
      <c r="A2060" s="12" t="s">
        <v>12504</v>
      </c>
      <c r="B2060" s="12" t="s">
        <v>12</v>
      </c>
      <c r="C2060" s="12"/>
      <c r="D2060" s="12" t="s">
        <v>12</v>
      </c>
      <c r="E2060" s="12" t="s">
        <v>12505</v>
      </c>
      <c r="F2060" s="12"/>
      <c r="G2060" s="12" t="s">
        <v>86</v>
      </c>
      <c r="H2060" s="12" t="s">
        <v>86</v>
      </c>
      <c r="I2060" s="12" t="s">
        <v>33</v>
      </c>
      <c r="J2060" s="13" t="s">
        <v>4195</v>
      </c>
      <c r="K2060" s="14" t="s">
        <v>12506</v>
      </c>
      <c r="L2060" s="15">
        <v>1</v>
      </c>
      <c r="M2060" s="15" t="s">
        <v>144</v>
      </c>
      <c r="N2060" s="16">
        <v>40829</v>
      </c>
      <c r="O2060" s="12" t="s">
        <v>12504</v>
      </c>
      <c r="P2060" s="14" t="s">
        <v>12507</v>
      </c>
      <c r="Q2060" s="17" t="s">
        <v>137</v>
      </c>
      <c r="R2060" s="17" t="s">
        <v>146</v>
      </c>
    </row>
    <row r="2061" spans="1:18" x14ac:dyDescent="0.3">
      <c r="A2061" s="12" t="s">
        <v>12508</v>
      </c>
      <c r="B2061" s="12" t="s">
        <v>12</v>
      </c>
      <c r="C2061" s="12"/>
      <c r="D2061" s="12" t="s">
        <v>12</v>
      </c>
      <c r="E2061" s="12" t="s">
        <v>12509</v>
      </c>
      <c r="F2061" s="12" t="s">
        <v>12510</v>
      </c>
      <c r="G2061" s="12" t="s">
        <v>86</v>
      </c>
      <c r="H2061" s="12" t="s">
        <v>86</v>
      </c>
      <c r="I2061" s="12" t="s">
        <v>33</v>
      </c>
      <c r="J2061" s="13" t="s">
        <v>4195</v>
      </c>
      <c r="K2061" s="14" t="s">
        <v>12511</v>
      </c>
      <c r="L2061" s="15">
        <v>0</v>
      </c>
      <c r="M2061" s="15" t="s">
        <v>144</v>
      </c>
      <c r="N2061" s="16">
        <v>40030</v>
      </c>
      <c r="O2061" s="12" t="s">
        <v>12508</v>
      </c>
      <c r="P2061" s="14" t="s">
        <v>12512</v>
      </c>
      <c r="Q2061" s="17" t="s">
        <v>137</v>
      </c>
      <c r="R2061" s="17" t="s">
        <v>146</v>
      </c>
    </row>
    <row r="2062" spans="1:18" x14ac:dyDescent="0.3">
      <c r="A2062" s="12" t="s">
        <v>12325</v>
      </c>
      <c r="B2062" s="12" t="s">
        <v>10</v>
      </c>
      <c r="C2062" s="12"/>
      <c r="D2062" s="12" t="s">
        <v>647</v>
      </c>
      <c r="E2062" s="12" t="s">
        <v>12513</v>
      </c>
      <c r="F2062" s="12"/>
      <c r="G2062" s="12" t="s">
        <v>86</v>
      </c>
      <c r="H2062" s="12" t="s">
        <v>86</v>
      </c>
      <c r="I2062" s="12" t="s">
        <v>33</v>
      </c>
      <c r="J2062" s="13" t="s">
        <v>4195</v>
      </c>
      <c r="K2062" s="14" t="s">
        <v>4196</v>
      </c>
      <c r="L2062" s="15">
        <v>0</v>
      </c>
      <c r="M2062" s="15" t="s">
        <v>144</v>
      </c>
      <c r="N2062" s="16">
        <v>41327</v>
      </c>
      <c r="O2062" s="12" t="s">
        <v>12514</v>
      </c>
      <c r="P2062" s="14" t="s">
        <v>12515</v>
      </c>
      <c r="Q2062" s="17" t="s">
        <v>137</v>
      </c>
      <c r="R2062" s="17" t="s">
        <v>146</v>
      </c>
    </row>
    <row r="2063" spans="1:18" x14ac:dyDescent="0.3">
      <c r="A2063" s="12" t="s">
        <v>12516</v>
      </c>
      <c r="B2063" s="12" t="s">
        <v>12</v>
      </c>
      <c r="C2063" s="12"/>
      <c r="D2063" s="12" t="s">
        <v>12</v>
      </c>
      <c r="E2063" s="12" t="s">
        <v>12517</v>
      </c>
      <c r="F2063" s="12"/>
      <c r="G2063" s="12" t="s">
        <v>86</v>
      </c>
      <c r="H2063" s="12" t="s">
        <v>86</v>
      </c>
      <c r="I2063" s="12" t="s">
        <v>33</v>
      </c>
      <c r="J2063" s="13" t="s">
        <v>4195</v>
      </c>
      <c r="K2063" s="14" t="s">
        <v>12518</v>
      </c>
      <c r="L2063" s="15">
        <v>1</v>
      </c>
      <c r="M2063" s="15" t="s">
        <v>144</v>
      </c>
      <c r="N2063" s="16">
        <v>44065</v>
      </c>
      <c r="O2063" s="12" t="s">
        <v>12516</v>
      </c>
      <c r="P2063" s="14" t="s">
        <v>12519</v>
      </c>
      <c r="Q2063" s="17" t="s">
        <v>137</v>
      </c>
      <c r="R2063" s="17" t="s">
        <v>146</v>
      </c>
    </row>
    <row r="2064" spans="1:18" x14ac:dyDescent="0.3">
      <c r="A2064" s="12" t="s">
        <v>12520</v>
      </c>
      <c r="B2064" s="12" t="s">
        <v>12</v>
      </c>
      <c r="C2064" s="12"/>
      <c r="D2064" s="12" t="s">
        <v>12</v>
      </c>
      <c r="E2064" s="12" t="s">
        <v>12521</v>
      </c>
      <c r="F2064" s="12"/>
      <c r="G2064" s="12" t="s">
        <v>12522</v>
      </c>
      <c r="H2064" s="12" t="s">
        <v>101</v>
      </c>
      <c r="I2064" s="12" t="s">
        <v>33</v>
      </c>
      <c r="J2064" s="13" t="s">
        <v>12523</v>
      </c>
      <c r="K2064" s="14" t="s">
        <v>12524</v>
      </c>
      <c r="L2064" s="15">
        <v>1</v>
      </c>
      <c r="M2064" s="15" t="s">
        <v>144</v>
      </c>
      <c r="N2064" s="16">
        <v>43070</v>
      </c>
      <c r="O2064" s="12" t="s">
        <v>12520</v>
      </c>
      <c r="P2064" s="14" t="s">
        <v>12525</v>
      </c>
      <c r="Q2064" s="17" t="s">
        <v>137</v>
      </c>
      <c r="R2064" s="17" t="s">
        <v>146</v>
      </c>
    </row>
    <row r="2065" spans="1:18" x14ac:dyDescent="0.3">
      <c r="A2065" s="12" t="s">
        <v>12526</v>
      </c>
      <c r="B2065" s="12" t="s">
        <v>12</v>
      </c>
      <c r="C2065" s="12"/>
      <c r="D2065" s="12" t="s">
        <v>12</v>
      </c>
      <c r="E2065" s="12" t="s">
        <v>12527</v>
      </c>
      <c r="F2065" s="12"/>
      <c r="G2065" s="12" t="s">
        <v>12528</v>
      </c>
      <c r="H2065" s="12" t="s">
        <v>101</v>
      </c>
      <c r="I2065" s="12" t="s">
        <v>33</v>
      </c>
      <c r="J2065" s="13" t="s">
        <v>12529</v>
      </c>
      <c r="K2065" s="14" t="s">
        <v>12530</v>
      </c>
      <c r="L2065" s="15">
        <v>1</v>
      </c>
      <c r="M2065" s="15" t="s">
        <v>144</v>
      </c>
      <c r="N2065" s="16">
        <v>40016</v>
      </c>
      <c r="O2065" s="12" t="s">
        <v>12526</v>
      </c>
      <c r="P2065" s="14" t="s">
        <v>12531</v>
      </c>
      <c r="Q2065" s="17" t="s">
        <v>137</v>
      </c>
      <c r="R2065" s="17" t="s">
        <v>146</v>
      </c>
    </row>
    <row r="2066" spans="1:18" x14ac:dyDescent="0.3">
      <c r="A2066" s="12" t="s">
        <v>12532</v>
      </c>
      <c r="B2066" s="12" t="s">
        <v>12</v>
      </c>
      <c r="C2066" s="12"/>
      <c r="D2066" s="12" t="s">
        <v>12</v>
      </c>
      <c r="E2066" s="12" t="s">
        <v>12533</v>
      </c>
      <c r="F2066" s="12"/>
      <c r="G2066" s="12" t="s">
        <v>4205</v>
      </c>
      <c r="H2066" s="12" t="s">
        <v>101</v>
      </c>
      <c r="I2066" s="12" t="s">
        <v>33</v>
      </c>
      <c r="J2066" s="13" t="s">
        <v>4206</v>
      </c>
      <c r="K2066" s="14" t="s">
        <v>12534</v>
      </c>
      <c r="L2066" s="15">
        <v>1</v>
      </c>
      <c r="M2066" s="15" t="s">
        <v>144</v>
      </c>
      <c r="N2066" s="16">
        <v>42286</v>
      </c>
      <c r="O2066" s="12" t="s">
        <v>12532</v>
      </c>
      <c r="P2066" s="14" t="s">
        <v>12535</v>
      </c>
      <c r="Q2066" s="17" t="s">
        <v>137</v>
      </c>
      <c r="R2066" s="17" t="s">
        <v>146</v>
      </c>
    </row>
    <row r="2067" spans="1:18" x14ac:dyDescent="0.3">
      <c r="A2067" s="12" t="s">
        <v>12536</v>
      </c>
      <c r="B2067" s="12" t="s">
        <v>12</v>
      </c>
      <c r="C2067" s="12"/>
      <c r="D2067" s="12" t="s">
        <v>12</v>
      </c>
      <c r="E2067" s="12" t="s">
        <v>12537</v>
      </c>
      <c r="F2067" s="12"/>
      <c r="G2067" s="12" t="s">
        <v>4205</v>
      </c>
      <c r="H2067" s="12" t="s">
        <v>101</v>
      </c>
      <c r="I2067" s="12" t="s">
        <v>33</v>
      </c>
      <c r="J2067" s="13" t="s">
        <v>4206</v>
      </c>
      <c r="K2067" s="14" t="s">
        <v>12538</v>
      </c>
      <c r="L2067" s="15">
        <v>1</v>
      </c>
      <c r="M2067" s="15" t="s">
        <v>144</v>
      </c>
      <c r="N2067" s="16">
        <v>44065</v>
      </c>
      <c r="O2067" s="12" t="s">
        <v>12536</v>
      </c>
      <c r="P2067" s="14" t="s">
        <v>12539</v>
      </c>
      <c r="Q2067" s="17" t="s">
        <v>137</v>
      </c>
      <c r="R2067" s="17" t="s">
        <v>146</v>
      </c>
    </row>
    <row r="2068" spans="1:18" x14ac:dyDescent="0.3">
      <c r="A2068" s="12" t="s">
        <v>12540</v>
      </c>
      <c r="B2068" s="12" t="s">
        <v>12</v>
      </c>
      <c r="C2068" s="12"/>
      <c r="D2068" s="12" t="s">
        <v>12</v>
      </c>
      <c r="E2068" s="12" t="s">
        <v>12541</v>
      </c>
      <c r="F2068" s="12"/>
      <c r="G2068" s="12" t="s">
        <v>4205</v>
      </c>
      <c r="H2068" s="12" t="s">
        <v>101</v>
      </c>
      <c r="I2068" s="12" t="s">
        <v>33</v>
      </c>
      <c r="J2068" s="13" t="s">
        <v>4206</v>
      </c>
      <c r="K2068" s="14" t="s">
        <v>12542</v>
      </c>
      <c r="L2068" s="15">
        <v>2</v>
      </c>
      <c r="M2068" s="15" t="s">
        <v>144</v>
      </c>
      <c r="N2068" s="16">
        <v>42177</v>
      </c>
      <c r="O2068" s="12" t="s">
        <v>12540</v>
      </c>
      <c r="P2068" s="14" t="s">
        <v>12543</v>
      </c>
      <c r="Q2068" s="17" t="s">
        <v>137</v>
      </c>
      <c r="R2068" s="17" t="s">
        <v>146</v>
      </c>
    </row>
    <row r="2069" spans="1:18" x14ac:dyDescent="0.3">
      <c r="A2069" s="12" t="s">
        <v>12544</v>
      </c>
      <c r="B2069" s="12" t="s">
        <v>12</v>
      </c>
      <c r="C2069" s="12"/>
      <c r="D2069" s="12" t="s">
        <v>12</v>
      </c>
      <c r="E2069" s="12" t="s">
        <v>12545</v>
      </c>
      <c r="F2069" s="12"/>
      <c r="G2069" s="12" t="s">
        <v>4205</v>
      </c>
      <c r="H2069" s="12" t="s">
        <v>101</v>
      </c>
      <c r="I2069" s="12" t="s">
        <v>33</v>
      </c>
      <c r="J2069" s="13" t="s">
        <v>4206</v>
      </c>
      <c r="K2069" s="14" t="s">
        <v>12459</v>
      </c>
      <c r="L2069" s="15">
        <v>0</v>
      </c>
      <c r="M2069" s="15" t="s">
        <v>144</v>
      </c>
      <c r="N2069" s="16">
        <v>39720</v>
      </c>
      <c r="O2069" s="12" t="s">
        <v>12544</v>
      </c>
      <c r="P2069" s="14" t="s">
        <v>12546</v>
      </c>
      <c r="Q2069" s="17" t="s">
        <v>137</v>
      </c>
      <c r="R2069" s="17" t="s">
        <v>146</v>
      </c>
    </row>
    <row r="2070" spans="1:18" x14ac:dyDescent="0.3">
      <c r="A2070" s="12" t="s">
        <v>12547</v>
      </c>
      <c r="B2070" s="12" t="s">
        <v>12</v>
      </c>
      <c r="C2070" s="12"/>
      <c r="D2070" s="12" t="s">
        <v>12</v>
      </c>
      <c r="E2070" s="12" t="s">
        <v>12548</v>
      </c>
      <c r="F2070" s="12"/>
      <c r="G2070" s="12" t="s">
        <v>12549</v>
      </c>
      <c r="H2070" s="12" t="s">
        <v>101</v>
      </c>
      <c r="I2070" s="12" t="s">
        <v>33</v>
      </c>
      <c r="J2070" s="13" t="s">
        <v>12550</v>
      </c>
      <c r="K2070" s="14" t="s">
        <v>12551</v>
      </c>
      <c r="L2070" s="15">
        <v>0</v>
      </c>
      <c r="M2070" s="15" t="s">
        <v>144</v>
      </c>
      <c r="N2070" s="16">
        <v>40430</v>
      </c>
      <c r="O2070" s="12" t="s">
        <v>12547</v>
      </c>
      <c r="P2070" s="14" t="s">
        <v>12552</v>
      </c>
      <c r="Q2070" s="17" t="s">
        <v>137</v>
      </c>
      <c r="R2070" s="17" t="s">
        <v>146</v>
      </c>
    </row>
    <row r="2071" spans="1:18" x14ac:dyDescent="0.3">
      <c r="A2071" s="12" t="s">
        <v>12553</v>
      </c>
      <c r="B2071" s="12" t="s">
        <v>12</v>
      </c>
      <c r="C2071" s="12"/>
      <c r="D2071" s="12" t="s">
        <v>12</v>
      </c>
      <c r="E2071" s="12" t="s">
        <v>12554</v>
      </c>
      <c r="F2071" s="12"/>
      <c r="G2071" s="12" t="s">
        <v>12555</v>
      </c>
      <c r="H2071" s="12" t="s">
        <v>118</v>
      </c>
      <c r="I2071" s="12" t="s">
        <v>33</v>
      </c>
      <c r="J2071" s="13" t="s">
        <v>12556</v>
      </c>
      <c r="K2071" s="14" t="s">
        <v>12557</v>
      </c>
      <c r="L2071" s="15">
        <v>3</v>
      </c>
      <c r="M2071" s="15" t="s">
        <v>144</v>
      </c>
      <c r="N2071" s="16">
        <v>44065</v>
      </c>
      <c r="O2071" s="12" t="s">
        <v>12558</v>
      </c>
      <c r="P2071" s="14" t="s">
        <v>12559</v>
      </c>
      <c r="Q2071" s="17" t="s">
        <v>137</v>
      </c>
      <c r="R2071" s="17" t="s">
        <v>146</v>
      </c>
    </row>
    <row r="2072" spans="1:18" x14ac:dyDescent="0.3">
      <c r="A2072" s="12" t="s">
        <v>12560</v>
      </c>
      <c r="B2072" s="12" t="s">
        <v>12</v>
      </c>
      <c r="C2072" s="12"/>
      <c r="D2072" s="12" t="s">
        <v>12</v>
      </c>
      <c r="E2072" s="12" t="s">
        <v>12561</v>
      </c>
      <c r="F2072" s="12"/>
      <c r="G2072" s="12" t="s">
        <v>12562</v>
      </c>
      <c r="H2072" s="12" t="s">
        <v>118</v>
      </c>
      <c r="I2072" s="12" t="s">
        <v>33</v>
      </c>
      <c r="J2072" s="13" t="s">
        <v>12563</v>
      </c>
      <c r="K2072" s="14" t="s">
        <v>12564</v>
      </c>
      <c r="L2072" s="15">
        <v>1</v>
      </c>
      <c r="M2072" s="15" t="s">
        <v>144</v>
      </c>
      <c r="N2072" s="16">
        <v>44065</v>
      </c>
      <c r="O2072" s="12" t="s">
        <v>12560</v>
      </c>
      <c r="P2072" s="14" t="s">
        <v>12565</v>
      </c>
      <c r="Q2072" s="17" t="s">
        <v>137</v>
      </c>
      <c r="R2072" s="17" t="s">
        <v>146</v>
      </c>
    </row>
    <row r="2073" spans="1:18" x14ac:dyDescent="0.3">
      <c r="A2073" s="12" t="s">
        <v>4731</v>
      </c>
      <c r="B2073" s="12" t="s">
        <v>10</v>
      </c>
      <c r="C2073" s="12"/>
      <c r="D2073" s="12" t="s">
        <v>647</v>
      </c>
      <c r="E2073" s="12" t="s">
        <v>12566</v>
      </c>
      <c r="F2073" s="12"/>
      <c r="G2073" s="12" t="s">
        <v>12562</v>
      </c>
      <c r="H2073" s="12" t="s">
        <v>118</v>
      </c>
      <c r="I2073" s="12" t="s">
        <v>33</v>
      </c>
      <c r="J2073" s="13" t="s">
        <v>12563</v>
      </c>
      <c r="K2073" s="14" t="s">
        <v>12567</v>
      </c>
      <c r="L2073" s="15">
        <v>0</v>
      </c>
      <c r="M2073" s="15" t="s">
        <v>144</v>
      </c>
      <c r="N2073" s="16">
        <v>39314</v>
      </c>
      <c r="O2073" s="12" t="s">
        <v>4722</v>
      </c>
      <c r="P2073" s="14" t="s">
        <v>12568</v>
      </c>
      <c r="Q2073" s="17" t="s">
        <v>137</v>
      </c>
      <c r="R2073" s="17" t="s">
        <v>146</v>
      </c>
    </row>
    <row r="2074" spans="1:18" x14ac:dyDescent="0.3">
      <c r="A2074" s="12" t="s">
        <v>12569</v>
      </c>
      <c r="B2074" s="12" t="s">
        <v>12</v>
      </c>
      <c r="C2074" s="12"/>
      <c r="D2074" s="12" t="s">
        <v>12</v>
      </c>
      <c r="E2074" s="12" t="s">
        <v>12570</v>
      </c>
      <c r="F2074" s="12"/>
      <c r="G2074" s="12" t="s">
        <v>118</v>
      </c>
      <c r="H2074" s="12" t="s">
        <v>118</v>
      </c>
      <c r="I2074" s="12" t="s">
        <v>33</v>
      </c>
      <c r="J2074" s="13" t="s">
        <v>12571</v>
      </c>
      <c r="K2074" s="14" t="s">
        <v>12572</v>
      </c>
      <c r="L2074" s="15">
        <v>0</v>
      </c>
      <c r="M2074" s="15" t="s">
        <v>144</v>
      </c>
      <c r="N2074" s="16">
        <v>41653</v>
      </c>
      <c r="O2074" s="12" t="s">
        <v>12569</v>
      </c>
      <c r="P2074" s="14" t="s">
        <v>12573</v>
      </c>
      <c r="Q2074" s="17" t="s">
        <v>137</v>
      </c>
      <c r="R2074" s="17" t="s">
        <v>146</v>
      </c>
    </row>
    <row r="2075" spans="1:18" x14ac:dyDescent="0.3">
      <c r="A2075" s="12" t="s">
        <v>12574</v>
      </c>
      <c r="B2075" s="12" t="s">
        <v>12</v>
      </c>
      <c r="C2075" s="12"/>
      <c r="D2075" s="12" t="s">
        <v>12</v>
      </c>
      <c r="E2075" s="12" t="s">
        <v>12575</v>
      </c>
      <c r="F2075" s="12"/>
      <c r="G2075" s="12" t="s">
        <v>4210</v>
      </c>
      <c r="H2075" s="12" t="s">
        <v>78</v>
      </c>
      <c r="I2075" s="12" t="s">
        <v>33</v>
      </c>
      <c r="J2075" s="13" t="s">
        <v>4211</v>
      </c>
      <c r="K2075" s="14" t="s">
        <v>12576</v>
      </c>
      <c r="L2075" s="15">
        <v>1</v>
      </c>
      <c r="M2075" s="15" t="s">
        <v>144</v>
      </c>
      <c r="N2075" s="16">
        <v>39273</v>
      </c>
      <c r="O2075" s="12" t="s">
        <v>12574</v>
      </c>
      <c r="P2075" s="14" t="s">
        <v>12577</v>
      </c>
      <c r="Q2075" s="17" t="s">
        <v>137</v>
      </c>
      <c r="R2075" s="17" t="s">
        <v>146</v>
      </c>
    </row>
    <row r="2076" spans="1:18" x14ac:dyDescent="0.3">
      <c r="A2076" s="12" t="s">
        <v>12578</v>
      </c>
      <c r="B2076" s="12" t="s">
        <v>12</v>
      </c>
      <c r="C2076" s="12"/>
      <c r="D2076" s="12" t="s">
        <v>12</v>
      </c>
      <c r="E2076" s="12" t="s">
        <v>12579</v>
      </c>
      <c r="F2076" s="12"/>
      <c r="G2076" s="12" t="s">
        <v>4210</v>
      </c>
      <c r="H2076" s="12" t="s">
        <v>78</v>
      </c>
      <c r="I2076" s="12" t="s">
        <v>33</v>
      </c>
      <c r="J2076" s="13" t="s">
        <v>4211</v>
      </c>
      <c r="K2076" s="14" t="s">
        <v>12580</v>
      </c>
      <c r="L2076" s="15">
        <v>1</v>
      </c>
      <c r="M2076" s="15" t="s">
        <v>144</v>
      </c>
      <c r="N2076" s="16">
        <v>44065</v>
      </c>
      <c r="O2076" s="12" t="s">
        <v>12578</v>
      </c>
      <c r="P2076" s="14" t="s">
        <v>12581</v>
      </c>
      <c r="Q2076" s="17" t="s">
        <v>137</v>
      </c>
      <c r="R2076" s="17" t="s">
        <v>146</v>
      </c>
    </row>
    <row r="2077" spans="1:18" x14ac:dyDescent="0.3">
      <c r="A2077" s="12" t="s">
        <v>12582</v>
      </c>
      <c r="B2077" s="12" t="s">
        <v>12</v>
      </c>
      <c r="C2077" s="12"/>
      <c r="D2077" s="12" t="s">
        <v>12</v>
      </c>
      <c r="E2077" s="12" t="s">
        <v>12583</v>
      </c>
      <c r="F2077" s="12"/>
      <c r="G2077" s="12" t="s">
        <v>12584</v>
      </c>
      <c r="H2077" s="12" t="s">
        <v>102</v>
      </c>
      <c r="I2077" s="12" t="s">
        <v>33</v>
      </c>
      <c r="J2077" s="13" t="s">
        <v>12585</v>
      </c>
      <c r="K2077" s="14" t="s">
        <v>12586</v>
      </c>
      <c r="L2077" s="15">
        <v>0</v>
      </c>
      <c r="M2077" s="15" t="s">
        <v>144</v>
      </c>
      <c r="N2077" s="16">
        <v>40024</v>
      </c>
      <c r="O2077" s="12" t="s">
        <v>12582</v>
      </c>
      <c r="P2077" s="14" t="s">
        <v>12587</v>
      </c>
      <c r="Q2077" s="17" t="s">
        <v>137</v>
      </c>
      <c r="R2077" s="17" t="s">
        <v>146</v>
      </c>
    </row>
    <row r="2078" spans="1:18" x14ac:dyDescent="0.3">
      <c r="A2078" s="12" t="s">
        <v>12588</v>
      </c>
      <c r="B2078" s="12" t="s">
        <v>12</v>
      </c>
      <c r="C2078" s="12"/>
      <c r="D2078" s="12" t="s">
        <v>12</v>
      </c>
      <c r="E2078" s="12" t="s">
        <v>4228</v>
      </c>
      <c r="F2078" s="12"/>
      <c r="G2078" s="12" t="s">
        <v>4229</v>
      </c>
      <c r="H2078" s="12" t="s">
        <v>103</v>
      </c>
      <c r="I2078" s="12" t="s">
        <v>33</v>
      </c>
      <c r="J2078" s="13" t="s">
        <v>4230</v>
      </c>
      <c r="K2078" s="14" t="s">
        <v>4231</v>
      </c>
      <c r="L2078" s="15">
        <v>2</v>
      </c>
      <c r="M2078" s="15" t="s">
        <v>144</v>
      </c>
      <c r="N2078" s="16">
        <v>44065</v>
      </c>
      <c r="O2078" s="12" t="s">
        <v>12588</v>
      </c>
      <c r="P2078" s="14" t="s">
        <v>12589</v>
      </c>
      <c r="Q2078" s="17" t="s">
        <v>137</v>
      </c>
      <c r="R2078" s="17" t="s">
        <v>146</v>
      </c>
    </row>
    <row r="2079" spans="1:18" x14ac:dyDescent="0.3">
      <c r="A2079" s="12" t="s">
        <v>12590</v>
      </c>
      <c r="B2079" s="12" t="s">
        <v>12</v>
      </c>
      <c r="C2079" s="12"/>
      <c r="D2079" s="12" t="s">
        <v>12</v>
      </c>
      <c r="E2079" s="12" t="s">
        <v>12591</v>
      </c>
      <c r="F2079" s="12"/>
      <c r="G2079" s="12" t="s">
        <v>4234</v>
      </c>
      <c r="H2079" s="12" t="s">
        <v>79</v>
      </c>
      <c r="I2079" s="12" t="s">
        <v>33</v>
      </c>
      <c r="J2079" s="13" t="s">
        <v>4235</v>
      </c>
      <c r="K2079" s="14" t="s">
        <v>12592</v>
      </c>
      <c r="L2079" s="15">
        <v>2</v>
      </c>
      <c r="M2079" s="15" t="s">
        <v>144</v>
      </c>
      <c r="N2079" s="16">
        <v>44265</v>
      </c>
      <c r="O2079" s="12" t="s">
        <v>12593</v>
      </c>
      <c r="P2079" s="14" t="s">
        <v>12594</v>
      </c>
      <c r="Q2079" s="17" t="s">
        <v>137</v>
      </c>
      <c r="R2079" s="17" t="s">
        <v>146</v>
      </c>
    </row>
    <row r="2080" spans="1:18" x14ac:dyDescent="0.3">
      <c r="A2080" s="12" t="s">
        <v>12595</v>
      </c>
      <c r="B2080" s="12" t="s">
        <v>12</v>
      </c>
      <c r="C2080" s="12"/>
      <c r="D2080" s="12" t="s">
        <v>12</v>
      </c>
      <c r="E2080" s="12" t="s">
        <v>12596</v>
      </c>
      <c r="F2080" s="12"/>
      <c r="G2080" s="12" t="s">
        <v>4239</v>
      </c>
      <c r="H2080" s="12" t="s">
        <v>79</v>
      </c>
      <c r="I2080" s="12" t="s">
        <v>33</v>
      </c>
      <c r="J2080" s="13" t="s">
        <v>4240</v>
      </c>
      <c r="K2080" s="14" t="s">
        <v>12597</v>
      </c>
      <c r="L2080" s="15">
        <v>1</v>
      </c>
      <c r="M2080" s="15" t="s">
        <v>144</v>
      </c>
      <c r="N2080" s="16">
        <v>44065</v>
      </c>
      <c r="O2080" s="12" t="s">
        <v>12598</v>
      </c>
      <c r="P2080" s="14" t="s">
        <v>12599</v>
      </c>
      <c r="Q2080" s="17" t="s">
        <v>137</v>
      </c>
      <c r="R2080" s="17" t="s">
        <v>146</v>
      </c>
    </row>
    <row r="2081" spans="1:18" x14ac:dyDescent="0.3">
      <c r="A2081" s="12" t="s">
        <v>12600</v>
      </c>
      <c r="B2081" s="12" t="s">
        <v>12</v>
      </c>
      <c r="C2081" s="12"/>
      <c r="D2081" s="12" t="s">
        <v>12</v>
      </c>
      <c r="E2081" s="12" t="s">
        <v>12601</v>
      </c>
      <c r="F2081" s="12" t="s">
        <v>1542</v>
      </c>
      <c r="G2081" s="12" t="s">
        <v>4239</v>
      </c>
      <c r="H2081" s="12" t="s">
        <v>79</v>
      </c>
      <c r="I2081" s="12" t="s">
        <v>33</v>
      </c>
      <c r="J2081" s="13" t="s">
        <v>12602</v>
      </c>
      <c r="K2081" s="14" t="s">
        <v>12603</v>
      </c>
      <c r="L2081" s="15">
        <v>0</v>
      </c>
      <c r="M2081" s="15" t="s">
        <v>144</v>
      </c>
      <c r="N2081" s="16">
        <v>44065</v>
      </c>
      <c r="O2081" s="12" t="s">
        <v>12600</v>
      </c>
      <c r="P2081" s="14" t="s">
        <v>12604</v>
      </c>
      <c r="Q2081" s="17" t="s">
        <v>137</v>
      </c>
      <c r="R2081" s="17" t="s">
        <v>146</v>
      </c>
    </row>
    <row r="2082" spans="1:18" x14ac:dyDescent="0.3">
      <c r="A2082" s="12" t="s">
        <v>12605</v>
      </c>
      <c r="B2082" s="12" t="s">
        <v>12</v>
      </c>
      <c r="C2082" s="12"/>
      <c r="D2082" s="12" t="s">
        <v>12</v>
      </c>
      <c r="E2082" s="12" t="s">
        <v>12606</v>
      </c>
      <c r="F2082" s="12"/>
      <c r="G2082" s="12" t="s">
        <v>4239</v>
      </c>
      <c r="H2082" s="12" t="s">
        <v>79</v>
      </c>
      <c r="I2082" s="12" t="s">
        <v>33</v>
      </c>
      <c r="J2082" s="13" t="s">
        <v>4240</v>
      </c>
      <c r="K2082" s="14" t="s">
        <v>4241</v>
      </c>
      <c r="L2082" s="15">
        <v>0</v>
      </c>
      <c r="M2082" s="15" t="s">
        <v>144</v>
      </c>
      <c r="N2082" s="16">
        <v>40388</v>
      </c>
      <c r="O2082" s="12" t="s">
        <v>12605</v>
      </c>
      <c r="P2082" s="14" t="s">
        <v>12607</v>
      </c>
      <c r="Q2082" s="17" t="s">
        <v>137</v>
      </c>
      <c r="R2082" s="17" t="s">
        <v>146</v>
      </c>
    </row>
  </sheetData>
  <conditionalFormatting sqref="M2:M2082">
    <cfRule type="expression" dxfId="0" priority="1">
      <formula>$M2="Yes"</formula>
    </cfRule>
  </conditionalFormatting>
  <hyperlinks>
    <hyperlink ref="Q2" r:id="rId1" xr:uid="{00000000-0004-0000-0800-000000000000}"/>
    <hyperlink ref="R2" r:id="rId2" xr:uid="{00000000-0004-0000-0800-000001000000}"/>
    <hyperlink ref="Q3" r:id="rId3" xr:uid="{00000000-0004-0000-0800-000002000000}"/>
    <hyperlink ref="R3" r:id="rId4" xr:uid="{00000000-0004-0000-0800-000003000000}"/>
    <hyperlink ref="Q4" r:id="rId5" xr:uid="{00000000-0004-0000-0800-000004000000}"/>
    <hyperlink ref="R4" r:id="rId6" xr:uid="{00000000-0004-0000-0800-000005000000}"/>
    <hyperlink ref="Q5" r:id="rId7" xr:uid="{00000000-0004-0000-0800-000006000000}"/>
    <hyperlink ref="R5" r:id="rId8" xr:uid="{00000000-0004-0000-0800-000007000000}"/>
    <hyperlink ref="Q6" r:id="rId9" xr:uid="{00000000-0004-0000-0800-000008000000}"/>
    <hyperlink ref="R6" r:id="rId10" xr:uid="{00000000-0004-0000-0800-000009000000}"/>
    <hyperlink ref="Q7" r:id="rId11" xr:uid="{00000000-0004-0000-0800-00000A000000}"/>
    <hyperlink ref="R7" r:id="rId12" xr:uid="{00000000-0004-0000-0800-00000B000000}"/>
    <hyperlink ref="Q8" r:id="rId13" xr:uid="{00000000-0004-0000-0800-00000C000000}"/>
    <hyperlink ref="R8" r:id="rId14" xr:uid="{00000000-0004-0000-0800-00000D000000}"/>
    <hyperlink ref="Q9" r:id="rId15" xr:uid="{00000000-0004-0000-0800-00000E000000}"/>
    <hyperlink ref="R9" r:id="rId16" xr:uid="{00000000-0004-0000-0800-00000F000000}"/>
    <hyperlink ref="Q10" r:id="rId17" xr:uid="{00000000-0004-0000-0800-000010000000}"/>
    <hyperlink ref="R10" r:id="rId18" xr:uid="{00000000-0004-0000-0800-000011000000}"/>
    <hyperlink ref="Q11" r:id="rId19" xr:uid="{00000000-0004-0000-0800-000012000000}"/>
    <hyperlink ref="R11" r:id="rId20" xr:uid="{00000000-0004-0000-0800-000013000000}"/>
    <hyperlink ref="Q12" r:id="rId21" xr:uid="{00000000-0004-0000-0800-000014000000}"/>
    <hyperlink ref="R12" r:id="rId22" xr:uid="{00000000-0004-0000-0800-000015000000}"/>
    <hyperlink ref="Q13" r:id="rId23" xr:uid="{00000000-0004-0000-0800-000016000000}"/>
    <hyperlink ref="R13" r:id="rId24" xr:uid="{00000000-0004-0000-0800-000017000000}"/>
    <hyperlink ref="Q14" r:id="rId25" xr:uid="{00000000-0004-0000-0800-000018000000}"/>
    <hyperlink ref="R14" r:id="rId26" xr:uid="{00000000-0004-0000-0800-000019000000}"/>
    <hyperlink ref="Q15" r:id="rId27" xr:uid="{00000000-0004-0000-0800-00001A000000}"/>
    <hyperlink ref="R15" r:id="rId28" xr:uid="{00000000-0004-0000-0800-00001B000000}"/>
    <hyperlink ref="Q16" r:id="rId29" xr:uid="{00000000-0004-0000-0800-00001C000000}"/>
    <hyperlink ref="R16" r:id="rId30" xr:uid="{00000000-0004-0000-0800-00001D000000}"/>
    <hyperlink ref="Q17" r:id="rId31" xr:uid="{00000000-0004-0000-0800-00001E000000}"/>
    <hyperlink ref="R17" r:id="rId32" xr:uid="{00000000-0004-0000-0800-00001F000000}"/>
    <hyperlink ref="Q18" r:id="rId33" xr:uid="{00000000-0004-0000-0800-000020000000}"/>
    <hyperlink ref="R18" r:id="rId34" xr:uid="{00000000-0004-0000-0800-000021000000}"/>
    <hyperlink ref="Q19" r:id="rId35" xr:uid="{00000000-0004-0000-0800-000022000000}"/>
    <hyperlink ref="R19" r:id="rId36" xr:uid="{00000000-0004-0000-0800-000023000000}"/>
    <hyperlink ref="Q20" r:id="rId37" xr:uid="{00000000-0004-0000-0800-000024000000}"/>
    <hyperlink ref="R20" r:id="rId38" xr:uid="{00000000-0004-0000-0800-000025000000}"/>
    <hyperlink ref="Q21" r:id="rId39" xr:uid="{00000000-0004-0000-0800-000026000000}"/>
    <hyperlink ref="R21" r:id="rId40" xr:uid="{00000000-0004-0000-0800-000027000000}"/>
    <hyperlink ref="Q22" r:id="rId41" xr:uid="{00000000-0004-0000-0800-000028000000}"/>
    <hyperlink ref="R22" r:id="rId42" xr:uid="{00000000-0004-0000-0800-000029000000}"/>
    <hyperlink ref="Q23" r:id="rId43" xr:uid="{00000000-0004-0000-0800-00002A000000}"/>
    <hyperlink ref="R23" r:id="rId44" xr:uid="{00000000-0004-0000-0800-00002B000000}"/>
    <hyperlink ref="Q24" r:id="rId45" xr:uid="{00000000-0004-0000-0800-00002C000000}"/>
    <hyperlink ref="R24" r:id="rId46" xr:uid="{00000000-0004-0000-0800-00002D000000}"/>
    <hyperlink ref="Q25" r:id="rId47" xr:uid="{00000000-0004-0000-0800-00002E000000}"/>
    <hyperlink ref="R25" r:id="rId48" xr:uid="{00000000-0004-0000-0800-00002F000000}"/>
    <hyperlink ref="Q26" r:id="rId49" xr:uid="{00000000-0004-0000-0800-000030000000}"/>
    <hyperlink ref="R26" r:id="rId50" xr:uid="{00000000-0004-0000-0800-000031000000}"/>
    <hyperlink ref="Q27" r:id="rId51" xr:uid="{00000000-0004-0000-0800-000032000000}"/>
    <hyperlink ref="R27" r:id="rId52" xr:uid="{00000000-0004-0000-0800-000033000000}"/>
    <hyperlink ref="Q28" r:id="rId53" xr:uid="{00000000-0004-0000-0800-000034000000}"/>
    <hyperlink ref="R28" r:id="rId54" xr:uid="{00000000-0004-0000-0800-000035000000}"/>
    <hyperlink ref="Q29" r:id="rId55" xr:uid="{00000000-0004-0000-0800-000036000000}"/>
    <hyperlink ref="R29" r:id="rId56" xr:uid="{00000000-0004-0000-0800-000037000000}"/>
    <hyperlink ref="Q30" r:id="rId57" xr:uid="{00000000-0004-0000-0800-000038000000}"/>
    <hyperlink ref="R30" r:id="rId58" xr:uid="{00000000-0004-0000-0800-000039000000}"/>
    <hyperlink ref="Q31" r:id="rId59" xr:uid="{00000000-0004-0000-0800-00003A000000}"/>
    <hyperlink ref="R31" r:id="rId60" xr:uid="{00000000-0004-0000-0800-00003B000000}"/>
    <hyperlink ref="Q32" r:id="rId61" xr:uid="{00000000-0004-0000-0800-00003C000000}"/>
    <hyperlink ref="R32" r:id="rId62" xr:uid="{00000000-0004-0000-0800-00003D000000}"/>
    <hyperlink ref="Q33" r:id="rId63" xr:uid="{00000000-0004-0000-0800-00003E000000}"/>
    <hyperlink ref="R33" r:id="rId64" xr:uid="{00000000-0004-0000-0800-00003F000000}"/>
    <hyperlink ref="Q34" r:id="rId65" xr:uid="{00000000-0004-0000-0800-000040000000}"/>
    <hyperlink ref="R34" r:id="rId66" xr:uid="{00000000-0004-0000-0800-000041000000}"/>
    <hyperlink ref="Q35" r:id="rId67" xr:uid="{00000000-0004-0000-0800-000042000000}"/>
    <hyperlink ref="R35" r:id="rId68" xr:uid="{00000000-0004-0000-0800-000043000000}"/>
    <hyperlink ref="Q36" r:id="rId69" xr:uid="{00000000-0004-0000-0800-000044000000}"/>
    <hyperlink ref="R36" r:id="rId70" xr:uid="{00000000-0004-0000-0800-000045000000}"/>
    <hyperlink ref="Q37" r:id="rId71" xr:uid="{00000000-0004-0000-0800-000046000000}"/>
    <hyperlink ref="R37" r:id="rId72" xr:uid="{00000000-0004-0000-0800-000047000000}"/>
    <hyperlink ref="Q38" r:id="rId73" xr:uid="{00000000-0004-0000-0800-000048000000}"/>
    <hyperlink ref="R38" r:id="rId74" xr:uid="{00000000-0004-0000-0800-000049000000}"/>
    <hyperlink ref="Q39" r:id="rId75" xr:uid="{00000000-0004-0000-0800-00004A000000}"/>
    <hyperlink ref="R39" r:id="rId76" xr:uid="{00000000-0004-0000-0800-00004B000000}"/>
    <hyperlink ref="Q40" r:id="rId77" xr:uid="{00000000-0004-0000-0800-00004C000000}"/>
    <hyperlink ref="R40" r:id="rId78" xr:uid="{00000000-0004-0000-0800-00004D000000}"/>
    <hyperlink ref="Q41" r:id="rId79" xr:uid="{00000000-0004-0000-0800-00004E000000}"/>
    <hyperlink ref="R41" r:id="rId80" xr:uid="{00000000-0004-0000-0800-00004F000000}"/>
    <hyperlink ref="Q42" r:id="rId81" xr:uid="{00000000-0004-0000-0800-000050000000}"/>
    <hyperlink ref="R42" r:id="rId82" xr:uid="{00000000-0004-0000-0800-000051000000}"/>
    <hyperlink ref="Q43" r:id="rId83" xr:uid="{00000000-0004-0000-0800-000052000000}"/>
    <hyperlink ref="R43" r:id="rId84" xr:uid="{00000000-0004-0000-0800-000053000000}"/>
    <hyperlink ref="Q44" r:id="rId85" xr:uid="{00000000-0004-0000-0800-000054000000}"/>
    <hyperlink ref="R44" r:id="rId86" xr:uid="{00000000-0004-0000-0800-000055000000}"/>
    <hyperlink ref="Q45" r:id="rId87" xr:uid="{00000000-0004-0000-0800-000056000000}"/>
    <hyperlink ref="R45" r:id="rId88" xr:uid="{00000000-0004-0000-0800-000057000000}"/>
    <hyperlink ref="Q46" r:id="rId89" xr:uid="{00000000-0004-0000-0800-000058000000}"/>
    <hyperlink ref="R46" r:id="rId90" xr:uid="{00000000-0004-0000-0800-000059000000}"/>
    <hyperlink ref="Q47" r:id="rId91" xr:uid="{00000000-0004-0000-0800-00005A000000}"/>
    <hyperlink ref="R47" r:id="rId92" xr:uid="{00000000-0004-0000-0800-00005B000000}"/>
    <hyperlink ref="Q48" r:id="rId93" xr:uid="{00000000-0004-0000-0800-00005C000000}"/>
    <hyperlink ref="R48" r:id="rId94" xr:uid="{00000000-0004-0000-0800-00005D000000}"/>
    <hyperlink ref="Q49" r:id="rId95" xr:uid="{00000000-0004-0000-0800-00005E000000}"/>
    <hyperlink ref="R49" r:id="rId96" xr:uid="{00000000-0004-0000-0800-00005F000000}"/>
    <hyperlink ref="Q50" r:id="rId97" xr:uid="{00000000-0004-0000-0800-000060000000}"/>
    <hyperlink ref="R50" r:id="rId98" xr:uid="{00000000-0004-0000-0800-000061000000}"/>
    <hyperlink ref="Q51" r:id="rId99" xr:uid="{00000000-0004-0000-0800-000062000000}"/>
    <hyperlink ref="R51" r:id="rId100" xr:uid="{00000000-0004-0000-0800-000063000000}"/>
    <hyperlink ref="Q52" r:id="rId101" xr:uid="{00000000-0004-0000-0800-000064000000}"/>
    <hyperlink ref="R52" r:id="rId102" xr:uid="{00000000-0004-0000-0800-000065000000}"/>
    <hyperlink ref="Q53" r:id="rId103" xr:uid="{00000000-0004-0000-0800-000066000000}"/>
    <hyperlink ref="R53" r:id="rId104" xr:uid="{00000000-0004-0000-0800-000067000000}"/>
    <hyperlink ref="Q54" r:id="rId105" xr:uid="{00000000-0004-0000-0800-000068000000}"/>
    <hyperlink ref="R54" r:id="rId106" xr:uid="{00000000-0004-0000-0800-000069000000}"/>
    <hyperlink ref="Q55" r:id="rId107" xr:uid="{00000000-0004-0000-0800-00006A000000}"/>
    <hyperlink ref="R55" r:id="rId108" xr:uid="{00000000-0004-0000-0800-00006B000000}"/>
    <hyperlink ref="Q56" r:id="rId109" xr:uid="{00000000-0004-0000-0800-00006C000000}"/>
    <hyperlink ref="R56" r:id="rId110" xr:uid="{00000000-0004-0000-0800-00006D000000}"/>
    <hyperlink ref="Q57" r:id="rId111" xr:uid="{00000000-0004-0000-0800-00006E000000}"/>
    <hyperlink ref="R57" r:id="rId112" xr:uid="{00000000-0004-0000-0800-00006F000000}"/>
    <hyperlink ref="Q58" r:id="rId113" xr:uid="{00000000-0004-0000-0800-000070000000}"/>
    <hyperlink ref="R58" r:id="rId114" xr:uid="{00000000-0004-0000-0800-000071000000}"/>
    <hyperlink ref="Q59" r:id="rId115" xr:uid="{00000000-0004-0000-0800-000072000000}"/>
    <hyperlink ref="R59" r:id="rId116" xr:uid="{00000000-0004-0000-0800-000073000000}"/>
    <hyperlink ref="Q60" r:id="rId117" xr:uid="{00000000-0004-0000-0800-000074000000}"/>
    <hyperlink ref="R60" r:id="rId118" xr:uid="{00000000-0004-0000-0800-000075000000}"/>
    <hyperlink ref="Q61" r:id="rId119" xr:uid="{00000000-0004-0000-0800-000076000000}"/>
    <hyperlink ref="R61" r:id="rId120" xr:uid="{00000000-0004-0000-0800-000077000000}"/>
    <hyperlink ref="Q62" r:id="rId121" xr:uid="{00000000-0004-0000-0800-000078000000}"/>
    <hyperlink ref="R62" r:id="rId122" xr:uid="{00000000-0004-0000-0800-000079000000}"/>
    <hyperlink ref="Q63" r:id="rId123" xr:uid="{00000000-0004-0000-0800-00007A000000}"/>
    <hyperlink ref="R63" r:id="rId124" xr:uid="{00000000-0004-0000-0800-00007B000000}"/>
    <hyperlink ref="Q64" r:id="rId125" xr:uid="{00000000-0004-0000-0800-00007C000000}"/>
    <hyperlink ref="R64" r:id="rId126" xr:uid="{00000000-0004-0000-0800-00007D000000}"/>
    <hyperlink ref="Q65" r:id="rId127" xr:uid="{00000000-0004-0000-0800-00007E000000}"/>
    <hyperlink ref="R65" r:id="rId128" xr:uid="{00000000-0004-0000-0800-00007F000000}"/>
    <hyperlink ref="Q66" r:id="rId129" xr:uid="{00000000-0004-0000-0800-000080000000}"/>
    <hyperlink ref="R66" r:id="rId130" xr:uid="{00000000-0004-0000-0800-000081000000}"/>
    <hyperlink ref="Q67" r:id="rId131" xr:uid="{00000000-0004-0000-0800-000082000000}"/>
    <hyperlink ref="R67" r:id="rId132" xr:uid="{00000000-0004-0000-0800-000083000000}"/>
    <hyperlink ref="Q68" r:id="rId133" xr:uid="{00000000-0004-0000-0800-000084000000}"/>
    <hyperlink ref="R68" r:id="rId134" xr:uid="{00000000-0004-0000-0800-000085000000}"/>
    <hyperlink ref="Q69" r:id="rId135" xr:uid="{00000000-0004-0000-0800-000086000000}"/>
    <hyperlink ref="R69" r:id="rId136" xr:uid="{00000000-0004-0000-0800-000087000000}"/>
    <hyperlink ref="Q70" r:id="rId137" xr:uid="{00000000-0004-0000-0800-000088000000}"/>
    <hyperlink ref="R70" r:id="rId138" xr:uid="{00000000-0004-0000-0800-000089000000}"/>
    <hyperlink ref="Q71" r:id="rId139" xr:uid="{00000000-0004-0000-0800-00008A000000}"/>
    <hyperlink ref="R71" r:id="rId140" xr:uid="{00000000-0004-0000-0800-00008B000000}"/>
    <hyperlink ref="Q72" r:id="rId141" xr:uid="{00000000-0004-0000-0800-00008C000000}"/>
    <hyperlink ref="R72" r:id="rId142" xr:uid="{00000000-0004-0000-0800-00008D000000}"/>
    <hyperlink ref="Q73" r:id="rId143" xr:uid="{00000000-0004-0000-0800-00008E000000}"/>
    <hyperlink ref="R73" r:id="rId144" xr:uid="{00000000-0004-0000-0800-00008F000000}"/>
    <hyperlink ref="Q74" r:id="rId145" xr:uid="{00000000-0004-0000-0800-000090000000}"/>
    <hyperlink ref="R74" r:id="rId146" xr:uid="{00000000-0004-0000-0800-000091000000}"/>
    <hyperlink ref="Q75" r:id="rId147" xr:uid="{00000000-0004-0000-0800-000092000000}"/>
    <hyperlink ref="R75" r:id="rId148" xr:uid="{00000000-0004-0000-0800-000093000000}"/>
    <hyperlink ref="Q76" r:id="rId149" xr:uid="{00000000-0004-0000-0800-000094000000}"/>
    <hyperlink ref="R76" r:id="rId150" xr:uid="{00000000-0004-0000-0800-000095000000}"/>
    <hyperlink ref="Q77" r:id="rId151" xr:uid="{00000000-0004-0000-0800-000096000000}"/>
    <hyperlink ref="R77" r:id="rId152" xr:uid="{00000000-0004-0000-0800-000097000000}"/>
    <hyperlink ref="Q78" r:id="rId153" xr:uid="{00000000-0004-0000-0800-000098000000}"/>
    <hyperlink ref="R78" r:id="rId154" xr:uid="{00000000-0004-0000-0800-000099000000}"/>
    <hyperlink ref="Q79" r:id="rId155" xr:uid="{00000000-0004-0000-0800-00009A000000}"/>
    <hyperlink ref="R79" r:id="rId156" xr:uid="{00000000-0004-0000-0800-00009B000000}"/>
    <hyperlink ref="Q80" r:id="rId157" xr:uid="{00000000-0004-0000-0800-00009C000000}"/>
    <hyperlink ref="R80" r:id="rId158" xr:uid="{00000000-0004-0000-0800-00009D000000}"/>
    <hyperlink ref="Q81" r:id="rId159" xr:uid="{00000000-0004-0000-0800-00009E000000}"/>
    <hyperlink ref="R81" r:id="rId160" xr:uid="{00000000-0004-0000-0800-00009F000000}"/>
    <hyperlink ref="Q82" r:id="rId161" xr:uid="{00000000-0004-0000-0800-0000A0000000}"/>
    <hyperlink ref="R82" r:id="rId162" xr:uid="{00000000-0004-0000-0800-0000A1000000}"/>
    <hyperlink ref="Q83" r:id="rId163" xr:uid="{00000000-0004-0000-0800-0000A2000000}"/>
    <hyperlink ref="R83" r:id="rId164" xr:uid="{00000000-0004-0000-0800-0000A3000000}"/>
    <hyperlink ref="Q84" r:id="rId165" xr:uid="{00000000-0004-0000-0800-0000A4000000}"/>
    <hyperlink ref="R84" r:id="rId166" xr:uid="{00000000-0004-0000-0800-0000A5000000}"/>
    <hyperlink ref="Q85" r:id="rId167" xr:uid="{00000000-0004-0000-0800-0000A6000000}"/>
    <hyperlink ref="R85" r:id="rId168" xr:uid="{00000000-0004-0000-0800-0000A7000000}"/>
    <hyperlink ref="Q86" r:id="rId169" xr:uid="{00000000-0004-0000-0800-0000A8000000}"/>
    <hyperlink ref="R86" r:id="rId170" xr:uid="{00000000-0004-0000-0800-0000A9000000}"/>
    <hyperlink ref="Q87" r:id="rId171" xr:uid="{00000000-0004-0000-0800-0000AA000000}"/>
    <hyperlink ref="R87" r:id="rId172" xr:uid="{00000000-0004-0000-0800-0000AB000000}"/>
    <hyperlink ref="Q88" r:id="rId173" xr:uid="{00000000-0004-0000-0800-0000AC000000}"/>
    <hyperlink ref="R88" r:id="rId174" xr:uid="{00000000-0004-0000-0800-0000AD000000}"/>
    <hyperlink ref="Q89" r:id="rId175" xr:uid="{00000000-0004-0000-0800-0000AE000000}"/>
    <hyperlink ref="R89" r:id="rId176" xr:uid="{00000000-0004-0000-0800-0000AF000000}"/>
    <hyperlink ref="Q90" r:id="rId177" xr:uid="{00000000-0004-0000-0800-0000B0000000}"/>
    <hyperlink ref="R90" r:id="rId178" xr:uid="{00000000-0004-0000-0800-0000B1000000}"/>
    <hyperlink ref="Q91" r:id="rId179" xr:uid="{00000000-0004-0000-0800-0000B2000000}"/>
    <hyperlink ref="R91" r:id="rId180" xr:uid="{00000000-0004-0000-0800-0000B3000000}"/>
    <hyperlink ref="Q92" r:id="rId181" xr:uid="{00000000-0004-0000-0800-0000B4000000}"/>
    <hyperlink ref="R92" r:id="rId182" xr:uid="{00000000-0004-0000-0800-0000B5000000}"/>
    <hyperlink ref="Q93" r:id="rId183" xr:uid="{00000000-0004-0000-0800-0000B6000000}"/>
    <hyperlink ref="R93" r:id="rId184" xr:uid="{00000000-0004-0000-0800-0000B7000000}"/>
    <hyperlink ref="Q94" r:id="rId185" xr:uid="{00000000-0004-0000-0800-0000B8000000}"/>
    <hyperlink ref="R94" r:id="rId186" xr:uid="{00000000-0004-0000-0800-0000B9000000}"/>
    <hyperlink ref="Q95" r:id="rId187" xr:uid="{00000000-0004-0000-0800-0000BA000000}"/>
    <hyperlink ref="R95" r:id="rId188" xr:uid="{00000000-0004-0000-0800-0000BB000000}"/>
    <hyperlink ref="Q96" r:id="rId189" xr:uid="{00000000-0004-0000-0800-0000BC000000}"/>
    <hyperlink ref="R96" r:id="rId190" xr:uid="{00000000-0004-0000-0800-0000BD000000}"/>
    <hyperlink ref="Q97" r:id="rId191" xr:uid="{00000000-0004-0000-0800-0000BE000000}"/>
    <hyperlink ref="R97" r:id="rId192" xr:uid="{00000000-0004-0000-0800-0000BF000000}"/>
    <hyperlink ref="Q98" r:id="rId193" xr:uid="{00000000-0004-0000-0800-0000C0000000}"/>
    <hyperlink ref="R98" r:id="rId194" xr:uid="{00000000-0004-0000-0800-0000C1000000}"/>
    <hyperlink ref="Q99" r:id="rId195" xr:uid="{00000000-0004-0000-0800-0000C2000000}"/>
    <hyperlink ref="R99" r:id="rId196" xr:uid="{00000000-0004-0000-0800-0000C3000000}"/>
    <hyperlink ref="Q100" r:id="rId197" xr:uid="{00000000-0004-0000-0800-0000C4000000}"/>
    <hyperlink ref="R100" r:id="rId198" xr:uid="{00000000-0004-0000-0800-0000C5000000}"/>
    <hyperlink ref="Q101" r:id="rId199" xr:uid="{00000000-0004-0000-0800-0000C6000000}"/>
    <hyperlink ref="R101" r:id="rId200" xr:uid="{00000000-0004-0000-0800-0000C7000000}"/>
    <hyperlink ref="Q102" r:id="rId201" xr:uid="{00000000-0004-0000-0800-0000C8000000}"/>
    <hyperlink ref="R102" r:id="rId202" xr:uid="{00000000-0004-0000-0800-0000C9000000}"/>
    <hyperlink ref="Q103" r:id="rId203" xr:uid="{00000000-0004-0000-0800-0000CA000000}"/>
    <hyperlink ref="R103" r:id="rId204" xr:uid="{00000000-0004-0000-0800-0000CB000000}"/>
    <hyperlink ref="Q104" r:id="rId205" xr:uid="{00000000-0004-0000-0800-0000CC000000}"/>
    <hyperlink ref="R104" r:id="rId206" xr:uid="{00000000-0004-0000-0800-0000CD000000}"/>
    <hyperlink ref="Q105" r:id="rId207" xr:uid="{00000000-0004-0000-0800-0000CE000000}"/>
    <hyperlink ref="R105" r:id="rId208" xr:uid="{00000000-0004-0000-0800-0000CF000000}"/>
    <hyperlink ref="Q106" r:id="rId209" xr:uid="{00000000-0004-0000-0800-0000D0000000}"/>
    <hyperlink ref="R106" r:id="rId210" xr:uid="{00000000-0004-0000-0800-0000D1000000}"/>
    <hyperlink ref="Q107" r:id="rId211" xr:uid="{00000000-0004-0000-0800-0000D2000000}"/>
    <hyperlink ref="R107" r:id="rId212" xr:uid="{00000000-0004-0000-0800-0000D3000000}"/>
    <hyperlink ref="Q108" r:id="rId213" xr:uid="{00000000-0004-0000-0800-0000D4000000}"/>
    <hyperlink ref="R108" r:id="rId214" xr:uid="{00000000-0004-0000-0800-0000D5000000}"/>
    <hyperlink ref="Q109" r:id="rId215" xr:uid="{00000000-0004-0000-0800-0000D6000000}"/>
    <hyperlink ref="R109" r:id="rId216" xr:uid="{00000000-0004-0000-0800-0000D7000000}"/>
    <hyperlink ref="Q110" r:id="rId217" xr:uid="{00000000-0004-0000-0800-0000D8000000}"/>
    <hyperlink ref="R110" r:id="rId218" xr:uid="{00000000-0004-0000-0800-0000D9000000}"/>
    <hyperlink ref="Q111" r:id="rId219" xr:uid="{00000000-0004-0000-0800-0000DA000000}"/>
    <hyperlink ref="R111" r:id="rId220" xr:uid="{00000000-0004-0000-0800-0000DB000000}"/>
    <hyperlink ref="Q112" r:id="rId221" xr:uid="{00000000-0004-0000-0800-0000DC000000}"/>
    <hyperlink ref="R112" r:id="rId222" xr:uid="{00000000-0004-0000-0800-0000DD000000}"/>
    <hyperlink ref="Q113" r:id="rId223" xr:uid="{00000000-0004-0000-0800-0000DE000000}"/>
    <hyperlink ref="R113" r:id="rId224" xr:uid="{00000000-0004-0000-0800-0000DF000000}"/>
    <hyperlink ref="Q114" r:id="rId225" xr:uid="{00000000-0004-0000-0800-0000E0000000}"/>
    <hyperlink ref="R114" r:id="rId226" xr:uid="{00000000-0004-0000-0800-0000E1000000}"/>
    <hyperlink ref="Q115" r:id="rId227" xr:uid="{00000000-0004-0000-0800-0000E2000000}"/>
    <hyperlink ref="R115" r:id="rId228" xr:uid="{00000000-0004-0000-0800-0000E3000000}"/>
    <hyperlink ref="Q116" r:id="rId229" xr:uid="{00000000-0004-0000-0800-0000E4000000}"/>
    <hyperlink ref="R116" r:id="rId230" xr:uid="{00000000-0004-0000-0800-0000E5000000}"/>
    <hyperlink ref="Q117" r:id="rId231" xr:uid="{00000000-0004-0000-0800-0000E6000000}"/>
    <hyperlink ref="R117" r:id="rId232" xr:uid="{00000000-0004-0000-0800-0000E7000000}"/>
    <hyperlink ref="Q118" r:id="rId233" xr:uid="{00000000-0004-0000-0800-0000E8000000}"/>
    <hyperlink ref="R118" r:id="rId234" xr:uid="{00000000-0004-0000-0800-0000E9000000}"/>
    <hyperlink ref="Q119" r:id="rId235" xr:uid="{00000000-0004-0000-0800-0000EA000000}"/>
    <hyperlink ref="R119" r:id="rId236" xr:uid="{00000000-0004-0000-0800-0000EB000000}"/>
    <hyperlink ref="Q120" r:id="rId237" xr:uid="{00000000-0004-0000-0800-0000EC000000}"/>
    <hyperlink ref="R120" r:id="rId238" xr:uid="{00000000-0004-0000-0800-0000ED000000}"/>
    <hyperlink ref="Q121" r:id="rId239" xr:uid="{00000000-0004-0000-0800-0000EE000000}"/>
    <hyperlink ref="R121" r:id="rId240" xr:uid="{00000000-0004-0000-0800-0000EF000000}"/>
    <hyperlink ref="Q122" r:id="rId241" xr:uid="{00000000-0004-0000-0800-0000F0000000}"/>
    <hyperlink ref="R122" r:id="rId242" xr:uid="{00000000-0004-0000-0800-0000F1000000}"/>
    <hyperlink ref="Q123" r:id="rId243" xr:uid="{00000000-0004-0000-0800-0000F2000000}"/>
    <hyperlink ref="R123" r:id="rId244" xr:uid="{00000000-0004-0000-0800-0000F3000000}"/>
    <hyperlink ref="Q124" r:id="rId245" xr:uid="{00000000-0004-0000-0800-0000F4000000}"/>
    <hyperlink ref="R124" r:id="rId246" xr:uid="{00000000-0004-0000-0800-0000F5000000}"/>
    <hyperlink ref="Q125" r:id="rId247" xr:uid="{00000000-0004-0000-0800-0000F6000000}"/>
    <hyperlink ref="R125" r:id="rId248" xr:uid="{00000000-0004-0000-0800-0000F7000000}"/>
    <hyperlink ref="Q126" r:id="rId249" xr:uid="{00000000-0004-0000-0800-0000F8000000}"/>
    <hyperlink ref="R126" r:id="rId250" xr:uid="{00000000-0004-0000-0800-0000F9000000}"/>
    <hyperlink ref="Q127" r:id="rId251" xr:uid="{00000000-0004-0000-0800-0000FA000000}"/>
    <hyperlink ref="R127" r:id="rId252" xr:uid="{00000000-0004-0000-0800-0000FB000000}"/>
    <hyperlink ref="Q128" r:id="rId253" xr:uid="{00000000-0004-0000-0800-0000FC000000}"/>
    <hyperlink ref="R128" r:id="rId254" xr:uid="{00000000-0004-0000-0800-0000FD000000}"/>
    <hyperlink ref="Q129" r:id="rId255" xr:uid="{00000000-0004-0000-0800-0000FE000000}"/>
    <hyperlink ref="R129" r:id="rId256" xr:uid="{00000000-0004-0000-0800-0000FF000000}"/>
    <hyperlink ref="Q130" r:id="rId257" xr:uid="{00000000-0004-0000-0800-000000010000}"/>
    <hyperlink ref="R130" r:id="rId258" xr:uid="{00000000-0004-0000-0800-000001010000}"/>
    <hyperlink ref="Q131" r:id="rId259" xr:uid="{00000000-0004-0000-0800-000002010000}"/>
    <hyperlink ref="R131" r:id="rId260" xr:uid="{00000000-0004-0000-0800-000003010000}"/>
    <hyperlink ref="Q132" r:id="rId261" xr:uid="{00000000-0004-0000-0800-000004010000}"/>
    <hyperlink ref="R132" r:id="rId262" xr:uid="{00000000-0004-0000-0800-000005010000}"/>
    <hyperlink ref="Q133" r:id="rId263" xr:uid="{00000000-0004-0000-0800-000006010000}"/>
    <hyperlink ref="R133" r:id="rId264" xr:uid="{00000000-0004-0000-0800-000007010000}"/>
    <hyperlink ref="Q134" r:id="rId265" xr:uid="{00000000-0004-0000-0800-000008010000}"/>
    <hyperlink ref="R134" r:id="rId266" xr:uid="{00000000-0004-0000-0800-000009010000}"/>
    <hyperlink ref="Q135" r:id="rId267" xr:uid="{00000000-0004-0000-0800-00000A010000}"/>
    <hyperlink ref="R135" r:id="rId268" xr:uid="{00000000-0004-0000-0800-00000B010000}"/>
    <hyperlink ref="Q136" r:id="rId269" xr:uid="{00000000-0004-0000-0800-00000C010000}"/>
    <hyperlink ref="R136" r:id="rId270" xr:uid="{00000000-0004-0000-0800-00000D010000}"/>
    <hyperlink ref="Q137" r:id="rId271" xr:uid="{00000000-0004-0000-0800-00000E010000}"/>
    <hyperlink ref="R137" r:id="rId272" xr:uid="{00000000-0004-0000-0800-00000F010000}"/>
    <hyperlink ref="Q138" r:id="rId273" xr:uid="{00000000-0004-0000-0800-000010010000}"/>
    <hyperlink ref="R138" r:id="rId274" xr:uid="{00000000-0004-0000-0800-000011010000}"/>
    <hyperlink ref="Q139" r:id="rId275" xr:uid="{00000000-0004-0000-0800-000012010000}"/>
    <hyperlink ref="R139" r:id="rId276" xr:uid="{00000000-0004-0000-0800-000013010000}"/>
    <hyperlink ref="Q140" r:id="rId277" xr:uid="{00000000-0004-0000-0800-000014010000}"/>
    <hyperlink ref="R140" r:id="rId278" xr:uid="{00000000-0004-0000-0800-000015010000}"/>
    <hyperlink ref="Q141" r:id="rId279" xr:uid="{00000000-0004-0000-0800-000016010000}"/>
    <hyperlink ref="R141" r:id="rId280" xr:uid="{00000000-0004-0000-0800-000017010000}"/>
    <hyperlink ref="Q142" r:id="rId281" xr:uid="{00000000-0004-0000-0800-000018010000}"/>
    <hyperlink ref="R142" r:id="rId282" xr:uid="{00000000-0004-0000-0800-000019010000}"/>
    <hyperlink ref="Q143" r:id="rId283" xr:uid="{00000000-0004-0000-0800-00001A010000}"/>
    <hyperlink ref="R143" r:id="rId284" xr:uid="{00000000-0004-0000-0800-00001B010000}"/>
    <hyperlink ref="Q144" r:id="rId285" xr:uid="{00000000-0004-0000-0800-00001C010000}"/>
    <hyperlink ref="R144" r:id="rId286" xr:uid="{00000000-0004-0000-0800-00001D010000}"/>
    <hyperlink ref="Q145" r:id="rId287" xr:uid="{00000000-0004-0000-0800-00001E010000}"/>
    <hyperlink ref="R145" r:id="rId288" xr:uid="{00000000-0004-0000-0800-00001F010000}"/>
    <hyperlink ref="Q146" r:id="rId289" xr:uid="{00000000-0004-0000-0800-000020010000}"/>
    <hyperlink ref="R146" r:id="rId290" xr:uid="{00000000-0004-0000-0800-000021010000}"/>
    <hyperlink ref="Q147" r:id="rId291" xr:uid="{00000000-0004-0000-0800-000022010000}"/>
    <hyperlink ref="R147" r:id="rId292" xr:uid="{00000000-0004-0000-0800-000023010000}"/>
    <hyperlink ref="Q148" r:id="rId293" xr:uid="{00000000-0004-0000-0800-000024010000}"/>
    <hyperlink ref="R148" r:id="rId294" xr:uid="{00000000-0004-0000-0800-000025010000}"/>
    <hyperlink ref="Q149" r:id="rId295" xr:uid="{00000000-0004-0000-0800-000026010000}"/>
    <hyperlink ref="R149" r:id="rId296" xr:uid="{00000000-0004-0000-0800-000027010000}"/>
    <hyperlink ref="Q150" r:id="rId297" xr:uid="{00000000-0004-0000-0800-000028010000}"/>
    <hyperlink ref="R150" r:id="rId298" xr:uid="{00000000-0004-0000-0800-000029010000}"/>
    <hyperlink ref="Q151" r:id="rId299" xr:uid="{00000000-0004-0000-0800-00002A010000}"/>
    <hyperlink ref="R151" r:id="rId300" xr:uid="{00000000-0004-0000-0800-00002B010000}"/>
    <hyperlink ref="Q152" r:id="rId301" xr:uid="{00000000-0004-0000-0800-00002C010000}"/>
    <hyperlink ref="R152" r:id="rId302" xr:uid="{00000000-0004-0000-0800-00002D010000}"/>
    <hyperlink ref="Q153" r:id="rId303" xr:uid="{00000000-0004-0000-0800-00002E010000}"/>
    <hyperlink ref="R153" r:id="rId304" xr:uid="{00000000-0004-0000-0800-00002F010000}"/>
    <hyperlink ref="Q154" r:id="rId305" xr:uid="{00000000-0004-0000-0800-000030010000}"/>
    <hyperlink ref="R154" r:id="rId306" xr:uid="{00000000-0004-0000-0800-000031010000}"/>
    <hyperlink ref="Q155" r:id="rId307" xr:uid="{00000000-0004-0000-0800-000032010000}"/>
    <hyperlink ref="R155" r:id="rId308" xr:uid="{00000000-0004-0000-0800-000033010000}"/>
    <hyperlink ref="Q156" r:id="rId309" xr:uid="{00000000-0004-0000-0800-000034010000}"/>
    <hyperlink ref="R156" r:id="rId310" xr:uid="{00000000-0004-0000-0800-000035010000}"/>
    <hyperlink ref="Q157" r:id="rId311" xr:uid="{00000000-0004-0000-0800-000036010000}"/>
    <hyperlink ref="R157" r:id="rId312" xr:uid="{00000000-0004-0000-0800-000037010000}"/>
    <hyperlink ref="Q158" r:id="rId313" xr:uid="{00000000-0004-0000-0800-000038010000}"/>
    <hyperlink ref="R158" r:id="rId314" xr:uid="{00000000-0004-0000-0800-000039010000}"/>
    <hyperlink ref="Q159" r:id="rId315" xr:uid="{00000000-0004-0000-0800-00003A010000}"/>
    <hyperlink ref="R159" r:id="rId316" xr:uid="{00000000-0004-0000-0800-00003B010000}"/>
    <hyperlink ref="Q160" r:id="rId317" xr:uid="{00000000-0004-0000-0800-00003C010000}"/>
    <hyperlink ref="R160" r:id="rId318" xr:uid="{00000000-0004-0000-0800-00003D010000}"/>
    <hyperlink ref="Q161" r:id="rId319" xr:uid="{00000000-0004-0000-0800-00003E010000}"/>
    <hyperlink ref="R161" r:id="rId320" xr:uid="{00000000-0004-0000-0800-00003F010000}"/>
    <hyperlink ref="Q162" r:id="rId321" xr:uid="{00000000-0004-0000-0800-000040010000}"/>
    <hyperlink ref="R162" r:id="rId322" xr:uid="{00000000-0004-0000-0800-000041010000}"/>
    <hyperlink ref="Q163" r:id="rId323" xr:uid="{00000000-0004-0000-0800-000042010000}"/>
    <hyperlink ref="R163" r:id="rId324" xr:uid="{00000000-0004-0000-0800-000043010000}"/>
    <hyperlink ref="Q164" r:id="rId325" xr:uid="{00000000-0004-0000-0800-000044010000}"/>
    <hyperlink ref="R164" r:id="rId326" xr:uid="{00000000-0004-0000-0800-000045010000}"/>
    <hyperlink ref="Q165" r:id="rId327" xr:uid="{00000000-0004-0000-0800-000046010000}"/>
    <hyperlink ref="R165" r:id="rId328" xr:uid="{00000000-0004-0000-0800-000047010000}"/>
    <hyperlink ref="Q166" r:id="rId329" xr:uid="{00000000-0004-0000-0800-000048010000}"/>
    <hyperlink ref="R166" r:id="rId330" xr:uid="{00000000-0004-0000-0800-000049010000}"/>
    <hyperlink ref="Q167" r:id="rId331" xr:uid="{00000000-0004-0000-0800-00004A010000}"/>
    <hyperlink ref="R167" r:id="rId332" xr:uid="{00000000-0004-0000-0800-00004B010000}"/>
    <hyperlink ref="Q168" r:id="rId333" xr:uid="{00000000-0004-0000-0800-00004C010000}"/>
    <hyperlink ref="R168" r:id="rId334" xr:uid="{00000000-0004-0000-0800-00004D010000}"/>
    <hyperlink ref="Q169" r:id="rId335" xr:uid="{00000000-0004-0000-0800-00004E010000}"/>
    <hyperlink ref="R169" r:id="rId336" xr:uid="{00000000-0004-0000-0800-00004F010000}"/>
    <hyperlink ref="Q170" r:id="rId337" xr:uid="{00000000-0004-0000-0800-000050010000}"/>
    <hyperlink ref="R170" r:id="rId338" xr:uid="{00000000-0004-0000-0800-000051010000}"/>
    <hyperlink ref="Q171" r:id="rId339" xr:uid="{00000000-0004-0000-0800-000052010000}"/>
    <hyperlink ref="R171" r:id="rId340" xr:uid="{00000000-0004-0000-0800-000053010000}"/>
    <hyperlink ref="Q172" r:id="rId341" xr:uid="{00000000-0004-0000-0800-000054010000}"/>
    <hyperlink ref="R172" r:id="rId342" xr:uid="{00000000-0004-0000-0800-000055010000}"/>
    <hyperlink ref="Q173" r:id="rId343" xr:uid="{00000000-0004-0000-0800-000056010000}"/>
    <hyperlink ref="R173" r:id="rId344" xr:uid="{00000000-0004-0000-0800-000057010000}"/>
    <hyperlink ref="Q174" r:id="rId345" xr:uid="{00000000-0004-0000-0800-000058010000}"/>
    <hyperlink ref="R174" r:id="rId346" xr:uid="{00000000-0004-0000-0800-000059010000}"/>
    <hyperlink ref="Q175" r:id="rId347" xr:uid="{00000000-0004-0000-0800-00005A010000}"/>
    <hyperlink ref="R175" r:id="rId348" xr:uid="{00000000-0004-0000-0800-00005B010000}"/>
    <hyperlink ref="Q176" r:id="rId349" xr:uid="{00000000-0004-0000-0800-00005C010000}"/>
    <hyperlink ref="R176" r:id="rId350" xr:uid="{00000000-0004-0000-0800-00005D010000}"/>
    <hyperlink ref="Q177" r:id="rId351" xr:uid="{00000000-0004-0000-0800-00005E010000}"/>
    <hyperlink ref="R177" r:id="rId352" xr:uid="{00000000-0004-0000-0800-00005F010000}"/>
    <hyperlink ref="Q178" r:id="rId353" xr:uid="{00000000-0004-0000-0800-000060010000}"/>
    <hyperlink ref="R178" r:id="rId354" xr:uid="{00000000-0004-0000-0800-000061010000}"/>
    <hyperlink ref="Q179" r:id="rId355" xr:uid="{00000000-0004-0000-0800-000062010000}"/>
    <hyperlink ref="R179" r:id="rId356" xr:uid="{00000000-0004-0000-0800-000063010000}"/>
    <hyperlink ref="Q180" r:id="rId357" xr:uid="{00000000-0004-0000-0800-000064010000}"/>
    <hyperlink ref="R180" r:id="rId358" xr:uid="{00000000-0004-0000-0800-000065010000}"/>
    <hyperlink ref="Q181" r:id="rId359" xr:uid="{00000000-0004-0000-0800-000066010000}"/>
    <hyperlink ref="R181" r:id="rId360" xr:uid="{00000000-0004-0000-0800-000067010000}"/>
    <hyperlink ref="Q182" r:id="rId361" xr:uid="{00000000-0004-0000-0800-000068010000}"/>
    <hyperlink ref="R182" r:id="rId362" xr:uid="{00000000-0004-0000-0800-000069010000}"/>
    <hyperlink ref="Q183" r:id="rId363" xr:uid="{00000000-0004-0000-0800-00006A010000}"/>
    <hyperlink ref="R183" r:id="rId364" xr:uid="{00000000-0004-0000-0800-00006B010000}"/>
    <hyperlink ref="Q184" r:id="rId365" xr:uid="{00000000-0004-0000-0800-00006C010000}"/>
    <hyperlink ref="R184" r:id="rId366" xr:uid="{00000000-0004-0000-0800-00006D010000}"/>
    <hyperlink ref="Q185" r:id="rId367" xr:uid="{00000000-0004-0000-0800-00006E010000}"/>
    <hyperlink ref="R185" r:id="rId368" xr:uid="{00000000-0004-0000-0800-00006F010000}"/>
    <hyperlink ref="Q186" r:id="rId369" xr:uid="{00000000-0004-0000-0800-000070010000}"/>
    <hyperlink ref="R186" r:id="rId370" xr:uid="{00000000-0004-0000-0800-000071010000}"/>
    <hyperlink ref="Q187" r:id="rId371" xr:uid="{00000000-0004-0000-0800-000072010000}"/>
    <hyperlink ref="R187" r:id="rId372" xr:uid="{00000000-0004-0000-0800-000073010000}"/>
    <hyperlink ref="Q188" r:id="rId373" xr:uid="{00000000-0004-0000-0800-000074010000}"/>
    <hyperlink ref="R188" r:id="rId374" xr:uid="{00000000-0004-0000-0800-000075010000}"/>
    <hyperlink ref="Q189" r:id="rId375" xr:uid="{00000000-0004-0000-0800-000076010000}"/>
    <hyperlink ref="R189" r:id="rId376" xr:uid="{00000000-0004-0000-0800-000077010000}"/>
    <hyperlink ref="Q190" r:id="rId377" xr:uid="{00000000-0004-0000-0800-000078010000}"/>
    <hyperlink ref="R190" r:id="rId378" xr:uid="{00000000-0004-0000-0800-000079010000}"/>
    <hyperlink ref="Q191" r:id="rId379" xr:uid="{00000000-0004-0000-0800-00007A010000}"/>
    <hyperlink ref="R191" r:id="rId380" xr:uid="{00000000-0004-0000-0800-00007B010000}"/>
    <hyperlink ref="Q192" r:id="rId381" xr:uid="{00000000-0004-0000-0800-00007C010000}"/>
    <hyperlink ref="R192" r:id="rId382" xr:uid="{00000000-0004-0000-0800-00007D010000}"/>
    <hyperlink ref="Q193" r:id="rId383" xr:uid="{00000000-0004-0000-0800-00007E010000}"/>
    <hyperlink ref="R193" r:id="rId384" xr:uid="{00000000-0004-0000-0800-00007F010000}"/>
    <hyperlink ref="Q194" r:id="rId385" xr:uid="{00000000-0004-0000-0800-000080010000}"/>
    <hyperlink ref="R194" r:id="rId386" xr:uid="{00000000-0004-0000-0800-000081010000}"/>
    <hyperlink ref="Q195" r:id="rId387" xr:uid="{00000000-0004-0000-0800-000082010000}"/>
    <hyperlink ref="R195" r:id="rId388" xr:uid="{00000000-0004-0000-0800-000083010000}"/>
    <hyperlink ref="Q196" r:id="rId389" xr:uid="{00000000-0004-0000-0800-000084010000}"/>
    <hyperlink ref="R196" r:id="rId390" xr:uid="{00000000-0004-0000-0800-000085010000}"/>
    <hyperlink ref="Q197" r:id="rId391" xr:uid="{00000000-0004-0000-0800-000086010000}"/>
    <hyperlink ref="R197" r:id="rId392" xr:uid="{00000000-0004-0000-0800-000087010000}"/>
    <hyperlink ref="Q198" r:id="rId393" xr:uid="{00000000-0004-0000-0800-000088010000}"/>
    <hyperlink ref="R198" r:id="rId394" xr:uid="{00000000-0004-0000-0800-000089010000}"/>
    <hyperlink ref="Q199" r:id="rId395" xr:uid="{00000000-0004-0000-0800-00008A010000}"/>
    <hyperlink ref="R199" r:id="rId396" xr:uid="{00000000-0004-0000-0800-00008B010000}"/>
    <hyperlink ref="Q200" r:id="rId397" xr:uid="{00000000-0004-0000-0800-00008C010000}"/>
    <hyperlink ref="R200" r:id="rId398" xr:uid="{00000000-0004-0000-0800-00008D010000}"/>
    <hyperlink ref="Q201" r:id="rId399" xr:uid="{00000000-0004-0000-0800-00008E010000}"/>
    <hyperlink ref="R201" r:id="rId400" xr:uid="{00000000-0004-0000-0800-00008F010000}"/>
    <hyperlink ref="Q202" r:id="rId401" xr:uid="{00000000-0004-0000-0800-000090010000}"/>
    <hyperlink ref="R202" r:id="rId402" xr:uid="{00000000-0004-0000-0800-000091010000}"/>
    <hyperlink ref="Q203" r:id="rId403" xr:uid="{00000000-0004-0000-0800-000092010000}"/>
    <hyperlink ref="R203" r:id="rId404" xr:uid="{00000000-0004-0000-0800-000093010000}"/>
    <hyperlink ref="Q204" r:id="rId405" xr:uid="{00000000-0004-0000-0800-000094010000}"/>
    <hyperlink ref="R204" r:id="rId406" xr:uid="{00000000-0004-0000-0800-000095010000}"/>
    <hyperlink ref="Q205" r:id="rId407" xr:uid="{00000000-0004-0000-0800-000096010000}"/>
    <hyperlink ref="R205" r:id="rId408" xr:uid="{00000000-0004-0000-0800-000097010000}"/>
    <hyperlink ref="Q206" r:id="rId409" xr:uid="{00000000-0004-0000-0800-000098010000}"/>
    <hyperlink ref="R206" r:id="rId410" xr:uid="{00000000-0004-0000-0800-000099010000}"/>
    <hyperlink ref="Q207" r:id="rId411" xr:uid="{00000000-0004-0000-0800-00009A010000}"/>
    <hyperlink ref="R207" r:id="rId412" xr:uid="{00000000-0004-0000-0800-00009B010000}"/>
    <hyperlink ref="Q208" r:id="rId413" xr:uid="{00000000-0004-0000-0800-00009C010000}"/>
    <hyperlink ref="R208" r:id="rId414" xr:uid="{00000000-0004-0000-0800-00009D010000}"/>
    <hyperlink ref="Q209" r:id="rId415" xr:uid="{00000000-0004-0000-0800-00009E010000}"/>
    <hyperlink ref="R209" r:id="rId416" xr:uid="{00000000-0004-0000-0800-00009F010000}"/>
    <hyperlink ref="Q210" r:id="rId417" xr:uid="{00000000-0004-0000-0800-0000A0010000}"/>
    <hyperlink ref="R210" r:id="rId418" xr:uid="{00000000-0004-0000-0800-0000A1010000}"/>
    <hyperlink ref="Q211" r:id="rId419" xr:uid="{00000000-0004-0000-0800-0000A2010000}"/>
    <hyperlink ref="R211" r:id="rId420" xr:uid="{00000000-0004-0000-0800-0000A3010000}"/>
    <hyperlink ref="Q212" r:id="rId421" xr:uid="{00000000-0004-0000-0800-0000A4010000}"/>
    <hyperlink ref="R212" r:id="rId422" xr:uid="{00000000-0004-0000-0800-0000A5010000}"/>
    <hyperlink ref="Q213" r:id="rId423" xr:uid="{00000000-0004-0000-0800-0000A6010000}"/>
    <hyperlink ref="R213" r:id="rId424" xr:uid="{00000000-0004-0000-0800-0000A7010000}"/>
    <hyperlink ref="Q214" r:id="rId425" xr:uid="{00000000-0004-0000-0800-0000A8010000}"/>
    <hyperlink ref="R214" r:id="rId426" xr:uid="{00000000-0004-0000-0800-0000A9010000}"/>
    <hyperlink ref="Q215" r:id="rId427" xr:uid="{00000000-0004-0000-0800-0000AA010000}"/>
    <hyperlink ref="R215" r:id="rId428" xr:uid="{00000000-0004-0000-0800-0000AB010000}"/>
    <hyperlink ref="Q216" r:id="rId429" xr:uid="{00000000-0004-0000-0800-0000AC010000}"/>
    <hyperlink ref="R216" r:id="rId430" xr:uid="{00000000-0004-0000-0800-0000AD010000}"/>
    <hyperlink ref="Q217" r:id="rId431" xr:uid="{00000000-0004-0000-0800-0000AE010000}"/>
    <hyperlink ref="R217" r:id="rId432" xr:uid="{00000000-0004-0000-0800-0000AF010000}"/>
    <hyperlink ref="Q218" r:id="rId433" xr:uid="{00000000-0004-0000-0800-0000B0010000}"/>
    <hyperlink ref="R218" r:id="rId434" xr:uid="{00000000-0004-0000-0800-0000B1010000}"/>
    <hyperlink ref="Q219" r:id="rId435" xr:uid="{00000000-0004-0000-0800-0000B2010000}"/>
    <hyperlink ref="R219" r:id="rId436" xr:uid="{00000000-0004-0000-0800-0000B3010000}"/>
    <hyperlink ref="Q220" r:id="rId437" xr:uid="{00000000-0004-0000-0800-0000B4010000}"/>
    <hyperlink ref="R220" r:id="rId438" xr:uid="{00000000-0004-0000-0800-0000B5010000}"/>
    <hyperlink ref="Q221" r:id="rId439" xr:uid="{00000000-0004-0000-0800-0000B6010000}"/>
    <hyperlink ref="R221" r:id="rId440" xr:uid="{00000000-0004-0000-0800-0000B7010000}"/>
    <hyperlink ref="Q222" r:id="rId441" xr:uid="{00000000-0004-0000-0800-0000B8010000}"/>
    <hyperlink ref="R222" r:id="rId442" xr:uid="{00000000-0004-0000-0800-0000B9010000}"/>
    <hyperlink ref="Q223" r:id="rId443" xr:uid="{00000000-0004-0000-0800-0000BA010000}"/>
    <hyperlink ref="R223" r:id="rId444" xr:uid="{00000000-0004-0000-0800-0000BB010000}"/>
    <hyperlink ref="Q224" r:id="rId445" xr:uid="{00000000-0004-0000-0800-0000BC010000}"/>
    <hyperlink ref="R224" r:id="rId446" xr:uid="{00000000-0004-0000-0800-0000BD010000}"/>
    <hyperlink ref="Q225" r:id="rId447" xr:uid="{00000000-0004-0000-0800-0000BE010000}"/>
    <hyperlink ref="R225" r:id="rId448" xr:uid="{00000000-0004-0000-0800-0000BF010000}"/>
    <hyperlink ref="Q226" r:id="rId449" xr:uid="{00000000-0004-0000-0800-0000C0010000}"/>
    <hyperlink ref="R226" r:id="rId450" xr:uid="{00000000-0004-0000-0800-0000C1010000}"/>
    <hyperlink ref="Q227" r:id="rId451" xr:uid="{00000000-0004-0000-0800-0000C2010000}"/>
    <hyperlink ref="R227" r:id="rId452" xr:uid="{00000000-0004-0000-0800-0000C3010000}"/>
    <hyperlink ref="Q228" r:id="rId453" xr:uid="{00000000-0004-0000-0800-0000C4010000}"/>
    <hyperlink ref="R228" r:id="rId454" xr:uid="{00000000-0004-0000-0800-0000C5010000}"/>
    <hyperlink ref="Q229" r:id="rId455" xr:uid="{00000000-0004-0000-0800-0000C6010000}"/>
    <hyperlink ref="R229" r:id="rId456" xr:uid="{00000000-0004-0000-0800-0000C7010000}"/>
    <hyperlink ref="Q230" r:id="rId457" xr:uid="{00000000-0004-0000-0800-0000C8010000}"/>
    <hyperlink ref="R230" r:id="rId458" xr:uid="{00000000-0004-0000-0800-0000C9010000}"/>
    <hyperlink ref="Q231" r:id="rId459" xr:uid="{00000000-0004-0000-0800-0000CA010000}"/>
    <hyperlink ref="R231" r:id="rId460" xr:uid="{00000000-0004-0000-0800-0000CB010000}"/>
    <hyperlink ref="Q232" r:id="rId461" xr:uid="{00000000-0004-0000-0800-0000CC010000}"/>
    <hyperlink ref="R232" r:id="rId462" xr:uid="{00000000-0004-0000-0800-0000CD010000}"/>
    <hyperlink ref="Q233" r:id="rId463" xr:uid="{00000000-0004-0000-0800-0000CE010000}"/>
    <hyperlink ref="R233" r:id="rId464" xr:uid="{00000000-0004-0000-0800-0000CF010000}"/>
    <hyperlink ref="Q234" r:id="rId465" xr:uid="{00000000-0004-0000-0800-0000D0010000}"/>
    <hyperlink ref="R234" r:id="rId466" xr:uid="{00000000-0004-0000-0800-0000D1010000}"/>
    <hyperlink ref="Q235" r:id="rId467" xr:uid="{00000000-0004-0000-0800-0000D2010000}"/>
    <hyperlink ref="R235" r:id="rId468" xr:uid="{00000000-0004-0000-0800-0000D3010000}"/>
    <hyperlink ref="Q236" r:id="rId469" xr:uid="{00000000-0004-0000-0800-0000D4010000}"/>
    <hyperlink ref="R236" r:id="rId470" xr:uid="{00000000-0004-0000-0800-0000D5010000}"/>
    <hyperlink ref="Q237" r:id="rId471" xr:uid="{00000000-0004-0000-0800-0000D6010000}"/>
    <hyperlink ref="R237" r:id="rId472" xr:uid="{00000000-0004-0000-0800-0000D7010000}"/>
    <hyperlink ref="Q238" r:id="rId473" xr:uid="{00000000-0004-0000-0800-0000D8010000}"/>
    <hyperlink ref="R238" r:id="rId474" xr:uid="{00000000-0004-0000-0800-0000D9010000}"/>
    <hyperlink ref="Q239" r:id="rId475" xr:uid="{00000000-0004-0000-0800-0000DA010000}"/>
    <hyperlink ref="R239" r:id="rId476" xr:uid="{00000000-0004-0000-0800-0000DB010000}"/>
    <hyperlink ref="Q240" r:id="rId477" xr:uid="{00000000-0004-0000-0800-0000DC010000}"/>
    <hyperlink ref="R240" r:id="rId478" xr:uid="{00000000-0004-0000-0800-0000DD010000}"/>
    <hyperlink ref="Q241" r:id="rId479" xr:uid="{00000000-0004-0000-0800-0000DE010000}"/>
    <hyperlink ref="R241" r:id="rId480" xr:uid="{00000000-0004-0000-0800-0000DF010000}"/>
    <hyperlink ref="Q242" r:id="rId481" xr:uid="{00000000-0004-0000-0800-0000E0010000}"/>
    <hyperlink ref="R242" r:id="rId482" xr:uid="{00000000-0004-0000-0800-0000E1010000}"/>
    <hyperlink ref="Q243" r:id="rId483" xr:uid="{00000000-0004-0000-0800-0000E2010000}"/>
    <hyperlink ref="R243" r:id="rId484" xr:uid="{00000000-0004-0000-0800-0000E3010000}"/>
    <hyperlink ref="Q244" r:id="rId485" xr:uid="{00000000-0004-0000-0800-0000E4010000}"/>
    <hyperlink ref="R244" r:id="rId486" xr:uid="{00000000-0004-0000-0800-0000E5010000}"/>
    <hyperlink ref="Q245" r:id="rId487" xr:uid="{00000000-0004-0000-0800-0000E6010000}"/>
    <hyperlink ref="R245" r:id="rId488" xr:uid="{00000000-0004-0000-0800-0000E7010000}"/>
    <hyperlink ref="Q246" r:id="rId489" xr:uid="{00000000-0004-0000-0800-0000E8010000}"/>
    <hyperlink ref="R246" r:id="rId490" xr:uid="{00000000-0004-0000-0800-0000E9010000}"/>
    <hyperlink ref="Q247" r:id="rId491" xr:uid="{00000000-0004-0000-0800-0000EA010000}"/>
    <hyperlink ref="R247" r:id="rId492" xr:uid="{00000000-0004-0000-0800-0000EB010000}"/>
    <hyperlink ref="Q248" r:id="rId493" xr:uid="{00000000-0004-0000-0800-0000EC010000}"/>
    <hyperlink ref="R248" r:id="rId494" xr:uid="{00000000-0004-0000-0800-0000ED010000}"/>
    <hyperlink ref="Q249" r:id="rId495" xr:uid="{00000000-0004-0000-0800-0000EE010000}"/>
    <hyperlink ref="R249" r:id="rId496" xr:uid="{00000000-0004-0000-0800-0000EF010000}"/>
    <hyperlink ref="Q250" r:id="rId497" xr:uid="{00000000-0004-0000-0800-0000F0010000}"/>
    <hyperlink ref="R250" r:id="rId498" xr:uid="{00000000-0004-0000-0800-0000F1010000}"/>
    <hyperlink ref="Q251" r:id="rId499" xr:uid="{00000000-0004-0000-0800-0000F2010000}"/>
    <hyperlink ref="R251" r:id="rId500" xr:uid="{00000000-0004-0000-0800-0000F3010000}"/>
    <hyperlink ref="Q252" r:id="rId501" xr:uid="{00000000-0004-0000-0800-0000F4010000}"/>
    <hyperlink ref="R252" r:id="rId502" xr:uid="{00000000-0004-0000-0800-0000F5010000}"/>
    <hyperlink ref="Q253" r:id="rId503" xr:uid="{00000000-0004-0000-0800-0000F6010000}"/>
    <hyperlink ref="R253" r:id="rId504" xr:uid="{00000000-0004-0000-0800-0000F7010000}"/>
    <hyperlink ref="Q254" r:id="rId505" xr:uid="{00000000-0004-0000-0800-0000F8010000}"/>
    <hyperlink ref="R254" r:id="rId506" xr:uid="{00000000-0004-0000-0800-0000F9010000}"/>
    <hyperlink ref="Q255" r:id="rId507" xr:uid="{00000000-0004-0000-0800-0000FA010000}"/>
    <hyperlink ref="R255" r:id="rId508" xr:uid="{00000000-0004-0000-0800-0000FB010000}"/>
    <hyperlink ref="Q256" r:id="rId509" xr:uid="{00000000-0004-0000-0800-0000FC010000}"/>
    <hyperlink ref="R256" r:id="rId510" xr:uid="{00000000-0004-0000-0800-0000FD010000}"/>
    <hyperlink ref="Q257" r:id="rId511" xr:uid="{00000000-0004-0000-0800-0000FE010000}"/>
    <hyperlink ref="R257" r:id="rId512" xr:uid="{00000000-0004-0000-0800-0000FF010000}"/>
    <hyperlink ref="Q258" r:id="rId513" xr:uid="{00000000-0004-0000-0800-000000020000}"/>
    <hyperlink ref="R258" r:id="rId514" xr:uid="{00000000-0004-0000-0800-000001020000}"/>
    <hyperlink ref="Q259" r:id="rId515" xr:uid="{00000000-0004-0000-0800-000002020000}"/>
    <hyperlink ref="R259" r:id="rId516" xr:uid="{00000000-0004-0000-0800-000003020000}"/>
    <hyperlink ref="Q260" r:id="rId517" xr:uid="{00000000-0004-0000-0800-000004020000}"/>
    <hyperlink ref="R260" r:id="rId518" xr:uid="{00000000-0004-0000-0800-000005020000}"/>
    <hyperlink ref="Q261" r:id="rId519" xr:uid="{00000000-0004-0000-0800-000006020000}"/>
    <hyperlink ref="R261" r:id="rId520" xr:uid="{00000000-0004-0000-0800-000007020000}"/>
    <hyperlink ref="Q262" r:id="rId521" xr:uid="{00000000-0004-0000-0800-000008020000}"/>
    <hyperlink ref="R262" r:id="rId522" xr:uid="{00000000-0004-0000-0800-000009020000}"/>
    <hyperlink ref="Q263" r:id="rId523" xr:uid="{00000000-0004-0000-0800-00000A020000}"/>
    <hyperlink ref="R263" r:id="rId524" xr:uid="{00000000-0004-0000-0800-00000B020000}"/>
    <hyperlink ref="Q264" r:id="rId525" xr:uid="{00000000-0004-0000-0800-00000C020000}"/>
    <hyperlink ref="R264" r:id="rId526" xr:uid="{00000000-0004-0000-0800-00000D020000}"/>
    <hyperlink ref="Q265" r:id="rId527" xr:uid="{00000000-0004-0000-0800-00000E020000}"/>
    <hyperlink ref="R265" r:id="rId528" xr:uid="{00000000-0004-0000-0800-00000F020000}"/>
    <hyperlink ref="Q266" r:id="rId529" xr:uid="{00000000-0004-0000-0800-000010020000}"/>
    <hyperlink ref="R266" r:id="rId530" xr:uid="{00000000-0004-0000-0800-000011020000}"/>
    <hyperlink ref="Q267" r:id="rId531" xr:uid="{00000000-0004-0000-0800-000012020000}"/>
    <hyperlink ref="R267" r:id="rId532" xr:uid="{00000000-0004-0000-0800-000013020000}"/>
    <hyperlink ref="Q268" r:id="rId533" xr:uid="{00000000-0004-0000-0800-000014020000}"/>
    <hyperlink ref="R268" r:id="rId534" xr:uid="{00000000-0004-0000-0800-000015020000}"/>
    <hyperlink ref="Q269" r:id="rId535" xr:uid="{00000000-0004-0000-0800-000016020000}"/>
    <hyperlink ref="R269" r:id="rId536" xr:uid="{00000000-0004-0000-0800-000017020000}"/>
    <hyperlink ref="Q270" r:id="rId537" xr:uid="{00000000-0004-0000-0800-000018020000}"/>
    <hyperlink ref="R270" r:id="rId538" xr:uid="{00000000-0004-0000-0800-000019020000}"/>
    <hyperlink ref="Q271" r:id="rId539" xr:uid="{00000000-0004-0000-0800-00001A020000}"/>
    <hyperlink ref="R271" r:id="rId540" xr:uid="{00000000-0004-0000-0800-00001B020000}"/>
    <hyperlink ref="Q272" r:id="rId541" xr:uid="{00000000-0004-0000-0800-00001C020000}"/>
    <hyperlink ref="R272" r:id="rId542" xr:uid="{00000000-0004-0000-0800-00001D020000}"/>
    <hyperlink ref="Q273" r:id="rId543" xr:uid="{00000000-0004-0000-0800-00001E020000}"/>
    <hyperlink ref="R273" r:id="rId544" xr:uid="{00000000-0004-0000-0800-00001F020000}"/>
    <hyperlink ref="Q274" r:id="rId545" xr:uid="{00000000-0004-0000-0800-000020020000}"/>
    <hyperlink ref="R274" r:id="rId546" xr:uid="{00000000-0004-0000-0800-000021020000}"/>
    <hyperlink ref="Q275" r:id="rId547" xr:uid="{00000000-0004-0000-0800-000022020000}"/>
    <hyperlink ref="R275" r:id="rId548" xr:uid="{00000000-0004-0000-0800-000023020000}"/>
    <hyperlink ref="Q276" r:id="rId549" xr:uid="{00000000-0004-0000-0800-000024020000}"/>
    <hyperlink ref="R276" r:id="rId550" xr:uid="{00000000-0004-0000-0800-000025020000}"/>
    <hyperlink ref="Q277" r:id="rId551" xr:uid="{00000000-0004-0000-0800-000026020000}"/>
    <hyperlink ref="R277" r:id="rId552" xr:uid="{00000000-0004-0000-0800-000027020000}"/>
    <hyperlink ref="Q278" r:id="rId553" xr:uid="{00000000-0004-0000-0800-000028020000}"/>
    <hyperlink ref="R278" r:id="rId554" xr:uid="{00000000-0004-0000-0800-000029020000}"/>
    <hyperlink ref="Q279" r:id="rId555" xr:uid="{00000000-0004-0000-0800-00002A020000}"/>
    <hyperlink ref="R279" r:id="rId556" xr:uid="{00000000-0004-0000-0800-00002B020000}"/>
    <hyperlink ref="Q280" r:id="rId557" xr:uid="{00000000-0004-0000-0800-00002C020000}"/>
    <hyperlink ref="R280" r:id="rId558" xr:uid="{00000000-0004-0000-0800-00002D020000}"/>
    <hyperlink ref="Q281" r:id="rId559" xr:uid="{00000000-0004-0000-0800-00002E020000}"/>
    <hyperlink ref="R281" r:id="rId560" xr:uid="{00000000-0004-0000-0800-00002F020000}"/>
    <hyperlink ref="Q282" r:id="rId561" xr:uid="{00000000-0004-0000-0800-000030020000}"/>
    <hyperlink ref="R282" r:id="rId562" xr:uid="{00000000-0004-0000-0800-000031020000}"/>
    <hyperlink ref="Q283" r:id="rId563" xr:uid="{00000000-0004-0000-0800-000032020000}"/>
    <hyperlink ref="R283" r:id="rId564" xr:uid="{00000000-0004-0000-0800-000033020000}"/>
    <hyperlink ref="Q284" r:id="rId565" xr:uid="{00000000-0004-0000-0800-000034020000}"/>
    <hyperlink ref="R284" r:id="rId566" xr:uid="{00000000-0004-0000-0800-000035020000}"/>
    <hyperlink ref="Q285" r:id="rId567" xr:uid="{00000000-0004-0000-0800-000036020000}"/>
    <hyperlink ref="R285" r:id="rId568" xr:uid="{00000000-0004-0000-0800-000037020000}"/>
    <hyperlink ref="Q286" r:id="rId569" xr:uid="{00000000-0004-0000-0800-000038020000}"/>
    <hyperlink ref="R286" r:id="rId570" xr:uid="{00000000-0004-0000-0800-000039020000}"/>
    <hyperlink ref="Q287" r:id="rId571" xr:uid="{00000000-0004-0000-0800-00003A020000}"/>
    <hyperlink ref="R287" r:id="rId572" xr:uid="{00000000-0004-0000-0800-00003B020000}"/>
    <hyperlink ref="Q288" r:id="rId573" xr:uid="{00000000-0004-0000-0800-00003C020000}"/>
    <hyperlink ref="R288" r:id="rId574" xr:uid="{00000000-0004-0000-0800-00003D020000}"/>
    <hyperlink ref="Q289" r:id="rId575" xr:uid="{00000000-0004-0000-0800-00003E020000}"/>
    <hyperlink ref="R289" r:id="rId576" xr:uid="{00000000-0004-0000-0800-00003F020000}"/>
    <hyperlink ref="Q290" r:id="rId577" xr:uid="{00000000-0004-0000-0800-000040020000}"/>
    <hyperlink ref="R290" r:id="rId578" xr:uid="{00000000-0004-0000-0800-000041020000}"/>
    <hyperlink ref="Q291" r:id="rId579" xr:uid="{00000000-0004-0000-0800-000042020000}"/>
    <hyperlink ref="R291" r:id="rId580" xr:uid="{00000000-0004-0000-0800-000043020000}"/>
    <hyperlink ref="Q292" r:id="rId581" xr:uid="{00000000-0004-0000-0800-000044020000}"/>
    <hyperlink ref="R292" r:id="rId582" xr:uid="{00000000-0004-0000-0800-000045020000}"/>
    <hyperlink ref="Q293" r:id="rId583" xr:uid="{00000000-0004-0000-0800-000046020000}"/>
    <hyperlink ref="R293" r:id="rId584" xr:uid="{00000000-0004-0000-0800-000047020000}"/>
    <hyperlink ref="Q294" r:id="rId585" xr:uid="{00000000-0004-0000-0800-000048020000}"/>
    <hyperlink ref="R294" r:id="rId586" xr:uid="{00000000-0004-0000-0800-000049020000}"/>
    <hyperlink ref="Q295" r:id="rId587" xr:uid="{00000000-0004-0000-0800-00004A020000}"/>
    <hyperlink ref="R295" r:id="rId588" xr:uid="{00000000-0004-0000-0800-00004B020000}"/>
    <hyperlink ref="Q296" r:id="rId589" xr:uid="{00000000-0004-0000-0800-00004C020000}"/>
    <hyperlink ref="R296" r:id="rId590" xr:uid="{00000000-0004-0000-0800-00004D020000}"/>
    <hyperlink ref="Q297" r:id="rId591" xr:uid="{00000000-0004-0000-0800-00004E020000}"/>
    <hyperlink ref="R297" r:id="rId592" xr:uid="{00000000-0004-0000-0800-00004F020000}"/>
    <hyperlink ref="Q298" r:id="rId593" xr:uid="{00000000-0004-0000-0800-000050020000}"/>
    <hyperlink ref="R298" r:id="rId594" xr:uid="{00000000-0004-0000-0800-000051020000}"/>
    <hyperlink ref="Q299" r:id="rId595" xr:uid="{00000000-0004-0000-0800-000052020000}"/>
    <hyperlink ref="R299" r:id="rId596" xr:uid="{00000000-0004-0000-0800-000053020000}"/>
    <hyperlink ref="Q300" r:id="rId597" xr:uid="{00000000-0004-0000-0800-000054020000}"/>
    <hyperlink ref="R300" r:id="rId598" xr:uid="{00000000-0004-0000-0800-000055020000}"/>
    <hyperlink ref="Q301" r:id="rId599" xr:uid="{00000000-0004-0000-0800-000056020000}"/>
    <hyperlink ref="R301" r:id="rId600" xr:uid="{00000000-0004-0000-0800-000057020000}"/>
    <hyperlink ref="Q302" r:id="rId601" xr:uid="{00000000-0004-0000-0800-000058020000}"/>
    <hyperlink ref="R302" r:id="rId602" xr:uid="{00000000-0004-0000-0800-000059020000}"/>
    <hyperlink ref="Q303" r:id="rId603" xr:uid="{00000000-0004-0000-0800-00005A020000}"/>
    <hyperlink ref="R303" r:id="rId604" xr:uid="{00000000-0004-0000-0800-00005B020000}"/>
    <hyperlink ref="Q304" r:id="rId605" xr:uid="{00000000-0004-0000-0800-00005C020000}"/>
    <hyperlink ref="R304" r:id="rId606" xr:uid="{00000000-0004-0000-0800-00005D020000}"/>
    <hyperlink ref="Q305" r:id="rId607" xr:uid="{00000000-0004-0000-0800-00005E020000}"/>
    <hyperlink ref="R305" r:id="rId608" xr:uid="{00000000-0004-0000-0800-00005F020000}"/>
    <hyperlink ref="Q306" r:id="rId609" xr:uid="{00000000-0004-0000-0800-000060020000}"/>
    <hyperlink ref="R306" r:id="rId610" xr:uid="{00000000-0004-0000-0800-000061020000}"/>
    <hyperlink ref="Q307" r:id="rId611" xr:uid="{00000000-0004-0000-0800-000062020000}"/>
    <hyperlink ref="R307" r:id="rId612" xr:uid="{00000000-0004-0000-0800-000063020000}"/>
    <hyperlink ref="Q308" r:id="rId613" xr:uid="{00000000-0004-0000-0800-000064020000}"/>
    <hyperlink ref="R308" r:id="rId614" xr:uid="{00000000-0004-0000-0800-000065020000}"/>
    <hyperlink ref="Q309" r:id="rId615" xr:uid="{00000000-0004-0000-0800-000066020000}"/>
    <hyperlink ref="R309" r:id="rId616" xr:uid="{00000000-0004-0000-0800-000067020000}"/>
    <hyperlink ref="Q310" r:id="rId617" xr:uid="{00000000-0004-0000-0800-000068020000}"/>
    <hyperlink ref="R310" r:id="rId618" xr:uid="{00000000-0004-0000-0800-000069020000}"/>
    <hyperlink ref="Q311" r:id="rId619" xr:uid="{00000000-0004-0000-0800-00006A020000}"/>
    <hyperlink ref="R311" r:id="rId620" xr:uid="{00000000-0004-0000-0800-00006B020000}"/>
    <hyperlink ref="Q312" r:id="rId621" xr:uid="{00000000-0004-0000-0800-00006C020000}"/>
    <hyperlink ref="R312" r:id="rId622" xr:uid="{00000000-0004-0000-0800-00006D020000}"/>
    <hyperlink ref="Q313" r:id="rId623" xr:uid="{00000000-0004-0000-0800-00006E020000}"/>
    <hyperlink ref="R313" r:id="rId624" xr:uid="{00000000-0004-0000-0800-00006F020000}"/>
    <hyperlink ref="Q314" r:id="rId625" xr:uid="{00000000-0004-0000-0800-000070020000}"/>
    <hyperlink ref="R314" r:id="rId626" xr:uid="{00000000-0004-0000-0800-000071020000}"/>
    <hyperlink ref="Q315" r:id="rId627" xr:uid="{00000000-0004-0000-0800-000072020000}"/>
    <hyperlink ref="R315" r:id="rId628" xr:uid="{00000000-0004-0000-0800-000073020000}"/>
    <hyperlink ref="Q316" r:id="rId629" xr:uid="{00000000-0004-0000-0800-000074020000}"/>
    <hyperlink ref="R316" r:id="rId630" xr:uid="{00000000-0004-0000-0800-000075020000}"/>
    <hyperlink ref="Q317" r:id="rId631" xr:uid="{00000000-0004-0000-0800-000076020000}"/>
    <hyperlink ref="R317" r:id="rId632" xr:uid="{00000000-0004-0000-0800-000077020000}"/>
    <hyperlink ref="Q318" r:id="rId633" xr:uid="{00000000-0004-0000-0800-000078020000}"/>
    <hyperlink ref="R318" r:id="rId634" xr:uid="{00000000-0004-0000-0800-000079020000}"/>
    <hyperlink ref="Q319" r:id="rId635" xr:uid="{00000000-0004-0000-0800-00007A020000}"/>
    <hyperlink ref="R319" r:id="rId636" xr:uid="{00000000-0004-0000-0800-00007B020000}"/>
    <hyperlink ref="Q320" r:id="rId637" xr:uid="{00000000-0004-0000-0800-00007C020000}"/>
    <hyperlink ref="R320" r:id="rId638" xr:uid="{00000000-0004-0000-0800-00007D020000}"/>
    <hyperlink ref="Q321" r:id="rId639" xr:uid="{00000000-0004-0000-0800-00007E020000}"/>
    <hyperlink ref="R321" r:id="rId640" xr:uid="{00000000-0004-0000-0800-00007F020000}"/>
    <hyperlink ref="Q322" r:id="rId641" xr:uid="{00000000-0004-0000-0800-000080020000}"/>
    <hyperlink ref="R322" r:id="rId642" xr:uid="{00000000-0004-0000-0800-000081020000}"/>
    <hyperlink ref="Q323" r:id="rId643" xr:uid="{00000000-0004-0000-0800-000082020000}"/>
    <hyperlink ref="R323" r:id="rId644" xr:uid="{00000000-0004-0000-0800-000083020000}"/>
    <hyperlink ref="Q324" r:id="rId645" xr:uid="{00000000-0004-0000-0800-000084020000}"/>
    <hyperlink ref="R324" r:id="rId646" xr:uid="{00000000-0004-0000-0800-000085020000}"/>
    <hyperlink ref="Q325" r:id="rId647" xr:uid="{00000000-0004-0000-0800-000086020000}"/>
    <hyperlink ref="R325" r:id="rId648" xr:uid="{00000000-0004-0000-0800-000087020000}"/>
    <hyperlink ref="Q326" r:id="rId649" xr:uid="{00000000-0004-0000-0800-000088020000}"/>
    <hyperlink ref="R326" r:id="rId650" xr:uid="{00000000-0004-0000-0800-000089020000}"/>
    <hyperlink ref="Q327" r:id="rId651" xr:uid="{00000000-0004-0000-0800-00008A020000}"/>
    <hyperlink ref="R327" r:id="rId652" xr:uid="{00000000-0004-0000-0800-00008B020000}"/>
    <hyperlink ref="Q328" r:id="rId653" xr:uid="{00000000-0004-0000-0800-00008C020000}"/>
    <hyperlink ref="R328" r:id="rId654" xr:uid="{00000000-0004-0000-0800-00008D020000}"/>
    <hyperlink ref="Q329" r:id="rId655" xr:uid="{00000000-0004-0000-0800-00008E020000}"/>
    <hyperlink ref="R329" r:id="rId656" xr:uid="{00000000-0004-0000-0800-00008F020000}"/>
    <hyperlink ref="Q330" r:id="rId657" xr:uid="{00000000-0004-0000-0800-000090020000}"/>
    <hyperlink ref="R330" r:id="rId658" xr:uid="{00000000-0004-0000-0800-000091020000}"/>
    <hyperlink ref="Q331" r:id="rId659" xr:uid="{00000000-0004-0000-0800-000092020000}"/>
    <hyperlink ref="R331" r:id="rId660" xr:uid="{00000000-0004-0000-0800-000093020000}"/>
    <hyperlink ref="Q332" r:id="rId661" xr:uid="{00000000-0004-0000-0800-000094020000}"/>
    <hyperlink ref="R332" r:id="rId662" xr:uid="{00000000-0004-0000-0800-000095020000}"/>
    <hyperlink ref="Q333" r:id="rId663" xr:uid="{00000000-0004-0000-0800-000096020000}"/>
    <hyperlink ref="R333" r:id="rId664" xr:uid="{00000000-0004-0000-0800-000097020000}"/>
    <hyperlink ref="Q334" r:id="rId665" xr:uid="{00000000-0004-0000-0800-000098020000}"/>
    <hyperlink ref="R334" r:id="rId666" xr:uid="{00000000-0004-0000-0800-000099020000}"/>
    <hyperlink ref="Q335" r:id="rId667" xr:uid="{00000000-0004-0000-0800-00009A020000}"/>
    <hyperlink ref="R335" r:id="rId668" xr:uid="{00000000-0004-0000-0800-00009B020000}"/>
    <hyperlink ref="Q336" r:id="rId669" xr:uid="{00000000-0004-0000-0800-00009C020000}"/>
    <hyperlink ref="R336" r:id="rId670" xr:uid="{00000000-0004-0000-0800-00009D020000}"/>
    <hyperlink ref="Q337" r:id="rId671" xr:uid="{00000000-0004-0000-0800-00009E020000}"/>
    <hyperlink ref="R337" r:id="rId672" xr:uid="{00000000-0004-0000-0800-00009F020000}"/>
    <hyperlink ref="Q338" r:id="rId673" xr:uid="{00000000-0004-0000-0800-0000A0020000}"/>
    <hyperlink ref="R338" r:id="rId674" xr:uid="{00000000-0004-0000-0800-0000A1020000}"/>
    <hyperlink ref="Q339" r:id="rId675" xr:uid="{00000000-0004-0000-0800-0000A2020000}"/>
    <hyperlink ref="R339" r:id="rId676" xr:uid="{00000000-0004-0000-0800-0000A3020000}"/>
    <hyperlink ref="Q340" r:id="rId677" xr:uid="{00000000-0004-0000-0800-0000A4020000}"/>
    <hyperlink ref="R340" r:id="rId678" xr:uid="{00000000-0004-0000-0800-0000A5020000}"/>
    <hyperlink ref="Q341" r:id="rId679" xr:uid="{00000000-0004-0000-0800-0000A6020000}"/>
    <hyperlink ref="R341" r:id="rId680" xr:uid="{00000000-0004-0000-0800-0000A7020000}"/>
    <hyperlink ref="Q342" r:id="rId681" xr:uid="{00000000-0004-0000-0800-0000A8020000}"/>
    <hyperlink ref="R342" r:id="rId682" xr:uid="{00000000-0004-0000-0800-0000A9020000}"/>
    <hyperlink ref="Q343" r:id="rId683" xr:uid="{00000000-0004-0000-0800-0000AA020000}"/>
    <hyperlink ref="R343" r:id="rId684" xr:uid="{00000000-0004-0000-0800-0000AB020000}"/>
    <hyperlink ref="Q344" r:id="rId685" xr:uid="{00000000-0004-0000-0800-0000AC020000}"/>
    <hyperlink ref="R344" r:id="rId686" xr:uid="{00000000-0004-0000-0800-0000AD020000}"/>
    <hyperlink ref="Q345" r:id="rId687" xr:uid="{00000000-0004-0000-0800-0000AE020000}"/>
    <hyperlink ref="R345" r:id="rId688" xr:uid="{00000000-0004-0000-0800-0000AF020000}"/>
    <hyperlink ref="Q346" r:id="rId689" xr:uid="{00000000-0004-0000-0800-0000B0020000}"/>
    <hyperlink ref="R346" r:id="rId690" xr:uid="{00000000-0004-0000-0800-0000B1020000}"/>
    <hyperlink ref="Q347" r:id="rId691" xr:uid="{00000000-0004-0000-0800-0000B2020000}"/>
    <hyperlink ref="R347" r:id="rId692" xr:uid="{00000000-0004-0000-0800-0000B3020000}"/>
    <hyperlink ref="Q348" r:id="rId693" xr:uid="{00000000-0004-0000-0800-0000B4020000}"/>
    <hyperlink ref="R348" r:id="rId694" xr:uid="{00000000-0004-0000-0800-0000B5020000}"/>
    <hyperlink ref="Q349" r:id="rId695" xr:uid="{00000000-0004-0000-0800-0000B6020000}"/>
    <hyperlink ref="R349" r:id="rId696" xr:uid="{00000000-0004-0000-0800-0000B7020000}"/>
    <hyperlink ref="Q350" r:id="rId697" xr:uid="{00000000-0004-0000-0800-0000B8020000}"/>
    <hyperlink ref="R350" r:id="rId698" xr:uid="{00000000-0004-0000-0800-0000B9020000}"/>
    <hyperlink ref="Q351" r:id="rId699" xr:uid="{00000000-0004-0000-0800-0000BA020000}"/>
    <hyperlink ref="R351" r:id="rId700" xr:uid="{00000000-0004-0000-0800-0000BB020000}"/>
    <hyperlink ref="Q352" r:id="rId701" xr:uid="{00000000-0004-0000-0800-0000BC020000}"/>
    <hyperlink ref="R352" r:id="rId702" xr:uid="{00000000-0004-0000-0800-0000BD020000}"/>
    <hyperlink ref="Q353" r:id="rId703" xr:uid="{00000000-0004-0000-0800-0000BE020000}"/>
    <hyperlink ref="R353" r:id="rId704" xr:uid="{00000000-0004-0000-0800-0000BF020000}"/>
    <hyperlink ref="Q354" r:id="rId705" xr:uid="{00000000-0004-0000-0800-0000C0020000}"/>
    <hyperlink ref="R354" r:id="rId706" xr:uid="{00000000-0004-0000-0800-0000C1020000}"/>
    <hyperlink ref="Q355" r:id="rId707" xr:uid="{00000000-0004-0000-0800-0000C2020000}"/>
    <hyperlink ref="R355" r:id="rId708" xr:uid="{00000000-0004-0000-0800-0000C3020000}"/>
    <hyperlink ref="Q356" r:id="rId709" xr:uid="{00000000-0004-0000-0800-0000C4020000}"/>
    <hyperlink ref="R356" r:id="rId710" xr:uid="{00000000-0004-0000-0800-0000C5020000}"/>
    <hyperlink ref="Q357" r:id="rId711" xr:uid="{00000000-0004-0000-0800-0000C6020000}"/>
    <hyperlink ref="R357" r:id="rId712" xr:uid="{00000000-0004-0000-0800-0000C7020000}"/>
    <hyperlink ref="Q358" r:id="rId713" xr:uid="{00000000-0004-0000-0800-0000C8020000}"/>
    <hyperlink ref="R358" r:id="rId714" xr:uid="{00000000-0004-0000-0800-0000C9020000}"/>
    <hyperlink ref="Q359" r:id="rId715" xr:uid="{00000000-0004-0000-0800-0000CA020000}"/>
    <hyperlink ref="R359" r:id="rId716" xr:uid="{00000000-0004-0000-0800-0000CB020000}"/>
    <hyperlink ref="Q360" r:id="rId717" xr:uid="{00000000-0004-0000-0800-0000CC020000}"/>
    <hyperlink ref="R360" r:id="rId718" xr:uid="{00000000-0004-0000-0800-0000CD020000}"/>
    <hyperlink ref="Q361" r:id="rId719" xr:uid="{00000000-0004-0000-0800-0000CE020000}"/>
    <hyperlink ref="R361" r:id="rId720" xr:uid="{00000000-0004-0000-0800-0000CF020000}"/>
    <hyperlink ref="Q362" r:id="rId721" xr:uid="{00000000-0004-0000-0800-0000D0020000}"/>
    <hyperlink ref="R362" r:id="rId722" xr:uid="{00000000-0004-0000-0800-0000D1020000}"/>
    <hyperlink ref="Q363" r:id="rId723" xr:uid="{00000000-0004-0000-0800-0000D2020000}"/>
    <hyperlink ref="R363" r:id="rId724" xr:uid="{00000000-0004-0000-0800-0000D3020000}"/>
    <hyperlink ref="Q364" r:id="rId725" xr:uid="{00000000-0004-0000-0800-0000D4020000}"/>
    <hyperlink ref="R364" r:id="rId726" xr:uid="{00000000-0004-0000-0800-0000D5020000}"/>
    <hyperlink ref="Q365" r:id="rId727" xr:uid="{00000000-0004-0000-0800-0000D6020000}"/>
    <hyperlink ref="R365" r:id="rId728" xr:uid="{00000000-0004-0000-0800-0000D7020000}"/>
    <hyperlink ref="Q366" r:id="rId729" xr:uid="{00000000-0004-0000-0800-0000D8020000}"/>
    <hyperlink ref="R366" r:id="rId730" xr:uid="{00000000-0004-0000-0800-0000D9020000}"/>
    <hyperlink ref="Q367" r:id="rId731" xr:uid="{00000000-0004-0000-0800-0000DA020000}"/>
    <hyperlink ref="R367" r:id="rId732" xr:uid="{00000000-0004-0000-0800-0000DB020000}"/>
    <hyperlink ref="Q368" r:id="rId733" xr:uid="{00000000-0004-0000-0800-0000DC020000}"/>
    <hyperlink ref="R368" r:id="rId734" xr:uid="{00000000-0004-0000-0800-0000DD020000}"/>
    <hyperlink ref="Q369" r:id="rId735" xr:uid="{00000000-0004-0000-0800-0000DE020000}"/>
    <hyperlink ref="R369" r:id="rId736" xr:uid="{00000000-0004-0000-0800-0000DF020000}"/>
    <hyperlink ref="Q370" r:id="rId737" xr:uid="{00000000-0004-0000-0800-0000E0020000}"/>
    <hyperlink ref="R370" r:id="rId738" xr:uid="{00000000-0004-0000-0800-0000E1020000}"/>
    <hyperlink ref="Q371" r:id="rId739" xr:uid="{00000000-0004-0000-0800-0000E2020000}"/>
    <hyperlink ref="R371" r:id="rId740" xr:uid="{00000000-0004-0000-0800-0000E3020000}"/>
    <hyperlink ref="Q372" r:id="rId741" xr:uid="{00000000-0004-0000-0800-0000E4020000}"/>
    <hyperlink ref="R372" r:id="rId742" xr:uid="{00000000-0004-0000-0800-0000E5020000}"/>
    <hyperlink ref="Q373" r:id="rId743" xr:uid="{00000000-0004-0000-0800-0000E6020000}"/>
    <hyperlink ref="R373" r:id="rId744" xr:uid="{00000000-0004-0000-0800-0000E7020000}"/>
    <hyperlink ref="Q374" r:id="rId745" xr:uid="{00000000-0004-0000-0800-0000E8020000}"/>
    <hyperlink ref="R374" r:id="rId746" xr:uid="{00000000-0004-0000-0800-0000E9020000}"/>
    <hyperlink ref="Q375" r:id="rId747" xr:uid="{00000000-0004-0000-0800-0000EA020000}"/>
    <hyperlink ref="R375" r:id="rId748" xr:uid="{00000000-0004-0000-0800-0000EB020000}"/>
    <hyperlink ref="Q376" r:id="rId749" xr:uid="{00000000-0004-0000-0800-0000EC020000}"/>
    <hyperlink ref="R376" r:id="rId750" xr:uid="{00000000-0004-0000-0800-0000ED020000}"/>
    <hyperlink ref="Q377" r:id="rId751" xr:uid="{00000000-0004-0000-0800-0000EE020000}"/>
    <hyperlink ref="R377" r:id="rId752" xr:uid="{00000000-0004-0000-0800-0000EF020000}"/>
    <hyperlink ref="Q378" r:id="rId753" xr:uid="{00000000-0004-0000-0800-0000F0020000}"/>
    <hyperlink ref="R378" r:id="rId754" xr:uid="{00000000-0004-0000-0800-0000F1020000}"/>
    <hyperlink ref="Q379" r:id="rId755" xr:uid="{00000000-0004-0000-0800-0000F2020000}"/>
    <hyperlink ref="R379" r:id="rId756" xr:uid="{00000000-0004-0000-0800-0000F3020000}"/>
    <hyperlink ref="Q380" r:id="rId757" xr:uid="{00000000-0004-0000-0800-0000F4020000}"/>
    <hyperlink ref="R380" r:id="rId758" xr:uid="{00000000-0004-0000-0800-0000F5020000}"/>
    <hyperlink ref="Q381" r:id="rId759" xr:uid="{00000000-0004-0000-0800-0000F6020000}"/>
    <hyperlink ref="R381" r:id="rId760" xr:uid="{00000000-0004-0000-0800-0000F7020000}"/>
    <hyperlink ref="Q382" r:id="rId761" xr:uid="{00000000-0004-0000-0800-0000F8020000}"/>
    <hyperlink ref="R382" r:id="rId762" xr:uid="{00000000-0004-0000-0800-0000F9020000}"/>
    <hyperlink ref="Q383" r:id="rId763" xr:uid="{00000000-0004-0000-0800-0000FA020000}"/>
    <hyperlink ref="R383" r:id="rId764" xr:uid="{00000000-0004-0000-0800-0000FB020000}"/>
    <hyperlink ref="Q384" r:id="rId765" xr:uid="{00000000-0004-0000-0800-0000FC020000}"/>
    <hyperlink ref="R384" r:id="rId766" xr:uid="{00000000-0004-0000-0800-0000FD020000}"/>
    <hyperlink ref="Q385" r:id="rId767" xr:uid="{00000000-0004-0000-0800-0000FE020000}"/>
    <hyperlink ref="R385" r:id="rId768" xr:uid="{00000000-0004-0000-0800-0000FF020000}"/>
    <hyperlink ref="Q386" r:id="rId769" xr:uid="{00000000-0004-0000-0800-000000030000}"/>
    <hyperlink ref="R386" r:id="rId770" xr:uid="{00000000-0004-0000-0800-000001030000}"/>
    <hyperlink ref="Q387" r:id="rId771" xr:uid="{00000000-0004-0000-0800-000002030000}"/>
    <hyperlink ref="R387" r:id="rId772" xr:uid="{00000000-0004-0000-0800-000003030000}"/>
    <hyperlink ref="Q388" r:id="rId773" xr:uid="{00000000-0004-0000-0800-000004030000}"/>
    <hyperlink ref="R388" r:id="rId774" xr:uid="{00000000-0004-0000-0800-000005030000}"/>
    <hyperlink ref="Q389" r:id="rId775" xr:uid="{00000000-0004-0000-0800-000006030000}"/>
    <hyperlink ref="R389" r:id="rId776" xr:uid="{00000000-0004-0000-0800-000007030000}"/>
    <hyperlink ref="Q390" r:id="rId777" xr:uid="{00000000-0004-0000-0800-000008030000}"/>
    <hyperlink ref="R390" r:id="rId778" xr:uid="{00000000-0004-0000-0800-000009030000}"/>
    <hyperlink ref="Q391" r:id="rId779" xr:uid="{00000000-0004-0000-0800-00000A030000}"/>
    <hyperlink ref="R391" r:id="rId780" xr:uid="{00000000-0004-0000-0800-00000B030000}"/>
    <hyperlink ref="Q392" r:id="rId781" xr:uid="{00000000-0004-0000-0800-00000C030000}"/>
    <hyperlink ref="R392" r:id="rId782" xr:uid="{00000000-0004-0000-0800-00000D030000}"/>
    <hyperlink ref="Q393" r:id="rId783" xr:uid="{00000000-0004-0000-0800-00000E030000}"/>
    <hyperlink ref="R393" r:id="rId784" xr:uid="{00000000-0004-0000-0800-00000F030000}"/>
    <hyperlink ref="Q394" r:id="rId785" xr:uid="{00000000-0004-0000-0800-000010030000}"/>
    <hyperlink ref="R394" r:id="rId786" xr:uid="{00000000-0004-0000-0800-000011030000}"/>
    <hyperlink ref="Q395" r:id="rId787" xr:uid="{00000000-0004-0000-0800-000012030000}"/>
    <hyperlink ref="R395" r:id="rId788" xr:uid="{00000000-0004-0000-0800-000013030000}"/>
    <hyperlink ref="Q396" r:id="rId789" xr:uid="{00000000-0004-0000-0800-000014030000}"/>
    <hyperlink ref="R396" r:id="rId790" xr:uid="{00000000-0004-0000-0800-000015030000}"/>
    <hyperlink ref="Q397" r:id="rId791" xr:uid="{00000000-0004-0000-0800-000016030000}"/>
    <hyperlink ref="R397" r:id="rId792" xr:uid="{00000000-0004-0000-0800-000017030000}"/>
    <hyperlink ref="Q398" r:id="rId793" xr:uid="{00000000-0004-0000-0800-000018030000}"/>
    <hyperlink ref="R398" r:id="rId794" xr:uid="{00000000-0004-0000-0800-000019030000}"/>
    <hyperlink ref="Q399" r:id="rId795" xr:uid="{00000000-0004-0000-0800-00001A030000}"/>
    <hyperlink ref="R399" r:id="rId796" xr:uid="{00000000-0004-0000-0800-00001B030000}"/>
    <hyperlink ref="Q400" r:id="rId797" xr:uid="{00000000-0004-0000-0800-00001C030000}"/>
    <hyperlink ref="R400" r:id="rId798" xr:uid="{00000000-0004-0000-0800-00001D030000}"/>
    <hyperlink ref="Q401" r:id="rId799" xr:uid="{00000000-0004-0000-0800-00001E030000}"/>
    <hyperlink ref="R401" r:id="rId800" xr:uid="{00000000-0004-0000-0800-00001F030000}"/>
    <hyperlink ref="Q402" r:id="rId801" xr:uid="{00000000-0004-0000-0800-000020030000}"/>
    <hyperlink ref="R402" r:id="rId802" xr:uid="{00000000-0004-0000-0800-000021030000}"/>
    <hyperlink ref="Q403" r:id="rId803" xr:uid="{00000000-0004-0000-0800-000022030000}"/>
    <hyperlink ref="R403" r:id="rId804" xr:uid="{00000000-0004-0000-0800-000023030000}"/>
    <hyperlink ref="Q404" r:id="rId805" xr:uid="{00000000-0004-0000-0800-000024030000}"/>
    <hyperlink ref="R404" r:id="rId806" xr:uid="{00000000-0004-0000-0800-000025030000}"/>
    <hyperlink ref="Q405" r:id="rId807" xr:uid="{00000000-0004-0000-0800-000026030000}"/>
    <hyperlink ref="R405" r:id="rId808" xr:uid="{00000000-0004-0000-0800-000027030000}"/>
    <hyperlink ref="Q406" r:id="rId809" xr:uid="{00000000-0004-0000-0800-000028030000}"/>
    <hyperlink ref="R406" r:id="rId810" xr:uid="{00000000-0004-0000-0800-000029030000}"/>
    <hyperlink ref="Q407" r:id="rId811" xr:uid="{00000000-0004-0000-0800-00002A030000}"/>
    <hyperlink ref="R407" r:id="rId812" xr:uid="{00000000-0004-0000-0800-00002B030000}"/>
    <hyperlink ref="Q408" r:id="rId813" xr:uid="{00000000-0004-0000-0800-00002C030000}"/>
    <hyperlink ref="R408" r:id="rId814" xr:uid="{00000000-0004-0000-0800-00002D030000}"/>
    <hyperlink ref="Q409" r:id="rId815" xr:uid="{00000000-0004-0000-0800-00002E030000}"/>
    <hyperlink ref="R409" r:id="rId816" xr:uid="{00000000-0004-0000-0800-00002F030000}"/>
    <hyperlink ref="Q410" r:id="rId817" xr:uid="{00000000-0004-0000-0800-000030030000}"/>
    <hyperlink ref="R410" r:id="rId818" xr:uid="{00000000-0004-0000-0800-000031030000}"/>
    <hyperlink ref="Q411" r:id="rId819" xr:uid="{00000000-0004-0000-0800-000032030000}"/>
    <hyperlink ref="R411" r:id="rId820" xr:uid="{00000000-0004-0000-0800-000033030000}"/>
    <hyperlink ref="Q412" r:id="rId821" xr:uid="{00000000-0004-0000-0800-000034030000}"/>
    <hyperlink ref="R412" r:id="rId822" xr:uid="{00000000-0004-0000-0800-000035030000}"/>
    <hyperlink ref="Q413" r:id="rId823" xr:uid="{00000000-0004-0000-0800-000036030000}"/>
    <hyperlink ref="R413" r:id="rId824" xr:uid="{00000000-0004-0000-0800-000037030000}"/>
    <hyperlink ref="Q414" r:id="rId825" xr:uid="{00000000-0004-0000-0800-000038030000}"/>
    <hyperlink ref="R414" r:id="rId826" xr:uid="{00000000-0004-0000-0800-000039030000}"/>
    <hyperlink ref="Q415" r:id="rId827" xr:uid="{00000000-0004-0000-0800-00003A030000}"/>
    <hyperlink ref="R415" r:id="rId828" xr:uid="{00000000-0004-0000-0800-00003B030000}"/>
    <hyperlink ref="Q416" r:id="rId829" xr:uid="{00000000-0004-0000-0800-00003C030000}"/>
    <hyperlink ref="R416" r:id="rId830" xr:uid="{00000000-0004-0000-0800-00003D030000}"/>
    <hyperlink ref="Q417" r:id="rId831" xr:uid="{00000000-0004-0000-0800-00003E030000}"/>
    <hyperlink ref="R417" r:id="rId832" xr:uid="{00000000-0004-0000-0800-00003F030000}"/>
    <hyperlink ref="Q418" r:id="rId833" xr:uid="{00000000-0004-0000-0800-000040030000}"/>
    <hyperlink ref="R418" r:id="rId834" xr:uid="{00000000-0004-0000-0800-000041030000}"/>
    <hyperlink ref="Q419" r:id="rId835" xr:uid="{00000000-0004-0000-0800-000042030000}"/>
    <hyperlink ref="R419" r:id="rId836" xr:uid="{00000000-0004-0000-0800-000043030000}"/>
    <hyperlink ref="Q420" r:id="rId837" xr:uid="{00000000-0004-0000-0800-000044030000}"/>
    <hyperlink ref="R420" r:id="rId838" xr:uid="{00000000-0004-0000-0800-000045030000}"/>
    <hyperlink ref="Q421" r:id="rId839" xr:uid="{00000000-0004-0000-0800-000046030000}"/>
    <hyperlink ref="R421" r:id="rId840" xr:uid="{00000000-0004-0000-0800-000047030000}"/>
    <hyperlink ref="Q422" r:id="rId841" xr:uid="{00000000-0004-0000-0800-000048030000}"/>
    <hyperlink ref="R422" r:id="rId842" xr:uid="{00000000-0004-0000-0800-000049030000}"/>
    <hyperlink ref="Q423" r:id="rId843" xr:uid="{00000000-0004-0000-0800-00004A030000}"/>
    <hyperlink ref="R423" r:id="rId844" xr:uid="{00000000-0004-0000-0800-00004B030000}"/>
    <hyperlink ref="Q424" r:id="rId845" xr:uid="{00000000-0004-0000-0800-00004C030000}"/>
    <hyperlink ref="R424" r:id="rId846" xr:uid="{00000000-0004-0000-0800-00004D030000}"/>
    <hyperlink ref="Q425" r:id="rId847" xr:uid="{00000000-0004-0000-0800-00004E030000}"/>
    <hyperlink ref="R425" r:id="rId848" xr:uid="{00000000-0004-0000-0800-00004F030000}"/>
    <hyperlink ref="Q426" r:id="rId849" xr:uid="{00000000-0004-0000-0800-000050030000}"/>
    <hyperlink ref="R426" r:id="rId850" xr:uid="{00000000-0004-0000-0800-000051030000}"/>
    <hyperlink ref="Q427" r:id="rId851" xr:uid="{00000000-0004-0000-0800-000052030000}"/>
    <hyperlink ref="R427" r:id="rId852" xr:uid="{00000000-0004-0000-0800-000053030000}"/>
    <hyperlink ref="Q428" r:id="rId853" xr:uid="{00000000-0004-0000-0800-000054030000}"/>
    <hyperlink ref="R428" r:id="rId854" xr:uid="{00000000-0004-0000-0800-000055030000}"/>
    <hyperlink ref="Q429" r:id="rId855" xr:uid="{00000000-0004-0000-0800-000056030000}"/>
    <hyperlink ref="R429" r:id="rId856" xr:uid="{00000000-0004-0000-0800-000057030000}"/>
    <hyperlink ref="Q430" r:id="rId857" xr:uid="{00000000-0004-0000-0800-000058030000}"/>
    <hyperlink ref="R430" r:id="rId858" xr:uid="{00000000-0004-0000-0800-000059030000}"/>
    <hyperlink ref="Q431" r:id="rId859" xr:uid="{00000000-0004-0000-0800-00005A030000}"/>
    <hyperlink ref="R431" r:id="rId860" xr:uid="{00000000-0004-0000-0800-00005B030000}"/>
    <hyperlink ref="Q432" r:id="rId861" xr:uid="{00000000-0004-0000-0800-00005C030000}"/>
    <hyperlink ref="R432" r:id="rId862" xr:uid="{00000000-0004-0000-0800-00005D030000}"/>
    <hyperlink ref="Q433" r:id="rId863" xr:uid="{00000000-0004-0000-0800-00005E030000}"/>
    <hyperlink ref="R433" r:id="rId864" xr:uid="{00000000-0004-0000-0800-00005F030000}"/>
    <hyperlink ref="Q434" r:id="rId865" xr:uid="{00000000-0004-0000-0800-000060030000}"/>
    <hyperlink ref="R434" r:id="rId866" xr:uid="{00000000-0004-0000-0800-000061030000}"/>
    <hyperlink ref="Q435" r:id="rId867" xr:uid="{00000000-0004-0000-0800-000062030000}"/>
    <hyperlink ref="R435" r:id="rId868" xr:uid="{00000000-0004-0000-0800-000063030000}"/>
    <hyperlink ref="Q436" r:id="rId869" xr:uid="{00000000-0004-0000-0800-000064030000}"/>
    <hyperlink ref="R436" r:id="rId870" xr:uid="{00000000-0004-0000-0800-000065030000}"/>
    <hyperlink ref="Q437" r:id="rId871" xr:uid="{00000000-0004-0000-0800-000066030000}"/>
    <hyperlink ref="R437" r:id="rId872" xr:uid="{00000000-0004-0000-0800-000067030000}"/>
    <hyperlink ref="Q438" r:id="rId873" xr:uid="{00000000-0004-0000-0800-000068030000}"/>
    <hyperlink ref="R438" r:id="rId874" xr:uid="{00000000-0004-0000-0800-000069030000}"/>
    <hyperlink ref="Q439" r:id="rId875" xr:uid="{00000000-0004-0000-0800-00006A030000}"/>
    <hyperlink ref="R439" r:id="rId876" xr:uid="{00000000-0004-0000-0800-00006B030000}"/>
    <hyperlink ref="Q440" r:id="rId877" xr:uid="{00000000-0004-0000-0800-00006C030000}"/>
    <hyperlink ref="R440" r:id="rId878" xr:uid="{00000000-0004-0000-0800-00006D030000}"/>
    <hyperlink ref="Q441" r:id="rId879" xr:uid="{00000000-0004-0000-0800-00006E030000}"/>
    <hyperlink ref="R441" r:id="rId880" xr:uid="{00000000-0004-0000-0800-00006F030000}"/>
    <hyperlink ref="Q442" r:id="rId881" xr:uid="{00000000-0004-0000-0800-000070030000}"/>
    <hyperlink ref="R442" r:id="rId882" xr:uid="{00000000-0004-0000-0800-000071030000}"/>
    <hyperlink ref="Q443" r:id="rId883" xr:uid="{00000000-0004-0000-0800-000072030000}"/>
    <hyperlink ref="R443" r:id="rId884" xr:uid="{00000000-0004-0000-0800-000073030000}"/>
    <hyperlink ref="Q444" r:id="rId885" xr:uid="{00000000-0004-0000-0800-000074030000}"/>
    <hyperlink ref="R444" r:id="rId886" xr:uid="{00000000-0004-0000-0800-000075030000}"/>
    <hyperlink ref="Q445" r:id="rId887" xr:uid="{00000000-0004-0000-0800-000076030000}"/>
    <hyperlink ref="R445" r:id="rId888" xr:uid="{00000000-0004-0000-0800-000077030000}"/>
    <hyperlink ref="Q446" r:id="rId889" xr:uid="{00000000-0004-0000-0800-000078030000}"/>
    <hyperlink ref="R446" r:id="rId890" xr:uid="{00000000-0004-0000-0800-000079030000}"/>
    <hyperlink ref="Q447" r:id="rId891" xr:uid="{00000000-0004-0000-0800-00007A030000}"/>
    <hyperlink ref="R447" r:id="rId892" xr:uid="{00000000-0004-0000-0800-00007B030000}"/>
    <hyperlink ref="Q448" r:id="rId893" xr:uid="{00000000-0004-0000-0800-00007C030000}"/>
    <hyperlink ref="R448" r:id="rId894" xr:uid="{00000000-0004-0000-0800-00007D030000}"/>
    <hyperlink ref="Q449" r:id="rId895" xr:uid="{00000000-0004-0000-0800-00007E030000}"/>
    <hyperlink ref="R449" r:id="rId896" xr:uid="{00000000-0004-0000-0800-00007F030000}"/>
    <hyperlink ref="Q450" r:id="rId897" xr:uid="{00000000-0004-0000-0800-000080030000}"/>
    <hyperlink ref="R450" r:id="rId898" xr:uid="{00000000-0004-0000-0800-000081030000}"/>
    <hyperlink ref="Q451" r:id="rId899" xr:uid="{00000000-0004-0000-0800-000082030000}"/>
    <hyperlink ref="R451" r:id="rId900" xr:uid="{00000000-0004-0000-0800-000083030000}"/>
    <hyperlink ref="Q452" r:id="rId901" xr:uid="{00000000-0004-0000-0800-000084030000}"/>
    <hyperlink ref="R452" r:id="rId902" xr:uid="{00000000-0004-0000-0800-000085030000}"/>
    <hyperlink ref="Q453" r:id="rId903" xr:uid="{00000000-0004-0000-0800-000086030000}"/>
    <hyperlink ref="R453" r:id="rId904" xr:uid="{00000000-0004-0000-0800-000087030000}"/>
    <hyperlink ref="Q454" r:id="rId905" xr:uid="{00000000-0004-0000-0800-000088030000}"/>
    <hyperlink ref="R454" r:id="rId906" xr:uid="{00000000-0004-0000-0800-000089030000}"/>
    <hyperlink ref="Q455" r:id="rId907" xr:uid="{00000000-0004-0000-0800-00008A030000}"/>
    <hyperlink ref="R455" r:id="rId908" xr:uid="{00000000-0004-0000-0800-00008B030000}"/>
    <hyperlink ref="Q456" r:id="rId909" xr:uid="{00000000-0004-0000-0800-00008C030000}"/>
    <hyperlink ref="R456" r:id="rId910" xr:uid="{00000000-0004-0000-0800-00008D030000}"/>
    <hyperlink ref="Q457" r:id="rId911" xr:uid="{00000000-0004-0000-0800-00008E030000}"/>
    <hyperlink ref="R457" r:id="rId912" xr:uid="{00000000-0004-0000-0800-00008F030000}"/>
    <hyperlink ref="Q458" r:id="rId913" xr:uid="{00000000-0004-0000-0800-000090030000}"/>
    <hyperlink ref="R458" r:id="rId914" xr:uid="{00000000-0004-0000-0800-000091030000}"/>
    <hyperlink ref="Q459" r:id="rId915" xr:uid="{00000000-0004-0000-0800-000092030000}"/>
    <hyperlink ref="R459" r:id="rId916" xr:uid="{00000000-0004-0000-0800-000093030000}"/>
    <hyperlink ref="Q460" r:id="rId917" xr:uid="{00000000-0004-0000-0800-000094030000}"/>
    <hyperlink ref="R460" r:id="rId918" xr:uid="{00000000-0004-0000-0800-000095030000}"/>
    <hyperlink ref="Q461" r:id="rId919" xr:uid="{00000000-0004-0000-0800-000096030000}"/>
    <hyperlink ref="R461" r:id="rId920" xr:uid="{00000000-0004-0000-0800-000097030000}"/>
    <hyperlink ref="Q462" r:id="rId921" xr:uid="{00000000-0004-0000-0800-000098030000}"/>
    <hyperlink ref="R462" r:id="rId922" xr:uid="{00000000-0004-0000-0800-000099030000}"/>
    <hyperlink ref="Q463" r:id="rId923" xr:uid="{00000000-0004-0000-0800-00009A030000}"/>
    <hyperlink ref="R463" r:id="rId924" xr:uid="{00000000-0004-0000-0800-00009B030000}"/>
    <hyperlink ref="Q464" r:id="rId925" xr:uid="{00000000-0004-0000-0800-00009C030000}"/>
    <hyperlink ref="R464" r:id="rId926" xr:uid="{00000000-0004-0000-0800-00009D030000}"/>
    <hyperlink ref="Q465" r:id="rId927" xr:uid="{00000000-0004-0000-0800-00009E030000}"/>
    <hyperlink ref="R465" r:id="rId928" xr:uid="{00000000-0004-0000-0800-00009F030000}"/>
    <hyperlink ref="Q466" r:id="rId929" xr:uid="{00000000-0004-0000-0800-0000A0030000}"/>
    <hyperlink ref="R466" r:id="rId930" xr:uid="{00000000-0004-0000-0800-0000A1030000}"/>
    <hyperlink ref="Q467" r:id="rId931" xr:uid="{00000000-0004-0000-0800-0000A2030000}"/>
    <hyperlink ref="R467" r:id="rId932" xr:uid="{00000000-0004-0000-0800-0000A3030000}"/>
    <hyperlink ref="Q468" r:id="rId933" xr:uid="{00000000-0004-0000-0800-0000A4030000}"/>
    <hyperlink ref="R468" r:id="rId934" xr:uid="{00000000-0004-0000-0800-0000A5030000}"/>
    <hyperlink ref="Q469" r:id="rId935" xr:uid="{00000000-0004-0000-0800-0000A6030000}"/>
    <hyperlink ref="R469" r:id="rId936" xr:uid="{00000000-0004-0000-0800-0000A7030000}"/>
    <hyperlink ref="Q470" r:id="rId937" xr:uid="{00000000-0004-0000-0800-0000A8030000}"/>
    <hyperlink ref="R470" r:id="rId938" xr:uid="{00000000-0004-0000-0800-0000A9030000}"/>
    <hyperlink ref="Q471" r:id="rId939" xr:uid="{00000000-0004-0000-0800-0000AA030000}"/>
    <hyperlink ref="R471" r:id="rId940" xr:uid="{00000000-0004-0000-0800-0000AB030000}"/>
    <hyperlink ref="Q472" r:id="rId941" xr:uid="{00000000-0004-0000-0800-0000AC030000}"/>
    <hyperlink ref="R472" r:id="rId942" xr:uid="{00000000-0004-0000-0800-0000AD030000}"/>
    <hyperlink ref="Q473" r:id="rId943" xr:uid="{00000000-0004-0000-0800-0000AE030000}"/>
    <hyperlink ref="R473" r:id="rId944" xr:uid="{00000000-0004-0000-0800-0000AF030000}"/>
    <hyperlink ref="Q474" r:id="rId945" xr:uid="{00000000-0004-0000-0800-0000B0030000}"/>
    <hyperlink ref="R474" r:id="rId946" xr:uid="{00000000-0004-0000-0800-0000B1030000}"/>
    <hyperlink ref="Q475" r:id="rId947" xr:uid="{00000000-0004-0000-0800-0000B2030000}"/>
    <hyperlink ref="R475" r:id="rId948" xr:uid="{00000000-0004-0000-0800-0000B3030000}"/>
    <hyperlink ref="Q476" r:id="rId949" xr:uid="{00000000-0004-0000-0800-0000B4030000}"/>
    <hyperlink ref="R476" r:id="rId950" xr:uid="{00000000-0004-0000-0800-0000B5030000}"/>
    <hyperlink ref="Q477" r:id="rId951" xr:uid="{00000000-0004-0000-0800-0000B6030000}"/>
    <hyperlink ref="R477" r:id="rId952" xr:uid="{00000000-0004-0000-0800-0000B7030000}"/>
    <hyperlink ref="Q478" r:id="rId953" xr:uid="{00000000-0004-0000-0800-0000B8030000}"/>
    <hyperlink ref="R478" r:id="rId954" xr:uid="{00000000-0004-0000-0800-0000B9030000}"/>
    <hyperlink ref="Q479" r:id="rId955" xr:uid="{00000000-0004-0000-0800-0000BA030000}"/>
    <hyperlink ref="R479" r:id="rId956" xr:uid="{00000000-0004-0000-0800-0000BB030000}"/>
    <hyperlink ref="Q480" r:id="rId957" xr:uid="{00000000-0004-0000-0800-0000BC030000}"/>
    <hyperlink ref="R480" r:id="rId958" xr:uid="{00000000-0004-0000-0800-0000BD030000}"/>
    <hyperlink ref="Q481" r:id="rId959" xr:uid="{00000000-0004-0000-0800-0000BE030000}"/>
    <hyperlink ref="R481" r:id="rId960" xr:uid="{00000000-0004-0000-0800-0000BF030000}"/>
    <hyperlink ref="Q482" r:id="rId961" xr:uid="{00000000-0004-0000-0800-0000C0030000}"/>
    <hyperlink ref="R482" r:id="rId962" xr:uid="{00000000-0004-0000-0800-0000C1030000}"/>
    <hyperlink ref="Q483" r:id="rId963" xr:uid="{00000000-0004-0000-0800-0000C2030000}"/>
    <hyperlink ref="R483" r:id="rId964" xr:uid="{00000000-0004-0000-0800-0000C3030000}"/>
    <hyperlink ref="Q484" r:id="rId965" xr:uid="{00000000-0004-0000-0800-0000C4030000}"/>
    <hyperlink ref="R484" r:id="rId966" xr:uid="{00000000-0004-0000-0800-0000C5030000}"/>
    <hyperlink ref="Q485" r:id="rId967" xr:uid="{00000000-0004-0000-0800-0000C6030000}"/>
    <hyperlink ref="R485" r:id="rId968" xr:uid="{00000000-0004-0000-0800-0000C7030000}"/>
    <hyperlink ref="Q486" r:id="rId969" xr:uid="{00000000-0004-0000-0800-0000C8030000}"/>
    <hyperlink ref="R486" r:id="rId970" xr:uid="{00000000-0004-0000-0800-0000C9030000}"/>
    <hyperlink ref="Q487" r:id="rId971" xr:uid="{00000000-0004-0000-0800-0000CA030000}"/>
    <hyperlink ref="R487" r:id="rId972" xr:uid="{00000000-0004-0000-0800-0000CB030000}"/>
    <hyperlink ref="Q488" r:id="rId973" xr:uid="{00000000-0004-0000-0800-0000CC030000}"/>
    <hyperlink ref="R488" r:id="rId974" xr:uid="{00000000-0004-0000-0800-0000CD030000}"/>
    <hyperlink ref="Q489" r:id="rId975" xr:uid="{00000000-0004-0000-0800-0000CE030000}"/>
    <hyperlink ref="R489" r:id="rId976" xr:uid="{00000000-0004-0000-0800-0000CF030000}"/>
    <hyperlink ref="Q490" r:id="rId977" xr:uid="{00000000-0004-0000-0800-0000D0030000}"/>
    <hyperlink ref="R490" r:id="rId978" xr:uid="{00000000-0004-0000-0800-0000D1030000}"/>
    <hyperlink ref="Q491" r:id="rId979" xr:uid="{00000000-0004-0000-0800-0000D2030000}"/>
    <hyperlink ref="R491" r:id="rId980" xr:uid="{00000000-0004-0000-0800-0000D3030000}"/>
    <hyperlink ref="Q492" r:id="rId981" xr:uid="{00000000-0004-0000-0800-0000D4030000}"/>
    <hyperlink ref="R492" r:id="rId982" xr:uid="{00000000-0004-0000-0800-0000D5030000}"/>
    <hyperlink ref="Q493" r:id="rId983" xr:uid="{00000000-0004-0000-0800-0000D6030000}"/>
    <hyperlink ref="R493" r:id="rId984" xr:uid="{00000000-0004-0000-0800-0000D7030000}"/>
    <hyperlink ref="Q494" r:id="rId985" xr:uid="{00000000-0004-0000-0800-0000D8030000}"/>
    <hyperlink ref="R494" r:id="rId986" xr:uid="{00000000-0004-0000-0800-0000D9030000}"/>
    <hyperlink ref="Q495" r:id="rId987" xr:uid="{00000000-0004-0000-0800-0000DA030000}"/>
    <hyperlink ref="R495" r:id="rId988" xr:uid="{00000000-0004-0000-0800-0000DB030000}"/>
    <hyperlink ref="Q496" r:id="rId989" xr:uid="{00000000-0004-0000-0800-0000DC030000}"/>
    <hyperlink ref="R496" r:id="rId990" xr:uid="{00000000-0004-0000-0800-0000DD030000}"/>
    <hyperlink ref="Q497" r:id="rId991" xr:uid="{00000000-0004-0000-0800-0000DE030000}"/>
    <hyperlink ref="R497" r:id="rId992" xr:uid="{00000000-0004-0000-0800-0000DF030000}"/>
    <hyperlink ref="Q498" r:id="rId993" xr:uid="{00000000-0004-0000-0800-0000E0030000}"/>
    <hyperlink ref="R498" r:id="rId994" xr:uid="{00000000-0004-0000-0800-0000E1030000}"/>
    <hyperlink ref="Q499" r:id="rId995" xr:uid="{00000000-0004-0000-0800-0000E2030000}"/>
    <hyperlink ref="R499" r:id="rId996" xr:uid="{00000000-0004-0000-0800-0000E3030000}"/>
    <hyperlink ref="Q500" r:id="rId997" xr:uid="{00000000-0004-0000-0800-0000E4030000}"/>
    <hyperlink ref="R500" r:id="rId998" xr:uid="{00000000-0004-0000-0800-0000E5030000}"/>
    <hyperlink ref="Q501" r:id="rId999" xr:uid="{00000000-0004-0000-0800-0000E6030000}"/>
    <hyperlink ref="R501" r:id="rId1000" xr:uid="{00000000-0004-0000-0800-0000E7030000}"/>
    <hyperlink ref="Q502" r:id="rId1001" xr:uid="{00000000-0004-0000-0800-0000E8030000}"/>
    <hyperlink ref="R502" r:id="rId1002" xr:uid="{00000000-0004-0000-0800-0000E9030000}"/>
    <hyperlink ref="Q503" r:id="rId1003" xr:uid="{00000000-0004-0000-0800-0000EA030000}"/>
    <hyperlink ref="R503" r:id="rId1004" xr:uid="{00000000-0004-0000-0800-0000EB030000}"/>
    <hyperlink ref="Q504" r:id="rId1005" xr:uid="{00000000-0004-0000-0800-0000EC030000}"/>
    <hyperlink ref="R504" r:id="rId1006" xr:uid="{00000000-0004-0000-0800-0000ED030000}"/>
    <hyperlink ref="Q505" r:id="rId1007" xr:uid="{00000000-0004-0000-0800-0000EE030000}"/>
    <hyperlink ref="R505" r:id="rId1008" xr:uid="{00000000-0004-0000-0800-0000EF030000}"/>
    <hyperlink ref="Q506" r:id="rId1009" xr:uid="{00000000-0004-0000-0800-0000F0030000}"/>
    <hyperlink ref="R506" r:id="rId1010" xr:uid="{00000000-0004-0000-0800-0000F1030000}"/>
    <hyperlink ref="Q507" r:id="rId1011" xr:uid="{00000000-0004-0000-0800-0000F2030000}"/>
    <hyperlink ref="R507" r:id="rId1012" xr:uid="{00000000-0004-0000-0800-0000F3030000}"/>
    <hyperlink ref="Q508" r:id="rId1013" xr:uid="{00000000-0004-0000-0800-0000F4030000}"/>
    <hyperlink ref="R508" r:id="rId1014" xr:uid="{00000000-0004-0000-0800-0000F5030000}"/>
    <hyperlink ref="Q509" r:id="rId1015" xr:uid="{00000000-0004-0000-0800-0000F6030000}"/>
    <hyperlink ref="R509" r:id="rId1016" xr:uid="{00000000-0004-0000-0800-0000F7030000}"/>
    <hyperlink ref="Q510" r:id="rId1017" xr:uid="{00000000-0004-0000-0800-0000F8030000}"/>
    <hyperlink ref="R510" r:id="rId1018" xr:uid="{00000000-0004-0000-0800-0000F9030000}"/>
    <hyperlink ref="Q511" r:id="rId1019" xr:uid="{00000000-0004-0000-0800-0000FA030000}"/>
    <hyperlink ref="R511" r:id="rId1020" xr:uid="{00000000-0004-0000-0800-0000FB030000}"/>
    <hyperlink ref="Q512" r:id="rId1021" xr:uid="{00000000-0004-0000-0800-0000FC030000}"/>
    <hyperlink ref="R512" r:id="rId1022" xr:uid="{00000000-0004-0000-0800-0000FD030000}"/>
    <hyperlink ref="Q513" r:id="rId1023" xr:uid="{00000000-0004-0000-0800-0000FE030000}"/>
    <hyperlink ref="R513" r:id="rId1024" xr:uid="{00000000-0004-0000-0800-0000FF030000}"/>
    <hyperlink ref="Q514" r:id="rId1025" xr:uid="{00000000-0004-0000-0800-000000040000}"/>
    <hyperlink ref="R514" r:id="rId1026" xr:uid="{00000000-0004-0000-0800-000001040000}"/>
    <hyperlink ref="Q515" r:id="rId1027" xr:uid="{00000000-0004-0000-0800-000002040000}"/>
    <hyperlink ref="R515" r:id="rId1028" xr:uid="{00000000-0004-0000-0800-000003040000}"/>
    <hyperlink ref="Q516" r:id="rId1029" xr:uid="{00000000-0004-0000-0800-000004040000}"/>
    <hyperlink ref="R516" r:id="rId1030" xr:uid="{00000000-0004-0000-0800-000005040000}"/>
    <hyperlink ref="Q517" r:id="rId1031" xr:uid="{00000000-0004-0000-0800-000006040000}"/>
    <hyperlink ref="R517" r:id="rId1032" xr:uid="{00000000-0004-0000-0800-000007040000}"/>
    <hyperlink ref="Q518" r:id="rId1033" xr:uid="{00000000-0004-0000-0800-000008040000}"/>
    <hyperlink ref="R518" r:id="rId1034" xr:uid="{00000000-0004-0000-0800-000009040000}"/>
    <hyperlink ref="Q519" r:id="rId1035" xr:uid="{00000000-0004-0000-0800-00000A040000}"/>
    <hyperlink ref="R519" r:id="rId1036" xr:uid="{00000000-0004-0000-0800-00000B040000}"/>
    <hyperlink ref="Q520" r:id="rId1037" xr:uid="{00000000-0004-0000-0800-00000C040000}"/>
    <hyperlink ref="R520" r:id="rId1038" xr:uid="{00000000-0004-0000-0800-00000D040000}"/>
    <hyperlink ref="Q521" r:id="rId1039" xr:uid="{00000000-0004-0000-0800-00000E040000}"/>
    <hyperlink ref="R521" r:id="rId1040" xr:uid="{00000000-0004-0000-0800-00000F040000}"/>
    <hyperlink ref="Q522" r:id="rId1041" xr:uid="{00000000-0004-0000-0800-000010040000}"/>
    <hyperlink ref="R522" r:id="rId1042" xr:uid="{00000000-0004-0000-0800-000011040000}"/>
    <hyperlink ref="Q523" r:id="rId1043" xr:uid="{00000000-0004-0000-0800-000012040000}"/>
    <hyperlink ref="R523" r:id="rId1044" xr:uid="{00000000-0004-0000-0800-000013040000}"/>
    <hyperlink ref="Q524" r:id="rId1045" xr:uid="{00000000-0004-0000-0800-000014040000}"/>
    <hyperlink ref="R524" r:id="rId1046" xr:uid="{00000000-0004-0000-0800-000015040000}"/>
    <hyperlink ref="Q525" r:id="rId1047" xr:uid="{00000000-0004-0000-0800-000016040000}"/>
    <hyperlink ref="R525" r:id="rId1048" xr:uid="{00000000-0004-0000-0800-000017040000}"/>
    <hyperlink ref="Q526" r:id="rId1049" xr:uid="{00000000-0004-0000-0800-000018040000}"/>
    <hyperlink ref="R526" r:id="rId1050" xr:uid="{00000000-0004-0000-0800-000019040000}"/>
    <hyperlink ref="Q527" r:id="rId1051" xr:uid="{00000000-0004-0000-0800-00001A040000}"/>
    <hyperlink ref="R527" r:id="rId1052" xr:uid="{00000000-0004-0000-0800-00001B040000}"/>
    <hyperlink ref="Q528" r:id="rId1053" xr:uid="{00000000-0004-0000-0800-00001C040000}"/>
    <hyperlink ref="R528" r:id="rId1054" xr:uid="{00000000-0004-0000-0800-00001D040000}"/>
    <hyperlink ref="Q529" r:id="rId1055" xr:uid="{00000000-0004-0000-0800-00001E040000}"/>
    <hyperlink ref="R529" r:id="rId1056" xr:uid="{00000000-0004-0000-0800-00001F040000}"/>
    <hyperlink ref="Q530" r:id="rId1057" xr:uid="{00000000-0004-0000-0800-000020040000}"/>
    <hyperlink ref="R530" r:id="rId1058" xr:uid="{00000000-0004-0000-0800-000021040000}"/>
    <hyperlink ref="Q531" r:id="rId1059" xr:uid="{00000000-0004-0000-0800-000022040000}"/>
    <hyperlink ref="R531" r:id="rId1060" xr:uid="{00000000-0004-0000-0800-000023040000}"/>
    <hyperlink ref="Q532" r:id="rId1061" xr:uid="{00000000-0004-0000-0800-000024040000}"/>
    <hyperlink ref="R532" r:id="rId1062" xr:uid="{00000000-0004-0000-0800-000025040000}"/>
    <hyperlink ref="Q533" r:id="rId1063" xr:uid="{00000000-0004-0000-0800-000026040000}"/>
    <hyperlink ref="R533" r:id="rId1064" xr:uid="{00000000-0004-0000-0800-000027040000}"/>
    <hyperlink ref="Q534" r:id="rId1065" xr:uid="{00000000-0004-0000-0800-000028040000}"/>
    <hyperlink ref="R534" r:id="rId1066" xr:uid="{00000000-0004-0000-0800-000029040000}"/>
    <hyperlink ref="Q535" r:id="rId1067" xr:uid="{00000000-0004-0000-0800-00002A040000}"/>
    <hyperlink ref="R535" r:id="rId1068" xr:uid="{00000000-0004-0000-0800-00002B040000}"/>
    <hyperlink ref="Q536" r:id="rId1069" xr:uid="{00000000-0004-0000-0800-00002C040000}"/>
    <hyperlink ref="R536" r:id="rId1070" xr:uid="{00000000-0004-0000-0800-00002D040000}"/>
    <hyperlink ref="Q537" r:id="rId1071" xr:uid="{00000000-0004-0000-0800-00002E040000}"/>
    <hyperlink ref="R537" r:id="rId1072" xr:uid="{00000000-0004-0000-0800-00002F040000}"/>
    <hyperlink ref="Q538" r:id="rId1073" xr:uid="{00000000-0004-0000-0800-000030040000}"/>
    <hyperlink ref="R538" r:id="rId1074" xr:uid="{00000000-0004-0000-0800-000031040000}"/>
    <hyperlink ref="Q539" r:id="rId1075" xr:uid="{00000000-0004-0000-0800-000032040000}"/>
    <hyperlink ref="R539" r:id="rId1076" xr:uid="{00000000-0004-0000-0800-000033040000}"/>
    <hyperlink ref="Q540" r:id="rId1077" xr:uid="{00000000-0004-0000-0800-000034040000}"/>
    <hyperlink ref="R540" r:id="rId1078" xr:uid="{00000000-0004-0000-0800-000035040000}"/>
    <hyperlink ref="Q541" r:id="rId1079" xr:uid="{00000000-0004-0000-0800-000036040000}"/>
    <hyperlink ref="R541" r:id="rId1080" xr:uid="{00000000-0004-0000-0800-000037040000}"/>
    <hyperlink ref="Q542" r:id="rId1081" xr:uid="{00000000-0004-0000-0800-000038040000}"/>
    <hyperlink ref="R542" r:id="rId1082" xr:uid="{00000000-0004-0000-0800-000039040000}"/>
    <hyperlink ref="Q543" r:id="rId1083" xr:uid="{00000000-0004-0000-0800-00003A040000}"/>
    <hyperlink ref="R543" r:id="rId1084" xr:uid="{00000000-0004-0000-0800-00003B040000}"/>
    <hyperlink ref="Q544" r:id="rId1085" xr:uid="{00000000-0004-0000-0800-00003C040000}"/>
    <hyperlink ref="R544" r:id="rId1086" xr:uid="{00000000-0004-0000-0800-00003D040000}"/>
    <hyperlink ref="Q545" r:id="rId1087" xr:uid="{00000000-0004-0000-0800-00003E040000}"/>
    <hyperlink ref="R545" r:id="rId1088" xr:uid="{00000000-0004-0000-0800-00003F040000}"/>
    <hyperlink ref="Q546" r:id="rId1089" xr:uid="{00000000-0004-0000-0800-000040040000}"/>
    <hyperlink ref="R546" r:id="rId1090" xr:uid="{00000000-0004-0000-0800-000041040000}"/>
    <hyperlink ref="Q547" r:id="rId1091" xr:uid="{00000000-0004-0000-0800-000042040000}"/>
    <hyperlink ref="R547" r:id="rId1092" xr:uid="{00000000-0004-0000-0800-000043040000}"/>
    <hyperlink ref="Q548" r:id="rId1093" xr:uid="{00000000-0004-0000-0800-000044040000}"/>
    <hyperlink ref="R548" r:id="rId1094" xr:uid="{00000000-0004-0000-0800-000045040000}"/>
    <hyperlink ref="Q549" r:id="rId1095" xr:uid="{00000000-0004-0000-0800-000046040000}"/>
    <hyperlink ref="R549" r:id="rId1096" xr:uid="{00000000-0004-0000-0800-000047040000}"/>
    <hyperlink ref="Q550" r:id="rId1097" xr:uid="{00000000-0004-0000-0800-000048040000}"/>
    <hyperlink ref="R550" r:id="rId1098" xr:uid="{00000000-0004-0000-0800-000049040000}"/>
    <hyperlink ref="Q551" r:id="rId1099" xr:uid="{00000000-0004-0000-0800-00004A040000}"/>
    <hyperlink ref="R551" r:id="rId1100" xr:uid="{00000000-0004-0000-0800-00004B040000}"/>
    <hyperlink ref="Q552" r:id="rId1101" xr:uid="{00000000-0004-0000-0800-00004C040000}"/>
    <hyperlink ref="R552" r:id="rId1102" xr:uid="{00000000-0004-0000-0800-00004D040000}"/>
    <hyperlink ref="Q553" r:id="rId1103" xr:uid="{00000000-0004-0000-0800-00004E040000}"/>
    <hyperlink ref="R553" r:id="rId1104" xr:uid="{00000000-0004-0000-0800-00004F040000}"/>
    <hyperlink ref="Q554" r:id="rId1105" xr:uid="{00000000-0004-0000-0800-000050040000}"/>
    <hyperlink ref="R554" r:id="rId1106" xr:uid="{00000000-0004-0000-0800-000051040000}"/>
    <hyperlink ref="Q555" r:id="rId1107" xr:uid="{00000000-0004-0000-0800-000052040000}"/>
    <hyperlink ref="R555" r:id="rId1108" xr:uid="{00000000-0004-0000-0800-000053040000}"/>
    <hyperlink ref="Q556" r:id="rId1109" xr:uid="{00000000-0004-0000-0800-000054040000}"/>
    <hyperlink ref="R556" r:id="rId1110" xr:uid="{00000000-0004-0000-0800-000055040000}"/>
    <hyperlink ref="Q557" r:id="rId1111" xr:uid="{00000000-0004-0000-0800-000056040000}"/>
    <hyperlink ref="R557" r:id="rId1112" xr:uid="{00000000-0004-0000-0800-000057040000}"/>
    <hyperlink ref="Q558" r:id="rId1113" xr:uid="{00000000-0004-0000-0800-000058040000}"/>
    <hyperlink ref="R558" r:id="rId1114" xr:uid="{00000000-0004-0000-0800-000059040000}"/>
    <hyperlink ref="Q559" r:id="rId1115" xr:uid="{00000000-0004-0000-0800-00005A040000}"/>
    <hyperlink ref="R559" r:id="rId1116" xr:uid="{00000000-0004-0000-0800-00005B040000}"/>
    <hyperlink ref="Q560" r:id="rId1117" xr:uid="{00000000-0004-0000-0800-00005C040000}"/>
    <hyperlink ref="R560" r:id="rId1118" xr:uid="{00000000-0004-0000-0800-00005D040000}"/>
    <hyperlink ref="Q561" r:id="rId1119" xr:uid="{00000000-0004-0000-0800-00005E040000}"/>
    <hyperlink ref="R561" r:id="rId1120" xr:uid="{00000000-0004-0000-0800-00005F040000}"/>
    <hyperlink ref="Q562" r:id="rId1121" xr:uid="{00000000-0004-0000-0800-000060040000}"/>
    <hyperlink ref="R562" r:id="rId1122" xr:uid="{00000000-0004-0000-0800-000061040000}"/>
    <hyperlink ref="Q563" r:id="rId1123" xr:uid="{00000000-0004-0000-0800-000062040000}"/>
    <hyperlink ref="R563" r:id="rId1124" xr:uid="{00000000-0004-0000-0800-000063040000}"/>
    <hyperlink ref="Q564" r:id="rId1125" xr:uid="{00000000-0004-0000-0800-000064040000}"/>
    <hyperlink ref="R564" r:id="rId1126" xr:uid="{00000000-0004-0000-0800-000065040000}"/>
    <hyperlink ref="Q565" r:id="rId1127" xr:uid="{00000000-0004-0000-0800-000066040000}"/>
    <hyperlink ref="R565" r:id="rId1128" xr:uid="{00000000-0004-0000-0800-000067040000}"/>
    <hyperlink ref="Q566" r:id="rId1129" xr:uid="{00000000-0004-0000-0800-000068040000}"/>
    <hyperlink ref="R566" r:id="rId1130" xr:uid="{00000000-0004-0000-0800-000069040000}"/>
    <hyperlink ref="Q567" r:id="rId1131" xr:uid="{00000000-0004-0000-0800-00006A040000}"/>
    <hyperlink ref="R567" r:id="rId1132" xr:uid="{00000000-0004-0000-0800-00006B040000}"/>
    <hyperlink ref="Q568" r:id="rId1133" xr:uid="{00000000-0004-0000-0800-00006C040000}"/>
    <hyperlink ref="R568" r:id="rId1134" xr:uid="{00000000-0004-0000-0800-00006D040000}"/>
    <hyperlink ref="Q569" r:id="rId1135" xr:uid="{00000000-0004-0000-0800-00006E040000}"/>
    <hyperlink ref="R569" r:id="rId1136" xr:uid="{00000000-0004-0000-0800-00006F040000}"/>
    <hyperlink ref="Q570" r:id="rId1137" xr:uid="{00000000-0004-0000-0800-000070040000}"/>
    <hyperlink ref="R570" r:id="rId1138" xr:uid="{00000000-0004-0000-0800-000071040000}"/>
    <hyperlink ref="Q571" r:id="rId1139" xr:uid="{00000000-0004-0000-0800-000072040000}"/>
    <hyperlink ref="R571" r:id="rId1140" xr:uid="{00000000-0004-0000-0800-000073040000}"/>
    <hyperlink ref="Q572" r:id="rId1141" xr:uid="{00000000-0004-0000-0800-000074040000}"/>
    <hyperlink ref="R572" r:id="rId1142" xr:uid="{00000000-0004-0000-0800-000075040000}"/>
    <hyperlink ref="Q573" r:id="rId1143" xr:uid="{00000000-0004-0000-0800-000076040000}"/>
    <hyperlink ref="R573" r:id="rId1144" xr:uid="{00000000-0004-0000-0800-000077040000}"/>
    <hyperlink ref="Q574" r:id="rId1145" xr:uid="{00000000-0004-0000-0800-000078040000}"/>
    <hyperlink ref="R574" r:id="rId1146" xr:uid="{00000000-0004-0000-0800-000079040000}"/>
    <hyperlink ref="Q575" r:id="rId1147" xr:uid="{00000000-0004-0000-0800-00007A040000}"/>
    <hyperlink ref="R575" r:id="rId1148" xr:uid="{00000000-0004-0000-0800-00007B040000}"/>
    <hyperlink ref="Q576" r:id="rId1149" xr:uid="{00000000-0004-0000-0800-00007C040000}"/>
    <hyperlink ref="R576" r:id="rId1150" xr:uid="{00000000-0004-0000-0800-00007D040000}"/>
    <hyperlink ref="Q577" r:id="rId1151" xr:uid="{00000000-0004-0000-0800-00007E040000}"/>
    <hyperlink ref="R577" r:id="rId1152" xr:uid="{00000000-0004-0000-0800-00007F040000}"/>
    <hyperlink ref="Q578" r:id="rId1153" xr:uid="{00000000-0004-0000-0800-000080040000}"/>
    <hyperlink ref="R578" r:id="rId1154" xr:uid="{00000000-0004-0000-0800-000081040000}"/>
    <hyperlink ref="Q579" r:id="rId1155" xr:uid="{00000000-0004-0000-0800-000082040000}"/>
    <hyperlink ref="R579" r:id="rId1156" xr:uid="{00000000-0004-0000-0800-000083040000}"/>
    <hyperlink ref="Q580" r:id="rId1157" xr:uid="{00000000-0004-0000-0800-000084040000}"/>
    <hyperlink ref="R580" r:id="rId1158" xr:uid="{00000000-0004-0000-0800-000085040000}"/>
    <hyperlink ref="Q581" r:id="rId1159" xr:uid="{00000000-0004-0000-0800-000086040000}"/>
    <hyperlink ref="R581" r:id="rId1160" xr:uid="{00000000-0004-0000-0800-000087040000}"/>
    <hyperlink ref="Q582" r:id="rId1161" xr:uid="{00000000-0004-0000-0800-000088040000}"/>
    <hyperlink ref="R582" r:id="rId1162" xr:uid="{00000000-0004-0000-0800-000089040000}"/>
    <hyperlink ref="Q583" r:id="rId1163" xr:uid="{00000000-0004-0000-0800-00008A040000}"/>
    <hyperlink ref="R583" r:id="rId1164" xr:uid="{00000000-0004-0000-0800-00008B040000}"/>
    <hyperlink ref="Q584" r:id="rId1165" xr:uid="{00000000-0004-0000-0800-00008C040000}"/>
    <hyperlink ref="R584" r:id="rId1166" xr:uid="{00000000-0004-0000-0800-00008D040000}"/>
    <hyperlink ref="Q585" r:id="rId1167" xr:uid="{00000000-0004-0000-0800-00008E040000}"/>
    <hyperlink ref="R585" r:id="rId1168" xr:uid="{00000000-0004-0000-0800-00008F040000}"/>
    <hyperlink ref="Q586" r:id="rId1169" xr:uid="{00000000-0004-0000-0800-000090040000}"/>
    <hyperlink ref="R586" r:id="rId1170" xr:uid="{00000000-0004-0000-0800-000091040000}"/>
    <hyperlink ref="Q587" r:id="rId1171" xr:uid="{00000000-0004-0000-0800-000092040000}"/>
    <hyperlink ref="R587" r:id="rId1172" xr:uid="{00000000-0004-0000-0800-000093040000}"/>
    <hyperlink ref="Q588" r:id="rId1173" xr:uid="{00000000-0004-0000-0800-000094040000}"/>
    <hyperlink ref="R588" r:id="rId1174" xr:uid="{00000000-0004-0000-0800-000095040000}"/>
    <hyperlink ref="Q589" r:id="rId1175" xr:uid="{00000000-0004-0000-0800-000096040000}"/>
    <hyperlink ref="R589" r:id="rId1176" xr:uid="{00000000-0004-0000-0800-000097040000}"/>
    <hyperlink ref="Q590" r:id="rId1177" xr:uid="{00000000-0004-0000-0800-000098040000}"/>
    <hyperlink ref="R590" r:id="rId1178" xr:uid="{00000000-0004-0000-0800-000099040000}"/>
    <hyperlink ref="Q591" r:id="rId1179" xr:uid="{00000000-0004-0000-0800-00009A040000}"/>
    <hyperlink ref="R591" r:id="rId1180" xr:uid="{00000000-0004-0000-0800-00009B040000}"/>
    <hyperlink ref="Q592" r:id="rId1181" xr:uid="{00000000-0004-0000-0800-00009C040000}"/>
    <hyperlink ref="R592" r:id="rId1182" xr:uid="{00000000-0004-0000-0800-00009D040000}"/>
    <hyperlink ref="Q593" r:id="rId1183" xr:uid="{00000000-0004-0000-0800-00009E040000}"/>
    <hyperlink ref="R593" r:id="rId1184" xr:uid="{00000000-0004-0000-0800-00009F040000}"/>
    <hyperlink ref="Q594" r:id="rId1185" xr:uid="{00000000-0004-0000-0800-0000A0040000}"/>
    <hyperlink ref="R594" r:id="rId1186" xr:uid="{00000000-0004-0000-0800-0000A1040000}"/>
    <hyperlink ref="Q595" r:id="rId1187" xr:uid="{00000000-0004-0000-0800-0000A2040000}"/>
    <hyperlink ref="R595" r:id="rId1188" xr:uid="{00000000-0004-0000-0800-0000A3040000}"/>
    <hyperlink ref="Q596" r:id="rId1189" xr:uid="{00000000-0004-0000-0800-0000A4040000}"/>
    <hyperlink ref="R596" r:id="rId1190" xr:uid="{00000000-0004-0000-0800-0000A5040000}"/>
    <hyperlink ref="Q597" r:id="rId1191" xr:uid="{00000000-0004-0000-0800-0000A6040000}"/>
    <hyperlink ref="R597" r:id="rId1192" xr:uid="{00000000-0004-0000-0800-0000A7040000}"/>
    <hyperlink ref="Q598" r:id="rId1193" xr:uid="{00000000-0004-0000-0800-0000A8040000}"/>
    <hyperlink ref="R598" r:id="rId1194" xr:uid="{00000000-0004-0000-0800-0000A9040000}"/>
    <hyperlink ref="Q599" r:id="rId1195" xr:uid="{00000000-0004-0000-0800-0000AA040000}"/>
    <hyperlink ref="R599" r:id="rId1196" xr:uid="{00000000-0004-0000-0800-0000AB040000}"/>
    <hyperlink ref="Q600" r:id="rId1197" xr:uid="{00000000-0004-0000-0800-0000AC040000}"/>
    <hyperlink ref="R600" r:id="rId1198" xr:uid="{00000000-0004-0000-0800-0000AD040000}"/>
    <hyperlink ref="Q601" r:id="rId1199" xr:uid="{00000000-0004-0000-0800-0000AE040000}"/>
    <hyperlink ref="R601" r:id="rId1200" xr:uid="{00000000-0004-0000-0800-0000AF040000}"/>
    <hyperlink ref="Q602" r:id="rId1201" xr:uid="{00000000-0004-0000-0800-0000B0040000}"/>
    <hyperlink ref="R602" r:id="rId1202" xr:uid="{00000000-0004-0000-0800-0000B1040000}"/>
    <hyperlink ref="Q603" r:id="rId1203" xr:uid="{00000000-0004-0000-0800-0000B2040000}"/>
    <hyperlink ref="R603" r:id="rId1204" xr:uid="{00000000-0004-0000-0800-0000B3040000}"/>
    <hyperlink ref="Q604" r:id="rId1205" xr:uid="{00000000-0004-0000-0800-0000B4040000}"/>
    <hyperlink ref="R604" r:id="rId1206" xr:uid="{00000000-0004-0000-0800-0000B5040000}"/>
    <hyperlink ref="Q605" r:id="rId1207" xr:uid="{00000000-0004-0000-0800-0000B6040000}"/>
    <hyperlink ref="R605" r:id="rId1208" xr:uid="{00000000-0004-0000-0800-0000B7040000}"/>
    <hyperlink ref="Q606" r:id="rId1209" xr:uid="{00000000-0004-0000-0800-0000B8040000}"/>
    <hyperlink ref="R606" r:id="rId1210" xr:uid="{00000000-0004-0000-0800-0000B9040000}"/>
    <hyperlink ref="Q607" r:id="rId1211" xr:uid="{00000000-0004-0000-0800-0000BA040000}"/>
    <hyperlink ref="R607" r:id="rId1212" xr:uid="{00000000-0004-0000-0800-0000BB040000}"/>
    <hyperlink ref="Q608" r:id="rId1213" xr:uid="{00000000-0004-0000-0800-0000BC040000}"/>
    <hyperlink ref="R608" r:id="rId1214" xr:uid="{00000000-0004-0000-0800-0000BD040000}"/>
    <hyperlink ref="Q609" r:id="rId1215" xr:uid="{00000000-0004-0000-0800-0000BE040000}"/>
    <hyperlink ref="R609" r:id="rId1216" xr:uid="{00000000-0004-0000-0800-0000BF040000}"/>
    <hyperlink ref="Q610" r:id="rId1217" xr:uid="{00000000-0004-0000-0800-0000C0040000}"/>
    <hyperlink ref="R610" r:id="rId1218" xr:uid="{00000000-0004-0000-0800-0000C1040000}"/>
    <hyperlink ref="Q611" r:id="rId1219" xr:uid="{00000000-0004-0000-0800-0000C2040000}"/>
    <hyperlink ref="R611" r:id="rId1220" xr:uid="{00000000-0004-0000-0800-0000C3040000}"/>
    <hyperlink ref="Q612" r:id="rId1221" xr:uid="{00000000-0004-0000-0800-0000C4040000}"/>
    <hyperlink ref="R612" r:id="rId1222" xr:uid="{00000000-0004-0000-0800-0000C5040000}"/>
    <hyperlink ref="Q613" r:id="rId1223" xr:uid="{00000000-0004-0000-0800-0000C6040000}"/>
    <hyperlink ref="R613" r:id="rId1224" xr:uid="{00000000-0004-0000-0800-0000C7040000}"/>
    <hyperlink ref="Q614" r:id="rId1225" xr:uid="{00000000-0004-0000-0800-0000C8040000}"/>
    <hyperlink ref="R614" r:id="rId1226" xr:uid="{00000000-0004-0000-0800-0000C9040000}"/>
    <hyperlink ref="Q615" r:id="rId1227" xr:uid="{00000000-0004-0000-0800-0000CA040000}"/>
    <hyperlink ref="R615" r:id="rId1228" xr:uid="{00000000-0004-0000-0800-0000CB040000}"/>
    <hyperlink ref="Q616" r:id="rId1229" xr:uid="{00000000-0004-0000-0800-0000CC040000}"/>
    <hyperlink ref="R616" r:id="rId1230" xr:uid="{00000000-0004-0000-0800-0000CD040000}"/>
    <hyperlink ref="Q617" r:id="rId1231" xr:uid="{00000000-0004-0000-0800-0000CE040000}"/>
    <hyperlink ref="R617" r:id="rId1232" xr:uid="{00000000-0004-0000-0800-0000CF040000}"/>
    <hyperlink ref="Q618" r:id="rId1233" xr:uid="{00000000-0004-0000-0800-0000D0040000}"/>
    <hyperlink ref="R618" r:id="rId1234" xr:uid="{00000000-0004-0000-0800-0000D1040000}"/>
    <hyperlink ref="Q619" r:id="rId1235" xr:uid="{00000000-0004-0000-0800-0000D2040000}"/>
    <hyperlink ref="R619" r:id="rId1236" xr:uid="{00000000-0004-0000-0800-0000D3040000}"/>
    <hyperlink ref="Q620" r:id="rId1237" xr:uid="{00000000-0004-0000-0800-0000D4040000}"/>
    <hyperlink ref="R620" r:id="rId1238" xr:uid="{00000000-0004-0000-0800-0000D5040000}"/>
    <hyperlink ref="Q621" r:id="rId1239" xr:uid="{00000000-0004-0000-0800-0000D6040000}"/>
    <hyperlink ref="R621" r:id="rId1240" xr:uid="{00000000-0004-0000-0800-0000D7040000}"/>
    <hyperlink ref="Q622" r:id="rId1241" xr:uid="{00000000-0004-0000-0800-0000D8040000}"/>
    <hyperlink ref="R622" r:id="rId1242" xr:uid="{00000000-0004-0000-0800-0000D9040000}"/>
    <hyperlink ref="Q623" r:id="rId1243" xr:uid="{00000000-0004-0000-0800-0000DA040000}"/>
    <hyperlink ref="R623" r:id="rId1244" xr:uid="{00000000-0004-0000-0800-0000DB040000}"/>
    <hyperlink ref="Q624" r:id="rId1245" xr:uid="{00000000-0004-0000-0800-0000DC040000}"/>
    <hyperlink ref="R624" r:id="rId1246" xr:uid="{00000000-0004-0000-0800-0000DD040000}"/>
    <hyperlink ref="Q625" r:id="rId1247" xr:uid="{00000000-0004-0000-0800-0000DE040000}"/>
    <hyperlink ref="R625" r:id="rId1248" xr:uid="{00000000-0004-0000-0800-0000DF040000}"/>
    <hyperlink ref="Q626" r:id="rId1249" xr:uid="{00000000-0004-0000-0800-0000E0040000}"/>
    <hyperlink ref="R626" r:id="rId1250" xr:uid="{00000000-0004-0000-0800-0000E1040000}"/>
    <hyperlink ref="Q627" r:id="rId1251" xr:uid="{00000000-0004-0000-0800-0000E2040000}"/>
    <hyperlink ref="R627" r:id="rId1252" xr:uid="{00000000-0004-0000-0800-0000E3040000}"/>
    <hyperlink ref="Q628" r:id="rId1253" xr:uid="{00000000-0004-0000-0800-0000E4040000}"/>
    <hyperlink ref="R628" r:id="rId1254" xr:uid="{00000000-0004-0000-0800-0000E5040000}"/>
    <hyperlink ref="Q629" r:id="rId1255" xr:uid="{00000000-0004-0000-0800-0000E6040000}"/>
    <hyperlink ref="R629" r:id="rId1256" xr:uid="{00000000-0004-0000-0800-0000E7040000}"/>
    <hyperlink ref="Q630" r:id="rId1257" xr:uid="{00000000-0004-0000-0800-0000E8040000}"/>
    <hyperlink ref="R630" r:id="rId1258" xr:uid="{00000000-0004-0000-0800-0000E9040000}"/>
    <hyperlink ref="Q631" r:id="rId1259" xr:uid="{00000000-0004-0000-0800-0000EA040000}"/>
    <hyperlink ref="R631" r:id="rId1260" xr:uid="{00000000-0004-0000-0800-0000EB040000}"/>
    <hyperlink ref="Q632" r:id="rId1261" xr:uid="{00000000-0004-0000-0800-0000EC040000}"/>
    <hyperlink ref="R632" r:id="rId1262" xr:uid="{00000000-0004-0000-0800-0000ED040000}"/>
    <hyperlink ref="Q633" r:id="rId1263" xr:uid="{00000000-0004-0000-0800-0000EE040000}"/>
    <hyperlink ref="R633" r:id="rId1264" xr:uid="{00000000-0004-0000-0800-0000EF040000}"/>
    <hyperlink ref="Q634" r:id="rId1265" xr:uid="{00000000-0004-0000-0800-0000F0040000}"/>
    <hyperlink ref="R634" r:id="rId1266" xr:uid="{00000000-0004-0000-0800-0000F1040000}"/>
    <hyperlink ref="Q635" r:id="rId1267" xr:uid="{00000000-0004-0000-0800-0000F2040000}"/>
    <hyperlink ref="R635" r:id="rId1268" xr:uid="{00000000-0004-0000-0800-0000F3040000}"/>
    <hyperlink ref="Q636" r:id="rId1269" xr:uid="{00000000-0004-0000-0800-0000F4040000}"/>
    <hyperlink ref="R636" r:id="rId1270" xr:uid="{00000000-0004-0000-0800-0000F5040000}"/>
    <hyperlink ref="Q637" r:id="rId1271" xr:uid="{00000000-0004-0000-0800-0000F6040000}"/>
    <hyperlink ref="R637" r:id="rId1272" xr:uid="{00000000-0004-0000-0800-0000F7040000}"/>
    <hyperlink ref="Q638" r:id="rId1273" xr:uid="{00000000-0004-0000-0800-0000F8040000}"/>
    <hyperlink ref="R638" r:id="rId1274" xr:uid="{00000000-0004-0000-0800-0000F9040000}"/>
    <hyperlink ref="Q639" r:id="rId1275" xr:uid="{00000000-0004-0000-0800-0000FA040000}"/>
    <hyperlink ref="R639" r:id="rId1276" xr:uid="{00000000-0004-0000-0800-0000FB040000}"/>
    <hyperlink ref="Q640" r:id="rId1277" xr:uid="{00000000-0004-0000-0800-0000FC040000}"/>
    <hyperlink ref="R640" r:id="rId1278" xr:uid="{00000000-0004-0000-0800-0000FD040000}"/>
    <hyperlink ref="Q641" r:id="rId1279" xr:uid="{00000000-0004-0000-0800-0000FE040000}"/>
    <hyperlink ref="R641" r:id="rId1280" xr:uid="{00000000-0004-0000-0800-0000FF040000}"/>
    <hyperlink ref="Q642" r:id="rId1281" xr:uid="{00000000-0004-0000-0800-000000050000}"/>
    <hyperlink ref="R642" r:id="rId1282" xr:uid="{00000000-0004-0000-0800-000001050000}"/>
    <hyperlink ref="Q643" r:id="rId1283" xr:uid="{00000000-0004-0000-0800-000002050000}"/>
    <hyperlink ref="R643" r:id="rId1284" xr:uid="{00000000-0004-0000-0800-000003050000}"/>
    <hyperlink ref="Q644" r:id="rId1285" xr:uid="{00000000-0004-0000-0800-000004050000}"/>
    <hyperlink ref="R644" r:id="rId1286" xr:uid="{00000000-0004-0000-0800-000005050000}"/>
    <hyperlink ref="Q645" r:id="rId1287" xr:uid="{00000000-0004-0000-0800-000006050000}"/>
    <hyperlink ref="R645" r:id="rId1288" xr:uid="{00000000-0004-0000-0800-000007050000}"/>
    <hyperlink ref="Q646" r:id="rId1289" xr:uid="{00000000-0004-0000-0800-000008050000}"/>
    <hyperlink ref="R646" r:id="rId1290" xr:uid="{00000000-0004-0000-0800-000009050000}"/>
    <hyperlink ref="Q647" r:id="rId1291" xr:uid="{00000000-0004-0000-0800-00000A050000}"/>
    <hyperlink ref="R647" r:id="rId1292" xr:uid="{00000000-0004-0000-0800-00000B050000}"/>
    <hyperlink ref="Q648" r:id="rId1293" xr:uid="{00000000-0004-0000-0800-00000C050000}"/>
    <hyperlink ref="R648" r:id="rId1294" xr:uid="{00000000-0004-0000-0800-00000D050000}"/>
    <hyperlink ref="Q649" r:id="rId1295" xr:uid="{00000000-0004-0000-0800-00000E050000}"/>
    <hyperlink ref="R649" r:id="rId1296" xr:uid="{00000000-0004-0000-0800-00000F050000}"/>
    <hyperlink ref="Q650" r:id="rId1297" xr:uid="{00000000-0004-0000-0800-000010050000}"/>
    <hyperlink ref="R650" r:id="rId1298" xr:uid="{00000000-0004-0000-0800-000011050000}"/>
    <hyperlink ref="Q651" r:id="rId1299" xr:uid="{00000000-0004-0000-0800-000012050000}"/>
    <hyperlink ref="R651" r:id="rId1300" xr:uid="{00000000-0004-0000-0800-000013050000}"/>
    <hyperlink ref="Q652" r:id="rId1301" xr:uid="{00000000-0004-0000-0800-000014050000}"/>
    <hyperlink ref="R652" r:id="rId1302" xr:uid="{00000000-0004-0000-0800-000015050000}"/>
    <hyperlink ref="Q653" r:id="rId1303" xr:uid="{00000000-0004-0000-0800-000016050000}"/>
    <hyperlink ref="R653" r:id="rId1304" xr:uid="{00000000-0004-0000-0800-000017050000}"/>
    <hyperlink ref="Q654" r:id="rId1305" xr:uid="{00000000-0004-0000-0800-000018050000}"/>
    <hyperlink ref="R654" r:id="rId1306" xr:uid="{00000000-0004-0000-0800-000019050000}"/>
    <hyperlink ref="Q655" r:id="rId1307" xr:uid="{00000000-0004-0000-0800-00001A050000}"/>
    <hyperlink ref="R655" r:id="rId1308" xr:uid="{00000000-0004-0000-0800-00001B050000}"/>
    <hyperlink ref="Q656" r:id="rId1309" xr:uid="{00000000-0004-0000-0800-00001C050000}"/>
    <hyperlink ref="R656" r:id="rId1310" xr:uid="{00000000-0004-0000-0800-00001D050000}"/>
    <hyperlink ref="Q657" r:id="rId1311" xr:uid="{00000000-0004-0000-0800-00001E050000}"/>
    <hyperlink ref="R657" r:id="rId1312" xr:uid="{00000000-0004-0000-0800-00001F050000}"/>
    <hyperlink ref="Q658" r:id="rId1313" xr:uid="{00000000-0004-0000-0800-000020050000}"/>
    <hyperlink ref="R658" r:id="rId1314" xr:uid="{00000000-0004-0000-0800-000021050000}"/>
    <hyperlink ref="Q659" r:id="rId1315" xr:uid="{00000000-0004-0000-0800-000022050000}"/>
    <hyperlink ref="R659" r:id="rId1316" xr:uid="{00000000-0004-0000-0800-000023050000}"/>
    <hyperlink ref="Q660" r:id="rId1317" xr:uid="{00000000-0004-0000-0800-000024050000}"/>
    <hyperlink ref="R660" r:id="rId1318" xr:uid="{00000000-0004-0000-0800-000025050000}"/>
    <hyperlink ref="Q661" r:id="rId1319" xr:uid="{00000000-0004-0000-0800-000026050000}"/>
    <hyperlink ref="R661" r:id="rId1320" xr:uid="{00000000-0004-0000-0800-000027050000}"/>
    <hyperlink ref="Q662" r:id="rId1321" xr:uid="{00000000-0004-0000-0800-000028050000}"/>
    <hyperlink ref="R662" r:id="rId1322" xr:uid="{00000000-0004-0000-0800-000029050000}"/>
    <hyperlink ref="Q663" r:id="rId1323" xr:uid="{00000000-0004-0000-0800-00002A050000}"/>
    <hyperlink ref="R663" r:id="rId1324" xr:uid="{00000000-0004-0000-0800-00002B050000}"/>
    <hyperlink ref="Q664" r:id="rId1325" xr:uid="{00000000-0004-0000-0800-00002C050000}"/>
    <hyperlink ref="R664" r:id="rId1326" xr:uid="{00000000-0004-0000-0800-00002D050000}"/>
    <hyperlink ref="Q665" r:id="rId1327" xr:uid="{00000000-0004-0000-0800-00002E050000}"/>
    <hyperlink ref="R665" r:id="rId1328" xr:uid="{00000000-0004-0000-0800-00002F050000}"/>
    <hyperlink ref="Q666" r:id="rId1329" xr:uid="{00000000-0004-0000-0800-000030050000}"/>
    <hyperlink ref="R666" r:id="rId1330" xr:uid="{00000000-0004-0000-0800-000031050000}"/>
    <hyperlink ref="Q667" r:id="rId1331" xr:uid="{00000000-0004-0000-0800-000032050000}"/>
    <hyperlink ref="R667" r:id="rId1332" xr:uid="{00000000-0004-0000-0800-000033050000}"/>
    <hyperlink ref="Q668" r:id="rId1333" xr:uid="{00000000-0004-0000-0800-000034050000}"/>
    <hyperlink ref="R668" r:id="rId1334" xr:uid="{00000000-0004-0000-0800-000035050000}"/>
    <hyperlink ref="Q669" r:id="rId1335" xr:uid="{00000000-0004-0000-0800-000036050000}"/>
    <hyperlink ref="R669" r:id="rId1336" xr:uid="{00000000-0004-0000-0800-000037050000}"/>
    <hyperlink ref="Q670" r:id="rId1337" xr:uid="{00000000-0004-0000-0800-000038050000}"/>
    <hyperlink ref="R670" r:id="rId1338" xr:uid="{00000000-0004-0000-0800-000039050000}"/>
    <hyperlink ref="Q671" r:id="rId1339" xr:uid="{00000000-0004-0000-0800-00003A050000}"/>
    <hyperlink ref="R671" r:id="rId1340" xr:uid="{00000000-0004-0000-0800-00003B050000}"/>
    <hyperlink ref="Q672" r:id="rId1341" xr:uid="{00000000-0004-0000-0800-00003C050000}"/>
    <hyperlink ref="R672" r:id="rId1342" xr:uid="{00000000-0004-0000-0800-00003D050000}"/>
    <hyperlink ref="Q673" r:id="rId1343" xr:uid="{00000000-0004-0000-0800-00003E050000}"/>
    <hyperlink ref="R673" r:id="rId1344" xr:uid="{00000000-0004-0000-0800-00003F050000}"/>
    <hyperlink ref="Q674" r:id="rId1345" xr:uid="{00000000-0004-0000-0800-000040050000}"/>
    <hyperlink ref="R674" r:id="rId1346" xr:uid="{00000000-0004-0000-0800-000041050000}"/>
    <hyperlink ref="Q675" r:id="rId1347" xr:uid="{00000000-0004-0000-0800-000042050000}"/>
    <hyperlink ref="R675" r:id="rId1348" xr:uid="{00000000-0004-0000-0800-000043050000}"/>
    <hyperlink ref="Q676" r:id="rId1349" xr:uid="{00000000-0004-0000-0800-000044050000}"/>
    <hyperlink ref="R676" r:id="rId1350" xr:uid="{00000000-0004-0000-0800-000045050000}"/>
    <hyperlink ref="Q677" r:id="rId1351" xr:uid="{00000000-0004-0000-0800-000046050000}"/>
    <hyperlink ref="R677" r:id="rId1352" xr:uid="{00000000-0004-0000-0800-000047050000}"/>
    <hyperlink ref="Q678" r:id="rId1353" xr:uid="{00000000-0004-0000-0800-000048050000}"/>
    <hyperlink ref="R678" r:id="rId1354" xr:uid="{00000000-0004-0000-0800-000049050000}"/>
    <hyperlink ref="Q679" r:id="rId1355" xr:uid="{00000000-0004-0000-0800-00004A050000}"/>
    <hyperlink ref="R679" r:id="rId1356" xr:uid="{00000000-0004-0000-0800-00004B050000}"/>
    <hyperlink ref="Q680" r:id="rId1357" xr:uid="{00000000-0004-0000-0800-00004C050000}"/>
    <hyperlink ref="R680" r:id="rId1358" xr:uid="{00000000-0004-0000-0800-00004D050000}"/>
    <hyperlink ref="Q681" r:id="rId1359" xr:uid="{00000000-0004-0000-0800-00004E050000}"/>
    <hyperlink ref="R681" r:id="rId1360" xr:uid="{00000000-0004-0000-0800-00004F050000}"/>
    <hyperlink ref="Q682" r:id="rId1361" xr:uid="{00000000-0004-0000-0800-000050050000}"/>
    <hyperlink ref="R682" r:id="rId1362" xr:uid="{00000000-0004-0000-0800-000051050000}"/>
    <hyperlink ref="Q683" r:id="rId1363" xr:uid="{00000000-0004-0000-0800-000052050000}"/>
    <hyperlink ref="R683" r:id="rId1364" xr:uid="{00000000-0004-0000-0800-000053050000}"/>
    <hyperlink ref="Q684" r:id="rId1365" xr:uid="{00000000-0004-0000-0800-000054050000}"/>
    <hyperlink ref="R684" r:id="rId1366" xr:uid="{00000000-0004-0000-0800-000055050000}"/>
    <hyperlink ref="Q685" r:id="rId1367" xr:uid="{00000000-0004-0000-0800-000056050000}"/>
    <hyperlink ref="R685" r:id="rId1368" xr:uid="{00000000-0004-0000-0800-000057050000}"/>
    <hyperlink ref="Q686" r:id="rId1369" xr:uid="{00000000-0004-0000-0800-000058050000}"/>
    <hyperlink ref="R686" r:id="rId1370" xr:uid="{00000000-0004-0000-0800-000059050000}"/>
    <hyperlink ref="Q687" r:id="rId1371" xr:uid="{00000000-0004-0000-0800-00005A050000}"/>
    <hyperlink ref="R687" r:id="rId1372" xr:uid="{00000000-0004-0000-0800-00005B050000}"/>
    <hyperlink ref="Q688" r:id="rId1373" xr:uid="{00000000-0004-0000-0800-00005C050000}"/>
    <hyperlink ref="R688" r:id="rId1374" xr:uid="{00000000-0004-0000-0800-00005D050000}"/>
    <hyperlink ref="Q689" r:id="rId1375" xr:uid="{00000000-0004-0000-0800-00005E050000}"/>
    <hyperlink ref="R689" r:id="rId1376" xr:uid="{00000000-0004-0000-0800-00005F050000}"/>
    <hyperlink ref="Q690" r:id="rId1377" xr:uid="{00000000-0004-0000-0800-000060050000}"/>
    <hyperlink ref="R690" r:id="rId1378" xr:uid="{00000000-0004-0000-0800-000061050000}"/>
    <hyperlink ref="Q691" r:id="rId1379" xr:uid="{00000000-0004-0000-0800-000062050000}"/>
    <hyperlink ref="R691" r:id="rId1380" xr:uid="{00000000-0004-0000-0800-000063050000}"/>
    <hyperlink ref="Q692" r:id="rId1381" xr:uid="{00000000-0004-0000-0800-000064050000}"/>
    <hyperlink ref="R692" r:id="rId1382" xr:uid="{00000000-0004-0000-0800-000065050000}"/>
    <hyperlink ref="Q693" r:id="rId1383" xr:uid="{00000000-0004-0000-0800-000066050000}"/>
    <hyperlink ref="R693" r:id="rId1384" xr:uid="{00000000-0004-0000-0800-000067050000}"/>
    <hyperlink ref="Q694" r:id="rId1385" xr:uid="{00000000-0004-0000-0800-000068050000}"/>
    <hyperlink ref="R694" r:id="rId1386" xr:uid="{00000000-0004-0000-0800-000069050000}"/>
    <hyperlink ref="Q695" r:id="rId1387" xr:uid="{00000000-0004-0000-0800-00006A050000}"/>
    <hyperlink ref="R695" r:id="rId1388" xr:uid="{00000000-0004-0000-0800-00006B050000}"/>
    <hyperlink ref="Q696" r:id="rId1389" xr:uid="{00000000-0004-0000-0800-00006C050000}"/>
    <hyperlink ref="R696" r:id="rId1390" xr:uid="{00000000-0004-0000-0800-00006D050000}"/>
    <hyperlink ref="Q697" r:id="rId1391" xr:uid="{00000000-0004-0000-0800-00006E050000}"/>
    <hyperlink ref="R697" r:id="rId1392" xr:uid="{00000000-0004-0000-0800-00006F050000}"/>
    <hyperlink ref="Q698" r:id="rId1393" xr:uid="{00000000-0004-0000-0800-000070050000}"/>
    <hyperlink ref="R698" r:id="rId1394" xr:uid="{00000000-0004-0000-0800-000071050000}"/>
    <hyperlink ref="Q699" r:id="rId1395" xr:uid="{00000000-0004-0000-0800-000072050000}"/>
    <hyperlink ref="R699" r:id="rId1396" xr:uid="{00000000-0004-0000-0800-000073050000}"/>
    <hyperlink ref="Q700" r:id="rId1397" xr:uid="{00000000-0004-0000-0800-000074050000}"/>
    <hyperlink ref="R700" r:id="rId1398" xr:uid="{00000000-0004-0000-0800-000075050000}"/>
    <hyperlink ref="Q701" r:id="rId1399" xr:uid="{00000000-0004-0000-0800-000076050000}"/>
    <hyperlink ref="R701" r:id="rId1400" xr:uid="{00000000-0004-0000-0800-000077050000}"/>
    <hyperlink ref="Q702" r:id="rId1401" xr:uid="{00000000-0004-0000-0800-000078050000}"/>
    <hyperlink ref="R702" r:id="rId1402" xr:uid="{00000000-0004-0000-0800-000079050000}"/>
    <hyperlink ref="Q703" r:id="rId1403" xr:uid="{00000000-0004-0000-0800-00007A050000}"/>
    <hyperlink ref="R703" r:id="rId1404" xr:uid="{00000000-0004-0000-0800-00007B050000}"/>
    <hyperlink ref="Q704" r:id="rId1405" xr:uid="{00000000-0004-0000-0800-00007C050000}"/>
    <hyperlink ref="R704" r:id="rId1406" xr:uid="{00000000-0004-0000-0800-00007D050000}"/>
    <hyperlink ref="Q705" r:id="rId1407" xr:uid="{00000000-0004-0000-0800-00007E050000}"/>
    <hyperlink ref="R705" r:id="rId1408" xr:uid="{00000000-0004-0000-0800-00007F050000}"/>
    <hyperlink ref="Q706" r:id="rId1409" xr:uid="{00000000-0004-0000-0800-000080050000}"/>
    <hyperlink ref="R706" r:id="rId1410" xr:uid="{00000000-0004-0000-0800-000081050000}"/>
    <hyperlink ref="Q707" r:id="rId1411" xr:uid="{00000000-0004-0000-0800-000082050000}"/>
    <hyperlink ref="R707" r:id="rId1412" xr:uid="{00000000-0004-0000-0800-000083050000}"/>
    <hyperlink ref="Q708" r:id="rId1413" xr:uid="{00000000-0004-0000-0800-000084050000}"/>
    <hyperlink ref="R708" r:id="rId1414" xr:uid="{00000000-0004-0000-0800-000085050000}"/>
    <hyperlink ref="Q709" r:id="rId1415" xr:uid="{00000000-0004-0000-0800-000086050000}"/>
    <hyperlink ref="R709" r:id="rId1416" xr:uid="{00000000-0004-0000-0800-000087050000}"/>
    <hyperlink ref="Q710" r:id="rId1417" xr:uid="{00000000-0004-0000-0800-000088050000}"/>
    <hyperlink ref="R710" r:id="rId1418" xr:uid="{00000000-0004-0000-0800-000089050000}"/>
    <hyperlink ref="Q711" r:id="rId1419" xr:uid="{00000000-0004-0000-0800-00008A050000}"/>
    <hyperlink ref="R711" r:id="rId1420" xr:uid="{00000000-0004-0000-0800-00008B050000}"/>
    <hyperlink ref="Q712" r:id="rId1421" xr:uid="{00000000-0004-0000-0800-00008C050000}"/>
    <hyperlink ref="R712" r:id="rId1422" xr:uid="{00000000-0004-0000-0800-00008D050000}"/>
    <hyperlink ref="Q713" r:id="rId1423" xr:uid="{00000000-0004-0000-0800-00008E050000}"/>
    <hyperlink ref="R713" r:id="rId1424" xr:uid="{00000000-0004-0000-0800-00008F050000}"/>
    <hyperlink ref="Q714" r:id="rId1425" xr:uid="{00000000-0004-0000-0800-000090050000}"/>
    <hyperlink ref="R714" r:id="rId1426" xr:uid="{00000000-0004-0000-0800-000091050000}"/>
    <hyperlink ref="Q715" r:id="rId1427" xr:uid="{00000000-0004-0000-0800-000092050000}"/>
    <hyperlink ref="R715" r:id="rId1428" xr:uid="{00000000-0004-0000-0800-000093050000}"/>
    <hyperlink ref="Q716" r:id="rId1429" xr:uid="{00000000-0004-0000-0800-000094050000}"/>
    <hyperlink ref="R716" r:id="rId1430" xr:uid="{00000000-0004-0000-0800-000095050000}"/>
    <hyperlink ref="Q717" r:id="rId1431" xr:uid="{00000000-0004-0000-0800-000096050000}"/>
    <hyperlink ref="R717" r:id="rId1432" xr:uid="{00000000-0004-0000-0800-000097050000}"/>
    <hyperlink ref="Q718" r:id="rId1433" xr:uid="{00000000-0004-0000-0800-000098050000}"/>
    <hyperlink ref="R718" r:id="rId1434" xr:uid="{00000000-0004-0000-0800-000099050000}"/>
    <hyperlink ref="Q719" r:id="rId1435" xr:uid="{00000000-0004-0000-0800-00009A050000}"/>
    <hyperlink ref="R719" r:id="rId1436" xr:uid="{00000000-0004-0000-0800-00009B050000}"/>
    <hyperlink ref="Q720" r:id="rId1437" xr:uid="{00000000-0004-0000-0800-00009C050000}"/>
    <hyperlink ref="R720" r:id="rId1438" xr:uid="{00000000-0004-0000-0800-00009D050000}"/>
    <hyperlink ref="Q721" r:id="rId1439" xr:uid="{00000000-0004-0000-0800-00009E050000}"/>
    <hyperlink ref="R721" r:id="rId1440" xr:uid="{00000000-0004-0000-0800-00009F050000}"/>
    <hyperlink ref="Q722" r:id="rId1441" xr:uid="{00000000-0004-0000-0800-0000A0050000}"/>
    <hyperlink ref="R722" r:id="rId1442" xr:uid="{00000000-0004-0000-0800-0000A1050000}"/>
    <hyperlink ref="Q723" r:id="rId1443" xr:uid="{00000000-0004-0000-0800-0000A2050000}"/>
    <hyperlink ref="R723" r:id="rId1444" xr:uid="{00000000-0004-0000-0800-0000A3050000}"/>
    <hyperlink ref="Q724" r:id="rId1445" xr:uid="{00000000-0004-0000-0800-0000A4050000}"/>
    <hyperlink ref="R724" r:id="rId1446" xr:uid="{00000000-0004-0000-0800-0000A5050000}"/>
    <hyperlink ref="Q725" r:id="rId1447" xr:uid="{00000000-0004-0000-0800-0000A6050000}"/>
    <hyperlink ref="R725" r:id="rId1448" xr:uid="{00000000-0004-0000-0800-0000A7050000}"/>
    <hyperlink ref="Q726" r:id="rId1449" xr:uid="{00000000-0004-0000-0800-0000A8050000}"/>
    <hyperlink ref="R726" r:id="rId1450" xr:uid="{00000000-0004-0000-0800-0000A9050000}"/>
    <hyperlink ref="Q727" r:id="rId1451" xr:uid="{00000000-0004-0000-0800-0000AA050000}"/>
    <hyperlink ref="R727" r:id="rId1452" xr:uid="{00000000-0004-0000-0800-0000AB050000}"/>
    <hyperlink ref="Q728" r:id="rId1453" xr:uid="{00000000-0004-0000-0800-0000AC050000}"/>
    <hyperlink ref="R728" r:id="rId1454" xr:uid="{00000000-0004-0000-0800-0000AD050000}"/>
    <hyperlink ref="Q729" r:id="rId1455" xr:uid="{00000000-0004-0000-0800-0000AE050000}"/>
    <hyperlink ref="R729" r:id="rId1456" xr:uid="{00000000-0004-0000-0800-0000AF050000}"/>
    <hyperlink ref="Q730" r:id="rId1457" xr:uid="{00000000-0004-0000-0800-0000B0050000}"/>
    <hyperlink ref="R730" r:id="rId1458" xr:uid="{00000000-0004-0000-0800-0000B1050000}"/>
    <hyperlink ref="Q731" r:id="rId1459" xr:uid="{00000000-0004-0000-0800-0000B2050000}"/>
    <hyperlink ref="R731" r:id="rId1460" xr:uid="{00000000-0004-0000-0800-0000B3050000}"/>
    <hyperlink ref="Q732" r:id="rId1461" xr:uid="{00000000-0004-0000-0800-0000B4050000}"/>
    <hyperlink ref="R732" r:id="rId1462" xr:uid="{00000000-0004-0000-0800-0000B5050000}"/>
    <hyperlink ref="Q733" r:id="rId1463" xr:uid="{00000000-0004-0000-0800-0000B6050000}"/>
    <hyperlink ref="R733" r:id="rId1464" xr:uid="{00000000-0004-0000-0800-0000B7050000}"/>
    <hyperlink ref="Q734" r:id="rId1465" xr:uid="{00000000-0004-0000-0800-0000B8050000}"/>
    <hyperlink ref="R734" r:id="rId1466" xr:uid="{00000000-0004-0000-0800-0000B9050000}"/>
    <hyperlink ref="Q735" r:id="rId1467" xr:uid="{00000000-0004-0000-0800-0000BA050000}"/>
    <hyperlink ref="R735" r:id="rId1468" xr:uid="{00000000-0004-0000-0800-0000BB050000}"/>
    <hyperlink ref="Q736" r:id="rId1469" xr:uid="{00000000-0004-0000-0800-0000BC050000}"/>
    <hyperlink ref="R736" r:id="rId1470" xr:uid="{00000000-0004-0000-0800-0000BD050000}"/>
    <hyperlink ref="Q737" r:id="rId1471" xr:uid="{00000000-0004-0000-0800-0000BE050000}"/>
    <hyperlink ref="R737" r:id="rId1472" xr:uid="{00000000-0004-0000-0800-0000BF050000}"/>
    <hyperlink ref="Q738" r:id="rId1473" xr:uid="{00000000-0004-0000-0800-0000C0050000}"/>
    <hyperlink ref="R738" r:id="rId1474" xr:uid="{00000000-0004-0000-0800-0000C1050000}"/>
    <hyperlink ref="Q739" r:id="rId1475" xr:uid="{00000000-0004-0000-0800-0000C2050000}"/>
    <hyperlink ref="R739" r:id="rId1476" xr:uid="{00000000-0004-0000-0800-0000C3050000}"/>
    <hyperlink ref="Q740" r:id="rId1477" xr:uid="{00000000-0004-0000-0800-0000C4050000}"/>
    <hyperlink ref="R740" r:id="rId1478" xr:uid="{00000000-0004-0000-0800-0000C5050000}"/>
    <hyperlink ref="Q741" r:id="rId1479" xr:uid="{00000000-0004-0000-0800-0000C6050000}"/>
    <hyperlink ref="R741" r:id="rId1480" xr:uid="{00000000-0004-0000-0800-0000C7050000}"/>
    <hyperlink ref="Q742" r:id="rId1481" xr:uid="{00000000-0004-0000-0800-0000C8050000}"/>
    <hyperlink ref="R742" r:id="rId1482" xr:uid="{00000000-0004-0000-0800-0000C9050000}"/>
    <hyperlink ref="Q743" r:id="rId1483" xr:uid="{00000000-0004-0000-0800-0000CA050000}"/>
    <hyperlink ref="R743" r:id="rId1484" xr:uid="{00000000-0004-0000-0800-0000CB050000}"/>
    <hyperlink ref="Q744" r:id="rId1485" xr:uid="{00000000-0004-0000-0800-0000CC050000}"/>
    <hyperlink ref="R744" r:id="rId1486" xr:uid="{00000000-0004-0000-0800-0000CD050000}"/>
    <hyperlink ref="Q745" r:id="rId1487" xr:uid="{00000000-0004-0000-0800-0000CE050000}"/>
    <hyperlink ref="R745" r:id="rId1488" xr:uid="{00000000-0004-0000-0800-0000CF050000}"/>
    <hyperlink ref="Q746" r:id="rId1489" xr:uid="{00000000-0004-0000-0800-0000D0050000}"/>
    <hyperlink ref="R746" r:id="rId1490" xr:uid="{00000000-0004-0000-0800-0000D1050000}"/>
    <hyperlink ref="Q747" r:id="rId1491" xr:uid="{00000000-0004-0000-0800-0000D2050000}"/>
    <hyperlink ref="R747" r:id="rId1492" xr:uid="{00000000-0004-0000-0800-0000D3050000}"/>
    <hyperlink ref="Q748" r:id="rId1493" xr:uid="{00000000-0004-0000-0800-0000D4050000}"/>
    <hyperlink ref="R748" r:id="rId1494" xr:uid="{00000000-0004-0000-0800-0000D5050000}"/>
    <hyperlink ref="Q749" r:id="rId1495" xr:uid="{00000000-0004-0000-0800-0000D6050000}"/>
    <hyperlink ref="R749" r:id="rId1496" xr:uid="{00000000-0004-0000-0800-0000D7050000}"/>
    <hyperlink ref="Q750" r:id="rId1497" xr:uid="{00000000-0004-0000-0800-0000D8050000}"/>
    <hyperlink ref="R750" r:id="rId1498" xr:uid="{00000000-0004-0000-0800-0000D9050000}"/>
    <hyperlink ref="Q751" r:id="rId1499" xr:uid="{00000000-0004-0000-0800-0000DA050000}"/>
    <hyperlink ref="R751" r:id="rId1500" xr:uid="{00000000-0004-0000-0800-0000DB050000}"/>
    <hyperlink ref="Q752" r:id="rId1501" xr:uid="{00000000-0004-0000-0800-0000DC050000}"/>
    <hyperlink ref="R752" r:id="rId1502" xr:uid="{00000000-0004-0000-0800-0000DD050000}"/>
    <hyperlink ref="Q753" r:id="rId1503" xr:uid="{00000000-0004-0000-0800-0000DE050000}"/>
    <hyperlink ref="R753" r:id="rId1504" xr:uid="{00000000-0004-0000-0800-0000DF050000}"/>
    <hyperlink ref="Q754" r:id="rId1505" xr:uid="{00000000-0004-0000-0800-0000E0050000}"/>
    <hyperlink ref="R754" r:id="rId1506" xr:uid="{00000000-0004-0000-0800-0000E1050000}"/>
    <hyperlink ref="Q755" r:id="rId1507" xr:uid="{00000000-0004-0000-0800-0000E2050000}"/>
    <hyperlink ref="R755" r:id="rId1508" xr:uid="{00000000-0004-0000-0800-0000E3050000}"/>
    <hyperlink ref="Q756" r:id="rId1509" xr:uid="{00000000-0004-0000-0800-0000E4050000}"/>
    <hyperlink ref="R756" r:id="rId1510" xr:uid="{00000000-0004-0000-0800-0000E5050000}"/>
    <hyperlink ref="Q757" r:id="rId1511" xr:uid="{00000000-0004-0000-0800-0000E6050000}"/>
    <hyperlink ref="R757" r:id="rId1512" xr:uid="{00000000-0004-0000-0800-0000E7050000}"/>
    <hyperlink ref="Q758" r:id="rId1513" xr:uid="{00000000-0004-0000-0800-0000E8050000}"/>
    <hyperlink ref="R758" r:id="rId1514" xr:uid="{00000000-0004-0000-0800-0000E9050000}"/>
    <hyperlink ref="Q759" r:id="rId1515" xr:uid="{00000000-0004-0000-0800-0000EA050000}"/>
    <hyperlink ref="R759" r:id="rId1516" xr:uid="{00000000-0004-0000-0800-0000EB050000}"/>
    <hyperlink ref="Q760" r:id="rId1517" xr:uid="{00000000-0004-0000-0800-0000EC050000}"/>
    <hyperlink ref="R760" r:id="rId1518" xr:uid="{00000000-0004-0000-0800-0000ED050000}"/>
    <hyperlink ref="Q761" r:id="rId1519" xr:uid="{00000000-0004-0000-0800-0000EE050000}"/>
    <hyperlink ref="R761" r:id="rId1520" xr:uid="{00000000-0004-0000-0800-0000EF050000}"/>
    <hyperlink ref="Q762" r:id="rId1521" xr:uid="{00000000-0004-0000-0800-0000F0050000}"/>
    <hyperlink ref="R762" r:id="rId1522" xr:uid="{00000000-0004-0000-0800-0000F1050000}"/>
    <hyperlink ref="Q763" r:id="rId1523" xr:uid="{00000000-0004-0000-0800-0000F2050000}"/>
    <hyperlink ref="R763" r:id="rId1524" xr:uid="{00000000-0004-0000-0800-0000F3050000}"/>
    <hyperlink ref="Q764" r:id="rId1525" xr:uid="{00000000-0004-0000-0800-0000F4050000}"/>
    <hyperlink ref="R764" r:id="rId1526" xr:uid="{00000000-0004-0000-0800-0000F5050000}"/>
    <hyperlink ref="Q765" r:id="rId1527" xr:uid="{00000000-0004-0000-0800-0000F6050000}"/>
    <hyperlink ref="R765" r:id="rId1528" xr:uid="{00000000-0004-0000-0800-0000F7050000}"/>
    <hyperlink ref="Q766" r:id="rId1529" xr:uid="{00000000-0004-0000-0800-0000F8050000}"/>
    <hyperlink ref="R766" r:id="rId1530" xr:uid="{00000000-0004-0000-0800-0000F9050000}"/>
    <hyperlink ref="Q767" r:id="rId1531" xr:uid="{00000000-0004-0000-0800-0000FA050000}"/>
    <hyperlink ref="R767" r:id="rId1532" xr:uid="{00000000-0004-0000-0800-0000FB050000}"/>
    <hyperlink ref="Q768" r:id="rId1533" xr:uid="{00000000-0004-0000-0800-0000FC050000}"/>
    <hyperlink ref="R768" r:id="rId1534" xr:uid="{00000000-0004-0000-0800-0000FD050000}"/>
    <hyperlink ref="Q769" r:id="rId1535" xr:uid="{00000000-0004-0000-0800-0000FE050000}"/>
    <hyperlink ref="R769" r:id="rId1536" xr:uid="{00000000-0004-0000-0800-0000FF050000}"/>
    <hyperlink ref="Q770" r:id="rId1537" xr:uid="{00000000-0004-0000-0800-000000060000}"/>
    <hyperlink ref="R770" r:id="rId1538" xr:uid="{00000000-0004-0000-0800-000001060000}"/>
    <hyperlink ref="Q771" r:id="rId1539" xr:uid="{00000000-0004-0000-0800-000002060000}"/>
    <hyperlink ref="R771" r:id="rId1540" xr:uid="{00000000-0004-0000-0800-000003060000}"/>
    <hyperlink ref="Q772" r:id="rId1541" xr:uid="{00000000-0004-0000-0800-000004060000}"/>
    <hyperlink ref="R772" r:id="rId1542" xr:uid="{00000000-0004-0000-0800-000005060000}"/>
    <hyperlink ref="Q773" r:id="rId1543" xr:uid="{00000000-0004-0000-0800-000006060000}"/>
    <hyperlink ref="R773" r:id="rId1544" xr:uid="{00000000-0004-0000-0800-000007060000}"/>
    <hyperlink ref="Q774" r:id="rId1545" xr:uid="{00000000-0004-0000-0800-000008060000}"/>
    <hyperlink ref="R774" r:id="rId1546" xr:uid="{00000000-0004-0000-0800-000009060000}"/>
    <hyperlink ref="Q775" r:id="rId1547" xr:uid="{00000000-0004-0000-0800-00000A060000}"/>
    <hyperlink ref="R775" r:id="rId1548" xr:uid="{00000000-0004-0000-0800-00000B060000}"/>
    <hyperlink ref="Q776" r:id="rId1549" xr:uid="{00000000-0004-0000-0800-00000C060000}"/>
    <hyperlink ref="R776" r:id="rId1550" xr:uid="{00000000-0004-0000-0800-00000D060000}"/>
    <hyperlink ref="Q777" r:id="rId1551" xr:uid="{00000000-0004-0000-0800-00000E060000}"/>
    <hyperlink ref="R777" r:id="rId1552" xr:uid="{00000000-0004-0000-0800-00000F060000}"/>
    <hyperlink ref="Q778" r:id="rId1553" xr:uid="{00000000-0004-0000-0800-000010060000}"/>
    <hyperlink ref="R778" r:id="rId1554" xr:uid="{00000000-0004-0000-0800-000011060000}"/>
    <hyperlink ref="Q779" r:id="rId1555" xr:uid="{00000000-0004-0000-0800-000012060000}"/>
    <hyperlink ref="R779" r:id="rId1556" xr:uid="{00000000-0004-0000-0800-000013060000}"/>
    <hyperlink ref="Q780" r:id="rId1557" xr:uid="{00000000-0004-0000-0800-000014060000}"/>
    <hyperlink ref="R780" r:id="rId1558" xr:uid="{00000000-0004-0000-0800-000015060000}"/>
    <hyperlink ref="Q781" r:id="rId1559" xr:uid="{00000000-0004-0000-0800-000016060000}"/>
    <hyperlink ref="R781" r:id="rId1560" xr:uid="{00000000-0004-0000-0800-000017060000}"/>
    <hyperlink ref="Q782" r:id="rId1561" xr:uid="{00000000-0004-0000-0800-000018060000}"/>
    <hyperlink ref="R782" r:id="rId1562" xr:uid="{00000000-0004-0000-0800-000019060000}"/>
    <hyperlink ref="Q783" r:id="rId1563" xr:uid="{00000000-0004-0000-0800-00001A060000}"/>
    <hyperlink ref="R783" r:id="rId1564" xr:uid="{00000000-0004-0000-0800-00001B060000}"/>
    <hyperlink ref="Q784" r:id="rId1565" xr:uid="{00000000-0004-0000-0800-00001C060000}"/>
    <hyperlink ref="R784" r:id="rId1566" xr:uid="{00000000-0004-0000-0800-00001D060000}"/>
    <hyperlink ref="Q785" r:id="rId1567" xr:uid="{00000000-0004-0000-0800-00001E060000}"/>
    <hyperlink ref="R785" r:id="rId1568" xr:uid="{00000000-0004-0000-0800-00001F060000}"/>
    <hyperlink ref="Q786" r:id="rId1569" xr:uid="{00000000-0004-0000-0800-000020060000}"/>
    <hyperlink ref="R786" r:id="rId1570" xr:uid="{00000000-0004-0000-0800-000021060000}"/>
    <hyperlink ref="Q787" r:id="rId1571" xr:uid="{00000000-0004-0000-0800-000022060000}"/>
    <hyperlink ref="R787" r:id="rId1572" xr:uid="{00000000-0004-0000-0800-000023060000}"/>
    <hyperlink ref="Q788" r:id="rId1573" xr:uid="{00000000-0004-0000-0800-000024060000}"/>
    <hyperlink ref="R788" r:id="rId1574" xr:uid="{00000000-0004-0000-0800-000025060000}"/>
    <hyperlink ref="Q789" r:id="rId1575" xr:uid="{00000000-0004-0000-0800-000026060000}"/>
    <hyperlink ref="R789" r:id="rId1576" xr:uid="{00000000-0004-0000-0800-000027060000}"/>
    <hyperlink ref="Q790" r:id="rId1577" xr:uid="{00000000-0004-0000-0800-000028060000}"/>
    <hyperlink ref="R790" r:id="rId1578" xr:uid="{00000000-0004-0000-0800-000029060000}"/>
    <hyperlink ref="Q791" r:id="rId1579" xr:uid="{00000000-0004-0000-0800-00002A060000}"/>
    <hyperlink ref="R791" r:id="rId1580" xr:uid="{00000000-0004-0000-0800-00002B060000}"/>
    <hyperlink ref="Q792" r:id="rId1581" xr:uid="{00000000-0004-0000-0800-00002C060000}"/>
    <hyperlink ref="R792" r:id="rId1582" xr:uid="{00000000-0004-0000-0800-00002D060000}"/>
    <hyperlink ref="Q793" r:id="rId1583" xr:uid="{00000000-0004-0000-0800-00002E060000}"/>
    <hyperlink ref="R793" r:id="rId1584" xr:uid="{00000000-0004-0000-0800-00002F060000}"/>
    <hyperlink ref="Q794" r:id="rId1585" xr:uid="{00000000-0004-0000-0800-000030060000}"/>
    <hyperlink ref="R794" r:id="rId1586" xr:uid="{00000000-0004-0000-0800-000031060000}"/>
    <hyperlink ref="Q795" r:id="rId1587" xr:uid="{00000000-0004-0000-0800-000032060000}"/>
    <hyperlink ref="R795" r:id="rId1588" xr:uid="{00000000-0004-0000-0800-000033060000}"/>
    <hyperlink ref="Q796" r:id="rId1589" xr:uid="{00000000-0004-0000-0800-000034060000}"/>
    <hyperlink ref="R796" r:id="rId1590" xr:uid="{00000000-0004-0000-0800-000035060000}"/>
    <hyperlink ref="Q797" r:id="rId1591" xr:uid="{00000000-0004-0000-0800-000036060000}"/>
    <hyperlink ref="R797" r:id="rId1592" xr:uid="{00000000-0004-0000-0800-000037060000}"/>
    <hyperlink ref="Q798" r:id="rId1593" xr:uid="{00000000-0004-0000-0800-000038060000}"/>
    <hyperlink ref="R798" r:id="rId1594" xr:uid="{00000000-0004-0000-0800-000039060000}"/>
    <hyperlink ref="Q799" r:id="rId1595" xr:uid="{00000000-0004-0000-0800-00003A060000}"/>
    <hyperlink ref="R799" r:id="rId1596" xr:uid="{00000000-0004-0000-0800-00003B060000}"/>
    <hyperlink ref="Q800" r:id="rId1597" xr:uid="{00000000-0004-0000-0800-00003C060000}"/>
    <hyperlink ref="R800" r:id="rId1598" xr:uid="{00000000-0004-0000-0800-00003D060000}"/>
    <hyperlink ref="Q801" r:id="rId1599" xr:uid="{00000000-0004-0000-0800-00003E060000}"/>
    <hyperlink ref="R801" r:id="rId1600" xr:uid="{00000000-0004-0000-0800-00003F060000}"/>
    <hyperlink ref="Q802" r:id="rId1601" xr:uid="{00000000-0004-0000-0800-000040060000}"/>
    <hyperlink ref="R802" r:id="rId1602" xr:uid="{00000000-0004-0000-0800-000041060000}"/>
    <hyperlink ref="Q803" r:id="rId1603" xr:uid="{00000000-0004-0000-0800-000042060000}"/>
    <hyperlink ref="R803" r:id="rId1604" xr:uid="{00000000-0004-0000-0800-000043060000}"/>
    <hyperlink ref="Q804" r:id="rId1605" xr:uid="{00000000-0004-0000-0800-000044060000}"/>
    <hyperlink ref="R804" r:id="rId1606" xr:uid="{00000000-0004-0000-0800-000045060000}"/>
    <hyperlink ref="Q805" r:id="rId1607" xr:uid="{00000000-0004-0000-0800-000046060000}"/>
    <hyperlink ref="R805" r:id="rId1608" xr:uid="{00000000-0004-0000-0800-000047060000}"/>
    <hyperlink ref="Q806" r:id="rId1609" xr:uid="{00000000-0004-0000-0800-000048060000}"/>
    <hyperlink ref="R806" r:id="rId1610" xr:uid="{00000000-0004-0000-0800-000049060000}"/>
    <hyperlink ref="Q807" r:id="rId1611" xr:uid="{00000000-0004-0000-0800-00004A060000}"/>
    <hyperlink ref="R807" r:id="rId1612" xr:uid="{00000000-0004-0000-0800-00004B060000}"/>
    <hyperlink ref="Q808" r:id="rId1613" xr:uid="{00000000-0004-0000-0800-00004C060000}"/>
    <hyperlink ref="R808" r:id="rId1614" xr:uid="{00000000-0004-0000-0800-00004D060000}"/>
    <hyperlink ref="Q809" r:id="rId1615" xr:uid="{00000000-0004-0000-0800-00004E060000}"/>
    <hyperlink ref="R809" r:id="rId1616" xr:uid="{00000000-0004-0000-0800-00004F060000}"/>
    <hyperlink ref="Q810" r:id="rId1617" xr:uid="{00000000-0004-0000-0800-000050060000}"/>
    <hyperlink ref="R810" r:id="rId1618" xr:uid="{00000000-0004-0000-0800-000051060000}"/>
    <hyperlink ref="Q811" r:id="rId1619" xr:uid="{00000000-0004-0000-0800-000052060000}"/>
    <hyperlink ref="R811" r:id="rId1620" xr:uid="{00000000-0004-0000-0800-000053060000}"/>
    <hyperlink ref="Q812" r:id="rId1621" xr:uid="{00000000-0004-0000-0800-000054060000}"/>
    <hyperlink ref="R812" r:id="rId1622" xr:uid="{00000000-0004-0000-0800-000055060000}"/>
    <hyperlink ref="Q813" r:id="rId1623" xr:uid="{00000000-0004-0000-0800-000056060000}"/>
    <hyperlink ref="R813" r:id="rId1624" xr:uid="{00000000-0004-0000-0800-000057060000}"/>
    <hyperlink ref="Q814" r:id="rId1625" xr:uid="{00000000-0004-0000-0800-000058060000}"/>
    <hyperlink ref="R814" r:id="rId1626" xr:uid="{00000000-0004-0000-0800-000059060000}"/>
    <hyperlink ref="Q815" r:id="rId1627" xr:uid="{00000000-0004-0000-0800-00005A060000}"/>
    <hyperlink ref="R815" r:id="rId1628" xr:uid="{00000000-0004-0000-0800-00005B060000}"/>
    <hyperlink ref="Q816" r:id="rId1629" xr:uid="{00000000-0004-0000-0800-00005C060000}"/>
    <hyperlink ref="R816" r:id="rId1630" xr:uid="{00000000-0004-0000-0800-00005D060000}"/>
    <hyperlink ref="Q817" r:id="rId1631" xr:uid="{00000000-0004-0000-0800-00005E060000}"/>
    <hyperlink ref="R817" r:id="rId1632" xr:uid="{00000000-0004-0000-0800-00005F060000}"/>
    <hyperlink ref="Q818" r:id="rId1633" xr:uid="{00000000-0004-0000-0800-000060060000}"/>
    <hyperlink ref="R818" r:id="rId1634" xr:uid="{00000000-0004-0000-0800-000061060000}"/>
    <hyperlink ref="Q819" r:id="rId1635" xr:uid="{00000000-0004-0000-0800-000062060000}"/>
    <hyperlink ref="R819" r:id="rId1636" xr:uid="{00000000-0004-0000-0800-000063060000}"/>
    <hyperlink ref="Q820" r:id="rId1637" xr:uid="{00000000-0004-0000-0800-000064060000}"/>
    <hyperlink ref="R820" r:id="rId1638" xr:uid="{00000000-0004-0000-0800-000065060000}"/>
    <hyperlink ref="Q821" r:id="rId1639" xr:uid="{00000000-0004-0000-0800-000066060000}"/>
    <hyperlink ref="R821" r:id="rId1640" xr:uid="{00000000-0004-0000-0800-000067060000}"/>
    <hyperlink ref="Q822" r:id="rId1641" xr:uid="{00000000-0004-0000-0800-000068060000}"/>
    <hyperlink ref="R822" r:id="rId1642" xr:uid="{00000000-0004-0000-0800-000069060000}"/>
    <hyperlink ref="Q823" r:id="rId1643" xr:uid="{00000000-0004-0000-0800-00006A060000}"/>
    <hyperlink ref="R823" r:id="rId1644" xr:uid="{00000000-0004-0000-0800-00006B060000}"/>
    <hyperlink ref="Q824" r:id="rId1645" xr:uid="{00000000-0004-0000-0800-00006C060000}"/>
    <hyperlink ref="R824" r:id="rId1646" xr:uid="{00000000-0004-0000-0800-00006D060000}"/>
    <hyperlink ref="Q825" r:id="rId1647" xr:uid="{00000000-0004-0000-0800-00006E060000}"/>
    <hyperlink ref="R825" r:id="rId1648" xr:uid="{00000000-0004-0000-0800-00006F060000}"/>
    <hyperlink ref="Q826" r:id="rId1649" xr:uid="{00000000-0004-0000-0800-000070060000}"/>
    <hyperlink ref="R826" r:id="rId1650" xr:uid="{00000000-0004-0000-0800-000071060000}"/>
    <hyperlink ref="Q827" r:id="rId1651" xr:uid="{00000000-0004-0000-0800-000072060000}"/>
    <hyperlink ref="R827" r:id="rId1652" xr:uid="{00000000-0004-0000-0800-000073060000}"/>
    <hyperlink ref="Q828" r:id="rId1653" xr:uid="{00000000-0004-0000-0800-000074060000}"/>
    <hyperlink ref="R828" r:id="rId1654" xr:uid="{00000000-0004-0000-0800-000075060000}"/>
    <hyperlink ref="Q829" r:id="rId1655" xr:uid="{00000000-0004-0000-0800-000076060000}"/>
    <hyperlink ref="R829" r:id="rId1656" xr:uid="{00000000-0004-0000-0800-000077060000}"/>
    <hyperlink ref="Q830" r:id="rId1657" xr:uid="{00000000-0004-0000-0800-000078060000}"/>
    <hyperlink ref="R830" r:id="rId1658" xr:uid="{00000000-0004-0000-0800-000079060000}"/>
    <hyperlink ref="Q831" r:id="rId1659" xr:uid="{00000000-0004-0000-0800-00007A060000}"/>
    <hyperlink ref="R831" r:id="rId1660" xr:uid="{00000000-0004-0000-0800-00007B060000}"/>
    <hyperlink ref="Q832" r:id="rId1661" xr:uid="{00000000-0004-0000-0800-00007C060000}"/>
    <hyperlink ref="R832" r:id="rId1662" xr:uid="{00000000-0004-0000-0800-00007D060000}"/>
    <hyperlink ref="Q833" r:id="rId1663" xr:uid="{00000000-0004-0000-0800-00007E060000}"/>
    <hyperlink ref="R833" r:id="rId1664" xr:uid="{00000000-0004-0000-0800-00007F060000}"/>
    <hyperlink ref="Q834" r:id="rId1665" xr:uid="{00000000-0004-0000-0800-000080060000}"/>
    <hyperlink ref="R834" r:id="rId1666" xr:uid="{00000000-0004-0000-0800-000081060000}"/>
    <hyperlink ref="Q835" r:id="rId1667" xr:uid="{00000000-0004-0000-0800-000082060000}"/>
    <hyperlink ref="R835" r:id="rId1668" xr:uid="{00000000-0004-0000-0800-000083060000}"/>
    <hyperlink ref="Q836" r:id="rId1669" xr:uid="{00000000-0004-0000-0800-000084060000}"/>
    <hyperlink ref="R836" r:id="rId1670" xr:uid="{00000000-0004-0000-0800-000085060000}"/>
    <hyperlink ref="Q837" r:id="rId1671" xr:uid="{00000000-0004-0000-0800-000086060000}"/>
    <hyperlink ref="R837" r:id="rId1672" xr:uid="{00000000-0004-0000-0800-000087060000}"/>
    <hyperlink ref="Q838" r:id="rId1673" xr:uid="{00000000-0004-0000-0800-000088060000}"/>
    <hyperlink ref="R838" r:id="rId1674" xr:uid="{00000000-0004-0000-0800-000089060000}"/>
    <hyperlink ref="Q839" r:id="rId1675" xr:uid="{00000000-0004-0000-0800-00008A060000}"/>
    <hyperlink ref="R839" r:id="rId1676" xr:uid="{00000000-0004-0000-0800-00008B060000}"/>
    <hyperlink ref="Q840" r:id="rId1677" xr:uid="{00000000-0004-0000-0800-00008C060000}"/>
    <hyperlink ref="R840" r:id="rId1678" xr:uid="{00000000-0004-0000-0800-00008D060000}"/>
    <hyperlink ref="Q841" r:id="rId1679" xr:uid="{00000000-0004-0000-0800-00008E060000}"/>
    <hyperlink ref="R841" r:id="rId1680" xr:uid="{00000000-0004-0000-0800-00008F060000}"/>
    <hyperlink ref="Q842" r:id="rId1681" xr:uid="{00000000-0004-0000-0800-000090060000}"/>
    <hyperlink ref="R842" r:id="rId1682" xr:uid="{00000000-0004-0000-0800-000091060000}"/>
    <hyperlink ref="Q843" r:id="rId1683" xr:uid="{00000000-0004-0000-0800-000092060000}"/>
    <hyperlink ref="R843" r:id="rId1684" xr:uid="{00000000-0004-0000-0800-000093060000}"/>
    <hyperlink ref="Q844" r:id="rId1685" xr:uid="{00000000-0004-0000-0800-000094060000}"/>
    <hyperlink ref="R844" r:id="rId1686" xr:uid="{00000000-0004-0000-0800-000095060000}"/>
    <hyperlink ref="Q845" r:id="rId1687" xr:uid="{00000000-0004-0000-0800-000096060000}"/>
    <hyperlink ref="R845" r:id="rId1688" xr:uid="{00000000-0004-0000-0800-000097060000}"/>
    <hyperlink ref="Q846" r:id="rId1689" xr:uid="{00000000-0004-0000-0800-000098060000}"/>
    <hyperlink ref="R846" r:id="rId1690" xr:uid="{00000000-0004-0000-0800-000099060000}"/>
    <hyperlink ref="Q847" r:id="rId1691" xr:uid="{00000000-0004-0000-0800-00009A060000}"/>
    <hyperlink ref="R847" r:id="rId1692" xr:uid="{00000000-0004-0000-0800-00009B060000}"/>
    <hyperlink ref="Q848" r:id="rId1693" xr:uid="{00000000-0004-0000-0800-00009C060000}"/>
    <hyperlink ref="R848" r:id="rId1694" xr:uid="{00000000-0004-0000-0800-00009D060000}"/>
    <hyperlink ref="Q849" r:id="rId1695" xr:uid="{00000000-0004-0000-0800-00009E060000}"/>
    <hyperlink ref="R849" r:id="rId1696" xr:uid="{00000000-0004-0000-0800-00009F060000}"/>
    <hyperlink ref="Q850" r:id="rId1697" xr:uid="{00000000-0004-0000-0800-0000A0060000}"/>
    <hyperlink ref="R850" r:id="rId1698" xr:uid="{00000000-0004-0000-0800-0000A1060000}"/>
    <hyperlink ref="Q851" r:id="rId1699" xr:uid="{00000000-0004-0000-0800-0000A2060000}"/>
    <hyperlink ref="R851" r:id="rId1700" xr:uid="{00000000-0004-0000-0800-0000A3060000}"/>
    <hyperlink ref="Q852" r:id="rId1701" xr:uid="{00000000-0004-0000-0800-0000A4060000}"/>
    <hyperlink ref="R852" r:id="rId1702" xr:uid="{00000000-0004-0000-0800-0000A5060000}"/>
    <hyperlink ref="Q853" r:id="rId1703" xr:uid="{00000000-0004-0000-0800-0000A6060000}"/>
    <hyperlink ref="R853" r:id="rId1704" xr:uid="{00000000-0004-0000-0800-0000A7060000}"/>
    <hyperlink ref="Q854" r:id="rId1705" xr:uid="{00000000-0004-0000-0800-0000A8060000}"/>
    <hyperlink ref="R854" r:id="rId1706" xr:uid="{00000000-0004-0000-0800-0000A9060000}"/>
    <hyperlink ref="Q855" r:id="rId1707" xr:uid="{00000000-0004-0000-0800-0000AA060000}"/>
    <hyperlink ref="R855" r:id="rId1708" xr:uid="{00000000-0004-0000-0800-0000AB060000}"/>
    <hyperlink ref="Q856" r:id="rId1709" xr:uid="{00000000-0004-0000-0800-0000AC060000}"/>
    <hyperlink ref="R856" r:id="rId1710" xr:uid="{00000000-0004-0000-0800-0000AD060000}"/>
    <hyperlink ref="Q857" r:id="rId1711" xr:uid="{00000000-0004-0000-0800-0000AE060000}"/>
    <hyperlink ref="R857" r:id="rId1712" xr:uid="{00000000-0004-0000-0800-0000AF060000}"/>
    <hyperlink ref="Q858" r:id="rId1713" xr:uid="{00000000-0004-0000-0800-0000B0060000}"/>
    <hyperlink ref="R858" r:id="rId1714" xr:uid="{00000000-0004-0000-0800-0000B1060000}"/>
    <hyperlink ref="Q859" r:id="rId1715" xr:uid="{00000000-0004-0000-0800-0000B2060000}"/>
    <hyperlink ref="R859" r:id="rId1716" xr:uid="{00000000-0004-0000-0800-0000B3060000}"/>
    <hyperlink ref="Q860" r:id="rId1717" xr:uid="{00000000-0004-0000-0800-0000B4060000}"/>
    <hyperlink ref="R860" r:id="rId1718" xr:uid="{00000000-0004-0000-0800-0000B5060000}"/>
    <hyperlink ref="Q861" r:id="rId1719" xr:uid="{00000000-0004-0000-0800-0000B6060000}"/>
    <hyperlink ref="R861" r:id="rId1720" xr:uid="{00000000-0004-0000-0800-0000B7060000}"/>
    <hyperlink ref="Q862" r:id="rId1721" xr:uid="{00000000-0004-0000-0800-0000B8060000}"/>
    <hyperlink ref="R862" r:id="rId1722" xr:uid="{00000000-0004-0000-0800-0000B9060000}"/>
    <hyperlink ref="Q863" r:id="rId1723" xr:uid="{00000000-0004-0000-0800-0000BA060000}"/>
    <hyperlink ref="R863" r:id="rId1724" xr:uid="{00000000-0004-0000-0800-0000BB060000}"/>
    <hyperlink ref="Q864" r:id="rId1725" xr:uid="{00000000-0004-0000-0800-0000BC060000}"/>
    <hyperlink ref="R864" r:id="rId1726" xr:uid="{00000000-0004-0000-0800-0000BD060000}"/>
    <hyperlink ref="Q865" r:id="rId1727" xr:uid="{00000000-0004-0000-0800-0000BE060000}"/>
    <hyperlink ref="R865" r:id="rId1728" xr:uid="{00000000-0004-0000-0800-0000BF060000}"/>
    <hyperlink ref="Q866" r:id="rId1729" xr:uid="{00000000-0004-0000-0800-0000C0060000}"/>
    <hyperlink ref="R866" r:id="rId1730" xr:uid="{00000000-0004-0000-0800-0000C1060000}"/>
    <hyperlink ref="Q867" r:id="rId1731" xr:uid="{00000000-0004-0000-0800-0000C2060000}"/>
    <hyperlink ref="R867" r:id="rId1732" xr:uid="{00000000-0004-0000-0800-0000C3060000}"/>
    <hyperlink ref="Q868" r:id="rId1733" xr:uid="{00000000-0004-0000-0800-0000C4060000}"/>
    <hyperlink ref="R868" r:id="rId1734" xr:uid="{00000000-0004-0000-0800-0000C5060000}"/>
    <hyperlink ref="Q869" r:id="rId1735" xr:uid="{00000000-0004-0000-0800-0000C6060000}"/>
    <hyperlink ref="R869" r:id="rId1736" xr:uid="{00000000-0004-0000-0800-0000C7060000}"/>
    <hyperlink ref="Q870" r:id="rId1737" xr:uid="{00000000-0004-0000-0800-0000C8060000}"/>
    <hyperlink ref="R870" r:id="rId1738" xr:uid="{00000000-0004-0000-0800-0000C9060000}"/>
    <hyperlink ref="Q871" r:id="rId1739" xr:uid="{00000000-0004-0000-0800-0000CA060000}"/>
    <hyperlink ref="R871" r:id="rId1740" xr:uid="{00000000-0004-0000-0800-0000CB060000}"/>
    <hyperlink ref="Q872" r:id="rId1741" xr:uid="{00000000-0004-0000-0800-0000CC060000}"/>
    <hyperlink ref="R872" r:id="rId1742" xr:uid="{00000000-0004-0000-0800-0000CD060000}"/>
    <hyperlink ref="Q873" r:id="rId1743" xr:uid="{00000000-0004-0000-0800-0000CE060000}"/>
    <hyperlink ref="R873" r:id="rId1744" xr:uid="{00000000-0004-0000-0800-0000CF060000}"/>
    <hyperlink ref="Q874" r:id="rId1745" xr:uid="{00000000-0004-0000-0800-0000D0060000}"/>
    <hyperlink ref="R874" r:id="rId1746" xr:uid="{00000000-0004-0000-0800-0000D1060000}"/>
    <hyperlink ref="Q875" r:id="rId1747" xr:uid="{00000000-0004-0000-0800-0000D2060000}"/>
    <hyperlink ref="R875" r:id="rId1748" xr:uid="{00000000-0004-0000-0800-0000D3060000}"/>
    <hyperlink ref="Q876" r:id="rId1749" xr:uid="{00000000-0004-0000-0800-0000D4060000}"/>
    <hyperlink ref="R876" r:id="rId1750" xr:uid="{00000000-0004-0000-0800-0000D5060000}"/>
    <hyperlink ref="Q877" r:id="rId1751" xr:uid="{00000000-0004-0000-0800-0000D6060000}"/>
    <hyperlink ref="R877" r:id="rId1752" xr:uid="{00000000-0004-0000-0800-0000D7060000}"/>
    <hyperlink ref="Q878" r:id="rId1753" xr:uid="{00000000-0004-0000-0800-0000D8060000}"/>
    <hyperlink ref="R878" r:id="rId1754" xr:uid="{00000000-0004-0000-0800-0000D9060000}"/>
    <hyperlink ref="Q879" r:id="rId1755" xr:uid="{00000000-0004-0000-0800-0000DA060000}"/>
    <hyperlink ref="R879" r:id="rId1756" xr:uid="{00000000-0004-0000-0800-0000DB060000}"/>
    <hyperlink ref="Q880" r:id="rId1757" xr:uid="{00000000-0004-0000-0800-0000DC060000}"/>
    <hyperlink ref="R880" r:id="rId1758" xr:uid="{00000000-0004-0000-0800-0000DD060000}"/>
    <hyperlink ref="Q881" r:id="rId1759" xr:uid="{00000000-0004-0000-0800-0000DE060000}"/>
    <hyperlink ref="R881" r:id="rId1760" xr:uid="{00000000-0004-0000-0800-0000DF060000}"/>
    <hyperlink ref="Q882" r:id="rId1761" xr:uid="{00000000-0004-0000-0800-0000E0060000}"/>
    <hyperlink ref="R882" r:id="rId1762" xr:uid="{00000000-0004-0000-0800-0000E1060000}"/>
    <hyperlink ref="Q883" r:id="rId1763" xr:uid="{00000000-0004-0000-0800-0000E2060000}"/>
    <hyperlink ref="R883" r:id="rId1764" xr:uid="{00000000-0004-0000-0800-0000E3060000}"/>
    <hyperlink ref="Q884" r:id="rId1765" xr:uid="{00000000-0004-0000-0800-0000E4060000}"/>
    <hyperlink ref="R884" r:id="rId1766" xr:uid="{00000000-0004-0000-0800-0000E5060000}"/>
    <hyperlink ref="Q885" r:id="rId1767" xr:uid="{00000000-0004-0000-0800-0000E6060000}"/>
    <hyperlink ref="R885" r:id="rId1768" xr:uid="{00000000-0004-0000-0800-0000E7060000}"/>
    <hyperlink ref="Q886" r:id="rId1769" xr:uid="{00000000-0004-0000-0800-0000E8060000}"/>
    <hyperlink ref="R886" r:id="rId1770" xr:uid="{00000000-0004-0000-0800-0000E9060000}"/>
    <hyperlink ref="Q887" r:id="rId1771" xr:uid="{00000000-0004-0000-0800-0000EA060000}"/>
    <hyperlink ref="R887" r:id="rId1772" xr:uid="{00000000-0004-0000-0800-0000EB060000}"/>
    <hyperlink ref="Q888" r:id="rId1773" xr:uid="{00000000-0004-0000-0800-0000EC060000}"/>
    <hyperlink ref="R888" r:id="rId1774" xr:uid="{00000000-0004-0000-0800-0000ED060000}"/>
    <hyperlink ref="Q889" r:id="rId1775" xr:uid="{00000000-0004-0000-0800-0000EE060000}"/>
    <hyperlink ref="R889" r:id="rId1776" xr:uid="{00000000-0004-0000-0800-0000EF060000}"/>
    <hyperlink ref="Q890" r:id="rId1777" xr:uid="{00000000-0004-0000-0800-0000F0060000}"/>
    <hyperlink ref="R890" r:id="rId1778" xr:uid="{00000000-0004-0000-0800-0000F1060000}"/>
    <hyperlink ref="Q891" r:id="rId1779" xr:uid="{00000000-0004-0000-0800-0000F2060000}"/>
    <hyperlink ref="R891" r:id="rId1780" xr:uid="{00000000-0004-0000-0800-0000F3060000}"/>
    <hyperlink ref="Q892" r:id="rId1781" xr:uid="{00000000-0004-0000-0800-0000F4060000}"/>
    <hyperlink ref="R892" r:id="rId1782" xr:uid="{00000000-0004-0000-0800-0000F5060000}"/>
    <hyperlink ref="Q893" r:id="rId1783" xr:uid="{00000000-0004-0000-0800-0000F6060000}"/>
    <hyperlink ref="R893" r:id="rId1784" xr:uid="{00000000-0004-0000-0800-0000F7060000}"/>
    <hyperlink ref="Q894" r:id="rId1785" xr:uid="{00000000-0004-0000-0800-0000F8060000}"/>
    <hyperlink ref="R894" r:id="rId1786" xr:uid="{00000000-0004-0000-0800-0000F9060000}"/>
    <hyperlink ref="Q895" r:id="rId1787" xr:uid="{00000000-0004-0000-0800-0000FA060000}"/>
    <hyperlink ref="R895" r:id="rId1788" xr:uid="{00000000-0004-0000-0800-0000FB060000}"/>
    <hyperlink ref="Q896" r:id="rId1789" xr:uid="{00000000-0004-0000-0800-0000FC060000}"/>
    <hyperlink ref="R896" r:id="rId1790" xr:uid="{00000000-0004-0000-0800-0000FD060000}"/>
    <hyperlink ref="Q897" r:id="rId1791" xr:uid="{00000000-0004-0000-0800-0000FE060000}"/>
    <hyperlink ref="R897" r:id="rId1792" xr:uid="{00000000-0004-0000-0800-0000FF060000}"/>
    <hyperlink ref="Q898" r:id="rId1793" xr:uid="{00000000-0004-0000-0800-000000070000}"/>
    <hyperlink ref="R898" r:id="rId1794" xr:uid="{00000000-0004-0000-0800-000001070000}"/>
    <hyperlink ref="Q899" r:id="rId1795" xr:uid="{00000000-0004-0000-0800-000002070000}"/>
    <hyperlink ref="R899" r:id="rId1796" xr:uid="{00000000-0004-0000-0800-000003070000}"/>
    <hyperlink ref="Q900" r:id="rId1797" xr:uid="{00000000-0004-0000-0800-000004070000}"/>
    <hyperlink ref="R900" r:id="rId1798" xr:uid="{00000000-0004-0000-0800-000005070000}"/>
    <hyperlink ref="Q901" r:id="rId1799" xr:uid="{00000000-0004-0000-0800-000006070000}"/>
    <hyperlink ref="R901" r:id="rId1800" xr:uid="{00000000-0004-0000-0800-000007070000}"/>
    <hyperlink ref="Q902" r:id="rId1801" xr:uid="{00000000-0004-0000-0800-000008070000}"/>
    <hyperlink ref="R902" r:id="rId1802" xr:uid="{00000000-0004-0000-0800-000009070000}"/>
    <hyperlink ref="Q903" r:id="rId1803" xr:uid="{00000000-0004-0000-0800-00000A070000}"/>
    <hyperlink ref="R903" r:id="rId1804" xr:uid="{00000000-0004-0000-0800-00000B070000}"/>
    <hyperlink ref="Q904" r:id="rId1805" xr:uid="{00000000-0004-0000-0800-00000C070000}"/>
    <hyperlink ref="R904" r:id="rId1806" xr:uid="{00000000-0004-0000-0800-00000D070000}"/>
    <hyperlink ref="Q905" r:id="rId1807" xr:uid="{00000000-0004-0000-0800-00000E070000}"/>
    <hyperlink ref="R905" r:id="rId1808" xr:uid="{00000000-0004-0000-0800-00000F070000}"/>
    <hyperlink ref="Q906" r:id="rId1809" xr:uid="{00000000-0004-0000-0800-000010070000}"/>
    <hyperlink ref="R906" r:id="rId1810" xr:uid="{00000000-0004-0000-0800-000011070000}"/>
    <hyperlink ref="Q907" r:id="rId1811" xr:uid="{00000000-0004-0000-0800-000012070000}"/>
    <hyperlink ref="R907" r:id="rId1812" xr:uid="{00000000-0004-0000-0800-000013070000}"/>
    <hyperlink ref="Q908" r:id="rId1813" xr:uid="{00000000-0004-0000-0800-000014070000}"/>
    <hyperlink ref="R908" r:id="rId1814" xr:uid="{00000000-0004-0000-0800-000015070000}"/>
    <hyperlink ref="Q909" r:id="rId1815" xr:uid="{00000000-0004-0000-0800-000016070000}"/>
    <hyperlink ref="R909" r:id="rId1816" xr:uid="{00000000-0004-0000-0800-000017070000}"/>
    <hyperlink ref="Q910" r:id="rId1817" xr:uid="{00000000-0004-0000-0800-000018070000}"/>
    <hyperlink ref="R910" r:id="rId1818" xr:uid="{00000000-0004-0000-0800-000019070000}"/>
    <hyperlink ref="Q911" r:id="rId1819" xr:uid="{00000000-0004-0000-0800-00001A070000}"/>
    <hyperlink ref="R911" r:id="rId1820" xr:uid="{00000000-0004-0000-0800-00001B070000}"/>
    <hyperlink ref="Q912" r:id="rId1821" xr:uid="{00000000-0004-0000-0800-00001C070000}"/>
    <hyperlink ref="R912" r:id="rId1822" xr:uid="{00000000-0004-0000-0800-00001D070000}"/>
    <hyperlink ref="Q913" r:id="rId1823" xr:uid="{00000000-0004-0000-0800-00001E070000}"/>
    <hyperlink ref="R913" r:id="rId1824" xr:uid="{00000000-0004-0000-0800-00001F070000}"/>
    <hyperlink ref="Q914" r:id="rId1825" xr:uid="{00000000-0004-0000-0800-000020070000}"/>
    <hyperlink ref="R914" r:id="rId1826" xr:uid="{00000000-0004-0000-0800-000021070000}"/>
    <hyperlink ref="Q915" r:id="rId1827" xr:uid="{00000000-0004-0000-0800-000022070000}"/>
    <hyperlink ref="R915" r:id="rId1828" xr:uid="{00000000-0004-0000-0800-000023070000}"/>
    <hyperlink ref="Q916" r:id="rId1829" xr:uid="{00000000-0004-0000-0800-000024070000}"/>
    <hyperlink ref="R916" r:id="rId1830" xr:uid="{00000000-0004-0000-0800-000025070000}"/>
    <hyperlink ref="Q917" r:id="rId1831" xr:uid="{00000000-0004-0000-0800-000026070000}"/>
    <hyperlink ref="R917" r:id="rId1832" xr:uid="{00000000-0004-0000-0800-000027070000}"/>
    <hyperlink ref="Q918" r:id="rId1833" xr:uid="{00000000-0004-0000-0800-000028070000}"/>
    <hyperlink ref="R918" r:id="rId1834" xr:uid="{00000000-0004-0000-0800-000029070000}"/>
    <hyperlink ref="Q919" r:id="rId1835" xr:uid="{00000000-0004-0000-0800-00002A070000}"/>
    <hyperlink ref="R919" r:id="rId1836" xr:uid="{00000000-0004-0000-0800-00002B070000}"/>
    <hyperlink ref="Q920" r:id="rId1837" xr:uid="{00000000-0004-0000-0800-00002C070000}"/>
    <hyperlink ref="R920" r:id="rId1838" xr:uid="{00000000-0004-0000-0800-00002D070000}"/>
    <hyperlink ref="Q921" r:id="rId1839" xr:uid="{00000000-0004-0000-0800-00002E070000}"/>
    <hyperlink ref="R921" r:id="rId1840" xr:uid="{00000000-0004-0000-0800-00002F070000}"/>
    <hyperlink ref="Q922" r:id="rId1841" xr:uid="{00000000-0004-0000-0800-000030070000}"/>
    <hyperlink ref="R922" r:id="rId1842" xr:uid="{00000000-0004-0000-0800-000031070000}"/>
    <hyperlink ref="Q923" r:id="rId1843" xr:uid="{00000000-0004-0000-0800-000032070000}"/>
    <hyperlink ref="R923" r:id="rId1844" xr:uid="{00000000-0004-0000-0800-000033070000}"/>
    <hyperlink ref="Q924" r:id="rId1845" xr:uid="{00000000-0004-0000-0800-000034070000}"/>
    <hyperlink ref="R924" r:id="rId1846" xr:uid="{00000000-0004-0000-0800-000035070000}"/>
    <hyperlink ref="Q925" r:id="rId1847" xr:uid="{00000000-0004-0000-0800-000036070000}"/>
    <hyperlink ref="R925" r:id="rId1848" xr:uid="{00000000-0004-0000-0800-000037070000}"/>
    <hyperlink ref="Q926" r:id="rId1849" xr:uid="{00000000-0004-0000-0800-000038070000}"/>
    <hyperlink ref="R926" r:id="rId1850" xr:uid="{00000000-0004-0000-0800-000039070000}"/>
    <hyperlink ref="Q927" r:id="rId1851" xr:uid="{00000000-0004-0000-0800-00003A070000}"/>
    <hyperlink ref="R927" r:id="rId1852" xr:uid="{00000000-0004-0000-0800-00003B070000}"/>
    <hyperlink ref="Q928" r:id="rId1853" xr:uid="{00000000-0004-0000-0800-00003C070000}"/>
    <hyperlink ref="R928" r:id="rId1854" xr:uid="{00000000-0004-0000-0800-00003D070000}"/>
    <hyperlink ref="Q929" r:id="rId1855" xr:uid="{00000000-0004-0000-0800-00003E070000}"/>
    <hyperlink ref="R929" r:id="rId1856" xr:uid="{00000000-0004-0000-0800-00003F070000}"/>
    <hyperlink ref="Q930" r:id="rId1857" xr:uid="{00000000-0004-0000-0800-000040070000}"/>
    <hyperlink ref="R930" r:id="rId1858" xr:uid="{00000000-0004-0000-0800-000041070000}"/>
    <hyperlink ref="Q931" r:id="rId1859" xr:uid="{00000000-0004-0000-0800-000042070000}"/>
    <hyperlink ref="R931" r:id="rId1860" xr:uid="{00000000-0004-0000-0800-000043070000}"/>
    <hyperlink ref="Q932" r:id="rId1861" xr:uid="{00000000-0004-0000-0800-000044070000}"/>
    <hyperlink ref="R932" r:id="rId1862" xr:uid="{00000000-0004-0000-0800-000045070000}"/>
    <hyperlink ref="Q933" r:id="rId1863" xr:uid="{00000000-0004-0000-0800-000046070000}"/>
    <hyperlink ref="R933" r:id="rId1864" xr:uid="{00000000-0004-0000-0800-000047070000}"/>
    <hyperlink ref="Q934" r:id="rId1865" xr:uid="{00000000-0004-0000-0800-000048070000}"/>
    <hyperlink ref="R934" r:id="rId1866" xr:uid="{00000000-0004-0000-0800-000049070000}"/>
    <hyperlink ref="Q935" r:id="rId1867" xr:uid="{00000000-0004-0000-0800-00004A070000}"/>
    <hyperlink ref="R935" r:id="rId1868" xr:uid="{00000000-0004-0000-0800-00004B070000}"/>
    <hyperlink ref="Q936" r:id="rId1869" xr:uid="{00000000-0004-0000-0800-00004C070000}"/>
    <hyperlink ref="R936" r:id="rId1870" xr:uid="{00000000-0004-0000-0800-00004D070000}"/>
    <hyperlink ref="Q937" r:id="rId1871" xr:uid="{00000000-0004-0000-0800-00004E070000}"/>
    <hyperlink ref="R937" r:id="rId1872" xr:uid="{00000000-0004-0000-0800-00004F070000}"/>
    <hyperlink ref="Q938" r:id="rId1873" xr:uid="{00000000-0004-0000-0800-000050070000}"/>
    <hyperlink ref="R938" r:id="rId1874" xr:uid="{00000000-0004-0000-0800-000051070000}"/>
    <hyperlink ref="Q939" r:id="rId1875" xr:uid="{00000000-0004-0000-0800-000052070000}"/>
    <hyperlink ref="R939" r:id="rId1876" xr:uid="{00000000-0004-0000-0800-000053070000}"/>
    <hyperlink ref="Q940" r:id="rId1877" xr:uid="{00000000-0004-0000-0800-000054070000}"/>
    <hyperlink ref="R940" r:id="rId1878" xr:uid="{00000000-0004-0000-0800-000055070000}"/>
    <hyperlink ref="Q941" r:id="rId1879" xr:uid="{00000000-0004-0000-0800-000056070000}"/>
    <hyperlink ref="R941" r:id="rId1880" xr:uid="{00000000-0004-0000-0800-000057070000}"/>
    <hyperlink ref="Q942" r:id="rId1881" xr:uid="{00000000-0004-0000-0800-000058070000}"/>
    <hyperlink ref="R942" r:id="rId1882" xr:uid="{00000000-0004-0000-0800-000059070000}"/>
    <hyperlink ref="Q943" r:id="rId1883" xr:uid="{00000000-0004-0000-0800-00005A070000}"/>
    <hyperlink ref="R943" r:id="rId1884" xr:uid="{00000000-0004-0000-0800-00005B070000}"/>
    <hyperlink ref="Q944" r:id="rId1885" xr:uid="{00000000-0004-0000-0800-00005C070000}"/>
    <hyperlink ref="R944" r:id="rId1886" xr:uid="{00000000-0004-0000-0800-00005D070000}"/>
    <hyperlink ref="Q945" r:id="rId1887" xr:uid="{00000000-0004-0000-0800-00005E070000}"/>
    <hyperlink ref="R945" r:id="rId1888" xr:uid="{00000000-0004-0000-0800-00005F070000}"/>
    <hyperlink ref="Q946" r:id="rId1889" xr:uid="{00000000-0004-0000-0800-000060070000}"/>
    <hyperlink ref="R946" r:id="rId1890" xr:uid="{00000000-0004-0000-0800-000061070000}"/>
    <hyperlink ref="Q947" r:id="rId1891" xr:uid="{00000000-0004-0000-0800-000062070000}"/>
    <hyperlink ref="R947" r:id="rId1892" xr:uid="{00000000-0004-0000-0800-000063070000}"/>
    <hyperlink ref="Q948" r:id="rId1893" xr:uid="{00000000-0004-0000-0800-000064070000}"/>
    <hyperlink ref="R948" r:id="rId1894" xr:uid="{00000000-0004-0000-0800-000065070000}"/>
    <hyperlink ref="Q949" r:id="rId1895" xr:uid="{00000000-0004-0000-0800-000066070000}"/>
    <hyperlink ref="R949" r:id="rId1896" xr:uid="{00000000-0004-0000-0800-000067070000}"/>
    <hyperlink ref="Q950" r:id="rId1897" xr:uid="{00000000-0004-0000-0800-000068070000}"/>
    <hyperlink ref="R950" r:id="rId1898" xr:uid="{00000000-0004-0000-0800-000069070000}"/>
    <hyperlink ref="Q951" r:id="rId1899" xr:uid="{00000000-0004-0000-0800-00006A070000}"/>
    <hyperlink ref="R951" r:id="rId1900" xr:uid="{00000000-0004-0000-0800-00006B070000}"/>
    <hyperlink ref="Q952" r:id="rId1901" xr:uid="{00000000-0004-0000-0800-00006C070000}"/>
    <hyperlink ref="R952" r:id="rId1902" xr:uid="{00000000-0004-0000-0800-00006D070000}"/>
    <hyperlink ref="Q953" r:id="rId1903" xr:uid="{00000000-0004-0000-0800-00006E070000}"/>
    <hyperlink ref="R953" r:id="rId1904" xr:uid="{00000000-0004-0000-0800-00006F070000}"/>
    <hyperlink ref="Q954" r:id="rId1905" xr:uid="{00000000-0004-0000-0800-000070070000}"/>
    <hyperlink ref="R954" r:id="rId1906" xr:uid="{00000000-0004-0000-0800-000071070000}"/>
    <hyperlink ref="Q955" r:id="rId1907" xr:uid="{00000000-0004-0000-0800-000072070000}"/>
    <hyperlink ref="R955" r:id="rId1908" xr:uid="{00000000-0004-0000-0800-000073070000}"/>
    <hyperlink ref="Q956" r:id="rId1909" xr:uid="{00000000-0004-0000-0800-000074070000}"/>
    <hyperlink ref="R956" r:id="rId1910" xr:uid="{00000000-0004-0000-0800-000075070000}"/>
    <hyperlink ref="Q957" r:id="rId1911" xr:uid="{00000000-0004-0000-0800-000076070000}"/>
    <hyperlink ref="R957" r:id="rId1912" xr:uid="{00000000-0004-0000-0800-000077070000}"/>
    <hyperlink ref="Q958" r:id="rId1913" xr:uid="{00000000-0004-0000-0800-000078070000}"/>
    <hyperlink ref="R958" r:id="rId1914" xr:uid="{00000000-0004-0000-0800-000079070000}"/>
    <hyperlink ref="Q959" r:id="rId1915" xr:uid="{00000000-0004-0000-0800-00007A070000}"/>
    <hyperlink ref="R959" r:id="rId1916" xr:uid="{00000000-0004-0000-0800-00007B070000}"/>
    <hyperlink ref="Q960" r:id="rId1917" xr:uid="{00000000-0004-0000-0800-00007C070000}"/>
    <hyperlink ref="R960" r:id="rId1918" xr:uid="{00000000-0004-0000-0800-00007D070000}"/>
    <hyperlink ref="Q961" r:id="rId1919" xr:uid="{00000000-0004-0000-0800-00007E070000}"/>
    <hyperlink ref="R961" r:id="rId1920" xr:uid="{00000000-0004-0000-0800-00007F070000}"/>
    <hyperlink ref="Q962" r:id="rId1921" xr:uid="{00000000-0004-0000-0800-000080070000}"/>
    <hyperlink ref="R962" r:id="rId1922" xr:uid="{00000000-0004-0000-0800-000081070000}"/>
    <hyperlink ref="Q963" r:id="rId1923" xr:uid="{00000000-0004-0000-0800-000082070000}"/>
    <hyperlink ref="R963" r:id="rId1924" xr:uid="{00000000-0004-0000-0800-000083070000}"/>
    <hyperlink ref="Q964" r:id="rId1925" xr:uid="{00000000-0004-0000-0800-000084070000}"/>
    <hyperlink ref="R964" r:id="rId1926" xr:uid="{00000000-0004-0000-0800-000085070000}"/>
    <hyperlink ref="Q965" r:id="rId1927" xr:uid="{00000000-0004-0000-0800-000086070000}"/>
    <hyperlink ref="R965" r:id="rId1928" xr:uid="{00000000-0004-0000-0800-000087070000}"/>
    <hyperlink ref="Q966" r:id="rId1929" xr:uid="{00000000-0004-0000-0800-000088070000}"/>
    <hyperlink ref="R966" r:id="rId1930" xr:uid="{00000000-0004-0000-0800-000089070000}"/>
    <hyperlink ref="Q967" r:id="rId1931" xr:uid="{00000000-0004-0000-0800-00008A070000}"/>
    <hyperlink ref="R967" r:id="rId1932" xr:uid="{00000000-0004-0000-0800-00008B070000}"/>
    <hyperlink ref="Q968" r:id="rId1933" xr:uid="{00000000-0004-0000-0800-00008C070000}"/>
    <hyperlink ref="R968" r:id="rId1934" xr:uid="{00000000-0004-0000-0800-00008D070000}"/>
    <hyperlink ref="Q969" r:id="rId1935" xr:uid="{00000000-0004-0000-0800-00008E070000}"/>
    <hyperlink ref="R969" r:id="rId1936" xr:uid="{00000000-0004-0000-0800-00008F070000}"/>
    <hyperlink ref="Q970" r:id="rId1937" xr:uid="{00000000-0004-0000-0800-000090070000}"/>
    <hyperlink ref="R970" r:id="rId1938" xr:uid="{00000000-0004-0000-0800-000091070000}"/>
    <hyperlink ref="Q971" r:id="rId1939" xr:uid="{00000000-0004-0000-0800-000092070000}"/>
    <hyperlink ref="R971" r:id="rId1940" xr:uid="{00000000-0004-0000-0800-000093070000}"/>
    <hyperlink ref="Q972" r:id="rId1941" xr:uid="{00000000-0004-0000-0800-000094070000}"/>
    <hyperlink ref="R972" r:id="rId1942" xr:uid="{00000000-0004-0000-0800-000095070000}"/>
    <hyperlink ref="Q973" r:id="rId1943" xr:uid="{00000000-0004-0000-0800-000096070000}"/>
    <hyperlink ref="R973" r:id="rId1944" xr:uid="{00000000-0004-0000-0800-000097070000}"/>
    <hyperlink ref="Q974" r:id="rId1945" xr:uid="{00000000-0004-0000-0800-000098070000}"/>
    <hyperlink ref="R974" r:id="rId1946" xr:uid="{00000000-0004-0000-0800-000099070000}"/>
    <hyperlink ref="Q975" r:id="rId1947" xr:uid="{00000000-0004-0000-0800-00009A070000}"/>
    <hyperlink ref="R975" r:id="rId1948" xr:uid="{00000000-0004-0000-0800-00009B070000}"/>
    <hyperlink ref="Q976" r:id="rId1949" xr:uid="{00000000-0004-0000-0800-00009C070000}"/>
    <hyperlink ref="R976" r:id="rId1950" xr:uid="{00000000-0004-0000-0800-00009D070000}"/>
    <hyperlink ref="Q977" r:id="rId1951" xr:uid="{00000000-0004-0000-0800-00009E070000}"/>
    <hyperlink ref="R977" r:id="rId1952" xr:uid="{00000000-0004-0000-0800-00009F070000}"/>
    <hyperlink ref="Q978" r:id="rId1953" xr:uid="{00000000-0004-0000-0800-0000A0070000}"/>
    <hyperlink ref="R978" r:id="rId1954" xr:uid="{00000000-0004-0000-0800-0000A1070000}"/>
    <hyperlink ref="Q979" r:id="rId1955" xr:uid="{00000000-0004-0000-0800-0000A2070000}"/>
    <hyperlink ref="R979" r:id="rId1956" xr:uid="{00000000-0004-0000-0800-0000A3070000}"/>
    <hyperlink ref="Q980" r:id="rId1957" xr:uid="{00000000-0004-0000-0800-0000A4070000}"/>
    <hyperlink ref="R980" r:id="rId1958" xr:uid="{00000000-0004-0000-0800-0000A5070000}"/>
    <hyperlink ref="Q981" r:id="rId1959" xr:uid="{00000000-0004-0000-0800-0000A6070000}"/>
    <hyperlink ref="R981" r:id="rId1960" xr:uid="{00000000-0004-0000-0800-0000A7070000}"/>
    <hyperlink ref="Q982" r:id="rId1961" xr:uid="{00000000-0004-0000-0800-0000A8070000}"/>
    <hyperlink ref="R982" r:id="rId1962" xr:uid="{00000000-0004-0000-0800-0000A9070000}"/>
    <hyperlink ref="Q983" r:id="rId1963" xr:uid="{00000000-0004-0000-0800-0000AA070000}"/>
    <hyperlink ref="R983" r:id="rId1964" xr:uid="{00000000-0004-0000-0800-0000AB070000}"/>
    <hyperlink ref="Q984" r:id="rId1965" xr:uid="{00000000-0004-0000-0800-0000AC070000}"/>
    <hyperlink ref="R984" r:id="rId1966" xr:uid="{00000000-0004-0000-0800-0000AD070000}"/>
    <hyperlink ref="Q985" r:id="rId1967" xr:uid="{00000000-0004-0000-0800-0000AE070000}"/>
    <hyperlink ref="R985" r:id="rId1968" xr:uid="{00000000-0004-0000-0800-0000AF070000}"/>
    <hyperlink ref="Q986" r:id="rId1969" xr:uid="{00000000-0004-0000-0800-0000B0070000}"/>
    <hyperlink ref="R986" r:id="rId1970" xr:uid="{00000000-0004-0000-0800-0000B1070000}"/>
    <hyperlink ref="Q987" r:id="rId1971" xr:uid="{00000000-0004-0000-0800-0000B2070000}"/>
    <hyperlink ref="R987" r:id="rId1972" xr:uid="{00000000-0004-0000-0800-0000B3070000}"/>
    <hyperlink ref="Q988" r:id="rId1973" xr:uid="{00000000-0004-0000-0800-0000B4070000}"/>
    <hyperlink ref="R988" r:id="rId1974" xr:uid="{00000000-0004-0000-0800-0000B5070000}"/>
    <hyperlink ref="Q989" r:id="rId1975" xr:uid="{00000000-0004-0000-0800-0000B6070000}"/>
    <hyperlink ref="R989" r:id="rId1976" xr:uid="{00000000-0004-0000-0800-0000B7070000}"/>
    <hyperlink ref="Q990" r:id="rId1977" xr:uid="{00000000-0004-0000-0800-0000B8070000}"/>
    <hyperlink ref="R990" r:id="rId1978" xr:uid="{00000000-0004-0000-0800-0000B9070000}"/>
    <hyperlink ref="Q991" r:id="rId1979" xr:uid="{00000000-0004-0000-0800-0000BA070000}"/>
    <hyperlink ref="R991" r:id="rId1980" xr:uid="{00000000-0004-0000-0800-0000BB070000}"/>
    <hyperlink ref="Q992" r:id="rId1981" xr:uid="{00000000-0004-0000-0800-0000BC070000}"/>
    <hyperlink ref="R992" r:id="rId1982" xr:uid="{00000000-0004-0000-0800-0000BD070000}"/>
    <hyperlink ref="Q993" r:id="rId1983" xr:uid="{00000000-0004-0000-0800-0000BE070000}"/>
    <hyperlink ref="R993" r:id="rId1984" xr:uid="{00000000-0004-0000-0800-0000BF070000}"/>
    <hyperlink ref="Q994" r:id="rId1985" xr:uid="{00000000-0004-0000-0800-0000C0070000}"/>
    <hyperlink ref="R994" r:id="rId1986" xr:uid="{00000000-0004-0000-0800-0000C1070000}"/>
    <hyperlink ref="Q995" r:id="rId1987" xr:uid="{00000000-0004-0000-0800-0000C2070000}"/>
    <hyperlink ref="R995" r:id="rId1988" xr:uid="{00000000-0004-0000-0800-0000C3070000}"/>
    <hyperlink ref="Q996" r:id="rId1989" xr:uid="{00000000-0004-0000-0800-0000C4070000}"/>
    <hyperlink ref="R996" r:id="rId1990" xr:uid="{00000000-0004-0000-0800-0000C5070000}"/>
    <hyperlink ref="Q997" r:id="rId1991" xr:uid="{00000000-0004-0000-0800-0000C6070000}"/>
    <hyperlink ref="R997" r:id="rId1992" xr:uid="{00000000-0004-0000-0800-0000C7070000}"/>
    <hyperlink ref="Q998" r:id="rId1993" xr:uid="{00000000-0004-0000-0800-0000C8070000}"/>
    <hyperlink ref="R998" r:id="rId1994" xr:uid="{00000000-0004-0000-0800-0000C9070000}"/>
    <hyperlink ref="Q999" r:id="rId1995" xr:uid="{00000000-0004-0000-0800-0000CA070000}"/>
    <hyperlink ref="R999" r:id="rId1996" xr:uid="{00000000-0004-0000-0800-0000CB070000}"/>
    <hyperlink ref="Q1000" r:id="rId1997" xr:uid="{00000000-0004-0000-0800-0000CC070000}"/>
    <hyperlink ref="R1000" r:id="rId1998" xr:uid="{00000000-0004-0000-0800-0000CD070000}"/>
    <hyperlink ref="Q1001" r:id="rId1999" xr:uid="{00000000-0004-0000-0800-0000CE070000}"/>
    <hyperlink ref="R1001" r:id="rId2000" xr:uid="{00000000-0004-0000-0800-0000CF070000}"/>
    <hyperlink ref="Q1002" r:id="rId2001" xr:uid="{00000000-0004-0000-0800-0000D0070000}"/>
    <hyperlink ref="R1002" r:id="rId2002" xr:uid="{00000000-0004-0000-0800-0000D1070000}"/>
    <hyperlink ref="Q1003" r:id="rId2003" xr:uid="{00000000-0004-0000-0800-0000D2070000}"/>
    <hyperlink ref="R1003" r:id="rId2004" xr:uid="{00000000-0004-0000-0800-0000D3070000}"/>
    <hyperlink ref="Q1004" r:id="rId2005" xr:uid="{00000000-0004-0000-0800-0000D4070000}"/>
    <hyperlink ref="R1004" r:id="rId2006" xr:uid="{00000000-0004-0000-0800-0000D5070000}"/>
    <hyperlink ref="Q1005" r:id="rId2007" xr:uid="{00000000-0004-0000-0800-0000D6070000}"/>
    <hyperlink ref="R1005" r:id="rId2008" xr:uid="{00000000-0004-0000-0800-0000D7070000}"/>
    <hyperlink ref="Q1006" r:id="rId2009" xr:uid="{00000000-0004-0000-0800-0000D8070000}"/>
    <hyperlink ref="R1006" r:id="rId2010" xr:uid="{00000000-0004-0000-0800-0000D9070000}"/>
    <hyperlink ref="Q1007" r:id="rId2011" xr:uid="{00000000-0004-0000-0800-0000DA070000}"/>
    <hyperlink ref="R1007" r:id="rId2012" xr:uid="{00000000-0004-0000-0800-0000DB070000}"/>
    <hyperlink ref="Q1008" r:id="rId2013" xr:uid="{00000000-0004-0000-0800-0000DC070000}"/>
    <hyperlink ref="R1008" r:id="rId2014" xr:uid="{00000000-0004-0000-0800-0000DD070000}"/>
    <hyperlink ref="Q1009" r:id="rId2015" xr:uid="{00000000-0004-0000-0800-0000DE070000}"/>
    <hyperlink ref="R1009" r:id="rId2016" xr:uid="{00000000-0004-0000-0800-0000DF070000}"/>
    <hyperlink ref="Q1010" r:id="rId2017" xr:uid="{00000000-0004-0000-0800-0000E0070000}"/>
    <hyperlink ref="R1010" r:id="rId2018" xr:uid="{00000000-0004-0000-0800-0000E1070000}"/>
    <hyperlink ref="Q1011" r:id="rId2019" xr:uid="{00000000-0004-0000-0800-0000E2070000}"/>
    <hyperlink ref="R1011" r:id="rId2020" xr:uid="{00000000-0004-0000-0800-0000E3070000}"/>
    <hyperlink ref="Q1012" r:id="rId2021" xr:uid="{00000000-0004-0000-0800-0000E4070000}"/>
    <hyperlink ref="R1012" r:id="rId2022" xr:uid="{00000000-0004-0000-0800-0000E5070000}"/>
    <hyperlink ref="Q1013" r:id="rId2023" xr:uid="{00000000-0004-0000-0800-0000E6070000}"/>
    <hyperlink ref="R1013" r:id="rId2024" xr:uid="{00000000-0004-0000-0800-0000E7070000}"/>
    <hyperlink ref="Q1014" r:id="rId2025" xr:uid="{00000000-0004-0000-0800-0000E8070000}"/>
    <hyperlink ref="R1014" r:id="rId2026" xr:uid="{00000000-0004-0000-0800-0000E9070000}"/>
    <hyperlink ref="Q1015" r:id="rId2027" xr:uid="{00000000-0004-0000-0800-0000EA070000}"/>
    <hyperlink ref="R1015" r:id="rId2028" xr:uid="{00000000-0004-0000-0800-0000EB070000}"/>
    <hyperlink ref="Q1016" r:id="rId2029" xr:uid="{00000000-0004-0000-0800-0000EC070000}"/>
    <hyperlink ref="R1016" r:id="rId2030" xr:uid="{00000000-0004-0000-0800-0000ED070000}"/>
    <hyperlink ref="Q1017" r:id="rId2031" xr:uid="{00000000-0004-0000-0800-0000EE070000}"/>
    <hyperlink ref="R1017" r:id="rId2032" xr:uid="{00000000-0004-0000-0800-0000EF070000}"/>
    <hyperlink ref="Q1018" r:id="rId2033" xr:uid="{00000000-0004-0000-0800-0000F0070000}"/>
    <hyperlink ref="R1018" r:id="rId2034" xr:uid="{00000000-0004-0000-0800-0000F1070000}"/>
    <hyperlink ref="Q1019" r:id="rId2035" xr:uid="{00000000-0004-0000-0800-0000F2070000}"/>
    <hyperlink ref="R1019" r:id="rId2036" xr:uid="{00000000-0004-0000-0800-0000F3070000}"/>
    <hyperlink ref="Q1020" r:id="rId2037" xr:uid="{00000000-0004-0000-0800-0000F4070000}"/>
    <hyperlink ref="R1020" r:id="rId2038" xr:uid="{00000000-0004-0000-0800-0000F5070000}"/>
    <hyperlink ref="Q1021" r:id="rId2039" xr:uid="{00000000-0004-0000-0800-0000F6070000}"/>
    <hyperlink ref="R1021" r:id="rId2040" xr:uid="{00000000-0004-0000-0800-0000F7070000}"/>
    <hyperlink ref="Q1022" r:id="rId2041" xr:uid="{00000000-0004-0000-0800-0000F8070000}"/>
    <hyperlink ref="R1022" r:id="rId2042" xr:uid="{00000000-0004-0000-0800-0000F9070000}"/>
    <hyperlink ref="Q1023" r:id="rId2043" xr:uid="{00000000-0004-0000-0800-0000FA070000}"/>
    <hyperlink ref="R1023" r:id="rId2044" xr:uid="{00000000-0004-0000-0800-0000FB070000}"/>
    <hyperlink ref="Q1024" r:id="rId2045" xr:uid="{00000000-0004-0000-0800-0000FC070000}"/>
    <hyperlink ref="R1024" r:id="rId2046" xr:uid="{00000000-0004-0000-0800-0000FD070000}"/>
    <hyperlink ref="Q1025" r:id="rId2047" xr:uid="{00000000-0004-0000-0800-0000FE070000}"/>
    <hyperlink ref="R1025" r:id="rId2048" xr:uid="{00000000-0004-0000-0800-0000FF070000}"/>
    <hyperlink ref="Q1026" r:id="rId2049" xr:uid="{00000000-0004-0000-0800-000000080000}"/>
    <hyperlink ref="R1026" r:id="rId2050" xr:uid="{00000000-0004-0000-0800-000001080000}"/>
    <hyperlink ref="Q1027" r:id="rId2051" xr:uid="{00000000-0004-0000-0800-000002080000}"/>
    <hyperlink ref="R1027" r:id="rId2052" xr:uid="{00000000-0004-0000-0800-000003080000}"/>
    <hyperlink ref="Q1028" r:id="rId2053" xr:uid="{00000000-0004-0000-0800-000004080000}"/>
    <hyperlink ref="R1028" r:id="rId2054" xr:uid="{00000000-0004-0000-0800-000005080000}"/>
    <hyperlink ref="Q1029" r:id="rId2055" xr:uid="{00000000-0004-0000-0800-000006080000}"/>
    <hyperlink ref="R1029" r:id="rId2056" xr:uid="{00000000-0004-0000-0800-000007080000}"/>
    <hyperlink ref="Q1030" r:id="rId2057" xr:uid="{00000000-0004-0000-0800-000008080000}"/>
    <hyperlink ref="R1030" r:id="rId2058" xr:uid="{00000000-0004-0000-0800-000009080000}"/>
    <hyperlink ref="Q1031" r:id="rId2059" xr:uid="{00000000-0004-0000-0800-00000A080000}"/>
    <hyperlink ref="R1031" r:id="rId2060" xr:uid="{00000000-0004-0000-0800-00000B080000}"/>
    <hyperlink ref="Q1032" r:id="rId2061" xr:uid="{00000000-0004-0000-0800-00000C080000}"/>
    <hyperlink ref="R1032" r:id="rId2062" xr:uid="{00000000-0004-0000-0800-00000D080000}"/>
    <hyperlink ref="Q1033" r:id="rId2063" xr:uid="{00000000-0004-0000-0800-00000E080000}"/>
    <hyperlink ref="R1033" r:id="rId2064" xr:uid="{00000000-0004-0000-0800-00000F080000}"/>
    <hyperlink ref="Q1034" r:id="rId2065" xr:uid="{00000000-0004-0000-0800-000010080000}"/>
    <hyperlink ref="R1034" r:id="rId2066" xr:uid="{00000000-0004-0000-0800-000011080000}"/>
    <hyperlink ref="Q1035" r:id="rId2067" xr:uid="{00000000-0004-0000-0800-000012080000}"/>
    <hyperlink ref="R1035" r:id="rId2068" xr:uid="{00000000-0004-0000-0800-000013080000}"/>
    <hyperlink ref="Q1036" r:id="rId2069" xr:uid="{00000000-0004-0000-0800-000014080000}"/>
    <hyperlink ref="R1036" r:id="rId2070" xr:uid="{00000000-0004-0000-0800-000015080000}"/>
    <hyperlink ref="Q1037" r:id="rId2071" xr:uid="{00000000-0004-0000-0800-000016080000}"/>
    <hyperlink ref="R1037" r:id="rId2072" xr:uid="{00000000-0004-0000-0800-000017080000}"/>
    <hyperlink ref="Q1038" r:id="rId2073" xr:uid="{00000000-0004-0000-0800-000018080000}"/>
    <hyperlink ref="R1038" r:id="rId2074" xr:uid="{00000000-0004-0000-0800-000019080000}"/>
    <hyperlink ref="Q1039" r:id="rId2075" xr:uid="{00000000-0004-0000-0800-00001A080000}"/>
    <hyperlink ref="R1039" r:id="rId2076" xr:uid="{00000000-0004-0000-0800-00001B080000}"/>
    <hyperlink ref="Q1040" r:id="rId2077" xr:uid="{00000000-0004-0000-0800-00001C080000}"/>
    <hyperlink ref="R1040" r:id="rId2078" xr:uid="{00000000-0004-0000-0800-00001D080000}"/>
    <hyperlink ref="Q1041" r:id="rId2079" xr:uid="{00000000-0004-0000-0800-00001E080000}"/>
    <hyperlink ref="R1041" r:id="rId2080" xr:uid="{00000000-0004-0000-0800-00001F080000}"/>
    <hyperlink ref="Q1042" r:id="rId2081" xr:uid="{00000000-0004-0000-0800-000020080000}"/>
    <hyperlink ref="R1042" r:id="rId2082" xr:uid="{00000000-0004-0000-0800-000021080000}"/>
    <hyperlink ref="Q1043" r:id="rId2083" xr:uid="{00000000-0004-0000-0800-000022080000}"/>
    <hyperlink ref="R1043" r:id="rId2084" xr:uid="{00000000-0004-0000-0800-000023080000}"/>
    <hyperlink ref="Q1044" r:id="rId2085" xr:uid="{00000000-0004-0000-0800-000024080000}"/>
    <hyperlink ref="R1044" r:id="rId2086" xr:uid="{00000000-0004-0000-0800-000025080000}"/>
    <hyperlink ref="Q1045" r:id="rId2087" xr:uid="{00000000-0004-0000-0800-000026080000}"/>
    <hyperlink ref="R1045" r:id="rId2088" xr:uid="{00000000-0004-0000-0800-000027080000}"/>
    <hyperlink ref="Q1046" r:id="rId2089" xr:uid="{00000000-0004-0000-0800-000028080000}"/>
    <hyperlink ref="R1046" r:id="rId2090" xr:uid="{00000000-0004-0000-0800-000029080000}"/>
    <hyperlink ref="Q1047" r:id="rId2091" xr:uid="{00000000-0004-0000-0800-00002A080000}"/>
    <hyperlink ref="R1047" r:id="rId2092" xr:uid="{00000000-0004-0000-0800-00002B080000}"/>
    <hyperlink ref="Q1048" r:id="rId2093" xr:uid="{00000000-0004-0000-0800-00002C080000}"/>
    <hyperlink ref="R1048" r:id="rId2094" xr:uid="{00000000-0004-0000-0800-00002D080000}"/>
    <hyperlink ref="Q1049" r:id="rId2095" xr:uid="{00000000-0004-0000-0800-00002E080000}"/>
    <hyperlink ref="R1049" r:id="rId2096" xr:uid="{00000000-0004-0000-0800-00002F080000}"/>
    <hyperlink ref="Q1050" r:id="rId2097" xr:uid="{00000000-0004-0000-0800-000030080000}"/>
    <hyperlink ref="R1050" r:id="rId2098" xr:uid="{00000000-0004-0000-0800-000031080000}"/>
    <hyperlink ref="Q1051" r:id="rId2099" xr:uid="{00000000-0004-0000-0800-000032080000}"/>
    <hyperlink ref="R1051" r:id="rId2100" xr:uid="{00000000-0004-0000-0800-000033080000}"/>
    <hyperlink ref="Q1052" r:id="rId2101" xr:uid="{00000000-0004-0000-0800-000034080000}"/>
    <hyperlink ref="R1052" r:id="rId2102" xr:uid="{00000000-0004-0000-0800-000035080000}"/>
    <hyperlink ref="Q1053" r:id="rId2103" xr:uid="{00000000-0004-0000-0800-000036080000}"/>
    <hyperlink ref="R1053" r:id="rId2104" xr:uid="{00000000-0004-0000-0800-000037080000}"/>
    <hyperlink ref="Q1054" r:id="rId2105" xr:uid="{00000000-0004-0000-0800-000038080000}"/>
    <hyperlink ref="R1054" r:id="rId2106" xr:uid="{00000000-0004-0000-0800-000039080000}"/>
    <hyperlink ref="Q1055" r:id="rId2107" xr:uid="{00000000-0004-0000-0800-00003A080000}"/>
    <hyperlink ref="R1055" r:id="rId2108" xr:uid="{00000000-0004-0000-0800-00003B080000}"/>
    <hyperlink ref="Q1056" r:id="rId2109" xr:uid="{00000000-0004-0000-0800-00003C080000}"/>
    <hyperlink ref="R1056" r:id="rId2110" xr:uid="{00000000-0004-0000-0800-00003D080000}"/>
    <hyperlink ref="Q1057" r:id="rId2111" xr:uid="{00000000-0004-0000-0800-00003E080000}"/>
    <hyperlink ref="R1057" r:id="rId2112" xr:uid="{00000000-0004-0000-0800-00003F080000}"/>
    <hyperlink ref="Q1058" r:id="rId2113" xr:uid="{00000000-0004-0000-0800-000040080000}"/>
    <hyperlink ref="R1058" r:id="rId2114" xr:uid="{00000000-0004-0000-0800-000041080000}"/>
    <hyperlink ref="Q1059" r:id="rId2115" xr:uid="{00000000-0004-0000-0800-000042080000}"/>
    <hyperlink ref="R1059" r:id="rId2116" xr:uid="{00000000-0004-0000-0800-000043080000}"/>
    <hyperlink ref="Q1060" r:id="rId2117" xr:uid="{00000000-0004-0000-0800-000044080000}"/>
    <hyperlink ref="R1060" r:id="rId2118" xr:uid="{00000000-0004-0000-0800-000045080000}"/>
    <hyperlink ref="Q1061" r:id="rId2119" xr:uid="{00000000-0004-0000-0800-000046080000}"/>
    <hyperlink ref="R1061" r:id="rId2120" xr:uid="{00000000-0004-0000-0800-000047080000}"/>
    <hyperlink ref="Q1062" r:id="rId2121" xr:uid="{00000000-0004-0000-0800-000048080000}"/>
    <hyperlink ref="R1062" r:id="rId2122" xr:uid="{00000000-0004-0000-0800-000049080000}"/>
    <hyperlink ref="Q1063" r:id="rId2123" xr:uid="{00000000-0004-0000-0800-00004A080000}"/>
    <hyperlink ref="R1063" r:id="rId2124" xr:uid="{00000000-0004-0000-0800-00004B080000}"/>
    <hyperlink ref="Q1064" r:id="rId2125" xr:uid="{00000000-0004-0000-0800-00004C080000}"/>
    <hyperlink ref="R1064" r:id="rId2126" xr:uid="{00000000-0004-0000-0800-00004D080000}"/>
    <hyperlink ref="Q1065" r:id="rId2127" xr:uid="{00000000-0004-0000-0800-00004E080000}"/>
    <hyperlink ref="R1065" r:id="rId2128" xr:uid="{00000000-0004-0000-0800-00004F080000}"/>
    <hyperlink ref="Q1066" r:id="rId2129" xr:uid="{00000000-0004-0000-0800-000050080000}"/>
    <hyperlink ref="R1066" r:id="rId2130" xr:uid="{00000000-0004-0000-0800-000051080000}"/>
    <hyperlink ref="Q1067" r:id="rId2131" xr:uid="{00000000-0004-0000-0800-000052080000}"/>
    <hyperlink ref="R1067" r:id="rId2132" xr:uid="{00000000-0004-0000-0800-000053080000}"/>
    <hyperlink ref="Q1068" r:id="rId2133" xr:uid="{00000000-0004-0000-0800-000054080000}"/>
    <hyperlink ref="R1068" r:id="rId2134" xr:uid="{00000000-0004-0000-0800-000055080000}"/>
    <hyperlink ref="Q1069" r:id="rId2135" xr:uid="{00000000-0004-0000-0800-000056080000}"/>
    <hyperlink ref="R1069" r:id="rId2136" xr:uid="{00000000-0004-0000-0800-000057080000}"/>
    <hyperlink ref="Q1070" r:id="rId2137" xr:uid="{00000000-0004-0000-0800-000058080000}"/>
    <hyperlink ref="R1070" r:id="rId2138" xr:uid="{00000000-0004-0000-0800-000059080000}"/>
    <hyperlink ref="Q1071" r:id="rId2139" xr:uid="{00000000-0004-0000-0800-00005A080000}"/>
    <hyperlink ref="R1071" r:id="rId2140" xr:uid="{00000000-0004-0000-0800-00005B080000}"/>
    <hyperlink ref="Q1072" r:id="rId2141" xr:uid="{00000000-0004-0000-0800-00005C080000}"/>
    <hyperlink ref="R1072" r:id="rId2142" xr:uid="{00000000-0004-0000-0800-00005D080000}"/>
    <hyperlink ref="Q1073" r:id="rId2143" xr:uid="{00000000-0004-0000-0800-00005E080000}"/>
    <hyperlink ref="R1073" r:id="rId2144" xr:uid="{00000000-0004-0000-0800-00005F080000}"/>
    <hyperlink ref="Q1074" r:id="rId2145" xr:uid="{00000000-0004-0000-0800-000060080000}"/>
    <hyperlink ref="R1074" r:id="rId2146" xr:uid="{00000000-0004-0000-0800-000061080000}"/>
    <hyperlink ref="Q1075" r:id="rId2147" xr:uid="{00000000-0004-0000-0800-000062080000}"/>
    <hyperlink ref="R1075" r:id="rId2148" xr:uid="{00000000-0004-0000-0800-000063080000}"/>
    <hyperlink ref="Q1076" r:id="rId2149" xr:uid="{00000000-0004-0000-0800-000064080000}"/>
    <hyperlink ref="R1076" r:id="rId2150" xr:uid="{00000000-0004-0000-0800-000065080000}"/>
    <hyperlink ref="Q1077" r:id="rId2151" xr:uid="{00000000-0004-0000-0800-000066080000}"/>
    <hyperlink ref="R1077" r:id="rId2152" xr:uid="{00000000-0004-0000-0800-000067080000}"/>
    <hyperlink ref="Q1078" r:id="rId2153" xr:uid="{00000000-0004-0000-0800-000068080000}"/>
    <hyperlink ref="R1078" r:id="rId2154" xr:uid="{00000000-0004-0000-0800-000069080000}"/>
    <hyperlink ref="Q1079" r:id="rId2155" xr:uid="{00000000-0004-0000-0800-00006A080000}"/>
    <hyperlink ref="R1079" r:id="rId2156" xr:uid="{00000000-0004-0000-0800-00006B080000}"/>
    <hyperlink ref="Q1080" r:id="rId2157" xr:uid="{00000000-0004-0000-0800-00006C080000}"/>
    <hyperlink ref="R1080" r:id="rId2158" xr:uid="{00000000-0004-0000-0800-00006D080000}"/>
    <hyperlink ref="Q1081" r:id="rId2159" xr:uid="{00000000-0004-0000-0800-00006E080000}"/>
    <hyperlink ref="R1081" r:id="rId2160" xr:uid="{00000000-0004-0000-0800-00006F080000}"/>
    <hyperlink ref="Q1082" r:id="rId2161" xr:uid="{00000000-0004-0000-0800-000070080000}"/>
    <hyperlink ref="R1082" r:id="rId2162" xr:uid="{00000000-0004-0000-0800-000071080000}"/>
    <hyperlink ref="Q1083" r:id="rId2163" xr:uid="{00000000-0004-0000-0800-000072080000}"/>
    <hyperlink ref="R1083" r:id="rId2164" xr:uid="{00000000-0004-0000-0800-000073080000}"/>
    <hyperlink ref="Q1084" r:id="rId2165" xr:uid="{00000000-0004-0000-0800-000074080000}"/>
    <hyperlink ref="R1084" r:id="rId2166" xr:uid="{00000000-0004-0000-0800-000075080000}"/>
    <hyperlink ref="Q1085" r:id="rId2167" xr:uid="{00000000-0004-0000-0800-000076080000}"/>
    <hyperlink ref="R1085" r:id="rId2168" xr:uid="{00000000-0004-0000-0800-000077080000}"/>
    <hyperlink ref="Q1086" r:id="rId2169" xr:uid="{00000000-0004-0000-0800-000078080000}"/>
    <hyperlink ref="R1086" r:id="rId2170" xr:uid="{00000000-0004-0000-0800-000079080000}"/>
    <hyperlink ref="Q1087" r:id="rId2171" xr:uid="{00000000-0004-0000-0800-00007A080000}"/>
    <hyperlink ref="R1087" r:id="rId2172" xr:uid="{00000000-0004-0000-0800-00007B080000}"/>
    <hyperlink ref="Q1088" r:id="rId2173" xr:uid="{00000000-0004-0000-0800-00007C080000}"/>
    <hyperlink ref="R1088" r:id="rId2174" xr:uid="{00000000-0004-0000-0800-00007D080000}"/>
    <hyperlink ref="Q1089" r:id="rId2175" xr:uid="{00000000-0004-0000-0800-00007E080000}"/>
    <hyperlink ref="R1089" r:id="rId2176" xr:uid="{00000000-0004-0000-0800-00007F080000}"/>
    <hyperlink ref="Q1090" r:id="rId2177" xr:uid="{00000000-0004-0000-0800-000080080000}"/>
    <hyperlink ref="R1090" r:id="rId2178" xr:uid="{00000000-0004-0000-0800-000081080000}"/>
    <hyperlink ref="Q1091" r:id="rId2179" xr:uid="{00000000-0004-0000-0800-000082080000}"/>
    <hyperlink ref="R1091" r:id="rId2180" xr:uid="{00000000-0004-0000-0800-000083080000}"/>
    <hyperlink ref="Q1092" r:id="rId2181" xr:uid="{00000000-0004-0000-0800-000084080000}"/>
    <hyperlink ref="R1092" r:id="rId2182" xr:uid="{00000000-0004-0000-0800-000085080000}"/>
    <hyperlink ref="Q1093" r:id="rId2183" xr:uid="{00000000-0004-0000-0800-000086080000}"/>
    <hyperlink ref="R1093" r:id="rId2184" xr:uid="{00000000-0004-0000-0800-000087080000}"/>
    <hyperlink ref="Q1094" r:id="rId2185" xr:uid="{00000000-0004-0000-0800-000088080000}"/>
    <hyperlink ref="R1094" r:id="rId2186" xr:uid="{00000000-0004-0000-0800-000089080000}"/>
    <hyperlink ref="Q1095" r:id="rId2187" xr:uid="{00000000-0004-0000-0800-00008A080000}"/>
    <hyperlink ref="R1095" r:id="rId2188" xr:uid="{00000000-0004-0000-0800-00008B080000}"/>
    <hyperlink ref="Q1096" r:id="rId2189" xr:uid="{00000000-0004-0000-0800-00008C080000}"/>
    <hyperlink ref="R1096" r:id="rId2190" xr:uid="{00000000-0004-0000-0800-00008D080000}"/>
    <hyperlink ref="Q1097" r:id="rId2191" xr:uid="{00000000-0004-0000-0800-00008E080000}"/>
    <hyperlink ref="R1097" r:id="rId2192" xr:uid="{00000000-0004-0000-0800-00008F080000}"/>
    <hyperlink ref="Q1098" r:id="rId2193" xr:uid="{00000000-0004-0000-0800-000090080000}"/>
    <hyperlink ref="R1098" r:id="rId2194" xr:uid="{00000000-0004-0000-0800-000091080000}"/>
    <hyperlink ref="Q1099" r:id="rId2195" xr:uid="{00000000-0004-0000-0800-000092080000}"/>
    <hyperlink ref="R1099" r:id="rId2196" xr:uid="{00000000-0004-0000-0800-000093080000}"/>
    <hyperlink ref="Q1100" r:id="rId2197" xr:uid="{00000000-0004-0000-0800-000094080000}"/>
    <hyperlink ref="R1100" r:id="rId2198" xr:uid="{00000000-0004-0000-0800-000095080000}"/>
    <hyperlink ref="Q1101" r:id="rId2199" xr:uid="{00000000-0004-0000-0800-000096080000}"/>
    <hyperlink ref="R1101" r:id="rId2200" xr:uid="{00000000-0004-0000-0800-000097080000}"/>
    <hyperlink ref="Q1102" r:id="rId2201" xr:uid="{00000000-0004-0000-0800-000098080000}"/>
    <hyperlink ref="R1102" r:id="rId2202" xr:uid="{00000000-0004-0000-0800-000099080000}"/>
    <hyperlink ref="Q1103" r:id="rId2203" xr:uid="{00000000-0004-0000-0800-00009A080000}"/>
    <hyperlink ref="R1103" r:id="rId2204" xr:uid="{00000000-0004-0000-0800-00009B080000}"/>
    <hyperlink ref="Q1104" r:id="rId2205" xr:uid="{00000000-0004-0000-0800-00009C080000}"/>
    <hyperlink ref="R1104" r:id="rId2206" xr:uid="{00000000-0004-0000-0800-00009D080000}"/>
    <hyperlink ref="Q1105" r:id="rId2207" xr:uid="{00000000-0004-0000-0800-00009E080000}"/>
    <hyperlink ref="R1105" r:id="rId2208" xr:uid="{00000000-0004-0000-0800-00009F080000}"/>
    <hyperlink ref="Q1106" r:id="rId2209" xr:uid="{00000000-0004-0000-0800-0000A0080000}"/>
    <hyperlink ref="R1106" r:id="rId2210" xr:uid="{00000000-0004-0000-0800-0000A1080000}"/>
    <hyperlink ref="Q1107" r:id="rId2211" xr:uid="{00000000-0004-0000-0800-0000A2080000}"/>
    <hyperlink ref="R1107" r:id="rId2212" xr:uid="{00000000-0004-0000-0800-0000A3080000}"/>
    <hyperlink ref="Q1108" r:id="rId2213" xr:uid="{00000000-0004-0000-0800-0000A4080000}"/>
    <hyperlink ref="R1108" r:id="rId2214" xr:uid="{00000000-0004-0000-0800-0000A5080000}"/>
    <hyperlink ref="Q1109" r:id="rId2215" xr:uid="{00000000-0004-0000-0800-0000A6080000}"/>
    <hyperlink ref="R1109" r:id="rId2216" xr:uid="{00000000-0004-0000-0800-0000A7080000}"/>
    <hyperlink ref="Q1110" r:id="rId2217" xr:uid="{00000000-0004-0000-0800-0000A8080000}"/>
    <hyperlink ref="R1110" r:id="rId2218" xr:uid="{00000000-0004-0000-0800-0000A9080000}"/>
    <hyperlink ref="Q1111" r:id="rId2219" xr:uid="{00000000-0004-0000-0800-0000AA080000}"/>
    <hyperlink ref="R1111" r:id="rId2220" xr:uid="{00000000-0004-0000-0800-0000AB080000}"/>
    <hyperlink ref="Q1112" r:id="rId2221" xr:uid="{00000000-0004-0000-0800-0000AC080000}"/>
    <hyperlink ref="R1112" r:id="rId2222" xr:uid="{00000000-0004-0000-0800-0000AD080000}"/>
    <hyperlink ref="Q1113" r:id="rId2223" xr:uid="{00000000-0004-0000-0800-0000AE080000}"/>
    <hyperlink ref="R1113" r:id="rId2224" xr:uid="{00000000-0004-0000-0800-0000AF080000}"/>
    <hyperlink ref="Q1114" r:id="rId2225" xr:uid="{00000000-0004-0000-0800-0000B0080000}"/>
    <hyperlink ref="R1114" r:id="rId2226" xr:uid="{00000000-0004-0000-0800-0000B1080000}"/>
    <hyperlink ref="Q1115" r:id="rId2227" xr:uid="{00000000-0004-0000-0800-0000B2080000}"/>
    <hyperlink ref="R1115" r:id="rId2228" xr:uid="{00000000-0004-0000-0800-0000B3080000}"/>
    <hyperlink ref="Q1116" r:id="rId2229" xr:uid="{00000000-0004-0000-0800-0000B4080000}"/>
    <hyperlink ref="R1116" r:id="rId2230" xr:uid="{00000000-0004-0000-0800-0000B5080000}"/>
    <hyperlink ref="Q1117" r:id="rId2231" xr:uid="{00000000-0004-0000-0800-0000B6080000}"/>
    <hyperlink ref="R1117" r:id="rId2232" xr:uid="{00000000-0004-0000-0800-0000B7080000}"/>
    <hyperlink ref="Q1118" r:id="rId2233" xr:uid="{00000000-0004-0000-0800-0000B8080000}"/>
    <hyperlink ref="R1118" r:id="rId2234" xr:uid="{00000000-0004-0000-0800-0000B9080000}"/>
    <hyperlink ref="Q1119" r:id="rId2235" xr:uid="{00000000-0004-0000-0800-0000BA080000}"/>
    <hyperlink ref="R1119" r:id="rId2236" xr:uid="{00000000-0004-0000-0800-0000BB080000}"/>
    <hyperlink ref="Q1120" r:id="rId2237" xr:uid="{00000000-0004-0000-0800-0000BC080000}"/>
    <hyperlink ref="R1120" r:id="rId2238" xr:uid="{00000000-0004-0000-0800-0000BD080000}"/>
    <hyperlink ref="Q1121" r:id="rId2239" xr:uid="{00000000-0004-0000-0800-0000BE080000}"/>
    <hyperlink ref="R1121" r:id="rId2240" xr:uid="{00000000-0004-0000-0800-0000BF080000}"/>
    <hyperlink ref="Q1122" r:id="rId2241" xr:uid="{00000000-0004-0000-0800-0000C0080000}"/>
    <hyperlink ref="R1122" r:id="rId2242" xr:uid="{00000000-0004-0000-0800-0000C1080000}"/>
    <hyperlink ref="Q1123" r:id="rId2243" xr:uid="{00000000-0004-0000-0800-0000C2080000}"/>
    <hyperlink ref="R1123" r:id="rId2244" xr:uid="{00000000-0004-0000-0800-0000C3080000}"/>
    <hyperlink ref="Q1124" r:id="rId2245" xr:uid="{00000000-0004-0000-0800-0000C4080000}"/>
    <hyperlink ref="R1124" r:id="rId2246" xr:uid="{00000000-0004-0000-0800-0000C5080000}"/>
    <hyperlink ref="Q1125" r:id="rId2247" xr:uid="{00000000-0004-0000-0800-0000C6080000}"/>
    <hyperlink ref="R1125" r:id="rId2248" xr:uid="{00000000-0004-0000-0800-0000C7080000}"/>
    <hyperlink ref="Q1126" r:id="rId2249" xr:uid="{00000000-0004-0000-0800-0000C8080000}"/>
    <hyperlink ref="R1126" r:id="rId2250" xr:uid="{00000000-0004-0000-0800-0000C9080000}"/>
    <hyperlink ref="Q1127" r:id="rId2251" xr:uid="{00000000-0004-0000-0800-0000CA080000}"/>
    <hyperlink ref="R1127" r:id="rId2252" xr:uid="{00000000-0004-0000-0800-0000CB080000}"/>
    <hyperlink ref="Q1128" r:id="rId2253" xr:uid="{00000000-0004-0000-0800-0000CC080000}"/>
    <hyperlink ref="R1128" r:id="rId2254" xr:uid="{00000000-0004-0000-0800-0000CD080000}"/>
    <hyperlink ref="Q1129" r:id="rId2255" xr:uid="{00000000-0004-0000-0800-0000CE080000}"/>
    <hyperlink ref="R1129" r:id="rId2256" xr:uid="{00000000-0004-0000-0800-0000CF080000}"/>
    <hyperlink ref="Q1130" r:id="rId2257" xr:uid="{00000000-0004-0000-0800-0000D0080000}"/>
    <hyperlink ref="R1130" r:id="rId2258" xr:uid="{00000000-0004-0000-0800-0000D1080000}"/>
    <hyperlink ref="Q1131" r:id="rId2259" xr:uid="{00000000-0004-0000-0800-0000D2080000}"/>
    <hyperlink ref="R1131" r:id="rId2260" xr:uid="{00000000-0004-0000-0800-0000D3080000}"/>
    <hyperlink ref="Q1132" r:id="rId2261" xr:uid="{00000000-0004-0000-0800-0000D4080000}"/>
    <hyperlink ref="R1132" r:id="rId2262" xr:uid="{00000000-0004-0000-0800-0000D5080000}"/>
    <hyperlink ref="Q1133" r:id="rId2263" xr:uid="{00000000-0004-0000-0800-0000D6080000}"/>
    <hyperlink ref="R1133" r:id="rId2264" xr:uid="{00000000-0004-0000-0800-0000D7080000}"/>
    <hyperlink ref="Q1134" r:id="rId2265" xr:uid="{00000000-0004-0000-0800-0000D8080000}"/>
    <hyperlink ref="R1134" r:id="rId2266" xr:uid="{00000000-0004-0000-0800-0000D9080000}"/>
    <hyperlink ref="Q1135" r:id="rId2267" xr:uid="{00000000-0004-0000-0800-0000DA080000}"/>
    <hyperlink ref="R1135" r:id="rId2268" xr:uid="{00000000-0004-0000-0800-0000DB080000}"/>
    <hyperlink ref="Q1136" r:id="rId2269" xr:uid="{00000000-0004-0000-0800-0000DC080000}"/>
    <hyperlink ref="R1136" r:id="rId2270" xr:uid="{00000000-0004-0000-0800-0000DD080000}"/>
    <hyperlink ref="Q1137" r:id="rId2271" xr:uid="{00000000-0004-0000-0800-0000DE080000}"/>
    <hyperlink ref="R1137" r:id="rId2272" xr:uid="{00000000-0004-0000-0800-0000DF080000}"/>
    <hyperlink ref="Q1138" r:id="rId2273" xr:uid="{00000000-0004-0000-0800-0000E0080000}"/>
    <hyperlink ref="R1138" r:id="rId2274" xr:uid="{00000000-0004-0000-0800-0000E1080000}"/>
    <hyperlink ref="Q1139" r:id="rId2275" xr:uid="{00000000-0004-0000-0800-0000E2080000}"/>
    <hyperlink ref="R1139" r:id="rId2276" xr:uid="{00000000-0004-0000-0800-0000E3080000}"/>
    <hyperlink ref="Q1140" r:id="rId2277" xr:uid="{00000000-0004-0000-0800-0000E4080000}"/>
    <hyperlink ref="R1140" r:id="rId2278" xr:uid="{00000000-0004-0000-0800-0000E5080000}"/>
    <hyperlink ref="Q1141" r:id="rId2279" xr:uid="{00000000-0004-0000-0800-0000E6080000}"/>
    <hyperlink ref="R1141" r:id="rId2280" xr:uid="{00000000-0004-0000-0800-0000E7080000}"/>
    <hyperlink ref="Q1142" r:id="rId2281" xr:uid="{00000000-0004-0000-0800-0000E8080000}"/>
    <hyperlink ref="R1142" r:id="rId2282" xr:uid="{00000000-0004-0000-0800-0000E9080000}"/>
    <hyperlink ref="Q1143" r:id="rId2283" xr:uid="{00000000-0004-0000-0800-0000EA080000}"/>
    <hyperlink ref="R1143" r:id="rId2284" xr:uid="{00000000-0004-0000-0800-0000EB080000}"/>
    <hyperlink ref="Q1144" r:id="rId2285" xr:uid="{00000000-0004-0000-0800-0000EC080000}"/>
    <hyperlink ref="R1144" r:id="rId2286" xr:uid="{00000000-0004-0000-0800-0000ED080000}"/>
    <hyperlink ref="Q1145" r:id="rId2287" xr:uid="{00000000-0004-0000-0800-0000EE080000}"/>
    <hyperlink ref="R1145" r:id="rId2288" xr:uid="{00000000-0004-0000-0800-0000EF080000}"/>
    <hyperlink ref="Q1146" r:id="rId2289" xr:uid="{00000000-0004-0000-0800-0000F0080000}"/>
    <hyperlink ref="R1146" r:id="rId2290" xr:uid="{00000000-0004-0000-0800-0000F1080000}"/>
    <hyperlink ref="Q1147" r:id="rId2291" xr:uid="{00000000-0004-0000-0800-0000F2080000}"/>
    <hyperlink ref="R1147" r:id="rId2292" xr:uid="{00000000-0004-0000-0800-0000F3080000}"/>
    <hyperlink ref="Q1148" r:id="rId2293" xr:uid="{00000000-0004-0000-0800-0000F4080000}"/>
    <hyperlink ref="R1148" r:id="rId2294" xr:uid="{00000000-0004-0000-0800-0000F5080000}"/>
    <hyperlink ref="Q1149" r:id="rId2295" xr:uid="{00000000-0004-0000-0800-0000F6080000}"/>
    <hyperlink ref="R1149" r:id="rId2296" xr:uid="{00000000-0004-0000-0800-0000F7080000}"/>
    <hyperlink ref="Q1150" r:id="rId2297" xr:uid="{00000000-0004-0000-0800-0000F8080000}"/>
    <hyperlink ref="R1150" r:id="rId2298" xr:uid="{00000000-0004-0000-0800-0000F9080000}"/>
    <hyperlink ref="Q1151" r:id="rId2299" xr:uid="{00000000-0004-0000-0800-0000FA080000}"/>
    <hyperlink ref="R1151" r:id="rId2300" xr:uid="{00000000-0004-0000-0800-0000FB080000}"/>
    <hyperlink ref="Q1152" r:id="rId2301" xr:uid="{00000000-0004-0000-0800-0000FC080000}"/>
    <hyperlink ref="R1152" r:id="rId2302" xr:uid="{00000000-0004-0000-0800-0000FD080000}"/>
    <hyperlink ref="Q1153" r:id="rId2303" xr:uid="{00000000-0004-0000-0800-0000FE080000}"/>
    <hyperlink ref="R1153" r:id="rId2304" xr:uid="{00000000-0004-0000-0800-0000FF080000}"/>
    <hyperlink ref="Q1154" r:id="rId2305" xr:uid="{00000000-0004-0000-0800-000000090000}"/>
    <hyperlink ref="R1154" r:id="rId2306" xr:uid="{00000000-0004-0000-0800-000001090000}"/>
    <hyperlink ref="Q1155" r:id="rId2307" xr:uid="{00000000-0004-0000-0800-000002090000}"/>
    <hyperlink ref="R1155" r:id="rId2308" xr:uid="{00000000-0004-0000-0800-000003090000}"/>
    <hyperlink ref="Q1156" r:id="rId2309" xr:uid="{00000000-0004-0000-0800-000004090000}"/>
    <hyperlink ref="R1156" r:id="rId2310" xr:uid="{00000000-0004-0000-0800-000005090000}"/>
    <hyperlink ref="Q1157" r:id="rId2311" xr:uid="{00000000-0004-0000-0800-000006090000}"/>
    <hyperlink ref="R1157" r:id="rId2312" xr:uid="{00000000-0004-0000-0800-000007090000}"/>
    <hyperlink ref="Q1158" r:id="rId2313" xr:uid="{00000000-0004-0000-0800-000008090000}"/>
    <hyperlink ref="R1158" r:id="rId2314" xr:uid="{00000000-0004-0000-0800-000009090000}"/>
    <hyperlink ref="Q1159" r:id="rId2315" xr:uid="{00000000-0004-0000-0800-00000A090000}"/>
    <hyperlink ref="R1159" r:id="rId2316" xr:uid="{00000000-0004-0000-0800-00000B090000}"/>
    <hyperlink ref="Q1160" r:id="rId2317" xr:uid="{00000000-0004-0000-0800-00000C090000}"/>
    <hyperlink ref="R1160" r:id="rId2318" xr:uid="{00000000-0004-0000-0800-00000D090000}"/>
    <hyperlink ref="Q1161" r:id="rId2319" xr:uid="{00000000-0004-0000-0800-00000E090000}"/>
    <hyperlink ref="R1161" r:id="rId2320" xr:uid="{00000000-0004-0000-0800-00000F090000}"/>
    <hyperlink ref="Q1162" r:id="rId2321" xr:uid="{00000000-0004-0000-0800-000010090000}"/>
    <hyperlink ref="R1162" r:id="rId2322" xr:uid="{00000000-0004-0000-0800-000011090000}"/>
    <hyperlink ref="Q1163" r:id="rId2323" xr:uid="{00000000-0004-0000-0800-000012090000}"/>
    <hyperlink ref="R1163" r:id="rId2324" xr:uid="{00000000-0004-0000-0800-000013090000}"/>
    <hyperlink ref="Q1164" r:id="rId2325" xr:uid="{00000000-0004-0000-0800-000014090000}"/>
    <hyperlink ref="R1164" r:id="rId2326" xr:uid="{00000000-0004-0000-0800-000015090000}"/>
    <hyperlink ref="Q1165" r:id="rId2327" xr:uid="{00000000-0004-0000-0800-000016090000}"/>
    <hyperlink ref="R1165" r:id="rId2328" xr:uid="{00000000-0004-0000-0800-000017090000}"/>
    <hyperlink ref="Q1166" r:id="rId2329" xr:uid="{00000000-0004-0000-0800-000018090000}"/>
    <hyperlink ref="R1166" r:id="rId2330" xr:uid="{00000000-0004-0000-0800-000019090000}"/>
    <hyperlink ref="Q1167" r:id="rId2331" xr:uid="{00000000-0004-0000-0800-00001A090000}"/>
    <hyperlink ref="R1167" r:id="rId2332" xr:uid="{00000000-0004-0000-0800-00001B090000}"/>
    <hyperlink ref="Q1168" r:id="rId2333" xr:uid="{00000000-0004-0000-0800-00001C090000}"/>
    <hyperlink ref="R1168" r:id="rId2334" xr:uid="{00000000-0004-0000-0800-00001D090000}"/>
    <hyperlink ref="Q1169" r:id="rId2335" xr:uid="{00000000-0004-0000-0800-00001E090000}"/>
    <hyperlink ref="R1169" r:id="rId2336" xr:uid="{00000000-0004-0000-0800-00001F090000}"/>
    <hyperlink ref="Q1170" r:id="rId2337" xr:uid="{00000000-0004-0000-0800-000020090000}"/>
    <hyperlink ref="R1170" r:id="rId2338" xr:uid="{00000000-0004-0000-0800-000021090000}"/>
    <hyperlink ref="Q1171" r:id="rId2339" xr:uid="{00000000-0004-0000-0800-000022090000}"/>
    <hyperlink ref="R1171" r:id="rId2340" xr:uid="{00000000-0004-0000-0800-000023090000}"/>
    <hyperlink ref="Q1172" r:id="rId2341" xr:uid="{00000000-0004-0000-0800-000024090000}"/>
    <hyperlink ref="R1172" r:id="rId2342" xr:uid="{00000000-0004-0000-0800-000025090000}"/>
    <hyperlink ref="Q1173" r:id="rId2343" xr:uid="{00000000-0004-0000-0800-000026090000}"/>
    <hyperlink ref="R1173" r:id="rId2344" xr:uid="{00000000-0004-0000-0800-000027090000}"/>
    <hyperlink ref="Q1174" r:id="rId2345" xr:uid="{00000000-0004-0000-0800-000028090000}"/>
    <hyperlink ref="R1174" r:id="rId2346" xr:uid="{00000000-0004-0000-0800-000029090000}"/>
    <hyperlink ref="Q1175" r:id="rId2347" xr:uid="{00000000-0004-0000-0800-00002A090000}"/>
    <hyperlink ref="R1175" r:id="rId2348" xr:uid="{00000000-0004-0000-0800-00002B090000}"/>
    <hyperlink ref="Q1176" r:id="rId2349" xr:uid="{00000000-0004-0000-0800-00002C090000}"/>
    <hyperlink ref="R1176" r:id="rId2350" xr:uid="{00000000-0004-0000-0800-00002D090000}"/>
    <hyperlink ref="Q1177" r:id="rId2351" xr:uid="{00000000-0004-0000-0800-00002E090000}"/>
    <hyperlink ref="R1177" r:id="rId2352" xr:uid="{00000000-0004-0000-0800-00002F090000}"/>
    <hyperlink ref="Q1178" r:id="rId2353" xr:uid="{00000000-0004-0000-0800-000030090000}"/>
    <hyperlink ref="R1178" r:id="rId2354" xr:uid="{00000000-0004-0000-0800-000031090000}"/>
    <hyperlink ref="Q1179" r:id="rId2355" xr:uid="{00000000-0004-0000-0800-000032090000}"/>
    <hyperlink ref="R1179" r:id="rId2356" xr:uid="{00000000-0004-0000-0800-000033090000}"/>
    <hyperlink ref="Q1180" r:id="rId2357" xr:uid="{00000000-0004-0000-0800-000034090000}"/>
    <hyperlink ref="R1180" r:id="rId2358" xr:uid="{00000000-0004-0000-0800-000035090000}"/>
    <hyperlink ref="Q1181" r:id="rId2359" xr:uid="{00000000-0004-0000-0800-000036090000}"/>
    <hyperlink ref="R1181" r:id="rId2360" xr:uid="{00000000-0004-0000-0800-000037090000}"/>
    <hyperlink ref="Q1182" r:id="rId2361" xr:uid="{00000000-0004-0000-0800-000038090000}"/>
    <hyperlink ref="R1182" r:id="rId2362" xr:uid="{00000000-0004-0000-0800-000039090000}"/>
    <hyperlink ref="Q1183" r:id="rId2363" xr:uid="{00000000-0004-0000-0800-00003A090000}"/>
    <hyperlink ref="R1183" r:id="rId2364" xr:uid="{00000000-0004-0000-0800-00003B090000}"/>
    <hyperlink ref="Q1184" r:id="rId2365" xr:uid="{00000000-0004-0000-0800-00003C090000}"/>
    <hyperlink ref="R1184" r:id="rId2366" xr:uid="{00000000-0004-0000-0800-00003D090000}"/>
    <hyperlink ref="Q1185" r:id="rId2367" xr:uid="{00000000-0004-0000-0800-00003E090000}"/>
    <hyperlink ref="R1185" r:id="rId2368" xr:uid="{00000000-0004-0000-0800-00003F090000}"/>
    <hyperlink ref="Q1186" r:id="rId2369" xr:uid="{00000000-0004-0000-0800-000040090000}"/>
    <hyperlink ref="R1186" r:id="rId2370" xr:uid="{00000000-0004-0000-0800-000041090000}"/>
    <hyperlink ref="Q1187" r:id="rId2371" xr:uid="{00000000-0004-0000-0800-000042090000}"/>
    <hyperlink ref="R1187" r:id="rId2372" xr:uid="{00000000-0004-0000-0800-000043090000}"/>
    <hyperlink ref="Q1188" r:id="rId2373" xr:uid="{00000000-0004-0000-0800-000044090000}"/>
    <hyperlink ref="R1188" r:id="rId2374" xr:uid="{00000000-0004-0000-0800-000045090000}"/>
    <hyperlink ref="Q1189" r:id="rId2375" xr:uid="{00000000-0004-0000-0800-000046090000}"/>
    <hyperlink ref="R1189" r:id="rId2376" xr:uid="{00000000-0004-0000-0800-000047090000}"/>
    <hyperlink ref="Q1190" r:id="rId2377" xr:uid="{00000000-0004-0000-0800-000048090000}"/>
    <hyperlink ref="R1190" r:id="rId2378" xr:uid="{00000000-0004-0000-0800-000049090000}"/>
    <hyperlink ref="Q1191" r:id="rId2379" xr:uid="{00000000-0004-0000-0800-00004A090000}"/>
    <hyperlink ref="R1191" r:id="rId2380" xr:uid="{00000000-0004-0000-0800-00004B090000}"/>
    <hyperlink ref="Q1192" r:id="rId2381" xr:uid="{00000000-0004-0000-0800-00004C090000}"/>
    <hyperlink ref="R1192" r:id="rId2382" xr:uid="{00000000-0004-0000-0800-00004D090000}"/>
    <hyperlink ref="Q1193" r:id="rId2383" xr:uid="{00000000-0004-0000-0800-00004E090000}"/>
    <hyperlink ref="R1193" r:id="rId2384" xr:uid="{00000000-0004-0000-0800-00004F090000}"/>
    <hyperlink ref="Q1194" r:id="rId2385" xr:uid="{00000000-0004-0000-0800-000050090000}"/>
    <hyperlink ref="R1194" r:id="rId2386" xr:uid="{00000000-0004-0000-0800-000051090000}"/>
    <hyperlink ref="Q1195" r:id="rId2387" xr:uid="{00000000-0004-0000-0800-000052090000}"/>
    <hyperlink ref="R1195" r:id="rId2388" xr:uid="{00000000-0004-0000-0800-000053090000}"/>
    <hyperlink ref="Q1196" r:id="rId2389" xr:uid="{00000000-0004-0000-0800-000054090000}"/>
    <hyperlink ref="R1196" r:id="rId2390" xr:uid="{00000000-0004-0000-0800-000055090000}"/>
    <hyperlink ref="Q1197" r:id="rId2391" xr:uid="{00000000-0004-0000-0800-000056090000}"/>
    <hyperlink ref="R1197" r:id="rId2392" xr:uid="{00000000-0004-0000-0800-000057090000}"/>
    <hyperlink ref="Q1198" r:id="rId2393" xr:uid="{00000000-0004-0000-0800-000058090000}"/>
    <hyperlink ref="R1198" r:id="rId2394" xr:uid="{00000000-0004-0000-0800-000059090000}"/>
    <hyperlink ref="Q1199" r:id="rId2395" xr:uid="{00000000-0004-0000-0800-00005A090000}"/>
    <hyperlink ref="R1199" r:id="rId2396" xr:uid="{00000000-0004-0000-0800-00005B090000}"/>
    <hyperlink ref="Q1200" r:id="rId2397" xr:uid="{00000000-0004-0000-0800-00005C090000}"/>
    <hyperlink ref="R1200" r:id="rId2398" xr:uid="{00000000-0004-0000-0800-00005D090000}"/>
    <hyperlink ref="Q1201" r:id="rId2399" xr:uid="{00000000-0004-0000-0800-00005E090000}"/>
    <hyperlink ref="R1201" r:id="rId2400" xr:uid="{00000000-0004-0000-0800-00005F090000}"/>
    <hyperlink ref="Q1202" r:id="rId2401" xr:uid="{00000000-0004-0000-0800-000060090000}"/>
    <hyperlink ref="R1202" r:id="rId2402" xr:uid="{00000000-0004-0000-0800-000061090000}"/>
    <hyperlink ref="Q1203" r:id="rId2403" xr:uid="{00000000-0004-0000-0800-000062090000}"/>
    <hyperlink ref="R1203" r:id="rId2404" xr:uid="{00000000-0004-0000-0800-000063090000}"/>
    <hyperlink ref="Q1204" r:id="rId2405" xr:uid="{00000000-0004-0000-0800-000064090000}"/>
    <hyperlink ref="R1204" r:id="rId2406" xr:uid="{00000000-0004-0000-0800-000065090000}"/>
    <hyperlink ref="Q1205" r:id="rId2407" xr:uid="{00000000-0004-0000-0800-000066090000}"/>
    <hyperlink ref="R1205" r:id="rId2408" xr:uid="{00000000-0004-0000-0800-000067090000}"/>
    <hyperlink ref="Q1206" r:id="rId2409" xr:uid="{00000000-0004-0000-0800-000068090000}"/>
    <hyperlink ref="R1206" r:id="rId2410" xr:uid="{00000000-0004-0000-0800-000069090000}"/>
    <hyperlink ref="Q1207" r:id="rId2411" xr:uid="{00000000-0004-0000-0800-00006A090000}"/>
    <hyperlink ref="R1207" r:id="rId2412" xr:uid="{00000000-0004-0000-0800-00006B090000}"/>
    <hyperlink ref="Q1208" r:id="rId2413" xr:uid="{00000000-0004-0000-0800-00006C090000}"/>
    <hyperlink ref="R1208" r:id="rId2414" xr:uid="{00000000-0004-0000-0800-00006D090000}"/>
    <hyperlink ref="Q1209" r:id="rId2415" xr:uid="{00000000-0004-0000-0800-00006E090000}"/>
    <hyperlink ref="R1209" r:id="rId2416" xr:uid="{00000000-0004-0000-0800-00006F090000}"/>
    <hyperlink ref="Q1210" r:id="rId2417" xr:uid="{00000000-0004-0000-0800-000070090000}"/>
    <hyperlink ref="R1210" r:id="rId2418" xr:uid="{00000000-0004-0000-0800-000071090000}"/>
    <hyperlink ref="Q1211" r:id="rId2419" xr:uid="{00000000-0004-0000-0800-000072090000}"/>
    <hyperlink ref="R1211" r:id="rId2420" xr:uid="{00000000-0004-0000-0800-000073090000}"/>
    <hyperlink ref="Q1212" r:id="rId2421" xr:uid="{00000000-0004-0000-0800-000074090000}"/>
    <hyperlink ref="R1212" r:id="rId2422" xr:uid="{00000000-0004-0000-0800-000075090000}"/>
    <hyperlink ref="Q1213" r:id="rId2423" xr:uid="{00000000-0004-0000-0800-000076090000}"/>
    <hyperlink ref="R1213" r:id="rId2424" xr:uid="{00000000-0004-0000-0800-000077090000}"/>
    <hyperlink ref="Q1214" r:id="rId2425" xr:uid="{00000000-0004-0000-0800-000078090000}"/>
    <hyperlink ref="R1214" r:id="rId2426" xr:uid="{00000000-0004-0000-0800-000079090000}"/>
    <hyperlink ref="Q1215" r:id="rId2427" xr:uid="{00000000-0004-0000-0800-00007A090000}"/>
    <hyperlink ref="R1215" r:id="rId2428" xr:uid="{00000000-0004-0000-0800-00007B090000}"/>
    <hyperlink ref="Q1216" r:id="rId2429" xr:uid="{00000000-0004-0000-0800-00007C090000}"/>
    <hyperlink ref="R1216" r:id="rId2430" xr:uid="{00000000-0004-0000-0800-00007D090000}"/>
    <hyperlink ref="Q1217" r:id="rId2431" xr:uid="{00000000-0004-0000-0800-00007E090000}"/>
    <hyperlink ref="R1217" r:id="rId2432" xr:uid="{00000000-0004-0000-0800-00007F090000}"/>
    <hyperlink ref="Q1218" r:id="rId2433" xr:uid="{00000000-0004-0000-0800-000080090000}"/>
    <hyperlink ref="R1218" r:id="rId2434" xr:uid="{00000000-0004-0000-0800-000081090000}"/>
    <hyperlink ref="Q1219" r:id="rId2435" xr:uid="{00000000-0004-0000-0800-000082090000}"/>
    <hyperlink ref="R1219" r:id="rId2436" xr:uid="{00000000-0004-0000-0800-000083090000}"/>
    <hyperlink ref="Q1220" r:id="rId2437" xr:uid="{00000000-0004-0000-0800-000084090000}"/>
    <hyperlink ref="R1220" r:id="rId2438" xr:uid="{00000000-0004-0000-0800-000085090000}"/>
    <hyperlink ref="Q1221" r:id="rId2439" xr:uid="{00000000-0004-0000-0800-000086090000}"/>
    <hyperlink ref="R1221" r:id="rId2440" xr:uid="{00000000-0004-0000-0800-000087090000}"/>
    <hyperlink ref="Q1222" r:id="rId2441" xr:uid="{00000000-0004-0000-0800-000088090000}"/>
    <hyperlink ref="R1222" r:id="rId2442" xr:uid="{00000000-0004-0000-0800-000089090000}"/>
    <hyperlink ref="Q1223" r:id="rId2443" xr:uid="{00000000-0004-0000-0800-00008A090000}"/>
    <hyperlink ref="R1223" r:id="rId2444" xr:uid="{00000000-0004-0000-0800-00008B090000}"/>
    <hyperlink ref="Q1224" r:id="rId2445" xr:uid="{00000000-0004-0000-0800-00008C090000}"/>
    <hyperlink ref="R1224" r:id="rId2446" xr:uid="{00000000-0004-0000-0800-00008D090000}"/>
    <hyperlink ref="Q1225" r:id="rId2447" xr:uid="{00000000-0004-0000-0800-00008E090000}"/>
    <hyperlink ref="R1225" r:id="rId2448" xr:uid="{00000000-0004-0000-0800-00008F090000}"/>
    <hyperlink ref="Q1226" r:id="rId2449" xr:uid="{00000000-0004-0000-0800-000090090000}"/>
    <hyperlink ref="R1226" r:id="rId2450" xr:uid="{00000000-0004-0000-0800-000091090000}"/>
    <hyperlink ref="Q1227" r:id="rId2451" xr:uid="{00000000-0004-0000-0800-000092090000}"/>
    <hyperlink ref="R1227" r:id="rId2452" xr:uid="{00000000-0004-0000-0800-000093090000}"/>
    <hyperlink ref="Q1228" r:id="rId2453" xr:uid="{00000000-0004-0000-0800-000094090000}"/>
    <hyperlink ref="R1228" r:id="rId2454" xr:uid="{00000000-0004-0000-0800-000095090000}"/>
    <hyperlink ref="Q1229" r:id="rId2455" xr:uid="{00000000-0004-0000-0800-000096090000}"/>
    <hyperlink ref="R1229" r:id="rId2456" xr:uid="{00000000-0004-0000-0800-000097090000}"/>
    <hyperlink ref="Q1230" r:id="rId2457" xr:uid="{00000000-0004-0000-0800-000098090000}"/>
    <hyperlink ref="R1230" r:id="rId2458" xr:uid="{00000000-0004-0000-0800-000099090000}"/>
    <hyperlink ref="Q1231" r:id="rId2459" xr:uid="{00000000-0004-0000-0800-00009A090000}"/>
    <hyperlink ref="R1231" r:id="rId2460" xr:uid="{00000000-0004-0000-0800-00009B090000}"/>
    <hyperlink ref="Q1232" r:id="rId2461" xr:uid="{00000000-0004-0000-0800-00009C090000}"/>
    <hyperlink ref="R1232" r:id="rId2462" xr:uid="{00000000-0004-0000-0800-00009D090000}"/>
    <hyperlink ref="Q1233" r:id="rId2463" xr:uid="{00000000-0004-0000-0800-00009E090000}"/>
    <hyperlink ref="R1233" r:id="rId2464" xr:uid="{00000000-0004-0000-0800-00009F090000}"/>
    <hyperlink ref="Q1234" r:id="rId2465" xr:uid="{00000000-0004-0000-0800-0000A0090000}"/>
    <hyperlink ref="R1234" r:id="rId2466" xr:uid="{00000000-0004-0000-0800-0000A1090000}"/>
    <hyperlink ref="Q1235" r:id="rId2467" xr:uid="{00000000-0004-0000-0800-0000A2090000}"/>
    <hyperlink ref="R1235" r:id="rId2468" xr:uid="{00000000-0004-0000-0800-0000A3090000}"/>
    <hyperlink ref="Q1236" r:id="rId2469" xr:uid="{00000000-0004-0000-0800-0000A4090000}"/>
    <hyperlink ref="R1236" r:id="rId2470" xr:uid="{00000000-0004-0000-0800-0000A5090000}"/>
    <hyperlink ref="Q1237" r:id="rId2471" xr:uid="{00000000-0004-0000-0800-0000A6090000}"/>
    <hyperlink ref="R1237" r:id="rId2472" xr:uid="{00000000-0004-0000-0800-0000A7090000}"/>
    <hyperlink ref="Q1238" r:id="rId2473" xr:uid="{00000000-0004-0000-0800-0000A8090000}"/>
    <hyperlink ref="R1238" r:id="rId2474" xr:uid="{00000000-0004-0000-0800-0000A9090000}"/>
    <hyperlink ref="Q1239" r:id="rId2475" xr:uid="{00000000-0004-0000-0800-0000AA090000}"/>
    <hyperlink ref="R1239" r:id="rId2476" xr:uid="{00000000-0004-0000-0800-0000AB090000}"/>
    <hyperlink ref="Q1240" r:id="rId2477" xr:uid="{00000000-0004-0000-0800-0000AC090000}"/>
    <hyperlink ref="R1240" r:id="rId2478" xr:uid="{00000000-0004-0000-0800-0000AD090000}"/>
    <hyperlink ref="Q1241" r:id="rId2479" xr:uid="{00000000-0004-0000-0800-0000AE090000}"/>
    <hyperlink ref="R1241" r:id="rId2480" xr:uid="{00000000-0004-0000-0800-0000AF090000}"/>
    <hyperlink ref="Q1242" r:id="rId2481" xr:uid="{00000000-0004-0000-0800-0000B0090000}"/>
    <hyperlink ref="R1242" r:id="rId2482" xr:uid="{00000000-0004-0000-0800-0000B1090000}"/>
    <hyperlink ref="Q1243" r:id="rId2483" xr:uid="{00000000-0004-0000-0800-0000B2090000}"/>
    <hyperlink ref="R1243" r:id="rId2484" xr:uid="{00000000-0004-0000-0800-0000B3090000}"/>
    <hyperlink ref="Q1244" r:id="rId2485" xr:uid="{00000000-0004-0000-0800-0000B4090000}"/>
    <hyperlink ref="R1244" r:id="rId2486" xr:uid="{00000000-0004-0000-0800-0000B5090000}"/>
    <hyperlink ref="Q1245" r:id="rId2487" xr:uid="{00000000-0004-0000-0800-0000B6090000}"/>
    <hyperlink ref="R1245" r:id="rId2488" xr:uid="{00000000-0004-0000-0800-0000B7090000}"/>
    <hyperlink ref="Q1246" r:id="rId2489" xr:uid="{00000000-0004-0000-0800-0000B8090000}"/>
    <hyperlink ref="R1246" r:id="rId2490" xr:uid="{00000000-0004-0000-0800-0000B9090000}"/>
    <hyperlink ref="Q1247" r:id="rId2491" xr:uid="{00000000-0004-0000-0800-0000BA090000}"/>
    <hyperlink ref="R1247" r:id="rId2492" xr:uid="{00000000-0004-0000-0800-0000BB090000}"/>
    <hyperlink ref="Q1248" r:id="rId2493" xr:uid="{00000000-0004-0000-0800-0000BC090000}"/>
    <hyperlink ref="R1248" r:id="rId2494" xr:uid="{00000000-0004-0000-0800-0000BD090000}"/>
    <hyperlink ref="Q1249" r:id="rId2495" xr:uid="{00000000-0004-0000-0800-0000BE090000}"/>
    <hyperlink ref="R1249" r:id="rId2496" xr:uid="{00000000-0004-0000-0800-0000BF090000}"/>
    <hyperlink ref="Q1250" r:id="rId2497" xr:uid="{00000000-0004-0000-0800-0000C0090000}"/>
    <hyperlink ref="R1250" r:id="rId2498" xr:uid="{00000000-0004-0000-0800-0000C1090000}"/>
    <hyperlink ref="Q1251" r:id="rId2499" xr:uid="{00000000-0004-0000-0800-0000C2090000}"/>
    <hyperlink ref="R1251" r:id="rId2500" xr:uid="{00000000-0004-0000-0800-0000C3090000}"/>
    <hyperlink ref="Q1252" r:id="rId2501" xr:uid="{00000000-0004-0000-0800-0000C4090000}"/>
    <hyperlink ref="R1252" r:id="rId2502" xr:uid="{00000000-0004-0000-0800-0000C5090000}"/>
    <hyperlink ref="Q1253" r:id="rId2503" xr:uid="{00000000-0004-0000-0800-0000C6090000}"/>
    <hyperlink ref="R1253" r:id="rId2504" xr:uid="{00000000-0004-0000-0800-0000C7090000}"/>
    <hyperlink ref="Q1254" r:id="rId2505" xr:uid="{00000000-0004-0000-0800-0000C8090000}"/>
    <hyperlink ref="R1254" r:id="rId2506" xr:uid="{00000000-0004-0000-0800-0000C9090000}"/>
    <hyperlink ref="Q1255" r:id="rId2507" xr:uid="{00000000-0004-0000-0800-0000CA090000}"/>
    <hyperlink ref="R1255" r:id="rId2508" xr:uid="{00000000-0004-0000-0800-0000CB090000}"/>
    <hyperlink ref="Q1256" r:id="rId2509" xr:uid="{00000000-0004-0000-0800-0000CC090000}"/>
    <hyperlink ref="R1256" r:id="rId2510" xr:uid="{00000000-0004-0000-0800-0000CD090000}"/>
    <hyperlink ref="Q1257" r:id="rId2511" xr:uid="{00000000-0004-0000-0800-0000CE090000}"/>
    <hyperlink ref="R1257" r:id="rId2512" xr:uid="{00000000-0004-0000-0800-0000CF090000}"/>
    <hyperlink ref="Q1258" r:id="rId2513" xr:uid="{00000000-0004-0000-0800-0000D0090000}"/>
    <hyperlink ref="R1258" r:id="rId2514" xr:uid="{00000000-0004-0000-0800-0000D1090000}"/>
    <hyperlink ref="Q1259" r:id="rId2515" xr:uid="{00000000-0004-0000-0800-0000D2090000}"/>
    <hyperlink ref="R1259" r:id="rId2516" xr:uid="{00000000-0004-0000-0800-0000D3090000}"/>
    <hyperlink ref="Q1260" r:id="rId2517" xr:uid="{00000000-0004-0000-0800-0000D4090000}"/>
    <hyperlink ref="R1260" r:id="rId2518" xr:uid="{00000000-0004-0000-0800-0000D5090000}"/>
    <hyperlink ref="Q1261" r:id="rId2519" xr:uid="{00000000-0004-0000-0800-0000D6090000}"/>
    <hyperlink ref="R1261" r:id="rId2520" xr:uid="{00000000-0004-0000-0800-0000D7090000}"/>
    <hyperlink ref="Q1262" r:id="rId2521" xr:uid="{00000000-0004-0000-0800-0000D8090000}"/>
    <hyperlink ref="R1262" r:id="rId2522" xr:uid="{00000000-0004-0000-0800-0000D9090000}"/>
    <hyperlink ref="Q1263" r:id="rId2523" xr:uid="{00000000-0004-0000-0800-0000DA090000}"/>
    <hyperlink ref="R1263" r:id="rId2524" xr:uid="{00000000-0004-0000-0800-0000DB090000}"/>
    <hyperlink ref="Q1264" r:id="rId2525" xr:uid="{00000000-0004-0000-0800-0000DC090000}"/>
    <hyperlink ref="R1264" r:id="rId2526" xr:uid="{00000000-0004-0000-0800-0000DD090000}"/>
    <hyperlink ref="Q1265" r:id="rId2527" xr:uid="{00000000-0004-0000-0800-0000DE090000}"/>
    <hyperlink ref="R1265" r:id="rId2528" xr:uid="{00000000-0004-0000-0800-0000DF090000}"/>
    <hyperlink ref="Q1266" r:id="rId2529" xr:uid="{00000000-0004-0000-0800-0000E0090000}"/>
    <hyperlink ref="R1266" r:id="rId2530" xr:uid="{00000000-0004-0000-0800-0000E1090000}"/>
    <hyperlink ref="Q1267" r:id="rId2531" xr:uid="{00000000-0004-0000-0800-0000E2090000}"/>
    <hyperlink ref="R1267" r:id="rId2532" xr:uid="{00000000-0004-0000-0800-0000E3090000}"/>
    <hyperlink ref="Q1268" r:id="rId2533" xr:uid="{00000000-0004-0000-0800-0000E4090000}"/>
    <hyperlink ref="R1268" r:id="rId2534" xr:uid="{00000000-0004-0000-0800-0000E5090000}"/>
    <hyperlink ref="Q1269" r:id="rId2535" xr:uid="{00000000-0004-0000-0800-0000E6090000}"/>
    <hyperlink ref="R1269" r:id="rId2536" xr:uid="{00000000-0004-0000-0800-0000E7090000}"/>
    <hyperlink ref="Q1270" r:id="rId2537" xr:uid="{00000000-0004-0000-0800-0000E8090000}"/>
    <hyperlink ref="R1270" r:id="rId2538" xr:uid="{00000000-0004-0000-0800-0000E9090000}"/>
    <hyperlink ref="Q1271" r:id="rId2539" xr:uid="{00000000-0004-0000-0800-0000EA090000}"/>
    <hyperlink ref="R1271" r:id="rId2540" xr:uid="{00000000-0004-0000-0800-0000EB090000}"/>
    <hyperlink ref="Q1272" r:id="rId2541" xr:uid="{00000000-0004-0000-0800-0000EC090000}"/>
    <hyperlink ref="R1272" r:id="rId2542" xr:uid="{00000000-0004-0000-0800-0000ED090000}"/>
    <hyperlink ref="Q1273" r:id="rId2543" xr:uid="{00000000-0004-0000-0800-0000EE090000}"/>
    <hyperlink ref="R1273" r:id="rId2544" xr:uid="{00000000-0004-0000-0800-0000EF090000}"/>
    <hyperlink ref="Q1274" r:id="rId2545" xr:uid="{00000000-0004-0000-0800-0000F0090000}"/>
    <hyperlink ref="R1274" r:id="rId2546" xr:uid="{00000000-0004-0000-0800-0000F1090000}"/>
    <hyperlink ref="Q1275" r:id="rId2547" xr:uid="{00000000-0004-0000-0800-0000F2090000}"/>
    <hyperlink ref="R1275" r:id="rId2548" xr:uid="{00000000-0004-0000-0800-0000F3090000}"/>
    <hyperlink ref="Q1276" r:id="rId2549" xr:uid="{00000000-0004-0000-0800-0000F4090000}"/>
    <hyperlink ref="R1276" r:id="rId2550" xr:uid="{00000000-0004-0000-0800-0000F5090000}"/>
    <hyperlink ref="Q1277" r:id="rId2551" xr:uid="{00000000-0004-0000-0800-0000F6090000}"/>
    <hyperlink ref="R1277" r:id="rId2552" xr:uid="{00000000-0004-0000-0800-0000F7090000}"/>
    <hyperlink ref="Q1278" r:id="rId2553" xr:uid="{00000000-0004-0000-0800-0000F8090000}"/>
    <hyperlink ref="R1278" r:id="rId2554" xr:uid="{00000000-0004-0000-0800-0000F9090000}"/>
    <hyperlink ref="Q1279" r:id="rId2555" xr:uid="{00000000-0004-0000-0800-0000FA090000}"/>
    <hyperlink ref="R1279" r:id="rId2556" xr:uid="{00000000-0004-0000-0800-0000FB090000}"/>
    <hyperlink ref="Q1280" r:id="rId2557" xr:uid="{00000000-0004-0000-0800-0000FC090000}"/>
    <hyperlink ref="R1280" r:id="rId2558" xr:uid="{00000000-0004-0000-0800-0000FD090000}"/>
    <hyperlink ref="Q1281" r:id="rId2559" xr:uid="{00000000-0004-0000-0800-0000FE090000}"/>
    <hyperlink ref="R1281" r:id="rId2560" xr:uid="{00000000-0004-0000-0800-0000FF090000}"/>
    <hyperlink ref="Q1282" r:id="rId2561" xr:uid="{00000000-0004-0000-0800-0000000A0000}"/>
    <hyperlink ref="R1282" r:id="rId2562" xr:uid="{00000000-0004-0000-0800-0000010A0000}"/>
    <hyperlink ref="Q1283" r:id="rId2563" xr:uid="{00000000-0004-0000-0800-0000020A0000}"/>
    <hyperlink ref="R1283" r:id="rId2564" xr:uid="{00000000-0004-0000-0800-0000030A0000}"/>
    <hyperlink ref="Q1284" r:id="rId2565" xr:uid="{00000000-0004-0000-0800-0000040A0000}"/>
    <hyperlink ref="R1284" r:id="rId2566" xr:uid="{00000000-0004-0000-0800-0000050A0000}"/>
    <hyperlink ref="Q1285" r:id="rId2567" xr:uid="{00000000-0004-0000-0800-0000060A0000}"/>
    <hyperlink ref="R1285" r:id="rId2568" xr:uid="{00000000-0004-0000-0800-0000070A0000}"/>
    <hyperlink ref="Q1286" r:id="rId2569" xr:uid="{00000000-0004-0000-0800-0000080A0000}"/>
    <hyperlink ref="R1286" r:id="rId2570" xr:uid="{00000000-0004-0000-0800-0000090A0000}"/>
    <hyperlink ref="Q1287" r:id="rId2571" xr:uid="{00000000-0004-0000-0800-00000A0A0000}"/>
    <hyperlink ref="R1287" r:id="rId2572" xr:uid="{00000000-0004-0000-0800-00000B0A0000}"/>
    <hyperlink ref="Q1288" r:id="rId2573" xr:uid="{00000000-0004-0000-0800-00000C0A0000}"/>
    <hyperlink ref="R1288" r:id="rId2574" xr:uid="{00000000-0004-0000-0800-00000D0A0000}"/>
    <hyperlink ref="Q1289" r:id="rId2575" xr:uid="{00000000-0004-0000-0800-00000E0A0000}"/>
    <hyperlink ref="R1289" r:id="rId2576" xr:uid="{00000000-0004-0000-0800-00000F0A0000}"/>
    <hyperlink ref="Q1290" r:id="rId2577" xr:uid="{00000000-0004-0000-0800-0000100A0000}"/>
    <hyperlink ref="R1290" r:id="rId2578" xr:uid="{00000000-0004-0000-0800-0000110A0000}"/>
    <hyperlink ref="Q1291" r:id="rId2579" xr:uid="{00000000-0004-0000-0800-0000120A0000}"/>
    <hyperlink ref="R1291" r:id="rId2580" xr:uid="{00000000-0004-0000-0800-0000130A0000}"/>
    <hyperlink ref="Q1292" r:id="rId2581" xr:uid="{00000000-0004-0000-0800-0000140A0000}"/>
    <hyperlink ref="R1292" r:id="rId2582" xr:uid="{00000000-0004-0000-0800-0000150A0000}"/>
    <hyperlink ref="Q1293" r:id="rId2583" xr:uid="{00000000-0004-0000-0800-0000160A0000}"/>
    <hyperlink ref="R1293" r:id="rId2584" xr:uid="{00000000-0004-0000-0800-0000170A0000}"/>
    <hyperlink ref="Q1294" r:id="rId2585" xr:uid="{00000000-0004-0000-0800-0000180A0000}"/>
    <hyperlink ref="R1294" r:id="rId2586" xr:uid="{00000000-0004-0000-0800-0000190A0000}"/>
    <hyperlink ref="Q1295" r:id="rId2587" xr:uid="{00000000-0004-0000-0800-00001A0A0000}"/>
    <hyperlink ref="R1295" r:id="rId2588" xr:uid="{00000000-0004-0000-0800-00001B0A0000}"/>
    <hyperlink ref="Q1296" r:id="rId2589" xr:uid="{00000000-0004-0000-0800-00001C0A0000}"/>
    <hyperlink ref="R1296" r:id="rId2590" xr:uid="{00000000-0004-0000-0800-00001D0A0000}"/>
    <hyperlink ref="Q1297" r:id="rId2591" xr:uid="{00000000-0004-0000-0800-00001E0A0000}"/>
    <hyperlink ref="R1297" r:id="rId2592" xr:uid="{00000000-0004-0000-0800-00001F0A0000}"/>
    <hyperlink ref="Q1298" r:id="rId2593" xr:uid="{00000000-0004-0000-0800-0000200A0000}"/>
    <hyperlink ref="R1298" r:id="rId2594" xr:uid="{00000000-0004-0000-0800-0000210A0000}"/>
    <hyperlink ref="Q1299" r:id="rId2595" xr:uid="{00000000-0004-0000-0800-0000220A0000}"/>
    <hyperlink ref="R1299" r:id="rId2596" xr:uid="{00000000-0004-0000-0800-0000230A0000}"/>
    <hyperlink ref="Q1300" r:id="rId2597" xr:uid="{00000000-0004-0000-0800-0000240A0000}"/>
    <hyperlink ref="R1300" r:id="rId2598" xr:uid="{00000000-0004-0000-0800-0000250A0000}"/>
    <hyperlink ref="Q1301" r:id="rId2599" xr:uid="{00000000-0004-0000-0800-0000260A0000}"/>
    <hyperlink ref="R1301" r:id="rId2600" xr:uid="{00000000-0004-0000-0800-0000270A0000}"/>
    <hyperlink ref="Q1302" r:id="rId2601" xr:uid="{00000000-0004-0000-0800-0000280A0000}"/>
    <hyperlink ref="R1302" r:id="rId2602" xr:uid="{00000000-0004-0000-0800-0000290A0000}"/>
    <hyperlink ref="Q1303" r:id="rId2603" xr:uid="{00000000-0004-0000-0800-00002A0A0000}"/>
    <hyperlink ref="R1303" r:id="rId2604" xr:uid="{00000000-0004-0000-0800-00002B0A0000}"/>
    <hyperlink ref="Q1304" r:id="rId2605" xr:uid="{00000000-0004-0000-0800-00002C0A0000}"/>
    <hyperlink ref="R1304" r:id="rId2606" xr:uid="{00000000-0004-0000-0800-00002D0A0000}"/>
    <hyperlink ref="Q1305" r:id="rId2607" xr:uid="{00000000-0004-0000-0800-00002E0A0000}"/>
    <hyperlink ref="R1305" r:id="rId2608" xr:uid="{00000000-0004-0000-0800-00002F0A0000}"/>
    <hyperlink ref="Q1306" r:id="rId2609" xr:uid="{00000000-0004-0000-0800-0000300A0000}"/>
    <hyperlink ref="R1306" r:id="rId2610" xr:uid="{00000000-0004-0000-0800-0000310A0000}"/>
    <hyperlink ref="Q1307" r:id="rId2611" xr:uid="{00000000-0004-0000-0800-0000320A0000}"/>
    <hyperlink ref="R1307" r:id="rId2612" xr:uid="{00000000-0004-0000-0800-0000330A0000}"/>
    <hyperlink ref="Q1308" r:id="rId2613" xr:uid="{00000000-0004-0000-0800-0000340A0000}"/>
    <hyperlink ref="R1308" r:id="rId2614" xr:uid="{00000000-0004-0000-0800-0000350A0000}"/>
    <hyperlink ref="Q1309" r:id="rId2615" xr:uid="{00000000-0004-0000-0800-0000360A0000}"/>
    <hyperlink ref="R1309" r:id="rId2616" xr:uid="{00000000-0004-0000-0800-0000370A0000}"/>
    <hyperlink ref="Q1310" r:id="rId2617" xr:uid="{00000000-0004-0000-0800-0000380A0000}"/>
    <hyperlink ref="R1310" r:id="rId2618" xr:uid="{00000000-0004-0000-0800-0000390A0000}"/>
    <hyperlink ref="Q1311" r:id="rId2619" xr:uid="{00000000-0004-0000-0800-00003A0A0000}"/>
    <hyperlink ref="R1311" r:id="rId2620" xr:uid="{00000000-0004-0000-0800-00003B0A0000}"/>
    <hyperlink ref="Q1312" r:id="rId2621" xr:uid="{00000000-0004-0000-0800-00003C0A0000}"/>
    <hyperlink ref="R1312" r:id="rId2622" xr:uid="{00000000-0004-0000-0800-00003D0A0000}"/>
    <hyperlink ref="Q1313" r:id="rId2623" xr:uid="{00000000-0004-0000-0800-00003E0A0000}"/>
    <hyperlink ref="R1313" r:id="rId2624" xr:uid="{00000000-0004-0000-0800-00003F0A0000}"/>
    <hyperlink ref="Q1314" r:id="rId2625" xr:uid="{00000000-0004-0000-0800-0000400A0000}"/>
    <hyperlink ref="R1314" r:id="rId2626" xr:uid="{00000000-0004-0000-0800-0000410A0000}"/>
    <hyperlink ref="Q1315" r:id="rId2627" xr:uid="{00000000-0004-0000-0800-0000420A0000}"/>
    <hyperlink ref="R1315" r:id="rId2628" xr:uid="{00000000-0004-0000-0800-0000430A0000}"/>
    <hyperlink ref="Q1316" r:id="rId2629" xr:uid="{00000000-0004-0000-0800-0000440A0000}"/>
    <hyperlink ref="R1316" r:id="rId2630" xr:uid="{00000000-0004-0000-0800-0000450A0000}"/>
    <hyperlink ref="Q1317" r:id="rId2631" xr:uid="{00000000-0004-0000-0800-0000460A0000}"/>
    <hyperlink ref="R1317" r:id="rId2632" xr:uid="{00000000-0004-0000-0800-0000470A0000}"/>
    <hyperlink ref="Q1318" r:id="rId2633" xr:uid="{00000000-0004-0000-0800-0000480A0000}"/>
    <hyperlink ref="R1318" r:id="rId2634" xr:uid="{00000000-0004-0000-0800-0000490A0000}"/>
    <hyperlink ref="Q1319" r:id="rId2635" xr:uid="{00000000-0004-0000-0800-00004A0A0000}"/>
    <hyperlink ref="R1319" r:id="rId2636" xr:uid="{00000000-0004-0000-0800-00004B0A0000}"/>
    <hyperlink ref="Q1320" r:id="rId2637" xr:uid="{00000000-0004-0000-0800-00004C0A0000}"/>
    <hyperlink ref="R1320" r:id="rId2638" xr:uid="{00000000-0004-0000-0800-00004D0A0000}"/>
    <hyperlink ref="Q1321" r:id="rId2639" xr:uid="{00000000-0004-0000-0800-00004E0A0000}"/>
    <hyperlink ref="R1321" r:id="rId2640" xr:uid="{00000000-0004-0000-0800-00004F0A0000}"/>
    <hyperlink ref="Q1322" r:id="rId2641" xr:uid="{00000000-0004-0000-0800-0000500A0000}"/>
    <hyperlink ref="R1322" r:id="rId2642" xr:uid="{00000000-0004-0000-0800-0000510A0000}"/>
    <hyperlink ref="Q1323" r:id="rId2643" xr:uid="{00000000-0004-0000-0800-0000520A0000}"/>
    <hyperlink ref="R1323" r:id="rId2644" xr:uid="{00000000-0004-0000-0800-0000530A0000}"/>
    <hyperlink ref="Q1324" r:id="rId2645" xr:uid="{00000000-0004-0000-0800-0000540A0000}"/>
    <hyperlink ref="R1324" r:id="rId2646" xr:uid="{00000000-0004-0000-0800-0000550A0000}"/>
    <hyperlink ref="Q1325" r:id="rId2647" xr:uid="{00000000-0004-0000-0800-0000560A0000}"/>
    <hyperlink ref="R1325" r:id="rId2648" xr:uid="{00000000-0004-0000-0800-0000570A0000}"/>
    <hyperlink ref="Q1326" r:id="rId2649" xr:uid="{00000000-0004-0000-0800-0000580A0000}"/>
    <hyperlink ref="R1326" r:id="rId2650" xr:uid="{00000000-0004-0000-0800-0000590A0000}"/>
    <hyperlink ref="Q1327" r:id="rId2651" xr:uid="{00000000-0004-0000-0800-00005A0A0000}"/>
    <hyperlink ref="R1327" r:id="rId2652" xr:uid="{00000000-0004-0000-0800-00005B0A0000}"/>
    <hyperlink ref="Q1328" r:id="rId2653" xr:uid="{00000000-0004-0000-0800-00005C0A0000}"/>
    <hyperlink ref="R1328" r:id="rId2654" xr:uid="{00000000-0004-0000-0800-00005D0A0000}"/>
    <hyperlink ref="Q1329" r:id="rId2655" xr:uid="{00000000-0004-0000-0800-00005E0A0000}"/>
    <hyperlink ref="R1329" r:id="rId2656" xr:uid="{00000000-0004-0000-0800-00005F0A0000}"/>
    <hyperlink ref="Q1330" r:id="rId2657" xr:uid="{00000000-0004-0000-0800-0000600A0000}"/>
    <hyperlink ref="R1330" r:id="rId2658" xr:uid="{00000000-0004-0000-0800-0000610A0000}"/>
    <hyperlink ref="Q1331" r:id="rId2659" xr:uid="{00000000-0004-0000-0800-0000620A0000}"/>
    <hyperlink ref="R1331" r:id="rId2660" xr:uid="{00000000-0004-0000-0800-0000630A0000}"/>
    <hyperlink ref="Q1332" r:id="rId2661" xr:uid="{00000000-0004-0000-0800-0000640A0000}"/>
    <hyperlink ref="R1332" r:id="rId2662" xr:uid="{00000000-0004-0000-0800-0000650A0000}"/>
    <hyperlink ref="Q1333" r:id="rId2663" xr:uid="{00000000-0004-0000-0800-0000660A0000}"/>
    <hyperlink ref="R1333" r:id="rId2664" xr:uid="{00000000-0004-0000-0800-0000670A0000}"/>
    <hyperlink ref="Q1334" r:id="rId2665" xr:uid="{00000000-0004-0000-0800-0000680A0000}"/>
    <hyperlink ref="R1334" r:id="rId2666" xr:uid="{00000000-0004-0000-0800-0000690A0000}"/>
    <hyperlink ref="Q1335" r:id="rId2667" xr:uid="{00000000-0004-0000-0800-00006A0A0000}"/>
    <hyperlink ref="R1335" r:id="rId2668" xr:uid="{00000000-0004-0000-0800-00006B0A0000}"/>
    <hyperlink ref="Q1336" r:id="rId2669" xr:uid="{00000000-0004-0000-0800-00006C0A0000}"/>
    <hyperlink ref="R1336" r:id="rId2670" xr:uid="{00000000-0004-0000-0800-00006D0A0000}"/>
    <hyperlink ref="Q1337" r:id="rId2671" xr:uid="{00000000-0004-0000-0800-00006E0A0000}"/>
    <hyperlink ref="R1337" r:id="rId2672" xr:uid="{00000000-0004-0000-0800-00006F0A0000}"/>
    <hyperlink ref="Q1338" r:id="rId2673" xr:uid="{00000000-0004-0000-0800-0000700A0000}"/>
    <hyperlink ref="R1338" r:id="rId2674" xr:uid="{00000000-0004-0000-0800-0000710A0000}"/>
    <hyperlink ref="Q1339" r:id="rId2675" xr:uid="{00000000-0004-0000-0800-0000720A0000}"/>
    <hyperlink ref="R1339" r:id="rId2676" xr:uid="{00000000-0004-0000-0800-0000730A0000}"/>
    <hyperlink ref="Q1340" r:id="rId2677" xr:uid="{00000000-0004-0000-0800-0000740A0000}"/>
    <hyperlink ref="R1340" r:id="rId2678" xr:uid="{00000000-0004-0000-0800-0000750A0000}"/>
    <hyperlink ref="Q1341" r:id="rId2679" xr:uid="{00000000-0004-0000-0800-0000760A0000}"/>
    <hyperlink ref="R1341" r:id="rId2680" xr:uid="{00000000-0004-0000-0800-0000770A0000}"/>
    <hyperlink ref="Q1342" r:id="rId2681" xr:uid="{00000000-0004-0000-0800-0000780A0000}"/>
    <hyperlink ref="R1342" r:id="rId2682" xr:uid="{00000000-0004-0000-0800-0000790A0000}"/>
    <hyperlink ref="Q1343" r:id="rId2683" xr:uid="{00000000-0004-0000-0800-00007A0A0000}"/>
    <hyperlink ref="R1343" r:id="rId2684" xr:uid="{00000000-0004-0000-0800-00007B0A0000}"/>
    <hyperlink ref="Q1344" r:id="rId2685" xr:uid="{00000000-0004-0000-0800-00007C0A0000}"/>
    <hyperlink ref="R1344" r:id="rId2686" xr:uid="{00000000-0004-0000-0800-00007D0A0000}"/>
    <hyperlink ref="Q1345" r:id="rId2687" xr:uid="{00000000-0004-0000-0800-00007E0A0000}"/>
    <hyperlink ref="R1345" r:id="rId2688" xr:uid="{00000000-0004-0000-0800-00007F0A0000}"/>
    <hyperlink ref="Q1346" r:id="rId2689" xr:uid="{00000000-0004-0000-0800-0000800A0000}"/>
    <hyperlink ref="R1346" r:id="rId2690" xr:uid="{00000000-0004-0000-0800-0000810A0000}"/>
    <hyperlink ref="Q1347" r:id="rId2691" xr:uid="{00000000-0004-0000-0800-0000820A0000}"/>
    <hyperlink ref="R1347" r:id="rId2692" xr:uid="{00000000-0004-0000-0800-0000830A0000}"/>
    <hyperlink ref="Q1348" r:id="rId2693" xr:uid="{00000000-0004-0000-0800-0000840A0000}"/>
    <hyperlink ref="R1348" r:id="rId2694" xr:uid="{00000000-0004-0000-0800-0000850A0000}"/>
    <hyperlink ref="Q1349" r:id="rId2695" xr:uid="{00000000-0004-0000-0800-0000860A0000}"/>
    <hyperlink ref="R1349" r:id="rId2696" xr:uid="{00000000-0004-0000-0800-0000870A0000}"/>
    <hyperlink ref="Q1350" r:id="rId2697" xr:uid="{00000000-0004-0000-0800-0000880A0000}"/>
    <hyperlink ref="R1350" r:id="rId2698" xr:uid="{00000000-0004-0000-0800-0000890A0000}"/>
    <hyperlink ref="Q1351" r:id="rId2699" xr:uid="{00000000-0004-0000-0800-00008A0A0000}"/>
    <hyperlink ref="R1351" r:id="rId2700" xr:uid="{00000000-0004-0000-0800-00008B0A0000}"/>
    <hyperlink ref="Q1352" r:id="rId2701" xr:uid="{00000000-0004-0000-0800-00008C0A0000}"/>
    <hyperlink ref="R1352" r:id="rId2702" xr:uid="{00000000-0004-0000-0800-00008D0A0000}"/>
    <hyperlink ref="Q1353" r:id="rId2703" xr:uid="{00000000-0004-0000-0800-00008E0A0000}"/>
    <hyperlink ref="R1353" r:id="rId2704" xr:uid="{00000000-0004-0000-0800-00008F0A0000}"/>
    <hyperlink ref="Q1354" r:id="rId2705" xr:uid="{00000000-0004-0000-0800-0000900A0000}"/>
    <hyperlink ref="R1354" r:id="rId2706" xr:uid="{00000000-0004-0000-0800-0000910A0000}"/>
    <hyperlink ref="Q1355" r:id="rId2707" xr:uid="{00000000-0004-0000-0800-0000920A0000}"/>
    <hyperlink ref="R1355" r:id="rId2708" xr:uid="{00000000-0004-0000-0800-0000930A0000}"/>
    <hyperlink ref="Q1356" r:id="rId2709" xr:uid="{00000000-0004-0000-0800-0000940A0000}"/>
    <hyperlink ref="R1356" r:id="rId2710" xr:uid="{00000000-0004-0000-0800-0000950A0000}"/>
    <hyperlink ref="Q1357" r:id="rId2711" xr:uid="{00000000-0004-0000-0800-0000960A0000}"/>
    <hyperlink ref="R1357" r:id="rId2712" xr:uid="{00000000-0004-0000-0800-0000970A0000}"/>
    <hyperlink ref="Q1358" r:id="rId2713" xr:uid="{00000000-0004-0000-0800-0000980A0000}"/>
    <hyperlink ref="R1358" r:id="rId2714" xr:uid="{00000000-0004-0000-0800-0000990A0000}"/>
    <hyperlink ref="Q1359" r:id="rId2715" xr:uid="{00000000-0004-0000-0800-00009A0A0000}"/>
    <hyperlink ref="R1359" r:id="rId2716" xr:uid="{00000000-0004-0000-0800-00009B0A0000}"/>
    <hyperlink ref="Q1360" r:id="rId2717" xr:uid="{00000000-0004-0000-0800-00009C0A0000}"/>
    <hyperlink ref="R1360" r:id="rId2718" xr:uid="{00000000-0004-0000-0800-00009D0A0000}"/>
    <hyperlink ref="Q1361" r:id="rId2719" xr:uid="{00000000-0004-0000-0800-00009E0A0000}"/>
    <hyperlink ref="R1361" r:id="rId2720" xr:uid="{00000000-0004-0000-0800-00009F0A0000}"/>
    <hyperlink ref="Q1362" r:id="rId2721" xr:uid="{00000000-0004-0000-0800-0000A00A0000}"/>
    <hyperlink ref="R1362" r:id="rId2722" xr:uid="{00000000-0004-0000-0800-0000A10A0000}"/>
    <hyperlink ref="Q1363" r:id="rId2723" xr:uid="{00000000-0004-0000-0800-0000A20A0000}"/>
    <hyperlink ref="R1363" r:id="rId2724" xr:uid="{00000000-0004-0000-0800-0000A30A0000}"/>
    <hyperlink ref="Q1364" r:id="rId2725" xr:uid="{00000000-0004-0000-0800-0000A40A0000}"/>
    <hyperlink ref="R1364" r:id="rId2726" xr:uid="{00000000-0004-0000-0800-0000A50A0000}"/>
    <hyperlink ref="Q1365" r:id="rId2727" xr:uid="{00000000-0004-0000-0800-0000A60A0000}"/>
    <hyperlink ref="R1365" r:id="rId2728" xr:uid="{00000000-0004-0000-0800-0000A70A0000}"/>
    <hyperlink ref="Q1366" r:id="rId2729" xr:uid="{00000000-0004-0000-0800-0000A80A0000}"/>
    <hyperlink ref="R1366" r:id="rId2730" xr:uid="{00000000-0004-0000-0800-0000A90A0000}"/>
    <hyperlink ref="Q1367" r:id="rId2731" xr:uid="{00000000-0004-0000-0800-0000AA0A0000}"/>
    <hyperlink ref="R1367" r:id="rId2732" xr:uid="{00000000-0004-0000-0800-0000AB0A0000}"/>
    <hyperlink ref="Q1368" r:id="rId2733" xr:uid="{00000000-0004-0000-0800-0000AC0A0000}"/>
    <hyperlink ref="R1368" r:id="rId2734" xr:uid="{00000000-0004-0000-0800-0000AD0A0000}"/>
    <hyperlink ref="Q1369" r:id="rId2735" xr:uid="{00000000-0004-0000-0800-0000AE0A0000}"/>
    <hyperlink ref="R1369" r:id="rId2736" xr:uid="{00000000-0004-0000-0800-0000AF0A0000}"/>
    <hyperlink ref="Q1370" r:id="rId2737" xr:uid="{00000000-0004-0000-0800-0000B00A0000}"/>
    <hyperlink ref="R1370" r:id="rId2738" xr:uid="{00000000-0004-0000-0800-0000B10A0000}"/>
    <hyperlink ref="Q1371" r:id="rId2739" xr:uid="{00000000-0004-0000-0800-0000B20A0000}"/>
    <hyperlink ref="R1371" r:id="rId2740" xr:uid="{00000000-0004-0000-0800-0000B30A0000}"/>
    <hyperlink ref="Q1372" r:id="rId2741" xr:uid="{00000000-0004-0000-0800-0000B40A0000}"/>
    <hyperlink ref="R1372" r:id="rId2742" xr:uid="{00000000-0004-0000-0800-0000B50A0000}"/>
    <hyperlink ref="Q1373" r:id="rId2743" xr:uid="{00000000-0004-0000-0800-0000B60A0000}"/>
    <hyperlink ref="R1373" r:id="rId2744" xr:uid="{00000000-0004-0000-0800-0000B70A0000}"/>
    <hyperlink ref="Q1374" r:id="rId2745" xr:uid="{00000000-0004-0000-0800-0000B80A0000}"/>
    <hyperlink ref="R1374" r:id="rId2746" xr:uid="{00000000-0004-0000-0800-0000B90A0000}"/>
    <hyperlink ref="Q1375" r:id="rId2747" xr:uid="{00000000-0004-0000-0800-0000BA0A0000}"/>
    <hyperlink ref="R1375" r:id="rId2748" xr:uid="{00000000-0004-0000-0800-0000BB0A0000}"/>
    <hyperlink ref="Q1376" r:id="rId2749" xr:uid="{00000000-0004-0000-0800-0000BC0A0000}"/>
    <hyperlink ref="R1376" r:id="rId2750" xr:uid="{00000000-0004-0000-0800-0000BD0A0000}"/>
    <hyperlink ref="Q1377" r:id="rId2751" xr:uid="{00000000-0004-0000-0800-0000BE0A0000}"/>
    <hyperlink ref="R1377" r:id="rId2752" xr:uid="{00000000-0004-0000-0800-0000BF0A0000}"/>
    <hyperlink ref="Q1378" r:id="rId2753" xr:uid="{00000000-0004-0000-0800-0000C00A0000}"/>
    <hyperlink ref="R1378" r:id="rId2754" xr:uid="{00000000-0004-0000-0800-0000C10A0000}"/>
    <hyperlink ref="Q1379" r:id="rId2755" xr:uid="{00000000-0004-0000-0800-0000C20A0000}"/>
    <hyperlink ref="R1379" r:id="rId2756" xr:uid="{00000000-0004-0000-0800-0000C30A0000}"/>
    <hyperlink ref="Q1380" r:id="rId2757" xr:uid="{00000000-0004-0000-0800-0000C40A0000}"/>
    <hyperlink ref="R1380" r:id="rId2758" xr:uid="{00000000-0004-0000-0800-0000C50A0000}"/>
    <hyperlink ref="Q1381" r:id="rId2759" xr:uid="{00000000-0004-0000-0800-0000C60A0000}"/>
    <hyperlink ref="R1381" r:id="rId2760" xr:uid="{00000000-0004-0000-0800-0000C70A0000}"/>
    <hyperlink ref="Q1382" r:id="rId2761" xr:uid="{00000000-0004-0000-0800-0000C80A0000}"/>
    <hyperlink ref="R1382" r:id="rId2762" xr:uid="{00000000-0004-0000-0800-0000C90A0000}"/>
    <hyperlink ref="Q1383" r:id="rId2763" xr:uid="{00000000-0004-0000-0800-0000CA0A0000}"/>
    <hyperlink ref="R1383" r:id="rId2764" xr:uid="{00000000-0004-0000-0800-0000CB0A0000}"/>
    <hyperlink ref="Q1384" r:id="rId2765" xr:uid="{00000000-0004-0000-0800-0000CC0A0000}"/>
    <hyperlink ref="R1384" r:id="rId2766" xr:uid="{00000000-0004-0000-0800-0000CD0A0000}"/>
    <hyperlink ref="Q1385" r:id="rId2767" xr:uid="{00000000-0004-0000-0800-0000CE0A0000}"/>
    <hyperlink ref="R1385" r:id="rId2768" xr:uid="{00000000-0004-0000-0800-0000CF0A0000}"/>
    <hyperlink ref="Q1386" r:id="rId2769" xr:uid="{00000000-0004-0000-0800-0000D00A0000}"/>
    <hyperlink ref="R1386" r:id="rId2770" xr:uid="{00000000-0004-0000-0800-0000D10A0000}"/>
    <hyperlink ref="Q1387" r:id="rId2771" xr:uid="{00000000-0004-0000-0800-0000D20A0000}"/>
    <hyperlink ref="R1387" r:id="rId2772" xr:uid="{00000000-0004-0000-0800-0000D30A0000}"/>
    <hyperlink ref="Q1388" r:id="rId2773" xr:uid="{00000000-0004-0000-0800-0000D40A0000}"/>
    <hyperlink ref="R1388" r:id="rId2774" xr:uid="{00000000-0004-0000-0800-0000D50A0000}"/>
    <hyperlink ref="Q1389" r:id="rId2775" xr:uid="{00000000-0004-0000-0800-0000D60A0000}"/>
    <hyperlink ref="R1389" r:id="rId2776" xr:uid="{00000000-0004-0000-0800-0000D70A0000}"/>
    <hyperlink ref="Q1390" r:id="rId2777" xr:uid="{00000000-0004-0000-0800-0000D80A0000}"/>
    <hyperlink ref="R1390" r:id="rId2778" xr:uid="{00000000-0004-0000-0800-0000D90A0000}"/>
    <hyperlink ref="Q1391" r:id="rId2779" xr:uid="{00000000-0004-0000-0800-0000DA0A0000}"/>
    <hyperlink ref="R1391" r:id="rId2780" xr:uid="{00000000-0004-0000-0800-0000DB0A0000}"/>
    <hyperlink ref="Q1392" r:id="rId2781" xr:uid="{00000000-0004-0000-0800-0000DC0A0000}"/>
    <hyperlink ref="R1392" r:id="rId2782" xr:uid="{00000000-0004-0000-0800-0000DD0A0000}"/>
    <hyperlink ref="Q1393" r:id="rId2783" xr:uid="{00000000-0004-0000-0800-0000DE0A0000}"/>
    <hyperlink ref="R1393" r:id="rId2784" xr:uid="{00000000-0004-0000-0800-0000DF0A0000}"/>
    <hyperlink ref="Q1394" r:id="rId2785" xr:uid="{00000000-0004-0000-0800-0000E00A0000}"/>
    <hyperlink ref="R1394" r:id="rId2786" xr:uid="{00000000-0004-0000-0800-0000E10A0000}"/>
    <hyperlink ref="Q1395" r:id="rId2787" xr:uid="{00000000-0004-0000-0800-0000E20A0000}"/>
    <hyperlink ref="R1395" r:id="rId2788" xr:uid="{00000000-0004-0000-0800-0000E30A0000}"/>
    <hyperlink ref="Q1396" r:id="rId2789" xr:uid="{00000000-0004-0000-0800-0000E40A0000}"/>
    <hyperlink ref="R1396" r:id="rId2790" xr:uid="{00000000-0004-0000-0800-0000E50A0000}"/>
    <hyperlink ref="Q1397" r:id="rId2791" xr:uid="{00000000-0004-0000-0800-0000E60A0000}"/>
    <hyperlink ref="R1397" r:id="rId2792" xr:uid="{00000000-0004-0000-0800-0000E70A0000}"/>
    <hyperlink ref="Q1398" r:id="rId2793" xr:uid="{00000000-0004-0000-0800-0000E80A0000}"/>
    <hyperlink ref="R1398" r:id="rId2794" xr:uid="{00000000-0004-0000-0800-0000E90A0000}"/>
    <hyperlink ref="Q1399" r:id="rId2795" xr:uid="{00000000-0004-0000-0800-0000EA0A0000}"/>
    <hyperlink ref="R1399" r:id="rId2796" xr:uid="{00000000-0004-0000-0800-0000EB0A0000}"/>
    <hyperlink ref="Q1400" r:id="rId2797" xr:uid="{00000000-0004-0000-0800-0000EC0A0000}"/>
    <hyperlink ref="R1400" r:id="rId2798" xr:uid="{00000000-0004-0000-0800-0000ED0A0000}"/>
    <hyperlink ref="Q1401" r:id="rId2799" xr:uid="{00000000-0004-0000-0800-0000EE0A0000}"/>
    <hyperlink ref="R1401" r:id="rId2800" xr:uid="{00000000-0004-0000-0800-0000EF0A0000}"/>
    <hyperlink ref="Q1402" r:id="rId2801" xr:uid="{00000000-0004-0000-0800-0000F00A0000}"/>
    <hyperlink ref="R1402" r:id="rId2802" xr:uid="{00000000-0004-0000-0800-0000F10A0000}"/>
    <hyperlink ref="Q1403" r:id="rId2803" xr:uid="{00000000-0004-0000-0800-0000F20A0000}"/>
    <hyperlink ref="R1403" r:id="rId2804" xr:uid="{00000000-0004-0000-0800-0000F30A0000}"/>
    <hyperlink ref="Q1404" r:id="rId2805" xr:uid="{00000000-0004-0000-0800-0000F40A0000}"/>
    <hyperlink ref="R1404" r:id="rId2806" xr:uid="{00000000-0004-0000-0800-0000F50A0000}"/>
    <hyperlink ref="Q1405" r:id="rId2807" xr:uid="{00000000-0004-0000-0800-0000F60A0000}"/>
    <hyperlink ref="R1405" r:id="rId2808" xr:uid="{00000000-0004-0000-0800-0000F70A0000}"/>
    <hyperlink ref="Q1406" r:id="rId2809" xr:uid="{00000000-0004-0000-0800-0000F80A0000}"/>
    <hyperlink ref="R1406" r:id="rId2810" xr:uid="{00000000-0004-0000-0800-0000F90A0000}"/>
    <hyperlink ref="Q1407" r:id="rId2811" xr:uid="{00000000-0004-0000-0800-0000FA0A0000}"/>
    <hyperlink ref="R1407" r:id="rId2812" xr:uid="{00000000-0004-0000-0800-0000FB0A0000}"/>
    <hyperlink ref="Q1408" r:id="rId2813" xr:uid="{00000000-0004-0000-0800-0000FC0A0000}"/>
    <hyperlink ref="R1408" r:id="rId2814" xr:uid="{00000000-0004-0000-0800-0000FD0A0000}"/>
    <hyperlink ref="Q1409" r:id="rId2815" xr:uid="{00000000-0004-0000-0800-0000FE0A0000}"/>
    <hyperlink ref="R1409" r:id="rId2816" xr:uid="{00000000-0004-0000-0800-0000FF0A0000}"/>
    <hyperlink ref="Q1410" r:id="rId2817" xr:uid="{00000000-0004-0000-0800-0000000B0000}"/>
    <hyperlink ref="R1410" r:id="rId2818" xr:uid="{00000000-0004-0000-0800-0000010B0000}"/>
    <hyperlink ref="Q1411" r:id="rId2819" xr:uid="{00000000-0004-0000-0800-0000020B0000}"/>
    <hyperlink ref="R1411" r:id="rId2820" xr:uid="{00000000-0004-0000-0800-0000030B0000}"/>
    <hyperlink ref="Q1412" r:id="rId2821" xr:uid="{00000000-0004-0000-0800-0000040B0000}"/>
    <hyperlink ref="R1412" r:id="rId2822" xr:uid="{00000000-0004-0000-0800-0000050B0000}"/>
    <hyperlink ref="Q1413" r:id="rId2823" xr:uid="{00000000-0004-0000-0800-0000060B0000}"/>
    <hyperlink ref="R1413" r:id="rId2824" xr:uid="{00000000-0004-0000-0800-0000070B0000}"/>
    <hyperlink ref="Q1414" r:id="rId2825" xr:uid="{00000000-0004-0000-0800-0000080B0000}"/>
    <hyperlink ref="R1414" r:id="rId2826" xr:uid="{00000000-0004-0000-0800-0000090B0000}"/>
    <hyperlink ref="Q1415" r:id="rId2827" xr:uid="{00000000-0004-0000-0800-00000A0B0000}"/>
    <hyperlink ref="R1415" r:id="rId2828" xr:uid="{00000000-0004-0000-0800-00000B0B0000}"/>
    <hyperlink ref="Q1416" r:id="rId2829" xr:uid="{00000000-0004-0000-0800-00000C0B0000}"/>
    <hyperlink ref="R1416" r:id="rId2830" xr:uid="{00000000-0004-0000-0800-00000D0B0000}"/>
    <hyperlink ref="Q1417" r:id="rId2831" xr:uid="{00000000-0004-0000-0800-00000E0B0000}"/>
    <hyperlink ref="R1417" r:id="rId2832" xr:uid="{00000000-0004-0000-0800-00000F0B0000}"/>
    <hyperlink ref="Q1418" r:id="rId2833" xr:uid="{00000000-0004-0000-0800-0000100B0000}"/>
    <hyperlink ref="R1418" r:id="rId2834" xr:uid="{00000000-0004-0000-0800-0000110B0000}"/>
    <hyperlink ref="Q1419" r:id="rId2835" xr:uid="{00000000-0004-0000-0800-0000120B0000}"/>
    <hyperlink ref="R1419" r:id="rId2836" xr:uid="{00000000-0004-0000-0800-0000130B0000}"/>
    <hyperlink ref="Q1420" r:id="rId2837" xr:uid="{00000000-0004-0000-0800-0000140B0000}"/>
    <hyperlink ref="R1420" r:id="rId2838" xr:uid="{00000000-0004-0000-0800-0000150B0000}"/>
    <hyperlink ref="Q1421" r:id="rId2839" xr:uid="{00000000-0004-0000-0800-0000160B0000}"/>
    <hyperlink ref="R1421" r:id="rId2840" xr:uid="{00000000-0004-0000-0800-0000170B0000}"/>
    <hyperlink ref="Q1422" r:id="rId2841" xr:uid="{00000000-0004-0000-0800-0000180B0000}"/>
    <hyperlink ref="R1422" r:id="rId2842" xr:uid="{00000000-0004-0000-0800-0000190B0000}"/>
    <hyperlink ref="Q1423" r:id="rId2843" xr:uid="{00000000-0004-0000-0800-00001A0B0000}"/>
    <hyperlink ref="R1423" r:id="rId2844" xr:uid="{00000000-0004-0000-0800-00001B0B0000}"/>
    <hyperlink ref="Q1424" r:id="rId2845" xr:uid="{00000000-0004-0000-0800-00001C0B0000}"/>
    <hyperlink ref="R1424" r:id="rId2846" xr:uid="{00000000-0004-0000-0800-00001D0B0000}"/>
    <hyperlink ref="Q1425" r:id="rId2847" xr:uid="{00000000-0004-0000-0800-00001E0B0000}"/>
    <hyperlink ref="R1425" r:id="rId2848" xr:uid="{00000000-0004-0000-0800-00001F0B0000}"/>
    <hyperlink ref="Q1426" r:id="rId2849" xr:uid="{00000000-0004-0000-0800-0000200B0000}"/>
    <hyperlink ref="R1426" r:id="rId2850" xr:uid="{00000000-0004-0000-0800-0000210B0000}"/>
    <hyperlink ref="Q1427" r:id="rId2851" xr:uid="{00000000-0004-0000-0800-0000220B0000}"/>
    <hyperlink ref="R1427" r:id="rId2852" xr:uid="{00000000-0004-0000-0800-0000230B0000}"/>
    <hyperlink ref="Q1428" r:id="rId2853" xr:uid="{00000000-0004-0000-0800-0000240B0000}"/>
    <hyperlink ref="R1428" r:id="rId2854" xr:uid="{00000000-0004-0000-0800-0000250B0000}"/>
    <hyperlink ref="Q1429" r:id="rId2855" xr:uid="{00000000-0004-0000-0800-0000260B0000}"/>
    <hyperlink ref="R1429" r:id="rId2856" xr:uid="{00000000-0004-0000-0800-0000270B0000}"/>
    <hyperlink ref="Q1430" r:id="rId2857" xr:uid="{00000000-0004-0000-0800-0000280B0000}"/>
    <hyperlink ref="R1430" r:id="rId2858" xr:uid="{00000000-0004-0000-0800-0000290B0000}"/>
    <hyperlink ref="Q1431" r:id="rId2859" xr:uid="{00000000-0004-0000-0800-00002A0B0000}"/>
    <hyperlink ref="R1431" r:id="rId2860" xr:uid="{00000000-0004-0000-0800-00002B0B0000}"/>
    <hyperlink ref="Q1432" r:id="rId2861" xr:uid="{00000000-0004-0000-0800-00002C0B0000}"/>
    <hyperlink ref="R1432" r:id="rId2862" xr:uid="{00000000-0004-0000-0800-00002D0B0000}"/>
    <hyperlink ref="Q1433" r:id="rId2863" xr:uid="{00000000-0004-0000-0800-00002E0B0000}"/>
    <hyperlink ref="R1433" r:id="rId2864" xr:uid="{00000000-0004-0000-0800-00002F0B0000}"/>
    <hyperlink ref="Q1434" r:id="rId2865" xr:uid="{00000000-0004-0000-0800-0000300B0000}"/>
    <hyperlink ref="R1434" r:id="rId2866" xr:uid="{00000000-0004-0000-0800-0000310B0000}"/>
    <hyperlink ref="Q1435" r:id="rId2867" xr:uid="{00000000-0004-0000-0800-0000320B0000}"/>
    <hyperlink ref="R1435" r:id="rId2868" xr:uid="{00000000-0004-0000-0800-0000330B0000}"/>
    <hyperlink ref="Q1436" r:id="rId2869" xr:uid="{00000000-0004-0000-0800-0000340B0000}"/>
    <hyperlink ref="R1436" r:id="rId2870" xr:uid="{00000000-0004-0000-0800-0000350B0000}"/>
    <hyperlink ref="Q1437" r:id="rId2871" xr:uid="{00000000-0004-0000-0800-0000360B0000}"/>
    <hyperlink ref="R1437" r:id="rId2872" xr:uid="{00000000-0004-0000-0800-0000370B0000}"/>
    <hyperlink ref="Q1438" r:id="rId2873" xr:uid="{00000000-0004-0000-0800-0000380B0000}"/>
    <hyperlink ref="R1438" r:id="rId2874" xr:uid="{00000000-0004-0000-0800-0000390B0000}"/>
    <hyperlink ref="Q1439" r:id="rId2875" xr:uid="{00000000-0004-0000-0800-00003A0B0000}"/>
    <hyperlink ref="R1439" r:id="rId2876" xr:uid="{00000000-0004-0000-0800-00003B0B0000}"/>
    <hyperlink ref="Q1440" r:id="rId2877" xr:uid="{00000000-0004-0000-0800-00003C0B0000}"/>
    <hyperlink ref="R1440" r:id="rId2878" xr:uid="{00000000-0004-0000-0800-00003D0B0000}"/>
    <hyperlink ref="Q1441" r:id="rId2879" xr:uid="{00000000-0004-0000-0800-00003E0B0000}"/>
    <hyperlink ref="R1441" r:id="rId2880" xr:uid="{00000000-0004-0000-0800-00003F0B0000}"/>
    <hyperlink ref="Q1442" r:id="rId2881" xr:uid="{00000000-0004-0000-0800-0000400B0000}"/>
    <hyperlink ref="R1442" r:id="rId2882" xr:uid="{00000000-0004-0000-0800-0000410B0000}"/>
    <hyperlink ref="Q1443" r:id="rId2883" xr:uid="{00000000-0004-0000-0800-0000420B0000}"/>
    <hyperlink ref="R1443" r:id="rId2884" xr:uid="{00000000-0004-0000-0800-0000430B0000}"/>
    <hyperlink ref="Q1444" r:id="rId2885" xr:uid="{00000000-0004-0000-0800-0000440B0000}"/>
    <hyperlink ref="R1444" r:id="rId2886" xr:uid="{00000000-0004-0000-0800-0000450B0000}"/>
    <hyperlink ref="Q1445" r:id="rId2887" xr:uid="{00000000-0004-0000-0800-0000460B0000}"/>
    <hyperlink ref="R1445" r:id="rId2888" xr:uid="{00000000-0004-0000-0800-0000470B0000}"/>
    <hyperlink ref="Q1446" r:id="rId2889" xr:uid="{00000000-0004-0000-0800-0000480B0000}"/>
    <hyperlink ref="R1446" r:id="rId2890" xr:uid="{00000000-0004-0000-0800-0000490B0000}"/>
    <hyperlink ref="Q1447" r:id="rId2891" xr:uid="{00000000-0004-0000-0800-00004A0B0000}"/>
    <hyperlink ref="R1447" r:id="rId2892" xr:uid="{00000000-0004-0000-0800-00004B0B0000}"/>
    <hyperlink ref="Q1448" r:id="rId2893" xr:uid="{00000000-0004-0000-0800-00004C0B0000}"/>
    <hyperlink ref="R1448" r:id="rId2894" xr:uid="{00000000-0004-0000-0800-00004D0B0000}"/>
    <hyperlink ref="Q1449" r:id="rId2895" xr:uid="{00000000-0004-0000-0800-00004E0B0000}"/>
    <hyperlink ref="R1449" r:id="rId2896" xr:uid="{00000000-0004-0000-0800-00004F0B0000}"/>
    <hyperlink ref="Q1450" r:id="rId2897" xr:uid="{00000000-0004-0000-0800-0000500B0000}"/>
    <hyperlink ref="R1450" r:id="rId2898" xr:uid="{00000000-0004-0000-0800-0000510B0000}"/>
    <hyperlink ref="Q1451" r:id="rId2899" xr:uid="{00000000-0004-0000-0800-0000520B0000}"/>
    <hyperlink ref="R1451" r:id="rId2900" xr:uid="{00000000-0004-0000-0800-0000530B0000}"/>
    <hyperlink ref="Q1452" r:id="rId2901" xr:uid="{00000000-0004-0000-0800-0000540B0000}"/>
    <hyperlink ref="R1452" r:id="rId2902" xr:uid="{00000000-0004-0000-0800-0000550B0000}"/>
    <hyperlink ref="Q1453" r:id="rId2903" xr:uid="{00000000-0004-0000-0800-0000560B0000}"/>
    <hyperlink ref="R1453" r:id="rId2904" xr:uid="{00000000-0004-0000-0800-0000570B0000}"/>
    <hyperlink ref="Q1454" r:id="rId2905" xr:uid="{00000000-0004-0000-0800-0000580B0000}"/>
    <hyperlink ref="R1454" r:id="rId2906" xr:uid="{00000000-0004-0000-0800-0000590B0000}"/>
    <hyperlink ref="Q1455" r:id="rId2907" xr:uid="{00000000-0004-0000-0800-00005A0B0000}"/>
    <hyperlink ref="R1455" r:id="rId2908" xr:uid="{00000000-0004-0000-0800-00005B0B0000}"/>
    <hyperlink ref="Q1456" r:id="rId2909" xr:uid="{00000000-0004-0000-0800-00005C0B0000}"/>
    <hyperlink ref="R1456" r:id="rId2910" xr:uid="{00000000-0004-0000-0800-00005D0B0000}"/>
    <hyperlink ref="Q1457" r:id="rId2911" xr:uid="{00000000-0004-0000-0800-00005E0B0000}"/>
    <hyperlink ref="R1457" r:id="rId2912" xr:uid="{00000000-0004-0000-0800-00005F0B0000}"/>
    <hyperlink ref="Q1458" r:id="rId2913" xr:uid="{00000000-0004-0000-0800-0000600B0000}"/>
    <hyperlink ref="R1458" r:id="rId2914" xr:uid="{00000000-0004-0000-0800-0000610B0000}"/>
    <hyperlink ref="Q1459" r:id="rId2915" xr:uid="{00000000-0004-0000-0800-0000620B0000}"/>
    <hyperlink ref="R1459" r:id="rId2916" xr:uid="{00000000-0004-0000-0800-0000630B0000}"/>
    <hyperlink ref="Q1460" r:id="rId2917" xr:uid="{00000000-0004-0000-0800-0000640B0000}"/>
    <hyperlink ref="R1460" r:id="rId2918" xr:uid="{00000000-0004-0000-0800-0000650B0000}"/>
    <hyperlink ref="Q1461" r:id="rId2919" xr:uid="{00000000-0004-0000-0800-0000660B0000}"/>
    <hyperlink ref="R1461" r:id="rId2920" xr:uid="{00000000-0004-0000-0800-0000670B0000}"/>
    <hyperlink ref="Q1462" r:id="rId2921" xr:uid="{00000000-0004-0000-0800-0000680B0000}"/>
    <hyperlink ref="R1462" r:id="rId2922" xr:uid="{00000000-0004-0000-0800-0000690B0000}"/>
    <hyperlink ref="Q1463" r:id="rId2923" xr:uid="{00000000-0004-0000-0800-00006A0B0000}"/>
    <hyperlink ref="R1463" r:id="rId2924" xr:uid="{00000000-0004-0000-0800-00006B0B0000}"/>
    <hyperlink ref="Q1464" r:id="rId2925" xr:uid="{00000000-0004-0000-0800-00006C0B0000}"/>
    <hyperlink ref="R1464" r:id="rId2926" xr:uid="{00000000-0004-0000-0800-00006D0B0000}"/>
    <hyperlink ref="Q1465" r:id="rId2927" xr:uid="{00000000-0004-0000-0800-00006E0B0000}"/>
    <hyperlink ref="R1465" r:id="rId2928" xr:uid="{00000000-0004-0000-0800-00006F0B0000}"/>
    <hyperlink ref="Q1466" r:id="rId2929" xr:uid="{00000000-0004-0000-0800-0000700B0000}"/>
    <hyperlink ref="R1466" r:id="rId2930" xr:uid="{00000000-0004-0000-0800-0000710B0000}"/>
    <hyperlink ref="Q1467" r:id="rId2931" xr:uid="{00000000-0004-0000-0800-0000720B0000}"/>
    <hyperlink ref="R1467" r:id="rId2932" xr:uid="{00000000-0004-0000-0800-0000730B0000}"/>
    <hyperlink ref="Q1468" r:id="rId2933" xr:uid="{00000000-0004-0000-0800-0000740B0000}"/>
    <hyperlink ref="R1468" r:id="rId2934" xr:uid="{00000000-0004-0000-0800-0000750B0000}"/>
    <hyperlink ref="Q1469" r:id="rId2935" xr:uid="{00000000-0004-0000-0800-0000760B0000}"/>
    <hyperlink ref="R1469" r:id="rId2936" xr:uid="{00000000-0004-0000-0800-0000770B0000}"/>
    <hyperlink ref="Q1470" r:id="rId2937" xr:uid="{00000000-0004-0000-0800-0000780B0000}"/>
    <hyperlink ref="R1470" r:id="rId2938" xr:uid="{00000000-0004-0000-0800-0000790B0000}"/>
    <hyperlink ref="Q1471" r:id="rId2939" xr:uid="{00000000-0004-0000-0800-00007A0B0000}"/>
    <hyperlink ref="R1471" r:id="rId2940" xr:uid="{00000000-0004-0000-0800-00007B0B0000}"/>
    <hyperlink ref="Q1472" r:id="rId2941" xr:uid="{00000000-0004-0000-0800-00007C0B0000}"/>
    <hyperlink ref="R1472" r:id="rId2942" xr:uid="{00000000-0004-0000-0800-00007D0B0000}"/>
    <hyperlink ref="Q1473" r:id="rId2943" xr:uid="{00000000-0004-0000-0800-00007E0B0000}"/>
    <hyperlink ref="R1473" r:id="rId2944" xr:uid="{00000000-0004-0000-0800-00007F0B0000}"/>
    <hyperlink ref="Q1474" r:id="rId2945" xr:uid="{00000000-0004-0000-0800-0000800B0000}"/>
    <hyperlink ref="R1474" r:id="rId2946" xr:uid="{00000000-0004-0000-0800-0000810B0000}"/>
    <hyperlink ref="Q1475" r:id="rId2947" xr:uid="{00000000-0004-0000-0800-0000820B0000}"/>
    <hyperlink ref="R1475" r:id="rId2948" xr:uid="{00000000-0004-0000-0800-0000830B0000}"/>
    <hyperlink ref="Q1476" r:id="rId2949" xr:uid="{00000000-0004-0000-0800-0000840B0000}"/>
    <hyperlink ref="R1476" r:id="rId2950" xr:uid="{00000000-0004-0000-0800-0000850B0000}"/>
    <hyperlink ref="Q1477" r:id="rId2951" xr:uid="{00000000-0004-0000-0800-0000860B0000}"/>
    <hyperlink ref="R1477" r:id="rId2952" xr:uid="{00000000-0004-0000-0800-0000870B0000}"/>
    <hyperlink ref="Q1478" r:id="rId2953" xr:uid="{00000000-0004-0000-0800-0000880B0000}"/>
    <hyperlink ref="R1478" r:id="rId2954" xr:uid="{00000000-0004-0000-0800-0000890B0000}"/>
    <hyperlink ref="Q1479" r:id="rId2955" xr:uid="{00000000-0004-0000-0800-00008A0B0000}"/>
    <hyperlink ref="R1479" r:id="rId2956" xr:uid="{00000000-0004-0000-0800-00008B0B0000}"/>
    <hyperlink ref="Q1480" r:id="rId2957" xr:uid="{00000000-0004-0000-0800-00008C0B0000}"/>
    <hyperlink ref="R1480" r:id="rId2958" xr:uid="{00000000-0004-0000-0800-00008D0B0000}"/>
    <hyperlink ref="Q1481" r:id="rId2959" xr:uid="{00000000-0004-0000-0800-00008E0B0000}"/>
    <hyperlink ref="R1481" r:id="rId2960" xr:uid="{00000000-0004-0000-0800-00008F0B0000}"/>
    <hyperlink ref="Q1482" r:id="rId2961" xr:uid="{00000000-0004-0000-0800-0000900B0000}"/>
    <hyperlink ref="R1482" r:id="rId2962" xr:uid="{00000000-0004-0000-0800-0000910B0000}"/>
    <hyperlink ref="Q1483" r:id="rId2963" xr:uid="{00000000-0004-0000-0800-0000920B0000}"/>
    <hyperlink ref="R1483" r:id="rId2964" xr:uid="{00000000-0004-0000-0800-0000930B0000}"/>
    <hyperlink ref="Q1484" r:id="rId2965" xr:uid="{00000000-0004-0000-0800-0000940B0000}"/>
    <hyperlink ref="R1484" r:id="rId2966" xr:uid="{00000000-0004-0000-0800-0000950B0000}"/>
    <hyperlink ref="Q1485" r:id="rId2967" xr:uid="{00000000-0004-0000-0800-0000960B0000}"/>
    <hyperlink ref="R1485" r:id="rId2968" xr:uid="{00000000-0004-0000-0800-0000970B0000}"/>
    <hyperlink ref="Q1486" r:id="rId2969" xr:uid="{00000000-0004-0000-0800-0000980B0000}"/>
    <hyperlink ref="R1486" r:id="rId2970" xr:uid="{00000000-0004-0000-0800-0000990B0000}"/>
    <hyperlink ref="Q1487" r:id="rId2971" xr:uid="{00000000-0004-0000-0800-00009A0B0000}"/>
    <hyperlink ref="R1487" r:id="rId2972" xr:uid="{00000000-0004-0000-0800-00009B0B0000}"/>
    <hyperlink ref="Q1488" r:id="rId2973" xr:uid="{00000000-0004-0000-0800-00009C0B0000}"/>
    <hyperlink ref="R1488" r:id="rId2974" xr:uid="{00000000-0004-0000-0800-00009D0B0000}"/>
    <hyperlink ref="Q1489" r:id="rId2975" xr:uid="{00000000-0004-0000-0800-00009E0B0000}"/>
    <hyperlink ref="R1489" r:id="rId2976" xr:uid="{00000000-0004-0000-0800-00009F0B0000}"/>
    <hyperlink ref="Q1490" r:id="rId2977" xr:uid="{00000000-0004-0000-0800-0000A00B0000}"/>
    <hyperlink ref="R1490" r:id="rId2978" xr:uid="{00000000-0004-0000-0800-0000A10B0000}"/>
    <hyperlink ref="Q1491" r:id="rId2979" xr:uid="{00000000-0004-0000-0800-0000A20B0000}"/>
    <hyperlink ref="R1491" r:id="rId2980" xr:uid="{00000000-0004-0000-0800-0000A30B0000}"/>
    <hyperlink ref="Q1492" r:id="rId2981" xr:uid="{00000000-0004-0000-0800-0000A40B0000}"/>
    <hyperlink ref="R1492" r:id="rId2982" xr:uid="{00000000-0004-0000-0800-0000A50B0000}"/>
    <hyperlink ref="Q1493" r:id="rId2983" xr:uid="{00000000-0004-0000-0800-0000A60B0000}"/>
    <hyperlink ref="R1493" r:id="rId2984" xr:uid="{00000000-0004-0000-0800-0000A70B0000}"/>
    <hyperlink ref="Q1494" r:id="rId2985" xr:uid="{00000000-0004-0000-0800-0000A80B0000}"/>
    <hyperlink ref="R1494" r:id="rId2986" xr:uid="{00000000-0004-0000-0800-0000A90B0000}"/>
    <hyperlink ref="Q1495" r:id="rId2987" xr:uid="{00000000-0004-0000-0800-0000AA0B0000}"/>
    <hyperlink ref="R1495" r:id="rId2988" xr:uid="{00000000-0004-0000-0800-0000AB0B0000}"/>
    <hyperlink ref="Q1496" r:id="rId2989" xr:uid="{00000000-0004-0000-0800-0000AC0B0000}"/>
    <hyperlink ref="R1496" r:id="rId2990" xr:uid="{00000000-0004-0000-0800-0000AD0B0000}"/>
    <hyperlink ref="Q1497" r:id="rId2991" xr:uid="{00000000-0004-0000-0800-0000AE0B0000}"/>
    <hyperlink ref="R1497" r:id="rId2992" xr:uid="{00000000-0004-0000-0800-0000AF0B0000}"/>
    <hyperlink ref="Q1498" r:id="rId2993" xr:uid="{00000000-0004-0000-0800-0000B00B0000}"/>
    <hyperlink ref="R1498" r:id="rId2994" xr:uid="{00000000-0004-0000-0800-0000B10B0000}"/>
    <hyperlink ref="Q1499" r:id="rId2995" xr:uid="{00000000-0004-0000-0800-0000B20B0000}"/>
    <hyperlink ref="R1499" r:id="rId2996" xr:uid="{00000000-0004-0000-0800-0000B30B0000}"/>
    <hyperlink ref="Q1500" r:id="rId2997" xr:uid="{00000000-0004-0000-0800-0000B40B0000}"/>
    <hyperlink ref="R1500" r:id="rId2998" xr:uid="{00000000-0004-0000-0800-0000B50B0000}"/>
    <hyperlink ref="Q1501" r:id="rId2999" xr:uid="{00000000-0004-0000-0800-0000B60B0000}"/>
    <hyperlink ref="R1501" r:id="rId3000" xr:uid="{00000000-0004-0000-0800-0000B70B0000}"/>
    <hyperlink ref="Q1502" r:id="rId3001" xr:uid="{00000000-0004-0000-0800-0000B80B0000}"/>
    <hyperlink ref="R1502" r:id="rId3002" xr:uid="{00000000-0004-0000-0800-0000B90B0000}"/>
    <hyperlink ref="Q1503" r:id="rId3003" xr:uid="{00000000-0004-0000-0800-0000BA0B0000}"/>
    <hyperlink ref="R1503" r:id="rId3004" xr:uid="{00000000-0004-0000-0800-0000BB0B0000}"/>
    <hyperlink ref="Q1504" r:id="rId3005" xr:uid="{00000000-0004-0000-0800-0000BC0B0000}"/>
    <hyperlink ref="R1504" r:id="rId3006" xr:uid="{00000000-0004-0000-0800-0000BD0B0000}"/>
    <hyperlink ref="Q1505" r:id="rId3007" xr:uid="{00000000-0004-0000-0800-0000BE0B0000}"/>
    <hyperlink ref="R1505" r:id="rId3008" xr:uid="{00000000-0004-0000-0800-0000BF0B0000}"/>
    <hyperlink ref="Q1506" r:id="rId3009" xr:uid="{00000000-0004-0000-0800-0000C00B0000}"/>
    <hyperlink ref="R1506" r:id="rId3010" xr:uid="{00000000-0004-0000-0800-0000C10B0000}"/>
    <hyperlink ref="Q1507" r:id="rId3011" xr:uid="{00000000-0004-0000-0800-0000C20B0000}"/>
    <hyperlink ref="R1507" r:id="rId3012" xr:uid="{00000000-0004-0000-0800-0000C30B0000}"/>
    <hyperlink ref="Q1508" r:id="rId3013" xr:uid="{00000000-0004-0000-0800-0000C40B0000}"/>
    <hyperlink ref="R1508" r:id="rId3014" xr:uid="{00000000-0004-0000-0800-0000C50B0000}"/>
    <hyperlink ref="Q1509" r:id="rId3015" xr:uid="{00000000-0004-0000-0800-0000C60B0000}"/>
    <hyperlink ref="R1509" r:id="rId3016" xr:uid="{00000000-0004-0000-0800-0000C70B0000}"/>
    <hyperlink ref="Q1510" r:id="rId3017" xr:uid="{00000000-0004-0000-0800-0000C80B0000}"/>
    <hyperlink ref="R1510" r:id="rId3018" xr:uid="{00000000-0004-0000-0800-0000C90B0000}"/>
    <hyperlink ref="Q1511" r:id="rId3019" xr:uid="{00000000-0004-0000-0800-0000CA0B0000}"/>
    <hyperlink ref="R1511" r:id="rId3020" xr:uid="{00000000-0004-0000-0800-0000CB0B0000}"/>
    <hyperlink ref="Q1512" r:id="rId3021" xr:uid="{00000000-0004-0000-0800-0000CC0B0000}"/>
    <hyperlink ref="R1512" r:id="rId3022" xr:uid="{00000000-0004-0000-0800-0000CD0B0000}"/>
    <hyperlink ref="Q1513" r:id="rId3023" xr:uid="{00000000-0004-0000-0800-0000CE0B0000}"/>
    <hyperlink ref="R1513" r:id="rId3024" xr:uid="{00000000-0004-0000-0800-0000CF0B0000}"/>
    <hyperlink ref="Q1514" r:id="rId3025" xr:uid="{00000000-0004-0000-0800-0000D00B0000}"/>
    <hyperlink ref="R1514" r:id="rId3026" xr:uid="{00000000-0004-0000-0800-0000D10B0000}"/>
    <hyperlink ref="Q1515" r:id="rId3027" xr:uid="{00000000-0004-0000-0800-0000D20B0000}"/>
    <hyperlink ref="R1515" r:id="rId3028" xr:uid="{00000000-0004-0000-0800-0000D30B0000}"/>
    <hyperlink ref="Q1516" r:id="rId3029" xr:uid="{00000000-0004-0000-0800-0000D40B0000}"/>
    <hyperlink ref="R1516" r:id="rId3030" xr:uid="{00000000-0004-0000-0800-0000D50B0000}"/>
    <hyperlink ref="Q1517" r:id="rId3031" xr:uid="{00000000-0004-0000-0800-0000D60B0000}"/>
    <hyperlink ref="R1517" r:id="rId3032" xr:uid="{00000000-0004-0000-0800-0000D70B0000}"/>
    <hyperlink ref="Q1518" r:id="rId3033" xr:uid="{00000000-0004-0000-0800-0000D80B0000}"/>
    <hyperlink ref="R1518" r:id="rId3034" xr:uid="{00000000-0004-0000-0800-0000D90B0000}"/>
    <hyperlink ref="Q1519" r:id="rId3035" xr:uid="{00000000-0004-0000-0800-0000DA0B0000}"/>
    <hyperlink ref="R1519" r:id="rId3036" xr:uid="{00000000-0004-0000-0800-0000DB0B0000}"/>
    <hyperlink ref="Q1520" r:id="rId3037" xr:uid="{00000000-0004-0000-0800-0000DC0B0000}"/>
    <hyperlink ref="R1520" r:id="rId3038" xr:uid="{00000000-0004-0000-0800-0000DD0B0000}"/>
    <hyperlink ref="Q1521" r:id="rId3039" xr:uid="{00000000-0004-0000-0800-0000DE0B0000}"/>
    <hyperlink ref="R1521" r:id="rId3040" xr:uid="{00000000-0004-0000-0800-0000DF0B0000}"/>
    <hyperlink ref="Q1522" r:id="rId3041" xr:uid="{00000000-0004-0000-0800-0000E00B0000}"/>
    <hyperlink ref="R1522" r:id="rId3042" xr:uid="{00000000-0004-0000-0800-0000E10B0000}"/>
    <hyperlink ref="Q1523" r:id="rId3043" xr:uid="{00000000-0004-0000-0800-0000E20B0000}"/>
    <hyperlink ref="R1523" r:id="rId3044" xr:uid="{00000000-0004-0000-0800-0000E30B0000}"/>
    <hyperlink ref="Q1524" r:id="rId3045" xr:uid="{00000000-0004-0000-0800-0000E40B0000}"/>
    <hyperlink ref="R1524" r:id="rId3046" xr:uid="{00000000-0004-0000-0800-0000E50B0000}"/>
    <hyperlink ref="Q1525" r:id="rId3047" xr:uid="{00000000-0004-0000-0800-0000E60B0000}"/>
    <hyperlink ref="R1525" r:id="rId3048" xr:uid="{00000000-0004-0000-0800-0000E70B0000}"/>
    <hyperlink ref="Q1526" r:id="rId3049" xr:uid="{00000000-0004-0000-0800-0000E80B0000}"/>
    <hyperlink ref="R1526" r:id="rId3050" xr:uid="{00000000-0004-0000-0800-0000E90B0000}"/>
    <hyperlink ref="Q1527" r:id="rId3051" xr:uid="{00000000-0004-0000-0800-0000EA0B0000}"/>
    <hyperlink ref="R1527" r:id="rId3052" xr:uid="{00000000-0004-0000-0800-0000EB0B0000}"/>
    <hyperlink ref="Q1528" r:id="rId3053" xr:uid="{00000000-0004-0000-0800-0000EC0B0000}"/>
    <hyperlink ref="R1528" r:id="rId3054" xr:uid="{00000000-0004-0000-0800-0000ED0B0000}"/>
    <hyperlink ref="Q1529" r:id="rId3055" xr:uid="{00000000-0004-0000-0800-0000EE0B0000}"/>
    <hyperlink ref="R1529" r:id="rId3056" xr:uid="{00000000-0004-0000-0800-0000EF0B0000}"/>
    <hyperlink ref="Q1530" r:id="rId3057" xr:uid="{00000000-0004-0000-0800-0000F00B0000}"/>
    <hyperlink ref="R1530" r:id="rId3058" xr:uid="{00000000-0004-0000-0800-0000F10B0000}"/>
    <hyperlink ref="Q1531" r:id="rId3059" xr:uid="{00000000-0004-0000-0800-0000F20B0000}"/>
    <hyperlink ref="R1531" r:id="rId3060" xr:uid="{00000000-0004-0000-0800-0000F30B0000}"/>
    <hyperlink ref="Q1532" r:id="rId3061" xr:uid="{00000000-0004-0000-0800-0000F40B0000}"/>
    <hyperlink ref="R1532" r:id="rId3062" xr:uid="{00000000-0004-0000-0800-0000F50B0000}"/>
    <hyperlink ref="Q1533" r:id="rId3063" xr:uid="{00000000-0004-0000-0800-0000F60B0000}"/>
    <hyperlink ref="R1533" r:id="rId3064" xr:uid="{00000000-0004-0000-0800-0000F70B0000}"/>
    <hyperlink ref="Q1534" r:id="rId3065" xr:uid="{00000000-0004-0000-0800-0000F80B0000}"/>
    <hyperlink ref="R1534" r:id="rId3066" xr:uid="{00000000-0004-0000-0800-0000F90B0000}"/>
    <hyperlink ref="Q1535" r:id="rId3067" xr:uid="{00000000-0004-0000-0800-0000FA0B0000}"/>
    <hyperlink ref="R1535" r:id="rId3068" xr:uid="{00000000-0004-0000-0800-0000FB0B0000}"/>
    <hyperlink ref="Q1536" r:id="rId3069" xr:uid="{00000000-0004-0000-0800-0000FC0B0000}"/>
    <hyperlink ref="R1536" r:id="rId3070" xr:uid="{00000000-0004-0000-0800-0000FD0B0000}"/>
    <hyperlink ref="Q1537" r:id="rId3071" xr:uid="{00000000-0004-0000-0800-0000FE0B0000}"/>
    <hyperlink ref="R1537" r:id="rId3072" xr:uid="{00000000-0004-0000-0800-0000FF0B0000}"/>
    <hyperlink ref="Q1538" r:id="rId3073" xr:uid="{00000000-0004-0000-0800-0000000C0000}"/>
    <hyperlink ref="R1538" r:id="rId3074" xr:uid="{00000000-0004-0000-0800-0000010C0000}"/>
    <hyperlink ref="Q1539" r:id="rId3075" xr:uid="{00000000-0004-0000-0800-0000020C0000}"/>
    <hyperlink ref="R1539" r:id="rId3076" xr:uid="{00000000-0004-0000-0800-0000030C0000}"/>
    <hyperlink ref="Q1540" r:id="rId3077" xr:uid="{00000000-0004-0000-0800-0000040C0000}"/>
    <hyperlink ref="R1540" r:id="rId3078" xr:uid="{00000000-0004-0000-0800-0000050C0000}"/>
    <hyperlink ref="Q1541" r:id="rId3079" xr:uid="{00000000-0004-0000-0800-0000060C0000}"/>
    <hyperlink ref="R1541" r:id="rId3080" xr:uid="{00000000-0004-0000-0800-0000070C0000}"/>
    <hyperlink ref="Q1542" r:id="rId3081" xr:uid="{00000000-0004-0000-0800-0000080C0000}"/>
    <hyperlink ref="R1542" r:id="rId3082" xr:uid="{00000000-0004-0000-0800-0000090C0000}"/>
    <hyperlink ref="Q1543" r:id="rId3083" xr:uid="{00000000-0004-0000-0800-00000A0C0000}"/>
    <hyperlink ref="R1543" r:id="rId3084" xr:uid="{00000000-0004-0000-0800-00000B0C0000}"/>
    <hyperlink ref="Q1544" r:id="rId3085" xr:uid="{00000000-0004-0000-0800-00000C0C0000}"/>
    <hyperlink ref="R1544" r:id="rId3086" xr:uid="{00000000-0004-0000-0800-00000D0C0000}"/>
    <hyperlink ref="Q1545" r:id="rId3087" xr:uid="{00000000-0004-0000-0800-00000E0C0000}"/>
    <hyperlink ref="R1545" r:id="rId3088" xr:uid="{00000000-0004-0000-0800-00000F0C0000}"/>
    <hyperlink ref="Q1546" r:id="rId3089" xr:uid="{00000000-0004-0000-0800-0000100C0000}"/>
    <hyperlink ref="R1546" r:id="rId3090" xr:uid="{00000000-0004-0000-0800-0000110C0000}"/>
    <hyperlink ref="Q1547" r:id="rId3091" xr:uid="{00000000-0004-0000-0800-0000120C0000}"/>
    <hyperlink ref="R1547" r:id="rId3092" xr:uid="{00000000-0004-0000-0800-0000130C0000}"/>
    <hyperlink ref="Q1548" r:id="rId3093" xr:uid="{00000000-0004-0000-0800-0000140C0000}"/>
    <hyperlink ref="R1548" r:id="rId3094" xr:uid="{00000000-0004-0000-0800-0000150C0000}"/>
    <hyperlink ref="Q1549" r:id="rId3095" xr:uid="{00000000-0004-0000-0800-0000160C0000}"/>
    <hyperlink ref="R1549" r:id="rId3096" xr:uid="{00000000-0004-0000-0800-0000170C0000}"/>
    <hyperlink ref="Q1550" r:id="rId3097" xr:uid="{00000000-0004-0000-0800-0000180C0000}"/>
    <hyperlink ref="R1550" r:id="rId3098" xr:uid="{00000000-0004-0000-0800-0000190C0000}"/>
    <hyperlink ref="Q1551" r:id="rId3099" xr:uid="{00000000-0004-0000-0800-00001A0C0000}"/>
    <hyperlink ref="R1551" r:id="rId3100" xr:uid="{00000000-0004-0000-0800-00001B0C0000}"/>
    <hyperlink ref="Q1552" r:id="rId3101" xr:uid="{00000000-0004-0000-0800-00001C0C0000}"/>
    <hyperlink ref="R1552" r:id="rId3102" xr:uid="{00000000-0004-0000-0800-00001D0C0000}"/>
    <hyperlink ref="Q1553" r:id="rId3103" xr:uid="{00000000-0004-0000-0800-00001E0C0000}"/>
    <hyperlink ref="R1553" r:id="rId3104" xr:uid="{00000000-0004-0000-0800-00001F0C0000}"/>
    <hyperlink ref="Q1554" r:id="rId3105" xr:uid="{00000000-0004-0000-0800-0000200C0000}"/>
    <hyperlink ref="R1554" r:id="rId3106" xr:uid="{00000000-0004-0000-0800-0000210C0000}"/>
    <hyperlink ref="Q1555" r:id="rId3107" xr:uid="{00000000-0004-0000-0800-0000220C0000}"/>
    <hyperlink ref="R1555" r:id="rId3108" xr:uid="{00000000-0004-0000-0800-0000230C0000}"/>
    <hyperlink ref="Q1556" r:id="rId3109" xr:uid="{00000000-0004-0000-0800-0000240C0000}"/>
    <hyperlink ref="R1556" r:id="rId3110" xr:uid="{00000000-0004-0000-0800-0000250C0000}"/>
    <hyperlink ref="Q1557" r:id="rId3111" xr:uid="{00000000-0004-0000-0800-0000260C0000}"/>
    <hyperlink ref="R1557" r:id="rId3112" xr:uid="{00000000-0004-0000-0800-0000270C0000}"/>
    <hyperlink ref="Q1558" r:id="rId3113" xr:uid="{00000000-0004-0000-0800-0000280C0000}"/>
    <hyperlink ref="R1558" r:id="rId3114" xr:uid="{00000000-0004-0000-0800-0000290C0000}"/>
    <hyperlink ref="Q1559" r:id="rId3115" xr:uid="{00000000-0004-0000-0800-00002A0C0000}"/>
    <hyperlink ref="R1559" r:id="rId3116" xr:uid="{00000000-0004-0000-0800-00002B0C0000}"/>
    <hyperlink ref="Q1560" r:id="rId3117" xr:uid="{00000000-0004-0000-0800-00002C0C0000}"/>
    <hyperlink ref="R1560" r:id="rId3118" xr:uid="{00000000-0004-0000-0800-00002D0C0000}"/>
    <hyperlink ref="Q1561" r:id="rId3119" xr:uid="{00000000-0004-0000-0800-00002E0C0000}"/>
    <hyperlink ref="R1561" r:id="rId3120" xr:uid="{00000000-0004-0000-0800-00002F0C0000}"/>
    <hyperlink ref="Q1562" r:id="rId3121" xr:uid="{00000000-0004-0000-0800-0000300C0000}"/>
    <hyperlink ref="R1562" r:id="rId3122" xr:uid="{00000000-0004-0000-0800-0000310C0000}"/>
    <hyperlink ref="Q1563" r:id="rId3123" xr:uid="{00000000-0004-0000-0800-0000320C0000}"/>
    <hyperlink ref="R1563" r:id="rId3124" xr:uid="{00000000-0004-0000-0800-0000330C0000}"/>
    <hyperlink ref="Q1564" r:id="rId3125" xr:uid="{00000000-0004-0000-0800-0000340C0000}"/>
    <hyperlink ref="R1564" r:id="rId3126" xr:uid="{00000000-0004-0000-0800-0000350C0000}"/>
    <hyperlink ref="Q1565" r:id="rId3127" xr:uid="{00000000-0004-0000-0800-0000360C0000}"/>
    <hyperlink ref="R1565" r:id="rId3128" xr:uid="{00000000-0004-0000-0800-0000370C0000}"/>
    <hyperlink ref="Q1566" r:id="rId3129" xr:uid="{00000000-0004-0000-0800-0000380C0000}"/>
    <hyperlink ref="R1566" r:id="rId3130" xr:uid="{00000000-0004-0000-0800-0000390C0000}"/>
    <hyperlink ref="Q1567" r:id="rId3131" xr:uid="{00000000-0004-0000-0800-00003A0C0000}"/>
    <hyperlink ref="R1567" r:id="rId3132" xr:uid="{00000000-0004-0000-0800-00003B0C0000}"/>
    <hyperlink ref="Q1568" r:id="rId3133" xr:uid="{00000000-0004-0000-0800-00003C0C0000}"/>
    <hyperlink ref="R1568" r:id="rId3134" xr:uid="{00000000-0004-0000-0800-00003D0C0000}"/>
    <hyperlink ref="Q1569" r:id="rId3135" xr:uid="{00000000-0004-0000-0800-00003E0C0000}"/>
    <hyperlink ref="R1569" r:id="rId3136" xr:uid="{00000000-0004-0000-0800-00003F0C0000}"/>
    <hyperlink ref="Q1570" r:id="rId3137" xr:uid="{00000000-0004-0000-0800-0000400C0000}"/>
    <hyperlink ref="R1570" r:id="rId3138" xr:uid="{00000000-0004-0000-0800-0000410C0000}"/>
    <hyperlink ref="Q1571" r:id="rId3139" xr:uid="{00000000-0004-0000-0800-0000420C0000}"/>
    <hyperlink ref="R1571" r:id="rId3140" xr:uid="{00000000-0004-0000-0800-0000430C0000}"/>
    <hyperlink ref="Q1572" r:id="rId3141" xr:uid="{00000000-0004-0000-0800-0000440C0000}"/>
    <hyperlink ref="R1572" r:id="rId3142" xr:uid="{00000000-0004-0000-0800-0000450C0000}"/>
    <hyperlink ref="Q1573" r:id="rId3143" xr:uid="{00000000-0004-0000-0800-0000460C0000}"/>
    <hyperlink ref="R1573" r:id="rId3144" xr:uid="{00000000-0004-0000-0800-0000470C0000}"/>
    <hyperlink ref="Q1574" r:id="rId3145" xr:uid="{00000000-0004-0000-0800-0000480C0000}"/>
    <hyperlink ref="R1574" r:id="rId3146" xr:uid="{00000000-0004-0000-0800-0000490C0000}"/>
    <hyperlink ref="Q1575" r:id="rId3147" xr:uid="{00000000-0004-0000-0800-00004A0C0000}"/>
    <hyperlink ref="R1575" r:id="rId3148" xr:uid="{00000000-0004-0000-0800-00004B0C0000}"/>
    <hyperlink ref="Q1576" r:id="rId3149" xr:uid="{00000000-0004-0000-0800-00004C0C0000}"/>
    <hyperlink ref="R1576" r:id="rId3150" xr:uid="{00000000-0004-0000-0800-00004D0C0000}"/>
    <hyperlink ref="Q1577" r:id="rId3151" xr:uid="{00000000-0004-0000-0800-00004E0C0000}"/>
    <hyperlink ref="R1577" r:id="rId3152" xr:uid="{00000000-0004-0000-0800-00004F0C0000}"/>
    <hyperlink ref="Q1578" r:id="rId3153" xr:uid="{00000000-0004-0000-0800-0000500C0000}"/>
    <hyperlink ref="R1578" r:id="rId3154" xr:uid="{00000000-0004-0000-0800-0000510C0000}"/>
    <hyperlink ref="Q1579" r:id="rId3155" xr:uid="{00000000-0004-0000-0800-0000520C0000}"/>
    <hyperlink ref="R1579" r:id="rId3156" xr:uid="{00000000-0004-0000-0800-0000530C0000}"/>
    <hyperlink ref="Q1580" r:id="rId3157" xr:uid="{00000000-0004-0000-0800-0000540C0000}"/>
    <hyperlink ref="R1580" r:id="rId3158" xr:uid="{00000000-0004-0000-0800-0000550C0000}"/>
    <hyperlink ref="Q1581" r:id="rId3159" xr:uid="{00000000-0004-0000-0800-0000560C0000}"/>
    <hyperlink ref="R1581" r:id="rId3160" xr:uid="{00000000-0004-0000-0800-0000570C0000}"/>
    <hyperlink ref="Q1582" r:id="rId3161" xr:uid="{00000000-0004-0000-0800-0000580C0000}"/>
    <hyperlink ref="R1582" r:id="rId3162" xr:uid="{00000000-0004-0000-0800-0000590C0000}"/>
    <hyperlink ref="Q1583" r:id="rId3163" xr:uid="{00000000-0004-0000-0800-00005A0C0000}"/>
    <hyperlink ref="R1583" r:id="rId3164" xr:uid="{00000000-0004-0000-0800-00005B0C0000}"/>
    <hyperlink ref="Q1584" r:id="rId3165" xr:uid="{00000000-0004-0000-0800-00005C0C0000}"/>
    <hyperlink ref="R1584" r:id="rId3166" xr:uid="{00000000-0004-0000-0800-00005D0C0000}"/>
    <hyperlink ref="Q1585" r:id="rId3167" xr:uid="{00000000-0004-0000-0800-00005E0C0000}"/>
    <hyperlink ref="R1585" r:id="rId3168" xr:uid="{00000000-0004-0000-0800-00005F0C0000}"/>
    <hyperlink ref="Q1586" r:id="rId3169" xr:uid="{00000000-0004-0000-0800-0000600C0000}"/>
    <hyperlink ref="R1586" r:id="rId3170" xr:uid="{00000000-0004-0000-0800-0000610C0000}"/>
    <hyperlink ref="Q1587" r:id="rId3171" xr:uid="{00000000-0004-0000-0800-0000620C0000}"/>
    <hyperlink ref="R1587" r:id="rId3172" xr:uid="{00000000-0004-0000-0800-0000630C0000}"/>
    <hyperlink ref="Q1588" r:id="rId3173" xr:uid="{00000000-0004-0000-0800-0000640C0000}"/>
    <hyperlink ref="R1588" r:id="rId3174" xr:uid="{00000000-0004-0000-0800-0000650C0000}"/>
    <hyperlink ref="Q1589" r:id="rId3175" xr:uid="{00000000-0004-0000-0800-0000660C0000}"/>
    <hyperlink ref="R1589" r:id="rId3176" xr:uid="{00000000-0004-0000-0800-0000670C0000}"/>
    <hyperlink ref="Q1590" r:id="rId3177" xr:uid="{00000000-0004-0000-0800-0000680C0000}"/>
    <hyperlink ref="R1590" r:id="rId3178" xr:uid="{00000000-0004-0000-0800-0000690C0000}"/>
    <hyperlink ref="Q1591" r:id="rId3179" xr:uid="{00000000-0004-0000-0800-00006A0C0000}"/>
    <hyperlink ref="R1591" r:id="rId3180" xr:uid="{00000000-0004-0000-0800-00006B0C0000}"/>
    <hyperlink ref="Q1592" r:id="rId3181" xr:uid="{00000000-0004-0000-0800-00006C0C0000}"/>
    <hyperlink ref="R1592" r:id="rId3182" xr:uid="{00000000-0004-0000-0800-00006D0C0000}"/>
    <hyperlink ref="Q1593" r:id="rId3183" xr:uid="{00000000-0004-0000-0800-00006E0C0000}"/>
    <hyperlink ref="R1593" r:id="rId3184" xr:uid="{00000000-0004-0000-0800-00006F0C0000}"/>
    <hyperlink ref="Q1594" r:id="rId3185" xr:uid="{00000000-0004-0000-0800-0000700C0000}"/>
    <hyperlink ref="R1594" r:id="rId3186" xr:uid="{00000000-0004-0000-0800-0000710C0000}"/>
    <hyperlink ref="Q1595" r:id="rId3187" xr:uid="{00000000-0004-0000-0800-0000720C0000}"/>
    <hyperlink ref="R1595" r:id="rId3188" xr:uid="{00000000-0004-0000-0800-0000730C0000}"/>
    <hyperlink ref="Q1596" r:id="rId3189" xr:uid="{00000000-0004-0000-0800-0000740C0000}"/>
    <hyperlink ref="R1596" r:id="rId3190" xr:uid="{00000000-0004-0000-0800-0000750C0000}"/>
    <hyperlink ref="Q1597" r:id="rId3191" xr:uid="{00000000-0004-0000-0800-0000760C0000}"/>
    <hyperlink ref="R1597" r:id="rId3192" xr:uid="{00000000-0004-0000-0800-0000770C0000}"/>
    <hyperlink ref="Q1598" r:id="rId3193" xr:uid="{00000000-0004-0000-0800-0000780C0000}"/>
    <hyperlink ref="R1598" r:id="rId3194" xr:uid="{00000000-0004-0000-0800-0000790C0000}"/>
    <hyperlink ref="Q1599" r:id="rId3195" xr:uid="{00000000-0004-0000-0800-00007A0C0000}"/>
    <hyperlink ref="R1599" r:id="rId3196" xr:uid="{00000000-0004-0000-0800-00007B0C0000}"/>
    <hyperlink ref="Q1600" r:id="rId3197" xr:uid="{00000000-0004-0000-0800-00007C0C0000}"/>
    <hyperlink ref="R1600" r:id="rId3198" xr:uid="{00000000-0004-0000-0800-00007D0C0000}"/>
    <hyperlink ref="Q1601" r:id="rId3199" xr:uid="{00000000-0004-0000-0800-00007E0C0000}"/>
    <hyperlink ref="R1601" r:id="rId3200" xr:uid="{00000000-0004-0000-0800-00007F0C0000}"/>
    <hyperlink ref="Q1602" r:id="rId3201" xr:uid="{00000000-0004-0000-0800-0000800C0000}"/>
    <hyperlink ref="R1602" r:id="rId3202" xr:uid="{00000000-0004-0000-0800-0000810C0000}"/>
    <hyperlink ref="Q1603" r:id="rId3203" xr:uid="{00000000-0004-0000-0800-0000820C0000}"/>
    <hyperlink ref="R1603" r:id="rId3204" xr:uid="{00000000-0004-0000-0800-0000830C0000}"/>
    <hyperlink ref="Q1604" r:id="rId3205" xr:uid="{00000000-0004-0000-0800-0000840C0000}"/>
    <hyperlink ref="R1604" r:id="rId3206" xr:uid="{00000000-0004-0000-0800-0000850C0000}"/>
    <hyperlink ref="Q1605" r:id="rId3207" xr:uid="{00000000-0004-0000-0800-0000860C0000}"/>
    <hyperlink ref="R1605" r:id="rId3208" xr:uid="{00000000-0004-0000-0800-0000870C0000}"/>
    <hyperlink ref="Q1606" r:id="rId3209" xr:uid="{00000000-0004-0000-0800-0000880C0000}"/>
    <hyperlink ref="R1606" r:id="rId3210" xr:uid="{00000000-0004-0000-0800-0000890C0000}"/>
    <hyperlink ref="Q1607" r:id="rId3211" xr:uid="{00000000-0004-0000-0800-00008A0C0000}"/>
    <hyperlink ref="R1607" r:id="rId3212" xr:uid="{00000000-0004-0000-0800-00008B0C0000}"/>
    <hyperlink ref="Q1608" r:id="rId3213" xr:uid="{00000000-0004-0000-0800-00008C0C0000}"/>
    <hyperlink ref="R1608" r:id="rId3214" xr:uid="{00000000-0004-0000-0800-00008D0C0000}"/>
    <hyperlink ref="Q1609" r:id="rId3215" xr:uid="{00000000-0004-0000-0800-00008E0C0000}"/>
    <hyperlink ref="R1609" r:id="rId3216" xr:uid="{00000000-0004-0000-0800-00008F0C0000}"/>
    <hyperlink ref="Q1610" r:id="rId3217" xr:uid="{00000000-0004-0000-0800-0000900C0000}"/>
    <hyperlink ref="R1610" r:id="rId3218" xr:uid="{00000000-0004-0000-0800-0000910C0000}"/>
    <hyperlink ref="Q1611" r:id="rId3219" xr:uid="{00000000-0004-0000-0800-0000920C0000}"/>
    <hyperlink ref="R1611" r:id="rId3220" xr:uid="{00000000-0004-0000-0800-0000930C0000}"/>
    <hyperlink ref="Q1612" r:id="rId3221" xr:uid="{00000000-0004-0000-0800-0000940C0000}"/>
    <hyperlink ref="R1612" r:id="rId3222" xr:uid="{00000000-0004-0000-0800-0000950C0000}"/>
    <hyperlink ref="Q1613" r:id="rId3223" xr:uid="{00000000-0004-0000-0800-0000960C0000}"/>
    <hyperlink ref="R1613" r:id="rId3224" xr:uid="{00000000-0004-0000-0800-0000970C0000}"/>
    <hyperlink ref="Q1614" r:id="rId3225" xr:uid="{00000000-0004-0000-0800-0000980C0000}"/>
    <hyperlink ref="R1614" r:id="rId3226" xr:uid="{00000000-0004-0000-0800-0000990C0000}"/>
    <hyperlink ref="Q1615" r:id="rId3227" xr:uid="{00000000-0004-0000-0800-00009A0C0000}"/>
    <hyperlink ref="R1615" r:id="rId3228" xr:uid="{00000000-0004-0000-0800-00009B0C0000}"/>
    <hyperlink ref="Q1616" r:id="rId3229" xr:uid="{00000000-0004-0000-0800-00009C0C0000}"/>
    <hyperlink ref="R1616" r:id="rId3230" xr:uid="{00000000-0004-0000-0800-00009D0C0000}"/>
    <hyperlink ref="Q1617" r:id="rId3231" xr:uid="{00000000-0004-0000-0800-00009E0C0000}"/>
    <hyperlink ref="R1617" r:id="rId3232" xr:uid="{00000000-0004-0000-0800-00009F0C0000}"/>
    <hyperlink ref="Q1618" r:id="rId3233" xr:uid="{00000000-0004-0000-0800-0000A00C0000}"/>
    <hyperlink ref="R1618" r:id="rId3234" xr:uid="{00000000-0004-0000-0800-0000A10C0000}"/>
    <hyperlink ref="Q1619" r:id="rId3235" xr:uid="{00000000-0004-0000-0800-0000A20C0000}"/>
    <hyperlink ref="R1619" r:id="rId3236" xr:uid="{00000000-0004-0000-0800-0000A30C0000}"/>
    <hyperlink ref="Q1620" r:id="rId3237" xr:uid="{00000000-0004-0000-0800-0000A40C0000}"/>
    <hyperlink ref="R1620" r:id="rId3238" xr:uid="{00000000-0004-0000-0800-0000A50C0000}"/>
    <hyperlink ref="Q1621" r:id="rId3239" xr:uid="{00000000-0004-0000-0800-0000A60C0000}"/>
    <hyperlink ref="R1621" r:id="rId3240" xr:uid="{00000000-0004-0000-0800-0000A70C0000}"/>
    <hyperlink ref="Q1622" r:id="rId3241" xr:uid="{00000000-0004-0000-0800-0000A80C0000}"/>
    <hyperlink ref="R1622" r:id="rId3242" xr:uid="{00000000-0004-0000-0800-0000A90C0000}"/>
    <hyperlink ref="Q1623" r:id="rId3243" xr:uid="{00000000-0004-0000-0800-0000AA0C0000}"/>
    <hyperlink ref="R1623" r:id="rId3244" xr:uid="{00000000-0004-0000-0800-0000AB0C0000}"/>
    <hyperlink ref="Q1624" r:id="rId3245" xr:uid="{00000000-0004-0000-0800-0000AC0C0000}"/>
    <hyperlink ref="R1624" r:id="rId3246" xr:uid="{00000000-0004-0000-0800-0000AD0C0000}"/>
    <hyperlink ref="Q1625" r:id="rId3247" xr:uid="{00000000-0004-0000-0800-0000AE0C0000}"/>
    <hyperlink ref="R1625" r:id="rId3248" xr:uid="{00000000-0004-0000-0800-0000AF0C0000}"/>
    <hyperlink ref="Q1626" r:id="rId3249" xr:uid="{00000000-0004-0000-0800-0000B00C0000}"/>
    <hyperlink ref="R1626" r:id="rId3250" xr:uid="{00000000-0004-0000-0800-0000B10C0000}"/>
    <hyperlink ref="Q1627" r:id="rId3251" xr:uid="{00000000-0004-0000-0800-0000B20C0000}"/>
    <hyperlink ref="R1627" r:id="rId3252" xr:uid="{00000000-0004-0000-0800-0000B30C0000}"/>
    <hyperlink ref="Q1628" r:id="rId3253" xr:uid="{00000000-0004-0000-0800-0000B40C0000}"/>
    <hyperlink ref="R1628" r:id="rId3254" xr:uid="{00000000-0004-0000-0800-0000B50C0000}"/>
    <hyperlink ref="Q1629" r:id="rId3255" xr:uid="{00000000-0004-0000-0800-0000B60C0000}"/>
    <hyperlink ref="R1629" r:id="rId3256" xr:uid="{00000000-0004-0000-0800-0000B70C0000}"/>
    <hyperlink ref="Q1630" r:id="rId3257" xr:uid="{00000000-0004-0000-0800-0000B80C0000}"/>
    <hyperlink ref="R1630" r:id="rId3258" xr:uid="{00000000-0004-0000-0800-0000B90C0000}"/>
    <hyperlink ref="Q1631" r:id="rId3259" xr:uid="{00000000-0004-0000-0800-0000BA0C0000}"/>
    <hyperlink ref="R1631" r:id="rId3260" xr:uid="{00000000-0004-0000-0800-0000BB0C0000}"/>
    <hyperlink ref="Q1632" r:id="rId3261" xr:uid="{00000000-0004-0000-0800-0000BC0C0000}"/>
    <hyperlink ref="R1632" r:id="rId3262" xr:uid="{00000000-0004-0000-0800-0000BD0C0000}"/>
    <hyperlink ref="Q1633" r:id="rId3263" xr:uid="{00000000-0004-0000-0800-0000BE0C0000}"/>
    <hyperlink ref="R1633" r:id="rId3264" xr:uid="{00000000-0004-0000-0800-0000BF0C0000}"/>
    <hyperlink ref="Q1634" r:id="rId3265" xr:uid="{00000000-0004-0000-0800-0000C00C0000}"/>
    <hyperlink ref="R1634" r:id="rId3266" xr:uid="{00000000-0004-0000-0800-0000C10C0000}"/>
    <hyperlink ref="Q1635" r:id="rId3267" xr:uid="{00000000-0004-0000-0800-0000C20C0000}"/>
    <hyperlink ref="R1635" r:id="rId3268" xr:uid="{00000000-0004-0000-0800-0000C30C0000}"/>
    <hyperlink ref="Q1636" r:id="rId3269" xr:uid="{00000000-0004-0000-0800-0000C40C0000}"/>
    <hyperlink ref="R1636" r:id="rId3270" xr:uid="{00000000-0004-0000-0800-0000C50C0000}"/>
    <hyperlink ref="Q1637" r:id="rId3271" xr:uid="{00000000-0004-0000-0800-0000C60C0000}"/>
    <hyperlink ref="R1637" r:id="rId3272" xr:uid="{00000000-0004-0000-0800-0000C70C0000}"/>
    <hyperlink ref="Q1638" r:id="rId3273" xr:uid="{00000000-0004-0000-0800-0000C80C0000}"/>
    <hyperlink ref="R1638" r:id="rId3274" xr:uid="{00000000-0004-0000-0800-0000C90C0000}"/>
    <hyperlink ref="Q1639" r:id="rId3275" xr:uid="{00000000-0004-0000-0800-0000CA0C0000}"/>
    <hyperlink ref="R1639" r:id="rId3276" xr:uid="{00000000-0004-0000-0800-0000CB0C0000}"/>
    <hyperlink ref="Q1640" r:id="rId3277" xr:uid="{00000000-0004-0000-0800-0000CC0C0000}"/>
    <hyperlink ref="R1640" r:id="rId3278" xr:uid="{00000000-0004-0000-0800-0000CD0C0000}"/>
    <hyperlink ref="Q1641" r:id="rId3279" xr:uid="{00000000-0004-0000-0800-0000CE0C0000}"/>
    <hyperlink ref="R1641" r:id="rId3280" xr:uid="{00000000-0004-0000-0800-0000CF0C0000}"/>
    <hyperlink ref="Q1642" r:id="rId3281" xr:uid="{00000000-0004-0000-0800-0000D00C0000}"/>
    <hyperlink ref="R1642" r:id="rId3282" xr:uid="{00000000-0004-0000-0800-0000D10C0000}"/>
    <hyperlink ref="Q1643" r:id="rId3283" xr:uid="{00000000-0004-0000-0800-0000D20C0000}"/>
    <hyperlink ref="R1643" r:id="rId3284" xr:uid="{00000000-0004-0000-0800-0000D30C0000}"/>
    <hyperlink ref="Q1644" r:id="rId3285" xr:uid="{00000000-0004-0000-0800-0000D40C0000}"/>
    <hyperlink ref="R1644" r:id="rId3286" xr:uid="{00000000-0004-0000-0800-0000D50C0000}"/>
    <hyperlink ref="Q1645" r:id="rId3287" xr:uid="{00000000-0004-0000-0800-0000D60C0000}"/>
    <hyperlink ref="R1645" r:id="rId3288" xr:uid="{00000000-0004-0000-0800-0000D70C0000}"/>
    <hyperlink ref="Q1646" r:id="rId3289" xr:uid="{00000000-0004-0000-0800-0000D80C0000}"/>
    <hyperlink ref="R1646" r:id="rId3290" xr:uid="{00000000-0004-0000-0800-0000D90C0000}"/>
    <hyperlink ref="Q1647" r:id="rId3291" xr:uid="{00000000-0004-0000-0800-0000DA0C0000}"/>
    <hyperlink ref="R1647" r:id="rId3292" xr:uid="{00000000-0004-0000-0800-0000DB0C0000}"/>
    <hyperlink ref="Q1648" r:id="rId3293" xr:uid="{00000000-0004-0000-0800-0000DC0C0000}"/>
    <hyperlink ref="R1648" r:id="rId3294" xr:uid="{00000000-0004-0000-0800-0000DD0C0000}"/>
    <hyperlink ref="Q1649" r:id="rId3295" xr:uid="{00000000-0004-0000-0800-0000DE0C0000}"/>
    <hyperlink ref="R1649" r:id="rId3296" xr:uid="{00000000-0004-0000-0800-0000DF0C0000}"/>
    <hyperlink ref="Q1650" r:id="rId3297" xr:uid="{00000000-0004-0000-0800-0000E00C0000}"/>
    <hyperlink ref="R1650" r:id="rId3298" xr:uid="{00000000-0004-0000-0800-0000E10C0000}"/>
    <hyperlink ref="Q1651" r:id="rId3299" xr:uid="{00000000-0004-0000-0800-0000E20C0000}"/>
    <hyperlink ref="R1651" r:id="rId3300" xr:uid="{00000000-0004-0000-0800-0000E30C0000}"/>
    <hyperlink ref="Q1652" r:id="rId3301" xr:uid="{00000000-0004-0000-0800-0000E40C0000}"/>
    <hyperlink ref="R1652" r:id="rId3302" xr:uid="{00000000-0004-0000-0800-0000E50C0000}"/>
    <hyperlink ref="Q1653" r:id="rId3303" xr:uid="{00000000-0004-0000-0800-0000E60C0000}"/>
    <hyperlink ref="R1653" r:id="rId3304" xr:uid="{00000000-0004-0000-0800-0000E70C0000}"/>
    <hyperlink ref="Q1654" r:id="rId3305" xr:uid="{00000000-0004-0000-0800-0000E80C0000}"/>
    <hyperlink ref="R1654" r:id="rId3306" xr:uid="{00000000-0004-0000-0800-0000E90C0000}"/>
    <hyperlink ref="Q1655" r:id="rId3307" xr:uid="{00000000-0004-0000-0800-0000EA0C0000}"/>
    <hyperlink ref="R1655" r:id="rId3308" xr:uid="{00000000-0004-0000-0800-0000EB0C0000}"/>
    <hyperlink ref="Q1656" r:id="rId3309" xr:uid="{00000000-0004-0000-0800-0000EC0C0000}"/>
    <hyperlink ref="R1656" r:id="rId3310" xr:uid="{00000000-0004-0000-0800-0000ED0C0000}"/>
    <hyperlink ref="Q1657" r:id="rId3311" xr:uid="{00000000-0004-0000-0800-0000EE0C0000}"/>
    <hyperlink ref="R1657" r:id="rId3312" xr:uid="{00000000-0004-0000-0800-0000EF0C0000}"/>
    <hyperlink ref="Q1658" r:id="rId3313" xr:uid="{00000000-0004-0000-0800-0000F00C0000}"/>
    <hyperlink ref="R1658" r:id="rId3314" xr:uid="{00000000-0004-0000-0800-0000F10C0000}"/>
    <hyperlink ref="Q1659" r:id="rId3315" xr:uid="{00000000-0004-0000-0800-0000F20C0000}"/>
    <hyperlink ref="R1659" r:id="rId3316" xr:uid="{00000000-0004-0000-0800-0000F30C0000}"/>
    <hyperlink ref="Q1660" r:id="rId3317" xr:uid="{00000000-0004-0000-0800-0000F40C0000}"/>
    <hyperlink ref="R1660" r:id="rId3318" xr:uid="{00000000-0004-0000-0800-0000F50C0000}"/>
    <hyperlink ref="Q1661" r:id="rId3319" xr:uid="{00000000-0004-0000-0800-0000F60C0000}"/>
    <hyperlink ref="R1661" r:id="rId3320" xr:uid="{00000000-0004-0000-0800-0000F70C0000}"/>
    <hyperlink ref="Q1662" r:id="rId3321" xr:uid="{00000000-0004-0000-0800-0000F80C0000}"/>
    <hyperlink ref="R1662" r:id="rId3322" xr:uid="{00000000-0004-0000-0800-0000F90C0000}"/>
    <hyperlink ref="Q1663" r:id="rId3323" xr:uid="{00000000-0004-0000-0800-0000FA0C0000}"/>
    <hyperlink ref="R1663" r:id="rId3324" xr:uid="{00000000-0004-0000-0800-0000FB0C0000}"/>
    <hyperlink ref="Q1664" r:id="rId3325" xr:uid="{00000000-0004-0000-0800-0000FC0C0000}"/>
    <hyperlink ref="R1664" r:id="rId3326" xr:uid="{00000000-0004-0000-0800-0000FD0C0000}"/>
    <hyperlink ref="Q1665" r:id="rId3327" xr:uid="{00000000-0004-0000-0800-0000FE0C0000}"/>
    <hyperlink ref="R1665" r:id="rId3328" xr:uid="{00000000-0004-0000-0800-0000FF0C0000}"/>
    <hyperlink ref="Q1666" r:id="rId3329" xr:uid="{00000000-0004-0000-0800-0000000D0000}"/>
    <hyperlink ref="R1666" r:id="rId3330" xr:uid="{00000000-0004-0000-0800-0000010D0000}"/>
    <hyperlink ref="Q1667" r:id="rId3331" xr:uid="{00000000-0004-0000-0800-0000020D0000}"/>
    <hyperlink ref="R1667" r:id="rId3332" xr:uid="{00000000-0004-0000-0800-0000030D0000}"/>
    <hyperlink ref="Q1668" r:id="rId3333" xr:uid="{00000000-0004-0000-0800-0000040D0000}"/>
    <hyperlink ref="R1668" r:id="rId3334" xr:uid="{00000000-0004-0000-0800-0000050D0000}"/>
    <hyperlink ref="Q1669" r:id="rId3335" xr:uid="{00000000-0004-0000-0800-0000060D0000}"/>
    <hyperlink ref="R1669" r:id="rId3336" xr:uid="{00000000-0004-0000-0800-0000070D0000}"/>
    <hyperlink ref="Q1670" r:id="rId3337" xr:uid="{00000000-0004-0000-0800-0000080D0000}"/>
    <hyperlink ref="R1670" r:id="rId3338" xr:uid="{00000000-0004-0000-0800-0000090D0000}"/>
    <hyperlink ref="Q1671" r:id="rId3339" xr:uid="{00000000-0004-0000-0800-00000A0D0000}"/>
    <hyperlink ref="R1671" r:id="rId3340" xr:uid="{00000000-0004-0000-0800-00000B0D0000}"/>
    <hyperlink ref="Q1672" r:id="rId3341" xr:uid="{00000000-0004-0000-0800-00000C0D0000}"/>
    <hyperlink ref="R1672" r:id="rId3342" xr:uid="{00000000-0004-0000-0800-00000D0D0000}"/>
    <hyperlink ref="Q1673" r:id="rId3343" xr:uid="{00000000-0004-0000-0800-00000E0D0000}"/>
    <hyperlink ref="R1673" r:id="rId3344" xr:uid="{00000000-0004-0000-0800-00000F0D0000}"/>
    <hyperlink ref="Q1674" r:id="rId3345" xr:uid="{00000000-0004-0000-0800-0000100D0000}"/>
    <hyperlink ref="R1674" r:id="rId3346" xr:uid="{00000000-0004-0000-0800-0000110D0000}"/>
    <hyperlink ref="Q1675" r:id="rId3347" xr:uid="{00000000-0004-0000-0800-0000120D0000}"/>
    <hyperlink ref="R1675" r:id="rId3348" xr:uid="{00000000-0004-0000-0800-0000130D0000}"/>
    <hyperlink ref="Q1676" r:id="rId3349" xr:uid="{00000000-0004-0000-0800-0000140D0000}"/>
    <hyperlink ref="R1676" r:id="rId3350" xr:uid="{00000000-0004-0000-0800-0000150D0000}"/>
    <hyperlink ref="Q1677" r:id="rId3351" xr:uid="{00000000-0004-0000-0800-0000160D0000}"/>
    <hyperlink ref="R1677" r:id="rId3352" xr:uid="{00000000-0004-0000-0800-0000170D0000}"/>
    <hyperlink ref="Q1678" r:id="rId3353" xr:uid="{00000000-0004-0000-0800-0000180D0000}"/>
    <hyperlink ref="R1678" r:id="rId3354" xr:uid="{00000000-0004-0000-0800-0000190D0000}"/>
    <hyperlink ref="Q1679" r:id="rId3355" xr:uid="{00000000-0004-0000-0800-00001A0D0000}"/>
    <hyperlink ref="R1679" r:id="rId3356" xr:uid="{00000000-0004-0000-0800-00001B0D0000}"/>
    <hyperlink ref="Q1680" r:id="rId3357" xr:uid="{00000000-0004-0000-0800-00001C0D0000}"/>
    <hyperlink ref="R1680" r:id="rId3358" xr:uid="{00000000-0004-0000-0800-00001D0D0000}"/>
    <hyperlink ref="Q1681" r:id="rId3359" xr:uid="{00000000-0004-0000-0800-00001E0D0000}"/>
    <hyperlink ref="R1681" r:id="rId3360" xr:uid="{00000000-0004-0000-0800-00001F0D0000}"/>
    <hyperlink ref="Q1682" r:id="rId3361" xr:uid="{00000000-0004-0000-0800-0000200D0000}"/>
    <hyperlink ref="R1682" r:id="rId3362" xr:uid="{00000000-0004-0000-0800-0000210D0000}"/>
    <hyperlink ref="Q1683" r:id="rId3363" xr:uid="{00000000-0004-0000-0800-0000220D0000}"/>
    <hyperlink ref="R1683" r:id="rId3364" xr:uid="{00000000-0004-0000-0800-0000230D0000}"/>
    <hyperlink ref="Q1684" r:id="rId3365" xr:uid="{00000000-0004-0000-0800-0000240D0000}"/>
    <hyperlink ref="R1684" r:id="rId3366" xr:uid="{00000000-0004-0000-0800-0000250D0000}"/>
    <hyperlink ref="Q1685" r:id="rId3367" xr:uid="{00000000-0004-0000-0800-0000260D0000}"/>
    <hyperlink ref="R1685" r:id="rId3368" xr:uid="{00000000-0004-0000-0800-0000270D0000}"/>
    <hyperlink ref="Q1686" r:id="rId3369" xr:uid="{00000000-0004-0000-0800-0000280D0000}"/>
    <hyperlink ref="R1686" r:id="rId3370" xr:uid="{00000000-0004-0000-0800-0000290D0000}"/>
    <hyperlink ref="Q1687" r:id="rId3371" xr:uid="{00000000-0004-0000-0800-00002A0D0000}"/>
    <hyperlink ref="R1687" r:id="rId3372" xr:uid="{00000000-0004-0000-0800-00002B0D0000}"/>
    <hyperlink ref="Q1688" r:id="rId3373" xr:uid="{00000000-0004-0000-0800-00002C0D0000}"/>
    <hyperlink ref="R1688" r:id="rId3374" xr:uid="{00000000-0004-0000-0800-00002D0D0000}"/>
    <hyperlink ref="Q1689" r:id="rId3375" xr:uid="{00000000-0004-0000-0800-00002E0D0000}"/>
    <hyperlink ref="R1689" r:id="rId3376" xr:uid="{00000000-0004-0000-0800-00002F0D0000}"/>
    <hyperlink ref="Q1690" r:id="rId3377" xr:uid="{00000000-0004-0000-0800-0000300D0000}"/>
    <hyperlink ref="R1690" r:id="rId3378" xr:uid="{00000000-0004-0000-0800-0000310D0000}"/>
    <hyperlink ref="Q1691" r:id="rId3379" xr:uid="{00000000-0004-0000-0800-0000320D0000}"/>
    <hyperlink ref="R1691" r:id="rId3380" xr:uid="{00000000-0004-0000-0800-0000330D0000}"/>
    <hyperlink ref="Q1692" r:id="rId3381" xr:uid="{00000000-0004-0000-0800-0000340D0000}"/>
    <hyperlink ref="R1692" r:id="rId3382" xr:uid="{00000000-0004-0000-0800-0000350D0000}"/>
    <hyperlink ref="Q1693" r:id="rId3383" xr:uid="{00000000-0004-0000-0800-0000360D0000}"/>
    <hyperlink ref="R1693" r:id="rId3384" xr:uid="{00000000-0004-0000-0800-0000370D0000}"/>
    <hyperlink ref="Q1694" r:id="rId3385" xr:uid="{00000000-0004-0000-0800-0000380D0000}"/>
    <hyperlink ref="R1694" r:id="rId3386" xr:uid="{00000000-0004-0000-0800-0000390D0000}"/>
    <hyperlink ref="Q1695" r:id="rId3387" xr:uid="{00000000-0004-0000-0800-00003A0D0000}"/>
    <hyperlink ref="R1695" r:id="rId3388" xr:uid="{00000000-0004-0000-0800-00003B0D0000}"/>
    <hyperlink ref="Q1696" r:id="rId3389" xr:uid="{00000000-0004-0000-0800-00003C0D0000}"/>
    <hyperlink ref="R1696" r:id="rId3390" xr:uid="{00000000-0004-0000-0800-00003D0D0000}"/>
    <hyperlink ref="Q1697" r:id="rId3391" xr:uid="{00000000-0004-0000-0800-00003E0D0000}"/>
    <hyperlink ref="R1697" r:id="rId3392" xr:uid="{00000000-0004-0000-0800-00003F0D0000}"/>
    <hyperlink ref="Q1698" r:id="rId3393" xr:uid="{00000000-0004-0000-0800-0000400D0000}"/>
    <hyperlink ref="R1698" r:id="rId3394" xr:uid="{00000000-0004-0000-0800-0000410D0000}"/>
    <hyperlink ref="Q1699" r:id="rId3395" xr:uid="{00000000-0004-0000-0800-0000420D0000}"/>
    <hyperlink ref="R1699" r:id="rId3396" xr:uid="{00000000-0004-0000-0800-0000430D0000}"/>
    <hyperlink ref="Q1700" r:id="rId3397" xr:uid="{00000000-0004-0000-0800-0000440D0000}"/>
    <hyperlink ref="R1700" r:id="rId3398" xr:uid="{00000000-0004-0000-0800-0000450D0000}"/>
    <hyperlink ref="Q1701" r:id="rId3399" xr:uid="{00000000-0004-0000-0800-0000460D0000}"/>
    <hyperlink ref="R1701" r:id="rId3400" xr:uid="{00000000-0004-0000-0800-0000470D0000}"/>
    <hyperlink ref="Q1702" r:id="rId3401" xr:uid="{00000000-0004-0000-0800-0000480D0000}"/>
    <hyperlink ref="R1702" r:id="rId3402" xr:uid="{00000000-0004-0000-0800-0000490D0000}"/>
    <hyperlink ref="Q1703" r:id="rId3403" xr:uid="{00000000-0004-0000-0800-00004A0D0000}"/>
    <hyperlink ref="R1703" r:id="rId3404" xr:uid="{00000000-0004-0000-0800-00004B0D0000}"/>
    <hyperlink ref="Q1704" r:id="rId3405" xr:uid="{00000000-0004-0000-0800-00004C0D0000}"/>
    <hyperlink ref="R1704" r:id="rId3406" xr:uid="{00000000-0004-0000-0800-00004D0D0000}"/>
    <hyperlink ref="Q1705" r:id="rId3407" xr:uid="{00000000-0004-0000-0800-00004E0D0000}"/>
    <hyperlink ref="R1705" r:id="rId3408" xr:uid="{00000000-0004-0000-0800-00004F0D0000}"/>
    <hyperlink ref="Q1706" r:id="rId3409" xr:uid="{00000000-0004-0000-0800-0000500D0000}"/>
    <hyperlink ref="R1706" r:id="rId3410" xr:uid="{00000000-0004-0000-0800-0000510D0000}"/>
    <hyperlink ref="Q1707" r:id="rId3411" xr:uid="{00000000-0004-0000-0800-0000520D0000}"/>
    <hyperlink ref="R1707" r:id="rId3412" xr:uid="{00000000-0004-0000-0800-0000530D0000}"/>
    <hyperlink ref="Q1708" r:id="rId3413" xr:uid="{00000000-0004-0000-0800-0000540D0000}"/>
    <hyperlink ref="R1708" r:id="rId3414" xr:uid="{00000000-0004-0000-0800-0000550D0000}"/>
    <hyperlink ref="Q1709" r:id="rId3415" xr:uid="{00000000-0004-0000-0800-0000560D0000}"/>
    <hyperlink ref="R1709" r:id="rId3416" xr:uid="{00000000-0004-0000-0800-0000570D0000}"/>
    <hyperlink ref="Q1710" r:id="rId3417" xr:uid="{00000000-0004-0000-0800-0000580D0000}"/>
    <hyperlink ref="R1710" r:id="rId3418" xr:uid="{00000000-0004-0000-0800-0000590D0000}"/>
    <hyperlink ref="Q1711" r:id="rId3419" xr:uid="{00000000-0004-0000-0800-00005A0D0000}"/>
    <hyperlink ref="R1711" r:id="rId3420" xr:uid="{00000000-0004-0000-0800-00005B0D0000}"/>
    <hyperlink ref="Q1712" r:id="rId3421" xr:uid="{00000000-0004-0000-0800-00005C0D0000}"/>
    <hyperlink ref="R1712" r:id="rId3422" xr:uid="{00000000-0004-0000-0800-00005D0D0000}"/>
    <hyperlink ref="Q1713" r:id="rId3423" xr:uid="{00000000-0004-0000-0800-00005E0D0000}"/>
    <hyperlink ref="R1713" r:id="rId3424" xr:uid="{00000000-0004-0000-0800-00005F0D0000}"/>
    <hyperlink ref="Q1714" r:id="rId3425" xr:uid="{00000000-0004-0000-0800-0000600D0000}"/>
    <hyperlink ref="R1714" r:id="rId3426" xr:uid="{00000000-0004-0000-0800-0000610D0000}"/>
    <hyperlink ref="Q1715" r:id="rId3427" xr:uid="{00000000-0004-0000-0800-0000620D0000}"/>
    <hyperlink ref="R1715" r:id="rId3428" xr:uid="{00000000-0004-0000-0800-0000630D0000}"/>
    <hyperlink ref="Q1716" r:id="rId3429" xr:uid="{00000000-0004-0000-0800-0000640D0000}"/>
    <hyperlink ref="R1716" r:id="rId3430" xr:uid="{00000000-0004-0000-0800-0000650D0000}"/>
    <hyperlink ref="Q1717" r:id="rId3431" xr:uid="{00000000-0004-0000-0800-0000660D0000}"/>
    <hyperlink ref="R1717" r:id="rId3432" xr:uid="{00000000-0004-0000-0800-0000670D0000}"/>
    <hyperlink ref="Q1718" r:id="rId3433" xr:uid="{00000000-0004-0000-0800-0000680D0000}"/>
    <hyperlink ref="R1718" r:id="rId3434" xr:uid="{00000000-0004-0000-0800-0000690D0000}"/>
    <hyperlink ref="Q1719" r:id="rId3435" xr:uid="{00000000-0004-0000-0800-00006A0D0000}"/>
    <hyperlink ref="R1719" r:id="rId3436" xr:uid="{00000000-0004-0000-0800-00006B0D0000}"/>
    <hyperlink ref="Q1720" r:id="rId3437" xr:uid="{00000000-0004-0000-0800-00006C0D0000}"/>
    <hyperlink ref="R1720" r:id="rId3438" xr:uid="{00000000-0004-0000-0800-00006D0D0000}"/>
    <hyperlink ref="Q1721" r:id="rId3439" xr:uid="{00000000-0004-0000-0800-00006E0D0000}"/>
    <hyperlink ref="R1721" r:id="rId3440" xr:uid="{00000000-0004-0000-0800-00006F0D0000}"/>
    <hyperlink ref="Q1722" r:id="rId3441" xr:uid="{00000000-0004-0000-0800-0000700D0000}"/>
    <hyperlink ref="R1722" r:id="rId3442" xr:uid="{00000000-0004-0000-0800-0000710D0000}"/>
    <hyperlink ref="Q1723" r:id="rId3443" xr:uid="{00000000-0004-0000-0800-0000720D0000}"/>
    <hyperlink ref="R1723" r:id="rId3444" xr:uid="{00000000-0004-0000-0800-0000730D0000}"/>
    <hyperlink ref="Q1724" r:id="rId3445" xr:uid="{00000000-0004-0000-0800-0000740D0000}"/>
    <hyperlink ref="R1724" r:id="rId3446" xr:uid="{00000000-0004-0000-0800-0000750D0000}"/>
    <hyperlink ref="Q1725" r:id="rId3447" xr:uid="{00000000-0004-0000-0800-0000760D0000}"/>
    <hyperlink ref="R1725" r:id="rId3448" xr:uid="{00000000-0004-0000-0800-0000770D0000}"/>
    <hyperlink ref="Q1726" r:id="rId3449" xr:uid="{00000000-0004-0000-0800-0000780D0000}"/>
    <hyperlink ref="R1726" r:id="rId3450" xr:uid="{00000000-0004-0000-0800-0000790D0000}"/>
    <hyperlink ref="Q1727" r:id="rId3451" xr:uid="{00000000-0004-0000-0800-00007A0D0000}"/>
    <hyperlink ref="R1727" r:id="rId3452" xr:uid="{00000000-0004-0000-0800-00007B0D0000}"/>
    <hyperlink ref="Q1728" r:id="rId3453" xr:uid="{00000000-0004-0000-0800-00007C0D0000}"/>
    <hyperlink ref="R1728" r:id="rId3454" xr:uid="{00000000-0004-0000-0800-00007D0D0000}"/>
    <hyperlink ref="Q1729" r:id="rId3455" xr:uid="{00000000-0004-0000-0800-00007E0D0000}"/>
    <hyperlink ref="R1729" r:id="rId3456" xr:uid="{00000000-0004-0000-0800-00007F0D0000}"/>
    <hyperlink ref="Q1730" r:id="rId3457" xr:uid="{00000000-0004-0000-0800-0000800D0000}"/>
    <hyperlink ref="R1730" r:id="rId3458" xr:uid="{00000000-0004-0000-0800-0000810D0000}"/>
    <hyperlink ref="Q1731" r:id="rId3459" xr:uid="{00000000-0004-0000-0800-0000820D0000}"/>
    <hyperlink ref="R1731" r:id="rId3460" xr:uid="{00000000-0004-0000-0800-0000830D0000}"/>
    <hyperlink ref="Q1732" r:id="rId3461" xr:uid="{00000000-0004-0000-0800-0000840D0000}"/>
    <hyperlink ref="R1732" r:id="rId3462" xr:uid="{00000000-0004-0000-0800-0000850D0000}"/>
    <hyperlink ref="Q1733" r:id="rId3463" xr:uid="{00000000-0004-0000-0800-0000860D0000}"/>
    <hyperlink ref="R1733" r:id="rId3464" xr:uid="{00000000-0004-0000-0800-0000870D0000}"/>
    <hyperlink ref="Q1734" r:id="rId3465" xr:uid="{00000000-0004-0000-0800-0000880D0000}"/>
    <hyperlink ref="R1734" r:id="rId3466" xr:uid="{00000000-0004-0000-0800-0000890D0000}"/>
    <hyperlink ref="Q1735" r:id="rId3467" xr:uid="{00000000-0004-0000-0800-00008A0D0000}"/>
    <hyperlink ref="R1735" r:id="rId3468" xr:uid="{00000000-0004-0000-0800-00008B0D0000}"/>
    <hyperlink ref="Q1736" r:id="rId3469" xr:uid="{00000000-0004-0000-0800-00008C0D0000}"/>
    <hyperlink ref="R1736" r:id="rId3470" xr:uid="{00000000-0004-0000-0800-00008D0D0000}"/>
    <hyperlink ref="Q1737" r:id="rId3471" xr:uid="{00000000-0004-0000-0800-00008E0D0000}"/>
    <hyperlink ref="R1737" r:id="rId3472" xr:uid="{00000000-0004-0000-0800-00008F0D0000}"/>
    <hyperlink ref="Q1738" r:id="rId3473" xr:uid="{00000000-0004-0000-0800-0000900D0000}"/>
    <hyperlink ref="R1738" r:id="rId3474" xr:uid="{00000000-0004-0000-0800-0000910D0000}"/>
    <hyperlink ref="Q1739" r:id="rId3475" xr:uid="{00000000-0004-0000-0800-0000920D0000}"/>
    <hyperlink ref="R1739" r:id="rId3476" xr:uid="{00000000-0004-0000-0800-0000930D0000}"/>
    <hyperlink ref="Q1740" r:id="rId3477" xr:uid="{00000000-0004-0000-0800-0000940D0000}"/>
    <hyperlink ref="R1740" r:id="rId3478" xr:uid="{00000000-0004-0000-0800-0000950D0000}"/>
    <hyperlink ref="Q1741" r:id="rId3479" xr:uid="{00000000-0004-0000-0800-0000960D0000}"/>
    <hyperlink ref="R1741" r:id="rId3480" xr:uid="{00000000-0004-0000-0800-0000970D0000}"/>
    <hyperlink ref="Q1742" r:id="rId3481" xr:uid="{00000000-0004-0000-0800-0000980D0000}"/>
    <hyperlink ref="R1742" r:id="rId3482" xr:uid="{00000000-0004-0000-0800-0000990D0000}"/>
    <hyperlink ref="Q1743" r:id="rId3483" xr:uid="{00000000-0004-0000-0800-00009A0D0000}"/>
    <hyperlink ref="R1743" r:id="rId3484" xr:uid="{00000000-0004-0000-0800-00009B0D0000}"/>
    <hyperlink ref="Q1744" r:id="rId3485" xr:uid="{00000000-0004-0000-0800-00009C0D0000}"/>
    <hyperlink ref="R1744" r:id="rId3486" xr:uid="{00000000-0004-0000-0800-00009D0D0000}"/>
    <hyperlink ref="Q1745" r:id="rId3487" xr:uid="{00000000-0004-0000-0800-00009E0D0000}"/>
    <hyperlink ref="R1745" r:id="rId3488" xr:uid="{00000000-0004-0000-0800-00009F0D0000}"/>
    <hyperlink ref="Q1746" r:id="rId3489" xr:uid="{00000000-0004-0000-0800-0000A00D0000}"/>
    <hyperlink ref="R1746" r:id="rId3490" xr:uid="{00000000-0004-0000-0800-0000A10D0000}"/>
    <hyperlink ref="Q1747" r:id="rId3491" xr:uid="{00000000-0004-0000-0800-0000A20D0000}"/>
    <hyperlink ref="R1747" r:id="rId3492" xr:uid="{00000000-0004-0000-0800-0000A30D0000}"/>
    <hyperlink ref="Q1748" r:id="rId3493" xr:uid="{00000000-0004-0000-0800-0000A40D0000}"/>
    <hyperlink ref="R1748" r:id="rId3494" xr:uid="{00000000-0004-0000-0800-0000A50D0000}"/>
    <hyperlink ref="Q1749" r:id="rId3495" xr:uid="{00000000-0004-0000-0800-0000A60D0000}"/>
    <hyperlink ref="R1749" r:id="rId3496" xr:uid="{00000000-0004-0000-0800-0000A70D0000}"/>
    <hyperlink ref="Q1750" r:id="rId3497" xr:uid="{00000000-0004-0000-0800-0000A80D0000}"/>
    <hyperlink ref="R1750" r:id="rId3498" xr:uid="{00000000-0004-0000-0800-0000A90D0000}"/>
    <hyperlink ref="Q1751" r:id="rId3499" xr:uid="{00000000-0004-0000-0800-0000AA0D0000}"/>
    <hyperlink ref="R1751" r:id="rId3500" xr:uid="{00000000-0004-0000-0800-0000AB0D0000}"/>
    <hyperlink ref="Q1752" r:id="rId3501" xr:uid="{00000000-0004-0000-0800-0000AC0D0000}"/>
    <hyperlink ref="R1752" r:id="rId3502" xr:uid="{00000000-0004-0000-0800-0000AD0D0000}"/>
    <hyperlink ref="Q1753" r:id="rId3503" xr:uid="{00000000-0004-0000-0800-0000AE0D0000}"/>
    <hyperlink ref="R1753" r:id="rId3504" xr:uid="{00000000-0004-0000-0800-0000AF0D0000}"/>
    <hyperlink ref="Q1754" r:id="rId3505" xr:uid="{00000000-0004-0000-0800-0000B00D0000}"/>
    <hyperlink ref="R1754" r:id="rId3506" xr:uid="{00000000-0004-0000-0800-0000B10D0000}"/>
    <hyperlink ref="Q1755" r:id="rId3507" xr:uid="{00000000-0004-0000-0800-0000B20D0000}"/>
    <hyperlink ref="R1755" r:id="rId3508" xr:uid="{00000000-0004-0000-0800-0000B30D0000}"/>
    <hyperlink ref="Q1756" r:id="rId3509" xr:uid="{00000000-0004-0000-0800-0000B40D0000}"/>
    <hyperlink ref="R1756" r:id="rId3510" xr:uid="{00000000-0004-0000-0800-0000B50D0000}"/>
    <hyperlink ref="Q1757" r:id="rId3511" xr:uid="{00000000-0004-0000-0800-0000B60D0000}"/>
    <hyperlink ref="R1757" r:id="rId3512" xr:uid="{00000000-0004-0000-0800-0000B70D0000}"/>
    <hyperlink ref="Q1758" r:id="rId3513" xr:uid="{00000000-0004-0000-0800-0000B80D0000}"/>
    <hyperlink ref="R1758" r:id="rId3514" xr:uid="{00000000-0004-0000-0800-0000B90D0000}"/>
    <hyperlink ref="Q1759" r:id="rId3515" xr:uid="{00000000-0004-0000-0800-0000BA0D0000}"/>
    <hyperlink ref="R1759" r:id="rId3516" xr:uid="{00000000-0004-0000-0800-0000BB0D0000}"/>
    <hyperlink ref="Q1760" r:id="rId3517" xr:uid="{00000000-0004-0000-0800-0000BC0D0000}"/>
    <hyperlink ref="R1760" r:id="rId3518" xr:uid="{00000000-0004-0000-0800-0000BD0D0000}"/>
    <hyperlink ref="Q1761" r:id="rId3519" xr:uid="{00000000-0004-0000-0800-0000BE0D0000}"/>
    <hyperlink ref="R1761" r:id="rId3520" xr:uid="{00000000-0004-0000-0800-0000BF0D0000}"/>
    <hyperlink ref="Q1762" r:id="rId3521" xr:uid="{00000000-0004-0000-0800-0000C00D0000}"/>
    <hyperlink ref="R1762" r:id="rId3522" xr:uid="{00000000-0004-0000-0800-0000C10D0000}"/>
    <hyperlink ref="Q1763" r:id="rId3523" xr:uid="{00000000-0004-0000-0800-0000C20D0000}"/>
    <hyperlink ref="R1763" r:id="rId3524" xr:uid="{00000000-0004-0000-0800-0000C30D0000}"/>
    <hyperlink ref="Q1764" r:id="rId3525" xr:uid="{00000000-0004-0000-0800-0000C40D0000}"/>
    <hyperlink ref="R1764" r:id="rId3526" xr:uid="{00000000-0004-0000-0800-0000C50D0000}"/>
    <hyperlink ref="Q1765" r:id="rId3527" xr:uid="{00000000-0004-0000-0800-0000C60D0000}"/>
    <hyperlink ref="R1765" r:id="rId3528" xr:uid="{00000000-0004-0000-0800-0000C70D0000}"/>
    <hyperlink ref="Q1766" r:id="rId3529" xr:uid="{00000000-0004-0000-0800-0000C80D0000}"/>
    <hyperlink ref="R1766" r:id="rId3530" xr:uid="{00000000-0004-0000-0800-0000C90D0000}"/>
    <hyperlink ref="Q1767" r:id="rId3531" xr:uid="{00000000-0004-0000-0800-0000CA0D0000}"/>
    <hyperlink ref="R1767" r:id="rId3532" xr:uid="{00000000-0004-0000-0800-0000CB0D0000}"/>
    <hyperlink ref="Q1768" r:id="rId3533" xr:uid="{00000000-0004-0000-0800-0000CC0D0000}"/>
    <hyperlink ref="R1768" r:id="rId3534" xr:uid="{00000000-0004-0000-0800-0000CD0D0000}"/>
    <hyperlink ref="Q1769" r:id="rId3535" xr:uid="{00000000-0004-0000-0800-0000CE0D0000}"/>
    <hyperlink ref="R1769" r:id="rId3536" xr:uid="{00000000-0004-0000-0800-0000CF0D0000}"/>
    <hyperlink ref="Q1770" r:id="rId3537" xr:uid="{00000000-0004-0000-0800-0000D00D0000}"/>
    <hyperlink ref="R1770" r:id="rId3538" xr:uid="{00000000-0004-0000-0800-0000D10D0000}"/>
    <hyperlink ref="Q1771" r:id="rId3539" xr:uid="{00000000-0004-0000-0800-0000D20D0000}"/>
    <hyperlink ref="R1771" r:id="rId3540" xr:uid="{00000000-0004-0000-0800-0000D30D0000}"/>
    <hyperlink ref="Q1772" r:id="rId3541" xr:uid="{00000000-0004-0000-0800-0000D40D0000}"/>
    <hyperlink ref="R1772" r:id="rId3542" xr:uid="{00000000-0004-0000-0800-0000D50D0000}"/>
    <hyperlink ref="Q1773" r:id="rId3543" xr:uid="{00000000-0004-0000-0800-0000D60D0000}"/>
    <hyperlink ref="R1773" r:id="rId3544" xr:uid="{00000000-0004-0000-0800-0000D70D0000}"/>
    <hyperlink ref="Q1774" r:id="rId3545" xr:uid="{00000000-0004-0000-0800-0000D80D0000}"/>
    <hyperlink ref="R1774" r:id="rId3546" xr:uid="{00000000-0004-0000-0800-0000D90D0000}"/>
    <hyperlink ref="Q1775" r:id="rId3547" xr:uid="{00000000-0004-0000-0800-0000DA0D0000}"/>
    <hyperlink ref="R1775" r:id="rId3548" xr:uid="{00000000-0004-0000-0800-0000DB0D0000}"/>
    <hyperlink ref="Q1776" r:id="rId3549" xr:uid="{00000000-0004-0000-0800-0000DC0D0000}"/>
    <hyperlink ref="R1776" r:id="rId3550" xr:uid="{00000000-0004-0000-0800-0000DD0D0000}"/>
    <hyperlink ref="Q1777" r:id="rId3551" xr:uid="{00000000-0004-0000-0800-0000DE0D0000}"/>
    <hyperlink ref="R1777" r:id="rId3552" xr:uid="{00000000-0004-0000-0800-0000DF0D0000}"/>
    <hyperlink ref="Q1778" r:id="rId3553" xr:uid="{00000000-0004-0000-0800-0000E00D0000}"/>
    <hyperlink ref="R1778" r:id="rId3554" xr:uid="{00000000-0004-0000-0800-0000E10D0000}"/>
    <hyperlink ref="Q1779" r:id="rId3555" xr:uid="{00000000-0004-0000-0800-0000E20D0000}"/>
    <hyperlink ref="R1779" r:id="rId3556" xr:uid="{00000000-0004-0000-0800-0000E30D0000}"/>
    <hyperlink ref="Q1780" r:id="rId3557" xr:uid="{00000000-0004-0000-0800-0000E40D0000}"/>
    <hyperlink ref="R1780" r:id="rId3558" xr:uid="{00000000-0004-0000-0800-0000E50D0000}"/>
    <hyperlink ref="Q1781" r:id="rId3559" xr:uid="{00000000-0004-0000-0800-0000E60D0000}"/>
    <hyperlink ref="R1781" r:id="rId3560" xr:uid="{00000000-0004-0000-0800-0000E70D0000}"/>
    <hyperlink ref="Q1782" r:id="rId3561" xr:uid="{00000000-0004-0000-0800-0000E80D0000}"/>
    <hyperlink ref="R1782" r:id="rId3562" xr:uid="{00000000-0004-0000-0800-0000E90D0000}"/>
    <hyperlink ref="Q1783" r:id="rId3563" xr:uid="{00000000-0004-0000-0800-0000EA0D0000}"/>
    <hyperlink ref="R1783" r:id="rId3564" xr:uid="{00000000-0004-0000-0800-0000EB0D0000}"/>
    <hyperlink ref="Q1784" r:id="rId3565" xr:uid="{00000000-0004-0000-0800-0000EC0D0000}"/>
    <hyperlink ref="R1784" r:id="rId3566" xr:uid="{00000000-0004-0000-0800-0000ED0D0000}"/>
    <hyperlink ref="Q1785" r:id="rId3567" xr:uid="{00000000-0004-0000-0800-0000EE0D0000}"/>
    <hyperlink ref="R1785" r:id="rId3568" xr:uid="{00000000-0004-0000-0800-0000EF0D0000}"/>
    <hyperlink ref="Q1786" r:id="rId3569" xr:uid="{00000000-0004-0000-0800-0000F00D0000}"/>
    <hyperlink ref="R1786" r:id="rId3570" xr:uid="{00000000-0004-0000-0800-0000F10D0000}"/>
    <hyperlink ref="Q1787" r:id="rId3571" xr:uid="{00000000-0004-0000-0800-0000F20D0000}"/>
    <hyperlink ref="R1787" r:id="rId3572" xr:uid="{00000000-0004-0000-0800-0000F30D0000}"/>
    <hyperlink ref="Q1788" r:id="rId3573" xr:uid="{00000000-0004-0000-0800-0000F40D0000}"/>
    <hyperlink ref="R1788" r:id="rId3574" xr:uid="{00000000-0004-0000-0800-0000F50D0000}"/>
    <hyperlink ref="Q1789" r:id="rId3575" xr:uid="{00000000-0004-0000-0800-0000F60D0000}"/>
    <hyperlink ref="R1789" r:id="rId3576" xr:uid="{00000000-0004-0000-0800-0000F70D0000}"/>
    <hyperlink ref="Q1790" r:id="rId3577" xr:uid="{00000000-0004-0000-0800-0000F80D0000}"/>
    <hyperlink ref="R1790" r:id="rId3578" xr:uid="{00000000-0004-0000-0800-0000F90D0000}"/>
    <hyperlink ref="Q1791" r:id="rId3579" xr:uid="{00000000-0004-0000-0800-0000FA0D0000}"/>
    <hyperlink ref="R1791" r:id="rId3580" xr:uid="{00000000-0004-0000-0800-0000FB0D0000}"/>
    <hyperlink ref="Q1792" r:id="rId3581" xr:uid="{00000000-0004-0000-0800-0000FC0D0000}"/>
    <hyperlink ref="R1792" r:id="rId3582" xr:uid="{00000000-0004-0000-0800-0000FD0D0000}"/>
    <hyperlink ref="Q1793" r:id="rId3583" xr:uid="{00000000-0004-0000-0800-0000FE0D0000}"/>
    <hyperlink ref="R1793" r:id="rId3584" xr:uid="{00000000-0004-0000-0800-0000FF0D0000}"/>
    <hyperlink ref="Q1794" r:id="rId3585" xr:uid="{00000000-0004-0000-0800-0000000E0000}"/>
    <hyperlink ref="R1794" r:id="rId3586" xr:uid="{00000000-0004-0000-0800-0000010E0000}"/>
    <hyperlink ref="Q1795" r:id="rId3587" xr:uid="{00000000-0004-0000-0800-0000020E0000}"/>
    <hyperlink ref="R1795" r:id="rId3588" xr:uid="{00000000-0004-0000-0800-0000030E0000}"/>
    <hyperlink ref="Q1796" r:id="rId3589" xr:uid="{00000000-0004-0000-0800-0000040E0000}"/>
    <hyperlink ref="R1796" r:id="rId3590" xr:uid="{00000000-0004-0000-0800-0000050E0000}"/>
    <hyperlink ref="Q1797" r:id="rId3591" xr:uid="{00000000-0004-0000-0800-0000060E0000}"/>
    <hyperlink ref="R1797" r:id="rId3592" xr:uid="{00000000-0004-0000-0800-0000070E0000}"/>
    <hyperlink ref="Q1798" r:id="rId3593" xr:uid="{00000000-0004-0000-0800-0000080E0000}"/>
    <hyperlink ref="R1798" r:id="rId3594" xr:uid="{00000000-0004-0000-0800-0000090E0000}"/>
    <hyperlink ref="Q1799" r:id="rId3595" xr:uid="{00000000-0004-0000-0800-00000A0E0000}"/>
    <hyperlink ref="R1799" r:id="rId3596" xr:uid="{00000000-0004-0000-0800-00000B0E0000}"/>
    <hyperlink ref="Q1800" r:id="rId3597" xr:uid="{00000000-0004-0000-0800-00000C0E0000}"/>
    <hyperlink ref="R1800" r:id="rId3598" xr:uid="{00000000-0004-0000-0800-00000D0E0000}"/>
    <hyperlink ref="Q1801" r:id="rId3599" xr:uid="{00000000-0004-0000-0800-00000E0E0000}"/>
    <hyperlink ref="R1801" r:id="rId3600" xr:uid="{00000000-0004-0000-0800-00000F0E0000}"/>
    <hyperlink ref="Q1802" r:id="rId3601" xr:uid="{00000000-0004-0000-0800-0000100E0000}"/>
    <hyperlink ref="R1802" r:id="rId3602" xr:uid="{00000000-0004-0000-0800-0000110E0000}"/>
    <hyperlink ref="Q1803" r:id="rId3603" xr:uid="{00000000-0004-0000-0800-0000120E0000}"/>
    <hyperlink ref="R1803" r:id="rId3604" xr:uid="{00000000-0004-0000-0800-0000130E0000}"/>
    <hyperlink ref="Q1804" r:id="rId3605" xr:uid="{00000000-0004-0000-0800-0000140E0000}"/>
    <hyperlink ref="R1804" r:id="rId3606" xr:uid="{00000000-0004-0000-0800-0000150E0000}"/>
    <hyperlink ref="Q1805" r:id="rId3607" xr:uid="{00000000-0004-0000-0800-0000160E0000}"/>
    <hyperlink ref="R1805" r:id="rId3608" xr:uid="{00000000-0004-0000-0800-0000170E0000}"/>
    <hyperlink ref="Q1806" r:id="rId3609" xr:uid="{00000000-0004-0000-0800-0000180E0000}"/>
    <hyperlink ref="R1806" r:id="rId3610" xr:uid="{00000000-0004-0000-0800-0000190E0000}"/>
    <hyperlink ref="Q1807" r:id="rId3611" xr:uid="{00000000-0004-0000-0800-00001A0E0000}"/>
    <hyperlink ref="R1807" r:id="rId3612" xr:uid="{00000000-0004-0000-0800-00001B0E0000}"/>
    <hyperlink ref="Q1808" r:id="rId3613" xr:uid="{00000000-0004-0000-0800-00001C0E0000}"/>
    <hyperlink ref="R1808" r:id="rId3614" xr:uid="{00000000-0004-0000-0800-00001D0E0000}"/>
    <hyperlink ref="Q1809" r:id="rId3615" xr:uid="{00000000-0004-0000-0800-00001E0E0000}"/>
    <hyperlink ref="R1809" r:id="rId3616" xr:uid="{00000000-0004-0000-0800-00001F0E0000}"/>
    <hyperlink ref="Q1810" r:id="rId3617" xr:uid="{00000000-0004-0000-0800-0000200E0000}"/>
    <hyperlink ref="R1810" r:id="rId3618" xr:uid="{00000000-0004-0000-0800-0000210E0000}"/>
    <hyperlink ref="Q1811" r:id="rId3619" xr:uid="{00000000-0004-0000-0800-0000220E0000}"/>
    <hyperlink ref="R1811" r:id="rId3620" xr:uid="{00000000-0004-0000-0800-0000230E0000}"/>
    <hyperlink ref="Q1812" r:id="rId3621" xr:uid="{00000000-0004-0000-0800-0000240E0000}"/>
    <hyperlink ref="R1812" r:id="rId3622" xr:uid="{00000000-0004-0000-0800-0000250E0000}"/>
    <hyperlink ref="Q1813" r:id="rId3623" xr:uid="{00000000-0004-0000-0800-0000260E0000}"/>
    <hyperlink ref="R1813" r:id="rId3624" xr:uid="{00000000-0004-0000-0800-0000270E0000}"/>
    <hyperlink ref="Q1814" r:id="rId3625" xr:uid="{00000000-0004-0000-0800-0000280E0000}"/>
    <hyperlink ref="R1814" r:id="rId3626" xr:uid="{00000000-0004-0000-0800-0000290E0000}"/>
    <hyperlink ref="Q1815" r:id="rId3627" xr:uid="{00000000-0004-0000-0800-00002A0E0000}"/>
    <hyperlink ref="R1815" r:id="rId3628" xr:uid="{00000000-0004-0000-0800-00002B0E0000}"/>
    <hyperlink ref="Q1816" r:id="rId3629" xr:uid="{00000000-0004-0000-0800-00002C0E0000}"/>
    <hyperlink ref="R1816" r:id="rId3630" xr:uid="{00000000-0004-0000-0800-00002D0E0000}"/>
    <hyperlink ref="Q1817" r:id="rId3631" xr:uid="{00000000-0004-0000-0800-00002E0E0000}"/>
    <hyperlink ref="R1817" r:id="rId3632" xr:uid="{00000000-0004-0000-0800-00002F0E0000}"/>
    <hyperlink ref="Q1818" r:id="rId3633" xr:uid="{00000000-0004-0000-0800-0000300E0000}"/>
    <hyperlink ref="R1818" r:id="rId3634" xr:uid="{00000000-0004-0000-0800-0000310E0000}"/>
    <hyperlink ref="Q1819" r:id="rId3635" xr:uid="{00000000-0004-0000-0800-0000320E0000}"/>
    <hyperlink ref="R1819" r:id="rId3636" xr:uid="{00000000-0004-0000-0800-0000330E0000}"/>
    <hyperlink ref="Q1820" r:id="rId3637" xr:uid="{00000000-0004-0000-0800-0000340E0000}"/>
    <hyperlink ref="R1820" r:id="rId3638" xr:uid="{00000000-0004-0000-0800-0000350E0000}"/>
    <hyperlink ref="Q1821" r:id="rId3639" xr:uid="{00000000-0004-0000-0800-0000360E0000}"/>
    <hyperlink ref="R1821" r:id="rId3640" xr:uid="{00000000-0004-0000-0800-0000370E0000}"/>
    <hyperlink ref="Q1822" r:id="rId3641" xr:uid="{00000000-0004-0000-0800-0000380E0000}"/>
    <hyperlink ref="R1822" r:id="rId3642" xr:uid="{00000000-0004-0000-0800-0000390E0000}"/>
    <hyperlink ref="Q1823" r:id="rId3643" xr:uid="{00000000-0004-0000-0800-00003A0E0000}"/>
    <hyperlink ref="R1823" r:id="rId3644" xr:uid="{00000000-0004-0000-0800-00003B0E0000}"/>
    <hyperlink ref="Q1824" r:id="rId3645" xr:uid="{00000000-0004-0000-0800-00003C0E0000}"/>
    <hyperlink ref="R1824" r:id="rId3646" xr:uid="{00000000-0004-0000-0800-00003D0E0000}"/>
    <hyperlink ref="Q1825" r:id="rId3647" xr:uid="{00000000-0004-0000-0800-00003E0E0000}"/>
    <hyperlink ref="R1825" r:id="rId3648" xr:uid="{00000000-0004-0000-0800-00003F0E0000}"/>
    <hyperlink ref="Q1826" r:id="rId3649" xr:uid="{00000000-0004-0000-0800-0000400E0000}"/>
    <hyperlink ref="R1826" r:id="rId3650" xr:uid="{00000000-0004-0000-0800-0000410E0000}"/>
    <hyperlink ref="Q1827" r:id="rId3651" xr:uid="{00000000-0004-0000-0800-0000420E0000}"/>
    <hyperlink ref="R1827" r:id="rId3652" xr:uid="{00000000-0004-0000-0800-0000430E0000}"/>
    <hyperlink ref="Q1828" r:id="rId3653" xr:uid="{00000000-0004-0000-0800-0000440E0000}"/>
    <hyperlink ref="R1828" r:id="rId3654" xr:uid="{00000000-0004-0000-0800-0000450E0000}"/>
    <hyperlink ref="Q1829" r:id="rId3655" xr:uid="{00000000-0004-0000-0800-0000460E0000}"/>
    <hyperlink ref="R1829" r:id="rId3656" xr:uid="{00000000-0004-0000-0800-0000470E0000}"/>
    <hyperlink ref="Q1830" r:id="rId3657" xr:uid="{00000000-0004-0000-0800-0000480E0000}"/>
    <hyperlink ref="R1830" r:id="rId3658" xr:uid="{00000000-0004-0000-0800-0000490E0000}"/>
    <hyperlink ref="Q1831" r:id="rId3659" xr:uid="{00000000-0004-0000-0800-00004A0E0000}"/>
    <hyperlink ref="R1831" r:id="rId3660" xr:uid="{00000000-0004-0000-0800-00004B0E0000}"/>
    <hyperlink ref="Q1832" r:id="rId3661" xr:uid="{00000000-0004-0000-0800-00004C0E0000}"/>
    <hyperlink ref="R1832" r:id="rId3662" xr:uid="{00000000-0004-0000-0800-00004D0E0000}"/>
    <hyperlink ref="Q1833" r:id="rId3663" xr:uid="{00000000-0004-0000-0800-00004E0E0000}"/>
    <hyperlink ref="R1833" r:id="rId3664" xr:uid="{00000000-0004-0000-0800-00004F0E0000}"/>
    <hyperlink ref="Q1834" r:id="rId3665" xr:uid="{00000000-0004-0000-0800-0000500E0000}"/>
    <hyperlink ref="R1834" r:id="rId3666" xr:uid="{00000000-0004-0000-0800-0000510E0000}"/>
    <hyperlink ref="Q1835" r:id="rId3667" xr:uid="{00000000-0004-0000-0800-0000520E0000}"/>
    <hyperlink ref="R1835" r:id="rId3668" xr:uid="{00000000-0004-0000-0800-0000530E0000}"/>
    <hyperlink ref="Q1836" r:id="rId3669" xr:uid="{00000000-0004-0000-0800-0000540E0000}"/>
    <hyperlink ref="R1836" r:id="rId3670" xr:uid="{00000000-0004-0000-0800-0000550E0000}"/>
    <hyperlink ref="Q1837" r:id="rId3671" xr:uid="{00000000-0004-0000-0800-0000560E0000}"/>
    <hyperlink ref="R1837" r:id="rId3672" xr:uid="{00000000-0004-0000-0800-0000570E0000}"/>
    <hyperlink ref="Q1838" r:id="rId3673" xr:uid="{00000000-0004-0000-0800-0000580E0000}"/>
    <hyperlink ref="R1838" r:id="rId3674" xr:uid="{00000000-0004-0000-0800-0000590E0000}"/>
    <hyperlink ref="Q1839" r:id="rId3675" xr:uid="{00000000-0004-0000-0800-00005A0E0000}"/>
    <hyperlink ref="R1839" r:id="rId3676" xr:uid="{00000000-0004-0000-0800-00005B0E0000}"/>
    <hyperlink ref="Q1840" r:id="rId3677" xr:uid="{00000000-0004-0000-0800-00005C0E0000}"/>
    <hyperlink ref="R1840" r:id="rId3678" xr:uid="{00000000-0004-0000-0800-00005D0E0000}"/>
    <hyperlink ref="Q1841" r:id="rId3679" xr:uid="{00000000-0004-0000-0800-00005E0E0000}"/>
    <hyperlink ref="R1841" r:id="rId3680" xr:uid="{00000000-0004-0000-0800-00005F0E0000}"/>
    <hyperlink ref="Q1842" r:id="rId3681" xr:uid="{00000000-0004-0000-0800-0000600E0000}"/>
    <hyperlink ref="R1842" r:id="rId3682" xr:uid="{00000000-0004-0000-0800-0000610E0000}"/>
    <hyperlink ref="Q1843" r:id="rId3683" xr:uid="{00000000-0004-0000-0800-0000620E0000}"/>
    <hyperlink ref="R1843" r:id="rId3684" xr:uid="{00000000-0004-0000-0800-0000630E0000}"/>
    <hyperlink ref="Q1844" r:id="rId3685" xr:uid="{00000000-0004-0000-0800-0000640E0000}"/>
    <hyperlink ref="R1844" r:id="rId3686" xr:uid="{00000000-0004-0000-0800-0000650E0000}"/>
    <hyperlink ref="Q1845" r:id="rId3687" xr:uid="{00000000-0004-0000-0800-0000660E0000}"/>
    <hyperlink ref="R1845" r:id="rId3688" xr:uid="{00000000-0004-0000-0800-0000670E0000}"/>
    <hyperlink ref="Q1846" r:id="rId3689" xr:uid="{00000000-0004-0000-0800-0000680E0000}"/>
    <hyperlink ref="R1846" r:id="rId3690" xr:uid="{00000000-0004-0000-0800-0000690E0000}"/>
    <hyperlink ref="Q1847" r:id="rId3691" xr:uid="{00000000-0004-0000-0800-00006A0E0000}"/>
    <hyperlink ref="R1847" r:id="rId3692" xr:uid="{00000000-0004-0000-0800-00006B0E0000}"/>
    <hyperlink ref="Q1848" r:id="rId3693" xr:uid="{00000000-0004-0000-0800-00006C0E0000}"/>
    <hyperlink ref="R1848" r:id="rId3694" xr:uid="{00000000-0004-0000-0800-00006D0E0000}"/>
    <hyperlink ref="Q1849" r:id="rId3695" xr:uid="{00000000-0004-0000-0800-00006E0E0000}"/>
    <hyperlink ref="R1849" r:id="rId3696" xr:uid="{00000000-0004-0000-0800-00006F0E0000}"/>
    <hyperlink ref="Q1850" r:id="rId3697" xr:uid="{00000000-0004-0000-0800-0000700E0000}"/>
    <hyperlink ref="R1850" r:id="rId3698" xr:uid="{00000000-0004-0000-0800-0000710E0000}"/>
    <hyperlink ref="Q1851" r:id="rId3699" xr:uid="{00000000-0004-0000-0800-0000720E0000}"/>
    <hyperlink ref="R1851" r:id="rId3700" xr:uid="{00000000-0004-0000-0800-0000730E0000}"/>
    <hyperlink ref="Q1852" r:id="rId3701" xr:uid="{00000000-0004-0000-0800-0000740E0000}"/>
    <hyperlink ref="R1852" r:id="rId3702" xr:uid="{00000000-0004-0000-0800-0000750E0000}"/>
    <hyperlink ref="Q1853" r:id="rId3703" xr:uid="{00000000-0004-0000-0800-0000760E0000}"/>
    <hyperlink ref="R1853" r:id="rId3704" xr:uid="{00000000-0004-0000-0800-0000770E0000}"/>
    <hyperlink ref="Q1854" r:id="rId3705" xr:uid="{00000000-0004-0000-0800-0000780E0000}"/>
    <hyperlink ref="R1854" r:id="rId3706" xr:uid="{00000000-0004-0000-0800-0000790E0000}"/>
    <hyperlink ref="Q1855" r:id="rId3707" xr:uid="{00000000-0004-0000-0800-00007A0E0000}"/>
    <hyperlink ref="R1855" r:id="rId3708" xr:uid="{00000000-0004-0000-0800-00007B0E0000}"/>
    <hyperlink ref="Q1856" r:id="rId3709" xr:uid="{00000000-0004-0000-0800-00007C0E0000}"/>
    <hyperlink ref="R1856" r:id="rId3710" xr:uid="{00000000-0004-0000-0800-00007D0E0000}"/>
    <hyperlink ref="Q1857" r:id="rId3711" xr:uid="{00000000-0004-0000-0800-00007E0E0000}"/>
    <hyperlink ref="R1857" r:id="rId3712" xr:uid="{00000000-0004-0000-0800-00007F0E0000}"/>
    <hyperlink ref="Q1858" r:id="rId3713" xr:uid="{00000000-0004-0000-0800-0000800E0000}"/>
    <hyperlink ref="R1858" r:id="rId3714" xr:uid="{00000000-0004-0000-0800-0000810E0000}"/>
    <hyperlink ref="Q1859" r:id="rId3715" xr:uid="{00000000-0004-0000-0800-0000820E0000}"/>
    <hyperlink ref="R1859" r:id="rId3716" xr:uid="{00000000-0004-0000-0800-0000830E0000}"/>
    <hyperlink ref="Q1860" r:id="rId3717" xr:uid="{00000000-0004-0000-0800-0000840E0000}"/>
    <hyperlink ref="R1860" r:id="rId3718" xr:uid="{00000000-0004-0000-0800-0000850E0000}"/>
    <hyperlink ref="Q1861" r:id="rId3719" xr:uid="{00000000-0004-0000-0800-0000860E0000}"/>
    <hyperlink ref="R1861" r:id="rId3720" xr:uid="{00000000-0004-0000-0800-0000870E0000}"/>
    <hyperlink ref="Q1862" r:id="rId3721" xr:uid="{00000000-0004-0000-0800-0000880E0000}"/>
    <hyperlink ref="R1862" r:id="rId3722" xr:uid="{00000000-0004-0000-0800-0000890E0000}"/>
    <hyperlink ref="Q1863" r:id="rId3723" xr:uid="{00000000-0004-0000-0800-00008A0E0000}"/>
    <hyperlink ref="R1863" r:id="rId3724" xr:uid="{00000000-0004-0000-0800-00008B0E0000}"/>
    <hyperlink ref="Q1864" r:id="rId3725" xr:uid="{00000000-0004-0000-0800-00008C0E0000}"/>
    <hyperlink ref="R1864" r:id="rId3726" xr:uid="{00000000-0004-0000-0800-00008D0E0000}"/>
    <hyperlink ref="Q1865" r:id="rId3727" xr:uid="{00000000-0004-0000-0800-00008E0E0000}"/>
    <hyperlink ref="R1865" r:id="rId3728" xr:uid="{00000000-0004-0000-0800-00008F0E0000}"/>
    <hyperlink ref="Q1866" r:id="rId3729" xr:uid="{00000000-0004-0000-0800-0000900E0000}"/>
    <hyperlink ref="R1866" r:id="rId3730" xr:uid="{00000000-0004-0000-0800-0000910E0000}"/>
    <hyperlink ref="Q1867" r:id="rId3731" xr:uid="{00000000-0004-0000-0800-0000920E0000}"/>
    <hyperlink ref="R1867" r:id="rId3732" xr:uid="{00000000-0004-0000-0800-0000930E0000}"/>
    <hyperlink ref="Q1868" r:id="rId3733" xr:uid="{00000000-0004-0000-0800-0000940E0000}"/>
    <hyperlink ref="R1868" r:id="rId3734" xr:uid="{00000000-0004-0000-0800-0000950E0000}"/>
    <hyperlink ref="Q1869" r:id="rId3735" xr:uid="{00000000-0004-0000-0800-0000960E0000}"/>
    <hyperlink ref="R1869" r:id="rId3736" xr:uid="{00000000-0004-0000-0800-0000970E0000}"/>
    <hyperlink ref="Q1870" r:id="rId3737" xr:uid="{00000000-0004-0000-0800-0000980E0000}"/>
    <hyperlink ref="R1870" r:id="rId3738" xr:uid="{00000000-0004-0000-0800-0000990E0000}"/>
    <hyperlink ref="Q1871" r:id="rId3739" xr:uid="{00000000-0004-0000-0800-00009A0E0000}"/>
    <hyperlink ref="R1871" r:id="rId3740" xr:uid="{00000000-0004-0000-0800-00009B0E0000}"/>
    <hyperlink ref="Q1872" r:id="rId3741" xr:uid="{00000000-0004-0000-0800-00009C0E0000}"/>
    <hyperlink ref="R1872" r:id="rId3742" xr:uid="{00000000-0004-0000-0800-00009D0E0000}"/>
    <hyperlink ref="Q1873" r:id="rId3743" xr:uid="{00000000-0004-0000-0800-00009E0E0000}"/>
    <hyperlink ref="R1873" r:id="rId3744" xr:uid="{00000000-0004-0000-0800-00009F0E0000}"/>
    <hyperlink ref="Q1874" r:id="rId3745" xr:uid="{00000000-0004-0000-0800-0000A00E0000}"/>
    <hyperlink ref="R1874" r:id="rId3746" xr:uid="{00000000-0004-0000-0800-0000A10E0000}"/>
    <hyperlink ref="Q1875" r:id="rId3747" xr:uid="{00000000-0004-0000-0800-0000A20E0000}"/>
    <hyperlink ref="R1875" r:id="rId3748" xr:uid="{00000000-0004-0000-0800-0000A30E0000}"/>
    <hyperlink ref="Q1876" r:id="rId3749" xr:uid="{00000000-0004-0000-0800-0000A40E0000}"/>
    <hyperlink ref="R1876" r:id="rId3750" xr:uid="{00000000-0004-0000-0800-0000A50E0000}"/>
    <hyperlink ref="Q1877" r:id="rId3751" xr:uid="{00000000-0004-0000-0800-0000A60E0000}"/>
    <hyperlink ref="R1877" r:id="rId3752" xr:uid="{00000000-0004-0000-0800-0000A70E0000}"/>
    <hyperlink ref="Q1878" r:id="rId3753" xr:uid="{00000000-0004-0000-0800-0000A80E0000}"/>
    <hyperlink ref="R1878" r:id="rId3754" xr:uid="{00000000-0004-0000-0800-0000A90E0000}"/>
    <hyperlink ref="Q1879" r:id="rId3755" xr:uid="{00000000-0004-0000-0800-0000AA0E0000}"/>
    <hyperlink ref="R1879" r:id="rId3756" xr:uid="{00000000-0004-0000-0800-0000AB0E0000}"/>
    <hyperlink ref="Q1880" r:id="rId3757" xr:uid="{00000000-0004-0000-0800-0000AC0E0000}"/>
    <hyperlink ref="R1880" r:id="rId3758" xr:uid="{00000000-0004-0000-0800-0000AD0E0000}"/>
    <hyperlink ref="Q1881" r:id="rId3759" xr:uid="{00000000-0004-0000-0800-0000AE0E0000}"/>
    <hyperlink ref="R1881" r:id="rId3760" xr:uid="{00000000-0004-0000-0800-0000AF0E0000}"/>
    <hyperlink ref="Q1882" r:id="rId3761" xr:uid="{00000000-0004-0000-0800-0000B00E0000}"/>
    <hyperlink ref="R1882" r:id="rId3762" xr:uid="{00000000-0004-0000-0800-0000B10E0000}"/>
    <hyperlink ref="Q1883" r:id="rId3763" xr:uid="{00000000-0004-0000-0800-0000B20E0000}"/>
    <hyperlink ref="R1883" r:id="rId3764" xr:uid="{00000000-0004-0000-0800-0000B30E0000}"/>
    <hyperlink ref="Q1884" r:id="rId3765" xr:uid="{00000000-0004-0000-0800-0000B40E0000}"/>
    <hyperlink ref="R1884" r:id="rId3766" xr:uid="{00000000-0004-0000-0800-0000B50E0000}"/>
    <hyperlink ref="Q1885" r:id="rId3767" xr:uid="{00000000-0004-0000-0800-0000B60E0000}"/>
    <hyperlink ref="R1885" r:id="rId3768" xr:uid="{00000000-0004-0000-0800-0000B70E0000}"/>
    <hyperlink ref="Q1886" r:id="rId3769" xr:uid="{00000000-0004-0000-0800-0000B80E0000}"/>
    <hyperlink ref="R1886" r:id="rId3770" xr:uid="{00000000-0004-0000-0800-0000B90E0000}"/>
    <hyperlink ref="Q1887" r:id="rId3771" xr:uid="{00000000-0004-0000-0800-0000BA0E0000}"/>
    <hyperlink ref="R1887" r:id="rId3772" xr:uid="{00000000-0004-0000-0800-0000BB0E0000}"/>
    <hyperlink ref="Q1888" r:id="rId3773" xr:uid="{00000000-0004-0000-0800-0000BC0E0000}"/>
    <hyperlink ref="R1888" r:id="rId3774" xr:uid="{00000000-0004-0000-0800-0000BD0E0000}"/>
    <hyperlink ref="Q1889" r:id="rId3775" xr:uid="{00000000-0004-0000-0800-0000BE0E0000}"/>
    <hyperlink ref="R1889" r:id="rId3776" xr:uid="{00000000-0004-0000-0800-0000BF0E0000}"/>
    <hyperlink ref="Q1890" r:id="rId3777" xr:uid="{00000000-0004-0000-0800-0000C00E0000}"/>
    <hyperlink ref="R1890" r:id="rId3778" xr:uid="{00000000-0004-0000-0800-0000C10E0000}"/>
    <hyperlink ref="Q1891" r:id="rId3779" xr:uid="{00000000-0004-0000-0800-0000C20E0000}"/>
    <hyperlink ref="R1891" r:id="rId3780" xr:uid="{00000000-0004-0000-0800-0000C30E0000}"/>
    <hyperlink ref="Q1892" r:id="rId3781" xr:uid="{00000000-0004-0000-0800-0000C40E0000}"/>
    <hyperlink ref="R1892" r:id="rId3782" xr:uid="{00000000-0004-0000-0800-0000C50E0000}"/>
    <hyperlink ref="Q1893" r:id="rId3783" xr:uid="{00000000-0004-0000-0800-0000C60E0000}"/>
    <hyperlink ref="R1893" r:id="rId3784" xr:uid="{00000000-0004-0000-0800-0000C70E0000}"/>
    <hyperlink ref="Q1894" r:id="rId3785" xr:uid="{00000000-0004-0000-0800-0000C80E0000}"/>
    <hyperlink ref="R1894" r:id="rId3786" xr:uid="{00000000-0004-0000-0800-0000C90E0000}"/>
    <hyperlink ref="Q1895" r:id="rId3787" xr:uid="{00000000-0004-0000-0800-0000CA0E0000}"/>
    <hyperlink ref="R1895" r:id="rId3788" xr:uid="{00000000-0004-0000-0800-0000CB0E0000}"/>
    <hyperlink ref="Q1896" r:id="rId3789" xr:uid="{00000000-0004-0000-0800-0000CC0E0000}"/>
    <hyperlink ref="R1896" r:id="rId3790" xr:uid="{00000000-0004-0000-0800-0000CD0E0000}"/>
    <hyperlink ref="Q1897" r:id="rId3791" xr:uid="{00000000-0004-0000-0800-0000CE0E0000}"/>
    <hyperlink ref="R1897" r:id="rId3792" xr:uid="{00000000-0004-0000-0800-0000CF0E0000}"/>
    <hyperlink ref="Q1898" r:id="rId3793" xr:uid="{00000000-0004-0000-0800-0000D00E0000}"/>
    <hyperlink ref="R1898" r:id="rId3794" xr:uid="{00000000-0004-0000-0800-0000D10E0000}"/>
    <hyperlink ref="Q1899" r:id="rId3795" xr:uid="{00000000-0004-0000-0800-0000D20E0000}"/>
    <hyperlink ref="R1899" r:id="rId3796" xr:uid="{00000000-0004-0000-0800-0000D30E0000}"/>
    <hyperlink ref="Q1900" r:id="rId3797" xr:uid="{00000000-0004-0000-0800-0000D40E0000}"/>
    <hyperlink ref="R1900" r:id="rId3798" xr:uid="{00000000-0004-0000-0800-0000D50E0000}"/>
    <hyperlink ref="Q1901" r:id="rId3799" xr:uid="{00000000-0004-0000-0800-0000D60E0000}"/>
    <hyperlink ref="R1901" r:id="rId3800" xr:uid="{00000000-0004-0000-0800-0000D70E0000}"/>
    <hyperlink ref="Q1902" r:id="rId3801" xr:uid="{00000000-0004-0000-0800-0000D80E0000}"/>
    <hyperlink ref="R1902" r:id="rId3802" xr:uid="{00000000-0004-0000-0800-0000D90E0000}"/>
    <hyperlink ref="Q1903" r:id="rId3803" xr:uid="{00000000-0004-0000-0800-0000DA0E0000}"/>
    <hyperlink ref="R1903" r:id="rId3804" xr:uid="{00000000-0004-0000-0800-0000DB0E0000}"/>
    <hyperlink ref="Q1904" r:id="rId3805" xr:uid="{00000000-0004-0000-0800-0000DC0E0000}"/>
    <hyperlink ref="R1904" r:id="rId3806" xr:uid="{00000000-0004-0000-0800-0000DD0E0000}"/>
    <hyperlink ref="Q1905" r:id="rId3807" xr:uid="{00000000-0004-0000-0800-0000DE0E0000}"/>
    <hyperlink ref="R1905" r:id="rId3808" xr:uid="{00000000-0004-0000-0800-0000DF0E0000}"/>
    <hyperlink ref="Q1906" r:id="rId3809" xr:uid="{00000000-0004-0000-0800-0000E00E0000}"/>
    <hyperlink ref="R1906" r:id="rId3810" xr:uid="{00000000-0004-0000-0800-0000E10E0000}"/>
    <hyperlink ref="Q1907" r:id="rId3811" xr:uid="{00000000-0004-0000-0800-0000E20E0000}"/>
    <hyperlink ref="R1907" r:id="rId3812" xr:uid="{00000000-0004-0000-0800-0000E30E0000}"/>
    <hyperlink ref="Q1908" r:id="rId3813" xr:uid="{00000000-0004-0000-0800-0000E40E0000}"/>
    <hyperlink ref="R1908" r:id="rId3814" xr:uid="{00000000-0004-0000-0800-0000E50E0000}"/>
    <hyperlink ref="Q1909" r:id="rId3815" xr:uid="{00000000-0004-0000-0800-0000E60E0000}"/>
    <hyperlink ref="R1909" r:id="rId3816" xr:uid="{00000000-0004-0000-0800-0000E70E0000}"/>
    <hyperlink ref="Q1910" r:id="rId3817" xr:uid="{00000000-0004-0000-0800-0000E80E0000}"/>
    <hyperlink ref="R1910" r:id="rId3818" xr:uid="{00000000-0004-0000-0800-0000E90E0000}"/>
    <hyperlink ref="Q1911" r:id="rId3819" xr:uid="{00000000-0004-0000-0800-0000EA0E0000}"/>
    <hyperlink ref="R1911" r:id="rId3820" xr:uid="{00000000-0004-0000-0800-0000EB0E0000}"/>
    <hyperlink ref="Q1912" r:id="rId3821" xr:uid="{00000000-0004-0000-0800-0000EC0E0000}"/>
    <hyperlink ref="R1912" r:id="rId3822" xr:uid="{00000000-0004-0000-0800-0000ED0E0000}"/>
    <hyperlink ref="Q1913" r:id="rId3823" xr:uid="{00000000-0004-0000-0800-0000EE0E0000}"/>
    <hyperlink ref="R1913" r:id="rId3824" xr:uid="{00000000-0004-0000-0800-0000EF0E0000}"/>
    <hyperlink ref="Q1914" r:id="rId3825" xr:uid="{00000000-0004-0000-0800-0000F00E0000}"/>
    <hyperlink ref="R1914" r:id="rId3826" xr:uid="{00000000-0004-0000-0800-0000F10E0000}"/>
    <hyperlink ref="Q1915" r:id="rId3827" xr:uid="{00000000-0004-0000-0800-0000F20E0000}"/>
    <hyperlink ref="R1915" r:id="rId3828" xr:uid="{00000000-0004-0000-0800-0000F30E0000}"/>
    <hyperlink ref="Q1916" r:id="rId3829" xr:uid="{00000000-0004-0000-0800-0000F40E0000}"/>
    <hyperlink ref="R1916" r:id="rId3830" xr:uid="{00000000-0004-0000-0800-0000F50E0000}"/>
    <hyperlink ref="Q1917" r:id="rId3831" xr:uid="{00000000-0004-0000-0800-0000F60E0000}"/>
    <hyperlink ref="R1917" r:id="rId3832" xr:uid="{00000000-0004-0000-0800-0000F70E0000}"/>
    <hyperlink ref="Q1918" r:id="rId3833" xr:uid="{00000000-0004-0000-0800-0000F80E0000}"/>
    <hyperlink ref="R1918" r:id="rId3834" xr:uid="{00000000-0004-0000-0800-0000F90E0000}"/>
    <hyperlink ref="Q1919" r:id="rId3835" xr:uid="{00000000-0004-0000-0800-0000FA0E0000}"/>
    <hyperlink ref="R1919" r:id="rId3836" xr:uid="{00000000-0004-0000-0800-0000FB0E0000}"/>
    <hyperlink ref="Q1920" r:id="rId3837" xr:uid="{00000000-0004-0000-0800-0000FC0E0000}"/>
    <hyperlink ref="R1920" r:id="rId3838" xr:uid="{00000000-0004-0000-0800-0000FD0E0000}"/>
    <hyperlink ref="Q1921" r:id="rId3839" xr:uid="{00000000-0004-0000-0800-0000FE0E0000}"/>
    <hyperlink ref="R1921" r:id="rId3840" xr:uid="{00000000-0004-0000-0800-0000FF0E0000}"/>
    <hyperlink ref="Q1922" r:id="rId3841" xr:uid="{00000000-0004-0000-0800-0000000F0000}"/>
    <hyperlink ref="R1922" r:id="rId3842" xr:uid="{00000000-0004-0000-0800-0000010F0000}"/>
    <hyperlink ref="Q1923" r:id="rId3843" xr:uid="{00000000-0004-0000-0800-0000020F0000}"/>
    <hyperlink ref="R1923" r:id="rId3844" xr:uid="{00000000-0004-0000-0800-0000030F0000}"/>
    <hyperlink ref="Q1924" r:id="rId3845" xr:uid="{00000000-0004-0000-0800-0000040F0000}"/>
    <hyperlink ref="R1924" r:id="rId3846" xr:uid="{00000000-0004-0000-0800-0000050F0000}"/>
    <hyperlink ref="Q1925" r:id="rId3847" xr:uid="{00000000-0004-0000-0800-0000060F0000}"/>
    <hyperlink ref="R1925" r:id="rId3848" xr:uid="{00000000-0004-0000-0800-0000070F0000}"/>
    <hyperlink ref="Q1926" r:id="rId3849" xr:uid="{00000000-0004-0000-0800-0000080F0000}"/>
    <hyperlink ref="R1926" r:id="rId3850" xr:uid="{00000000-0004-0000-0800-0000090F0000}"/>
    <hyperlink ref="Q1927" r:id="rId3851" xr:uid="{00000000-0004-0000-0800-00000A0F0000}"/>
    <hyperlink ref="R1927" r:id="rId3852" xr:uid="{00000000-0004-0000-0800-00000B0F0000}"/>
    <hyperlink ref="Q1928" r:id="rId3853" xr:uid="{00000000-0004-0000-0800-00000C0F0000}"/>
    <hyperlink ref="R1928" r:id="rId3854" xr:uid="{00000000-0004-0000-0800-00000D0F0000}"/>
    <hyperlink ref="Q1929" r:id="rId3855" xr:uid="{00000000-0004-0000-0800-00000E0F0000}"/>
    <hyperlink ref="R1929" r:id="rId3856" xr:uid="{00000000-0004-0000-0800-00000F0F0000}"/>
    <hyperlink ref="Q1930" r:id="rId3857" xr:uid="{00000000-0004-0000-0800-0000100F0000}"/>
    <hyperlink ref="R1930" r:id="rId3858" xr:uid="{00000000-0004-0000-0800-0000110F0000}"/>
    <hyperlink ref="Q1931" r:id="rId3859" xr:uid="{00000000-0004-0000-0800-0000120F0000}"/>
    <hyperlink ref="R1931" r:id="rId3860" xr:uid="{00000000-0004-0000-0800-0000130F0000}"/>
    <hyperlink ref="Q1932" r:id="rId3861" xr:uid="{00000000-0004-0000-0800-0000140F0000}"/>
    <hyperlink ref="R1932" r:id="rId3862" xr:uid="{00000000-0004-0000-0800-0000150F0000}"/>
    <hyperlink ref="Q1933" r:id="rId3863" xr:uid="{00000000-0004-0000-0800-0000160F0000}"/>
    <hyperlink ref="R1933" r:id="rId3864" xr:uid="{00000000-0004-0000-0800-0000170F0000}"/>
    <hyperlink ref="Q1934" r:id="rId3865" xr:uid="{00000000-0004-0000-0800-0000180F0000}"/>
    <hyperlink ref="R1934" r:id="rId3866" xr:uid="{00000000-0004-0000-0800-0000190F0000}"/>
    <hyperlink ref="Q1935" r:id="rId3867" xr:uid="{00000000-0004-0000-0800-00001A0F0000}"/>
    <hyperlink ref="R1935" r:id="rId3868" xr:uid="{00000000-0004-0000-0800-00001B0F0000}"/>
    <hyperlink ref="Q1936" r:id="rId3869" xr:uid="{00000000-0004-0000-0800-00001C0F0000}"/>
    <hyperlink ref="R1936" r:id="rId3870" xr:uid="{00000000-0004-0000-0800-00001D0F0000}"/>
    <hyperlink ref="Q1937" r:id="rId3871" xr:uid="{00000000-0004-0000-0800-00001E0F0000}"/>
    <hyperlink ref="R1937" r:id="rId3872" xr:uid="{00000000-0004-0000-0800-00001F0F0000}"/>
    <hyperlink ref="Q1938" r:id="rId3873" xr:uid="{00000000-0004-0000-0800-0000200F0000}"/>
    <hyperlink ref="R1938" r:id="rId3874" xr:uid="{00000000-0004-0000-0800-0000210F0000}"/>
    <hyperlink ref="Q1939" r:id="rId3875" xr:uid="{00000000-0004-0000-0800-0000220F0000}"/>
    <hyperlink ref="R1939" r:id="rId3876" xr:uid="{00000000-0004-0000-0800-0000230F0000}"/>
    <hyperlink ref="Q1940" r:id="rId3877" xr:uid="{00000000-0004-0000-0800-0000240F0000}"/>
    <hyperlink ref="R1940" r:id="rId3878" xr:uid="{00000000-0004-0000-0800-0000250F0000}"/>
    <hyperlink ref="Q1941" r:id="rId3879" xr:uid="{00000000-0004-0000-0800-0000260F0000}"/>
    <hyperlink ref="R1941" r:id="rId3880" xr:uid="{00000000-0004-0000-0800-0000270F0000}"/>
    <hyperlink ref="Q1942" r:id="rId3881" xr:uid="{00000000-0004-0000-0800-0000280F0000}"/>
    <hyperlink ref="R1942" r:id="rId3882" xr:uid="{00000000-0004-0000-0800-0000290F0000}"/>
    <hyperlink ref="Q1943" r:id="rId3883" xr:uid="{00000000-0004-0000-0800-00002A0F0000}"/>
    <hyperlink ref="R1943" r:id="rId3884" xr:uid="{00000000-0004-0000-0800-00002B0F0000}"/>
    <hyperlink ref="Q1944" r:id="rId3885" xr:uid="{00000000-0004-0000-0800-00002C0F0000}"/>
    <hyperlink ref="R1944" r:id="rId3886" xr:uid="{00000000-0004-0000-0800-00002D0F0000}"/>
    <hyperlink ref="Q1945" r:id="rId3887" xr:uid="{00000000-0004-0000-0800-00002E0F0000}"/>
    <hyperlink ref="R1945" r:id="rId3888" xr:uid="{00000000-0004-0000-0800-00002F0F0000}"/>
    <hyperlink ref="Q1946" r:id="rId3889" xr:uid="{00000000-0004-0000-0800-0000300F0000}"/>
    <hyperlink ref="R1946" r:id="rId3890" xr:uid="{00000000-0004-0000-0800-0000310F0000}"/>
    <hyperlink ref="Q1947" r:id="rId3891" xr:uid="{00000000-0004-0000-0800-0000320F0000}"/>
    <hyperlink ref="R1947" r:id="rId3892" xr:uid="{00000000-0004-0000-0800-0000330F0000}"/>
    <hyperlink ref="Q1948" r:id="rId3893" xr:uid="{00000000-0004-0000-0800-0000340F0000}"/>
    <hyperlink ref="R1948" r:id="rId3894" xr:uid="{00000000-0004-0000-0800-0000350F0000}"/>
    <hyperlink ref="Q1949" r:id="rId3895" xr:uid="{00000000-0004-0000-0800-0000360F0000}"/>
    <hyperlink ref="R1949" r:id="rId3896" xr:uid="{00000000-0004-0000-0800-0000370F0000}"/>
    <hyperlink ref="Q1950" r:id="rId3897" xr:uid="{00000000-0004-0000-0800-0000380F0000}"/>
    <hyperlink ref="R1950" r:id="rId3898" xr:uid="{00000000-0004-0000-0800-0000390F0000}"/>
    <hyperlink ref="Q1951" r:id="rId3899" xr:uid="{00000000-0004-0000-0800-00003A0F0000}"/>
    <hyperlink ref="R1951" r:id="rId3900" xr:uid="{00000000-0004-0000-0800-00003B0F0000}"/>
    <hyperlink ref="Q1952" r:id="rId3901" xr:uid="{00000000-0004-0000-0800-00003C0F0000}"/>
    <hyperlink ref="R1952" r:id="rId3902" xr:uid="{00000000-0004-0000-0800-00003D0F0000}"/>
    <hyperlink ref="Q1953" r:id="rId3903" xr:uid="{00000000-0004-0000-0800-00003E0F0000}"/>
    <hyperlink ref="R1953" r:id="rId3904" xr:uid="{00000000-0004-0000-0800-00003F0F0000}"/>
    <hyperlink ref="Q1954" r:id="rId3905" xr:uid="{00000000-0004-0000-0800-0000400F0000}"/>
    <hyperlink ref="R1954" r:id="rId3906" xr:uid="{00000000-0004-0000-0800-0000410F0000}"/>
    <hyperlink ref="Q1955" r:id="rId3907" xr:uid="{00000000-0004-0000-0800-0000420F0000}"/>
    <hyperlink ref="R1955" r:id="rId3908" xr:uid="{00000000-0004-0000-0800-0000430F0000}"/>
    <hyperlink ref="Q1956" r:id="rId3909" xr:uid="{00000000-0004-0000-0800-0000440F0000}"/>
    <hyperlink ref="R1956" r:id="rId3910" xr:uid="{00000000-0004-0000-0800-0000450F0000}"/>
    <hyperlink ref="Q1957" r:id="rId3911" xr:uid="{00000000-0004-0000-0800-0000460F0000}"/>
    <hyperlink ref="R1957" r:id="rId3912" xr:uid="{00000000-0004-0000-0800-0000470F0000}"/>
    <hyperlink ref="Q1958" r:id="rId3913" xr:uid="{00000000-0004-0000-0800-0000480F0000}"/>
    <hyperlink ref="R1958" r:id="rId3914" xr:uid="{00000000-0004-0000-0800-0000490F0000}"/>
    <hyperlink ref="Q1959" r:id="rId3915" xr:uid="{00000000-0004-0000-0800-00004A0F0000}"/>
    <hyperlink ref="R1959" r:id="rId3916" xr:uid="{00000000-0004-0000-0800-00004B0F0000}"/>
    <hyperlink ref="Q1960" r:id="rId3917" xr:uid="{00000000-0004-0000-0800-00004C0F0000}"/>
    <hyperlink ref="R1960" r:id="rId3918" xr:uid="{00000000-0004-0000-0800-00004D0F0000}"/>
    <hyperlink ref="Q1961" r:id="rId3919" xr:uid="{00000000-0004-0000-0800-00004E0F0000}"/>
    <hyperlink ref="R1961" r:id="rId3920" xr:uid="{00000000-0004-0000-0800-00004F0F0000}"/>
    <hyperlink ref="Q1962" r:id="rId3921" xr:uid="{00000000-0004-0000-0800-0000500F0000}"/>
    <hyperlink ref="R1962" r:id="rId3922" xr:uid="{00000000-0004-0000-0800-0000510F0000}"/>
    <hyperlink ref="Q1963" r:id="rId3923" xr:uid="{00000000-0004-0000-0800-0000520F0000}"/>
    <hyperlink ref="R1963" r:id="rId3924" xr:uid="{00000000-0004-0000-0800-0000530F0000}"/>
    <hyperlink ref="Q1964" r:id="rId3925" xr:uid="{00000000-0004-0000-0800-0000540F0000}"/>
    <hyperlink ref="R1964" r:id="rId3926" xr:uid="{00000000-0004-0000-0800-0000550F0000}"/>
    <hyperlink ref="Q1965" r:id="rId3927" xr:uid="{00000000-0004-0000-0800-0000560F0000}"/>
    <hyperlink ref="R1965" r:id="rId3928" xr:uid="{00000000-0004-0000-0800-0000570F0000}"/>
    <hyperlink ref="Q1966" r:id="rId3929" xr:uid="{00000000-0004-0000-0800-0000580F0000}"/>
    <hyperlink ref="R1966" r:id="rId3930" xr:uid="{00000000-0004-0000-0800-0000590F0000}"/>
    <hyperlink ref="Q1967" r:id="rId3931" xr:uid="{00000000-0004-0000-0800-00005A0F0000}"/>
    <hyperlink ref="R1967" r:id="rId3932" xr:uid="{00000000-0004-0000-0800-00005B0F0000}"/>
    <hyperlink ref="Q1968" r:id="rId3933" xr:uid="{00000000-0004-0000-0800-00005C0F0000}"/>
    <hyperlink ref="R1968" r:id="rId3934" xr:uid="{00000000-0004-0000-0800-00005D0F0000}"/>
    <hyperlink ref="Q1969" r:id="rId3935" xr:uid="{00000000-0004-0000-0800-00005E0F0000}"/>
    <hyperlink ref="R1969" r:id="rId3936" xr:uid="{00000000-0004-0000-0800-00005F0F0000}"/>
    <hyperlink ref="Q1970" r:id="rId3937" xr:uid="{00000000-0004-0000-0800-0000600F0000}"/>
    <hyperlink ref="R1970" r:id="rId3938" xr:uid="{00000000-0004-0000-0800-0000610F0000}"/>
    <hyperlink ref="Q1971" r:id="rId3939" xr:uid="{00000000-0004-0000-0800-0000620F0000}"/>
    <hyperlink ref="R1971" r:id="rId3940" xr:uid="{00000000-0004-0000-0800-0000630F0000}"/>
    <hyperlink ref="Q1972" r:id="rId3941" xr:uid="{00000000-0004-0000-0800-0000640F0000}"/>
    <hyperlink ref="R1972" r:id="rId3942" xr:uid="{00000000-0004-0000-0800-0000650F0000}"/>
    <hyperlink ref="Q1973" r:id="rId3943" xr:uid="{00000000-0004-0000-0800-0000660F0000}"/>
    <hyperlink ref="R1973" r:id="rId3944" xr:uid="{00000000-0004-0000-0800-0000670F0000}"/>
    <hyperlink ref="Q1974" r:id="rId3945" xr:uid="{00000000-0004-0000-0800-0000680F0000}"/>
    <hyperlink ref="R1974" r:id="rId3946" xr:uid="{00000000-0004-0000-0800-0000690F0000}"/>
    <hyperlink ref="Q1975" r:id="rId3947" xr:uid="{00000000-0004-0000-0800-00006A0F0000}"/>
    <hyperlink ref="R1975" r:id="rId3948" xr:uid="{00000000-0004-0000-0800-00006B0F0000}"/>
    <hyperlink ref="Q1976" r:id="rId3949" xr:uid="{00000000-0004-0000-0800-00006C0F0000}"/>
    <hyperlink ref="R1976" r:id="rId3950" xr:uid="{00000000-0004-0000-0800-00006D0F0000}"/>
    <hyperlink ref="Q1977" r:id="rId3951" xr:uid="{00000000-0004-0000-0800-00006E0F0000}"/>
    <hyperlink ref="R1977" r:id="rId3952" xr:uid="{00000000-0004-0000-0800-00006F0F0000}"/>
    <hyperlink ref="Q1978" r:id="rId3953" xr:uid="{00000000-0004-0000-0800-0000700F0000}"/>
    <hyperlink ref="R1978" r:id="rId3954" xr:uid="{00000000-0004-0000-0800-0000710F0000}"/>
    <hyperlink ref="Q1979" r:id="rId3955" xr:uid="{00000000-0004-0000-0800-0000720F0000}"/>
    <hyperlink ref="R1979" r:id="rId3956" xr:uid="{00000000-0004-0000-0800-0000730F0000}"/>
    <hyperlink ref="Q1980" r:id="rId3957" xr:uid="{00000000-0004-0000-0800-0000740F0000}"/>
    <hyperlink ref="R1980" r:id="rId3958" xr:uid="{00000000-0004-0000-0800-0000750F0000}"/>
    <hyperlink ref="Q1981" r:id="rId3959" xr:uid="{00000000-0004-0000-0800-0000760F0000}"/>
    <hyperlink ref="R1981" r:id="rId3960" xr:uid="{00000000-0004-0000-0800-0000770F0000}"/>
    <hyperlink ref="Q1982" r:id="rId3961" xr:uid="{00000000-0004-0000-0800-0000780F0000}"/>
    <hyperlink ref="R1982" r:id="rId3962" xr:uid="{00000000-0004-0000-0800-0000790F0000}"/>
    <hyperlink ref="Q1983" r:id="rId3963" xr:uid="{00000000-0004-0000-0800-00007A0F0000}"/>
    <hyperlink ref="R1983" r:id="rId3964" xr:uid="{00000000-0004-0000-0800-00007B0F0000}"/>
    <hyperlink ref="Q1984" r:id="rId3965" xr:uid="{00000000-0004-0000-0800-00007C0F0000}"/>
    <hyperlink ref="R1984" r:id="rId3966" xr:uid="{00000000-0004-0000-0800-00007D0F0000}"/>
    <hyperlink ref="Q1985" r:id="rId3967" xr:uid="{00000000-0004-0000-0800-00007E0F0000}"/>
    <hyperlink ref="R1985" r:id="rId3968" xr:uid="{00000000-0004-0000-0800-00007F0F0000}"/>
    <hyperlink ref="Q1986" r:id="rId3969" xr:uid="{00000000-0004-0000-0800-0000800F0000}"/>
    <hyperlink ref="R1986" r:id="rId3970" xr:uid="{00000000-0004-0000-0800-0000810F0000}"/>
    <hyperlink ref="Q1987" r:id="rId3971" xr:uid="{00000000-0004-0000-0800-0000820F0000}"/>
    <hyperlink ref="R1987" r:id="rId3972" xr:uid="{00000000-0004-0000-0800-0000830F0000}"/>
    <hyperlink ref="Q1988" r:id="rId3973" xr:uid="{00000000-0004-0000-0800-0000840F0000}"/>
    <hyperlink ref="R1988" r:id="rId3974" xr:uid="{00000000-0004-0000-0800-0000850F0000}"/>
    <hyperlink ref="Q1989" r:id="rId3975" xr:uid="{00000000-0004-0000-0800-0000860F0000}"/>
    <hyperlink ref="R1989" r:id="rId3976" xr:uid="{00000000-0004-0000-0800-0000870F0000}"/>
    <hyperlink ref="Q1990" r:id="rId3977" xr:uid="{00000000-0004-0000-0800-0000880F0000}"/>
    <hyperlink ref="R1990" r:id="rId3978" xr:uid="{00000000-0004-0000-0800-0000890F0000}"/>
    <hyperlink ref="Q1991" r:id="rId3979" xr:uid="{00000000-0004-0000-0800-00008A0F0000}"/>
    <hyperlink ref="R1991" r:id="rId3980" xr:uid="{00000000-0004-0000-0800-00008B0F0000}"/>
    <hyperlink ref="Q1992" r:id="rId3981" xr:uid="{00000000-0004-0000-0800-00008C0F0000}"/>
    <hyperlink ref="R1992" r:id="rId3982" xr:uid="{00000000-0004-0000-0800-00008D0F0000}"/>
    <hyperlink ref="Q1993" r:id="rId3983" xr:uid="{00000000-0004-0000-0800-00008E0F0000}"/>
    <hyperlink ref="R1993" r:id="rId3984" xr:uid="{00000000-0004-0000-0800-00008F0F0000}"/>
    <hyperlink ref="Q1994" r:id="rId3985" xr:uid="{00000000-0004-0000-0800-0000900F0000}"/>
    <hyperlink ref="R1994" r:id="rId3986" xr:uid="{00000000-0004-0000-0800-0000910F0000}"/>
    <hyperlink ref="Q1995" r:id="rId3987" xr:uid="{00000000-0004-0000-0800-0000920F0000}"/>
    <hyperlink ref="R1995" r:id="rId3988" xr:uid="{00000000-0004-0000-0800-0000930F0000}"/>
    <hyperlink ref="Q1996" r:id="rId3989" xr:uid="{00000000-0004-0000-0800-0000940F0000}"/>
    <hyperlink ref="R1996" r:id="rId3990" xr:uid="{00000000-0004-0000-0800-0000950F0000}"/>
    <hyperlink ref="Q1997" r:id="rId3991" xr:uid="{00000000-0004-0000-0800-0000960F0000}"/>
    <hyperlink ref="R1997" r:id="rId3992" xr:uid="{00000000-0004-0000-0800-0000970F0000}"/>
    <hyperlink ref="Q1998" r:id="rId3993" xr:uid="{00000000-0004-0000-0800-0000980F0000}"/>
    <hyperlink ref="R1998" r:id="rId3994" xr:uid="{00000000-0004-0000-0800-0000990F0000}"/>
    <hyperlink ref="Q1999" r:id="rId3995" xr:uid="{00000000-0004-0000-0800-00009A0F0000}"/>
    <hyperlink ref="R1999" r:id="rId3996" xr:uid="{00000000-0004-0000-0800-00009B0F0000}"/>
    <hyperlink ref="Q2000" r:id="rId3997" xr:uid="{00000000-0004-0000-0800-00009C0F0000}"/>
    <hyperlink ref="R2000" r:id="rId3998" xr:uid="{00000000-0004-0000-0800-00009D0F0000}"/>
    <hyperlink ref="Q2001" r:id="rId3999" xr:uid="{00000000-0004-0000-0800-00009E0F0000}"/>
    <hyperlink ref="R2001" r:id="rId4000" xr:uid="{00000000-0004-0000-0800-00009F0F0000}"/>
    <hyperlink ref="Q2002" r:id="rId4001" xr:uid="{00000000-0004-0000-0800-0000A00F0000}"/>
    <hyperlink ref="R2002" r:id="rId4002" xr:uid="{00000000-0004-0000-0800-0000A10F0000}"/>
    <hyperlink ref="Q2003" r:id="rId4003" xr:uid="{00000000-0004-0000-0800-0000A20F0000}"/>
    <hyperlink ref="R2003" r:id="rId4004" xr:uid="{00000000-0004-0000-0800-0000A30F0000}"/>
    <hyperlink ref="Q2004" r:id="rId4005" xr:uid="{00000000-0004-0000-0800-0000A40F0000}"/>
    <hyperlink ref="R2004" r:id="rId4006" xr:uid="{00000000-0004-0000-0800-0000A50F0000}"/>
    <hyperlink ref="Q2005" r:id="rId4007" xr:uid="{00000000-0004-0000-0800-0000A60F0000}"/>
    <hyperlink ref="R2005" r:id="rId4008" xr:uid="{00000000-0004-0000-0800-0000A70F0000}"/>
    <hyperlink ref="Q2006" r:id="rId4009" xr:uid="{00000000-0004-0000-0800-0000A80F0000}"/>
    <hyperlink ref="R2006" r:id="rId4010" xr:uid="{00000000-0004-0000-0800-0000A90F0000}"/>
    <hyperlink ref="Q2007" r:id="rId4011" xr:uid="{00000000-0004-0000-0800-0000AA0F0000}"/>
    <hyperlink ref="R2007" r:id="rId4012" xr:uid="{00000000-0004-0000-0800-0000AB0F0000}"/>
    <hyperlink ref="Q2008" r:id="rId4013" xr:uid="{00000000-0004-0000-0800-0000AC0F0000}"/>
    <hyperlink ref="R2008" r:id="rId4014" xr:uid="{00000000-0004-0000-0800-0000AD0F0000}"/>
    <hyperlink ref="Q2009" r:id="rId4015" xr:uid="{00000000-0004-0000-0800-0000AE0F0000}"/>
    <hyperlink ref="R2009" r:id="rId4016" xr:uid="{00000000-0004-0000-0800-0000AF0F0000}"/>
    <hyperlink ref="Q2010" r:id="rId4017" xr:uid="{00000000-0004-0000-0800-0000B00F0000}"/>
    <hyperlink ref="R2010" r:id="rId4018" xr:uid="{00000000-0004-0000-0800-0000B10F0000}"/>
    <hyperlink ref="Q2011" r:id="rId4019" xr:uid="{00000000-0004-0000-0800-0000B20F0000}"/>
    <hyperlink ref="R2011" r:id="rId4020" xr:uid="{00000000-0004-0000-0800-0000B30F0000}"/>
    <hyperlink ref="Q2012" r:id="rId4021" xr:uid="{00000000-0004-0000-0800-0000B40F0000}"/>
    <hyperlink ref="R2012" r:id="rId4022" xr:uid="{00000000-0004-0000-0800-0000B50F0000}"/>
    <hyperlink ref="Q2013" r:id="rId4023" xr:uid="{00000000-0004-0000-0800-0000B60F0000}"/>
    <hyperlink ref="R2013" r:id="rId4024" xr:uid="{00000000-0004-0000-0800-0000B70F0000}"/>
    <hyperlink ref="Q2014" r:id="rId4025" xr:uid="{00000000-0004-0000-0800-0000B80F0000}"/>
    <hyperlink ref="R2014" r:id="rId4026" xr:uid="{00000000-0004-0000-0800-0000B90F0000}"/>
    <hyperlink ref="Q2015" r:id="rId4027" xr:uid="{00000000-0004-0000-0800-0000BA0F0000}"/>
    <hyperlink ref="R2015" r:id="rId4028" xr:uid="{00000000-0004-0000-0800-0000BB0F0000}"/>
    <hyperlink ref="Q2016" r:id="rId4029" xr:uid="{00000000-0004-0000-0800-0000BC0F0000}"/>
    <hyperlink ref="R2016" r:id="rId4030" xr:uid="{00000000-0004-0000-0800-0000BD0F0000}"/>
    <hyperlink ref="Q2017" r:id="rId4031" xr:uid="{00000000-0004-0000-0800-0000BE0F0000}"/>
    <hyperlink ref="R2017" r:id="rId4032" xr:uid="{00000000-0004-0000-0800-0000BF0F0000}"/>
    <hyperlink ref="Q2018" r:id="rId4033" xr:uid="{00000000-0004-0000-0800-0000C00F0000}"/>
    <hyperlink ref="R2018" r:id="rId4034" xr:uid="{00000000-0004-0000-0800-0000C10F0000}"/>
    <hyperlink ref="Q2019" r:id="rId4035" xr:uid="{00000000-0004-0000-0800-0000C20F0000}"/>
    <hyperlink ref="R2019" r:id="rId4036" xr:uid="{00000000-0004-0000-0800-0000C30F0000}"/>
    <hyperlink ref="Q2020" r:id="rId4037" xr:uid="{00000000-0004-0000-0800-0000C40F0000}"/>
    <hyperlink ref="R2020" r:id="rId4038" xr:uid="{00000000-0004-0000-0800-0000C50F0000}"/>
    <hyperlink ref="Q2021" r:id="rId4039" xr:uid="{00000000-0004-0000-0800-0000C60F0000}"/>
    <hyperlink ref="R2021" r:id="rId4040" xr:uid="{00000000-0004-0000-0800-0000C70F0000}"/>
    <hyperlink ref="Q2022" r:id="rId4041" xr:uid="{00000000-0004-0000-0800-0000C80F0000}"/>
    <hyperlink ref="R2022" r:id="rId4042" xr:uid="{00000000-0004-0000-0800-0000C90F0000}"/>
    <hyperlink ref="Q2023" r:id="rId4043" xr:uid="{00000000-0004-0000-0800-0000CA0F0000}"/>
    <hyperlink ref="R2023" r:id="rId4044" xr:uid="{00000000-0004-0000-0800-0000CB0F0000}"/>
    <hyperlink ref="Q2024" r:id="rId4045" xr:uid="{00000000-0004-0000-0800-0000CC0F0000}"/>
    <hyperlink ref="R2024" r:id="rId4046" xr:uid="{00000000-0004-0000-0800-0000CD0F0000}"/>
    <hyperlink ref="Q2025" r:id="rId4047" xr:uid="{00000000-0004-0000-0800-0000CE0F0000}"/>
    <hyperlink ref="R2025" r:id="rId4048" xr:uid="{00000000-0004-0000-0800-0000CF0F0000}"/>
    <hyperlink ref="Q2026" r:id="rId4049" xr:uid="{00000000-0004-0000-0800-0000D00F0000}"/>
    <hyperlink ref="R2026" r:id="rId4050" xr:uid="{00000000-0004-0000-0800-0000D10F0000}"/>
    <hyperlink ref="Q2027" r:id="rId4051" xr:uid="{00000000-0004-0000-0800-0000D20F0000}"/>
    <hyperlink ref="R2027" r:id="rId4052" xr:uid="{00000000-0004-0000-0800-0000D30F0000}"/>
    <hyperlink ref="Q2028" r:id="rId4053" xr:uid="{00000000-0004-0000-0800-0000D40F0000}"/>
    <hyperlink ref="R2028" r:id="rId4054" xr:uid="{00000000-0004-0000-0800-0000D50F0000}"/>
    <hyperlink ref="Q2029" r:id="rId4055" xr:uid="{00000000-0004-0000-0800-0000D60F0000}"/>
    <hyperlink ref="R2029" r:id="rId4056" xr:uid="{00000000-0004-0000-0800-0000D70F0000}"/>
    <hyperlink ref="Q2030" r:id="rId4057" xr:uid="{00000000-0004-0000-0800-0000D80F0000}"/>
    <hyperlink ref="R2030" r:id="rId4058" xr:uid="{00000000-0004-0000-0800-0000D90F0000}"/>
    <hyperlink ref="Q2031" r:id="rId4059" xr:uid="{00000000-0004-0000-0800-0000DA0F0000}"/>
    <hyperlink ref="R2031" r:id="rId4060" xr:uid="{00000000-0004-0000-0800-0000DB0F0000}"/>
    <hyperlink ref="Q2032" r:id="rId4061" xr:uid="{00000000-0004-0000-0800-0000DC0F0000}"/>
    <hyperlink ref="R2032" r:id="rId4062" xr:uid="{00000000-0004-0000-0800-0000DD0F0000}"/>
    <hyperlink ref="Q2033" r:id="rId4063" xr:uid="{00000000-0004-0000-0800-0000DE0F0000}"/>
    <hyperlink ref="R2033" r:id="rId4064" xr:uid="{00000000-0004-0000-0800-0000DF0F0000}"/>
    <hyperlink ref="Q2034" r:id="rId4065" xr:uid="{00000000-0004-0000-0800-0000E00F0000}"/>
    <hyperlink ref="R2034" r:id="rId4066" xr:uid="{00000000-0004-0000-0800-0000E10F0000}"/>
    <hyperlink ref="Q2035" r:id="rId4067" xr:uid="{00000000-0004-0000-0800-0000E20F0000}"/>
    <hyperlink ref="R2035" r:id="rId4068" xr:uid="{00000000-0004-0000-0800-0000E30F0000}"/>
    <hyperlink ref="Q2036" r:id="rId4069" xr:uid="{00000000-0004-0000-0800-0000E40F0000}"/>
    <hyperlink ref="R2036" r:id="rId4070" xr:uid="{00000000-0004-0000-0800-0000E50F0000}"/>
    <hyperlink ref="Q2037" r:id="rId4071" xr:uid="{00000000-0004-0000-0800-0000E60F0000}"/>
    <hyperlink ref="R2037" r:id="rId4072" xr:uid="{00000000-0004-0000-0800-0000E70F0000}"/>
    <hyperlink ref="Q2038" r:id="rId4073" xr:uid="{00000000-0004-0000-0800-0000E80F0000}"/>
    <hyperlink ref="R2038" r:id="rId4074" xr:uid="{00000000-0004-0000-0800-0000E90F0000}"/>
    <hyperlink ref="Q2039" r:id="rId4075" xr:uid="{00000000-0004-0000-0800-0000EA0F0000}"/>
    <hyperlink ref="R2039" r:id="rId4076" xr:uid="{00000000-0004-0000-0800-0000EB0F0000}"/>
    <hyperlink ref="Q2040" r:id="rId4077" xr:uid="{00000000-0004-0000-0800-0000EC0F0000}"/>
    <hyperlink ref="R2040" r:id="rId4078" xr:uid="{00000000-0004-0000-0800-0000ED0F0000}"/>
    <hyperlink ref="Q2041" r:id="rId4079" xr:uid="{00000000-0004-0000-0800-0000EE0F0000}"/>
    <hyperlink ref="R2041" r:id="rId4080" xr:uid="{00000000-0004-0000-0800-0000EF0F0000}"/>
    <hyperlink ref="Q2042" r:id="rId4081" xr:uid="{00000000-0004-0000-0800-0000F00F0000}"/>
    <hyperlink ref="R2042" r:id="rId4082" xr:uid="{00000000-0004-0000-0800-0000F10F0000}"/>
    <hyperlink ref="Q2043" r:id="rId4083" xr:uid="{00000000-0004-0000-0800-0000F20F0000}"/>
    <hyperlink ref="R2043" r:id="rId4084" xr:uid="{00000000-0004-0000-0800-0000F30F0000}"/>
    <hyperlink ref="Q2044" r:id="rId4085" xr:uid="{00000000-0004-0000-0800-0000F40F0000}"/>
    <hyperlink ref="R2044" r:id="rId4086" xr:uid="{00000000-0004-0000-0800-0000F50F0000}"/>
    <hyperlink ref="Q2045" r:id="rId4087" xr:uid="{00000000-0004-0000-0800-0000F60F0000}"/>
    <hyperlink ref="R2045" r:id="rId4088" xr:uid="{00000000-0004-0000-0800-0000F70F0000}"/>
    <hyperlink ref="Q2046" r:id="rId4089" xr:uid="{00000000-0004-0000-0800-0000F80F0000}"/>
    <hyperlink ref="R2046" r:id="rId4090" xr:uid="{00000000-0004-0000-0800-0000F90F0000}"/>
    <hyperlink ref="Q2047" r:id="rId4091" xr:uid="{00000000-0004-0000-0800-0000FA0F0000}"/>
    <hyperlink ref="R2047" r:id="rId4092" xr:uid="{00000000-0004-0000-0800-0000FB0F0000}"/>
    <hyperlink ref="Q2048" r:id="rId4093" xr:uid="{00000000-0004-0000-0800-0000FC0F0000}"/>
    <hyperlink ref="R2048" r:id="rId4094" xr:uid="{00000000-0004-0000-0800-0000FD0F0000}"/>
    <hyperlink ref="Q2049" r:id="rId4095" xr:uid="{00000000-0004-0000-0800-0000FE0F0000}"/>
    <hyperlink ref="R2049" r:id="rId4096" xr:uid="{00000000-0004-0000-0800-0000FF0F0000}"/>
    <hyperlink ref="Q2050" r:id="rId4097" xr:uid="{00000000-0004-0000-0800-000000100000}"/>
    <hyperlink ref="R2050" r:id="rId4098" xr:uid="{00000000-0004-0000-0800-000001100000}"/>
    <hyperlink ref="Q2051" r:id="rId4099" xr:uid="{00000000-0004-0000-0800-000002100000}"/>
    <hyperlink ref="R2051" r:id="rId4100" xr:uid="{00000000-0004-0000-0800-000003100000}"/>
    <hyperlink ref="Q2052" r:id="rId4101" xr:uid="{00000000-0004-0000-0800-000004100000}"/>
    <hyperlink ref="R2052" r:id="rId4102" xr:uid="{00000000-0004-0000-0800-000005100000}"/>
    <hyperlink ref="Q2053" r:id="rId4103" xr:uid="{00000000-0004-0000-0800-000006100000}"/>
    <hyperlink ref="R2053" r:id="rId4104" xr:uid="{00000000-0004-0000-0800-000007100000}"/>
    <hyperlink ref="Q2054" r:id="rId4105" xr:uid="{00000000-0004-0000-0800-000008100000}"/>
    <hyperlink ref="R2054" r:id="rId4106" xr:uid="{00000000-0004-0000-0800-000009100000}"/>
    <hyperlink ref="Q2055" r:id="rId4107" xr:uid="{00000000-0004-0000-0800-00000A100000}"/>
    <hyperlink ref="R2055" r:id="rId4108" xr:uid="{00000000-0004-0000-0800-00000B100000}"/>
    <hyperlink ref="Q2056" r:id="rId4109" xr:uid="{00000000-0004-0000-0800-00000C100000}"/>
    <hyperlink ref="R2056" r:id="rId4110" xr:uid="{00000000-0004-0000-0800-00000D100000}"/>
    <hyperlink ref="Q2057" r:id="rId4111" xr:uid="{00000000-0004-0000-0800-00000E100000}"/>
    <hyperlink ref="R2057" r:id="rId4112" xr:uid="{00000000-0004-0000-0800-00000F100000}"/>
    <hyperlink ref="Q2058" r:id="rId4113" xr:uid="{00000000-0004-0000-0800-000010100000}"/>
    <hyperlink ref="R2058" r:id="rId4114" xr:uid="{00000000-0004-0000-0800-000011100000}"/>
    <hyperlink ref="Q2059" r:id="rId4115" xr:uid="{00000000-0004-0000-0800-000012100000}"/>
    <hyperlink ref="R2059" r:id="rId4116" xr:uid="{00000000-0004-0000-0800-000013100000}"/>
    <hyperlink ref="Q2060" r:id="rId4117" xr:uid="{00000000-0004-0000-0800-000014100000}"/>
    <hyperlink ref="R2060" r:id="rId4118" xr:uid="{00000000-0004-0000-0800-000015100000}"/>
    <hyperlink ref="Q2061" r:id="rId4119" xr:uid="{00000000-0004-0000-0800-000016100000}"/>
    <hyperlink ref="R2061" r:id="rId4120" xr:uid="{00000000-0004-0000-0800-000017100000}"/>
    <hyperlink ref="Q2062" r:id="rId4121" xr:uid="{00000000-0004-0000-0800-000018100000}"/>
    <hyperlink ref="R2062" r:id="rId4122" xr:uid="{00000000-0004-0000-0800-000019100000}"/>
    <hyperlink ref="Q2063" r:id="rId4123" xr:uid="{00000000-0004-0000-0800-00001A100000}"/>
    <hyperlink ref="R2063" r:id="rId4124" xr:uid="{00000000-0004-0000-0800-00001B100000}"/>
    <hyperlink ref="Q2064" r:id="rId4125" xr:uid="{00000000-0004-0000-0800-00001C100000}"/>
    <hyperlink ref="R2064" r:id="rId4126" xr:uid="{00000000-0004-0000-0800-00001D100000}"/>
    <hyperlink ref="Q2065" r:id="rId4127" xr:uid="{00000000-0004-0000-0800-00001E100000}"/>
    <hyperlink ref="R2065" r:id="rId4128" xr:uid="{00000000-0004-0000-0800-00001F100000}"/>
    <hyperlink ref="Q2066" r:id="rId4129" xr:uid="{00000000-0004-0000-0800-000020100000}"/>
    <hyperlink ref="R2066" r:id="rId4130" xr:uid="{00000000-0004-0000-0800-000021100000}"/>
    <hyperlink ref="Q2067" r:id="rId4131" xr:uid="{00000000-0004-0000-0800-000022100000}"/>
    <hyperlink ref="R2067" r:id="rId4132" xr:uid="{00000000-0004-0000-0800-000023100000}"/>
    <hyperlink ref="Q2068" r:id="rId4133" xr:uid="{00000000-0004-0000-0800-000024100000}"/>
    <hyperlink ref="R2068" r:id="rId4134" xr:uid="{00000000-0004-0000-0800-000025100000}"/>
    <hyperlink ref="Q2069" r:id="rId4135" xr:uid="{00000000-0004-0000-0800-000026100000}"/>
    <hyperlink ref="R2069" r:id="rId4136" xr:uid="{00000000-0004-0000-0800-000027100000}"/>
    <hyperlink ref="Q2070" r:id="rId4137" xr:uid="{00000000-0004-0000-0800-000028100000}"/>
    <hyperlink ref="R2070" r:id="rId4138" xr:uid="{00000000-0004-0000-0800-000029100000}"/>
    <hyperlink ref="Q2071" r:id="rId4139" xr:uid="{00000000-0004-0000-0800-00002A100000}"/>
    <hyperlink ref="R2071" r:id="rId4140" xr:uid="{00000000-0004-0000-0800-00002B100000}"/>
    <hyperlink ref="Q2072" r:id="rId4141" xr:uid="{00000000-0004-0000-0800-00002C100000}"/>
    <hyperlink ref="R2072" r:id="rId4142" xr:uid="{00000000-0004-0000-0800-00002D100000}"/>
    <hyperlink ref="Q2073" r:id="rId4143" xr:uid="{00000000-0004-0000-0800-00002E100000}"/>
    <hyperlink ref="R2073" r:id="rId4144" xr:uid="{00000000-0004-0000-0800-00002F100000}"/>
    <hyperlink ref="Q2074" r:id="rId4145" xr:uid="{00000000-0004-0000-0800-000030100000}"/>
    <hyperlink ref="R2074" r:id="rId4146" xr:uid="{00000000-0004-0000-0800-000031100000}"/>
    <hyperlink ref="Q2075" r:id="rId4147" xr:uid="{00000000-0004-0000-0800-000032100000}"/>
    <hyperlink ref="R2075" r:id="rId4148" xr:uid="{00000000-0004-0000-0800-000033100000}"/>
    <hyperlink ref="Q2076" r:id="rId4149" xr:uid="{00000000-0004-0000-0800-000034100000}"/>
    <hyperlink ref="R2076" r:id="rId4150" xr:uid="{00000000-0004-0000-0800-000035100000}"/>
    <hyperlink ref="Q2077" r:id="rId4151" xr:uid="{00000000-0004-0000-0800-000036100000}"/>
    <hyperlink ref="R2077" r:id="rId4152" xr:uid="{00000000-0004-0000-0800-000037100000}"/>
    <hyperlink ref="Q2078" r:id="rId4153" xr:uid="{00000000-0004-0000-0800-000038100000}"/>
    <hyperlink ref="R2078" r:id="rId4154" xr:uid="{00000000-0004-0000-0800-000039100000}"/>
    <hyperlink ref="Q2079" r:id="rId4155" xr:uid="{00000000-0004-0000-0800-00003A100000}"/>
    <hyperlink ref="R2079" r:id="rId4156" xr:uid="{00000000-0004-0000-0800-00003B100000}"/>
    <hyperlink ref="Q2080" r:id="rId4157" xr:uid="{00000000-0004-0000-0800-00003C100000}"/>
    <hyperlink ref="R2080" r:id="rId4158" xr:uid="{00000000-0004-0000-0800-00003D100000}"/>
    <hyperlink ref="Q2081" r:id="rId4159" xr:uid="{00000000-0004-0000-0800-00003E100000}"/>
    <hyperlink ref="R2081" r:id="rId4160" xr:uid="{00000000-0004-0000-0800-00003F100000}"/>
    <hyperlink ref="Q2082" r:id="rId4161" xr:uid="{00000000-0004-0000-0800-000040100000}"/>
    <hyperlink ref="R2082" r:id="rId4162" xr:uid="{00000000-0004-0000-0800-000041100000}"/>
  </hyperlinks>
  <pageMargins left="0.75" right="0.75" top="1" bottom="1" header="0.5" footer="0.5"/>
  <pageSetup fitToHeight="0" orientation="landscape"/>
  <tableParts count="1">
    <tablePart r:id="rId416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47"/>
  <sheetViews>
    <sheetView showGridLines="0" workbookViewId="0"/>
  </sheetViews>
  <sheetFormatPr baseColWidth="10" defaultColWidth="8.88671875" defaultRowHeight="14.4" x14ac:dyDescent="0.3"/>
  <cols>
    <col min="1" max="1" width="120" customWidth="1"/>
  </cols>
  <sheetData>
    <row r="1" spans="1:1" ht="30" customHeight="1" x14ac:dyDescent="0.3">
      <c r="A1" s="19" t="s">
        <v>12608</v>
      </c>
    </row>
    <row r="2" spans="1:1" x14ac:dyDescent="0.3">
      <c r="A2" s="20"/>
    </row>
    <row r="3" spans="1:1" x14ac:dyDescent="0.3">
      <c r="A3" s="21" t="s">
        <v>12609</v>
      </c>
    </row>
    <row r="4" spans="1:1" ht="28.05" customHeight="1" x14ac:dyDescent="0.3">
      <c r="A4" s="22" t="s">
        <v>12610</v>
      </c>
    </row>
    <row r="5" spans="1:1" ht="28.05" customHeight="1" x14ac:dyDescent="0.3">
      <c r="A5" s="22" t="s">
        <v>12611</v>
      </c>
    </row>
    <row r="6" spans="1:1" x14ac:dyDescent="0.3">
      <c r="A6" s="20"/>
    </row>
    <row r="7" spans="1:1" x14ac:dyDescent="0.3">
      <c r="A7" s="21" t="s">
        <v>12612</v>
      </c>
    </row>
    <row r="8" spans="1:1" ht="28.05" customHeight="1" x14ac:dyDescent="0.3">
      <c r="A8" s="22" t="s">
        <v>12613</v>
      </c>
    </row>
    <row r="9" spans="1:1" ht="13.95" customHeight="1" x14ac:dyDescent="0.3">
      <c r="A9" s="22" t="s">
        <v>12614</v>
      </c>
    </row>
    <row r="10" spans="1:1" x14ac:dyDescent="0.3">
      <c r="A10" s="20"/>
    </row>
    <row r="11" spans="1:1" x14ac:dyDescent="0.3">
      <c r="A11" s="21" t="s">
        <v>12615</v>
      </c>
    </row>
    <row r="12" spans="1:1" ht="28.05" customHeight="1" x14ac:dyDescent="0.3">
      <c r="A12" s="22" t="s">
        <v>12616</v>
      </c>
    </row>
    <row r="13" spans="1:1" ht="28.05" customHeight="1" x14ac:dyDescent="0.3">
      <c r="A13" s="22" t="s">
        <v>12617</v>
      </c>
    </row>
    <row r="14" spans="1:1" x14ac:dyDescent="0.3">
      <c r="A14" s="20"/>
    </row>
    <row r="15" spans="1:1" x14ac:dyDescent="0.3">
      <c r="A15" s="21" t="s">
        <v>12618</v>
      </c>
    </row>
    <row r="16" spans="1:1" ht="13.95" customHeight="1" x14ac:dyDescent="0.3">
      <c r="A16" s="22" t="s">
        <v>12619</v>
      </c>
    </row>
    <row r="17" spans="1:1" ht="13.95" customHeight="1" x14ac:dyDescent="0.3">
      <c r="A17" s="22" t="s">
        <v>12620</v>
      </c>
    </row>
    <row r="18" spans="1:1" ht="13.95" customHeight="1" x14ac:dyDescent="0.3">
      <c r="A18" s="22" t="s">
        <v>12621</v>
      </c>
    </row>
    <row r="19" spans="1:1" ht="13.95" customHeight="1" x14ac:dyDescent="0.3">
      <c r="A19" s="22" t="s">
        <v>12622</v>
      </c>
    </row>
    <row r="20" spans="1:1" ht="13.95" customHeight="1" x14ac:dyDescent="0.3">
      <c r="A20" s="22" t="s">
        <v>12623</v>
      </c>
    </row>
    <row r="21" spans="1:1" ht="13.95" customHeight="1" x14ac:dyDescent="0.3">
      <c r="A21" s="22" t="s">
        <v>12624</v>
      </c>
    </row>
    <row r="22" spans="1:1" x14ac:dyDescent="0.3">
      <c r="A22" s="20"/>
    </row>
    <row r="23" spans="1:1" x14ac:dyDescent="0.3">
      <c r="A23" s="21" t="s">
        <v>12625</v>
      </c>
    </row>
    <row r="24" spans="1:1" ht="70.05" customHeight="1" x14ac:dyDescent="0.3">
      <c r="A24" s="22" t="s">
        <v>12626</v>
      </c>
    </row>
    <row r="25" spans="1:1" ht="70.05" customHeight="1" x14ac:dyDescent="0.3">
      <c r="A25" s="22" t="s">
        <v>12627</v>
      </c>
    </row>
    <row r="26" spans="1:1" ht="28.05" customHeight="1" x14ac:dyDescent="0.3">
      <c r="A26" s="22" t="s">
        <v>12628</v>
      </c>
    </row>
    <row r="27" spans="1:1" ht="70.05" customHeight="1" x14ac:dyDescent="0.3">
      <c r="A27" s="22" t="s">
        <v>12629</v>
      </c>
    </row>
    <row r="28" spans="1:1" ht="28.05" customHeight="1" x14ac:dyDescent="0.3">
      <c r="A28" s="22" t="s">
        <v>12630</v>
      </c>
    </row>
    <row r="29" spans="1:1" x14ac:dyDescent="0.3">
      <c r="A29" s="20"/>
    </row>
    <row r="30" spans="1:1" x14ac:dyDescent="0.3">
      <c r="A30" s="21" t="s">
        <v>12631</v>
      </c>
    </row>
    <row r="31" spans="1:1" ht="55.95" customHeight="1" x14ac:dyDescent="0.3">
      <c r="A31" s="22" t="s">
        <v>12632</v>
      </c>
    </row>
    <row r="32" spans="1:1" ht="28.05" customHeight="1" x14ac:dyDescent="0.3">
      <c r="A32" s="22" t="s">
        <v>12633</v>
      </c>
    </row>
    <row r="33" spans="1:1" x14ac:dyDescent="0.3">
      <c r="A33" s="20"/>
    </row>
    <row r="34" spans="1:1" x14ac:dyDescent="0.3">
      <c r="A34" s="21" t="s">
        <v>12634</v>
      </c>
    </row>
    <row r="35" spans="1:1" ht="28.05" customHeight="1" x14ac:dyDescent="0.3">
      <c r="A35" s="22" t="s">
        <v>12635</v>
      </c>
    </row>
    <row r="36" spans="1:1" ht="28.05" customHeight="1" x14ac:dyDescent="0.3">
      <c r="A36" s="22" t="s">
        <v>12636</v>
      </c>
    </row>
    <row r="37" spans="1:1" ht="13.95" customHeight="1" x14ac:dyDescent="0.3">
      <c r="A37" s="22" t="s">
        <v>12637</v>
      </c>
    </row>
    <row r="38" spans="1:1" ht="28.05" customHeight="1" x14ac:dyDescent="0.3">
      <c r="A38" s="22" t="s">
        <v>12638</v>
      </c>
    </row>
    <row r="39" spans="1:1" ht="13.95" customHeight="1" x14ac:dyDescent="0.3">
      <c r="A39" s="22" t="s">
        <v>12639</v>
      </c>
    </row>
    <row r="40" spans="1:1" x14ac:dyDescent="0.3">
      <c r="A40" s="20"/>
    </row>
    <row r="41" spans="1:1" x14ac:dyDescent="0.3">
      <c r="A41" s="21" t="s">
        <v>12640</v>
      </c>
    </row>
    <row r="42" spans="1:1" ht="28.05" customHeight="1" x14ac:dyDescent="0.3">
      <c r="A42" s="22" t="s">
        <v>12641</v>
      </c>
    </row>
    <row r="43" spans="1:1" ht="28.05" customHeight="1" x14ac:dyDescent="0.3">
      <c r="A43" s="22" t="s">
        <v>12642</v>
      </c>
    </row>
    <row r="44" spans="1:1" x14ac:dyDescent="0.3">
      <c r="A44" s="20"/>
    </row>
    <row r="45" spans="1:1" x14ac:dyDescent="0.3">
      <c r="A45" s="21" t="s">
        <v>12643</v>
      </c>
    </row>
    <row r="46" spans="1:1" ht="70.05" customHeight="1" x14ac:dyDescent="0.3">
      <c r="A46" s="22" t="s">
        <v>12644</v>
      </c>
    </row>
    <row r="47" spans="1:1" ht="28.05" customHeight="1" x14ac:dyDescent="0.3">
      <c r="A47" s="22" t="s">
        <v>12645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8</vt:i4>
      </vt:variant>
    </vt:vector>
  </HeadingPairs>
  <TitlesOfParts>
    <vt:vector size="18" baseType="lpstr">
      <vt:lpstr>Summary</vt:lpstr>
      <vt:lpstr>All Clinics</vt:lpstr>
      <vt:lpstr>Injury Physicians</vt:lpstr>
      <vt:lpstr>Chiropractic</vt:lpstr>
      <vt:lpstr>Physical Therapy</vt:lpstr>
      <vt:lpstr>Imaging</vt:lpstr>
      <vt:lpstr>TMJ Specialists</vt:lpstr>
      <vt:lpstr>Oral Surgery</vt:lpstr>
      <vt:lpstr>Older Entries</vt:lpstr>
      <vt:lpstr>About</vt:lpstr>
      <vt:lpstr>'All Clinics'!Títulos_a_imprimir</vt:lpstr>
      <vt:lpstr>'Chiropractic'!Títulos_a_imprimir</vt:lpstr>
      <vt:lpstr>Imaging!Títulos_a_imprimir</vt:lpstr>
      <vt:lpstr>'Injury Physicians'!Títulos_a_imprimir</vt:lpstr>
      <vt:lpstr>'Older Entries'!Títulos_a_imprimir</vt:lpstr>
      <vt:lpstr>'Oral Surgery'!Títulos_a_imprimir</vt:lpstr>
      <vt:lpstr>'Physical Therapy'!Títulos_a_imprimir</vt:lpstr>
      <vt:lpstr>'TMJ Specialists'!Títulos_a_imprimir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Silvera</cp:lastModifiedBy>
  <dcterms:created xsi:type="dcterms:W3CDTF">2026-10-20T01:47:52Z</dcterms:created>
  <dcterms:modified xsi:type="dcterms:W3CDTF">2026-10-20T01:48:14Z</dcterms:modified>
</cp:coreProperties>
</file>