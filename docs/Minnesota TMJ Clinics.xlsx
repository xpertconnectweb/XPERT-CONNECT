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giosi\Desktop\Proyectos\XPERT-CONNECT\docs\"/>
    </mc:Choice>
  </mc:AlternateContent>
  <xr:revisionPtr revIDLastSave="0" documentId="13_ncr:1_{A3539EFF-6745-4EAA-97A0-FC56F87D49EF}" xr6:coauthVersionLast="47" xr6:coauthVersionMax="47" xr10:uidLastSave="{00000000-0000-0000-0000-000000000000}"/>
  <bookViews>
    <workbookView xWindow="-108" yWindow="-108" windowWidth="23256" windowHeight="13896" xr2:uid="{00000000-000D-0000-FFFF-FFFF00000000}"/>
  </bookViews>
  <sheets>
    <sheet name="Summary" sheetId="1" r:id="rId1"/>
    <sheet name="TMJ Clinics" sheetId="2" r:id="rId2"/>
    <sheet name="Oral Surgeons (TMJ)" sheetId="3" r:id="rId3"/>
    <sheet name="Older Entries" sheetId="4" r:id="rId4"/>
    <sheet name="About" sheetId="5" r:id="rId5"/>
  </sheets>
  <definedNames>
    <definedName name="_xlnm.Print_Titles" localSheetId="3">'Older Entries'!$1:$1</definedName>
    <definedName name="_xlnm.Print_Titles" localSheetId="2">'Oral Surgeons (TMJ)'!$1:$1</definedName>
    <definedName name="_xlnm.Print_Titles" localSheetId="1">'TMJ Clinics'!$1:$1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7" i="1" l="1"/>
  <c r="C17" i="1"/>
  <c r="B17" i="1"/>
  <c r="D16" i="1"/>
  <c r="C16" i="1"/>
  <c r="B16" i="1"/>
  <c r="D15" i="1"/>
  <c r="C15" i="1"/>
  <c r="B15" i="1"/>
  <c r="D14" i="1"/>
  <c r="C14" i="1"/>
  <c r="B14" i="1"/>
  <c r="D13" i="1"/>
  <c r="C13" i="1"/>
  <c r="B13" i="1"/>
  <c r="D12" i="1"/>
  <c r="C12" i="1"/>
  <c r="B12" i="1"/>
  <c r="D11" i="1"/>
  <c r="C11" i="1"/>
  <c r="B11" i="1"/>
  <c r="D10" i="1"/>
  <c r="D18" i="1" s="1"/>
  <c r="C10" i="1"/>
  <c r="B10" i="1"/>
  <c r="B18" i="1" s="1"/>
  <c r="A6" i="1"/>
  <c r="C4" i="1"/>
  <c r="A4" i="1"/>
  <c r="C18" i="1" l="1"/>
</calcChain>
</file>

<file path=xl/sharedStrings.xml><?xml version="1.0" encoding="utf-8"?>
<sst xmlns="http://schemas.openxmlformats.org/spreadsheetml/2006/main" count="1283" uniqueCount="533">
  <si>
    <t>Minnesota TMJ Clinics</t>
  </si>
  <si>
    <t>Every TMJ and orofacial-pain clinic in Minnesota we could find: the federal NPI Registry (CMS) plus a statewide web search, each clinic checked on the web. Updated October 19, 2026.</t>
  </si>
  <si>
    <t>TMJ clinics across Minnesota</t>
  </si>
  <si>
    <t>of them are not on Xpert Connect yet</t>
  </si>
  <si>
    <t>By region</t>
  </si>
  <si>
    <t>Region</t>
  </si>
  <si>
    <t>TMJ clinics</t>
  </si>
  <si>
    <t>Not on Xpert Connect</t>
  </si>
  <si>
    <t>Oral surgeons (TMJ)</t>
  </si>
  <si>
    <t>Twin Cities Metro</t>
  </si>
  <si>
    <t>Central Minnesota</t>
  </si>
  <si>
    <t>Northeast Minnesota</t>
  </si>
  <si>
    <t>Northwest Minnesota</t>
  </si>
  <si>
    <t>West Central Minnesota</t>
  </si>
  <si>
    <t>South Central Minnesota</t>
  </si>
  <si>
    <t>Southeast Minnesota</t>
  </si>
  <si>
    <t>Southwest Minnesota</t>
  </si>
  <si>
    <t>Total</t>
  </si>
  <si>
    <t>Clinic Name</t>
  </si>
  <si>
    <t>Specialty Group</t>
  </si>
  <si>
    <t>Also In</t>
  </si>
  <si>
    <t>Specialties</t>
  </si>
  <si>
    <t>TMJ Specialists Here</t>
  </si>
  <si>
    <t>Street</t>
  </si>
  <si>
    <t>Suite</t>
  </si>
  <si>
    <t>City</t>
  </si>
  <si>
    <t>County</t>
  </si>
  <si>
    <t>ZIP</t>
  </si>
  <si>
    <t>Phone</t>
  </si>
  <si>
    <t>Website</t>
  </si>
  <si>
    <t>Web Check</t>
  </si>
  <si>
    <t>Providers at Address</t>
  </si>
  <si>
    <t>On Xpert Connect</t>
  </si>
  <si>
    <t>Registry Updated</t>
  </si>
  <si>
    <t>Legal Name</t>
  </si>
  <si>
    <t>NPI</t>
  </si>
  <si>
    <t>Map</t>
  </si>
  <si>
    <t>NPPES Record</t>
  </si>
  <si>
    <t>The Facial Pain Center</t>
  </si>
  <si>
    <t>TMJ Specialists</t>
  </si>
  <si>
    <t>TMJ Treatment</t>
  </si>
  <si>
    <t>Patricia Fernandes Boettner, DDS, MS</t>
  </si>
  <si>
    <t>4190 108th Ave NE</t>
  </si>
  <si>
    <t>Ste 130</t>
  </si>
  <si>
    <t>Blaine</t>
  </si>
  <si>
    <t>Anoka</t>
  </si>
  <si>
    <t>55449</t>
  </si>
  <si>
    <t>(651) 636-2016</t>
  </si>
  <si>
    <t>thefacialpaincenter.com</t>
  </si>
  <si>
    <t>Confirmed</t>
  </si>
  <si>
    <t>Yes</t>
  </si>
  <si>
    <t>Facial Pain Center PLLC</t>
  </si>
  <si>
    <t>1407325830</t>
  </si>
  <si>
    <t>Record</t>
  </si>
  <si>
    <t>Minnesota Head and Neck Pain Clinic, PA</t>
  </si>
  <si>
    <t>TMJ Clinic</t>
  </si>
  <si>
    <t>James Fricton, DDS; Pathamas Mittman, DDS, MS; Saranya Varun, BDS, MDS; Thiago Nascimento, DDS</t>
  </si>
  <si>
    <t>675 E Nicollet Blvd</t>
  </si>
  <si>
    <t>Ste 255</t>
  </si>
  <si>
    <t>Burnsville</t>
  </si>
  <si>
    <t>Dakota</t>
  </si>
  <si>
    <t>55337</t>
  </si>
  <si>
    <t>(952) 892-6222</t>
  </si>
  <si>
    <t>mhnpc.com</t>
  </si>
  <si>
    <t>1255715181</t>
  </si>
  <si>
    <t>Davina Kumar, DMD, MS</t>
  </si>
  <si>
    <t>40 W Nicollet Blvd</t>
  </si>
  <si>
    <t>(952) 926-3858</t>
  </si>
  <si>
    <t>Pdg, PA.</t>
  </si>
  <si>
    <t>1821473927</t>
  </si>
  <si>
    <t>Orofacial Pain</t>
  </si>
  <si>
    <t>4200 W Old Shakopee Rd</t>
  </si>
  <si>
    <t>Ste 100</t>
  </si>
  <si>
    <t>Bloomington</t>
  </si>
  <si>
    <t>Hennepin</t>
  </si>
  <si>
    <t>55437</t>
  </si>
  <si>
    <t>Davina Kumar, DMD</t>
  </si>
  <si>
    <t>1043839574</t>
  </si>
  <si>
    <t>Gallagher Dentistry &amp; Facial Pain Center</t>
  </si>
  <si>
    <t>Michael Gallagher, DDS</t>
  </si>
  <si>
    <t>11800 Singletree Ln</t>
  </si>
  <si>
    <t>Ste 208</t>
  </si>
  <si>
    <t>Eden Prairie</t>
  </si>
  <si>
    <t>55344</t>
  </si>
  <si>
    <t>(952) 942-9600</t>
  </si>
  <si>
    <t>gallaghercosmeticdentistry.com</t>
  </si>
  <si>
    <t>Gallagher Cosmetic &amp;family Dentistry, PA</t>
  </si>
  <si>
    <t>1841353992</t>
  </si>
  <si>
    <t>Twin Cities TMJ &amp; Facial Pain Clinic</t>
  </si>
  <si>
    <t>Shanti Kaimal, BDS, MS; David Streif, DDS</t>
  </si>
  <si>
    <t>4956 Lincoln Dr</t>
  </si>
  <si>
    <t>Edina</t>
  </si>
  <si>
    <t>55436</t>
  </si>
  <si>
    <t>(952) 931-9961</t>
  </si>
  <si>
    <t>twincitiestmj.com</t>
  </si>
  <si>
    <t>New address</t>
  </si>
  <si>
    <t>Twin Cities TMJ &amp; Facial Pain Clinic, LTD.</t>
  </si>
  <si>
    <t>1225201213</t>
  </si>
  <si>
    <t>Zoya's Orofacial Pain and Dental Sleep Remedies PLLC</t>
  </si>
  <si>
    <t>Oral Surgery</t>
  </si>
  <si>
    <t>Orofacial Pain, TMJ Clinic, TMJ Treatment, Oral &amp; Maxillofacial Surgery</t>
  </si>
  <si>
    <t>Mariam Siddiqui, BDS, MS</t>
  </si>
  <si>
    <t>1405 Lilac Lane Drive North</t>
  </si>
  <si>
    <t>Ste 150 K</t>
  </si>
  <si>
    <t>Golden Valley</t>
  </si>
  <si>
    <t>55422</t>
  </si>
  <si>
    <t>(763) 762-6549</t>
  </si>
  <si>
    <t>zoyaorofacialpaindentalsleep.org</t>
  </si>
  <si>
    <t>1306513023</t>
  </si>
  <si>
    <t>Bloomington Sleep and TMD Care PLLC</t>
  </si>
  <si>
    <t>TMJ Clinic, TMJ Treatment</t>
  </si>
  <si>
    <t>9820 Nicollet Ave S</t>
  </si>
  <si>
    <t>Minneapolis</t>
  </si>
  <si>
    <t>55420</t>
  </si>
  <si>
    <t>(952) 856-0058</t>
  </si>
  <si>
    <t>Unverified</t>
  </si>
  <si>
    <t>No</t>
  </si>
  <si>
    <t>1922947142</t>
  </si>
  <si>
    <t>Hennepin Healthcare Dental &amp; Oral Surgery</t>
  </si>
  <si>
    <t>Dennis Haley, DDS; Maram Taema, BDS, MS</t>
  </si>
  <si>
    <t>715 S 8th St</t>
  </si>
  <si>
    <t>55404</t>
  </si>
  <si>
    <t>(612) 873-6963</t>
  </si>
  <si>
    <t>hennepinhealthcare.org</t>
  </si>
  <si>
    <t>Dennis Haley, DDS</t>
  </si>
  <si>
    <t>1902850738</t>
  </si>
  <si>
    <t>M Health Fairview Neurosurgery Clinic Minneapolis</t>
  </si>
  <si>
    <t>Donald Nixdorf, DDS, MS</t>
  </si>
  <si>
    <t>909 Fulton St SE</t>
  </si>
  <si>
    <t>Floor 3</t>
  </si>
  <si>
    <t>55455</t>
  </si>
  <si>
    <t>(651) 232-3900</t>
  </si>
  <si>
    <t>providers.mhealthfairview.org</t>
  </si>
  <si>
    <t>Web</t>
  </si>
  <si>
    <t>Orofacial Pain, TMJ Clinic</t>
  </si>
  <si>
    <t>5000 W 36th St</t>
  </si>
  <si>
    <t>Ste 250</t>
  </si>
  <si>
    <t>55416</t>
  </si>
  <si>
    <t>University of Minnesota TMD, Orofacial Pain &amp; Dental Sleep Medicine Clinic</t>
  </si>
  <si>
    <t>Alexander Crain, DDS; Benjaporn Krubsack, DDS, MS; Emilija Bezhoska; Jack Botros, DDS, MS; Julianne Yuziuk, DMD; Richard Van Gurp, DMD; Saranya Varun, BDS, MDS</t>
  </si>
  <si>
    <t>515 Delaware St SE</t>
  </si>
  <si>
    <t>7-530 Moos Tower</t>
  </si>
  <si>
    <t>(612) 626-0140</t>
  </si>
  <si>
    <t>dentalclinics.umn.edu</t>
  </si>
  <si>
    <t>Regents of the University of Minnesota</t>
  </si>
  <si>
    <t>1457448615</t>
  </si>
  <si>
    <t>13059 Ridgedale Dr</t>
  </si>
  <si>
    <t>Minnetonka</t>
  </si>
  <si>
    <t>55305</t>
  </si>
  <si>
    <t>Cory Herman, DDS, MS; James Fricton, DDS, MS; Pathamas Mittman, DDS, MS; Preetanjali Thakur, BDS, MS</t>
  </si>
  <si>
    <t>3475 Plymouth Blvd</t>
  </si>
  <si>
    <t>Ste 200</t>
  </si>
  <si>
    <t>Plymouth</t>
  </si>
  <si>
    <t>55447</t>
  </si>
  <si>
    <t>(763) 577-2484</t>
  </si>
  <si>
    <t>1871975607</t>
  </si>
  <si>
    <t>Orofacial Pain, TMJ Clinic, TMJ Treatment</t>
  </si>
  <si>
    <t>Patricia Boettner, DDS, MS</t>
  </si>
  <si>
    <t>1835 County Road C W</t>
  </si>
  <si>
    <t>Roseville</t>
  </si>
  <si>
    <t>Ramsey</t>
  </si>
  <si>
    <t>55113</t>
  </si>
  <si>
    <t>HealthPartners St. Paul (Wabasha) Dental Clinic</t>
  </si>
  <si>
    <t>Orofacial Pain, Oral &amp; Maxillofacial Surgery</t>
  </si>
  <si>
    <t>205 Wabasha St S</t>
  </si>
  <si>
    <t>St. Paul</t>
  </si>
  <si>
    <t>55107</t>
  </si>
  <si>
    <t>(651) 254-7373</t>
  </si>
  <si>
    <t>healthpartners.com</t>
  </si>
  <si>
    <t>Group Health, INC.</t>
  </si>
  <si>
    <t>1952042053</t>
  </si>
  <si>
    <t>Minnesota Craniofacial Center for TMJ &amp; Sleep Treatment</t>
  </si>
  <si>
    <t>Roy Hakala, DDS; Kim Ledermann</t>
  </si>
  <si>
    <t>2550 University Ave W</t>
  </si>
  <si>
    <t>Ste 143N</t>
  </si>
  <si>
    <t>55114</t>
  </si>
  <si>
    <t>(651) 642-1013</t>
  </si>
  <si>
    <t>mncranio.com</t>
  </si>
  <si>
    <t>Minnesota Craniofacial Center Midway, PA.</t>
  </si>
  <si>
    <t>1285757864</t>
  </si>
  <si>
    <t>James Fricton, DDS; Pathamas Mittman, DDS, MS; Preetanjali Thakur, BDS</t>
  </si>
  <si>
    <t>Ste 189S</t>
  </si>
  <si>
    <t>(651) 332-7474</t>
  </si>
  <si>
    <t>1104850155</t>
  </si>
  <si>
    <t>TMJ &amp; Sleep Therapy Centre of St. Paul (at Smiles of Distinction Dentistry)</t>
  </si>
  <si>
    <t>Bart Schultz, DDS</t>
  </si>
  <si>
    <t>4300 Egan Dr</t>
  </si>
  <si>
    <t>Savage</t>
  </si>
  <si>
    <t>Scott</t>
  </si>
  <si>
    <t>55378</t>
  </si>
  <si>
    <t>(952) 894-2545</t>
  </si>
  <si>
    <t>tmjandsleeptherapycentreofminnesota.com</t>
  </si>
  <si>
    <t>4155 Dean Lakes Blvd</t>
  </si>
  <si>
    <t>Shakopee</t>
  </si>
  <si>
    <t>55379</t>
  </si>
  <si>
    <t>Ross Orthodontics (Dr. Gregory Ross)</t>
  </si>
  <si>
    <t>368 Lake St S</t>
  </si>
  <si>
    <t>Ste 101</t>
  </si>
  <si>
    <t>Forest Lake</t>
  </si>
  <si>
    <t>Washington</t>
  </si>
  <si>
    <t>55025</t>
  </si>
  <si>
    <t>(651) 464-6988</t>
  </si>
  <si>
    <t>my.officite.com</t>
  </si>
  <si>
    <t>Rossodontics Dental Sleep Medicine</t>
  </si>
  <si>
    <t>1588094171</t>
  </si>
  <si>
    <t>HealthPartners TMD Lake Elmo</t>
  </si>
  <si>
    <t>Darrell Boychuk, DDS, MS</t>
  </si>
  <si>
    <t>8515 Eagle Point Blvd</t>
  </si>
  <si>
    <t>Lake Elmo</t>
  </si>
  <si>
    <t>55042</t>
  </si>
  <si>
    <t>(651) 523-9951</t>
  </si>
  <si>
    <t>1811288269</t>
  </si>
  <si>
    <t>Carlson Dental Group</t>
  </si>
  <si>
    <t>Sarah Carlson, DDS</t>
  </si>
  <si>
    <t>1701 Curve Crest Blvd W</t>
  </si>
  <si>
    <t>Stillwater</t>
  </si>
  <si>
    <t>55082</t>
  </si>
  <si>
    <t>(651) 439-8840</t>
  </si>
  <si>
    <t>stillwaterbeautifulsmiles.com</t>
  </si>
  <si>
    <t>Carlson Distinctive Dentistry, PLLC</t>
  </si>
  <si>
    <t>1598243990</t>
  </si>
  <si>
    <t>9950 Valley Creek Rd</t>
  </si>
  <si>
    <t>Woodbury</t>
  </si>
  <si>
    <t>55125</t>
  </si>
  <si>
    <t>1710854369</t>
  </si>
  <si>
    <t>241 Radio Dr</t>
  </si>
  <si>
    <t>Hanson Dental</t>
  </si>
  <si>
    <t>1100 Highway 25 North</t>
  </si>
  <si>
    <t>Ste 1</t>
  </si>
  <si>
    <t>Buffalo</t>
  </si>
  <si>
    <t>Wright</t>
  </si>
  <si>
    <t>55313</t>
  </si>
  <si>
    <t>(763) 682-9796</t>
  </si>
  <si>
    <t>hansondental.com</t>
  </si>
  <si>
    <t>Thomas M Hanson Dds PA</t>
  </si>
  <si>
    <t>1871663831</t>
  </si>
  <si>
    <t>MN Center for Dental Care</t>
  </si>
  <si>
    <t>Paul Sheils, DDS</t>
  </si>
  <si>
    <t>9075 Quaday Ave NE</t>
  </si>
  <si>
    <t>Ste 102</t>
  </si>
  <si>
    <t>Otsego</t>
  </si>
  <si>
    <t>55330</t>
  </si>
  <si>
    <t>(763) 972-0440</t>
  </si>
  <si>
    <t>mncenterfordentalcare.com</t>
  </si>
  <si>
    <t>Minnesota Dental Implants</t>
  </si>
  <si>
    <t>1386312411</t>
  </si>
  <si>
    <t>Minnesota Head &amp; Neck Pain Clinic</t>
  </si>
  <si>
    <t>Pathamas Mittman, DDS, MS</t>
  </si>
  <si>
    <t>622 Roosevelt Rd</t>
  </si>
  <si>
    <t>St. Cloud</t>
  </si>
  <si>
    <t>Stearns</t>
  </si>
  <si>
    <t>56301</t>
  </si>
  <si>
    <t>(763) 233-7252</t>
  </si>
  <si>
    <t>1003316852</t>
  </si>
  <si>
    <t>Riverfront Dental</t>
  </si>
  <si>
    <t>Grant Colling, DDS</t>
  </si>
  <si>
    <t>124 E Lincoln Ave</t>
  </si>
  <si>
    <t>Fergus Falls</t>
  </si>
  <si>
    <t>Otter Tail</t>
  </si>
  <si>
    <t>56537</t>
  </si>
  <si>
    <t>(218) 736-5627</t>
  </si>
  <si>
    <t>Scott Wagnild Dds,llc</t>
  </si>
  <si>
    <t>1033723309</t>
  </si>
  <si>
    <t>Hyland Dental</t>
  </si>
  <si>
    <t>Amanda Hyland, DDS</t>
  </si>
  <si>
    <t>810 Independence Dr</t>
  </si>
  <si>
    <t>Mankato</t>
  </si>
  <si>
    <t>Blue Earth</t>
  </si>
  <si>
    <t>56001</t>
  </si>
  <si>
    <t>(507) 387-3249</t>
  </si>
  <si>
    <t>hylanddental.net</t>
  </si>
  <si>
    <t>Amanda L. Hyland D.d.s. PA</t>
  </si>
  <si>
    <t>1780108209</t>
  </si>
  <si>
    <t>Honor Dental</t>
  </si>
  <si>
    <t>Andrew Greenslade, DMD</t>
  </si>
  <si>
    <t>2112 Viking Dr NW</t>
  </si>
  <si>
    <t>Rochester</t>
  </si>
  <si>
    <t>Olmsted</t>
  </si>
  <si>
    <t>55901</t>
  </si>
  <si>
    <t>(507) 288-1101</t>
  </si>
  <si>
    <t>honordentalrochester.com</t>
  </si>
  <si>
    <t>Honor Dental PLLC</t>
  </si>
  <si>
    <t>1003702408</t>
  </si>
  <si>
    <t>Mayo Clinic – Orofacial Pain (Dental Specialties)</t>
  </si>
  <si>
    <t>Subha Giri, BDS, MS</t>
  </si>
  <si>
    <t>200 1st St SW</t>
  </si>
  <si>
    <t>55905</t>
  </si>
  <si>
    <t>(507) 284-2511</t>
  </si>
  <si>
    <t>mayoclinic.org</t>
  </si>
  <si>
    <t>Imran Patel</t>
  </si>
  <si>
    <t>1780066282</t>
  </si>
  <si>
    <t>Respira</t>
  </si>
  <si>
    <t>Ryan Henrichsen, DDS, MAGD</t>
  </si>
  <si>
    <t>1309 Salem Rd SW</t>
  </si>
  <si>
    <t>55902</t>
  </si>
  <si>
    <t>(507) 701-1127</t>
  </si>
  <si>
    <t>respirawell.com</t>
  </si>
  <si>
    <t>Respira, LTD</t>
  </si>
  <si>
    <t>1255928917</t>
  </si>
  <si>
    <t>Oral Surgeons Here</t>
  </si>
  <si>
    <t>Treats TMJ</t>
  </si>
  <si>
    <t>OMS Specialists</t>
  </si>
  <si>
    <t>Oral &amp; Maxillofacial Surgery</t>
  </si>
  <si>
    <t>11855 Ulysses Street NE</t>
  </si>
  <si>
    <t>130</t>
  </si>
  <si>
    <t>55434</t>
  </si>
  <si>
    <t>(763) 757-2220</t>
  </si>
  <si>
    <t>omsspecialists.com</t>
  </si>
  <si>
    <t>Oral &amp; Maxillofacial Surgery Specialists, PA</t>
  </si>
  <si>
    <t>1467563510</t>
  </si>
  <si>
    <t>Associated Oral &amp; Maxillofacial Surgeons (Associated OMS)</t>
  </si>
  <si>
    <t>3833 Coon Rapids Blvd NW</t>
  </si>
  <si>
    <t>Coon Rapids</t>
  </si>
  <si>
    <t>55433</t>
  </si>
  <si>
    <t>(763) 421-6271</t>
  </si>
  <si>
    <t>associatedoms.com</t>
  </si>
  <si>
    <t>MN Dental Service Providers LLC</t>
  </si>
  <si>
    <t>1649043662</t>
  </si>
  <si>
    <t>490 S Maple St</t>
  </si>
  <si>
    <t>Waconia</t>
  </si>
  <si>
    <t>Carver</t>
  </si>
  <si>
    <t>55387</t>
  </si>
  <si>
    <t>(952) 442-5448</t>
  </si>
  <si>
    <t>1770694812</t>
  </si>
  <si>
    <t>Twin Cities Oral &amp; Maxillofacial Surgery PA.</t>
  </si>
  <si>
    <t>925 Highway 55</t>
  </si>
  <si>
    <t>202</t>
  </si>
  <si>
    <t>Hastings</t>
  </si>
  <si>
    <t>55033</t>
  </si>
  <si>
    <t>(651) 437-3262</t>
  </si>
  <si>
    <t>tcoralsurgery.com</t>
  </si>
  <si>
    <t>1083792279</t>
  </si>
  <si>
    <t>Oral and Maxillofacial Surgical Consultants PA</t>
  </si>
  <si>
    <t>7770 Dell Road</t>
  </si>
  <si>
    <t>Chanhassen</t>
  </si>
  <si>
    <t>55317</t>
  </si>
  <si>
    <t>(952) 975-0605</t>
  </si>
  <si>
    <t>omscmn.com</t>
  </si>
  <si>
    <t>1720206428</t>
  </si>
  <si>
    <t>EOS Expert Oral Surgery</t>
  </si>
  <si>
    <t>Ste 404</t>
  </si>
  <si>
    <t>(952) 452-9151</t>
  </si>
  <si>
    <t>eosoralsurgery.com</t>
  </si>
  <si>
    <t>Midwest Oral &amp; Facial Surgery PLLC</t>
  </si>
  <si>
    <t>1063122976</t>
  </si>
  <si>
    <t>James Omlie, DDS</t>
  </si>
  <si>
    <t>7373 France Ave S</t>
  </si>
  <si>
    <t>Ste 602</t>
  </si>
  <si>
    <t>55435</t>
  </si>
  <si>
    <t>(952) 835-5003</t>
  </si>
  <si>
    <t>1619049921</t>
  </si>
  <si>
    <t>Associated Oral &amp; Maxillofacial Surgeons</t>
  </si>
  <si>
    <t>12000 Elm Creek Blvd N</t>
  </si>
  <si>
    <t>Maple Grove</t>
  </si>
  <si>
    <t>55369</t>
  </si>
  <si>
    <t>(763) 416-9990</t>
  </si>
  <si>
    <t>13950 Grove Dr</t>
  </si>
  <si>
    <t>#100</t>
  </si>
  <si>
    <t>55311</t>
  </si>
  <si>
    <t>(763) 494-8825</t>
  </si>
  <si>
    <t>1902917057</t>
  </si>
  <si>
    <t>Facial Designs, P.A.</t>
  </si>
  <si>
    <t>11601 Minnetonka Mills Rd</t>
  </si>
  <si>
    <t>(952) 935-8420</t>
  </si>
  <si>
    <t>facial-designs.com</t>
  </si>
  <si>
    <t>Affiliated Oral and Maxillofacial Surgeons PA.</t>
  </si>
  <si>
    <t>1679620801</t>
  </si>
  <si>
    <t>Minnesota Maxillofacial and Oral Consultants</t>
  </si>
  <si>
    <t>15600 36th Ave N</t>
  </si>
  <si>
    <t>55446</t>
  </si>
  <si>
    <t>(763) 559-7688</t>
  </si>
  <si>
    <t>mnmax.com</t>
  </si>
  <si>
    <t>1417034661</t>
  </si>
  <si>
    <t>HealthPartners Dental Clinic St. Louis Park</t>
  </si>
  <si>
    <t>5500 Excelsior Blvd</t>
  </si>
  <si>
    <t>St. Louis Park</t>
  </si>
  <si>
    <t>(952) 853-9120</t>
  </si>
  <si>
    <t>1699272427</t>
  </si>
  <si>
    <t>250 Central Ave N</t>
  </si>
  <si>
    <t>Suite126</t>
  </si>
  <si>
    <t>Wayzata</t>
  </si>
  <si>
    <t>55391</t>
  </si>
  <si>
    <t>(952) 475-2266</t>
  </si>
  <si>
    <t>1265650956</t>
  </si>
  <si>
    <t>1595 2nd Ave NE</t>
  </si>
  <si>
    <t>Ste 120</t>
  </si>
  <si>
    <t>Cambridge</t>
  </si>
  <si>
    <t>Isanti</t>
  </si>
  <si>
    <t>55008</t>
  </si>
  <si>
    <t>(763) 691-8827</t>
  </si>
  <si>
    <t>1508160060</t>
  </si>
  <si>
    <t>550 County Road D</t>
  </si>
  <si>
    <t>Ste 12</t>
  </si>
  <si>
    <t>New Brighton</t>
  </si>
  <si>
    <t>55421</t>
  </si>
  <si>
    <t>(612) 788-9246</t>
  </si>
  <si>
    <t>1982634010</t>
  </si>
  <si>
    <t>Momenta Oral &amp; Maxillofacial Surgery</t>
  </si>
  <si>
    <t>Emad Abdou, DDS</t>
  </si>
  <si>
    <t>700 Village Center Dr</t>
  </si>
  <si>
    <t>Ste 170</t>
  </si>
  <si>
    <t>North Oaks</t>
  </si>
  <si>
    <t>55127</t>
  </si>
  <si>
    <t>(651) 482-0065</t>
  </si>
  <si>
    <t>momentaoms.com</t>
  </si>
  <si>
    <t>Momenta, PC</t>
  </si>
  <si>
    <t>1497814032</t>
  </si>
  <si>
    <t>St. Paul Oral Surgery</t>
  </si>
  <si>
    <t>Ste 115N</t>
  </si>
  <si>
    <t>(651) 645-6429</t>
  </si>
  <si>
    <t>stpauloralsurgery.com</t>
  </si>
  <si>
    <t>St Paul Oral Surgery and Dental Implants LLC</t>
  </si>
  <si>
    <t>1043870645</t>
  </si>
  <si>
    <t>EOS Oral Surgery</t>
  </si>
  <si>
    <t>Jee Hyun Lyu, DDS</t>
  </si>
  <si>
    <t>13875 Hwy 13 Frontage Rd</t>
  </si>
  <si>
    <t>Ste 50</t>
  </si>
  <si>
    <t>EOS: Expert Oral Surgery</t>
  </si>
  <si>
    <t>403 East First Avenue</t>
  </si>
  <si>
    <t>Associated Oral &amp; Maxillofacial Surgeons (Elk River)</t>
  </si>
  <si>
    <t>501 Main St NW</t>
  </si>
  <si>
    <t>Elk River</t>
  </si>
  <si>
    <t>Sherburne</t>
  </si>
  <si>
    <t>(763) 274-1092</t>
  </si>
  <si>
    <t>The Oral Surgery Center</t>
  </si>
  <si>
    <t>2850 Curve Crest Blvd</t>
  </si>
  <si>
    <t>(651) 233-2141</t>
  </si>
  <si>
    <t>theoralsurgerycenter.com</t>
  </si>
  <si>
    <t>Great Lakes Oral &amp; Maxillofacial Surgery, PA.</t>
  </si>
  <si>
    <t>1508058322</t>
  </si>
  <si>
    <t>Emily Snodgrass, DDS</t>
  </si>
  <si>
    <t>748 Bielenberg Drive</t>
  </si>
  <si>
    <t>Ste 160</t>
  </si>
  <si>
    <t>(651) 233-2140</t>
  </si>
  <si>
    <t>1104864529</t>
  </si>
  <si>
    <t>215 Highway 55 E</t>
  </si>
  <si>
    <t>(763) 682-3410</t>
  </si>
  <si>
    <t>114 W 3rd St</t>
  </si>
  <si>
    <t>Monticello</t>
  </si>
  <si>
    <t>55362</t>
  </si>
  <si>
    <t>(763) 271-6770</t>
  </si>
  <si>
    <t>Minnesota Oral &amp; Facial Surgery</t>
  </si>
  <si>
    <t>2380 Troop Drive</t>
  </si>
  <si>
    <t>Ste 202</t>
  </si>
  <si>
    <t>Sartell</t>
  </si>
  <si>
    <t>56377</t>
  </si>
  <si>
    <t>(320) 257-9555</t>
  </si>
  <si>
    <t>mnofs.com</t>
  </si>
  <si>
    <t>Central Lakes Oral &amp; Facial Surgery</t>
  </si>
  <si>
    <t>1386723575</t>
  </si>
  <si>
    <t>Centrasota Oral Surgeons</t>
  </si>
  <si>
    <t>Donald Primley, DDS, MS; Eric Stine, DDS, MS; Griffin Sonstegard, DDS; Harold Machesky, DDS, MS; Nicholas Kenning, DDS, MD; Sean Welander, DDS</t>
  </si>
  <si>
    <t>3950 Veterans Dr</t>
  </si>
  <si>
    <t>56303</t>
  </si>
  <si>
    <t>(320) 252-3611</t>
  </si>
  <si>
    <t>centrasotaoms.com</t>
  </si>
  <si>
    <t>Centrasota Oral &amp; Maxillofacial Surgeons, PA.</t>
  </si>
  <si>
    <t>1598710477</t>
  </si>
  <si>
    <t>Oral and Maxillofacial Surgery Associates, LTD</t>
  </si>
  <si>
    <t>1903 S 6th St</t>
  </si>
  <si>
    <t>Ste 4</t>
  </si>
  <si>
    <t>Brainerd</t>
  </si>
  <si>
    <t>Crow Wing</t>
  </si>
  <si>
    <t>56401</t>
  </si>
  <si>
    <t>(218) 829-1728</t>
  </si>
  <si>
    <t>omsabrainerd.com</t>
  </si>
  <si>
    <t>1942382379</t>
  </si>
  <si>
    <t>Blue Water Oral and Facial Surgery</t>
  </si>
  <si>
    <t>303 SE 1st St</t>
  </si>
  <si>
    <t>Grand Rapids</t>
  </si>
  <si>
    <t>Itasca</t>
  </si>
  <si>
    <t>55744</t>
  </si>
  <si>
    <t>(218) 326-0349</t>
  </si>
  <si>
    <t>bluewateroral.surgery</t>
  </si>
  <si>
    <t>Oral and Maxillofacial Surgical Associates PA</t>
  </si>
  <si>
    <t>1679668529</t>
  </si>
  <si>
    <t>Eric Scotland, DDS; Scott Varland, DDS</t>
  </si>
  <si>
    <t>1000 E 1st St</t>
  </si>
  <si>
    <t>Ste 108</t>
  </si>
  <si>
    <t>Duluth</t>
  </si>
  <si>
    <t>St. Louis</t>
  </si>
  <si>
    <t>55805</t>
  </si>
  <si>
    <t>(218) 722-1854</t>
  </si>
  <si>
    <t>1104911056</t>
  </si>
  <si>
    <t>Northern Oral Surgery &amp; Implant Center</t>
  </si>
  <si>
    <t>Mark Ash, DDS</t>
  </si>
  <si>
    <t>3617 W Arrowhead Rd</t>
  </si>
  <si>
    <t>55811</t>
  </si>
  <si>
    <t>(218) 722-8377</t>
  </si>
  <si>
    <t>northernoralsurgeons.com</t>
  </si>
  <si>
    <t>Northern Oral &amp; Maxillofacial Surgeons, PA</t>
  </si>
  <si>
    <t>1457401820</t>
  </si>
  <si>
    <t>505 S 12th Ave W</t>
  </si>
  <si>
    <t>Ste 2</t>
  </si>
  <si>
    <t>Virginia</t>
  </si>
  <si>
    <t>55792</t>
  </si>
  <si>
    <t>(218) 741-0894</t>
  </si>
  <si>
    <t>1417042367</t>
  </si>
  <si>
    <t>Southeastern Minnesota Oral &amp; Maxillofacial Surgery Associates, PLLC</t>
  </si>
  <si>
    <t>Courtney Anderson, DDS</t>
  </si>
  <si>
    <t>1410 Madison Ave</t>
  </si>
  <si>
    <t>(507) 344-8698</t>
  </si>
  <si>
    <t>semoms.com</t>
  </si>
  <si>
    <t>1659492312</t>
  </si>
  <si>
    <t>Dietrich Lawrenz, MD DDS</t>
  </si>
  <si>
    <t>2519 Commerce Dr NW</t>
  </si>
  <si>
    <t>Ste 110</t>
  </si>
  <si>
    <t>(507) 281-5000</t>
  </si>
  <si>
    <t>Beth Groenke, DDS, MS</t>
  </si>
  <si>
    <t>7600 France Ave S</t>
  </si>
  <si>
    <t>(888) 964-6681</t>
  </si>
  <si>
    <t>1447699335</t>
  </si>
  <si>
    <t>Minnesota TMJ Clinics: how this list was made</t>
  </si>
  <si>
    <t>What is in it</t>
  </si>
  <si>
    <t>TMJ Clinics: dentists registered in Orofacial Pain, the dental specialty for TMJ disorders; clinics whose name says TMJ, TMD or facial pain; and dental practices found on the web that make TMJ a focus, in their name, as a headline service, or through orofacial-pain board certification or training.</t>
  </si>
  <si>
    <t>Oral Surgeons (TMJ): oral and maxillofacial surgery practices, which operate on the jaw joint, whose own website offers TMJ treatment. Surgeons whose website does not mention TMJ are left out.</t>
  </si>
  <si>
    <t>Sources</t>
  </si>
  <si>
    <t>NPPES, the federal NPI Registry run by CMS (npiregistry.cms.hhs.gov), searched for the whole state ZIP code by ZIP code. Every healthcare provider that bills in the US is registered there.</t>
  </si>
  <si>
    <t>A statewide web search for TMJ practices the registry does not label as TMJ: the Twin Cities and its suburbs, more than 50 Greater Minnesota cities and towns, the regional health systems (Essentia, Sanford, CentraCare, Mayo Clinic Health System, Gundersen and others), and the member directories of the American Board of Orofacial Pain, the American Academy of Orofacial Pain and the American Academy of Craniofacial Pain. Outside the Twin Cities, Rochester and St. Cloud, few dentists make TMJ a focus.</t>
  </si>
  <si>
    <t>Web check</t>
  </si>
  <si>
    <t>Every clinic was looked up on the web in October 2026. Website is the clinic's own site. Web Check: Confirmed means it was seen operating at the address shown; New address means it moved and the address shown is the new one; Unverified means it could not be confirmed either way. Clinics found closed were removed.</t>
  </si>
  <si>
    <t>The Older Entries sheet holds clinics whose registry entry has not been updated since before 2022 and that the web check could not confirm. Call before relying on one.</t>
  </si>
  <si>
    <t>Columns</t>
  </si>
  <si>
    <t>TMJ Specialists Here and Oral Surgeons Here name the individual specialists registered at that address with the clinic's phone number, whose own registry entry has been updated since 2022.</t>
  </si>
  <si>
    <t>Also In: the clinic also appears in that group of the full Minnesota specialist list.</t>
  </si>
  <si>
    <t>Providers at Address: individual specialists registered at that building (0 = none registered there individually).</t>
  </si>
  <si>
    <t>On Xpert Connect: Yes if the clinic, or its health system at the same address, is already in the Xpert Connect directory.</t>
  </si>
  <si>
    <t>Registry Updated: when the clinic last updated its federal registry entry.</t>
  </si>
  <si>
    <t>Map opens the address in Google Maps. NPPES Record opens the clinic's entry in the federal registry.</t>
  </si>
  <si>
    <t>Left out on purpose</t>
  </si>
  <si>
    <t>General dentists who only list TMJ among many other services.</t>
  </si>
  <si>
    <t>Spot check</t>
  </si>
  <si>
    <t>TMJ and oral surgery: 117 clinics looked up on the web in October 2026. 86 were confirmed at their address, 10 had moved (the new address is shown), 13 could not be confirmed, and 8 had closed and were removed.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</si>
</sst>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mmm\ yyyy"/>
  </numFmts>
  <fonts count="8" x14ac:knownFonts="1">
    <font>
      <sz val="11"/>
      <color theme="1"/>
      <name val="Calibri"/>
      <family val="2"/>
      <scheme val="minor"/>
    </font>
    <font>
      <b/>
      <sz val="18"/>
      <color rgb="FF1F3A5F"/>
      <name val="Arial"/>
    </font>
    <font>
      <i/>
      <sz val="10"/>
      <color rgb="FF595959"/>
      <name val="Arial"/>
    </font>
    <font>
      <b/>
      <sz val="28"/>
      <color rgb="FF1F3A5F"/>
      <name val="Arial"/>
    </font>
    <font>
      <b/>
      <sz val="10"/>
      <name val="Arial"/>
    </font>
    <font>
      <b/>
      <sz val="10"/>
      <color rgb="FFFFFFFF"/>
      <name val="Arial"/>
    </font>
    <font>
      <sz val="10"/>
      <name val="Arial"/>
    </font>
    <font>
      <u/>
      <sz val="10"/>
      <color rgb="FF0563C1"/>
      <name val="Arial"/>
    </font>
  </fonts>
  <fills count="3">
    <fill>
      <patternFill patternType="none"/>
    </fill>
    <fill>
      <patternFill patternType="gray125"/>
    </fill>
    <fill>
      <patternFill patternType="solid">
        <fgColor rgb="FF1F3A5F"/>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4">
    <xf numFmtId="0" fontId="0" fillId="0" borderId="0" xfId="0"/>
    <xf numFmtId="0" fontId="1" fillId="0" borderId="0" xfId="0" applyFont="1"/>
    <xf numFmtId="0" fontId="3" fillId="0" borderId="0" xfId="0" applyFont="1" applyAlignment="1">
      <alignment horizontal="left"/>
    </xf>
    <xf numFmtId="0" fontId="4" fillId="0" borderId="0" xfId="0" applyFont="1"/>
    <xf numFmtId="0" fontId="5" fillId="2"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0" fontId="4" fillId="0" borderId="1" xfId="0" applyFont="1" applyBorder="1"/>
    <xf numFmtId="0" fontId="6" fillId="0" borderId="1" xfId="0" applyFont="1" applyBorder="1" applyAlignment="1">
      <alignment horizontal="center"/>
    </xf>
    <xf numFmtId="0" fontId="4" fillId="0" borderId="1" xfId="0" applyFont="1" applyBorder="1" applyAlignment="1">
      <alignment horizontal="center"/>
    </xf>
    <xf numFmtId="0" fontId="5" fillId="2" borderId="0" xfId="0" applyFont="1" applyFill="1" applyAlignment="1">
      <alignment vertical="center" wrapText="1"/>
    </xf>
    <xf numFmtId="0" fontId="6" fillId="0" borderId="0" xfId="0" applyFont="1"/>
    <xf numFmtId="49" fontId="6" fillId="0" borderId="0" xfId="0" applyNumberFormat="1" applyFont="1" applyAlignment="1">
      <alignment horizontal="center"/>
    </xf>
    <xf numFmtId="49" fontId="6" fillId="0" borderId="0" xfId="0" applyNumberFormat="1" applyFont="1"/>
    <xf numFmtId="0" fontId="7" fillId="0" borderId="0" xfId="0" applyFont="1"/>
    <xf numFmtId="0" fontId="6" fillId="0" borderId="0" xfId="0" applyFont="1" applyAlignment="1">
      <alignment horizontal="center"/>
    </xf>
    <xf numFmtId="165" fontId="6" fillId="0" borderId="0" xfId="0" applyNumberFormat="1" applyFont="1" applyAlignment="1">
      <alignment horizontal="center"/>
    </xf>
    <xf numFmtId="0" fontId="7" fillId="0" borderId="0" xfId="0" applyFont="1" applyAlignment="1">
      <alignment horizontal="center"/>
    </xf>
    <xf numFmtId="0" fontId="1" fillId="0" borderId="0" xfId="0" applyFont="1" applyAlignment="1">
      <alignment vertical="top" wrapText="1"/>
    </xf>
    <xf numFmtId="0" fontId="0" fillId="0" borderId="0" xfId="0" applyAlignment="1">
      <alignment vertical="top" wrapText="1"/>
    </xf>
    <xf numFmtId="0" fontId="4" fillId="0" borderId="0" xfId="0" applyFont="1" applyAlignment="1">
      <alignment vertical="top" wrapText="1"/>
    </xf>
    <xf numFmtId="0" fontId="6" fillId="0" borderId="0" xfId="0" applyFont="1" applyAlignment="1">
      <alignment vertical="top" wrapText="1"/>
    </xf>
    <xf numFmtId="0" fontId="3" fillId="0" borderId="0" xfId="0" applyFont="1" applyAlignment="1">
      <alignment horizontal="left"/>
    </xf>
    <xf numFmtId="0" fontId="0" fillId="0" borderId="0" xfId="0"/>
    <xf numFmtId="0" fontId="2" fillId="0" borderId="0" xfId="0" applyFont="1" applyAlignment="1">
      <alignment vertical="top" wrapText="1"/>
    </xf>
  </cellXfs>
  <cellStyles count="1">
    <cellStyle name="Normal" xfId="0" builtinId="0"/>
  </cellStyles>
  <dxfs count="9">
    <dxf>
      <fill>
        <patternFill patternType="solid">
          <fgColor rgb="FFE2EFDA"/>
        </patternFill>
      </fill>
    </dxf>
    <dxf>
      <fill>
        <patternFill patternType="solid">
          <fgColor rgb="FFFFF2CC"/>
        </patternFill>
      </fill>
    </dxf>
    <dxf>
      <fill>
        <patternFill patternType="solid">
          <fgColor rgb="FFE2EFDA"/>
        </patternFill>
      </fill>
    </dxf>
    <dxf>
      <fill>
        <patternFill patternType="solid">
          <fgColor rgb="FFE2EFDA"/>
        </patternFill>
      </fill>
    </dxf>
    <dxf>
      <fill>
        <patternFill patternType="solid">
          <fgColor rgb="FFFFF2CC"/>
        </patternFill>
      </fill>
    </dxf>
    <dxf>
      <fill>
        <patternFill patternType="solid">
          <fgColor rgb="FFE2EFDA"/>
        </patternFill>
      </fill>
    </dxf>
    <dxf>
      <fill>
        <patternFill patternType="solid">
          <fgColor rgb="FFE2EFDA"/>
        </patternFill>
      </fill>
    </dxf>
    <dxf>
      <fill>
        <patternFill patternType="solid">
          <fgColor rgb="FFFFF2CC"/>
        </patternFill>
      </fill>
    </dxf>
    <dxf>
      <fill>
        <patternFill patternType="solid">
          <fgColor rgb="FFE2EFDA"/>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MJClinics" displayName="TMJClinics" ref="A1:U34">
  <autoFilter ref="A1:U34" xr:uid="{00000000-0009-0000-0100-000001000000}"/>
  <tableColumns count="21">
    <tableColumn id="1" xr3:uid="{00000000-0010-0000-0000-000001000000}" name="Clinic Name"/>
    <tableColumn id="2" xr3:uid="{00000000-0010-0000-0000-000002000000}" name="Specialty Group"/>
    <tableColumn id="3" xr3:uid="{00000000-0010-0000-0000-000003000000}" name="Also In"/>
    <tableColumn id="4" xr3:uid="{00000000-0010-0000-0000-000004000000}" name="Specialties"/>
    <tableColumn id="5" xr3:uid="{00000000-0010-0000-0000-000005000000}" name="TMJ Specialists Here"/>
    <tableColumn id="6" xr3:uid="{00000000-0010-0000-0000-000006000000}" name="Street"/>
    <tableColumn id="7" xr3:uid="{00000000-0010-0000-0000-000007000000}" name="Suite"/>
    <tableColumn id="8" xr3:uid="{00000000-0010-0000-0000-000008000000}" name="City"/>
    <tableColumn id="9" xr3:uid="{00000000-0010-0000-0000-000009000000}" name="County"/>
    <tableColumn id="10" xr3:uid="{00000000-0010-0000-0000-00000A000000}" name="Region"/>
    <tableColumn id="11" xr3:uid="{00000000-0010-0000-0000-00000B000000}" name="ZIP"/>
    <tableColumn id="12" xr3:uid="{00000000-0010-0000-0000-00000C000000}" name="Phone"/>
    <tableColumn id="13" xr3:uid="{00000000-0010-0000-0000-00000D000000}" name="Website"/>
    <tableColumn id="14" xr3:uid="{00000000-0010-0000-0000-00000E000000}" name="Web Check"/>
    <tableColumn id="15" xr3:uid="{00000000-0010-0000-0000-00000F000000}" name="Providers at Address"/>
    <tableColumn id="16" xr3:uid="{00000000-0010-0000-0000-000010000000}" name="On Xpert Connect"/>
    <tableColumn id="17" xr3:uid="{00000000-0010-0000-0000-000011000000}" name="Registry Updated"/>
    <tableColumn id="18" xr3:uid="{00000000-0010-0000-0000-000012000000}" name="Legal Name"/>
    <tableColumn id="19" xr3:uid="{00000000-0010-0000-0000-000013000000}" name="NPI"/>
    <tableColumn id="20" xr3:uid="{00000000-0010-0000-0000-000014000000}" name="Map"/>
    <tableColumn id="21" xr3:uid="{00000000-0010-0000-0000-000015000000}" name="NPPES Recor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OralSurgeonsTMJ" displayName="OralSurgeonsTMJ" ref="A1:V34">
  <autoFilter ref="A1:V34" xr:uid="{00000000-0009-0000-0100-000002000000}"/>
  <tableColumns count="22">
    <tableColumn id="1" xr3:uid="{00000000-0010-0000-0100-000001000000}" name="Clinic Name"/>
    <tableColumn id="2" xr3:uid="{00000000-0010-0000-0100-000002000000}" name="Specialty Group"/>
    <tableColumn id="3" xr3:uid="{00000000-0010-0000-0100-000003000000}" name="Also In"/>
    <tableColumn id="4" xr3:uid="{00000000-0010-0000-0100-000004000000}" name="Specialties"/>
    <tableColumn id="5" xr3:uid="{00000000-0010-0000-0100-000005000000}" name="Oral Surgeons Here"/>
    <tableColumn id="6" xr3:uid="{00000000-0010-0000-0100-000006000000}" name="Street"/>
    <tableColumn id="7" xr3:uid="{00000000-0010-0000-0100-000007000000}" name="Suite"/>
    <tableColumn id="8" xr3:uid="{00000000-0010-0000-0100-000008000000}" name="City"/>
    <tableColumn id="9" xr3:uid="{00000000-0010-0000-0100-000009000000}" name="County"/>
    <tableColumn id="10" xr3:uid="{00000000-0010-0000-0100-00000A000000}" name="Region"/>
    <tableColumn id="11" xr3:uid="{00000000-0010-0000-0100-00000B000000}" name="ZIP"/>
    <tableColumn id="12" xr3:uid="{00000000-0010-0000-0100-00000C000000}" name="Phone"/>
    <tableColumn id="13" xr3:uid="{00000000-0010-0000-0100-00000D000000}" name="Website"/>
    <tableColumn id="14" xr3:uid="{00000000-0010-0000-0100-00000E000000}" name="Web Check"/>
    <tableColumn id="15" xr3:uid="{00000000-0010-0000-0100-00000F000000}" name="Treats TMJ"/>
    <tableColumn id="16" xr3:uid="{00000000-0010-0000-0100-000010000000}" name="Providers at Address"/>
    <tableColumn id="17" xr3:uid="{00000000-0010-0000-0100-000011000000}" name="On Xpert Connect"/>
    <tableColumn id="18" xr3:uid="{00000000-0010-0000-0100-000012000000}" name="Registry Updated"/>
    <tableColumn id="19" xr3:uid="{00000000-0010-0000-0100-000013000000}" name="Legal Name"/>
    <tableColumn id="20" xr3:uid="{00000000-0010-0000-0100-000014000000}" name="NPI"/>
    <tableColumn id="21" xr3:uid="{00000000-0010-0000-0100-000015000000}" name="Map"/>
    <tableColumn id="22" xr3:uid="{00000000-0010-0000-0100-000016000000}" name="NPPES Record"/>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OlderEntries" displayName="OlderEntries" ref="A1:U2">
  <autoFilter ref="A1:U2" xr:uid="{00000000-0009-0000-0100-000003000000}"/>
  <tableColumns count="21">
    <tableColumn id="1" xr3:uid="{00000000-0010-0000-0200-000001000000}" name="Clinic Name"/>
    <tableColumn id="2" xr3:uid="{00000000-0010-0000-0200-000002000000}" name="Specialty Group"/>
    <tableColumn id="3" xr3:uid="{00000000-0010-0000-0200-000003000000}" name="Also In"/>
    <tableColumn id="4" xr3:uid="{00000000-0010-0000-0200-000004000000}" name="Specialties"/>
    <tableColumn id="5" xr3:uid="{00000000-0010-0000-0200-000005000000}" name="TMJ Specialists Here"/>
    <tableColumn id="6" xr3:uid="{00000000-0010-0000-0200-000006000000}" name="Street"/>
    <tableColumn id="7" xr3:uid="{00000000-0010-0000-0200-000007000000}" name="Suite"/>
    <tableColumn id="8" xr3:uid="{00000000-0010-0000-0200-000008000000}" name="City"/>
    <tableColumn id="9" xr3:uid="{00000000-0010-0000-0200-000009000000}" name="County"/>
    <tableColumn id="10" xr3:uid="{00000000-0010-0000-0200-00000A000000}" name="Region"/>
    <tableColumn id="11" xr3:uid="{00000000-0010-0000-0200-00000B000000}" name="ZIP"/>
    <tableColumn id="12" xr3:uid="{00000000-0010-0000-0200-00000C000000}" name="Phone"/>
    <tableColumn id="13" xr3:uid="{00000000-0010-0000-0200-00000D000000}" name="Website"/>
    <tableColumn id="14" xr3:uid="{00000000-0010-0000-0200-00000E000000}" name="Web Check"/>
    <tableColumn id="15" xr3:uid="{00000000-0010-0000-0200-00000F000000}" name="Providers at Address"/>
    <tableColumn id="16" xr3:uid="{00000000-0010-0000-0200-000010000000}" name="On Xpert Connect"/>
    <tableColumn id="17" xr3:uid="{00000000-0010-0000-0200-000011000000}" name="Registry Updated"/>
    <tableColumn id="18" xr3:uid="{00000000-0010-0000-0200-000012000000}" name="Legal Name"/>
    <tableColumn id="19" xr3:uid="{00000000-0010-0000-0200-000013000000}" name="NPI"/>
    <tableColumn id="20" xr3:uid="{00000000-0010-0000-0200-000014000000}" name="Map"/>
    <tableColumn id="21" xr3:uid="{00000000-0010-0000-0200-000015000000}" name="NPPES Record"/>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26" Type="http://schemas.openxmlformats.org/officeDocument/2006/relationships/hyperlink" Target="https://npiregistry.cms.hhs.gov/provider-view/1902850738" TargetMode="External"/><Relationship Id="rId21" Type="http://schemas.openxmlformats.org/officeDocument/2006/relationships/hyperlink" Target="https://npiregistry.cms.hhs.gov/provider-view/1306513023" TargetMode="External"/><Relationship Id="rId42" Type="http://schemas.openxmlformats.org/officeDocument/2006/relationships/hyperlink" Target="https://www.google.com/maps/search/?api=1&amp;query=The+Facial+Pain+Center%2C+1835+County+Road+C+W%2C+Roseville%2C+MN+55113" TargetMode="External"/><Relationship Id="rId47" Type="http://schemas.openxmlformats.org/officeDocument/2006/relationships/hyperlink" Target="https://mncranio.com/" TargetMode="External"/><Relationship Id="rId63" Type="http://schemas.openxmlformats.org/officeDocument/2006/relationships/hyperlink" Target="https://npiregistry.cms.hhs.gov/provider-view/1811288269" TargetMode="External"/><Relationship Id="rId68" Type="http://schemas.openxmlformats.org/officeDocument/2006/relationships/hyperlink" Target="https://www.google.com/maps/search/?api=1&amp;query=Minnesota+Head+and+Neck+Pain+Clinic%2C+PA%2C+9950+Valley+Creek+Rd%2C+Woodbury%2C+MN+55125" TargetMode="External"/><Relationship Id="rId84" Type="http://schemas.openxmlformats.org/officeDocument/2006/relationships/hyperlink" Target="https://www.hylanddental.net/" TargetMode="External"/><Relationship Id="rId89" Type="http://schemas.openxmlformats.org/officeDocument/2006/relationships/hyperlink" Target="https://npiregistry.cms.hhs.gov/provider-view/1003702408" TargetMode="External"/><Relationship Id="rId16" Type="http://schemas.openxmlformats.org/officeDocument/2006/relationships/hyperlink" Target="https://www.twincitiestmj.com/" TargetMode="External"/><Relationship Id="rId11" Type="http://schemas.openxmlformats.org/officeDocument/2006/relationships/hyperlink" Target="https://www.google.com/maps/search/?api=1&amp;query=The+Facial+Pain+Center%2C+4200+W+Old+Shakopee+Rd%2C+Bloomington%2C+MN+55437" TargetMode="External"/><Relationship Id="rId32" Type="http://schemas.openxmlformats.org/officeDocument/2006/relationships/hyperlink" Target="https://dentalclinics.umn.edu/specialty/tmd-orofacial-pain-dental-sleep-medicine" TargetMode="External"/><Relationship Id="rId37" Type="http://schemas.openxmlformats.org/officeDocument/2006/relationships/hyperlink" Target="https://npiregistry.cms.hhs.gov/provider-view/1407325830" TargetMode="External"/><Relationship Id="rId53" Type="http://schemas.openxmlformats.org/officeDocument/2006/relationships/hyperlink" Target="https://www.tmjandsleeptherapycentreofminnesota.com/" TargetMode="External"/><Relationship Id="rId58" Type="http://schemas.openxmlformats.org/officeDocument/2006/relationships/hyperlink" Target="https://my.officite.com/0029582/" TargetMode="External"/><Relationship Id="rId74" Type="http://schemas.openxmlformats.org/officeDocument/2006/relationships/hyperlink" Target="https://www.google.com/maps/search/?api=1&amp;query=Hanson+Dental%2C+1100+Highway+25+North%2C+Buffalo%2C+MN+55313" TargetMode="External"/><Relationship Id="rId79" Type="http://schemas.openxmlformats.org/officeDocument/2006/relationships/hyperlink" Target="https://mhnpc.com/about/contact/" TargetMode="External"/><Relationship Id="rId5" Type="http://schemas.openxmlformats.org/officeDocument/2006/relationships/hyperlink" Target="https://www.google.com/maps/search/?api=1&amp;query=Minnesota+Head+and+Neck+Pain+Clinic%2C+PA%2C+675+E+Nicollet+Blvd%2C+Burnsville%2C+MN+55337" TargetMode="External"/><Relationship Id="rId90" Type="http://schemas.openxmlformats.org/officeDocument/2006/relationships/hyperlink" Target="https://www.mayoclinic.org/biographies/giri-subha-b-d-s-m-s/bio-20453018" TargetMode="External"/><Relationship Id="rId95" Type="http://schemas.openxmlformats.org/officeDocument/2006/relationships/hyperlink" Target="https://npiregistry.cms.hhs.gov/provider-view/1255928917" TargetMode="External"/><Relationship Id="rId22" Type="http://schemas.openxmlformats.org/officeDocument/2006/relationships/hyperlink" Target="https://www.google.com/maps/search/?api=1&amp;query=Bloomington+Sleep+and+TMD+Care+PLLC%2C+9820+Nicollet+Ave+S%2C+Minneapolis%2C+MN+55420" TargetMode="External"/><Relationship Id="rId27" Type="http://schemas.openxmlformats.org/officeDocument/2006/relationships/hyperlink" Target="https://providers.mhealthfairview.org/provider/donald-nixdorf/2241251" TargetMode="External"/><Relationship Id="rId43" Type="http://schemas.openxmlformats.org/officeDocument/2006/relationships/hyperlink" Target="https://npiregistry.cms.hhs.gov/provider-view/1407325830" TargetMode="External"/><Relationship Id="rId48" Type="http://schemas.openxmlformats.org/officeDocument/2006/relationships/hyperlink" Target="https://www.google.com/maps/search/?api=1&amp;query=Minnesota+Craniofacial+Center+for+TMJ+%26+Sleep+Treatment%2C+2550+University+Ave+W%2C+St.+Paul%2C+MN+55114" TargetMode="External"/><Relationship Id="rId64" Type="http://schemas.openxmlformats.org/officeDocument/2006/relationships/hyperlink" Target="https://www.stillwaterbeautifulsmiles.com/" TargetMode="External"/><Relationship Id="rId69" Type="http://schemas.openxmlformats.org/officeDocument/2006/relationships/hyperlink" Target="https://npiregistry.cms.hhs.gov/provider-view/1710854369" TargetMode="External"/><Relationship Id="rId8" Type="http://schemas.openxmlformats.org/officeDocument/2006/relationships/hyperlink" Target="https://www.google.com/maps/search/?api=1&amp;query=The+Facial+Pain+Center%2C+40+W+Nicollet+Blvd%2C+Burnsville%2C+MN+55337" TargetMode="External"/><Relationship Id="rId51" Type="http://schemas.openxmlformats.org/officeDocument/2006/relationships/hyperlink" Target="https://www.google.com/maps/search/?api=1&amp;query=Minnesota+Head+and+Neck+Pain+Clinic%2C+PA%2C+2550+University+Ave+W%2C+St.+Paul%2C+MN+55114" TargetMode="External"/><Relationship Id="rId72" Type="http://schemas.openxmlformats.org/officeDocument/2006/relationships/hyperlink" Target="https://npiregistry.cms.hhs.gov/provider-view/1407325830" TargetMode="External"/><Relationship Id="rId80" Type="http://schemas.openxmlformats.org/officeDocument/2006/relationships/hyperlink" Target="https://www.google.com/maps/search/?api=1&amp;query=Minnesota+Head+%26+Neck+Pain+Clinic%2C+622+Roosevelt+Rd%2C+St.+Cloud%2C+MN+56301" TargetMode="External"/><Relationship Id="rId85" Type="http://schemas.openxmlformats.org/officeDocument/2006/relationships/hyperlink" Target="https://www.google.com/maps/search/?api=1&amp;query=Hyland+Dental%2C+810+Independence+Dr%2C+Mankato%2C+MN+56001" TargetMode="External"/><Relationship Id="rId93" Type="http://schemas.openxmlformats.org/officeDocument/2006/relationships/hyperlink" Target="https://www.respirawell.com/" TargetMode="External"/><Relationship Id="rId3" Type="http://schemas.openxmlformats.org/officeDocument/2006/relationships/hyperlink" Target="https://npiregistry.cms.hhs.gov/provider-view/1407325830" TargetMode="External"/><Relationship Id="rId12" Type="http://schemas.openxmlformats.org/officeDocument/2006/relationships/hyperlink" Target="https://npiregistry.cms.hhs.gov/provider-view/1043839574" TargetMode="External"/><Relationship Id="rId17" Type="http://schemas.openxmlformats.org/officeDocument/2006/relationships/hyperlink" Target="https://www.google.com/maps/search/?api=1&amp;query=Twin+Cities+TMJ+%26+Facial+Pain+Clinic%2C+4956+Lincoln+Dr%2C+Edina%2C+MN+55436" TargetMode="External"/><Relationship Id="rId25" Type="http://schemas.openxmlformats.org/officeDocument/2006/relationships/hyperlink" Target="https://www.google.com/maps/search/?api=1&amp;query=Hennepin+Healthcare+Dental+%26+Oral+Surgery%2C+715+S+8th+St%2C+Minneapolis%2C+MN+55404" TargetMode="External"/><Relationship Id="rId33" Type="http://schemas.openxmlformats.org/officeDocument/2006/relationships/hyperlink" Target="https://www.google.com/maps/search/?api=1&amp;query=University+of+Minnesota+TMD%2C+Orofacial+Pain+%26+Dental+Sleep+Medicine+Clinic%2C+515+Delaware+St+SE%2C+Minneapolis%2C+MN+55455" TargetMode="External"/><Relationship Id="rId38" Type="http://schemas.openxmlformats.org/officeDocument/2006/relationships/hyperlink" Target="https://mhnpc.com/" TargetMode="External"/><Relationship Id="rId46" Type="http://schemas.openxmlformats.org/officeDocument/2006/relationships/hyperlink" Target="https://npiregistry.cms.hhs.gov/provider-view/1952042053" TargetMode="External"/><Relationship Id="rId59" Type="http://schemas.openxmlformats.org/officeDocument/2006/relationships/hyperlink" Target="https://www.google.com/maps/search/?api=1&amp;query=Ross+Orthodontics+%28Dr.+Gregory+Ross%29%2C+368+Lake+St+S%2C+Forest+Lake%2C+MN+55025" TargetMode="External"/><Relationship Id="rId67" Type="http://schemas.openxmlformats.org/officeDocument/2006/relationships/hyperlink" Target="https://mhnpc.com/about/contact/" TargetMode="External"/><Relationship Id="rId20" Type="http://schemas.openxmlformats.org/officeDocument/2006/relationships/hyperlink" Target="https://www.google.com/maps/search/?api=1&amp;query=Zoya%27s+Orofacial+Pain+and+Dental+Sleep+Remedies+PLLC%2C+1405+Lilac+Lane+Drive+North%2C+Golden+Valley%2C+MN+55422" TargetMode="External"/><Relationship Id="rId41" Type="http://schemas.openxmlformats.org/officeDocument/2006/relationships/hyperlink" Target="https://www.thefacialpaincenter.com/location/roseville/" TargetMode="External"/><Relationship Id="rId54" Type="http://schemas.openxmlformats.org/officeDocument/2006/relationships/hyperlink" Target="https://www.google.com/maps/search/?api=1&amp;query=TMJ+%26+Sleep+Therapy+Centre+of+St.+Paul+%28at+Smiles+of+Distinction+Dentistry%29%2C+4300+Egan+Dr%2C+Savage%2C+MN+55378" TargetMode="External"/><Relationship Id="rId62" Type="http://schemas.openxmlformats.org/officeDocument/2006/relationships/hyperlink" Target="https://www.google.com/maps/search/?api=1&amp;query=HealthPartners+TMD+Lake+Elmo%2C+8515+Eagle+Point+Blvd%2C+Lake+Elmo%2C+MN+55042" TargetMode="External"/><Relationship Id="rId70" Type="http://schemas.openxmlformats.org/officeDocument/2006/relationships/hyperlink" Target="https://www.thefacialpaincenter.com/" TargetMode="External"/><Relationship Id="rId75" Type="http://schemas.openxmlformats.org/officeDocument/2006/relationships/hyperlink" Target="https://npiregistry.cms.hhs.gov/provider-view/1871663831" TargetMode="External"/><Relationship Id="rId83" Type="http://schemas.openxmlformats.org/officeDocument/2006/relationships/hyperlink" Target="https://npiregistry.cms.hhs.gov/provider-view/1033723309" TargetMode="External"/><Relationship Id="rId88" Type="http://schemas.openxmlformats.org/officeDocument/2006/relationships/hyperlink" Target="https://www.google.com/maps/search/?api=1&amp;query=Honor+Dental%2C+2112+Viking+Dr+NW%2C+Rochester%2C+MN+55901" TargetMode="External"/><Relationship Id="rId91" Type="http://schemas.openxmlformats.org/officeDocument/2006/relationships/hyperlink" Target="https://www.google.com/maps/search/?api=1&amp;query=Mayo+Clinic+%E2%80%93+Orofacial+Pain+%28Dental+Specialties%29%2C+200+1st+St+SW%2C+Rochester%2C+MN+55905" TargetMode="External"/><Relationship Id="rId96" Type="http://schemas.openxmlformats.org/officeDocument/2006/relationships/table" Target="../tables/table1.xml"/><Relationship Id="rId1" Type="http://schemas.openxmlformats.org/officeDocument/2006/relationships/hyperlink" Target="https://www.thefacialpaincenter.com/" TargetMode="External"/><Relationship Id="rId6" Type="http://schemas.openxmlformats.org/officeDocument/2006/relationships/hyperlink" Target="https://npiregistry.cms.hhs.gov/provider-view/1255715181" TargetMode="External"/><Relationship Id="rId15" Type="http://schemas.openxmlformats.org/officeDocument/2006/relationships/hyperlink" Target="https://npiregistry.cms.hhs.gov/provider-view/1841353992" TargetMode="External"/><Relationship Id="rId23" Type="http://schemas.openxmlformats.org/officeDocument/2006/relationships/hyperlink" Target="https://npiregistry.cms.hhs.gov/provider-view/1922947142" TargetMode="External"/><Relationship Id="rId28" Type="http://schemas.openxmlformats.org/officeDocument/2006/relationships/hyperlink" Target="https://www.google.com/maps/search/?api=1&amp;query=M+Health+Fairview+Neurosurgery+Clinic+Minneapolis%2C+909+Fulton+St+SE%2C+Minneapolis%2C+MN+55455" TargetMode="External"/><Relationship Id="rId36" Type="http://schemas.openxmlformats.org/officeDocument/2006/relationships/hyperlink" Target="https://www.google.com/maps/search/?api=1&amp;query=The+Facial+Pain+Center%2C+13059+Ridgedale+Dr%2C+Minnetonka%2C+MN+55305" TargetMode="External"/><Relationship Id="rId49" Type="http://schemas.openxmlformats.org/officeDocument/2006/relationships/hyperlink" Target="https://npiregistry.cms.hhs.gov/provider-view/1285757864" TargetMode="External"/><Relationship Id="rId57" Type="http://schemas.openxmlformats.org/officeDocument/2006/relationships/hyperlink" Target="https://npiregistry.cms.hhs.gov/provider-view/1043839574" TargetMode="External"/><Relationship Id="rId10" Type="http://schemas.openxmlformats.org/officeDocument/2006/relationships/hyperlink" Target="https://www.thefacialpaincenter.com/location/bloomington/" TargetMode="External"/><Relationship Id="rId31" Type="http://schemas.openxmlformats.org/officeDocument/2006/relationships/hyperlink" Target="https://npiregistry.cms.hhs.gov/provider-view/1043839574" TargetMode="External"/><Relationship Id="rId44" Type="http://schemas.openxmlformats.org/officeDocument/2006/relationships/hyperlink" Target="https://www.healthpartners.com/institute/education/ohpe/dentistry-residency/" TargetMode="External"/><Relationship Id="rId52" Type="http://schemas.openxmlformats.org/officeDocument/2006/relationships/hyperlink" Target="https://npiregistry.cms.hhs.gov/provider-view/1104850155" TargetMode="External"/><Relationship Id="rId60" Type="http://schemas.openxmlformats.org/officeDocument/2006/relationships/hyperlink" Target="https://npiregistry.cms.hhs.gov/provider-view/1588094171" TargetMode="External"/><Relationship Id="rId65" Type="http://schemas.openxmlformats.org/officeDocument/2006/relationships/hyperlink" Target="https://www.google.com/maps/search/?api=1&amp;query=Carlson+Dental+Group%2C+1701+Curve+Crest+Blvd+W%2C+Stillwater%2C+MN+55082" TargetMode="External"/><Relationship Id="rId73" Type="http://schemas.openxmlformats.org/officeDocument/2006/relationships/hyperlink" Target="https://hansondental.com/" TargetMode="External"/><Relationship Id="rId78" Type="http://schemas.openxmlformats.org/officeDocument/2006/relationships/hyperlink" Target="https://npiregistry.cms.hhs.gov/provider-view/1386312411" TargetMode="External"/><Relationship Id="rId81" Type="http://schemas.openxmlformats.org/officeDocument/2006/relationships/hyperlink" Target="https://npiregistry.cms.hhs.gov/provider-view/1003316852" TargetMode="External"/><Relationship Id="rId86" Type="http://schemas.openxmlformats.org/officeDocument/2006/relationships/hyperlink" Target="https://npiregistry.cms.hhs.gov/provider-view/1780108209" TargetMode="External"/><Relationship Id="rId94" Type="http://schemas.openxmlformats.org/officeDocument/2006/relationships/hyperlink" Target="https://www.google.com/maps/search/?api=1&amp;query=Respira%2C+1309+Salem+Rd+SW%2C+Rochester%2C+MN+55902" TargetMode="External"/><Relationship Id="rId4" Type="http://schemas.openxmlformats.org/officeDocument/2006/relationships/hyperlink" Target="https://mhnpc.com/" TargetMode="External"/><Relationship Id="rId9" Type="http://schemas.openxmlformats.org/officeDocument/2006/relationships/hyperlink" Target="https://npiregistry.cms.hhs.gov/provider-view/1821473927" TargetMode="External"/><Relationship Id="rId13" Type="http://schemas.openxmlformats.org/officeDocument/2006/relationships/hyperlink" Target="https://www.gallaghercosmeticdentistry.com/" TargetMode="External"/><Relationship Id="rId18" Type="http://schemas.openxmlformats.org/officeDocument/2006/relationships/hyperlink" Target="https://npiregistry.cms.hhs.gov/provider-view/1225201213" TargetMode="External"/><Relationship Id="rId39" Type="http://schemas.openxmlformats.org/officeDocument/2006/relationships/hyperlink" Target="https://www.google.com/maps/search/?api=1&amp;query=Minnesota+Head+and+Neck+Pain+Clinic%2C+PA%2C+3475+Plymouth+Blvd%2C+Plymouth%2C+MN+55447" TargetMode="External"/><Relationship Id="rId34" Type="http://schemas.openxmlformats.org/officeDocument/2006/relationships/hyperlink" Target="https://npiregistry.cms.hhs.gov/provider-view/1457448615" TargetMode="External"/><Relationship Id="rId50" Type="http://schemas.openxmlformats.org/officeDocument/2006/relationships/hyperlink" Target="https://mhnpc.com/" TargetMode="External"/><Relationship Id="rId55" Type="http://schemas.openxmlformats.org/officeDocument/2006/relationships/hyperlink" Target="https://www.thefacialpaincenter.com/location/shakopee/" TargetMode="External"/><Relationship Id="rId76" Type="http://schemas.openxmlformats.org/officeDocument/2006/relationships/hyperlink" Target="https://mncenterfordentalcare.com/" TargetMode="External"/><Relationship Id="rId7" Type="http://schemas.openxmlformats.org/officeDocument/2006/relationships/hyperlink" Target="https://www.thefacialpaincenter.com/location/burnsville/" TargetMode="External"/><Relationship Id="rId71" Type="http://schemas.openxmlformats.org/officeDocument/2006/relationships/hyperlink" Target="https://www.google.com/maps/search/?api=1&amp;query=The+Facial+Pain+Center%2C+241+Radio+Dr%2C+Woodbury%2C+MN+55125" TargetMode="External"/><Relationship Id="rId92" Type="http://schemas.openxmlformats.org/officeDocument/2006/relationships/hyperlink" Target="https://npiregistry.cms.hhs.gov/provider-view/1780066282" TargetMode="External"/><Relationship Id="rId2" Type="http://schemas.openxmlformats.org/officeDocument/2006/relationships/hyperlink" Target="https://www.google.com/maps/search/?api=1&amp;query=The+Facial+Pain+Center%2C+4190+108th+Ave+NE%2C+Blaine%2C+MN+55449" TargetMode="External"/><Relationship Id="rId29" Type="http://schemas.openxmlformats.org/officeDocument/2006/relationships/hyperlink" Target="https://www.thefacialpaincenter.com/location/st-louis-park/" TargetMode="External"/><Relationship Id="rId24" Type="http://schemas.openxmlformats.org/officeDocument/2006/relationships/hyperlink" Target="https://hennepinhealthcare.org/services/dental-and-oral-surgery" TargetMode="External"/><Relationship Id="rId40" Type="http://schemas.openxmlformats.org/officeDocument/2006/relationships/hyperlink" Target="https://npiregistry.cms.hhs.gov/provider-view/1871975607" TargetMode="External"/><Relationship Id="rId45" Type="http://schemas.openxmlformats.org/officeDocument/2006/relationships/hyperlink" Target="https://www.google.com/maps/search/?api=1&amp;query=HealthPartners+St.+Paul+%28Wabasha%29+Dental+Clinic%2C+205+Wabasha+St+S%2C+St.+Paul%2C+MN+55107" TargetMode="External"/><Relationship Id="rId66" Type="http://schemas.openxmlformats.org/officeDocument/2006/relationships/hyperlink" Target="https://npiregistry.cms.hhs.gov/provider-view/1598243990" TargetMode="External"/><Relationship Id="rId87" Type="http://schemas.openxmlformats.org/officeDocument/2006/relationships/hyperlink" Target="https://www.honordentalrochester.com/" TargetMode="External"/><Relationship Id="rId61" Type="http://schemas.openxmlformats.org/officeDocument/2006/relationships/hyperlink" Target="https://www.healthpartners.com/care/find/location/clinics/dental/healthpartners/como-st-paul/tmd/" TargetMode="External"/><Relationship Id="rId82" Type="http://schemas.openxmlformats.org/officeDocument/2006/relationships/hyperlink" Target="https://www.google.com/maps/search/?api=1&amp;query=Riverfront+Dental%2C+124+E+Lincoln+Ave%2C+Fergus+Falls%2C+MN+56537" TargetMode="External"/><Relationship Id="rId19" Type="http://schemas.openxmlformats.org/officeDocument/2006/relationships/hyperlink" Target="https://zoyaorofacialpaindentalsleep.org/" TargetMode="External"/><Relationship Id="rId14" Type="http://schemas.openxmlformats.org/officeDocument/2006/relationships/hyperlink" Target="https://www.google.com/maps/search/?api=1&amp;query=Gallagher+Dentistry+%26+Facial+Pain+Center%2C+11800+Singletree+Ln%2C+Eden+Prairie%2C+MN+55344" TargetMode="External"/><Relationship Id="rId30" Type="http://schemas.openxmlformats.org/officeDocument/2006/relationships/hyperlink" Target="https://www.google.com/maps/search/?api=1&amp;query=The+Facial+Pain+Center%2C+5000+W+36th+St%2C+Minneapolis%2C+MN+55416" TargetMode="External"/><Relationship Id="rId35" Type="http://schemas.openxmlformats.org/officeDocument/2006/relationships/hyperlink" Target="https://www.thefacialpaincenter.com/" TargetMode="External"/><Relationship Id="rId56" Type="http://schemas.openxmlformats.org/officeDocument/2006/relationships/hyperlink" Target="https://www.google.com/maps/search/?api=1&amp;query=The+Facial+Pain+Center%2C+4155+Dean+Lakes+Blvd%2C+Shakopee%2C+MN+55379" TargetMode="External"/><Relationship Id="rId77" Type="http://schemas.openxmlformats.org/officeDocument/2006/relationships/hyperlink" Target="https://www.google.com/maps/search/?api=1&amp;query=MN+Center+for+Dental+Care%2C+9075+Quaday+Ave+NE%2C+Otsego%2C+MN+55330" TargetMode="External"/></Relationships>
</file>

<file path=xl/worksheets/_rels/sheet3.xml.rels><?xml version="1.0" encoding="UTF-8" standalone="yes"?>
<Relationships xmlns="http://schemas.openxmlformats.org/package/2006/relationships"><Relationship Id="rId26" Type="http://schemas.openxmlformats.org/officeDocument/2006/relationships/hyperlink" Target="https://www.google.com/maps/search/?api=1&amp;query=OMS+Specialists%2C+13950+Grove+Dr%2C+Maple+Grove%2C+MN+55311" TargetMode="External"/><Relationship Id="rId21" Type="http://schemas.openxmlformats.org/officeDocument/2006/relationships/hyperlink" Target="https://npiregistry.cms.hhs.gov/provider-view/1619049921" TargetMode="External"/><Relationship Id="rId42" Type="http://schemas.openxmlformats.org/officeDocument/2006/relationships/hyperlink" Target="https://npiregistry.cms.hhs.gov/provider-view/1508160060" TargetMode="External"/><Relationship Id="rId47" Type="http://schemas.openxmlformats.org/officeDocument/2006/relationships/hyperlink" Target="https://www.google.com/maps/search/?api=1&amp;query=Momenta+Oral+%26+Maxillofacial+Surgery%2C+700+Village+Center+Dr%2C+North+Oaks%2C+MN+55127" TargetMode="External"/><Relationship Id="rId63" Type="http://schemas.openxmlformats.org/officeDocument/2006/relationships/hyperlink" Target="https://npiregistry.cms.hhs.gov/provider-view/1508058322" TargetMode="External"/><Relationship Id="rId68" Type="http://schemas.openxmlformats.org/officeDocument/2006/relationships/hyperlink" Target="https://www.google.com/maps/search/?api=1&amp;query=Associated+Oral+%26+Maxillofacial+Surgeons%2C+215+Highway+55+E%2C+Buffalo%2C+MN+55313" TargetMode="External"/><Relationship Id="rId84" Type="http://schemas.openxmlformats.org/officeDocument/2006/relationships/hyperlink" Target="https://npiregistry.cms.hhs.gov/provider-view/1679668529" TargetMode="External"/><Relationship Id="rId89" Type="http://schemas.openxmlformats.org/officeDocument/2006/relationships/hyperlink" Target="https://www.google.com/maps/search/?api=1&amp;query=Northern+Oral+Surgery+%26+Implant+Center%2C+3617+W+Arrowhead+Rd%2C+Duluth%2C+MN+55811" TargetMode="External"/><Relationship Id="rId16" Type="http://schemas.openxmlformats.org/officeDocument/2006/relationships/hyperlink" Target="https://eosoralsurgery.com/" TargetMode="External"/><Relationship Id="rId11" Type="http://schemas.openxmlformats.org/officeDocument/2006/relationships/hyperlink" Target="https://www.google.com/maps/search/?api=1&amp;query=Twin+Cities+Oral+%26+Maxillofacial+Surgery+PA.%2C+925+Highway+55%2C+Hastings%2C+MN+55033" TargetMode="External"/><Relationship Id="rId32" Type="http://schemas.openxmlformats.org/officeDocument/2006/relationships/hyperlink" Target="https://www.google.com/maps/search/?api=1&amp;query=Minnesota+Maxillofacial+and+Oral+Consultants%2C+15600+36th+Ave+N%2C+Plymouth%2C+MN+55446" TargetMode="External"/><Relationship Id="rId37" Type="http://schemas.openxmlformats.org/officeDocument/2006/relationships/hyperlink" Target="https://www.omscmn.com/contact-us/wayzata-office/" TargetMode="External"/><Relationship Id="rId53" Type="http://schemas.openxmlformats.org/officeDocument/2006/relationships/hyperlink" Target="https://www.google.com/maps/search/?api=1&amp;query=EOS+Oral+Surgery%2C+13875+Hwy+13+Frontage+Rd%2C+Savage%2C+MN+55378" TargetMode="External"/><Relationship Id="rId58" Type="http://schemas.openxmlformats.org/officeDocument/2006/relationships/hyperlink" Target="https://associatedoms.com/elk-river/" TargetMode="External"/><Relationship Id="rId74" Type="http://schemas.openxmlformats.org/officeDocument/2006/relationships/hyperlink" Target="https://www.google.com/maps/search/?api=1&amp;query=Minnesota+Oral+%26+Facial+Surgery%2C+2380+Troop+Drive%2C+Sartell%2C+MN+56377" TargetMode="External"/><Relationship Id="rId79" Type="http://schemas.openxmlformats.org/officeDocument/2006/relationships/hyperlink" Target="https://www.omsabrainerd.com/" TargetMode="External"/><Relationship Id="rId5" Type="http://schemas.openxmlformats.org/officeDocument/2006/relationships/hyperlink" Target="https://www.google.com/maps/search/?api=1&amp;query=Associated+Oral+%26+Maxillofacial+Surgeons+%28Associated+OMS%29%2C+3833+Coon+Rapids+Blvd+NW%2C+Coon+Rapids%2C+MN+55433" TargetMode="External"/><Relationship Id="rId90" Type="http://schemas.openxmlformats.org/officeDocument/2006/relationships/hyperlink" Target="https://npiregistry.cms.hhs.gov/provider-view/1457401820" TargetMode="External"/><Relationship Id="rId95" Type="http://schemas.openxmlformats.org/officeDocument/2006/relationships/hyperlink" Target="https://www.google.com/maps/search/?api=1&amp;query=Southeastern+Minnesota+Oral+%26+Maxillofacial+Surgery+Associates%2C+PLLC%2C+1410+Madison+Ave%2C+Mankato%2C+MN+56001" TargetMode="External"/><Relationship Id="rId22" Type="http://schemas.openxmlformats.org/officeDocument/2006/relationships/hyperlink" Target="https://associatedoms.com/maple-grove/" TargetMode="External"/><Relationship Id="rId27" Type="http://schemas.openxmlformats.org/officeDocument/2006/relationships/hyperlink" Target="https://npiregistry.cms.hhs.gov/provider-view/1902917057" TargetMode="External"/><Relationship Id="rId43" Type="http://schemas.openxmlformats.org/officeDocument/2006/relationships/hyperlink" Target="https://www.omsspecialists.com/new-brighton" TargetMode="External"/><Relationship Id="rId48" Type="http://schemas.openxmlformats.org/officeDocument/2006/relationships/hyperlink" Target="https://npiregistry.cms.hhs.gov/provider-view/1497814032" TargetMode="External"/><Relationship Id="rId64" Type="http://schemas.openxmlformats.org/officeDocument/2006/relationships/hyperlink" Target="https://www.theoralsurgerycenter.com/" TargetMode="External"/><Relationship Id="rId69" Type="http://schemas.openxmlformats.org/officeDocument/2006/relationships/hyperlink" Target="https://npiregistry.cms.hhs.gov/provider-view/1649043662" TargetMode="External"/><Relationship Id="rId80" Type="http://schemas.openxmlformats.org/officeDocument/2006/relationships/hyperlink" Target="https://www.google.com/maps/search/?api=1&amp;query=Oral+and+Maxillofacial+Surgery+Associates%2C+LTD%2C+1903+S+6th+St%2C+Brainerd%2C+MN+56401" TargetMode="External"/><Relationship Id="rId85" Type="http://schemas.openxmlformats.org/officeDocument/2006/relationships/hyperlink" Target="https://www.bluewateroral.surgery/" TargetMode="External"/><Relationship Id="rId3" Type="http://schemas.openxmlformats.org/officeDocument/2006/relationships/hyperlink" Target="https://npiregistry.cms.hhs.gov/provider-view/1467563510" TargetMode="External"/><Relationship Id="rId12" Type="http://schemas.openxmlformats.org/officeDocument/2006/relationships/hyperlink" Target="https://npiregistry.cms.hhs.gov/provider-view/1083792279" TargetMode="External"/><Relationship Id="rId17" Type="http://schemas.openxmlformats.org/officeDocument/2006/relationships/hyperlink" Target="https://www.google.com/maps/search/?api=1&amp;query=EOS+Expert+Oral+Surgery%2C+11800+Singletree+Ln%2C+Eden+Prairie%2C+MN+55344" TargetMode="External"/><Relationship Id="rId25" Type="http://schemas.openxmlformats.org/officeDocument/2006/relationships/hyperlink" Target="https://www.omsspecialists.com/maple-grove" TargetMode="External"/><Relationship Id="rId33" Type="http://schemas.openxmlformats.org/officeDocument/2006/relationships/hyperlink" Target="https://npiregistry.cms.hhs.gov/provider-view/1417034661" TargetMode="External"/><Relationship Id="rId38" Type="http://schemas.openxmlformats.org/officeDocument/2006/relationships/hyperlink" Target="https://www.google.com/maps/search/?api=1&amp;query=Oral+and+Maxillofacial+Surgical+Consultants+PA%2C+250+Central+Ave+N%2C+Wayzata%2C+MN+55391" TargetMode="External"/><Relationship Id="rId46" Type="http://schemas.openxmlformats.org/officeDocument/2006/relationships/hyperlink" Target="https://www.momentaoms.com/contact-us/north-oaks-office/" TargetMode="External"/><Relationship Id="rId59" Type="http://schemas.openxmlformats.org/officeDocument/2006/relationships/hyperlink" Target="https://www.google.com/maps/search/?api=1&amp;query=Associated+Oral+%26+Maxillofacial+Surgeons+%28Elk+River%29%2C+501+Main+St+NW%2C+Elk+River%2C+MN+55330" TargetMode="External"/><Relationship Id="rId67" Type="http://schemas.openxmlformats.org/officeDocument/2006/relationships/hyperlink" Target="https://associatedoms.com/buffalo/" TargetMode="External"/><Relationship Id="rId20" Type="http://schemas.openxmlformats.org/officeDocument/2006/relationships/hyperlink" Target="https://www.google.com/maps/search/?api=1&amp;query=Oral+and+Maxillofacial+Surgical+Consultants+PA%2C+7373+France+Ave+S%2C+Edina%2C+MN+55435" TargetMode="External"/><Relationship Id="rId41" Type="http://schemas.openxmlformats.org/officeDocument/2006/relationships/hyperlink" Target="https://www.google.com/maps/search/?api=1&amp;query=OMS+Specialists%2C+1595+2nd+Ave+NE%2C+Cambridge%2C+MN+55008" TargetMode="External"/><Relationship Id="rId54" Type="http://schemas.openxmlformats.org/officeDocument/2006/relationships/hyperlink" Target="https://npiregistry.cms.hhs.gov/provider-view/1063122976" TargetMode="External"/><Relationship Id="rId62" Type="http://schemas.openxmlformats.org/officeDocument/2006/relationships/hyperlink" Target="https://www.google.com/maps/search/?api=1&amp;query=The+Oral+Surgery+Center%2C+2850+Curve+Crest+Blvd%2C+Stillwater%2C+MN+55082" TargetMode="External"/><Relationship Id="rId70" Type="http://schemas.openxmlformats.org/officeDocument/2006/relationships/hyperlink" Target="https://associatedoms.com/monticello/" TargetMode="External"/><Relationship Id="rId75" Type="http://schemas.openxmlformats.org/officeDocument/2006/relationships/hyperlink" Target="https://npiregistry.cms.hhs.gov/provider-view/1386723575" TargetMode="External"/><Relationship Id="rId83" Type="http://schemas.openxmlformats.org/officeDocument/2006/relationships/hyperlink" Target="https://www.google.com/maps/search/?api=1&amp;query=Blue+Water+Oral+and+Facial+Surgery%2C+303+SE+1st+St%2C+Grand+Rapids%2C+MN+55744" TargetMode="External"/><Relationship Id="rId88" Type="http://schemas.openxmlformats.org/officeDocument/2006/relationships/hyperlink" Target="https://www.northernoralsurgeons.com/contact-us/duluth-office/" TargetMode="External"/><Relationship Id="rId91" Type="http://schemas.openxmlformats.org/officeDocument/2006/relationships/hyperlink" Target="https://www.bluewateroral.surgery/contact-us/virginia-mn/" TargetMode="External"/><Relationship Id="rId96" Type="http://schemas.openxmlformats.org/officeDocument/2006/relationships/hyperlink" Target="https://npiregistry.cms.hhs.gov/provider-view/1659492312" TargetMode="External"/><Relationship Id="rId1" Type="http://schemas.openxmlformats.org/officeDocument/2006/relationships/hyperlink" Target="https://www.omsspecialists.com/blaine" TargetMode="External"/><Relationship Id="rId6" Type="http://schemas.openxmlformats.org/officeDocument/2006/relationships/hyperlink" Target="https://npiregistry.cms.hhs.gov/provider-view/1649043662" TargetMode="External"/><Relationship Id="rId15" Type="http://schemas.openxmlformats.org/officeDocument/2006/relationships/hyperlink" Target="https://npiregistry.cms.hhs.gov/provider-view/1720206428" TargetMode="External"/><Relationship Id="rId23" Type="http://schemas.openxmlformats.org/officeDocument/2006/relationships/hyperlink" Target="https://www.google.com/maps/search/?api=1&amp;query=Associated+Oral+%26+Maxillofacial+Surgeons%2C+12000+Elm+Creek+Blvd+N%2C+Maple+Grove%2C+MN+55369" TargetMode="External"/><Relationship Id="rId28" Type="http://schemas.openxmlformats.org/officeDocument/2006/relationships/hyperlink" Target="https://www.facial-designs.com/" TargetMode="External"/><Relationship Id="rId36" Type="http://schemas.openxmlformats.org/officeDocument/2006/relationships/hyperlink" Target="https://npiregistry.cms.hhs.gov/provider-view/1699272427" TargetMode="External"/><Relationship Id="rId49" Type="http://schemas.openxmlformats.org/officeDocument/2006/relationships/hyperlink" Target="https://www.stpauloralsurgery.com/" TargetMode="External"/><Relationship Id="rId57" Type="http://schemas.openxmlformats.org/officeDocument/2006/relationships/hyperlink" Target="https://npiregistry.cms.hhs.gov/provider-view/1063122976" TargetMode="External"/><Relationship Id="rId10" Type="http://schemas.openxmlformats.org/officeDocument/2006/relationships/hyperlink" Target="https://www.tcoralsurgery.com/contact-us/hastings-mn-office/" TargetMode="External"/><Relationship Id="rId31" Type="http://schemas.openxmlformats.org/officeDocument/2006/relationships/hyperlink" Target="https://www.mnmax.com/" TargetMode="External"/><Relationship Id="rId44" Type="http://schemas.openxmlformats.org/officeDocument/2006/relationships/hyperlink" Target="https://www.google.com/maps/search/?api=1&amp;query=OMS+Specialists%2C+550+County+Road+D%2C+New+Brighton%2C+MN+55421" TargetMode="External"/><Relationship Id="rId52" Type="http://schemas.openxmlformats.org/officeDocument/2006/relationships/hyperlink" Target="https://eosoralsurgery.com/locations/" TargetMode="External"/><Relationship Id="rId60" Type="http://schemas.openxmlformats.org/officeDocument/2006/relationships/hyperlink" Target="https://npiregistry.cms.hhs.gov/provider-view/1649043662" TargetMode="External"/><Relationship Id="rId65" Type="http://schemas.openxmlformats.org/officeDocument/2006/relationships/hyperlink" Target="https://www.google.com/maps/search/?api=1&amp;query=The+Oral+Surgery+Center%2C+748+Bielenberg+Drive%2C+Woodbury%2C+MN+55125" TargetMode="External"/><Relationship Id="rId73" Type="http://schemas.openxmlformats.org/officeDocument/2006/relationships/hyperlink" Target="https://www.mnofs.com/" TargetMode="External"/><Relationship Id="rId78" Type="http://schemas.openxmlformats.org/officeDocument/2006/relationships/hyperlink" Target="https://npiregistry.cms.hhs.gov/provider-view/1598710477" TargetMode="External"/><Relationship Id="rId81" Type="http://schemas.openxmlformats.org/officeDocument/2006/relationships/hyperlink" Target="https://npiregistry.cms.hhs.gov/provider-view/1942382379" TargetMode="External"/><Relationship Id="rId86" Type="http://schemas.openxmlformats.org/officeDocument/2006/relationships/hyperlink" Target="https://www.google.com/maps/search/?api=1&amp;query=Blue+Water+Oral+and+Facial+Surgery%2C+1000+E+1st+St%2C+Duluth%2C+MN+55805" TargetMode="External"/><Relationship Id="rId94" Type="http://schemas.openxmlformats.org/officeDocument/2006/relationships/hyperlink" Target="https://www.semoms.com/contact-us/contact-information/" TargetMode="External"/><Relationship Id="rId99" Type="http://schemas.openxmlformats.org/officeDocument/2006/relationships/hyperlink" Target="https://npiregistry.cms.hhs.gov/provider-view/1659492312" TargetMode="External"/><Relationship Id="rId4" Type="http://schemas.openxmlformats.org/officeDocument/2006/relationships/hyperlink" Target="https://associatedoms.com/coon-rapids/" TargetMode="External"/><Relationship Id="rId9" Type="http://schemas.openxmlformats.org/officeDocument/2006/relationships/hyperlink" Target="https://npiregistry.cms.hhs.gov/provider-view/1770694812" TargetMode="External"/><Relationship Id="rId13" Type="http://schemas.openxmlformats.org/officeDocument/2006/relationships/hyperlink" Target="https://www.omscmn.com/contact-us/chanhassen-office/" TargetMode="External"/><Relationship Id="rId18" Type="http://schemas.openxmlformats.org/officeDocument/2006/relationships/hyperlink" Target="https://npiregistry.cms.hhs.gov/provider-view/1063122976" TargetMode="External"/><Relationship Id="rId39" Type="http://schemas.openxmlformats.org/officeDocument/2006/relationships/hyperlink" Target="https://npiregistry.cms.hhs.gov/provider-view/1265650956" TargetMode="External"/><Relationship Id="rId34" Type="http://schemas.openxmlformats.org/officeDocument/2006/relationships/hyperlink" Target="https://www.healthpartners.com/care/find/location/dental/healthpartners/st-louis-park/" TargetMode="External"/><Relationship Id="rId50" Type="http://schemas.openxmlformats.org/officeDocument/2006/relationships/hyperlink" Target="https://www.google.com/maps/search/?api=1&amp;query=St.+Paul+Oral+Surgery%2C+2550+University+Ave+W%2C+St.+Paul%2C+MN+55114" TargetMode="External"/><Relationship Id="rId55" Type="http://schemas.openxmlformats.org/officeDocument/2006/relationships/hyperlink" Target="https://eosoralsurgery.com/locations/" TargetMode="External"/><Relationship Id="rId76" Type="http://schemas.openxmlformats.org/officeDocument/2006/relationships/hyperlink" Target="https://www.centrasotaoms.com/" TargetMode="External"/><Relationship Id="rId97" Type="http://schemas.openxmlformats.org/officeDocument/2006/relationships/hyperlink" Target="https://www.semoms.com/" TargetMode="External"/><Relationship Id="rId7" Type="http://schemas.openxmlformats.org/officeDocument/2006/relationships/hyperlink" Target="https://www.omsspecialists.com/waconia" TargetMode="External"/><Relationship Id="rId71" Type="http://schemas.openxmlformats.org/officeDocument/2006/relationships/hyperlink" Target="https://www.google.com/maps/search/?api=1&amp;query=Associated+Oral+%26+Maxillofacial+Surgeons+%28Associated+OMS%29%2C+114+W+3rd+St%2C+Monticello%2C+MN+55362" TargetMode="External"/><Relationship Id="rId92" Type="http://schemas.openxmlformats.org/officeDocument/2006/relationships/hyperlink" Target="https://www.google.com/maps/search/?api=1&amp;query=Blue+Water+Oral+and+Facial+Surgery%2C+505+S+12th+Ave+W%2C+Virginia%2C+MN+55792" TargetMode="External"/><Relationship Id="rId2" Type="http://schemas.openxmlformats.org/officeDocument/2006/relationships/hyperlink" Target="https://www.google.com/maps/search/?api=1&amp;query=OMS+Specialists%2C+11855+Ulysses+Street+NE%2C+Blaine%2C+MN+55434" TargetMode="External"/><Relationship Id="rId29" Type="http://schemas.openxmlformats.org/officeDocument/2006/relationships/hyperlink" Target="https://www.google.com/maps/search/?api=1&amp;query=Facial+Designs%2C+P.A.%2C+11601+Minnetonka+Mills+Rd%2C+Minnetonka%2C+MN+55305" TargetMode="External"/><Relationship Id="rId24" Type="http://schemas.openxmlformats.org/officeDocument/2006/relationships/hyperlink" Target="https://npiregistry.cms.hhs.gov/provider-view/1649043662" TargetMode="External"/><Relationship Id="rId40" Type="http://schemas.openxmlformats.org/officeDocument/2006/relationships/hyperlink" Target="https://www.omsspecialists.com/cambridge" TargetMode="External"/><Relationship Id="rId45" Type="http://schemas.openxmlformats.org/officeDocument/2006/relationships/hyperlink" Target="https://npiregistry.cms.hhs.gov/provider-view/1982634010" TargetMode="External"/><Relationship Id="rId66" Type="http://schemas.openxmlformats.org/officeDocument/2006/relationships/hyperlink" Target="https://npiregistry.cms.hhs.gov/provider-view/1104864529" TargetMode="External"/><Relationship Id="rId87" Type="http://schemas.openxmlformats.org/officeDocument/2006/relationships/hyperlink" Target="https://npiregistry.cms.hhs.gov/provider-view/1104911056" TargetMode="External"/><Relationship Id="rId61" Type="http://schemas.openxmlformats.org/officeDocument/2006/relationships/hyperlink" Target="https://www.theoralsurgerycenter.com/contact-us/stillwater-mn/" TargetMode="External"/><Relationship Id="rId82" Type="http://schemas.openxmlformats.org/officeDocument/2006/relationships/hyperlink" Target="https://www.bluewateroral.surgery/contact-us/grand-rapids-mn/" TargetMode="External"/><Relationship Id="rId19" Type="http://schemas.openxmlformats.org/officeDocument/2006/relationships/hyperlink" Target="https://www.omscmn.com/contact-us/edina-office/" TargetMode="External"/><Relationship Id="rId14" Type="http://schemas.openxmlformats.org/officeDocument/2006/relationships/hyperlink" Target="https://www.google.com/maps/search/?api=1&amp;query=Oral+and+Maxillofacial+Surgical+Consultants+PA%2C+7770+Dell+Road%2C+Chanhassen%2C+MN+55317" TargetMode="External"/><Relationship Id="rId30" Type="http://schemas.openxmlformats.org/officeDocument/2006/relationships/hyperlink" Target="https://npiregistry.cms.hhs.gov/provider-view/1679620801" TargetMode="External"/><Relationship Id="rId35" Type="http://schemas.openxmlformats.org/officeDocument/2006/relationships/hyperlink" Target="https://www.google.com/maps/search/?api=1&amp;query=HealthPartners+Dental+Clinic+St.+Louis+Park%2C+5500+Excelsior+Blvd%2C+St.+Louis+Park%2C+MN+55416" TargetMode="External"/><Relationship Id="rId56" Type="http://schemas.openxmlformats.org/officeDocument/2006/relationships/hyperlink" Target="https://www.google.com/maps/search/?api=1&amp;query=EOS%3A+Expert+Oral+Surgery%2C+403+East+First+Avenue%2C+Shakopee%2C+MN+55379" TargetMode="External"/><Relationship Id="rId77" Type="http://schemas.openxmlformats.org/officeDocument/2006/relationships/hyperlink" Target="https://www.google.com/maps/search/?api=1&amp;query=Centrasota+Oral+Surgeons%2C+3950+Veterans+Dr%2C+St.+Cloud%2C+MN+56303" TargetMode="External"/><Relationship Id="rId100" Type="http://schemas.openxmlformats.org/officeDocument/2006/relationships/table" Target="../tables/table2.xml"/><Relationship Id="rId8" Type="http://schemas.openxmlformats.org/officeDocument/2006/relationships/hyperlink" Target="https://www.google.com/maps/search/?api=1&amp;query=OMS+Specialists%2C+490+S+Maple+St%2C+Waconia%2C+MN+55387" TargetMode="External"/><Relationship Id="rId51" Type="http://schemas.openxmlformats.org/officeDocument/2006/relationships/hyperlink" Target="https://npiregistry.cms.hhs.gov/provider-view/1043870645" TargetMode="External"/><Relationship Id="rId72" Type="http://schemas.openxmlformats.org/officeDocument/2006/relationships/hyperlink" Target="https://npiregistry.cms.hhs.gov/provider-view/1649043662" TargetMode="External"/><Relationship Id="rId93" Type="http://schemas.openxmlformats.org/officeDocument/2006/relationships/hyperlink" Target="https://npiregistry.cms.hhs.gov/provider-view/1417042367" TargetMode="External"/><Relationship Id="rId98" Type="http://schemas.openxmlformats.org/officeDocument/2006/relationships/hyperlink" Target="https://www.google.com/maps/search/?api=1&amp;query=Southeastern+Minnesota+Oral+%26+Maxillofacial+Surgery+Associates%2C+PLLC%2C+2519+Commerce+Dr+NW%2C+Rochester%2C+MN+55901" TargetMode="Externa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hyperlink" Target="https://npiregistry.cms.hhs.gov/provider-view/1447699335" TargetMode="External"/><Relationship Id="rId1" Type="http://schemas.openxmlformats.org/officeDocument/2006/relationships/hyperlink" Target="https://www.google.com/maps/search/?api=1&amp;query=Beth+Groenke%2C+DDS%2C+MS%2C+7600+France+Ave+S%2C+Edina%2C+MN+5543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8"/>
  <sheetViews>
    <sheetView showGridLines="0" tabSelected="1" workbookViewId="0">
      <pane ySplit="7" topLeftCell="A8" activePane="bottomLeft" state="frozen"/>
      <selection pane="bottomLeft"/>
    </sheetView>
  </sheetViews>
  <sheetFormatPr baseColWidth="10" defaultColWidth="8.88671875" defaultRowHeight="14.4" x14ac:dyDescent="0.3"/>
  <cols>
    <col min="1" max="1" width="30" customWidth="1"/>
    <col min="2" max="5" width="16" customWidth="1"/>
  </cols>
  <sheetData>
    <row r="1" spans="1:7" ht="22.8" x14ac:dyDescent="0.4">
      <c r="A1" s="1" t="s">
        <v>0</v>
      </c>
    </row>
    <row r="2" spans="1:7" ht="28.05" customHeight="1" x14ac:dyDescent="0.3">
      <c r="A2" s="23" t="s">
        <v>1</v>
      </c>
      <c r="B2" s="22"/>
      <c r="C2" s="22"/>
      <c r="D2" s="22"/>
      <c r="E2" s="22"/>
      <c r="F2" s="22"/>
      <c r="G2" s="22"/>
    </row>
    <row r="4" spans="1:7" ht="35.4" x14ac:dyDescent="0.6">
      <c r="A4" s="2">
        <f>COUNTA('TMJ Clinics'!$A:$A)-1</f>
        <v>33</v>
      </c>
      <c r="C4" s="21">
        <f>COUNTIF('TMJ Clinics'!$P:$P,"No")</f>
        <v>1</v>
      </c>
      <c r="D4" s="22"/>
      <c r="E4" s="22"/>
    </row>
    <row r="5" spans="1:7" x14ac:dyDescent="0.3">
      <c r="A5" s="3" t="s">
        <v>2</v>
      </c>
      <c r="C5" s="3" t="s">
        <v>3</v>
      </c>
    </row>
    <row r="6" spans="1:7" ht="28.05" customHeight="1" x14ac:dyDescent="0.3">
      <c r="A6" s="23" t="str">
        <f>"Plus "&amp;(COUNTA('Oral Surgeons (TMJ)'!$A:$A)-1)&amp;" oral and maxillofacial surgery practices whose own website offers TMJ treatment, on the 'Oral Surgeons (TMJ)' sheet."</f>
        <v>Plus 33 oral and maxillofacial surgery practices whose own website offers TMJ treatment, on the 'Oral Surgeons (TMJ)' sheet.</v>
      </c>
      <c r="B6" s="22"/>
      <c r="C6" s="22"/>
      <c r="D6" s="22"/>
      <c r="E6" s="22"/>
      <c r="F6" s="22"/>
      <c r="G6" s="22"/>
    </row>
    <row r="8" spans="1:7" x14ac:dyDescent="0.3">
      <c r="A8" s="3" t="s">
        <v>4</v>
      </c>
    </row>
    <row r="9" spans="1:7" ht="30" customHeight="1" x14ac:dyDescent="0.3">
      <c r="A9" s="4" t="s">
        <v>5</v>
      </c>
      <c r="B9" s="5" t="s">
        <v>6</v>
      </c>
      <c r="C9" s="5" t="s">
        <v>7</v>
      </c>
      <c r="D9" s="5" t="s">
        <v>8</v>
      </c>
    </row>
    <row r="10" spans="1:7" x14ac:dyDescent="0.3">
      <c r="A10" s="6" t="s">
        <v>9</v>
      </c>
      <c r="B10" s="7">
        <f>COUNTIF('TMJ Clinics'!$J:$J,$A10)</f>
        <v>27</v>
      </c>
      <c r="C10" s="7">
        <f>COUNTIFS('TMJ Clinics'!$J:$J,$A10,'TMJ Clinics'!$P:$P,"No")</f>
        <v>1</v>
      </c>
      <c r="D10" s="7">
        <f>COUNTIF('Oral Surgeons (TMJ)'!$J:$J,$A10)</f>
        <v>24</v>
      </c>
    </row>
    <row r="11" spans="1:7" x14ac:dyDescent="0.3">
      <c r="A11" s="6" t="s">
        <v>10</v>
      </c>
      <c r="B11" s="7">
        <f>COUNTIF('TMJ Clinics'!$J:$J,$A11)</f>
        <v>1</v>
      </c>
      <c r="C11" s="7">
        <f>COUNTIFS('TMJ Clinics'!$J:$J,$A11,'TMJ Clinics'!$P:$P,"No")</f>
        <v>0</v>
      </c>
      <c r="D11" s="7">
        <f>COUNTIF('Oral Surgeons (TMJ)'!$J:$J,$A11)</f>
        <v>2</v>
      </c>
    </row>
    <row r="12" spans="1:7" x14ac:dyDescent="0.3">
      <c r="A12" s="6" t="s">
        <v>11</v>
      </c>
      <c r="B12" s="7">
        <f>COUNTIF('TMJ Clinics'!$J:$J,$A12)</f>
        <v>0</v>
      </c>
      <c r="C12" s="7">
        <f>COUNTIFS('TMJ Clinics'!$J:$J,$A12,'TMJ Clinics'!$P:$P,"No")</f>
        <v>0</v>
      </c>
      <c r="D12" s="7">
        <f>COUNTIF('Oral Surgeons (TMJ)'!$J:$J,$A12)</f>
        <v>5</v>
      </c>
    </row>
    <row r="13" spans="1:7" x14ac:dyDescent="0.3">
      <c r="A13" s="6" t="s">
        <v>12</v>
      </c>
      <c r="B13" s="7">
        <f>COUNTIF('TMJ Clinics'!$J:$J,$A13)</f>
        <v>0</v>
      </c>
      <c r="C13" s="7">
        <f>COUNTIFS('TMJ Clinics'!$J:$J,$A13,'TMJ Clinics'!$P:$P,"No")</f>
        <v>0</v>
      </c>
      <c r="D13" s="7">
        <f>COUNTIF('Oral Surgeons (TMJ)'!$J:$J,$A13)</f>
        <v>0</v>
      </c>
    </row>
    <row r="14" spans="1:7" x14ac:dyDescent="0.3">
      <c r="A14" s="6" t="s">
        <v>13</v>
      </c>
      <c r="B14" s="7">
        <f>COUNTIF('TMJ Clinics'!$J:$J,$A14)</f>
        <v>1</v>
      </c>
      <c r="C14" s="7">
        <f>COUNTIFS('TMJ Clinics'!$J:$J,$A14,'TMJ Clinics'!$P:$P,"No")</f>
        <v>0</v>
      </c>
      <c r="D14" s="7">
        <f>COUNTIF('Oral Surgeons (TMJ)'!$J:$J,$A14)</f>
        <v>0</v>
      </c>
    </row>
    <row r="15" spans="1:7" x14ac:dyDescent="0.3">
      <c r="A15" s="6" t="s">
        <v>14</v>
      </c>
      <c r="B15" s="7">
        <f>COUNTIF('TMJ Clinics'!$J:$J,$A15)</f>
        <v>1</v>
      </c>
      <c r="C15" s="7">
        <f>COUNTIFS('TMJ Clinics'!$J:$J,$A15,'TMJ Clinics'!$P:$P,"No")</f>
        <v>0</v>
      </c>
      <c r="D15" s="7">
        <f>COUNTIF('Oral Surgeons (TMJ)'!$J:$J,$A15)</f>
        <v>1</v>
      </c>
    </row>
    <row r="16" spans="1:7" x14ac:dyDescent="0.3">
      <c r="A16" s="6" t="s">
        <v>15</v>
      </c>
      <c r="B16" s="7">
        <f>COUNTIF('TMJ Clinics'!$J:$J,$A16)</f>
        <v>3</v>
      </c>
      <c r="C16" s="7">
        <f>COUNTIFS('TMJ Clinics'!$J:$J,$A16,'TMJ Clinics'!$P:$P,"No")</f>
        <v>0</v>
      </c>
      <c r="D16" s="7">
        <f>COUNTIF('Oral Surgeons (TMJ)'!$J:$J,$A16)</f>
        <v>1</v>
      </c>
    </row>
    <row r="17" spans="1:4" x14ac:dyDescent="0.3">
      <c r="A17" s="6" t="s">
        <v>16</v>
      </c>
      <c r="B17" s="7">
        <f>COUNTIF('TMJ Clinics'!$J:$J,$A17)</f>
        <v>0</v>
      </c>
      <c r="C17" s="7">
        <f>COUNTIFS('TMJ Clinics'!$J:$J,$A17,'TMJ Clinics'!$P:$P,"No")</f>
        <v>0</v>
      </c>
      <c r="D17" s="7">
        <f>COUNTIF('Oral Surgeons (TMJ)'!$J:$J,$A17)</f>
        <v>0</v>
      </c>
    </row>
    <row r="18" spans="1:4" x14ac:dyDescent="0.3">
      <c r="A18" s="6" t="s">
        <v>17</v>
      </c>
      <c r="B18" s="8">
        <f>SUM(B10:B17)</f>
        <v>33</v>
      </c>
      <c r="C18" s="8">
        <f>SUM(C10:C17)</f>
        <v>1</v>
      </c>
      <c r="D18" s="8">
        <f>SUM(D10:D17)</f>
        <v>33</v>
      </c>
    </row>
  </sheetData>
  <mergeCells count="3">
    <mergeCell ref="C4:E4"/>
    <mergeCell ref="A6:G6"/>
    <mergeCell ref="A2:G2"/>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4"/>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5" width="34" customWidth="1"/>
    <col min="6" max="6" width="30" customWidth="1"/>
    <col min="7" max="7" width="12" customWidth="1"/>
    <col min="8" max="8" width="18" customWidth="1"/>
    <col min="9" max="9" width="15" customWidth="1"/>
    <col min="10" max="10" width="22" customWidth="1"/>
    <col min="11" max="11" width="8" customWidth="1"/>
    <col min="12" max="12" width="15" customWidth="1"/>
    <col min="13" max="13" width="26" customWidth="1"/>
    <col min="14" max="14" width="12" customWidth="1"/>
    <col min="15" max="15" width="16" customWidth="1"/>
    <col min="16" max="17" width="14" customWidth="1"/>
    <col min="18" max="18" width="46" customWidth="1"/>
    <col min="19" max="19" width="12" customWidth="1"/>
    <col min="20" max="20" width="10" customWidth="1"/>
    <col min="21" max="21" width="12" customWidth="1"/>
  </cols>
  <sheetData>
    <row r="1" spans="1:21" ht="30" customHeight="1" x14ac:dyDescent="0.3">
      <c r="A1" s="9" t="s">
        <v>18</v>
      </c>
      <c r="B1" s="9" t="s">
        <v>19</v>
      </c>
      <c r="C1" s="9" t="s">
        <v>20</v>
      </c>
      <c r="D1" s="9" t="s">
        <v>21</v>
      </c>
      <c r="E1" s="9" t="s">
        <v>22</v>
      </c>
      <c r="F1" s="9" t="s">
        <v>23</v>
      </c>
      <c r="G1" s="9" t="s">
        <v>24</v>
      </c>
      <c r="H1" s="9" t="s">
        <v>25</v>
      </c>
      <c r="I1" s="9" t="s">
        <v>26</v>
      </c>
      <c r="J1" s="9" t="s">
        <v>5</v>
      </c>
      <c r="K1" s="9" t="s">
        <v>27</v>
      </c>
      <c r="L1" s="9" t="s">
        <v>28</v>
      </c>
      <c r="M1" s="9" t="s">
        <v>29</v>
      </c>
      <c r="N1" s="9" t="s">
        <v>30</v>
      </c>
      <c r="O1" s="9" t="s">
        <v>31</v>
      </c>
      <c r="P1" s="9" t="s">
        <v>32</v>
      </c>
      <c r="Q1" s="9" t="s">
        <v>33</v>
      </c>
      <c r="R1" s="9" t="s">
        <v>34</v>
      </c>
      <c r="S1" s="9" t="s">
        <v>35</v>
      </c>
      <c r="T1" s="9" t="s">
        <v>36</v>
      </c>
      <c r="U1" s="9" t="s">
        <v>37</v>
      </c>
    </row>
    <row r="2" spans="1:21" x14ac:dyDescent="0.3">
      <c r="A2" s="10" t="s">
        <v>38</v>
      </c>
      <c r="B2" s="10" t="s">
        <v>39</v>
      </c>
      <c r="C2" s="10"/>
      <c r="D2" s="10" t="s">
        <v>40</v>
      </c>
      <c r="E2" s="10" t="s">
        <v>41</v>
      </c>
      <c r="F2" s="10" t="s">
        <v>42</v>
      </c>
      <c r="G2" s="10" t="s">
        <v>43</v>
      </c>
      <c r="H2" s="10" t="s">
        <v>44</v>
      </c>
      <c r="I2" s="10" t="s">
        <v>45</v>
      </c>
      <c r="J2" s="10" t="s">
        <v>9</v>
      </c>
      <c r="K2" s="11" t="s">
        <v>46</v>
      </c>
      <c r="L2" s="12" t="s">
        <v>47</v>
      </c>
      <c r="M2" s="13" t="s">
        <v>48</v>
      </c>
      <c r="N2" s="14" t="s">
        <v>49</v>
      </c>
      <c r="O2" s="14">
        <v>0</v>
      </c>
      <c r="P2" s="14" t="s">
        <v>50</v>
      </c>
      <c r="Q2" s="15">
        <v>46245</v>
      </c>
      <c r="R2" s="10" t="s">
        <v>51</v>
      </c>
      <c r="S2" s="12" t="s">
        <v>52</v>
      </c>
      <c r="T2" s="16" t="s">
        <v>36</v>
      </c>
      <c r="U2" s="16" t="s">
        <v>53</v>
      </c>
    </row>
    <row r="3" spans="1:21" x14ac:dyDescent="0.3">
      <c r="A3" s="10" t="s">
        <v>54</v>
      </c>
      <c r="B3" s="10" t="s">
        <v>39</v>
      </c>
      <c r="C3" s="10"/>
      <c r="D3" s="10" t="s">
        <v>55</v>
      </c>
      <c r="E3" s="10" t="s">
        <v>56</v>
      </c>
      <c r="F3" s="10" t="s">
        <v>57</v>
      </c>
      <c r="G3" s="10" t="s">
        <v>58</v>
      </c>
      <c r="H3" s="10" t="s">
        <v>59</v>
      </c>
      <c r="I3" s="10" t="s">
        <v>60</v>
      </c>
      <c r="J3" s="10" t="s">
        <v>9</v>
      </c>
      <c r="K3" s="11" t="s">
        <v>61</v>
      </c>
      <c r="L3" s="12" t="s">
        <v>62</v>
      </c>
      <c r="M3" s="13" t="s">
        <v>63</v>
      </c>
      <c r="N3" s="14" t="s">
        <v>49</v>
      </c>
      <c r="O3" s="14">
        <v>4</v>
      </c>
      <c r="P3" s="14" t="s">
        <v>50</v>
      </c>
      <c r="Q3" s="15">
        <v>45490</v>
      </c>
      <c r="R3" s="10" t="s">
        <v>54</v>
      </c>
      <c r="S3" s="12" t="s">
        <v>64</v>
      </c>
      <c r="T3" s="16" t="s">
        <v>36</v>
      </c>
      <c r="U3" s="16" t="s">
        <v>53</v>
      </c>
    </row>
    <row r="4" spans="1:21" x14ac:dyDescent="0.3">
      <c r="A4" s="10" t="s">
        <v>38</v>
      </c>
      <c r="B4" s="10" t="s">
        <v>39</v>
      </c>
      <c r="C4" s="10"/>
      <c r="D4" s="10" t="s">
        <v>55</v>
      </c>
      <c r="E4" s="10" t="s">
        <v>65</v>
      </c>
      <c r="F4" s="10" t="s">
        <v>66</v>
      </c>
      <c r="G4" s="10"/>
      <c r="H4" s="10" t="s">
        <v>59</v>
      </c>
      <c r="I4" s="10" t="s">
        <v>60</v>
      </c>
      <c r="J4" s="10" t="s">
        <v>9</v>
      </c>
      <c r="K4" s="11" t="s">
        <v>61</v>
      </c>
      <c r="L4" s="12" t="s">
        <v>67</v>
      </c>
      <c r="M4" s="13" t="s">
        <v>48</v>
      </c>
      <c r="N4" s="14" t="s">
        <v>49</v>
      </c>
      <c r="O4" s="14">
        <v>1</v>
      </c>
      <c r="P4" s="14" t="s">
        <v>50</v>
      </c>
      <c r="Q4" s="15">
        <v>44132</v>
      </c>
      <c r="R4" s="10" t="s">
        <v>68</v>
      </c>
      <c r="S4" s="12" t="s">
        <v>69</v>
      </c>
      <c r="T4" s="16" t="s">
        <v>36</v>
      </c>
      <c r="U4" s="16" t="s">
        <v>53</v>
      </c>
    </row>
    <row r="5" spans="1:21" x14ac:dyDescent="0.3">
      <c r="A5" s="10" t="s">
        <v>38</v>
      </c>
      <c r="B5" s="10" t="s">
        <v>39</v>
      </c>
      <c r="C5" s="10"/>
      <c r="D5" s="10" t="s">
        <v>70</v>
      </c>
      <c r="E5" s="10" t="s">
        <v>65</v>
      </c>
      <c r="F5" s="10" t="s">
        <v>71</v>
      </c>
      <c r="G5" s="10" t="s">
        <v>72</v>
      </c>
      <c r="H5" s="10" t="s">
        <v>73</v>
      </c>
      <c r="I5" s="10" t="s">
        <v>74</v>
      </c>
      <c r="J5" s="10" t="s">
        <v>9</v>
      </c>
      <c r="K5" s="11" t="s">
        <v>75</v>
      </c>
      <c r="L5" s="12" t="s">
        <v>67</v>
      </c>
      <c r="M5" s="13" t="s">
        <v>48</v>
      </c>
      <c r="N5" s="14" t="s">
        <v>49</v>
      </c>
      <c r="O5" s="14">
        <v>1</v>
      </c>
      <c r="P5" s="14" t="s">
        <v>50</v>
      </c>
      <c r="Q5" s="15">
        <v>45545</v>
      </c>
      <c r="R5" s="10" t="s">
        <v>76</v>
      </c>
      <c r="S5" s="12" t="s">
        <v>77</v>
      </c>
      <c r="T5" s="16" t="s">
        <v>36</v>
      </c>
      <c r="U5" s="16" t="s">
        <v>53</v>
      </c>
    </row>
    <row r="6" spans="1:21" x14ac:dyDescent="0.3">
      <c r="A6" s="10" t="s">
        <v>78</v>
      </c>
      <c r="B6" s="10" t="s">
        <v>39</v>
      </c>
      <c r="C6" s="10"/>
      <c r="D6" s="10" t="s">
        <v>40</v>
      </c>
      <c r="E6" s="10" t="s">
        <v>79</v>
      </c>
      <c r="F6" s="10" t="s">
        <v>80</v>
      </c>
      <c r="G6" s="10" t="s">
        <v>81</v>
      </c>
      <c r="H6" s="10" t="s">
        <v>82</v>
      </c>
      <c r="I6" s="10" t="s">
        <v>74</v>
      </c>
      <c r="J6" s="10" t="s">
        <v>9</v>
      </c>
      <c r="K6" s="11" t="s">
        <v>83</v>
      </c>
      <c r="L6" s="12" t="s">
        <v>84</v>
      </c>
      <c r="M6" s="13" t="s">
        <v>85</v>
      </c>
      <c r="N6" s="14" t="s">
        <v>49</v>
      </c>
      <c r="O6" s="14">
        <v>0</v>
      </c>
      <c r="P6" s="14" t="s">
        <v>50</v>
      </c>
      <c r="Q6" s="15">
        <v>44065</v>
      </c>
      <c r="R6" s="10" t="s">
        <v>86</v>
      </c>
      <c r="S6" s="12" t="s">
        <v>87</v>
      </c>
      <c r="T6" s="16" t="s">
        <v>36</v>
      </c>
      <c r="U6" s="16" t="s">
        <v>53</v>
      </c>
    </row>
    <row r="7" spans="1:21" x14ac:dyDescent="0.3">
      <c r="A7" s="10" t="s">
        <v>88</v>
      </c>
      <c r="B7" s="10" t="s">
        <v>39</v>
      </c>
      <c r="C7" s="10"/>
      <c r="D7" s="10" t="s">
        <v>55</v>
      </c>
      <c r="E7" s="10" t="s">
        <v>89</v>
      </c>
      <c r="F7" s="10" t="s">
        <v>90</v>
      </c>
      <c r="G7" s="10"/>
      <c r="H7" s="10" t="s">
        <v>91</v>
      </c>
      <c r="I7" s="10" t="s">
        <v>74</v>
      </c>
      <c r="J7" s="10" t="s">
        <v>9</v>
      </c>
      <c r="K7" s="11" t="s">
        <v>92</v>
      </c>
      <c r="L7" s="12" t="s">
        <v>93</v>
      </c>
      <c r="M7" s="13" t="s">
        <v>94</v>
      </c>
      <c r="N7" s="14" t="s">
        <v>95</v>
      </c>
      <c r="O7" s="14">
        <v>0</v>
      </c>
      <c r="P7" s="14" t="s">
        <v>50</v>
      </c>
      <c r="Q7" s="15">
        <v>39548</v>
      </c>
      <c r="R7" s="10" t="s">
        <v>96</v>
      </c>
      <c r="S7" s="12" t="s">
        <v>97</v>
      </c>
      <c r="T7" s="16" t="s">
        <v>36</v>
      </c>
      <c r="U7" s="16" t="s">
        <v>53</v>
      </c>
    </row>
    <row r="8" spans="1:21" x14ac:dyDescent="0.3">
      <c r="A8" s="10" t="s">
        <v>98</v>
      </c>
      <c r="B8" s="10" t="s">
        <v>39</v>
      </c>
      <c r="C8" s="10" t="s">
        <v>99</v>
      </c>
      <c r="D8" s="10" t="s">
        <v>100</v>
      </c>
      <c r="E8" s="10" t="s">
        <v>101</v>
      </c>
      <c r="F8" s="10" t="s">
        <v>102</v>
      </c>
      <c r="G8" s="10" t="s">
        <v>103</v>
      </c>
      <c r="H8" s="10" t="s">
        <v>104</v>
      </c>
      <c r="I8" s="10" t="s">
        <v>74</v>
      </c>
      <c r="J8" s="10" t="s">
        <v>9</v>
      </c>
      <c r="K8" s="11" t="s">
        <v>105</v>
      </c>
      <c r="L8" s="12" t="s">
        <v>106</v>
      </c>
      <c r="M8" s="13" t="s">
        <v>107</v>
      </c>
      <c r="N8" s="14" t="s">
        <v>49</v>
      </c>
      <c r="O8" s="14">
        <v>1</v>
      </c>
      <c r="P8" s="14" t="s">
        <v>50</v>
      </c>
      <c r="Q8" s="15">
        <v>44721</v>
      </c>
      <c r="R8" s="10" t="s">
        <v>98</v>
      </c>
      <c r="S8" s="12" t="s">
        <v>108</v>
      </c>
      <c r="T8" s="16" t="s">
        <v>36</v>
      </c>
      <c r="U8" s="16" t="s">
        <v>53</v>
      </c>
    </row>
    <row r="9" spans="1:21" x14ac:dyDescent="0.3">
      <c r="A9" s="10" t="s">
        <v>109</v>
      </c>
      <c r="B9" s="10" t="s">
        <v>39</v>
      </c>
      <c r="C9" s="10"/>
      <c r="D9" s="10" t="s">
        <v>110</v>
      </c>
      <c r="E9" s="10"/>
      <c r="F9" s="10" t="s">
        <v>111</v>
      </c>
      <c r="G9" s="10"/>
      <c r="H9" s="10" t="s">
        <v>112</v>
      </c>
      <c r="I9" s="10" t="s">
        <v>74</v>
      </c>
      <c r="J9" s="10" t="s">
        <v>9</v>
      </c>
      <c r="K9" s="11" t="s">
        <v>113</v>
      </c>
      <c r="L9" s="12" t="s">
        <v>114</v>
      </c>
      <c r="N9" s="14" t="s">
        <v>115</v>
      </c>
      <c r="O9" s="14">
        <v>0</v>
      </c>
      <c r="P9" s="14" t="s">
        <v>116</v>
      </c>
      <c r="Q9" s="15">
        <v>46106</v>
      </c>
      <c r="R9" s="10" t="s">
        <v>109</v>
      </c>
      <c r="S9" s="12" t="s">
        <v>117</v>
      </c>
      <c r="T9" s="16" t="s">
        <v>36</v>
      </c>
      <c r="U9" s="16" t="s">
        <v>53</v>
      </c>
    </row>
    <row r="10" spans="1:21" x14ac:dyDescent="0.3">
      <c r="A10" s="10" t="s">
        <v>118</v>
      </c>
      <c r="B10" s="10" t="s">
        <v>39</v>
      </c>
      <c r="C10" s="10"/>
      <c r="D10" s="10" t="s">
        <v>70</v>
      </c>
      <c r="E10" s="10" t="s">
        <v>119</v>
      </c>
      <c r="F10" s="10" t="s">
        <v>120</v>
      </c>
      <c r="G10" s="10"/>
      <c r="H10" s="10" t="s">
        <v>112</v>
      </c>
      <c r="I10" s="10" t="s">
        <v>74</v>
      </c>
      <c r="J10" s="10" t="s">
        <v>9</v>
      </c>
      <c r="K10" s="11" t="s">
        <v>121</v>
      </c>
      <c r="L10" s="12" t="s">
        <v>122</v>
      </c>
      <c r="M10" s="13" t="s">
        <v>123</v>
      </c>
      <c r="N10" s="14" t="s">
        <v>49</v>
      </c>
      <c r="O10" s="14">
        <v>2</v>
      </c>
      <c r="P10" s="14" t="s">
        <v>50</v>
      </c>
      <c r="Q10" s="15">
        <v>45639</v>
      </c>
      <c r="R10" s="10" t="s">
        <v>124</v>
      </c>
      <c r="S10" s="12" t="s">
        <v>125</v>
      </c>
      <c r="T10" s="16" t="s">
        <v>36</v>
      </c>
      <c r="U10" s="16" t="s">
        <v>53</v>
      </c>
    </row>
    <row r="11" spans="1:21" x14ac:dyDescent="0.3">
      <c r="A11" s="10" t="s">
        <v>126</v>
      </c>
      <c r="B11" s="10" t="s">
        <v>39</v>
      </c>
      <c r="C11" s="10"/>
      <c r="D11" s="10" t="s">
        <v>40</v>
      </c>
      <c r="E11" s="10" t="s">
        <v>127</v>
      </c>
      <c r="F11" s="10" t="s">
        <v>128</v>
      </c>
      <c r="G11" s="10" t="s">
        <v>129</v>
      </c>
      <c r="H11" s="10" t="s">
        <v>112</v>
      </c>
      <c r="I11" s="10" t="s">
        <v>74</v>
      </c>
      <c r="J11" s="10" t="s">
        <v>9</v>
      </c>
      <c r="K11" s="11" t="s">
        <v>130</v>
      </c>
      <c r="L11" s="12" t="s">
        <v>131</v>
      </c>
      <c r="M11" s="13" t="s">
        <v>132</v>
      </c>
      <c r="N11" s="14" t="s">
        <v>49</v>
      </c>
      <c r="O11" s="14">
        <v>0</v>
      </c>
      <c r="P11" s="14" t="s">
        <v>50</v>
      </c>
      <c r="Q11" s="15"/>
      <c r="R11" s="10" t="s">
        <v>126</v>
      </c>
      <c r="S11" s="12"/>
      <c r="T11" s="16" t="s">
        <v>36</v>
      </c>
      <c r="U11" s="14" t="s">
        <v>133</v>
      </c>
    </row>
    <row r="12" spans="1:21" x14ac:dyDescent="0.3">
      <c r="A12" s="10" t="s">
        <v>38</v>
      </c>
      <c r="B12" s="10" t="s">
        <v>39</v>
      </c>
      <c r="C12" s="10"/>
      <c r="D12" s="10" t="s">
        <v>134</v>
      </c>
      <c r="E12" s="10" t="s">
        <v>65</v>
      </c>
      <c r="F12" s="10" t="s">
        <v>135</v>
      </c>
      <c r="G12" s="10" t="s">
        <v>136</v>
      </c>
      <c r="H12" s="10" t="s">
        <v>112</v>
      </c>
      <c r="I12" s="10" t="s">
        <v>74</v>
      </c>
      <c r="J12" s="10" t="s">
        <v>9</v>
      </c>
      <c r="K12" s="11" t="s">
        <v>137</v>
      </c>
      <c r="L12" s="12" t="s">
        <v>67</v>
      </c>
      <c r="M12" s="13" t="s">
        <v>48</v>
      </c>
      <c r="N12" s="14" t="s">
        <v>49</v>
      </c>
      <c r="O12" s="14">
        <v>1</v>
      </c>
      <c r="P12" s="14" t="s">
        <v>50</v>
      </c>
      <c r="Q12" s="15">
        <v>45545</v>
      </c>
      <c r="R12" s="10" t="s">
        <v>76</v>
      </c>
      <c r="S12" s="12" t="s">
        <v>77</v>
      </c>
      <c r="T12" s="16" t="s">
        <v>36</v>
      </c>
      <c r="U12" s="16" t="s">
        <v>53</v>
      </c>
    </row>
    <row r="13" spans="1:21" x14ac:dyDescent="0.3">
      <c r="A13" s="10" t="s">
        <v>138</v>
      </c>
      <c r="B13" s="10" t="s">
        <v>39</v>
      </c>
      <c r="C13" s="10"/>
      <c r="D13" s="10" t="s">
        <v>134</v>
      </c>
      <c r="E13" s="10" t="s">
        <v>139</v>
      </c>
      <c r="F13" s="10" t="s">
        <v>140</v>
      </c>
      <c r="G13" s="10" t="s">
        <v>141</v>
      </c>
      <c r="H13" s="10" t="s">
        <v>112</v>
      </c>
      <c r="I13" s="10" t="s">
        <v>74</v>
      </c>
      <c r="J13" s="10" t="s">
        <v>9</v>
      </c>
      <c r="K13" s="11" t="s">
        <v>130</v>
      </c>
      <c r="L13" s="12" t="s">
        <v>142</v>
      </c>
      <c r="M13" s="13" t="s">
        <v>143</v>
      </c>
      <c r="N13" s="14" t="s">
        <v>49</v>
      </c>
      <c r="O13" s="14">
        <v>9</v>
      </c>
      <c r="P13" s="14" t="s">
        <v>50</v>
      </c>
      <c r="Q13" s="15">
        <v>45467</v>
      </c>
      <c r="R13" s="10" t="s">
        <v>144</v>
      </c>
      <c r="S13" s="12" t="s">
        <v>145</v>
      </c>
      <c r="T13" s="16" t="s">
        <v>36</v>
      </c>
      <c r="U13" s="16" t="s">
        <v>53</v>
      </c>
    </row>
    <row r="14" spans="1:21" x14ac:dyDescent="0.3">
      <c r="A14" s="10" t="s">
        <v>38</v>
      </c>
      <c r="B14" s="10" t="s">
        <v>39</v>
      </c>
      <c r="C14" s="10"/>
      <c r="D14" s="10" t="s">
        <v>40</v>
      </c>
      <c r="E14" s="10" t="s">
        <v>41</v>
      </c>
      <c r="F14" s="10" t="s">
        <v>146</v>
      </c>
      <c r="G14" s="10"/>
      <c r="H14" s="10" t="s">
        <v>147</v>
      </c>
      <c r="I14" s="10" t="s">
        <v>74</v>
      </c>
      <c r="J14" s="10" t="s">
        <v>9</v>
      </c>
      <c r="K14" s="11" t="s">
        <v>148</v>
      </c>
      <c r="L14" s="12" t="s">
        <v>67</v>
      </c>
      <c r="M14" s="13" t="s">
        <v>48</v>
      </c>
      <c r="N14" s="14" t="s">
        <v>49</v>
      </c>
      <c r="O14" s="14">
        <v>0</v>
      </c>
      <c r="P14" s="14" t="s">
        <v>50</v>
      </c>
      <c r="Q14" s="15">
        <v>46245</v>
      </c>
      <c r="R14" s="10" t="s">
        <v>51</v>
      </c>
      <c r="S14" s="12" t="s">
        <v>52</v>
      </c>
      <c r="T14" s="16" t="s">
        <v>36</v>
      </c>
      <c r="U14" s="16" t="s">
        <v>53</v>
      </c>
    </row>
    <row r="15" spans="1:21" x14ac:dyDescent="0.3">
      <c r="A15" s="10" t="s">
        <v>54</v>
      </c>
      <c r="B15" s="10" t="s">
        <v>39</v>
      </c>
      <c r="C15" s="10"/>
      <c r="D15" s="10" t="s">
        <v>55</v>
      </c>
      <c r="E15" s="10" t="s">
        <v>149</v>
      </c>
      <c r="F15" s="10" t="s">
        <v>150</v>
      </c>
      <c r="G15" s="10" t="s">
        <v>151</v>
      </c>
      <c r="H15" s="10" t="s">
        <v>152</v>
      </c>
      <c r="I15" s="10" t="s">
        <v>74</v>
      </c>
      <c r="J15" s="10" t="s">
        <v>9</v>
      </c>
      <c r="K15" s="11" t="s">
        <v>153</v>
      </c>
      <c r="L15" s="12" t="s">
        <v>154</v>
      </c>
      <c r="M15" s="13" t="s">
        <v>63</v>
      </c>
      <c r="N15" s="14" t="s">
        <v>49</v>
      </c>
      <c r="O15" s="14">
        <v>3</v>
      </c>
      <c r="P15" s="14" t="s">
        <v>50</v>
      </c>
      <c r="Q15" s="15">
        <v>45490</v>
      </c>
      <c r="R15" s="10" t="s">
        <v>54</v>
      </c>
      <c r="S15" s="12" t="s">
        <v>155</v>
      </c>
      <c r="T15" s="16" t="s">
        <v>36</v>
      </c>
      <c r="U15" s="16" t="s">
        <v>53</v>
      </c>
    </row>
    <row r="16" spans="1:21" x14ac:dyDescent="0.3">
      <c r="A16" s="10" t="s">
        <v>38</v>
      </c>
      <c r="B16" s="10" t="s">
        <v>39</v>
      </c>
      <c r="C16" s="10"/>
      <c r="D16" s="10" t="s">
        <v>156</v>
      </c>
      <c r="E16" s="10" t="s">
        <v>157</v>
      </c>
      <c r="F16" s="10" t="s">
        <v>158</v>
      </c>
      <c r="G16" s="10" t="s">
        <v>151</v>
      </c>
      <c r="H16" s="10" t="s">
        <v>159</v>
      </c>
      <c r="I16" s="10" t="s">
        <v>160</v>
      </c>
      <c r="J16" s="10" t="s">
        <v>9</v>
      </c>
      <c r="K16" s="11" t="s">
        <v>161</v>
      </c>
      <c r="L16" s="12" t="s">
        <v>47</v>
      </c>
      <c r="M16" s="13" t="s">
        <v>48</v>
      </c>
      <c r="N16" s="14" t="s">
        <v>49</v>
      </c>
      <c r="O16" s="14">
        <v>1</v>
      </c>
      <c r="P16" s="14" t="s">
        <v>50</v>
      </c>
      <c r="Q16" s="15">
        <v>46245</v>
      </c>
      <c r="R16" s="10" t="s">
        <v>51</v>
      </c>
      <c r="S16" s="12" t="s">
        <v>52</v>
      </c>
      <c r="T16" s="16" t="s">
        <v>36</v>
      </c>
      <c r="U16" s="16" t="s">
        <v>53</v>
      </c>
    </row>
    <row r="17" spans="1:21" x14ac:dyDescent="0.3">
      <c r="A17" s="10" t="s">
        <v>162</v>
      </c>
      <c r="B17" s="10" t="s">
        <v>39</v>
      </c>
      <c r="C17" s="10" t="s">
        <v>99</v>
      </c>
      <c r="D17" s="10" t="s">
        <v>163</v>
      </c>
      <c r="E17" s="10"/>
      <c r="F17" s="10" t="s">
        <v>164</v>
      </c>
      <c r="G17" s="10"/>
      <c r="H17" s="10" t="s">
        <v>165</v>
      </c>
      <c r="I17" s="10" t="s">
        <v>160</v>
      </c>
      <c r="J17" s="10" t="s">
        <v>9</v>
      </c>
      <c r="K17" s="11" t="s">
        <v>166</v>
      </c>
      <c r="L17" s="12" t="s">
        <v>167</v>
      </c>
      <c r="M17" s="13" t="s">
        <v>168</v>
      </c>
      <c r="N17" s="14" t="s">
        <v>49</v>
      </c>
      <c r="O17" s="14">
        <v>0</v>
      </c>
      <c r="P17" s="14" t="s">
        <v>50</v>
      </c>
      <c r="Q17" s="15">
        <v>46248</v>
      </c>
      <c r="R17" s="10" t="s">
        <v>169</v>
      </c>
      <c r="S17" s="12" t="s">
        <v>170</v>
      </c>
      <c r="T17" s="16" t="s">
        <v>36</v>
      </c>
      <c r="U17" s="16" t="s">
        <v>53</v>
      </c>
    </row>
    <row r="18" spans="1:21" x14ac:dyDescent="0.3">
      <c r="A18" s="10" t="s">
        <v>171</v>
      </c>
      <c r="B18" s="10" t="s">
        <v>39</v>
      </c>
      <c r="C18" s="10"/>
      <c r="D18" s="10" t="s">
        <v>55</v>
      </c>
      <c r="E18" s="10" t="s">
        <v>172</v>
      </c>
      <c r="F18" s="10" t="s">
        <v>173</v>
      </c>
      <c r="G18" s="10" t="s">
        <v>174</v>
      </c>
      <c r="H18" s="10" t="s">
        <v>165</v>
      </c>
      <c r="I18" s="10" t="s">
        <v>160</v>
      </c>
      <c r="J18" s="10" t="s">
        <v>9</v>
      </c>
      <c r="K18" s="11" t="s">
        <v>175</v>
      </c>
      <c r="L18" s="12" t="s">
        <v>176</v>
      </c>
      <c r="M18" s="13" t="s">
        <v>177</v>
      </c>
      <c r="N18" s="14" t="s">
        <v>49</v>
      </c>
      <c r="O18" s="14">
        <v>4</v>
      </c>
      <c r="P18" s="14" t="s">
        <v>50</v>
      </c>
      <c r="Q18" s="15">
        <v>41543</v>
      </c>
      <c r="R18" s="10" t="s">
        <v>178</v>
      </c>
      <c r="S18" s="12" t="s">
        <v>179</v>
      </c>
      <c r="T18" s="16" t="s">
        <v>36</v>
      </c>
      <c r="U18" s="16" t="s">
        <v>53</v>
      </c>
    </row>
    <row r="19" spans="1:21" x14ac:dyDescent="0.3">
      <c r="A19" s="10" t="s">
        <v>54</v>
      </c>
      <c r="B19" s="10" t="s">
        <v>39</v>
      </c>
      <c r="C19" s="10"/>
      <c r="D19" s="10" t="s">
        <v>55</v>
      </c>
      <c r="E19" s="10" t="s">
        <v>180</v>
      </c>
      <c r="F19" s="10" t="s">
        <v>173</v>
      </c>
      <c r="G19" s="10" t="s">
        <v>181</v>
      </c>
      <c r="H19" s="10" t="s">
        <v>165</v>
      </c>
      <c r="I19" s="10" t="s">
        <v>160</v>
      </c>
      <c r="J19" s="10" t="s">
        <v>9</v>
      </c>
      <c r="K19" s="11" t="s">
        <v>175</v>
      </c>
      <c r="L19" s="12" t="s">
        <v>182</v>
      </c>
      <c r="M19" s="13" t="s">
        <v>63</v>
      </c>
      <c r="N19" s="14" t="s">
        <v>49</v>
      </c>
      <c r="O19" s="14">
        <v>4</v>
      </c>
      <c r="P19" s="14" t="s">
        <v>50</v>
      </c>
      <c r="Q19" s="15">
        <v>45490</v>
      </c>
      <c r="R19" s="10" t="s">
        <v>54</v>
      </c>
      <c r="S19" s="12" t="s">
        <v>183</v>
      </c>
      <c r="T19" s="16" t="s">
        <v>36</v>
      </c>
      <c r="U19" s="16" t="s">
        <v>53</v>
      </c>
    </row>
    <row r="20" spans="1:21" x14ac:dyDescent="0.3">
      <c r="A20" s="10" t="s">
        <v>184</v>
      </c>
      <c r="B20" s="10" t="s">
        <v>39</v>
      </c>
      <c r="C20" s="10"/>
      <c r="D20" s="10" t="s">
        <v>40</v>
      </c>
      <c r="E20" s="10" t="s">
        <v>185</v>
      </c>
      <c r="F20" s="10" t="s">
        <v>186</v>
      </c>
      <c r="G20" s="10"/>
      <c r="H20" s="10" t="s">
        <v>187</v>
      </c>
      <c r="I20" s="10" t="s">
        <v>188</v>
      </c>
      <c r="J20" s="10" t="s">
        <v>9</v>
      </c>
      <c r="K20" s="11" t="s">
        <v>189</v>
      </c>
      <c r="L20" s="12" t="s">
        <v>190</v>
      </c>
      <c r="M20" s="13" t="s">
        <v>191</v>
      </c>
      <c r="N20" s="14" t="s">
        <v>49</v>
      </c>
      <c r="O20" s="14">
        <v>0</v>
      </c>
      <c r="P20" s="14" t="s">
        <v>50</v>
      </c>
      <c r="Q20" s="15"/>
      <c r="R20" s="10" t="s">
        <v>184</v>
      </c>
      <c r="S20" s="12"/>
      <c r="T20" s="16" t="s">
        <v>36</v>
      </c>
      <c r="U20" s="14" t="s">
        <v>133</v>
      </c>
    </row>
    <row r="21" spans="1:21" x14ac:dyDescent="0.3">
      <c r="A21" s="10" t="s">
        <v>38</v>
      </c>
      <c r="B21" s="10" t="s">
        <v>39</v>
      </c>
      <c r="C21" s="10"/>
      <c r="D21" s="10" t="s">
        <v>70</v>
      </c>
      <c r="E21" s="10" t="s">
        <v>65</v>
      </c>
      <c r="F21" s="10" t="s">
        <v>192</v>
      </c>
      <c r="G21" s="10"/>
      <c r="H21" s="10" t="s">
        <v>193</v>
      </c>
      <c r="I21" s="10" t="s">
        <v>188</v>
      </c>
      <c r="J21" s="10" t="s">
        <v>9</v>
      </c>
      <c r="K21" s="11" t="s">
        <v>194</v>
      </c>
      <c r="L21" s="12" t="s">
        <v>67</v>
      </c>
      <c r="M21" s="13" t="s">
        <v>48</v>
      </c>
      <c r="N21" s="14" t="s">
        <v>49</v>
      </c>
      <c r="O21" s="14">
        <v>1</v>
      </c>
      <c r="P21" s="14" t="s">
        <v>50</v>
      </c>
      <c r="Q21" s="15">
        <v>45545</v>
      </c>
      <c r="R21" s="10" t="s">
        <v>76</v>
      </c>
      <c r="S21" s="12" t="s">
        <v>77</v>
      </c>
      <c r="T21" s="16" t="s">
        <v>36</v>
      </c>
      <c r="U21" s="16" t="s">
        <v>53</v>
      </c>
    </row>
    <row r="22" spans="1:21" x14ac:dyDescent="0.3">
      <c r="A22" s="10" t="s">
        <v>195</v>
      </c>
      <c r="B22" s="10" t="s">
        <v>39</v>
      </c>
      <c r="C22" s="10"/>
      <c r="D22" s="10" t="s">
        <v>40</v>
      </c>
      <c r="E22" s="10"/>
      <c r="F22" s="10" t="s">
        <v>196</v>
      </c>
      <c r="G22" s="10" t="s">
        <v>197</v>
      </c>
      <c r="H22" s="10" t="s">
        <v>198</v>
      </c>
      <c r="I22" s="10" t="s">
        <v>199</v>
      </c>
      <c r="J22" s="10" t="s">
        <v>9</v>
      </c>
      <c r="K22" s="11" t="s">
        <v>200</v>
      </c>
      <c r="L22" s="12" t="s">
        <v>201</v>
      </c>
      <c r="M22" s="13" t="s">
        <v>202</v>
      </c>
      <c r="N22" s="14" t="s">
        <v>49</v>
      </c>
      <c r="O22" s="14">
        <v>0</v>
      </c>
      <c r="P22" s="14" t="s">
        <v>50</v>
      </c>
      <c r="Q22" s="15">
        <v>45295</v>
      </c>
      <c r="R22" s="10" t="s">
        <v>203</v>
      </c>
      <c r="S22" s="12" t="s">
        <v>204</v>
      </c>
      <c r="T22" s="16" t="s">
        <v>36</v>
      </c>
      <c r="U22" s="16" t="s">
        <v>53</v>
      </c>
    </row>
    <row r="23" spans="1:21" x14ac:dyDescent="0.3">
      <c r="A23" s="10" t="s">
        <v>205</v>
      </c>
      <c r="B23" s="10" t="s">
        <v>39</v>
      </c>
      <c r="C23" s="10"/>
      <c r="D23" s="10" t="s">
        <v>134</v>
      </c>
      <c r="E23" s="10" t="s">
        <v>206</v>
      </c>
      <c r="F23" s="10" t="s">
        <v>207</v>
      </c>
      <c r="G23" s="10" t="s">
        <v>151</v>
      </c>
      <c r="H23" s="10" t="s">
        <v>208</v>
      </c>
      <c r="I23" s="10" t="s">
        <v>199</v>
      </c>
      <c r="J23" s="10" t="s">
        <v>9</v>
      </c>
      <c r="K23" s="11" t="s">
        <v>209</v>
      </c>
      <c r="L23" s="12" t="s">
        <v>210</v>
      </c>
      <c r="M23" s="13" t="s">
        <v>168</v>
      </c>
      <c r="N23" s="14" t="s">
        <v>49</v>
      </c>
      <c r="O23" s="14">
        <v>0</v>
      </c>
      <c r="P23" s="14" t="s">
        <v>50</v>
      </c>
      <c r="Q23" s="15">
        <v>46240</v>
      </c>
      <c r="R23" s="10" t="s">
        <v>169</v>
      </c>
      <c r="S23" s="12" t="s">
        <v>211</v>
      </c>
      <c r="T23" s="16" t="s">
        <v>36</v>
      </c>
      <c r="U23" s="16" t="s">
        <v>53</v>
      </c>
    </row>
    <row r="24" spans="1:21" x14ac:dyDescent="0.3">
      <c r="A24" s="10" t="s">
        <v>212</v>
      </c>
      <c r="B24" s="10" t="s">
        <v>39</v>
      </c>
      <c r="C24" s="10"/>
      <c r="D24" s="10" t="s">
        <v>40</v>
      </c>
      <c r="E24" s="10" t="s">
        <v>213</v>
      </c>
      <c r="F24" s="10" t="s">
        <v>214</v>
      </c>
      <c r="G24" s="10" t="s">
        <v>72</v>
      </c>
      <c r="H24" s="10" t="s">
        <v>215</v>
      </c>
      <c r="I24" s="10" t="s">
        <v>199</v>
      </c>
      <c r="J24" s="10" t="s">
        <v>9</v>
      </c>
      <c r="K24" s="11" t="s">
        <v>216</v>
      </c>
      <c r="L24" s="12" t="s">
        <v>217</v>
      </c>
      <c r="M24" s="13" t="s">
        <v>218</v>
      </c>
      <c r="N24" s="14" t="s">
        <v>49</v>
      </c>
      <c r="O24" s="14">
        <v>0</v>
      </c>
      <c r="P24" s="14" t="s">
        <v>50</v>
      </c>
      <c r="Q24" s="15">
        <v>44992</v>
      </c>
      <c r="R24" s="10" t="s">
        <v>219</v>
      </c>
      <c r="S24" s="12" t="s">
        <v>220</v>
      </c>
      <c r="T24" s="16" t="s">
        <v>36</v>
      </c>
      <c r="U24" s="16" t="s">
        <v>53</v>
      </c>
    </row>
    <row r="25" spans="1:21" x14ac:dyDescent="0.3">
      <c r="A25" s="10" t="s">
        <v>54</v>
      </c>
      <c r="B25" s="10" t="s">
        <v>39</v>
      </c>
      <c r="C25" s="10"/>
      <c r="D25" s="10" t="s">
        <v>134</v>
      </c>
      <c r="E25" s="10"/>
      <c r="F25" s="10" t="s">
        <v>221</v>
      </c>
      <c r="G25" s="10" t="s">
        <v>72</v>
      </c>
      <c r="H25" s="10" t="s">
        <v>222</v>
      </c>
      <c r="I25" s="10" t="s">
        <v>199</v>
      </c>
      <c r="J25" s="10" t="s">
        <v>9</v>
      </c>
      <c r="K25" s="11" t="s">
        <v>223</v>
      </c>
      <c r="L25" s="12" t="s">
        <v>182</v>
      </c>
      <c r="M25" s="13" t="s">
        <v>63</v>
      </c>
      <c r="N25" s="14" t="s">
        <v>49</v>
      </c>
      <c r="O25" s="14">
        <v>0</v>
      </c>
      <c r="P25" s="14" t="s">
        <v>50</v>
      </c>
      <c r="Q25" s="15">
        <v>46252</v>
      </c>
      <c r="R25" s="10" t="s">
        <v>54</v>
      </c>
      <c r="S25" s="12" t="s">
        <v>224</v>
      </c>
      <c r="T25" s="16" t="s">
        <v>36</v>
      </c>
      <c r="U25" s="16" t="s">
        <v>53</v>
      </c>
    </row>
    <row r="26" spans="1:21" x14ac:dyDescent="0.3">
      <c r="A26" s="10" t="s">
        <v>38</v>
      </c>
      <c r="B26" s="10" t="s">
        <v>39</v>
      </c>
      <c r="C26" s="10"/>
      <c r="D26" s="10" t="s">
        <v>40</v>
      </c>
      <c r="E26" s="10" t="s">
        <v>41</v>
      </c>
      <c r="F26" s="10" t="s">
        <v>225</v>
      </c>
      <c r="G26" s="10"/>
      <c r="H26" s="10" t="s">
        <v>222</v>
      </c>
      <c r="I26" s="10" t="s">
        <v>199</v>
      </c>
      <c r="J26" s="10" t="s">
        <v>9</v>
      </c>
      <c r="K26" s="11" t="s">
        <v>223</v>
      </c>
      <c r="L26" s="12" t="s">
        <v>47</v>
      </c>
      <c r="M26" s="13" t="s">
        <v>48</v>
      </c>
      <c r="N26" s="14" t="s">
        <v>49</v>
      </c>
      <c r="O26" s="14">
        <v>0</v>
      </c>
      <c r="P26" s="14" t="s">
        <v>50</v>
      </c>
      <c r="Q26" s="15">
        <v>46245</v>
      </c>
      <c r="R26" s="10" t="s">
        <v>51</v>
      </c>
      <c r="S26" s="12" t="s">
        <v>52</v>
      </c>
      <c r="T26" s="16" t="s">
        <v>36</v>
      </c>
      <c r="U26" s="16" t="s">
        <v>53</v>
      </c>
    </row>
    <row r="27" spans="1:21" x14ac:dyDescent="0.3">
      <c r="A27" s="10" t="s">
        <v>226</v>
      </c>
      <c r="B27" s="10" t="s">
        <v>39</v>
      </c>
      <c r="C27" s="10"/>
      <c r="D27" s="10" t="s">
        <v>40</v>
      </c>
      <c r="E27" s="10"/>
      <c r="F27" s="10" t="s">
        <v>227</v>
      </c>
      <c r="G27" s="10" t="s">
        <v>228</v>
      </c>
      <c r="H27" s="10" t="s">
        <v>229</v>
      </c>
      <c r="I27" s="10" t="s">
        <v>230</v>
      </c>
      <c r="J27" s="10" t="s">
        <v>9</v>
      </c>
      <c r="K27" s="11" t="s">
        <v>231</v>
      </c>
      <c r="L27" s="12" t="s">
        <v>232</v>
      </c>
      <c r="M27" s="13" t="s">
        <v>233</v>
      </c>
      <c r="N27" s="14" t="s">
        <v>49</v>
      </c>
      <c r="O27" s="14">
        <v>0</v>
      </c>
      <c r="P27" s="14" t="s">
        <v>50</v>
      </c>
      <c r="Q27" s="15">
        <v>39729</v>
      </c>
      <c r="R27" s="10" t="s">
        <v>234</v>
      </c>
      <c r="S27" s="12" t="s">
        <v>235</v>
      </c>
      <c r="T27" s="16" t="s">
        <v>36</v>
      </c>
      <c r="U27" s="16" t="s">
        <v>53</v>
      </c>
    </row>
    <row r="28" spans="1:21" x14ac:dyDescent="0.3">
      <c r="A28" s="10" t="s">
        <v>236</v>
      </c>
      <c r="B28" s="10" t="s">
        <v>39</v>
      </c>
      <c r="C28" s="10"/>
      <c r="D28" s="10" t="s">
        <v>40</v>
      </c>
      <c r="E28" s="10" t="s">
        <v>237</v>
      </c>
      <c r="F28" s="10" t="s">
        <v>238</v>
      </c>
      <c r="G28" s="10" t="s">
        <v>239</v>
      </c>
      <c r="H28" s="10" t="s">
        <v>240</v>
      </c>
      <c r="I28" s="10" t="s">
        <v>230</v>
      </c>
      <c r="J28" s="10" t="s">
        <v>9</v>
      </c>
      <c r="K28" s="11" t="s">
        <v>241</v>
      </c>
      <c r="L28" s="12" t="s">
        <v>242</v>
      </c>
      <c r="M28" s="13" t="s">
        <v>243</v>
      </c>
      <c r="N28" s="14" t="s">
        <v>49</v>
      </c>
      <c r="O28" s="14">
        <v>0</v>
      </c>
      <c r="P28" s="14" t="s">
        <v>50</v>
      </c>
      <c r="Q28" s="15">
        <v>45483</v>
      </c>
      <c r="R28" s="10" t="s">
        <v>244</v>
      </c>
      <c r="S28" s="12" t="s">
        <v>245</v>
      </c>
      <c r="T28" s="16" t="s">
        <v>36</v>
      </c>
      <c r="U28" s="16" t="s">
        <v>53</v>
      </c>
    </row>
    <row r="29" spans="1:21" x14ac:dyDescent="0.3">
      <c r="A29" s="10" t="s">
        <v>246</v>
      </c>
      <c r="B29" s="10" t="s">
        <v>39</v>
      </c>
      <c r="C29" s="10"/>
      <c r="D29" s="10" t="s">
        <v>134</v>
      </c>
      <c r="E29" s="10" t="s">
        <v>247</v>
      </c>
      <c r="F29" s="10" t="s">
        <v>248</v>
      </c>
      <c r="G29" s="10"/>
      <c r="H29" s="10" t="s">
        <v>249</v>
      </c>
      <c r="I29" s="10" t="s">
        <v>250</v>
      </c>
      <c r="J29" s="10" t="s">
        <v>10</v>
      </c>
      <c r="K29" s="11" t="s">
        <v>251</v>
      </c>
      <c r="L29" s="12" t="s">
        <v>252</v>
      </c>
      <c r="M29" s="13" t="s">
        <v>63</v>
      </c>
      <c r="N29" s="14" t="s">
        <v>49</v>
      </c>
      <c r="O29" s="14">
        <v>1</v>
      </c>
      <c r="P29" s="14" t="s">
        <v>50</v>
      </c>
      <c r="Q29" s="15">
        <v>45490</v>
      </c>
      <c r="R29" s="10" t="s">
        <v>54</v>
      </c>
      <c r="S29" s="12" t="s">
        <v>253</v>
      </c>
      <c r="T29" s="16" t="s">
        <v>36</v>
      </c>
      <c r="U29" s="16" t="s">
        <v>53</v>
      </c>
    </row>
    <row r="30" spans="1:21" x14ac:dyDescent="0.3">
      <c r="A30" s="10" t="s">
        <v>254</v>
      </c>
      <c r="B30" s="10" t="s">
        <v>39</v>
      </c>
      <c r="C30" s="10"/>
      <c r="D30" s="10" t="s">
        <v>40</v>
      </c>
      <c r="E30" s="10" t="s">
        <v>255</v>
      </c>
      <c r="F30" s="10" t="s">
        <v>256</v>
      </c>
      <c r="G30" s="10"/>
      <c r="H30" s="10" t="s">
        <v>257</v>
      </c>
      <c r="I30" s="10" t="s">
        <v>258</v>
      </c>
      <c r="J30" s="10" t="s">
        <v>13</v>
      </c>
      <c r="K30" s="11" t="s">
        <v>259</v>
      </c>
      <c r="L30" s="12" t="s">
        <v>260</v>
      </c>
      <c r="N30" s="14" t="s">
        <v>95</v>
      </c>
      <c r="O30" s="14">
        <v>0</v>
      </c>
      <c r="P30" s="14" t="s">
        <v>50</v>
      </c>
      <c r="Q30" s="15">
        <v>45257</v>
      </c>
      <c r="R30" s="10" t="s">
        <v>261</v>
      </c>
      <c r="S30" s="12" t="s">
        <v>262</v>
      </c>
      <c r="T30" s="16" t="s">
        <v>36</v>
      </c>
      <c r="U30" s="16" t="s">
        <v>53</v>
      </c>
    </row>
    <row r="31" spans="1:21" x14ac:dyDescent="0.3">
      <c r="A31" s="10" t="s">
        <v>263</v>
      </c>
      <c r="B31" s="10" t="s">
        <v>39</v>
      </c>
      <c r="C31" s="10"/>
      <c r="D31" s="10" t="s">
        <v>40</v>
      </c>
      <c r="E31" s="10" t="s">
        <v>264</v>
      </c>
      <c r="F31" s="10" t="s">
        <v>265</v>
      </c>
      <c r="G31" s="10"/>
      <c r="H31" s="10" t="s">
        <v>266</v>
      </c>
      <c r="I31" s="10" t="s">
        <v>267</v>
      </c>
      <c r="J31" s="10" t="s">
        <v>14</v>
      </c>
      <c r="K31" s="11" t="s">
        <v>268</v>
      </c>
      <c r="L31" s="12" t="s">
        <v>269</v>
      </c>
      <c r="M31" s="13" t="s">
        <v>270</v>
      </c>
      <c r="N31" s="14" t="s">
        <v>49</v>
      </c>
      <c r="O31" s="14">
        <v>0</v>
      </c>
      <c r="P31" s="14" t="s">
        <v>50</v>
      </c>
      <c r="Q31" s="15">
        <v>44916</v>
      </c>
      <c r="R31" s="10" t="s">
        <v>271</v>
      </c>
      <c r="S31" s="12" t="s">
        <v>272</v>
      </c>
      <c r="T31" s="16" t="s">
        <v>36</v>
      </c>
      <c r="U31" s="16" t="s">
        <v>53</v>
      </c>
    </row>
    <row r="32" spans="1:21" x14ac:dyDescent="0.3">
      <c r="A32" s="10" t="s">
        <v>273</v>
      </c>
      <c r="B32" s="10" t="s">
        <v>39</v>
      </c>
      <c r="C32" s="10"/>
      <c r="D32" s="10" t="s">
        <v>40</v>
      </c>
      <c r="E32" s="10" t="s">
        <v>274</v>
      </c>
      <c r="F32" s="10" t="s">
        <v>275</v>
      </c>
      <c r="G32" s="10"/>
      <c r="H32" s="10" t="s">
        <v>276</v>
      </c>
      <c r="I32" s="10" t="s">
        <v>277</v>
      </c>
      <c r="J32" s="10" t="s">
        <v>15</v>
      </c>
      <c r="K32" s="11" t="s">
        <v>278</v>
      </c>
      <c r="L32" s="12" t="s">
        <v>279</v>
      </c>
      <c r="M32" s="13" t="s">
        <v>280</v>
      </c>
      <c r="N32" s="14" t="s">
        <v>49</v>
      </c>
      <c r="O32" s="14">
        <v>0</v>
      </c>
      <c r="P32" s="14" t="s">
        <v>50</v>
      </c>
      <c r="Q32" s="15">
        <v>45821</v>
      </c>
      <c r="R32" s="10" t="s">
        <v>281</v>
      </c>
      <c r="S32" s="12" t="s">
        <v>282</v>
      </c>
      <c r="T32" s="16" t="s">
        <v>36</v>
      </c>
      <c r="U32" s="16" t="s">
        <v>53</v>
      </c>
    </row>
    <row r="33" spans="1:21" x14ac:dyDescent="0.3">
      <c r="A33" s="10" t="s">
        <v>283</v>
      </c>
      <c r="B33" s="10" t="s">
        <v>39</v>
      </c>
      <c r="C33" s="10"/>
      <c r="D33" s="10" t="s">
        <v>70</v>
      </c>
      <c r="E33" s="10" t="s">
        <v>284</v>
      </c>
      <c r="F33" s="10" t="s">
        <v>285</v>
      </c>
      <c r="G33" s="10"/>
      <c r="H33" s="10" t="s">
        <v>276</v>
      </c>
      <c r="I33" s="10" t="s">
        <v>277</v>
      </c>
      <c r="J33" s="10" t="s">
        <v>15</v>
      </c>
      <c r="K33" s="11" t="s">
        <v>286</v>
      </c>
      <c r="L33" s="12" t="s">
        <v>287</v>
      </c>
      <c r="M33" s="13" t="s">
        <v>288</v>
      </c>
      <c r="N33" s="14" t="s">
        <v>49</v>
      </c>
      <c r="O33" s="14">
        <v>1</v>
      </c>
      <c r="P33" s="14" t="s">
        <v>50</v>
      </c>
      <c r="Q33" s="15">
        <v>45383</v>
      </c>
      <c r="R33" s="10" t="s">
        <v>289</v>
      </c>
      <c r="S33" s="12" t="s">
        <v>290</v>
      </c>
      <c r="T33" s="16" t="s">
        <v>36</v>
      </c>
      <c r="U33" s="16" t="s">
        <v>53</v>
      </c>
    </row>
    <row r="34" spans="1:21" x14ac:dyDescent="0.3">
      <c r="A34" s="10" t="s">
        <v>291</v>
      </c>
      <c r="B34" s="10" t="s">
        <v>39</v>
      </c>
      <c r="C34" s="10"/>
      <c r="D34" s="10" t="s">
        <v>40</v>
      </c>
      <c r="E34" s="10" t="s">
        <v>292</v>
      </c>
      <c r="F34" s="10" t="s">
        <v>293</v>
      </c>
      <c r="G34" s="10"/>
      <c r="H34" s="10" t="s">
        <v>276</v>
      </c>
      <c r="I34" s="10" t="s">
        <v>277</v>
      </c>
      <c r="J34" s="10" t="s">
        <v>15</v>
      </c>
      <c r="K34" s="11" t="s">
        <v>294</v>
      </c>
      <c r="L34" s="12" t="s">
        <v>295</v>
      </c>
      <c r="M34" s="13" t="s">
        <v>296</v>
      </c>
      <c r="N34" s="14" t="s">
        <v>49</v>
      </c>
      <c r="O34" s="14">
        <v>0</v>
      </c>
      <c r="P34" s="14" t="s">
        <v>50</v>
      </c>
      <c r="Q34" s="15">
        <v>45965</v>
      </c>
      <c r="R34" s="10" t="s">
        <v>297</v>
      </c>
      <c r="S34" s="12" t="s">
        <v>298</v>
      </c>
      <c r="T34" s="16" t="s">
        <v>36</v>
      </c>
      <c r="U34" s="16" t="s">
        <v>53</v>
      </c>
    </row>
  </sheetData>
  <conditionalFormatting sqref="N2:N34">
    <cfRule type="expression" dxfId="8" priority="2">
      <formula>$N2="Confirmed"</formula>
    </cfRule>
    <cfRule type="expression" dxfId="7" priority="3">
      <formula>$N2="New address"</formula>
    </cfRule>
  </conditionalFormatting>
  <conditionalFormatting sqref="P2:P34">
    <cfRule type="expression" dxfId="6" priority="1">
      <formula>$P2="Yes"</formula>
    </cfRule>
  </conditionalFormatting>
  <hyperlinks>
    <hyperlink ref="M2" r:id="rId1" xr:uid="{00000000-0004-0000-0100-000000000000}"/>
    <hyperlink ref="T2" r:id="rId2" xr:uid="{00000000-0004-0000-0100-000001000000}"/>
    <hyperlink ref="U2" r:id="rId3" xr:uid="{00000000-0004-0000-0100-000002000000}"/>
    <hyperlink ref="M3" r:id="rId4" xr:uid="{00000000-0004-0000-0100-000003000000}"/>
    <hyperlink ref="T3" r:id="rId5" xr:uid="{00000000-0004-0000-0100-000004000000}"/>
    <hyperlink ref="U3" r:id="rId6" xr:uid="{00000000-0004-0000-0100-000005000000}"/>
    <hyperlink ref="M4" r:id="rId7" xr:uid="{00000000-0004-0000-0100-000006000000}"/>
    <hyperlink ref="T4" r:id="rId8" xr:uid="{00000000-0004-0000-0100-000007000000}"/>
    <hyperlink ref="U4" r:id="rId9" xr:uid="{00000000-0004-0000-0100-000008000000}"/>
    <hyperlink ref="M5" r:id="rId10" xr:uid="{00000000-0004-0000-0100-000009000000}"/>
    <hyperlink ref="T5" r:id="rId11" xr:uid="{00000000-0004-0000-0100-00000A000000}"/>
    <hyperlink ref="U5" r:id="rId12" xr:uid="{00000000-0004-0000-0100-00000B000000}"/>
    <hyperlink ref="M6" r:id="rId13" xr:uid="{00000000-0004-0000-0100-00000C000000}"/>
    <hyperlink ref="T6" r:id="rId14" xr:uid="{00000000-0004-0000-0100-00000D000000}"/>
    <hyperlink ref="U6" r:id="rId15" xr:uid="{00000000-0004-0000-0100-00000E000000}"/>
    <hyperlink ref="M7" r:id="rId16" xr:uid="{00000000-0004-0000-0100-00000F000000}"/>
    <hyperlink ref="T7" r:id="rId17" xr:uid="{00000000-0004-0000-0100-000010000000}"/>
    <hyperlink ref="U7" r:id="rId18" xr:uid="{00000000-0004-0000-0100-000011000000}"/>
    <hyperlink ref="M8" r:id="rId19" xr:uid="{00000000-0004-0000-0100-000012000000}"/>
    <hyperlink ref="T8" r:id="rId20" xr:uid="{00000000-0004-0000-0100-000013000000}"/>
    <hyperlink ref="U8" r:id="rId21" xr:uid="{00000000-0004-0000-0100-000014000000}"/>
    <hyperlink ref="T9" r:id="rId22" xr:uid="{00000000-0004-0000-0100-000015000000}"/>
    <hyperlink ref="U9" r:id="rId23" xr:uid="{00000000-0004-0000-0100-000016000000}"/>
    <hyperlink ref="M10" r:id="rId24" xr:uid="{00000000-0004-0000-0100-000017000000}"/>
    <hyperlink ref="T10" r:id="rId25" xr:uid="{00000000-0004-0000-0100-000018000000}"/>
    <hyperlink ref="U10" r:id="rId26" xr:uid="{00000000-0004-0000-0100-000019000000}"/>
    <hyperlink ref="M11" r:id="rId27" xr:uid="{00000000-0004-0000-0100-00001A000000}"/>
    <hyperlink ref="T11" r:id="rId28" xr:uid="{00000000-0004-0000-0100-00001B000000}"/>
    <hyperlink ref="M12" r:id="rId29" xr:uid="{00000000-0004-0000-0100-00001C000000}"/>
    <hyperlink ref="T12" r:id="rId30" xr:uid="{00000000-0004-0000-0100-00001D000000}"/>
    <hyperlink ref="U12" r:id="rId31" xr:uid="{00000000-0004-0000-0100-00001E000000}"/>
    <hyperlink ref="M13" r:id="rId32" xr:uid="{00000000-0004-0000-0100-00001F000000}"/>
    <hyperlink ref="T13" r:id="rId33" xr:uid="{00000000-0004-0000-0100-000020000000}"/>
    <hyperlink ref="U13" r:id="rId34" xr:uid="{00000000-0004-0000-0100-000021000000}"/>
    <hyperlink ref="M14" r:id="rId35" xr:uid="{00000000-0004-0000-0100-000022000000}"/>
    <hyperlink ref="T14" r:id="rId36" xr:uid="{00000000-0004-0000-0100-000023000000}"/>
    <hyperlink ref="U14" r:id="rId37" xr:uid="{00000000-0004-0000-0100-000024000000}"/>
    <hyperlink ref="M15" r:id="rId38" xr:uid="{00000000-0004-0000-0100-000025000000}"/>
    <hyperlink ref="T15" r:id="rId39" xr:uid="{00000000-0004-0000-0100-000026000000}"/>
    <hyperlink ref="U15" r:id="rId40" xr:uid="{00000000-0004-0000-0100-000027000000}"/>
    <hyperlink ref="M16" r:id="rId41" xr:uid="{00000000-0004-0000-0100-000028000000}"/>
    <hyperlink ref="T16" r:id="rId42" xr:uid="{00000000-0004-0000-0100-000029000000}"/>
    <hyperlink ref="U16" r:id="rId43" xr:uid="{00000000-0004-0000-0100-00002A000000}"/>
    <hyperlink ref="M17" r:id="rId44" xr:uid="{00000000-0004-0000-0100-00002B000000}"/>
    <hyperlink ref="T17" r:id="rId45" xr:uid="{00000000-0004-0000-0100-00002C000000}"/>
    <hyperlink ref="U17" r:id="rId46" xr:uid="{00000000-0004-0000-0100-00002D000000}"/>
    <hyperlink ref="M18" r:id="rId47" xr:uid="{00000000-0004-0000-0100-00002E000000}"/>
    <hyperlink ref="T18" r:id="rId48" xr:uid="{00000000-0004-0000-0100-00002F000000}"/>
    <hyperlink ref="U18" r:id="rId49" xr:uid="{00000000-0004-0000-0100-000030000000}"/>
    <hyperlink ref="M19" r:id="rId50" xr:uid="{00000000-0004-0000-0100-000031000000}"/>
    <hyperlink ref="T19" r:id="rId51" xr:uid="{00000000-0004-0000-0100-000032000000}"/>
    <hyperlink ref="U19" r:id="rId52" xr:uid="{00000000-0004-0000-0100-000033000000}"/>
    <hyperlink ref="M20" r:id="rId53" xr:uid="{00000000-0004-0000-0100-000034000000}"/>
    <hyperlink ref="T20" r:id="rId54" xr:uid="{00000000-0004-0000-0100-000035000000}"/>
    <hyperlink ref="M21" r:id="rId55" xr:uid="{00000000-0004-0000-0100-000036000000}"/>
    <hyperlink ref="T21" r:id="rId56" xr:uid="{00000000-0004-0000-0100-000037000000}"/>
    <hyperlink ref="U21" r:id="rId57" xr:uid="{00000000-0004-0000-0100-000038000000}"/>
    <hyperlink ref="M22" r:id="rId58" xr:uid="{00000000-0004-0000-0100-000039000000}"/>
    <hyperlink ref="T22" r:id="rId59" xr:uid="{00000000-0004-0000-0100-00003A000000}"/>
    <hyperlink ref="U22" r:id="rId60" xr:uid="{00000000-0004-0000-0100-00003B000000}"/>
    <hyperlink ref="M23" r:id="rId61" xr:uid="{00000000-0004-0000-0100-00003C000000}"/>
    <hyperlink ref="T23" r:id="rId62" xr:uid="{00000000-0004-0000-0100-00003D000000}"/>
    <hyperlink ref="U23" r:id="rId63" xr:uid="{00000000-0004-0000-0100-00003E000000}"/>
    <hyperlink ref="M24" r:id="rId64" xr:uid="{00000000-0004-0000-0100-00003F000000}"/>
    <hyperlink ref="T24" r:id="rId65" xr:uid="{00000000-0004-0000-0100-000040000000}"/>
    <hyperlink ref="U24" r:id="rId66" xr:uid="{00000000-0004-0000-0100-000041000000}"/>
    <hyperlink ref="M25" r:id="rId67" xr:uid="{00000000-0004-0000-0100-000042000000}"/>
    <hyperlink ref="T25" r:id="rId68" xr:uid="{00000000-0004-0000-0100-000043000000}"/>
    <hyperlink ref="U25" r:id="rId69" xr:uid="{00000000-0004-0000-0100-000044000000}"/>
    <hyperlink ref="M26" r:id="rId70" xr:uid="{00000000-0004-0000-0100-000045000000}"/>
    <hyperlink ref="T26" r:id="rId71" xr:uid="{00000000-0004-0000-0100-000046000000}"/>
    <hyperlink ref="U26" r:id="rId72" xr:uid="{00000000-0004-0000-0100-000047000000}"/>
    <hyperlink ref="M27" r:id="rId73" xr:uid="{00000000-0004-0000-0100-000048000000}"/>
    <hyperlink ref="T27" r:id="rId74" xr:uid="{00000000-0004-0000-0100-000049000000}"/>
    <hyperlink ref="U27" r:id="rId75" xr:uid="{00000000-0004-0000-0100-00004A000000}"/>
    <hyperlink ref="M28" r:id="rId76" xr:uid="{00000000-0004-0000-0100-00004B000000}"/>
    <hyperlink ref="T28" r:id="rId77" xr:uid="{00000000-0004-0000-0100-00004C000000}"/>
    <hyperlink ref="U28" r:id="rId78" xr:uid="{00000000-0004-0000-0100-00004D000000}"/>
    <hyperlink ref="M29" r:id="rId79" xr:uid="{00000000-0004-0000-0100-00004E000000}"/>
    <hyperlink ref="T29" r:id="rId80" xr:uid="{00000000-0004-0000-0100-00004F000000}"/>
    <hyperlink ref="U29" r:id="rId81" xr:uid="{00000000-0004-0000-0100-000050000000}"/>
    <hyperlink ref="T30" r:id="rId82" xr:uid="{00000000-0004-0000-0100-000051000000}"/>
    <hyperlink ref="U30" r:id="rId83" xr:uid="{00000000-0004-0000-0100-000052000000}"/>
    <hyperlink ref="M31" r:id="rId84" xr:uid="{00000000-0004-0000-0100-000053000000}"/>
    <hyperlink ref="T31" r:id="rId85" xr:uid="{00000000-0004-0000-0100-000054000000}"/>
    <hyperlink ref="U31" r:id="rId86" xr:uid="{00000000-0004-0000-0100-000055000000}"/>
    <hyperlink ref="M32" r:id="rId87" xr:uid="{00000000-0004-0000-0100-000056000000}"/>
    <hyperlink ref="T32" r:id="rId88" xr:uid="{00000000-0004-0000-0100-000057000000}"/>
    <hyperlink ref="U32" r:id="rId89" xr:uid="{00000000-0004-0000-0100-000058000000}"/>
    <hyperlink ref="M33" r:id="rId90" xr:uid="{00000000-0004-0000-0100-000059000000}"/>
    <hyperlink ref="T33" r:id="rId91" xr:uid="{00000000-0004-0000-0100-00005A000000}"/>
    <hyperlink ref="U33" r:id="rId92" xr:uid="{00000000-0004-0000-0100-00005B000000}"/>
    <hyperlink ref="M34" r:id="rId93" xr:uid="{00000000-0004-0000-0100-00005C000000}"/>
    <hyperlink ref="T34" r:id="rId94" xr:uid="{00000000-0004-0000-0100-00005D000000}"/>
    <hyperlink ref="U34" r:id="rId95" xr:uid="{00000000-0004-0000-0100-00005E000000}"/>
  </hyperlinks>
  <pageMargins left="0.75" right="0.75" top="1" bottom="1" header="0.5" footer="0.5"/>
  <pageSetup fitToHeight="0" orientation="landscape"/>
  <tableParts count="1">
    <tablePart r:id="rId96"/>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V34"/>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5" width="34" customWidth="1"/>
    <col min="6" max="6" width="30" customWidth="1"/>
    <col min="7" max="7" width="12" customWidth="1"/>
    <col min="8" max="8" width="18" customWidth="1"/>
    <col min="9" max="9" width="15" customWidth="1"/>
    <col min="10" max="10" width="22" customWidth="1"/>
    <col min="11" max="11" width="8" customWidth="1"/>
    <col min="12" max="12" width="15" customWidth="1"/>
    <col min="13" max="13" width="26" customWidth="1"/>
    <col min="14" max="14" width="12" customWidth="1"/>
    <col min="15" max="15" width="11" customWidth="1"/>
    <col min="16" max="16" width="16" customWidth="1"/>
    <col min="17" max="18" width="14" customWidth="1"/>
    <col min="19" max="19" width="46" customWidth="1"/>
    <col min="20" max="20" width="12" customWidth="1"/>
    <col min="21" max="21" width="10" customWidth="1"/>
    <col min="22" max="22" width="12" customWidth="1"/>
  </cols>
  <sheetData>
    <row r="1" spans="1:22" ht="30" customHeight="1" x14ac:dyDescent="0.3">
      <c r="A1" s="9" t="s">
        <v>18</v>
      </c>
      <c r="B1" s="9" t="s">
        <v>19</v>
      </c>
      <c r="C1" s="9" t="s">
        <v>20</v>
      </c>
      <c r="D1" s="9" t="s">
        <v>21</v>
      </c>
      <c r="E1" s="9" t="s">
        <v>299</v>
      </c>
      <c r="F1" s="9" t="s">
        <v>23</v>
      </c>
      <c r="G1" s="9" t="s">
        <v>24</v>
      </c>
      <c r="H1" s="9" t="s">
        <v>25</v>
      </c>
      <c r="I1" s="9" t="s">
        <v>26</v>
      </c>
      <c r="J1" s="9" t="s">
        <v>5</v>
      </c>
      <c r="K1" s="9" t="s">
        <v>27</v>
      </c>
      <c r="L1" s="9" t="s">
        <v>28</v>
      </c>
      <c r="M1" s="9" t="s">
        <v>29</v>
      </c>
      <c r="N1" s="9" t="s">
        <v>30</v>
      </c>
      <c r="O1" s="9" t="s">
        <v>300</v>
      </c>
      <c r="P1" s="9" t="s">
        <v>31</v>
      </c>
      <c r="Q1" s="9" t="s">
        <v>32</v>
      </c>
      <c r="R1" s="9" t="s">
        <v>33</v>
      </c>
      <c r="S1" s="9" t="s">
        <v>34</v>
      </c>
      <c r="T1" s="9" t="s">
        <v>35</v>
      </c>
      <c r="U1" s="9" t="s">
        <v>36</v>
      </c>
      <c r="V1" s="9" t="s">
        <v>37</v>
      </c>
    </row>
    <row r="2" spans="1:22" x14ac:dyDescent="0.3">
      <c r="A2" s="10" t="s">
        <v>301</v>
      </c>
      <c r="B2" s="10" t="s">
        <v>99</v>
      </c>
      <c r="C2" s="10"/>
      <c r="D2" s="10" t="s">
        <v>302</v>
      </c>
      <c r="E2" s="10"/>
      <c r="F2" s="10" t="s">
        <v>303</v>
      </c>
      <c r="G2" s="10" t="s">
        <v>304</v>
      </c>
      <c r="H2" s="10" t="s">
        <v>44</v>
      </c>
      <c r="I2" s="10" t="s">
        <v>45</v>
      </c>
      <c r="J2" s="10" t="s">
        <v>9</v>
      </c>
      <c r="K2" s="11" t="s">
        <v>305</v>
      </c>
      <c r="L2" s="12" t="s">
        <v>306</v>
      </c>
      <c r="M2" s="13" t="s">
        <v>307</v>
      </c>
      <c r="N2" s="14" t="s">
        <v>95</v>
      </c>
      <c r="O2" s="14" t="s">
        <v>50</v>
      </c>
      <c r="P2" s="14">
        <v>0</v>
      </c>
      <c r="Q2" s="14" t="s">
        <v>50</v>
      </c>
      <c r="R2" s="15">
        <v>41849</v>
      </c>
      <c r="S2" s="10" t="s">
        <v>308</v>
      </c>
      <c r="T2" s="12" t="s">
        <v>309</v>
      </c>
      <c r="U2" s="16" t="s">
        <v>36</v>
      </c>
      <c r="V2" s="16" t="s">
        <v>53</v>
      </c>
    </row>
    <row r="3" spans="1:22" x14ac:dyDescent="0.3">
      <c r="A3" s="10" t="s">
        <v>310</v>
      </c>
      <c r="B3" s="10" t="s">
        <v>99</v>
      </c>
      <c r="C3" s="10"/>
      <c r="D3" s="10" t="s">
        <v>302</v>
      </c>
      <c r="E3" s="10"/>
      <c r="F3" s="10" t="s">
        <v>311</v>
      </c>
      <c r="G3" s="10"/>
      <c r="H3" s="10" t="s">
        <v>312</v>
      </c>
      <c r="I3" s="10" t="s">
        <v>45</v>
      </c>
      <c r="J3" s="10" t="s">
        <v>9</v>
      </c>
      <c r="K3" s="11" t="s">
        <v>313</v>
      </c>
      <c r="L3" s="12" t="s">
        <v>314</v>
      </c>
      <c r="M3" s="13" t="s">
        <v>315</v>
      </c>
      <c r="N3" s="14" t="s">
        <v>49</v>
      </c>
      <c r="O3" s="14" t="s">
        <v>50</v>
      </c>
      <c r="P3" s="14">
        <v>1</v>
      </c>
      <c r="Q3" s="14" t="s">
        <v>50</v>
      </c>
      <c r="R3" s="15">
        <v>45441</v>
      </c>
      <c r="S3" s="10" t="s">
        <v>316</v>
      </c>
      <c r="T3" s="12" t="s">
        <v>317</v>
      </c>
      <c r="U3" s="16" t="s">
        <v>36</v>
      </c>
      <c r="V3" s="16" t="s">
        <v>53</v>
      </c>
    </row>
    <row r="4" spans="1:22" x14ac:dyDescent="0.3">
      <c r="A4" s="10" t="s">
        <v>301</v>
      </c>
      <c r="B4" s="10" t="s">
        <v>99</v>
      </c>
      <c r="C4" s="10"/>
      <c r="D4" s="10" t="s">
        <v>302</v>
      </c>
      <c r="E4" s="10"/>
      <c r="F4" s="10" t="s">
        <v>318</v>
      </c>
      <c r="G4" s="10" t="s">
        <v>239</v>
      </c>
      <c r="H4" s="10" t="s">
        <v>319</v>
      </c>
      <c r="I4" s="10" t="s">
        <v>320</v>
      </c>
      <c r="J4" s="10" t="s">
        <v>9</v>
      </c>
      <c r="K4" s="11" t="s">
        <v>321</v>
      </c>
      <c r="L4" s="12" t="s">
        <v>322</v>
      </c>
      <c r="M4" s="13" t="s">
        <v>307</v>
      </c>
      <c r="N4" s="14" t="s">
        <v>49</v>
      </c>
      <c r="O4" s="14" t="s">
        <v>50</v>
      </c>
      <c r="P4" s="14">
        <v>1</v>
      </c>
      <c r="Q4" s="14" t="s">
        <v>50</v>
      </c>
      <c r="R4" s="15">
        <v>41849</v>
      </c>
      <c r="S4" s="10" t="s">
        <v>308</v>
      </c>
      <c r="T4" s="12" t="s">
        <v>323</v>
      </c>
      <c r="U4" s="16" t="s">
        <v>36</v>
      </c>
      <c r="V4" s="16" t="s">
        <v>53</v>
      </c>
    </row>
    <row r="5" spans="1:22" x14ac:dyDescent="0.3">
      <c r="A5" s="10" t="s">
        <v>324</v>
      </c>
      <c r="B5" s="10" t="s">
        <v>99</v>
      </c>
      <c r="C5" s="10"/>
      <c r="D5" s="10" t="s">
        <v>302</v>
      </c>
      <c r="E5" s="10"/>
      <c r="F5" s="10" t="s">
        <v>325</v>
      </c>
      <c r="G5" s="10" t="s">
        <v>326</v>
      </c>
      <c r="H5" s="10" t="s">
        <v>327</v>
      </c>
      <c r="I5" s="10" t="s">
        <v>60</v>
      </c>
      <c r="J5" s="10" t="s">
        <v>9</v>
      </c>
      <c r="K5" s="11" t="s">
        <v>328</v>
      </c>
      <c r="L5" s="12" t="s">
        <v>329</v>
      </c>
      <c r="M5" s="13" t="s">
        <v>330</v>
      </c>
      <c r="N5" s="14" t="s">
        <v>49</v>
      </c>
      <c r="O5" s="14" t="s">
        <v>50</v>
      </c>
      <c r="P5" s="14">
        <v>0</v>
      </c>
      <c r="Q5" s="14" t="s">
        <v>50</v>
      </c>
      <c r="R5" s="15">
        <v>39771</v>
      </c>
      <c r="S5" s="10" t="s">
        <v>324</v>
      </c>
      <c r="T5" s="12" t="s">
        <v>331</v>
      </c>
      <c r="U5" s="16" t="s">
        <v>36</v>
      </c>
      <c r="V5" s="16" t="s">
        <v>53</v>
      </c>
    </row>
    <row r="6" spans="1:22" x14ac:dyDescent="0.3">
      <c r="A6" s="10" t="s">
        <v>332</v>
      </c>
      <c r="B6" s="10" t="s">
        <v>99</v>
      </c>
      <c r="C6" s="10"/>
      <c r="D6" s="10" t="s">
        <v>302</v>
      </c>
      <c r="E6" s="10"/>
      <c r="F6" s="10" t="s">
        <v>333</v>
      </c>
      <c r="G6" s="10" t="s">
        <v>72</v>
      </c>
      <c r="H6" s="10" t="s">
        <v>334</v>
      </c>
      <c r="I6" s="10" t="s">
        <v>74</v>
      </c>
      <c r="J6" s="10" t="s">
        <v>9</v>
      </c>
      <c r="K6" s="11" t="s">
        <v>335</v>
      </c>
      <c r="L6" s="12" t="s">
        <v>336</v>
      </c>
      <c r="M6" s="13" t="s">
        <v>337</v>
      </c>
      <c r="N6" s="14" t="s">
        <v>49</v>
      </c>
      <c r="O6" s="14" t="s">
        <v>50</v>
      </c>
      <c r="P6" s="14">
        <v>0</v>
      </c>
      <c r="Q6" s="14" t="s">
        <v>50</v>
      </c>
      <c r="R6" s="15">
        <v>42180</v>
      </c>
      <c r="S6" s="10" t="s">
        <v>332</v>
      </c>
      <c r="T6" s="12" t="s">
        <v>338</v>
      </c>
      <c r="U6" s="16" t="s">
        <v>36</v>
      </c>
      <c r="V6" s="16" t="s">
        <v>53</v>
      </c>
    </row>
    <row r="7" spans="1:22" x14ac:dyDescent="0.3">
      <c r="A7" s="10" t="s">
        <v>339</v>
      </c>
      <c r="B7" s="10" t="s">
        <v>99</v>
      </c>
      <c r="C7" s="10"/>
      <c r="D7" s="10" t="s">
        <v>302</v>
      </c>
      <c r="E7" s="10"/>
      <c r="F7" s="10" t="s">
        <v>80</v>
      </c>
      <c r="G7" s="10" t="s">
        <v>340</v>
      </c>
      <c r="H7" s="10" t="s">
        <v>82</v>
      </c>
      <c r="I7" s="10" t="s">
        <v>74</v>
      </c>
      <c r="J7" s="10" t="s">
        <v>9</v>
      </c>
      <c r="K7" s="11" t="s">
        <v>83</v>
      </c>
      <c r="L7" s="12" t="s">
        <v>341</v>
      </c>
      <c r="M7" s="13" t="s">
        <v>342</v>
      </c>
      <c r="N7" s="14" t="s">
        <v>49</v>
      </c>
      <c r="O7" s="14" t="s">
        <v>50</v>
      </c>
      <c r="P7" s="14">
        <v>0</v>
      </c>
      <c r="Q7" s="14" t="s">
        <v>50</v>
      </c>
      <c r="R7" s="15">
        <v>44896</v>
      </c>
      <c r="S7" s="10" t="s">
        <v>343</v>
      </c>
      <c r="T7" s="12" t="s">
        <v>344</v>
      </c>
      <c r="U7" s="16" t="s">
        <v>36</v>
      </c>
      <c r="V7" s="16" t="s">
        <v>53</v>
      </c>
    </row>
    <row r="8" spans="1:22" x14ac:dyDescent="0.3">
      <c r="A8" s="10" t="s">
        <v>332</v>
      </c>
      <c r="B8" s="10" t="s">
        <v>99</v>
      </c>
      <c r="C8" s="10"/>
      <c r="D8" s="10" t="s">
        <v>302</v>
      </c>
      <c r="E8" s="10" t="s">
        <v>345</v>
      </c>
      <c r="F8" s="10" t="s">
        <v>346</v>
      </c>
      <c r="G8" s="10" t="s">
        <v>347</v>
      </c>
      <c r="H8" s="10" t="s">
        <v>91</v>
      </c>
      <c r="I8" s="10" t="s">
        <v>74</v>
      </c>
      <c r="J8" s="10" t="s">
        <v>9</v>
      </c>
      <c r="K8" s="11" t="s">
        <v>348</v>
      </c>
      <c r="L8" s="12" t="s">
        <v>349</v>
      </c>
      <c r="M8" s="13" t="s">
        <v>337</v>
      </c>
      <c r="N8" s="14" t="s">
        <v>49</v>
      </c>
      <c r="O8" s="14" t="s">
        <v>50</v>
      </c>
      <c r="P8" s="14">
        <v>9</v>
      </c>
      <c r="Q8" s="14" t="s">
        <v>50</v>
      </c>
      <c r="R8" s="15">
        <v>42180</v>
      </c>
      <c r="S8" s="10" t="s">
        <v>332</v>
      </c>
      <c r="T8" s="12" t="s">
        <v>350</v>
      </c>
      <c r="U8" s="16" t="s">
        <v>36</v>
      </c>
      <c r="V8" s="16" t="s">
        <v>53</v>
      </c>
    </row>
    <row r="9" spans="1:22" x14ac:dyDescent="0.3">
      <c r="A9" s="10" t="s">
        <v>351</v>
      </c>
      <c r="B9" s="10" t="s">
        <v>99</v>
      </c>
      <c r="C9" s="10"/>
      <c r="D9" s="10" t="s">
        <v>302</v>
      </c>
      <c r="E9" s="10"/>
      <c r="F9" s="10" t="s">
        <v>352</v>
      </c>
      <c r="G9" s="10"/>
      <c r="H9" s="10" t="s">
        <v>353</v>
      </c>
      <c r="I9" s="10" t="s">
        <v>74</v>
      </c>
      <c r="J9" s="10" t="s">
        <v>9</v>
      </c>
      <c r="K9" s="11" t="s">
        <v>354</v>
      </c>
      <c r="L9" s="12" t="s">
        <v>355</v>
      </c>
      <c r="M9" s="13" t="s">
        <v>315</v>
      </c>
      <c r="N9" s="14" t="s">
        <v>49</v>
      </c>
      <c r="O9" s="14" t="s">
        <v>50</v>
      </c>
      <c r="P9" s="14">
        <v>1</v>
      </c>
      <c r="Q9" s="14" t="s">
        <v>50</v>
      </c>
      <c r="R9" s="15">
        <v>45231</v>
      </c>
      <c r="S9" s="10" t="s">
        <v>316</v>
      </c>
      <c r="T9" s="12" t="s">
        <v>317</v>
      </c>
      <c r="U9" s="16" t="s">
        <v>36</v>
      </c>
      <c r="V9" s="16" t="s">
        <v>53</v>
      </c>
    </row>
    <row r="10" spans="1:22" x14ac:dyDescent="0.3">
      <c r="A10" s="10" t="s">
        <v>301</v>
      </c>
      <c r="B10" s="10" t="s">
        <v>99</v>
      </c>
      <c r="C10" s="10"/>
      <c r="D10" s="10" t="s">
        <v>302</v>
      </c>
      <c r="E10" s="10"/>
      <c r="F10" s="10" t="s">
        <v>356</v>
      </c>
      <c r="G10" s="10" t="s">
        <v>357</v>
      </c>
      <c r="H10" s="10" t="s">
        <v>353</v>
      </c>
      <c r="I10" s="10" t="s">
        <v>74</v>
      </c>
      <c r="J10" s="10" t="s">
        <v>9</v>
      </c>
      <c r="K10" s="11" t="s">
        <v>358</v>
      </c>
      <c r="L10" s="12" t="s">
        <v>359</v>
      </c>
      <c r="M10" s="13" t="s">
        <v>307</v>
      </c>
      <c r="N10" s="14" t="s">
        <v>95</v>
      </c>
      <c r="O10" s="14" t="s">
        <v>50</v>
      </c>
      <c r="P10" s="14">
        <v>0</v>
      </c>
      <c r="Q10" s="14" t="s">
        <v>50</v>
      </c>
      <c r="R10" s="15">
        <v>41849</v>
      </c>
      <c r="S10" s="10" t="s">
        <v>308</v>
      </c>
      <c r="T10" s="12" t="s">
        <v>360</v>
      </c>
      <c r="U10" s="16" t="s">
        <v>36</v>
      </c>
      <c r="V10" s="16" t="s">
        <v>53</v>
      </c>
    </row>
    <row r="11" spans="1:22" x14ac:dyDescent="0.3">
      <c r="A11" s="10" t="s">
        <v>361</v>
      </c>
      <c r="B11" s="10" t="s">
        <v>99</v>
      </c>
      <c r="C11" s="10"/>
      <c r="D11" s="10" t="s">
        <v>302</v>
      </c>
      <c r="E11" s="10"/>
      <c r="F11" s="10" t="s">
        <v>362</v>
      </c>
      <c r="G11" s="10"/>
      <c r="H11" s="10" t="s">
        <v>147</v>
      </c>
      <c r="I11" s="10" t="s">
        <v>74</v>
      </c>
      <c r="J11" s="10" t="s">
        <v>9</v>
      </c>
      <c r="K11" s="11" t="s">
        <v>148</v>
      </c>
      <c r="L11" s="12" t="s">
        <v>363</v>
      </c>
      <c r="M11" s="13" t="s">
        <v>364</v>
      </c>
      <c r="N11" s="14" t="s">
        <v>49</v>
      </c>
      <c r="O11" s="14" t="s">
        <v>50</v>
      </c>
      <c r="P11" s="14">
        <v>3</v>
      </c>
      <c r="Q11" s="14" t="s">
        <v>50</v>
      </c>
      <c r="R11" s="15">
        <v>45547</v>
      </c>
      <c r="S11" s="10" t="s">
        <v>365</v>
      </c>
      <c r="T11" s="12" t="s">
        <v>366</v>
      </c>
      <c r="U11" s="16" t="s">
        <v>36</v>
      </c>
      <c r="V11" s="16" t="s">
        <v>53</v>
      </c>
    </row>
    <row r="12" spans="1:22" x14ac:dyDescent="0.3">
      <c r="A12" s="10" t="s">
        <v>367</v>
      </c>
      <c r="B12" s="10" t="s">
        <v>99</v>
      </c>
      <c r="C12" s="10"/>
      <c r="D12" s="10" t="s">
        <v>302</v>
      </c>
      <c r="E12" s="10"/>
      <c r="F12" s="10" t="s">
        <v>368</v>
      </c>
      <c r="G12" s="10" t="s">
        <v>72</v>
      </c>
      <c r="H12" s="10" t="s">
        <v>152</v>
      </c>
      <c r="I12" s="10" t="s">
        <v>74</v>
      </c>
      <c r="J12" s="10" t="s">
        <v>9</v>
      </c>
      <c r="K12" s="11" t="s">
        <v>369</v>
      </c>
      <c r="L12" s="12" t="s">
        <v>370</v>
      </c>
      <c r="M12" s="13" t="s">
        <v>371</v>
      </c>
      <c r="N12" s="14" t="s">
        <v>49</v>
      </c>
      <c r="O12" s="14" t="s">
        <v>50</v>
      </c>
      <c r="P12" s="14">
        <v>0</v>
      </c>
      <c r="Q12" s="14" t="s">
        <v>50</v>
      </c>
      <c r="R12" s="15">
        <v>44065</v>
      </c>
      <c r="S12" s="10" t="s">
        <v>367</v>
      </c>
      <c r="T12" s="12" t="s">
        <v>372</v>
      </c>
      <c r="U12" s="16" t="s">
        <v>36</v>
      </c>
      <c r="V12" s="16" t="s">
        <v>53</v>
      </c>
    </row>
    <row r="13" spans="1:22" x14ac:dyDescent="0.3">
      <c r="A13" s="10" t="s">
        <v>373</v>
      </c>
      <c r="B13" s="10" t="s">
        <v>99</v>
      </c>
      <c r="C13" s="10"/>
      <c r="D13" s="10" t="s">
        <v>302</v>
      </c>
      <c r="E13" s="10"/>
      <c r="F13" s="10" t="s">
        <v>374</v>
      </c>
      <c r="G13" s="10"/>
      <c r="H13" s="10" t="s">
        <v>375</v>
      </c>
      <c r="I13" s="10" t="s">
        <v>74</v>
      </c>
      <c r="J13" s="10" t="s">
        <v>9</v>
      </c>
      <c r="K13" s="11" t="s">
        <v>137</v>
      </c>
      <c r="L13" s="12" t="s">
        <v>376</v>
      </c>
      <c r="M13" s="13" t="s">
        <v>168</v>
      </c>
      <c r="N13" s="14" t="s">
        <v>49</v>
      </c>
      <c r="O13" s="14" t="s">
        <v>50</v>
      </c>
      <c r="P13" s="14">
        <v>0</v>
      </c>
      <c r="Q13" s="14" t="s">
        <v>50</v>
      </c>
      <c r="R13" s="15">
        <v>46248</v>
      </c>
      <c r="S13" s="10" t="s">
        <v>169</v>
      </c>
      <c r="T13" s="12" t="s">
        <v>377</v>
      </c>
      <c r="U13" s="16" t="s">
        <v>36</v>
      </c>
      <c r="V13" s="16" t="s">
        <v>53</v>
      </c>
    </row>
    <row r="14" spans="1:22" x14ac:dyDescent="0.3">
      <c r="A14" s="10" t="s">
        <v>332</v>
      </c>
      <c r="B14" s="10" t="s">
        <v>99</v>
      </c>
      <c r="C14" s="10"/>
      <c r="D14" s="10" t="s">
        <v>302</v>
      </c>
      <c r="E14" s="10"/>
      <c r="F14" s="10" t="s">
        <v>378</v>
      </c>
      <c r="G14" s="10" t="s">
        <v>379</v>
      </c>
      <c r="H14" s="10" t="s">
        <v>380</v>
      </c>
      <c r="I14" s="10" t="s">
        <v>74</v>
      </c>
      <c r="J14" s="10" t="s">
        <v>9</v>
      </c>
      <c r="K14" s="11" t="s">
        <v>381</v>
      </c>
      <c r="L14" s="12" t="s">
        <v>382</v>
      </c>
      <c r="M14" s="13" t="s">
        <v>337</v>
      </c>
      <c r="N14" s="14" t="s">
        <v>49</v>
      </c>
      <c r="O14" s="14" t="s">
        <v>50</v>
      </c>
      <c r="P14" s="14">
        <v>0</v>
      </c>
      <c r="Q14" s="14" t="s">
        <v>50</v>
      </c>
      <c r="R14" s="15">
        <v>42180</v>
      </c>
      <c r="S14" s="10" t="s">
        <v>332</v>
      </c>
      <c r="T14" s="12" t="s">
        <v>383</v>
      </c>
      <c r="U14" s="16" t="s">
        <v>36</v>
      </c>
      <c r="V14" s="16" t="s">
        <v>53</v>
      </c>
    </row>
    <row r="15" spans="1:22" x14ac:dyDescent="0.3">
      <c r="A15" s="10" t="s">
        <v>301</v>
      </c>
      <c r="B15" s="10" t="s">
        <v>99</v>
      </c>
      <c r="C15" s="10"/>
      <c r="D15" s="10" t="s">
        <v>302</v>
      </c>
      <c r="E15" s="10"/>
      <c r="F15" s="10" t="s">
        <v>384</v>
      </c>
      <c r="G15" s="10" t="s">
        <v>385</v>
      </c>
      <c r="H15" s="10" t="s">
        <v>386</v>
      </c>
      <c r="I15" s="10" t="s">
        <v>387</v>
      </c>
      <c r="J15" s="10" t="s">
        <v>9</v>
      </c>
      <c r="K15" s="11" t="s">
        <v>388</v>
      </c>
      <c r="L15" s="12" t="s">
        <v>389</v>
      </c>
      <c r="M15" s="13" t="s">
        <v>307</v>
      </c>
      <c r="N15" s="14" t="s">
        <v>49</v>
      </c>
      <c r="O15" s="14" t="s">
        <v>50</v>
      </c>
      <c r="P15" s="14">
        <v>1</v>
      </c>
      <c r="Q15" s="14" t="s">
        <v>50</v>
      </c>
      <c r="R15" s="15">
        <v>41849</v>
      </c>
      <c r="S15" s="10" t="s">
        <v>308</v>
      </c>
      <c r="T15" s="12" t="s">
        <v>390</v>
      </c>
      <c r="U15" s="16" t="s">
        <v>36</v>
      </c>
      <c r="V15" s="16" t="s">
        <v>53</v>
      </c>
    </row>
    <row r="16" spans="1:22" x14ac:dyDescent="0.3">
      <c r="A16" s="10" t="s">
        <v>301</v>
      </c>
      <c r="B16" s="10" t="s">
        <v>99</v>
      </c>
      <c r="C16" s="10"/>
      <c r="D16" s="10" t="s">
        <v>302</v>
      </c>
      <c r="E16" s="10"/>
      <c r="F16" s="10" t="s">
        <v>391</v>
      </c>
      <c r="G16" s="10" t="s">
        <v>392</v>
      </c>
      <c r="H16" s="10" t="s">
        <v>393</v>
      </c>
      <c r="I16" s="10" t="s">
        <v>160</v>
      </c>
      <c r="J16" s="10" t="s">
        <v>9</v>
      </c>
      <c r="K16" s="11" t="s">
        <v>394</v>
      </c>
      <c r="L16" s="12" t="s">
        <v>395</v>
      </c>
      <c r="M16" s="13" t="s">
        <v>307</v>
      </c>
      <c r="N16" s="14" t="s">
        <v>49</v>
      </c>
      <c r="O16" s="14" t="s">
        <v>50</v>
      </c>
      <c r="P16" s="14">
        <v>0</v>
      </c>
      <c r="Q16" s="14" t="s">
        <v>50</v>
      </c>
      <c r="R16" s="15">
        <v>41849</v>
      </c>
      <c r="S16" s="10" t="s">
        <v>308</v>
      </c>
      <c r="T16" s="12" t="s">
        <v>396</v>
      </c>
      <c r="U16" s="16" t="s">
        <v>36</v>
      </c>
      <c r="V16" s="16" t="s">
        <v>53</v>
      </c>
    </row>
    <row r="17" spans="1:22" x14ac:dyDescent="0.3">
      <c r="A17" s="10" t="s">
        <v>397</v>
      </c>
      <c r="B17" s="10" t="s">
        <v>99</v>
      </c>
      <c r="C17" s="10"/>
      <c r="D17" s="10" t="s">
        <v>302</v>
      </c>
      <c r="E17" s="10" t="s">
        <v>398</v>
      </c>
      <c r="F17" s="10" t="s">
        <v>399</v>
      </c>
      <c r="G17" s="10" t="s">
        <v>400</v>
      </c>
      <c r="H17" s="10" t="s">
        <v>401</v>
      </c>
      <c r="I17" s="10" t="s">
        <v>160</v>
      </c>
      <c r="J17" s="10" t="s">
        <v>9</v>
      </c>
      <c r="K17" s="11" t="s">
        <v>402</v>
      </c>
      <c r="L17" s="12" t="s">
        <v>403</v>
      </c>
      <c r="M17" s="13" t="s">
        <v>404</v>
      </c>
      <c r="N17" s="14" t="s">
        <v>49</v>
      </c>
      <c r="O17" s="14" t="s">
        <v>50</v>
      </c>
      <c r="P17" s="14">
        <v>2</v>
      </c>
      <c r="Q17" s="14" t="s">
        <v>50</v>
      </c>
      <c r="R17" s="15">
        <v>43628</v>
      </c>
      <c r="S17" s="10" t="s">
        <v>405</v>
      </c>
      <c r="T17" s="12" t="s">
        <v>406</v>
      </c>
      <c r="U17" s="16" t="s">
        <v>36</v>
      </c>
      <c r="V17" s="16" t="s">
        <v>53</v>
      </c>
    </row>
    <row r="18" spans="1:22" x14ac:dyDescent="0.3">
      <c r="A18" s="10" t="s">
        <v>407</v>
      </c>
      <c r="B18" s="10" t="s">
        <v>99</v>
      </c>
      <c r="C18" s="10"/>
      <c r="D18" s="10" t="s">
        <v>302</v>
      </c>
      <c r="E18" s="10"/>
      <c r="F18" s="10" t="s">
        <v>173</v>
      </c>
      <c r="G18" s="10" t="s">
        <v>408</v>
      </c>
      <c r="H18" s="10" t="s">
        <v>165</v>
      </c>
      <c r="I18" s="10" t="s">
        <v>160</v>
      </c>
      <c r="J18" s="10" t="s">
        <v>9</v>
      </c>
      <c r="K18" s="11" t="s">
        <v>175</v>
      </c>
      <c r="L18" s="12" t="s">
        <v>409</v>
      </c>
      <c r="M18" s="13" t="s">
        <v>410</v>
      </c>
      <c r="N18" s="14" t="s">
        <v>49</v>
      </c>
      <c r="O18" s="14" t="s">
        <v>50</v>
      </c>
      <c r="P18" s="14">
        <v>3</v>
      </c>
      <c r="Q18" s="14" t="s">
        <v>50</v>
      </c>
      <c r="R18" s="15">
        <v>44683</v>
      </c>
      <c r="S18" s="10" t="s">
        <v>411</v>
      </c>
      <c r="T18" s="12" t="s">
        <v>412</v>
      </c>
      <c r="U18" s="16" t="s">
        <v>36</v>
      </c>
      <c r="V18" s="16" t="s">
        <v>53</v>
      </c>
    </row>
    <row r="19" spans="1:22" x14ac:dyDescent="0.3">
      <c r="A19" s="10" t="s">
        <v>413</v>
      </c>
      <c r="B19" s="10" t="s">
        <v>99</v>
      </c>
      <c r="C19" s="10"/>
      <c r="D19" s="10" t="s">
        <v>302</v>
      </c>
      <c r="E19" s="10" t="s">
        <v>414</v>
      </c>
      <c r="F19" s="10" t="s">
        <v>415</v>
      </c>
      <c r="G19" s="10" t="s">
        <v>416</v>
      </c>
      <c r="H19" s="10" t="s">
        <v>187</v>
      </c>
      <c r="I19" s="10" t="s">
        <v>188</v>
      </c>
      <c r="J19" s="10" t="s">
        <v>9</v>
      </c>
      <c r="K19" s="11" t="s">
        <v>189</v>
      </c>
      <c r="L19" s="12" t="s">
        <v>341</v>
      </c>
      <c r="M19" s="13" t="s">
        <v>342</v>
      </c>
      <c r="N19" s="14" t="s">
        <v>49</v>
      </c>
      <c r="O19" s="14" t="s">
        <v>50</v>
      </c>
      <c r="P19" s="14">
        <v>2</v>
      </c>
      <c r="Q19" s="14" t="s">
        <v>50</v>
      </c>
      <c r="R19" s="15">
        <v>44896</v>
      </c>
      <c r="S19" s="10" t="s">
        <v>343</v>
      </c>
      <c r="T19" s="12" t="s">
        <v>344</v>
      </c>
      <c r="U19" s="16" t="s">
        <v>36</v>
      </c>
      <c r="V19" s="16" t="s">
        <v>53</v>
      </c>
    </row>
    <row r="20" spans="1:22" x14ac:dyDescent="0.3">
      <c r="A20" s="10" t="s">
        <v>417</v>
      </c>
      <c r="B20" s="10" t="s">
        <v>99</v>
      </c>
      <c r="C20" s="10"/>
      <c r="D20" s="10" t="s">
        <v>302</v>
      </c>
      <c r="E20" s="10"/>
      <c r="F20" s="10" t="s">
        <v>418</v>
      </c>
      <c r="G20" s="10"/>
      <c r="H20" s="10" t="s">
        <v>193</v>
      </c>
      <c r="I20" s="10" t="s">
        <v>188</v>
      </c>
      <c r="J20" s="10" t="s">
        <v>9</v>
      </c>
      <c r="K20" s="11" t="s">
        <v>194</v>
      </c>
      <c r="L20" s="12" t="s">
        <v>341</v>
      </c>
      <c r="M20" s="13" t="s">
        <v>342</v>
      </c>
      <c r="N20" s="14" t="s">
        <v>95</v>
      </c>
      <c r="O20" s="14" t="s">
        <v>50</v>
      </c>
      <c r="P20" s="14">
        <v>0</v>
      </c>
      <c r="Q20" s="14" t="s">
        <v>50</v>
      </c>
      <c r="R20" s="15">
        <v>44896</v>
      </c>
      <c r="S20" s="10" t="s">
        <v>343</v>
      </c>
      <c r="T20" s="12" t="s">
        <v>344</v>
      </c>
      <c r="U20" s="16" t="s">
        <v>36</v>
      </c>
      <c r="V20" s="16" t="s">
        <v>53</v>
      </c>
    </row>
    <row r="21" spans="1:22" x14ac:dyDescent="0.3">
      <c r="A21" s="10" t="s">
        <v>419</v>
      </c>
      <c r="B21" s="10" t="s">
        <v>99</v>
      </c>
      <c r="C21" s="10"/>
      <c r="D21" s="10" t="s">
        <v>302</v>
      </c>
      <c r="E21" s="10"/>
      <c r="F21" s="10" t="s">
        <v>420</v>
      </c>
      <c r="G21" s="10"/>
      <c r="H21" s="10" t="s">
        <v>421</v>
      </c>
      <c r="I21" s="10" t="s">
        <v>422</v>
      </c>
      <c r="J21" s="10" t="s">
        <v>9</v>
      </c>
      <c r="K21" s="11" t="s">
        <v>241</v>
      </c>
      <c r="L21" s="12" t="s">
        <v>423</v>
      </c>
      <c r="M21" s="13" t="s">
        <v>315</v>
      </c>
      <c r="N21" s="14" t="s">
        <v>49</v>
      </c>
      <c r="O21" s="14" t="s">
        <v>50</v>
      </c>
      <c r="P21" s="14">
        <v>1</v>
      </c>
      <c r="Q21" s="14" t="s">
        <v>50</v>
      </c>
      <c r="R21" s="15">
        <v>45231</v>
      </c>
      <c r="S21" s="10" t="s">
        <v>316</v>
      </c>
      <c r="T21" s="12" t="s">
        <v>317</v>
      </c>
      <c r="U21" s="16" t="s">
        <v>36</v>
      </c>
      <c r="V21" s="16" t="s">
        <v>53</v>
      </c>
    </row>
    <row r="22" spans="1:22" x14ac:dyDescent="0.3">
      <c r="A22" s="10" t="s">
        <v>424</v>
      </c>
      <c r="B22" s="10" t="s">
        <v>99</v>
      </c>
      <c r="C22" s="10"/>
      <c r="D22" s="10" t="s">
        <v>302</v>
      </c>
      <c r="E22" s="10"/>
      <c r="F22" s="10" t="s">
        <v>425</v>
      </c>
      <c r="G22" s="10" t="s">
        <v>43</v>
      </c>
      <c r="H22" s="10" t="s">
        <v>215</v>
      </c>
      <c r="I22" s="10" t="s">
        <v>199</v>
      </c>
      <c r="J22" s="10" t="s">
        <v>9</v>
      </c>
      <c r="K22" s="11" t="s">
        <v>216</v>
      </c>
      <c r="L22" s="12" t="s">
        <v>426</v>
      </c>
      <c r="M22" s="13" t="s">
        <v>427</v>
      </c>
      <c r="N22" s="14" t="s">
        <v>49</v>
      </c>
      <c r="O22" s="14" t="s">
        <v>50</v>
      </c>
      <c r="P22" s="14">
        <v>0</v>
      </c>
      <c r="Q22" s="14" t="s">
        <v>50</v>
      </c>
      <c r="R22" s="15">
        <v>40471</v>
      </c>
      <c r="S22" s="10" t="s">
        <v>428</v>
      </c>
      <c r="T22" s="12" t="s">
        <v>429</v>
      </c>
      <c r="U22" s="16" t="s">
        <v>36</v>
      </c>
      <c r="V22" s="16" t="s">
        <v>53</v>
      </c>
    </row>
    <row r="23" spans="1:22" x14ac:dyDescent="0.3">
      <c r="A23" s="10" t="s">
        <v>424</v>
      </c>
      <c r="B23" s="10" t="s">
        <v>99</v>
      </c>
      <c r="C23" s="10"/>
      <c r="D23" s="10" t="s">
        <v>302</v>
      </c>
      <c r="E23" s="10" t="s">
        <v>430</v>
      </c>
      <c r="F23" s="10" t="s">
        <v>431</v>
      </c>
      <c r="G23" s="10" t="s">
        <v>432</v>
      </c>
      <c r="H23" s="10" t="s">
        <v>222</v>
      </c>
      <c r="I23" s="10" t="s">
        <v>199</v>
      </c>
      <c r="J23" s="10" t="s">
        <v>9</v>
      </c>
      <c r="K23" s="11" t="s">
        <v>223</v>
      </c>
      <c r="L23" s="12" t="s">
        <v>433</v>
      </c>
      <c r="M23" s="13" t="s">
        <v>427</v>
      </c>
      <c r="N23" s="14" t="s">
        <v>49</v>
      </c>
      <c r="O23" s="14" t="s">
        <v>50</v>
      </c>
      <c r="P23" s="14">
        <v>2</v>
      </c>
      <c r="Q23" s="14" t="s">
        <v>50</v>
      </c>
      <c r="R23" s="15">
        <v>44827</v>
      </c>
      <c r="S23" s="10" t="s">
        <v>424</v>
      </c>
      <c r="T23" s="12" t="s">
        <v>434</v>
      </c>
      <c r="U23" s="16" t="s">
        <v>36</v>
      </c>
      <c r="V23" s="16" t="s">
        <v>53</v>
      </c>
    </row>
    <row r="24" spans="1:22" x14ac:dyDescent="0.3">
      <c r="A24" s="10" t="s">
        <v>351</v>
      </c>
      <c r="B24" s="10" t="s">
        <v>99</v>
      </c>
      <c r="C24" s="10"/>
      <c r="D24" s="10" t="s">
        <v>302</v>
      </c>
      <c r="E24" s="10"/>
      <c r="F24" s="10" t="s">
        <v>435</v>
      </c>
      <c r="G24" s="10"/>
      <c r="H24" s="10" t="s">
        <v>229</v>
      </c>
      <c r="I24" s="10" t="s">
        <v>230</v>
      </c>
      <c r="J24" s="10" t="s">
        <v>9</v>
      </c>
      <c r="K24" s="11" t="s">
        <v>231</v>
      </c>
      <c r="L24" s="12" t="s">
        <v>436</v>
      </c>
      <c r="M24" s="13" t="s">
        <v>315</v>
      </c>
      <c r="N24" s="14" t="s">
        <v>49</v>
      </c>
      <c r="O24" s="14" t="s">
        <v>50</v>
      </c>
      <c r="P24" s="14">
        <v>1</v>
      </c>
      <c r="Q24" s="14" t="s">
        <v>50</v>
      </c>
      <c r="R24" s="15">
        <v>45231</v>
      </c>
      <c r="S24" s="10" t="s">
        <v>316</v>
      </c>
      <c r="T24" s="12" t="s">
        <v>317</v>
      </c>
      <c r="U24" s="16" t="s">
        <v>36</v>
      </c>
      <c r="V24" s="16" t="s">
        <v>53</v>
      </c>
    </row>
    <row r="25" spans="1:22" x14ac:dyDescent="0.3">
      <c r="A25" s="10" t="s">
        <v>310</v>
      </c>
      <c r="B25" s="10" t="s">
        <v>99</v>
      </c>
      <c r="C25" s="10"/>
      <c r="D25" s="10" t="s">
        <v>302</v>
      </c>
      <c r="E25" s="10"/>
      <c r="F25" s="10" t="s">
        <v>437</v>
      </c>
      <c r="G25" s="10"/>
      <c r="H25" s="10" t="s">
        <v>438</v>
      </c>
      <c r="I25" s="10" t="s">
        <v>230</v>
      </c>
      <c r="J25" s="10" t="s">
        <v>9</v>
      </c>
      <c r="K25" s="11" t="s">
        <v>439</v>
      </c>
      <c r="L25" s="12" t="s">
        <v>440</v>
      </c>
      <c r="M25" s="13" t="s">
        <v>315</v>
      </c>
      <c r="N25" s="14" t="s">
        <v>49</v>
      </c>
      <c r="O25" s="14" t="s">
        <v>50</v>
      </c>
      <c r="P25" s="14">
        <v>1</v>
      </c>
      <c r="Q25" s="14" t="s">
        <v>50</v>
      </c>
      <c r="R25" s="15">
        <v>45231</v>
      </c>
      <c r="S25" s="10" t="s">
        <v>316</v>
      </c>
      <c r="T25" s="12" t="s">
        <v>317</v>
      </c>
      <c r="U25" s="16" t="s">
        <v>36</v>
      </c>
      <c r="V25" s="16" t="s">
        <v>53</v>
      </c>
    </row>
    <row r="26" spans="1:22" x14ac:dyDescent="0.3">
      <c r="A26" s="10" t="s">
        <v>441</v>
      </c>
      <c r="B26" s="10" t="s">
        <v>99</v>
      </c>
      <c r="C26" s="10"/>
      <c r="D26" s="10" t="s">
        <v>302</v>
      </c>
      <c r="E26" s="10"/>
      <c r="F26" s="10" t="s">
        <v>442</v>
      </c>
      <c r="G26" s="10" t="s">
        <v>443</v>
      </c>
      <c r="H26" s="10" t="s">
        <v>444</v>
      </c>
      <c r="I26" s="10" t="s">
        <v>250</v>
      </c>
      <c r="J26" s="10" t="s">
        <v>10</v>
      </c>
      <c r="K26" s="11" t="s">
        <v>445</v>
      </c>
      <c r="L26" s="12" t="s">
        <v>446</v>
      </c>
      <c r="M26" s="13" t="s">
        <v>447</v>
      </c>
      <c r="N26" s="14" t="s">
        <v>49</v>
      </c>
      <c r="O26" s="14" t="s">
        <v>50</v>
      </c>
      <c r="P26" s="14">
        <v>1</v>
      </c>
      <c r="Q26" s="14" t="s">
        <v>50</v>
      </c>
      <c r="R26" s="15">
        <v>44065</v>
      </c>
      <c r="S26" s="10" t="s">
        <v>448</v>
      </c>
      <c r="T26" s="12" t="s">
        <v>449</v>
      </c>
      <c r="U26" s="16" t="s">
        <v>36</v>
      </c>
      <c r="V26" s="16" t="s">
        <v>53</v>
      </c>
    </row>
    <row r="27" spans="1:22" x14ac:dyDescent="0.3">
      <c r="A27" s="10" t="s">
        <v>450</v>
      </c>
      <c r="B27" s="10" t="s">
        <v>99</v>
      </c>
      <c r="C27" s="10"/>
      <c r="D27" s="10" t="s">
        <v>302</v>
      </c>
      <c r="E27" s="10" t="s">
        <v>451</v>
      </c>
      <c r="F27" s="10" t="s">
        <v>452</v>
      </c>
      <c r="G27" s="10" t="s">
        <v>72</v>
      </c>
      <c r="H27" s="10" t="s">
        <v>249</v>
      </c>
      <c r="I27" s="10" t="s">
        <v>250</v>
      </c>
      <c r="J27" s="10" t="s">
        <v>10</v>
      </c>
      <c r="K27" s="11" t="s">
        <v>453</v>
      </c>
      <c r="L27" s="12" t="s">
        <v>454</v>
      </c>
      <c r="M27" s="13" t="s">
        <v>455</v>
      </c>
      <c r="N27" s="14" t="s">
        <v>49</v>
      </c>
      <c r="O27" s="14" t="s">
        <v>50</v>
      </c>
      <c r="P27" s="14">
        <v>11</v>
      </c>
      <c r="Q27" s="14" t="s">
        <v>50</v>
      </c>
      <c r="R27" s="15">
        <v>44065</v>
      </c>
      <c r="S27" s="10" t="s">
        <v>456</v>
      </c>
      <c r="T27" s="12" t="s">
        <v>457</v>
      </c>
      <c r="U27" s="16" t="s">
        <v>36</v>
      </c>
      <c r="V27" s="16" t="s">
        <v>53</v>
      </c>
    </row>
    <row r="28" spans="1:22" x14ac:dyDescent="0.3">
      <c r="A28" s="10" t="s">
        <v>458</v>
      </c>
      <c r="B28" s="10" t="s">
        <v>99</v>
      </c>
      <c r="C28" s="10"/>
      <c r="D28" s="10" t="s">
        <v>302</v>
      </c>
      <c r="E28" s="10"/>
      <c r="F28" s="10" t="s">
        <v>459</v>
      </c>
      <c r="G28" s="10" t="s">
        <v>460</v>
      </c>
      <c r="H28" s="10" t="s">
        <v>461</v>
      </c>
      <c r="I28" s="10" t="s">
        <v>462</v>
      </c>
      <c r="J28" s="10" t="s">
        <v>11</v>
      </c>
      <c r="K28" s="11" t="s">
        <v>463</v>
      </c>
      <c r="L28" s="12" t="s">
        <v>464</v>
      </c>
      <c r="M28" s="13" t="s">
        <v>465</v>
      </c>
      <c r="N28" s="14" t="s">
        <v>49</v>
      </c>
      <c r="O28" s="14" t="s">
        <v>50</v>
      </c>
      <c r="P28" s="14">
        <v>4</v>
      </c>
      <c r="Q28" s="14" t="s">
        <v>50</v>
      </c>
      <c r="R28" s="15">
        <v>39455</v>
      </c>
      <c r="S28" s="10" t="s">
        <v>458</v>
      </c>
      <c r="T28" s="12" t="s">
        <v>466</v>
      </c>
      <c r="U28" s="16" t="s">
        <v>36</v>
      </c>
      <c r="V28" s="16" t="s">
        <v>53</v>
      </c>
    </row>
    <row r="29" spans="1:22" x14ac:dyDescent="0.3">
      <c r="A29" s="10" t="s">
        <v>467</v>
      </c>
      <c r="B29" s="10" t="s">
        <v>99</v>
      </c>
      <c r="C29" s="10"/>
      <c r="D29" s="10" t="s">
        <v>302</v>
      </c>
      <c r="E29" s="10"/>
      <c r="F29" s="10" t="s">
        <v>468</v>
      </c>
      <c r="G29" s="10"/>
      <c r="H29" s="10" t="s">
        <v>469</v>
      </c>
      <c r="I29" s="10" t="s">
        <v>470</v>
      </c>
      <c r="J29" s="10" t="s">
        <v>11</v>
      </c>
      <c r="K29" s="11" t="s">
        <v>471</v>
      </c>
      <c r="L29" s="12" t="s">
        <v>472</v>
      </c>
      <c r="M29" s="13" t="s">
        <v>473</v>
      </c>
      <c r="N29" s="14" t="s">
        <v>49</v>
      </c>
      <c r="O29" s="14" t="s">
        <v>50</v>
      </c>
      <c r="P29" s="14">
        <v>0</v>
      </c>
      <c r="Q29" s="14" t="s">
        <v>50</v>
      </c>
      <c r="R29" s="15">
        <v>45694</v>
      </c>
      <c r="S29" s="10" t="s">
        <v>474</v>
      </c>
      <c r="T29" s="12" t="s">
        <v>475</v>
      </c>
      <c r="U29" s="16" t="s">
        <v>36</v>
      </c>
      <c r="V29" s="16" t="s">
        <v>53</v>
      </c>
    </row>
    <row r="30" spans="1:22" x14ac:dyDescent="0.3">
      <c r="A30" s="10" t="s">
        <v>467</v>
      </c>
      <c r="B30" s="10" t="s">
        <v>99</v>
      </c>
      <c r="C30" s="10"/>
      <c r="D30" s="10" t="s">
        <v>302</v>
      </c>
      <c r="E30" s="10" t="s">
        <v>476</v>
      </c>
      <c r="F30" s="10" t="s">
        <v>477</v>
      </c>
      <c r="G30" s="10" t="s">
        <v>478</v>
      </c>
      <c r="H30" s="10" t="s">
        <v>479</v>
      </c>
      <c r="I30" s="10" t="s">
        <v>480</v>
      </c>
      <c r="J30" s="10" t="s">
        <v>11</v>
      </c>
      <c r="K30" s="11" t="s">
        <v>481</v>
      </c>
      <c r="L30" s="12" t="s">
        <v>482</v>
      </c>
      <c r="M30" s="13" t="s">
        <v>473</v>
      </c>
      <c r="N30" s="14" t="s">
        <v>49</v>
      </c>
      <c r="O30" s="14" t="s">
        <v>50</v>
      </c>
      <c r="P30" s="14">
        <v>6</v>
      </c>
      <c r="Q30" s="14" t="s">
        <v>50</v>
      </c>
      <c r="R30" s="15">
        <v>45694</v>
      </c>
      <c r="S30" s="10" t="s">
        <v>474</v>
      </c>
      <c r="T30" s="12" t="s">
        <v>483</v>
      </c>
      <c r="U30" s="16" t="s">
        <v>36</v>
      </c>
      <c r="V30" s="16" t="s">
        <v>53</v>
      </c>
    </row>
    <row r="31" spans="1:22" x14ac:dyDescent="0.3">
      <c r="A31" s="10" t="s">
        <v>484</v>
      </c>
      <c r="B31" s="10" t="s">
        <v>99</v>
      </c>
      <c r="C31" s="10"/>
      <c r="D31" s="10" t="s">
        <v>302</v>
      </c>
      <c r="E31" s="10" t="s">
        <v>485</v>
      </c>
      <c r="F31" s="10" t="s">
        <v>486</v>
      </c>
      <c r="G31" s="10"/>
      <c r="H31" s="10" t="s">
        <v>479</v>
      </c>
      <c r="I31" s="10" t="s">
        <v>480</v>
      </c>
      <c r="J31" s="10" t="s">
        <v>11</v>
      </c>
      <c r="K31" s="11" t="s">
        <v>487</v>
      </c>
      <c r="L31" s="12" t="s">
        <v>488</v>
      </c>
      <c r="M31" s="13" t="s">
        <v>489</v>
      </c>
      <c r="N31" s="14" t="s">
        <v>49</v>
      </c>
      <c r="O31" s="14" t="s">
        <v>50</v>
      </c>
      <c r="P31" s="14">
        <v>6</v>
      </c>
      <c r="Q31" s="14" t="s">
        <v>50</v>
      </c>
      <c r="R31" s="15">
        <v>39512</v>
      </c>
      <c r="S31" s="10" t="s">
        <v>490</v>
      </c>
      <c r="T31" s="12" t="s">
        <v>491</v>
      </c>
      <c r="U31" s="16" t="s">
        <v>36</v>
      </c>
      <c r="V31" s="16" t="s">
        <v>53</v>
      </c>
    </row>
    <row r="32" spans="1:22" x14ac:dyDescent="0.3">
      <c r="A32" s="10" t="s">
        <v>467</v>
      </c>
      <c r="B32" s="10" t="s">
        <v>99</v>
      </c>
      <c r="C32" s="10"/>
      <c r="D32" s="10" t="s">
        <v>302</v>
      </c>
      <c r="E32" s="10"/>
      <c r="F32" s="10" t="s">
        <v>492</v>
      </c>
      <c r="G32" s="10" t="s">
        <v>493</v>
      </c>
      <c r="H32" s="10" t="s">
        <v>494</v>
      </c>
      <c r="I32" s="10" t="s">
        <v>480</v>
      </c>
      <c r="J32" s="10" t="s">
        <v>11</v>
      </c>
      <c r="K32" s="11" t="s">
        <v>495</v>
      </c>
      <c r="L32" s="12" t="s">
        <v>496</v>
      </c>
      <c r="M32" s="13" t="s">
        <v>473</v>
      </c>
      <c r="N32" s="14" t="s">
        <v>49</v>
      </c>
      <c r="O32" s="14" t="s">
        <v>50</v>
      </c>
      <c r="P32" s="14">
        <v>0</v>
      </c>
      <c r="Q32" s="14" t="s">
        <v>50</v>
      </c>
      <c r="R32" s="15">
        <v>45694</v>
      </c>
      <c r="S32" s="10" t="s">
        <v>474</v>
      </c>
      <c r="T32" s="12" t="s">
        <v>497</v>
      </c>
      <c r="U32" s="16" t="s">
        <v>36</v>
      </c>
      <c r="V32" s="16" t="s">
        <v>53</v>
      </c>
    </row>
    <row r="33" spans="1:22" x14ac:dyDescent="0.3">
      <c r="A33" s="10" t="s">
        <v>498</v>
      </c>
      <c r="B33" s="10" t="s">
        <v>99</v>
      </c>
      <c r="C33" s="10"/>
      <c r="D33" s="10" t="s">
        <v>302</v>
      </c>
      <c r="E33" s="10" t="s">
        <v>499</v>
      </c>
      <c r="F33" s="10" t="s">
        <v>500</v>
      </c>
      <c r="G33" s="10"/>
      <c r="H33" s="10" t="s">
        <v>266</v>
      </c>
      <c r="I33" s="10" t="s">
        <v>267</v>
      </c>
      <c r="J33" s="10" t="s">
        <v>14</v>
      </c>
      <c r="K33" s="11" t="s">
        <v>268</v>
      </c>
      <c r="L33" s="12" t="s">
        <v>501</v>
      </c>
      <c r="M33" s="13" t="s">
        <v>502</v>
      </c>
      <c r="N33" s="14" t="s">
        <v>49</v>
      </c>
      <c r="O33" s="14" t="s">
        <v>50</v>
      </c>
      <c r="P33" s="14">
        <v>1</v>
      </c>
      <c r="Q33" s="14" t="s">
        <v>50</v>
      </c>
      <c r="R33" s="15">
        <v>46295</v>
      </c>
      <c r="S33" s="10" t="s">
        <v>498</v>
      </c>
      <c r="T33" s="12" t="s">
        <v>503</v>
      </c>
      <c r="U33" s="16" t="s">
        <v>36</v>
      </c>
      <c r="V33" s="16" t="s">
        <v>53</v>
      </c>
    </row>
    <row r="34" spans="1:22" x14ac:dyDescent="0.3">
      <c r="A34" s="10" t="s">
        <v>498</v>
      </c>
      <c r="B34" s="10" t="s">
        <v>99</v>
      </c>
      <c r="C34" s="10"/>
      <c r="D34" s="10" t="s">
        <v>302</v>
      </c>
      <c r="E34" s="10" t="s">
        <v>504</v>
      </c>
      <c r="F34" s="10" t="s">
        <v>505</v>
      </c>
      <c r="G34" s="10" t="s">
        <v>506</v>
      </c>
      <c r="H34" s="10" t="s">
        <v>276</v>
      </c>
      <c r="I34" s="10" t="s">
        <v>277</v>
      </c>
      <c r="J34" s="10" t="s">
        <v>15</v>
      </c>
      <c r="K34" s="11" t="s">
        <v>278</v>
      </c>
      <c r="L34" s="12" t="s">
        <v>507</v>
      </c>
      <c r="M34" s="13" t="s">
        <v>502</v>
      </c>
      <c r="N34" s="14" t="s">
        <v>49</v>
      </c>
      <c r="O34" s="14" t="s">
        <v>50</v>
      </c>
      <c r="P34" s="14">
        <v>1</v>
      </c>
      <c r="Q34" s="14" t="s">
        <v>50</v>
      </c>
      <c r="R34" s="15">
        <v>46295</v>
      </c>
      <c r="S34" s="10" t="s">
        <v>498</v>
      </c>
      <c r="T34" s="12" t="s">
        <v>503</v>
      </c>
      <c r="U34" s="16" t="s">
        <v>36</v>
      </c>
      <c r="V34" s="16" t="s">
        <v>53</v>
      </c>
    </row>
  </sheetData>
  <conditionalFormatting sqref="N2:N34">
    <cfRule type="expression" dxfId="5" priority="2">
      <formula>$N2="Confirmed"</formula>
    </cfRule>
    <cfRule type="expression" dxfId="4" priority="3">
      <formula>$N2="New address"</formula>
    </cfRule>
  </conditionalFormatting>
  <conditionalFormatting sqref="Q2:Q34">
    <cfRule type="expression" dxfId="3" priority="1">
      <formula>$Q2="Yes"</formula>
    </cfRule>
  </conditionalFormatting>
  <hyperlinks>
    <hyperlink ref="M2" r:id="rId1" xr:uid="{00000000-0004-0000-0200-000000000000}"/>
    <hyperlink ref="U2" r:id="rId2" xr:uid="{00000000-0004-0000-0200-000001000000}"/>
    <hyperlink ref="V2" r:id="rId3" xr:uid="{00000000-0004-0000-0200-000002000000}"/>
    <hyperlink ref="M3" r:id="rId4" xr:uid="{00000000-0004-0000-0200-000003000000}"/>
    <hyperlink ref="U3" r:id="rId5" xr:uid="{00000000-0004-0000-0200-000004000000}"/>
    <hyperlink ref="V3" r:id="rId6" xr:uid="{00000000-0004-0000-0200-000005000000}"/>
    <hyperlink ref="M4" r:id="rId7" xr:uid="{00000000-0004-0000-0200-000006000000}"/>
    <hyperlink ref="U4" r:id="rId8" xr:uid="{00000000-0004-0000-0200-000007000000}"/>
    <hyperlink ref="V4" r:id="rId9" xr:uid="{00000000-0004-0000-0200-000008000000}"/>
    <hyperlink ref="M5" r:id="rId10" xr:uid="{00000000-0004-0000-0200-000009000000}"/>
    <hyperlink ref="U5" r:id="rId11" xr:uid="{00000000-0004-0000-0200-00000A000000}"/>
    <hyperlink ref="V5" r:id="rId12" xr:uid="{00000000-0004-0000-0200-00000B000000}"/>
    <hyperlink ref="M6" r:id="rId13" xr:uid="{00000000-0004-0000-0200-00000C000000}"/>
    <hyperlink ref="U6" r:id="rId14" xr:uid="{00000000-0004-0000-0200-00000D000000}"/>
    <hyperlink ref="V6" r:id="rId15" xr:uid="{00000000-0004-0000-0200-00000E000000}"/>
    <hyperlink ref="M7" r:id="rId16" xr:uid="{00000000-0004-0000-0200-00000F000000}"/>
    <hyperlink ref="U7" r:id="rId17" xr:uid="{00000000-0004-0000-0200-000010000000}"/>
    <hyperlink ref="V7" r:id="rId18" xr:uid="{00000000-0004-0000-0200-000011000000}"/>
    <hyperlink ref="M8" r:id="rId19" xr:uid="{00000000-0004-0000-0200-000012000000}"/>
    <hyperlink ref="U8" r:id="rId20" xr:uid="{00000000-0004-0000-0200-000013000000}"/>
    <hyperlink ref="V8" r:id="rId21" xr:uid="{00000000-0004-0000-0200-000014000000}"/>
    <hyperlink ref="M9" r:id="rId22" xr:uid="{00000000-0004-0000-0200-000015000000}"/>
    <hyperlink ref="U9" r:id="rId23" xr:uid="{00000000-0004-0000-0200-000016000000}"/>
    <hyperlink ref="V9" r:id="rId24" xr:uid="{00000000-0004-0000-0200-000017000000}"/>
    <hyperlink ref="M10" r:id="rId25" xr:uid="{00000000-0004-0000-0200-000018000000}"/>
    <hyperlink ref="U10" r:id="rId26" xr:uid="{00000000-0004-0000-0200-000019000000}"/>
    <hyperlink ref="V10" r:id="rId27" xr:uid="{00000000-0004-0000-0200-00001A000000}"/>
    <hyperlink ref="M11" r:id="rId28" xr:uid="{00000000-0004-0000-0200-00001B000000}"/>
    <hyperlink ref="U11" r:id="rId29" xr:uid="{00000000-0004-0000-0200-00001C000000}"/>
    <hyperlink ref="V11" r:id="rId30" xr:uid="{00000000-0004-0000-0200-00001D000000}"/>
    <hyperlink ref="M12" r:id="rId31" xr:uid="{00000000-0004-0000-0200-00001E000000}"/>
    <hyperlink ref="U12" r:id="rId32" xr:uid="{00000000-0004-0000-0200-00001F000000}"/>
    <hyperlink ref="V12" r:id="rId33" xr:uid="{00000000-0004-0000-0200-000020000000}"/>
    <hyperlink ref="M13" r:id="rId34" xr:uid="{00000000-0004-0000-0200-000021000000}"/>
    <hyperlink ref="U13" r:id="rId35" xr:uid="{00000000-0004-0000-0200-000022000000}"/>
    <hyperlink ref="V13" r:id="rId36" xr:uid="{00000000-0004-0000-0200-000023000000}"/>
    <hyperlink ref="M14" r:id="rId37" xr:uid="{00000000-0004-0000-0200-000024000000}"/>
    <hyperlink ref="U14" r:id="rId38" xr:uid="{00000000-0004-0000-0200-000025000000}"/>
    <hyperlink ref="V14" r:id="rId39" xr:uid="{00000000-0004-0000-0200-000026000000}"/>
    <hyperlink ref="M15" r:id="rId40" xr:uid="{00000000-0004-0000-0200-000027000000}"/>
    <hyperlink ref="U15" r:id="rId41" xr:uid="{00000000-0004-0000-0200-000028000000}"/>
    <hyperlink ref="V15" r:id="rId42" xr:uid="{00000000-0004-0000-0200-000029000000}"/>
    <hyperlink ref="M16" r:id="rId43" xr:uid="{00000000-0004-0000-0200-00002A000000}"/>
    <hyperlink ref="U16" r:id="rId44" xr:uid="{00000000-0004-0000-0200-00002B000000}"/>
    <hyperlink ref="V16" r:id="rId45" xr:uid="{00000000-0004-0000-0200-00002C000000}"/>
    <hyperlink ref="M17" r:id="rId46" xr:uid="{00000000-0004-0000-0200-00002D000000}"/>
    <hyperlink ref="U17" r:id="rId47" xr:uid="{00000000-0004-0000-0200-00002E000000}"/>
    <hyperlink ref="V17" r:id="rId48" xr:uid="{00000000-0004-0000-0200-00002F000000}"/>
    <hyperlink ref="M18" r:id="rId49" xr:uid="{00000000-0004-0000-0200-000030000000}"/>
    <hyperlink ref="U18" r:id="rId50" xr:uid="{00000000-0004-0000-0200-000031000000}"/>
    <hyperlink ref="V18" r:id="rId51" xr:uid="{00000000-0004-0000-0200-000032000000}"/>
    <hyperlink ref="M19" r:id="rId52" xr:uid="{00000000-0004-0000-0200-000033000000}"/>
    <hyperlink ref="U19" r:id="rId53" xr:uid="{00000000-0004-0000-0200-000034000000}"/>
    <hyperlink ref="V19" r:id="rId54" xr:uid="{00000000-0004-0000-0200-000035000000}"/>
    <hyperlink ref="M20" r:id="rId55" xr:uid="{00000000-0004-0000-0200-000036000000}"/>
    <hyperlink ref="U20" r:id="rId56" xr:uid="{00000000-0004-0000-0200-000037000000}"/>
    <hyperlink ref="V20" r:id="rId57" xr:uid="{00000000-0004-0000-0200-000038000000}"/>
    <hyperlink ref="M21" r:id="rId58" xr:uid="{00000000-0004-0000-0200-000039000000}"/>
    <hyperlink ref="U21" r:id="rId59" xr:uid="{00000000-0004-0000-0200-00003A000000}"/>
    <hyperlink ref="V21" r:id="rId60" xr:uid="{00000000-0004-0000-0200-00003B000000}"/>
    <hyperlink ref="M22" r:id="rId61" xr:uid="{00000000-0004-0000-0200-00003C000000}"/>
    <hyperlink ref="U22" r:id="rId62" xr:uid="{00000000-0004-0000-0200-00003D000000}"/>
    <hyperlink ref="V22" r:id="rId63" xr:uid="{00000000-0004-0000-0200-00003E000000}"/>
    <hyperlink ref="M23" r:id="rId64" xr:uid="{00000000-0004-0000-0200-00003F000000}"/>
    <hyperlink ref="U23" r:id="rId65" xr:uid="{00000000-0004-0000-0200-000040000000}"/>
    <hyperlink ref="V23" r:id="rId66" xr:uid="{00000000-0004-0000-0200-000041000000}"/>
    <hyperlink ref="M24" r:id="rId67" xr:uid="{00000000-0004-0000-0200-000042000000}"/>
    <hyperlink ref="U24" r:id="rId68" xr:uid="{00000000-0004-0000-0200-000043000000}"/>
    <hyperlink ref="V24" r:id="rId69" xr:uid="{00000000-0004-0000-0200-000044000000}"/>
    <hyperlink ref="M25" r:id="rId70" xr:uid="{00000000-0004-0000-0200-000045000000}"/>
    <hyperlink ref="U25" r:id="rId71" xr:uid="{00000000-0004-0000-0200-000046000000}"/>
    <hyperlink ref="V25" r:id="rId72" xr:uid="{00000000-0004-0000-0200-000047000000}"/>
    <hyperlink ref="M26" r:id="rId73" xr:uid="{00000000-0004-0000-0200-000048000000}"/>
    <hyperlink ref="U26" r:id="rId74" xr:uid="{00000000-0004-0000-0200-000049000000}"/>
    <hyperlink ref="V26" r:id="rId75" xr:uid="{00000000-0004-0000-0200-00004A000000}"/>
    <hyperlink ref="M27" r:id="rId76" xr:uid="{00000000-0004-0000-0200-00004B000000}"/>
    <hyperlink ref="U27" r:id="rId77" xr:uid="{00000000-0004-0000-0200-00004C000000}"/>
    <hyperlink ref="V27" r:id="rId78" xr:uid="{00000000-0004-0000-0200-00004D000000}"/>
    <hyperlink ref="M28" r:id="rId79" xr:uid="{00000000-0004-0000-0200-00004E000000}"/>
    <hyperlink ref="U28" r:id="rId80" xr:uid="{00000000-0004-0000-0200-00004F000000}"/>
    <hyperlink ref="V28" r:id="rId81" xr:uid="{00000000-0004-0000-0200-000050000000}"/>
    <hyperlink ref="M29" r:id="rId82" xr:uid="{00000000-0004-0000-0200-000051000000}"/>
    <hyperlink ref="U29" r:id="rId83" xr:uid="{00000000-0004-0000-0200-000052000000}"/>
    <hyperlink ref="V29" r:id="rId84" xr:uid="{00000000-0004-0000-0200-000053000000}"/>
    <hyperlink ref="M30" r:id="rId85" xr:uid="{00000000-0004-0000-0200-000054000000}"/>
    <hyperlink ref="U30" r:id="rId86" xr:uid="{00000000-0004-0000-0200-000055000000}"/>
    <hyperlink ref="V30" r:id="rId87" xr:uid="{00000000-0004-0000-0200-000056000000}"/>
    <hyperlink ref="M31" r:id="rId88" xr:uid="{00000000-0004-0000-0200-000057000000}"/>
    <hyperlink ref="U31" r:id="rId89" xr:uid="{00000000-0004-0000-0200-000058000000}"/>
    <hyperlink ref="V31" r:id="rId90" xr:uid="{00000000-0004-0000-0200-000059000000}"/>
    <hyperlink ref="M32" r:id="rId91" xr:uid="{00000000-0004-0000-0200-00005A000000}"/>
    <hyperlink ref="U32" r:id="rId92" xr:uid="{00000000-0004-0000-0200-00005B000000}"/>
    <hyperlink ref="V32" r:id="rId93" xr:uid="{00000000-0004-0000-0200-00005C000000}"/>
    <hyperlink ref="M33" r:id="rId94" xr:uid="{00000000-0004-0000-0200-00005D000000}"/>
    <hyperlink ref="U33" r:id="rId95" xr:uid="{00000000-0004-0000-0200-00005E000000}"/>
    <hyperlink ref="V33" r:id="rId96" xr:uid="{00000000-0004-0000-0200-00005F000000}"/>
    <hyperlink ref="M34" r:id="rId97" xr:uid="{00000000-0004-0000-0200-000060000000}"/>
    <hyperlink ref="U34" r:id="rId98" xr:uid="{00000000-0004-0000-0200-000061000000}"/>
    <hyperlink ref="V34" r:id="rId99" xr:uid="{00000000-0004-0000-0200-000062000000}"/>
  </hyperlinks>
  <pageMargins left="0.75" right="0.75" top="1" bottom="1" header="0.5" footer="0.5"/>
  <pageSetup fitToHeight="0" orientation="landscape"/>
  <tableParts count="1">
    <tablePart r:id="rId100"/>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2"/>
  <sheetViews>
    <sheetView workbookViewId="0">
      <pane xSplit="1" ySplit="1" topLeftCell="B2" activePane="bottomRight" state="frozen"/>
      <selection pane="topRight"/>
      <selection pane="bottomLeft"/>
      <selection pane="bottomRight"/>
    </sheetView>
  </sheetViews>
  <sheetFormatPr baseColWidth="10" defaultColWidth="8.88671875" defaultRowHeight="14.4" x14ac:dyDescent="0.3"/>
  <cols>
    <col min="1" max="1" width="46" customWidth="1"/>
    <col min="2" max="2" width="18" customWidth="1"/>
    <col min="3" max="3" width="24" customWidth="1"/>
    <col min="4" max="5" width="34" customWidth="1"/>
    <col min="6" max="6" width="30" customWidth="1"/>
    <col min="7" max="7" width="12" customWidth="1"/>
    <col min="8" max="8" width="18" customWidth="1"/>
    <col min="9" max="9" width="15" customWidth="1"/>
    <col min="10" max="10" width="22" customWidth="1"/>
    <col min="11" max="11" width="8" customWidth="1"/>
    <col min="12" max="12" width="15" customWidth="1"/>
    <col min="13" max="13" width="26" customWidth="1"/>
    <col min="14" max="14" width="12" customWidth="1"/>
    <col min="15" max="15" width="16" customWidth="1"/>
    <col min="16" max="17" width="14" customWidth="1"/>
    <col min="18" max="18" width="46" customWidth="1"/>
    <col min="19" max="19" width="12" customWidth="1"/>
    <col min="20" max="20" width="10" customWidth="1"/>
    <col min="21" max="21" width="12" customWidth="1"/>
  </cols>
  <sheetData>
    <row r="1" spans="1:21" ht="30" customHeight="1" x14ac:dyDescent="0.3">
      <c r="A1" s="9" t="s">
        <v>18</v>
      </c>
      <c r="B1" s="9" t="s">
        <v>19</v>
      </c>
      <c r="C1" s="9" t="s">
        <v>20</v>
      </c>
      <c r="D1" s="9" t="s">
        <v>21</v>
      </c>
      <c r="E1" s="9" t="s">
        <v>22</v>
      </c>
      <c r="F1" s="9" t="s">
        <v>23</v>
      </c>
      <c r="G1" s="9" t="s">
        <v>24</v>
      </c>
      <c r="H1" s="9" t="s">
        <v>25</v>
      </c>
      <c r="I1" s="9" t="s">
        <v>26</v>
      </c>
      <c r="J1" s="9" t="s">
        <v>5</v>
      </c>
      <c r="K1" s="9" t="s">
        <v>27</v>
      </c>
      <c r="L1" s="9" t="s">
        <v>28</v>
      </c>
      <c r="M1" s="9" t="s">
        <v>29</v>
      </c>
      <c r="N1" s="9" t="s">
        <v>30</v>
      </c>
      <c r="O1" s="9" t="s">
        <v>31</v>
      </c>
      <c r="P1" s="9" t="s">
        <v>32</v>
      </c>
      <c r="Q1" s="9" t="s">
        <v>33</v>
      </c>
      <c r="R1" s="9" t="s">
        <v>34</v>
      </c>
      <c r="S1" s="9" t="s">
        <v>35</v>
      </c>
      <c r="T1" s="9" t="s">
        <v>36</v>
      </c>
      <c r="U1" s="9" t="s">
        <v>37</v>
      </c>
    </row>
    <row r="2" spans="1:21" x14ac:dyDescent="0.3">
      <c r="A2" s="10" t="s">
        <v>508</v>
      </c>
      <c r="B2" s="10" t="s">
        <v>39</v>
      </c>
      <c r="C2" s="10"/>
      <c r="D2" s="10" t="s">
        <v>70</v>
      </c>
      <c r="E2" s="10"/>
      <c r="F2" s="10" t="s">
        <v>509</v>
      </c>
      <c r="G2" s="10" t="s">
        <v>72</v>
      </c>
      <c r="H2" s="10" t="s">
        <v>91</v>
      </c>
      <c r="I2" s="10" t="s">
        <v>74</v>
      </c>
      <c r="J2" s="10" t="s">
        <v>9</v>
      </c>
      <c r="K2" s="11" t="s">
        <v>348</v>
      </c>
      <c r="L2" s="12" t="s">
        <v>510</v>
      </c>
      <c r="N2" s="14" t="s">
        <v>115</v>
      </c>
      <c r="O2" s="14">
        <v>1</v>
      </c>
      <c r="P2" s="14" t="s">
        <v>116</v>
      </c>
      <c r="Q2" s="15">
        <v>44496</v>
      </c>
      <c r="R2" s="10" t="s">
        <v>508</v>
      </c>
      <c r="S2" s="12" t="s">
        <v>511</v>
      </c>
      <c r="T2" s="16" t="s">
        <v>36</v>
      </c>
      <c r="U2" s="16" t="s">
        <v>53</v>
      </c>
    </row>
  </sheetData>
  <conditionalFormatting sqref="N2">
    <cfRule type="expression" dxfId="2" priority="2">
      <formula>$N2="Confirmed"</formula>
    </cfRule>
    <cfRule type="expression" dxfId="1" priority="3">
      <formula>$N2="New address"</formula>
    </cfRule>
  </conditionalFormatting>
  <conditionalFormatting sqref="P2">
    <cfRule type="expression" dxfId="0" priority="1">
      <formula>$P2="Yes"</formula>
    </cfRule>
  </conditionalFormatting>
  <hyperlinks>
    <hyperlink ref="T2" r:id="rId1" xr:uid="{00000000-0004-0000-0300-000000000000}"/>
    <hyperlink ref="U2" r:id="rId2" xr:uid="{00000000-0004-0000-0300-000001000000}"/>
  </hyperlinks>
  <pageMargins left="0.75" right="0.75" top="1" bottom="1" header="0.5" footer="0.5"/>
  <pageSetup fitToHeight="0" orientation="landscape"/>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27"/>
  <sheetViews>
    <sheetView showGridLines="0" workbookViewId="0"/>
  </sheetViews>
  <sheetFormatPr baseColWidth="10" defaultColWidth="8.88671875" defaultRowHeight="14.4" x14ac:dyDescent="0.3"/>
  <cols>
    <col min="1" max="1" width="120" customWidth="1"/>
  </cols>
  <sheetData>
    <row r="1" spans="1:1" ht="30" customHeight="1" x14ac:dyDescent="0.3">
      <c r="A1" s="17" t="s">
        <v>512</v>
      </c>
    </row>
    <row r="2" spans="1:1" x14ac:dyDescent="0.3">
      <c r="A2" s="18"/>
    </row>
    <row r="3" spans="1:1" x14ac:dyDescent="0.3">
      <c r="A3" s="19" t="s">
        <v>513</v>
      </c>
    </row>
    <row r="4" spans="1:1" ht="42" customHeight="1" x14ac:dyDescent="0.3">
      <c r="A4" s="20" t="s">
        <v>514</v>
      </c>
    </row>
    <row r="5" spans="1:1" ht="28.05" customHeight="1" x14ac:dyDescent="0.3">
      <c r="A5" s="20" t="s">
        <v>515</v>
      </c>
    </row>
    <row r="6" spans="1:1" x14ac:dyDescent="0.3">
      <c r="A6" s="18"/>
    </row>
    <row r="7" spans="1:1" x14ac:dyDescent="0.3">
      <c r="A7" s="19" t="s">
        <v>516</v>
      </c>
    </row>
    <row r="8" spans="1:1" ht="28.05" customHeight="1" x14ac:dyDescent="0.3">
      <c r="A8" s="20" t="s">
        <v>517</v>
      </c>
    </row>
    <row r="9" spans="1:1" ht="70.05" customHeight="1" x14ac:dyDescent="0.3">
      <c r="A9" s="20" t="s">
        <v>518</v>
      </c>
    </row>
    <row r="10" spans="1:1" x14ac:dyDescent="0.3">
      <c r="A10" s="18"/>
    </row>
    <row r="11" spans="1:1" x14ac:dyDescent="0.3">
      <c r="A11" s="19" t="s">
        <v>519</v>
      </c>
    </row>
    <row r="12" spans="1:1" ht="42" customHeight="1" x14ac:dyDescent="0.3">
      <c r="A12" s="20" t="s">
        <v>520</v>
      </c>
    </row>
    <row r="13" spans="1:1" ht="28.05" customHeight="1" x14ac:dyDescent="0.3">
      <c r="A13" s="20" t="s">
        <v>521</v>
      </c>
    </row>
    <row r="14" spans="1:1" x14ac:dyDescent="0.3">
      <c r="A14" s="18"/>
    </row>
    <row r="15" spans="1:1" x14ac:dyDescent="0.3">
      <c r="A15" s="19" t="s">
        <v>522</v>
      </c>
    </row>
    <row r="16" spans="1:1" ht="28.05" customHeight="1" x14ac:dyDescent="0.3">
      <c r="A16" s="20" t="s">
        <v>523</v>
      </c>
    </row>
    <row r="17" spans="1:1" ht="13.95" customHeight="1" x14ac:dyDescent="0.3">
      <c r="A17" s="20" t="s">
        <v>524</v>
      </c>
    </row>
    <row r="18" spans="1:1" ht="28.05" customHeight="1" x14ac:dyDescent="0.3">
      <c r="A18" s="20" t="s">
        <v>525</v>
      </c>
    </row>
    <row r="19" spans="1:1" ht="28.05" customHeight="1" x14ac:dyDescent="0.3">
      <c r="A19" s="20" t="s">
        <v>526</v>
      </c>
    </row>
    <row r="20" spans="1:1" ht="13.95" customHeight="1" x14ac:dyDescent="0.3">
      <c r="A20" s="20" t="s">
        <v>527</v>
      </c>
    </row>
    <row r="21" spans="1:1" ht="13.95" customHeight="1" x14ac:dyDescent="0.3">
      <c r="A21" s="20" t="s">
        <v>528</v>
      </c>
    </row>
    <row r="22" spans="1:1" x14ac:dyDescent="0.3">
      <c r="A22" s="18"/>
    </row>
    <row r="23" spans="1:1" x14ac:dyDescent="0.3">
      <c r="A23" s="19" t="s">
        <v>529</v>
      </c>
    </row>
    <row r="24" spans="1:1" ht="13.95" customHeight="1" x14ac:dyDescent="0.3">
      <c r="A24" s="20" t="s">
        <v>530</v>
      </c>
    </row>
    <row r="25" spans="1:1" x14ac:dyDescent="0.3">
      <c r="A25" s="18"/>
    </row>
    <row r="26" spans="1:1" x14ac:dyDescent="0.3">
      <c r="A26" s="19" t="s">
        <v>531</v>
      </c>
    </row>
    <row r="27" spans="1:1" ht="28.05" customHeight="1" x14ac:dyDescent="0.3">
      <c r="A27" s="20" t="s">
        <v>532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3</vt:i4>
      </vt:variant>
    </vt:vector>
  </HeadingPairs>
  <TitlesOfParts>
    <vt:vector size="8" baseType="lpstr">
      <vt:lpstr>Summary</vt:lpstr>
      <vt:lpstr>TMJ Clinics</vt:lpstr>
      <vt:lpstr>Oral Surgeons (TMJ)</vt:lpstr>
      <vt:lpstr>Older Entries</vt:lpstr>
      <vt:lpstr>About</vt:lpstr>
      <vt:lpstr>'Older Entries'!Títulos_a_imprimir</vt:lpstr>
      <vt:lpstr>'Oral Surgeons (TMJ)'!Títulos_a_imprimir</vt:lpstr>
      <vt:lpstr>'TMJ Clinics'!Títulos_a_imprimir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Giovanni Silvera</cp:lastModifiedBy>
  <dcterms:created xsi:type="dcterms:W3CDTF">2026-10-20T16:32:10Z</dcterms:created>
  <dcterms:modified xsi:type="dcterms:W3CDTF">2026-10-20T16:32:21Z</dcterms:modified>
</cp:coreProperties>
</file>